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tya\Desktop\Tech Sector\NovaByte_Capstone\04_Statistics\"/>
    </mc:Choice>
  </mc:AlternateContent>
  <xr:revisionPtr revIDLastSave="0" documentId="13_ncr:1_{83F2162B-94F8-41EE-8FA3-968413B33BC5}" xr6:coauthVersionLast="47" xr6:coauthVersionMax="47" xr10:uidLastSave="{00000000-0000-0000-0000-000000000000}"/>
  <bookViews>
    <workbookView xWindow="-28920" yWindow="-900" windowWidth="29040" windowHeight="16440" tabRatio="816" firstSheet="2" activeTab="11" xr2:uid="{00000000-000D-0000-FFFF-FFFF00000000}"/>
  </bookViews>
  <sheets>
    <sheet name="Clients" sheetId="1" r:id="rId1"/>
    <sheet name="Finance_Expenses" sheetId="2" r:id="rId2"/>
    <sheet name="Marketing_Campaigns" sheetId="3" r:id="rId3"/>
    <sheet name="Sales_Deals" sheetId="4" r:id="rId4"/>
    <sheet name="Support_Tickets" sheetId="5" r:id="rId5"/>
    <sheet name="Q34_Win_Rate" sheetId="6" r:id="rId6"/>
    <sheet name="Q35_Closure_Time" sheetId="7" r:id="rId7"/>
    <sheet name="Q36_Correlation" sheetId="8" r:id="rId8"/>
    <sheet name="Q37_Trend_Analysis" sheetId="9" r:id="rId9"/>
    <sheet name="Q38_Descriptive_Stats" sheetId="10" r:id="rId10"/>
    <sheet name="Q39_Distribution" sheetId="11" r:id="rId11"/>
    <sheet name=" Q40_ANOVA" sheetId="12" r:id="rId1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7" i="7" l="1"/>
  <c r="J18" i="7"/>
  <c r="J20" i="7" s="1"/>
  <c r="B21" i="12"/>
  <c r="B14" i="12"/>
  <c r="B7" i="12"/>
  <c r="C8" i="12"/>
  <c r="C9" i="12"/>
  <c r="C10" i="12"/>
  <c r="C11" i="12"/>
  <c r="D11" i="12" s="1" a="1"/>
  <c r="D11" i="12" s="1"/>
  <c r="C12" i="12"/>
  <c r="D12" i="12" s="1" a="1"/>
  <c r="D12" i="12" s="1"/>
  <c r="C7" i="12"/>
  <c r="B20" i="12" s="1" a="1"/>
  <c r="B20" i="12" s="1"/>
  <c r="B8" i="12"/>
  <c r="B9" i="12"/>
  <c r="D9" i="12" s="1" a="1"/>
  <c r="D9" i="12" s="1"/>
  <c r="B10" i="12"/>
  <c r="B11" i="12"/>
  <c r="B12" i="12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11" i="11"/>
  <c r="B10" i="11"/>
  <c r="Q3" i="11"/>
  <c r="Q4" i="11"/>
  <c r="Q5" i="11"/>
  <c r="Q6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61" i="11"/>
  <c r="Q262" i="11"/>
  <c r="Q263" i="11"/>
  <c r="Q264" i="11"/>
  <c r="Q265" i="11"/>
  <c r="Q266" i="11"/>
  <c r="Q267" i="11"/>
  <c r="Q268" i="11"/>
  <c r="Q269" i="11"/>
  <c r="Q270" i="11"/>
  <c r="Q271" i="11"/>
  <c r="Q272" i="11"/>
  <c r="Q273" i="11"/>
  <c r="Q274" i="11"/>
  <c r="Q275" i="11"/>
  <c r="Q276" i="11"/>
  <c r="Q277" i="11"/>
  <c r="Q278" i="11"/>
  <c r="Q279" i="11"/>
  <c r="Q280" i="11"/>
  <c r="Q281" i="11"/>
  <c r="Q282" i="11"/>
  <c r="Q283" i="11"/>
  <c r="Q284" i="11"/>
  <c r="Q285" i="11"/>
  <c r="Q286" i="11"/>
  <c r="Q287" i="11"/>
  <c r="Q288" i="11"/>
  <c r="Q289" i="11"/>
  <c r="Q290" i="11"/>
  <c r="Q291" i="11"/>
  <c r="Q292" i="11"/>
  <c r="Q293" i="11"/>
  <c r="Q294" i="11"/>
  <c r="Q295" i="11"/>
  <c r="Q296" i="11"/>
  <c r="Q297" i="11"/>
  <c r="Q298" i="11"/>
  <c r="Q299" i="11"/>
  <c r="Q300" i="11"/>
  <c r="Q301" i="11"/>
  <c r="Q302" i="11"/>
  <c r="Q303" i="11"/>
  <c r="Q304" i="11"/>
  <c r="Q305" i="11"/>
  <c r="Q306" i="11"/>
  <c r="Q307" i="11"/>
  <c r="Q308" i="11"/>
  <c r="Q309" i="11"/>
  <c r="Q310" i="11"/>
  <c r="Q311" i="11"/>
  <c r="Q312" i="11"/>
  <c r="Q313" i="11"/>
  <c r="Q314" i="11"/>
  <c r="Q315" i="11"/>
  <c r="Q316" i="11"/>
  <c r="Q317" i="11"/>
  <c r="Q318" i="11"/>
  <c r="Q319" i="11"/>
  <c r="Q320" i="11"/>
  <c r="Q321" i="11"/>
  <c r="Q322" i="11"/>
  <c r="Q323" i="11"/>
  <c r="Q324" i="11"/>
  <c r="Q325" i="11"/>
  <c r="Q326" i="11"/>
  <c r="Q327" i="11"/>
  <c r="Q328" i="11"/>
  <c r="Q329" i="11"/>
  <c r="Q330" i="11"/>
  <c r="Q331" i="11"/>
  <c r="Q332" i="11"/>
  <c r="Q333" i="11"/>
  <c r="Q334" i="11"/>
  <c r="Q335" i="11"/>
  <c r="Q336" i="11"/>
  <c r="Q337" i="11"/>
  <c r="Q338" i="11"/>
  <c r="Q339" i="11"/>
  <c r="Q340" i="11"/>
  <c r="Q341" i="11"/>
  <c r="Q342" i="11"/>
  <c r="Q343" i="11"/>
  <c r="Q344" i="11"/>
  <c r="Q345" i="11"/>
  <c r="Q346" i="11"/>
  <c r="Q347" i="11"/>
  <c r="Q348" i="11"/>
  <c r="Q349" i="11"/>
  <c r="Q350" i="11"/>
  <c r="Q351" i="11"/>
  <c r="Q352" i="11"/>
  <c r="Q353" i="11"/>
  <c r="Q354" i="11"/>
  <c r="Q355" i="11"/>
  <c r="Q356" i="11"/>
  <c r="Q357" i="11"/>
  <c r="Q358" i="11"/>
  <c r="Q359" i="11"/>
  <c r="Q360" i="11"/>
  <c r="Q361" i="11"/>
  <c r="Q362" i="11"/>
  <c r="Q363" i="11"/>
  <c r="Q364" i="11"/>
  <c r="Q365" i="11"/>
  <c r="Q366" i="11"/>
  <c r="Q367" i="11"/>
  <c r="Q368" i="11"/>
  <c r="Q369" i="11"/>
  <c r="Q370" i="11"/>
  <c r="Q371" i="11"/>
  <c r="Q372" i="11"/>
  <c r="Q373" i="11"/>
  <c r="Q374" i="11"/>
  <c r="Q375" i="11"/>
  <c r="Q376" i="11"/>
  <c r="Q377" i="11"/>
  <c r="Q378" i="11"/>
  <c r="Q379" i="11"/>
  <c r="Q380" i="11"/>
  <c r="Q381" i="11"/>
  <c r="Q382" i="11"/>
  <c r="Q383" i="11"/>
  <c r="Q384" i="11"/>
  <c r="Q385" i="11"/>
  <c r="Q386" i="11"/>
  <c r="Q387" i="11"/>
  <c r="Q388" i="11"/>
  <c r="Q389" i="11"/>
  <c r="Q390" i="11"/>
  <c r="Q391" i="11"/>
  <c r="Q392" i="11"/>
  <c r="Q393" i="11"/>
  <c r="Q394" i="11"/>
  <c r="Q395" i="11"/>
  <c r="Q396" i="11"/>
  <c r="Q397" i="11"/>
  <c r="Q398" i="11"/>
  <c r="Q399" i="11"/>
  <c r="Q400" i="11"/>
  <c r="Q401" i="11"/>
  <c r="Q402" i="11"/>
  <c r="Q403" i="11"/>
  <c r="Q404" i="11"/>
  <c r="Q405" i="11"/>
  <c r="Q406" i="11"/>
  <c r="Q407" i="11"/>
  <c r="Q408" i="11"/>
  <c r="Q409" i="11"/>
  <c r="Q410" i="11"/>
  <c r="Q411" i="11"/>
  <c r="Q412" i="11"/>
  <c r="Q413" i="11"/>
  <c r="Q414" i="11"/>
  <c r="Q415" i="11"/>
  <c r="Q416" i="11"/>
  <c r="Q417" i="11"/>
  <c r="Q418" i="11"/>
  <c r="Q419" i="11"/>
  <c r="Q420" i="11"/>
  <c r="Q421" i="11"/>
  <c r="Q422" i="11"/>
  <c r="Q423" i="11"/>
  <c r="Q424" i="11"/>
  <c r="Q425" i="11"/>
  <c r="Q426" i="11"/>
  <c r="Q427" i="11"/>
  <c r="Q428" i="11"/>
  <c r="Q429" i="11"/>
  <c r="Q430" i="11"/>
  <c r="Q431" i="11"/>
  <c r="Q432" i="11"/>
  <c r="Q433" i="11"/>
  <c r="Q434" i="11"/>
  <c r="Q435" i="11"/>
  <c r="Q436" i="11"/>
  <c r="Q437" i="11"/>
  <c r="Q438" i="11"/>
  <c r="Q439" i="11"/>
  <c r="Q440" i="11"/>
  <c r="Q441" i="11"/>
  <c r="Q442" i="11"/>
  <c r="Q443" i="11"/>
  <c r="Q444" i="11"/>
  <c r="Q445" i="11"/>
  <c r="Q446" i="11"/>
  <c r="Q447" i="11"/>
  <c r="Q448" i="11"/>
  <c r="Q449" i="11"/>
  <c r="Q450" i="11"/>
  <c r="Q451" i="11"/>
  <c r="Q452" i="11"/>
  <c r="Q453" i="11"/>
  <c r="Q454" i="11"/>
  <c r="Q455" i="11"/>
  <c r="Q456" i="11"/>
  <c r="Q457" i="11"/>
  <c r="Q458" i="11"/>
  <c r="Q459" i="11"/>
  <c r="Q460" i="11"/>
  <c r="Q461" i="11"/>
  <c r="Q462" i="11"/>
  <c r="Q463" i="11"/>
  <c r="Q464" i="11"/>
  <c r="Q465" i="11"/>
  <c r="Q466" i="11"/>
  <c r="Q467" i="11"/>
  <c r="Q468" i="11"/>
  <c r="Q469" i="11"/>
  <c r="Q470" i="11"/>
  <c r="Q471" i="11"/>
  <c r="Q472" i="11"/>
  <c r="Q473" i="11"/>
  <c r="Q474" i="11"/>
  <c r="Q475" i="11"/>
  <c r="Q476" i="11"/>
  <c r="Q477" i="11"/>
  <c r="Q478" i="11"/>
  <c r="Q479" i="11"/>
  <c r="Q480" i="11"/>
  <c r="Q481" i="11"/>
  <c r="Q482" i="11"/>
  <c r="Q483" i="11"/>
  <c r="Q484" i="11"/>
  <c r="Q485" i="11"/>
  <c r="Q486" i="11"/>
  <c r="Q487" i="11"/>
  <c r="Q488" i="11"/>
  <c r="Q489" i="11"/>
  <c r="Q490" i="11"/>
  <c r="Q491" i="11"/>
  <c r="Q492" i="11"/>
  <c r="Q493" i="11"/>
  <c r="Q494" i="11"/>
  <c r="Q495" i="11"/>
  <c r="Q496" i="11"/>
  <c r="Q497" i="11"/>
  <c r="Q498" i="11"/>
  <c r="Q499" i="11"/>
  <c r="Q500" i="11"/>
  <c r="Q501" i="11"/>
  <c r="Q502" i="11"/>
  <c r="Q503" i="11"/>
  <c r="Q504" i="11"/>
  <c r="Q505" i="11"/>
  <c r="Q506" i="11"/>
  <c r="Q507" i="11"/>
  <c r="Q508" i="11"/>
  <c r="Q509" i="11"/>
  <c r="Q510" i="11"/>
  <c r="Q511" i="11"/>
  <c r="Q512" i="11"/>
  <c r="Q513" i="11"/>
  <c r="Q514" i="11"/>
  <c r="Q515" i="11"/>
  <c r="Q516" i="11"/>
  <c r="Q517" i="11"/>
  <c r="Q518" i="11"/>
  <c r="Q519" i="11"/>
  <c r="Q520" i="11"/>
  <c r="Q521" i="11"/>
  <c r="Q522" i="11"/>
  <c r="Q523" i="11"/>
  <c r="Q524" i="11"/>
  <c r="Q525" i="11"/>
  <c r="Q526" i="11"/>
  <c r="Q527" i="11"/>
  <c r="Q528" i="11"/>
  <c r="Q529" i="11"/>
  <c r="Q530" i="11"/>
  <c r="Q531" i="11"/>
  <c r="Q532" i="11"/>
  <c r="Q533" i="11"/>
  <c r="Q534" i="11"/>
  <c r="Q535" i="11"/>
  <c r="Q536" i="11"/>
  <c r="Q537" i="11"/>
  <c r="Q538" i="11"/>
  <c r="Q539" i="11"/>
  <c r="Q540" i="11"/>
  <c r="Q541" i="11"/>
  <c r="Q542" i="11"/>
  <c r="Q543" i="11"/>
  <c r="Q544" i="11"/>
  <c r="Q545" i="11"/>
  <c r="Q546" i="11"/>
  <c r="Q547" i="11"/>
  <c r="Q548" i="11"/>
  <c r="Q549" i="11"/>
  <c r="Q550" i="11"/>
  <c r="Q551" i="11"/>
  <c r="Q552" i="11"/>
  <c r="Q553" i="11"/>
  <c r="Q554" i="11"/>
  <c r="Q555" i="11"/>
  <c r="Q556" i="11"/>
  <c r="Q557" i="11"/>
  <c r="Q558" i="11"/>
  <c r="Q559" i="11"/>
  <c r="Q560" i="11"/>
  <c r="Q561" i="11"/>
  <c r="Q562" i="11"/>
  <c r="Q563" i="11"/>
  <c r="Q564" i="11"/>
  <c r="Q565" i="11"/>
  <c r="Q566" i="11"/>
  <c r="Q567" i="11"/>
  <c r="Q568" i="11"/>
  <c r="Q569" i="11"/>
  <c r="Q570" i="11"/>
  <c r="Q571" i="11"/>
  <c r="Q572" i="11"/>
  <c r="Q573" i="11"/>
  <c r="Q574" i="11"/>
  <c r="Q575" i="11"/>
  <c r="Q576" i="11"/>
  <c r="Q577" i="11"/>
  <c r="Q578" i="11"/>
  <c r="Q579" i="11"/>
  <c r="Q580" i="11"/>
  <c r="Q581" i="11"/>
  <c r="Q582" i="11"/>
  <c r="Q583" i="11"/>
  <c r="Q584" i="11"/>
  <c r="Q585" i="11"/>
  <c r="Q586" i="11"/>
  <c r="Q587" i="11"/>
  <c r="Q588" i="11"/>
  <c r="Q589" i="11"/>
  <c r="Q590" i="11"/>
  <c r="Q591" i="11"/>
  <c r="Q592" i="11"/>
  <c r="Q593" i="11"/>
  <c r="Q594" i="11"/>
  <c r="Q595" i="11"/>
  <c r="Q596" i="11"/>
  <c r="Q597" i="11"/>
  <c r="Q598" i="11"/>
  <c r="Q599" i="11"/>
  <c r="Q600" i="11"/>
  <c r="Q601" i="11"/>
  <c r="Q602" i="11"/>
  <c r="Q603" i="11"/>
  <c r="Q604" i="11"/>
  <c r="Q605" i="11"/>
  <c r="Q606" i="11"/>
  <c r="Q607" i="11"/>
  <c r="Q608" i="11"/>
  <c r="Q609" i="11"/>
  <c r="Q610" i="11"/>
  <c r="Q611" i="11"/>
  <c r="Q612" i="11"/>
  <c r="Q613" i="11"/>
  <c r="Q614" i="11"/>
  <c r="Q615" i="11"/>
  <c r="Q616" i="11"/>
  <c r="Q617" i="11"/>
  <c r="Q618" i="11"/>
  <c r="Q619" i="11"/>
  <c r="Q620" i="11"/>
  <c r="Q621" i="11"/>
  <c r="Q622" i="11"/>
  <c r="Q623" i="11"/>
  <c r="Q624" i="11"/>
  <c r="Q625" i="11"/>
  <c r="Q626" i="11"/>
  <c r="Q627" i="11"/>
  <c r="Q628" i="11"/>
  <c r="Q629" i="11"/>
  <c r="Q630" i="11"/>
  <c r="Q631" i="11"/>
  <c r="Q632" i="11"/>
  <c r="Q633" i="11"/>
  <c r="Q634" i="11"/>
  <c r="Q635" i="11"/>
  <c r="Q636" i="11"/>
  <c r="Q637" i="11"/>
  <c r="Q638" i="11"/>
  <c r="Q639" i="11"/>
  <c r="Q640" i="11"/>
  <c r="Q641" i="11"/>
  <c r="Q642" i="11"/>
  <c r="Q643" i="11"/>
  <c r="Q644" i="11"/>
  <c r="Q645" i="11"/>
  <c r="Q646" i="11"/>
  <c r="Q647" i="11"/>
  <c r="Q648" i="11"/>
  <c r="Q649" i="11"/>
  <c r="Q650" i="11"/>
  <c r="Q651" i="11"/>
  <c r="Q652" i="11"/>
  <c r="Q653" i="11"/>
  <c r="Q654" i="11"/>
  <c r="Q655" i="11"/>
  <c r="Q656" i="11"/>
  <c r="Q657" i="11"/>
  <c r="Q658" i="11"/>
  <c r="Q659" i="11"/>
  <c r="Q660" i="11"/>
  <c r="Q661" i="11"/>
  <c r="Q662" i="11"/>
  <c r="Q663" i="11"/>
  <c r="Q664" i="11"/>
  <c r="Q665" i="11"/>
  <c r="Q666" i="11"/>
  <c r="Q667" i="11"/>
  <c r="Q668" i="11"/>
  <c r="Q669" i="11"/>
  <c r="Q670" i="11"/>
  <c r="Q671" i="11"/>
  <c r="Q672" i="11"/>
  <c r="Q673" i="11"/>
  <c r="Q674" i="11"/>
  <c r="Q675" i="11"/>
  <c r="Q676" i="11"/>
  <c r="Q677" i="11"/>
  <c r="Q678" i="11"/>
  <c r="Q679" i="11"/>
  <c r="Q680" i="11"/>
  <c r="Q681" i="11"/>
  <c r="Q682" i="11"/>
  <c r="Q683" i="11"/>
  <c r="Q684" i="11"/>
  <c r="Q685" i="11"/>
  <c r="Q686" i="11"/>
  <c r="Q687" i="11"/>
  <c r="Q688" i="11"/>
  <c r="Q689" i="11"/>
  <c r="Q690" i="11"/>
  <c r="Q691" i="11"/>
  <c r="Q692" i="11"/>
  <c r="Q693" i="11"/>
  <c r="Q694" i="11"/>
  <c r="Q695" i="11"/>
  <c r="Q696" i="11"/>
  <c r="Q697" i="11"/>
  <c r="Q698" i="11"/>
  <c r="Q699" i="11"/>
  <c r="Q700" i="11"/>
  <c r="Q701" i="11"/>
  <c r="Q702" i="11"/>
  <c r="Q703" i="11"/>
  <c r="Q704" i="11"/>
  <c r="Q705" i="11"/>
  <c r="Q706" i="11"/>
  <c r="Q707" i="11"/>
  <c r="Q708" i="11"/>
  <c r="Q709" i="11"/>
  <c r="Q710" i="11"/>
  <c r="Q711" i="11"/>
  <c r="Q712" i="11"/>
  <c r="Q713" i="11"/>
  <c r="Q714" i="11"/>
  <c r="Q715" i="11"/>
  <c r="Q716" i="11"/>
  <c r="Q717" i="11"/>
  <c r="Q718" i="11"/>
  <c r="Q719" i="11"/>
  <c r="Q720" i="11"/>
  <c r="Q721" i="11"/>
  <c r="Q722" i="11"/>
  <c r="Q723" i="11"/>
  <c r="Q724" i="11"/>
  <c r="Q725" i="11"/>
  <c r="Q726" i="11"/>
  <c r="Q727" i="11"/>
  <c r="Q728" i="11"/>
  <c r="Q729" i="11"/>
  <c r="Q730" i="11"/>
  <c r="Q731" i="11"/>
  <c r="Q732" i="11"/>
  <c r="Q733" i="11"/>
  <c r="Q734" i="11"/>
  <c r="Q735" i="11"/>
  <c r="Q736" i="11"/>
  <c r="Q737" i="11"/>
  <c r="Q738" i="11"/>
  <c r="Q739" i="11"/>
  <c r="Q740" i="11"/>
  <c r="Q741" i="11"/>
  <c r="Q742" i="11"/>
  <c r="Q743" i="11"/>
  <c r="Q744" i="11"/>
  <c r="Q745" i="11"/>
  <c r="Q746" i="11"/>
  <c r="Q747" i="11"/>
  <c r="Q748" i="11"/>
  <c r="Q749" i="11"/>
  <c r="Q750" i="11"/>
  <c r="Q751" i="11"/>
  <c r="Q752" i="11"/>
  <c r="Q753" i="11"/>
  <c r="Q754" i="11"/>
  <c r="Q755" i="11"/>
  <c r="Q756" i="11"/>
  <c r="Q757" i="11"/>
  <c r="Q758" i="11"/>
  <c r="Q759" i="11"/>
  <c r="Q760" i="11"/>
  <c r="Q761" i="11"/>
  <c r="Q762" i="11"/>
  <c r="Q763" i="11"/>
  <c r="Q764" i="11"/>
  <c r="Q765" i="11"/>
  <c r="Q766" i="11"/>
  <c r="Q767" i="11"/>
  <c r="Q768" i="11"/>
  <c r="Q769" i="11"/>
  <c r="Q770" i="11"/>
  <c r="Q771" i="11"/>
  <c r="Q772" i="11"/>
  <c r="Q773" i="11"/>
  <c r="Q774" i="11"/>
  <c r="Q775" i="11"/>
  <c r="Q776" i="11"/>
  <c r="Q777" i="11"/>
  <c r="Q778" i="11"/>
  <c r="Q779" i="11"/>
  <c r="Q780" i="11"/>
  <c r="Q781" i="11"/>
  <c r="Q782" i="11"/>
  <c r="Q783" i="11"/>
  <c r="Q784" i="11"/>
  <c r="Q785" i="11"/>
  <c r="Q786" i="11"/>
  <c r="Q787" i="11"/>
  <c r="Q788" i="11"/>
  <c r="Q789" i="11"/>
  <c r="Q790" i="11"/>
  <c r="Q791" i="11"/>
  <c r="Q792" i="11"/>
  <c r="Q793" i="11"/>
  <c r="Q794" i="11"/>
  <c r="Q795" i="11"/>
  <c r="Q796" i="11"/>
  <c r="Q797" i="11"/>
  <c r="Q798" i="11"/>
  <c r="Q799" i="11"/>
  <c r="Q800" i="11"/>
  <c r="Q801" i="11"/>
  <c r="Q802" i="11"/>
  <c r="Q803" i="11"/>
  <c r="Q804" i="11"/>
  <c r="Q805" i="11"/>
  <c r="Q806" i="11"/>
  <c r="Q807" i="11"/>
  <c r="Q808" i="11"/>
  <c r="Q809" i="11"/>
  <c r="Q810" i="11"/>
  <c r="Q811" i="11"/>
  <c r="Q812" i="11"/>
  <c r="Q813" i="11"/>
  <c r="Q814" i="11"/>
  <c r="Q815" i="11"/>
  <c r="Q816" i="11"/>
  <c r="Q817" i="11"/>
  <c r="Q818" i="11"/>
  <c r="Q819" i="11"/>
  <c r="Q820" i="11"/>
  <c r="Q821" i="11"/>
  <c r="Q822" i="11"/>
  <c r="Q823" i="11"/>
  <c r="Q824" i="11"/>
  <c r="Q825" i="11"/>
  <c r="Q826" i="11"/>
  <c r="Q827" i="11"/>
  <c r="Q828" i="11"/>
  <c r="Q829" i="11"/>
  <c r="Q830" i="11"/>
  <c r="Q831" i="11"/>
  <c r="Q832" i="11"/>
  <c r="Q833" i="11"/>
  <c r="Q834" i="11"/>
  <c r="Q835" i="11"/>
  <c r="Q836" i="11"/>
  <c r="Q837" i="11"/>
  <c r="Q838" i="11"/>
  <c r="Q839" i="11"/>
  <c r="Q840" i="11"/>
  <c r="Q841" i="11"/>
  <c r="Q842" i="11"/>
  <c r="Q843" i="11"/>
  <c r="Q844" i="11"/>
  <c r="Q845" i="11"/>
  <c r="Q846" i="11"/>
  <c r="Q847" i="11"/>
  <c r="Q848" i="11"/>
  <c r="Q849" i="11"/>
  <c r="Q850" i="11"/>
  <c r="Q851" i="11"/>
  <c r="Q852" i="11"/>
  <c r="Q853" i="11"/>
  <c r="Q854" i="11"/>
  <c r="Q855" i="11"/>
  <c r="Q856" i="11"/>
  <c r="Q857" i="11"/>
  <c r="Q858" i="11"/>
  <c r="Q859" i="11"/>
  <c r="Q860" i="11"/>
  <c r="Q861" i="11"/>
  <c r="Q862" i="11"/>
  <c r="Q863" i="11"/>
  <c r="Q864" i="11"/>
  <c r="Q865" i="11"/>
  <c r="Q866" i="11"/>
  <c r="Q867" i="11"/>
  <c r="Q868" i="11"/>
  <c r="Q869" i="11"/>
  <c r="Q870" i="11"/>
  <c r="Q871" i="11"/>
  <c r="Q872" i="11"/>
  <c r="Q873" i="11"/>
  <c r="Q874" i="11"/>
  <c r="Q875" i="11"/>
  <c r="Q876" i="11"/>
  <c r="Q877" i="11"/>
  <c r="Q878" i="11"/>
  <c r="Q879" i="11"/>
  <c r="Q880" i="11"/>
  <c r="Q881" i="11"/>
  <c r="Q882" i="11"/>
  <c r="Q883" i="11"/>
  <c r="Q884" i="11"/>
  <c r="Q885" i="11"/>
  <c r="Q886" i="11"/>
  <c r="Q887" i="11"/>
  <c r="Q888" i="11"/>
  <c r="Q889" i="11"/>
  <c r="Q890" i="11"/>
  <c r="Q891" i="11"/>
  <c r="Q892" i="11"/>
  <c r="Q893" i="11"/>
  <c r="Q894" i="11"/>
  <c r="Q895" i="11"/>
  <c r="Q896" i="11"/>
  <c r="Q897" i="11"/>
  <c r="Q898" i="11"/>
  <c r="Q899" i="11"/>
  <c r="Q900" i="11"/>
  <c r="Q901" i="11"/>
  <c r="Q902" i="11"/>
  <c r="Q903" i="11"/>
  <c r="Q904" i="11"/>
  <c r="Q905" i="11"/>
  <c r="Q906" i="11"/>
  <c r="Q907" i="11"/>
  <c r="Q908" i="11"/>
  <c r="Q909" i="11"/>
  <c r="Q910" i="11"/>
  <c r="Q911" i="11"/>
  <c r="Q912" i="11"/>
  <c r="Q913" i="11"/>
  <c r="Q914" i="11"/>
  <c r="Q915" i="11"/>
  <c r="Q916" i="11"/>
  <c r="Q917" i="11"/>
  <c r="Q918" i="11"/>
  <c r="Q919" i="11"/>
  <c r="Q920" i="11"/>
  <c r="Q921" i="11"/>
  <c r="Q922" i="11"/>
  <c r="Q923" i="11"/>
  <c r="Q924" i="11"/>
  <c r="Q925" i="11"/>
  <c r="Q926" i="11"/>
  <c r="Q927" i="11"/>
  <c r="Q928" i="11"/>
  <c r="Q929" i="11"/>
  <c r="Q930" i="11"/>
  <c r="Q931" i="11"/>
  <c r="Q932" i="11"/>
  <c r="Q933" i="11"/>
  <c r="Q934" i="11"/>
  <c r="Q935" i="11"/>
  <c r="Q936" i="11"/>
  <c r="Q937" i="11"/>
  <c r="Q938" i="11"/>
  <c r="Q939" i="11"/>
  <c r="Q940" i="11"/>
  <c r="Q941" i="11"/>
  <c r="Q942" i="11"/>
  <c r="Q943" i="11"/>
  <c r="Q944" i="11"/>
  <c r="Q945" i="11"/>
  <c r="Q946" i="11"/>
  <c r="Q947" i="11"/>
  <c r="Q948" i="11"/>
  <c r="Q949" i="11"/>
  <c r="Q950" i="11"/>
  <c r="Q951" i="11"/>
  <c r="Q952" i="11"/>
  <c r="Q953" i="11"/>
  <c r="Q954" i="11"/>
  <c r="Q955" i="11"/>
  <c r="Q956" i="11"/>
  <c r="Q957" i="11"/>
  <c r="Q958" i="11"/>
  <c r="Q959" i="11"/>
  <c r="Q960" i="11"/>
  <c r="Q961" i="11"/>
  <c r="Q962" i="11"/>
  <c r="Q963" i="11"/>
  <c r="Q964" i="11"/>
  <c r="Q965" i="11"/>
  <c r="Q966" i="11"/>
  <c r="Q967" i="11"/>
  <c r="Q968" i="11"/>
  <c r="Q969" i="11"/>
  <c r="Q970" i="11"/>
  <c r="Q971" i="11"/>
  <c r="Q972" i="11"/>
  <c r="Q973" i="11"/>
  <c r="Q974" i="11"/>
  <c r="Q975" i="11"/>
  <c r="Q976" i="11"/>
  <c r="Q977" i="11"/>
  <c r="Q978" i="11"/>
  <c r="Q979" i="11"/>
  <c r="Q980" i="11"/>
  <c r="Q981" i="11"/>
  <c r="Q982" i="11"/>
  <c r="Q983" i="11"/>
  <c r="Q984" i="11"/>
  <c r="Q985" i="11"/>
  <c r="Q986" i="11"/>
  <c r="Q987" i="11"/>
  <c r="Q988" i="11"/>
  <c r="Q989" i="11"/>
  <c r="Q990" i="11"/>
  <c r="Q991" i="11"/>
  <c r="Q992" i="11"/>
  <c r="Q993" i="11"/>
  <c r="Q994" i="11"/>
  <c r="Q995" i="11"/>
  <c r="Q996" i="11"/>
  <c r="Q997" i="11"/>
  <c r="Q998" i="11"/>
  <c r="Q999" i="11"/>
  <c r="Q1000" i="11"/>
  <c r="Q1001" i="11"/>
  <c r="Q1002" i="11"/>
  <c r="Q1003" i="11"/>
  <c r="Q1004" i="11"/>
  <c r="Q1005" i="11"/>
  <c r="Q1006" i="11"/>
  <c r="Q1007" i="11"/>
  <c r="Q1008" i="11"/>
  <c r="Q1009" i="11"/>
  <c r="Q1010" i="11"/>
  <c r="Q1011" i="11"/>
  <c r="Q1012" i="11"/>
  <c r="Q1013" i="11"/>
  <c r="Q1014" i="11"/>
  <c r="Q1015" i="11"/>
  <c r="Q1016" i="11"/>
  <c r="Q1017" i="11"/>
  <c r="Q1018" i="11"/>
  <c r="Q1019" i="11"/>
  <c r="Q1020" i="11"/>
  <c r="Q1021" i="11"/>
  <c r="Q1022" i="11"/>
  <c r="Q1023" i="11"/>
  <c r="Q1024" i="11"/>
  <c r="Q1025" i="11"/>
  <c r="Q1026" i="11"/>
  <c r="Q1027" i="11"/>
  <c r="Q1028" i="11"/>
  <c r="Q1029" i="11"/>
  <c r="Q1030" i="11"/>
  <c r="Q1031" i="11"/>
  <c r="Q1032" i="11"/>
  <c r="Q1033" i="11"/>
  <c r="Q1034" i="11"/>
  <c r="Q1035" i="11"/>
  <c r="Q1036" i="11"/>
  <c r="Q1037" i="11"/>
  <c r="Q1038" i="11"/>
  <c r="Q1039" i="11"/>
  <c r="Q1040" i="11"/>
  <c r="Q1041" i="11"/>
  <c r="Q1042" i="11"/>
  <c r="Q1043" i="11"/>
  <c r="Q1044" i="11"/>
  <c r="Q1045" i="11"/>
  <c r="Q1046" i="11"/>
  <c r="Q1047" i="11"/>
  <c r="Q1048" i="11"/>
  <c r="Q1049" i="11"/>
  <c r="Q1050" i="11"/>
  <c r="Q1051" i="11"/>
  <c r="Q1052" i="11"/>
  <c r="Q1053" i="11"/>
  <c r="Q1054" i="11"/>
  <c r="Q1055" i="11"/>
  <c r="Q1056" i="11"/>
  <c r="Q1057" i="11"/>
  <c r="Q1058" i="11"/>
  <c r="Q1059" i="11"/>
  <c r="Q1060" i="11"/>
  <c r="Q1061" i="11"/>
  <c r="Q1062" i="11"/>
  <c r="Q1063" i="11"/>
  <c r="Q1064" i="11"/>
  <c r="Q1065" i="11"/>
  <c r="Q1066" i="11"/>
  <c r="Q1067" i="11"/>
  <c r="Q1068" i="11"/>
  <c r="Q1069" i="11"/>
  <c r="Q1070" i="11"/>
  <c r="Q1071" i="11"/>
  <c r="Q1072" i="11"/>
  <c r="Q1073" i="11"/>
  <c r="Q1074" i="11"/>
  <c r="Q1075" i="11"/>
  <c r="Q1076" i="11"/>
  <c r="Q1077" i="11"/>
  <c r="Q1078" i="11"/>
  <c r="Q1079" i="11"/>
  <c r="Q1080" i="11"/>
  <c r="Q1081" i="11"/>
  <c r="Q1082" i="11"/>
  <c r="Q1083" i="11"/>
  <c r="Q1084" i="11"/>
  <c r="Q1085" i="11"/>
  <c r="Q1086" i="11"/>
  <c r="Q1087" i="11"/>
  <c r="Q1088" i="11"/>
  <c r="Q1089" i="11"/>
  <c r="Q1090" i="11"/>
  <c r="Q1091" i="11"/>
  <c r="Q1092" i="11"/>
  <c r="Q1093" i="11"/>
  <c r="Q1094" i="11"/>
  <c r="Q1095" i="11"/>
  <c r="Q1096" i="11"/>
  <c r="Q1097" i="11"/>
  <c r="Q1098" i="11"/>
  <c r="Q1099" i="11"/>
  <c r="Q1100" i="11"/>
  <c r="Q1101" i="11"/>
  <c r="Q1102" i="11"/>
  <c r="Q1103" i="11"/>
  <c r="Q1104" i="11"/>
  <c r="Q1105" i="11"/>
  <c r="Q1106" i="11"/>
  <c r="Q1107" i="11"/>
  <c r="Q1108" i="11"/>
  <c r="Q1109" i="11"/>
  <c r="Q1110" i="11"/>
  <c r="Q1111" i="11"/>
  <c r="Q1112" i="11"/>
  <c r="Q1113" i="11"/>
  <c r="Q1114" i="11"/>
  <c r="Q1115" i="11"/>
  <c r="Q1116" i="11"/>
  <c r="Q1117" i="11"/>
  <c r="Q1118" i="11"/>
  <c r="Q1119" i="11"/>
  <c r="Q1120" i="11"/>
  <c r="Q1121" i="11"/>
  <c r="Q1122" i="11"/>
  <c r="Q1123" i="11"/>
  <c r="Q1124" i="11"/>
  <c r="Q1125" i="11"/>
  <c r="Q1126" i="11"/>
  <c r="Q1127" i="11"/>
  <c r="Q1128" i="11"/>
  <c r="Q1129" i="11"/>
  <c r="Q1130" i="11"/>
  <c r="Q1131" i="11"/>
  <c r="Q1132" i="11"/>
  <c r="Q1133" i="11"/>
  <c r="Q1134" i="11"/>
  <c r="Q1135" i="11"/>
  <c r="Q1136" i="11"/>
  <c r="Q1137" i="11"/>
  <c r="Q1138" i="11"/>
  <c r="Q1139" i="11"/>
  <c r="Q1140" i="11"/>
  <c r="Q1141" i="11"/>
  <c r="Q1142" i="11"/>
  <c r="Q1143" i="11"/>
  <c r="Q1144" i="11"/>
  <c r="Q1145" i="11"/>
  <c r="Q1146" i="11"/>
  <c r="Q1147" i="11"/>
  <c r="Q1148" i="11"/>
  <c r="Q1149" i="11"/>
  <c r="Q1150" i="11"/>
  <c r="Q1151" i="11"/>
  <c r="Q1152" i="11"/>
  <c r="Q1153" i="11"/>
  <c r="Q1154" i="11"/>
  <c r="Q1155" i="11"/>
  <c r="Q1156" i="11"/>
  <c r="Q1157" i="11"/>
  <c r="Q1158" i="11"/>
  <c r="Q1159" i="11"/>
  <c r="Q1160" i="11"/>
  <c r="Q1161" i="11"/>
  <c r="Q1162" i="11"/>
  <c r="Q1163" i="11"/>
  <c r="Q1164" i="11"/>
  <c r="Q1165" i="11"/>
  <c r="Q1166" i="11"/>
  <c r="Q1167" i="11"/>
  <c r="Q1168" i="11"/>
  <c r="Q1169" i="11"/>
  <c r="Q1170" i="11"/>
  <c r="Q1171" i="11"/>
  <c r="Q1172" i="11"/>
  <c r="Q1173" i="11"/>
  <c r="Q1174" i="11"/>
  <c r="Q1175" i="11"/>
  <c r="Q1176" i="11"/>
  <c r="Q1177" i="11"/>
  <c r="Q1178" i="11"/>
  <c r="Q1179" i="11"/>
  <c r="Q1180" i="11"/>
  <c r="Q1181" i="11"/>
  <c r="Q1182" i="11"/>
  <c r="Q1183" i="11"/>
  <c r="Q1184" i="11"/>
  <c r="Q1185" i="11"/>
  <c r="Q1186" i="11"/>
  <c r="Q1187" i="11"/>
  <c r="Q1188" i="11"/>
  <c r="Q1189" i="11"/>
  <c r="Q1190" i="11"/>
  <c r="Q1191" i="11"/>
  <c r="Q1192" i="11"/>
  <c r="Q1193" i="11"/>
  <c r="Q1194" i="11"/>
  <c r="Q1195" i="11"/>
  <c r="Q1196" i="11"/>
  <c r="Q1197" i="11"/>
  <c r="Q1198" i="11"/>
  <c r="Q1199" i="11"/>
  <c r="Q1200" i="11"/>
  <c r="Q1201" i="11"/>
  <c r="Q1202" i="11"/>
  <c r="Q1203" i="11"/>
  <c r="Q1204" i="11"/>
  <c r="Q1205" i="11"/>
  <c r="Q1206" i="11"/>
  <c r="Q1207" i="11"/>
  <c r="Q1208" i="11"/>
  <c r="Q1209" i="11"/>
  <c r="Q1210" i="11"/>
  <c r="Q1211" i="11"/>
  <c r="Q1212" i="11"/>
  <c r="Q1213" i="11"/>
  <c r="Q1214" i="11"/>
  <c r="Q1215" i="11"/>
  <c r="Q1216" i="11"/>
  <c r="Q1217" i="11"/>
  <c r="Q1218" i="11"/>
  <c r="Q1219" i="11"/>
  <c r="Q1220" i="11"/>
  <c r="Q1221" i="11"/>
  <c r="Q1222" i="11"/>
  <c r="Q1223" i="11"/>
  <c r="Q1224" i="11"/>
  <c r="Q1225" i="11"/>
  <c r="Q1226" i="11"/>
  <c r="Q1227" i="11"/>
  <c r="Q1228" i="11"/>
  <c r="Q1229" i="11"/>
  <c r="Q1230" i="11"/>
  <c r="Q1231" i="11"/>
  <c r="Q1232" i="11"/>
  <c r="Q1233" i="11"/>
  <c r="Q1234" i="11"/>
  <c r="Q1235" i="11"/>
  <c r="Q1236" i="11"/>
  <c r="Q1237" i="11"/>
  <c r="Q1238" i="11"/>
  <c r="Q1239" i="11"/>
  <c r="Q1240" i="11"/>
  <c r="Q1241" i="11"/>
  <c r="Q1242" i="11"/>
  <c r="Q1243" i="11"/>
  <c r="Q1244" i="11"/>
  <c r="Q1245" i="11"/>
  <c r="Q1246" i="11"/>
  <c r="Q1247" i="11"/>
  <c r="Q1248" i="11"/>
  <c r="Q1249" i="11"/>
  <c r="Q1250" i="11"/>
  <c r="Q1251" i="11"/>
  <c r="Q1252" i="11"/>
  <c r="Q1253" i="11"/>
  <c r="Q1254" i="11"/>
  <c r="Q1255" i="11"/>
  <c r="Q1256" i="11"/>
  <c r="Q1257" i="11"/>
  <c r="Q1258" i="11"/>
  <c r="Q1259" i="11"/>
  <c r="Q1260" i="11"/>
  <c r="Q1261" i="11"/>
  <c r="Q1262" i="11"/>
  <c r="Q1263" i="11"/>
  <c r="Q1264" i="11"/>
  <c r="Q1265" i="11"/>
  <c r="Q1266" i="11"/>
  <c r="Q1267" i="11"/>
  <c r="Q1268" i="11"/>
  <c r="Q1269" i="11"/>
  <c r="Q1270" i="11"/>
  <c r="Q1271" i="11"/>
  <c r="Q1272" i="11"/>
  <c r="Q1273" i="11"/>
  <c r="Q1274" i="11"/>
  <c r="Q1275" i="11"/>
  <c r="Q1276" i="11"/>
  <c r="Q1277" i="11"/>
  <c r="Q1278" i="11"/>
  <c r="Q1279" i="11"/>
  <c r="Q1280" i="11"/>
  <c r="Q1281" i="11"/>
  <c r="Q1282" i="11"/>
  <c r="Q1283" i="11"/>
  <c r="Q1284" i="11"/>
  <c r="Q1285" i="11"/>
  <c r="Q1286" i="11"/>
  <c r="Q1287" i="11"/>
  <c r="Q1288" i="11"/>
  <c r="Q1289" i="11"/>
  <c r="Q1290" i="11"/>
  <c r="Q1291" i="11"/>
  <c r="Q1292" i="11"/>
  <c r="Q1293" i="11"/>
  <c r="Q1294" i="11"/>
  <c r="Q1295" i="11"/>
  <c r="Q1296" i="11"/>
  <c r="Q1297" i="11"/>
  <c r="Q1298" i="11"/>
  <c r="Q1299" i="11"/>
  <c r="Q1300" i="11"/>
  <c r="Q1301" i="11"/>
  <c r="Q1302" i="11"/>
  <c r="Q1303" i="11"/>
  <c r="Q1304" i="11"/>
  <c r="Q1305" i="11"/>
  <c r="Q1306" i="11"/>
  <c r="Q1307" i="11"/>
  <c r="Q1308" i="11"/>
  <c r="Q1309" i="11"/>
  <c r="Q1310" i="11"/>
  <c r="Q1311" i="11"/>
  <c r="Q1312" i="11"/>
  <c r="Q1313" i="11"/>
  <c r="Q1314" i="11"/>
  <c r="Q1315" i="11"/>
  <c r="Q1316" i="11"/>
  <c r="Q1317" i="11"/>
  <c r="Q1318" i="11"/>
  <c r="Q1319" i="11"/>
  <c r="Q1320" i="11"/>
  <c r="Q1321" i="11"/>
  <c r="Q1322" i="11"/>
  <c r="Q1323" i="11"/>
  <c r="Q1324" i="11"/>
  <c r="Q1325" i="11"/>
  <c r="Q1326" i="11"/>
  <c r="Q1327" i="11"/>
  <c r="Q1328" i="11"/>
  <c r="Q1329" i="11"/>
  <c r="Q1330" i="11"/>
  <c r="Q1331" i="11"/>
  <c r="Q1332" i="11"/>
  <c r="Q1333" i="11"/>
  <c r="Q1334" i="11"/>
  <c r="Q1335" i="11"/>
  <c r="Q1336" i="11"/>
  <c r="Q1337" i="11"/>
  <c r="Q1338" i="11"/>
  <c r="Q1339" i="11"/>
  <c r="Q1340" i="11"/>
  <c r="Q1341" i="11"/>
  <c r="Q1342" i="11"/>
  <c r="Q1343" i="11"/>
  <c r="Q1344" i="11"/>
  <c r="Q1345" i="11"/>
  <c r="Q1346" i="11"/>
  <c r="Q1347" i="11"/>
  <c r="Q1348" i="11"/>
  <c r="Q1349" i="11"/>
  <c r="Q1350" i="11"/>
  <c r="Q1351" i="11"/>
  <c r="Q1352" i="11"/>
  <c r="Q1353" i="11"/>
  <c r="Q1354" i="11"/>
  <c r="Q1355" i="11"/>
  <c r="Q1356" i="11"/>
  <c r="Q1357" i="11"/>
  <c r="Q1358" i="11"/>
  <c r="Q1359" i="11"/>
  <c r="Q1360" i="11"/>
  <c r="Q1361" i="11"/>
  <c r="Q1362" i="11"/>
  <c r="Q1363" i="11"/>
  <c r="Q1364" i="11"/>
  <c r="Q1365" i="11"/>
  <c r="Q1366" i="11"/>
  <c r="Q1367" i="11"/>
  <c r="Q1368" i="11"/>
  <c r="Q1369" i="11"/>
  <c r="Q1370" i="11"/>
  <c r="Q1371" i="11"/>
  <c r="Q1372" i="11"/>
  <c r="Q1373" i="11"/>
  <c r="Q1374" i="11"/>
  <c r="Q1375" i="11"/>
  <c r="Q1376" i="11"/>
  <c r="Q1377" i="11"/>
  <c r="Q1378" i="11"/>
  <c r="Q1379" i="11"/>
  <c r="Q1380" i="11"/>
  <c r="Q1381" i="11"/>
  <c r="Q1382" i="11"/>
  <c r="Q1383" i="11"/>
  <c r="Q1384" i="11"/>
  <c r="Q1385" i="11"/>
  <c r="Q1386" i="11"/>
  <c r="Q1387" i="11"/>
  <c r="Q1388" i="11"/>
  <c r="Q1389" i="11"/>
  <c r="Q1390" i="11"/>
  <c r="Q1391" i="11"/>
  <c r="Q1392" i="11"/>
  <c r="Q1393" i="11"/>
  <c r="Q1394" i="11"/>
  <c r="Q1395" i="11"/>
  <c r="Q1396" i="11"/>
  <c r="Q1397" i="11"/>
  <c r="Q1398" i="11"/>
  <c r="Q1399" i="11"/>
  <c r="Q1400" i="11"/>
  <c r="Q1401" i="11"/>
  <c r="Q1402" i="11"/>
  <c r="Q1403" i="11"/>
  <c r="Q1404" i="11"/>
  <c r="Q1405" i="11"/>
  <c r="Q1406" i="11"/>
  <c r="Q1407" i="11"/>
  <c r="Q1408" i="11"/>
  <c r="Q1409" i="11"/>
  <c r="Q1410" i="11"/>
  <c r="Q1411" i="11"/>
  <c r="Q1412" i="11"/>
  <c r="Q1413" i="11"/>
  <c r="Q1414" i="11"/>
  <c r="Q1415" i="11"/>
  <c r="Q1416" i="11"/>
  <c r="Q1417" i="11"/>
  <c r="Q1418" i="11"/>
  <c r="Q1419" i="11"/>
  <c r="Q1420" i="11"/>
  <c r="Q1421" i="11"/>
  <c r="Q1422" i="11"/>
  <c r="Q1423" i="11"/>
  <c r="Q1424" i="11"/>
  <c r="Q1425" i="11"/>
  <c r="Q1426" i="11"/>
  <c r="Q1427" i="11"/>
  <c r="Q1428" i="11"/>
  <c r="Q1429" i="11"/>
  <c r="Q1430" i="11"/>
  <c r="Q1431" i="11"/>
  <c r="Q1432" i="11"/>
  <c r="Q1433" i="11"/>
  <c r="Q1434" i="11"/>
  <c r="Q1435" i="11"/>
  <c r="Q1436" i="11"/>
  <c r="Q1437" i="11"/>
  <c r="Q1438" i="11"/>
  <c r="Q1439" i="11"/>
  <c r="Q1440" i="11"/>
  <c r="Q1441" i="11"/>
  <c r="Q1442" i="11"/>
  <c r="Q1443" i="11"/>
  <c r="Q1444" i="11"/>
  <c r="Q1445" i="11"/>
  <c r="Q1446" i="11"/>
  <c r="Q1447" i="11"/>
  <c r="Q1448" i="11"/>
  <c r="Q1449" i="11"/>
  <c r="Q1450" i="11"/>
  <c r="Q1451" i="11"/>
  <c r="Q1452" i="11"/>
  <c r="Q1453" i="11"/>
  <c r="Q1454" i="11"/>
  <c r="Q1455" i="11"/>
  <c r="Q1456" i="11"/>
  <c r="Q1457" i="11"/>
  <c r="Q1458" i="11"/>
  <c r="Q1459" i="11"/>
  <c r="Q1460" i="11"/>
  <c r="Q1461" i="11"/>
  <c r="Q1462" i="11"/>
  <c r="Q1463" i="11"/>
  <c r="Q1464" i="11"/>
  <c r="Q1465" i="11"/>
  <c r="Q1466" i="11"/>
  <c r="Q1467" i="11"/>
  <c r="Q1468" i="11"/>
  <c r="Q1469" i="11"/>
  <c r="Q1470" i="11"/>
  <c r="Q1471" i="11"/>
  <c r="Q1472" i="11"/>
  <c r="Q1473" i="11"/>
  <c r="Q1474" i="11"/>
  <c r="Q1475" i="11"/>
  <c r="Q1476" i="11"/>
  <c r="Q1477" i="11"/>
  <c r="Q1478" i="11"/>
  <c r="Q1479" i="11"/>
  <c r="Q1480" i="11"/>
  <c r="Q1481" i="11"/>
  <c r="Q1482" i="11"/>
  <c r="Q1483" i="11"/>
  <c r="Q1484" i="11"/>
  <c r="Q1485" i="11"/>
  <c r="Q1486" i="11"/>
  <c r="Q1487" i="11"/>
  <c r="Q1488" i="11"/>
  <c r="Q1489" i="11"/>
  <c r="Q1490" i="11"/>
  <c r="Q1491" i="11"/>
  <c r="Q1492" i="11"/>
  <c r="Q1493" i="11"/>
  <c r="Q1494" i="11"/>
  <c r="Q1495" i="11"/>
  <c r="Q1496" i="11"/>
  <c r="Q1497" i="11"/>
  <c r="Q1498" i="11"/>
  <c r="Q1499" i="11"/>
  <c r="Q1500" i="11"/>
  <c r="Q1501" i="11"/>
  <c r="Q1502" i="11"/>
  <c r="Q1503" i="11"/>
  <c r="Q1504" i="11"/>
  <c r="Q1505" i="11"/>
  <c r="Q1506" i="11"/>
  <c r="Q1507" i="11"/>
  <c r="Q1508" i="11"/>
  <c r="Q1509" i="11"/>
  <c r="Q1510" i="11"/>
  <c r="Q1511" i="11"/>
  <c r="Q1512" i="11"/>
  <c r="Q1513" i="11"/>
  <c r="Q1514" i="11"/>
  <c r="Q1515" i="11"/>
  <c r="Q1516" i="11"/>
  <c r="Q1517" i="11"/>
  <c r="Q1518" i="11"/>
  <c r="Q1519" i="11"/>
  <c r="Q1520" i="11"/>
  <c r="Q1521" i="11"/>
  <c r="Q1522" i="11"/>
  <c r="Q1523" i="11"/>
  <c r="Q1524" i="11"/>
  <c r="Q1525" i="11"/>
  <c r="Q1526" i="11"/>
  <c r="Q1527" i="11"/>
  <c r="Q1528" i="11"/>
  <c r="Q1529" i="11"/>
  <c r="Q1530" i="11"/>
  <c r="Q1531" i="11"/>
  <c r="Q1532" i="11"/>
  <c r="Q1533" i="11"/>
  <c r="Q1534" i="11"/>
  <c r="Q1535" i="11"/>
  <c r="Q1536" i="11"/>
  <c r="Q1537" i="11"/>
  <c r="Q1538" i="11"/>
  <c r="Q1539" i="11"/>
  <c r="Q1540" i="11"/>
  <c r="Q1541" i="11"/>
  <c r="Q1542" i="11"/>
  <c r="Q1543" i="11"/>
  <c r="Q1544" i="11"/>
  <c r="Q1545" i="11"/>
  <c r="Q1546" i="11"/>
  <c r="Q1547" i="11"/>
  <c r="Q1548" i="11"/>
  <c r="Q1549" i="11"/>
  <c r="Q1550" i="11"/>
  <c r="Q1551" i="11"/>
  <c r="Q1552" i="11"/>
  <c r="Q1553" i="11"/>
  <c r="Q1554" i="11"/>
  <c r="Q1555" i="11"/>
  <c r="Q1556" i="11"/>
  <c r="Q1557" i="11"/>
  <c r="Q1558" i="11"/>
  <c r="Q1559" i="11"/>
  <c r="Q1560" i="11"/>
  <c r="Q1561" i="11"/>
  <c r="Q1562" i="11"/>
  <c r="Q1563" i="11"/>
  <c r="Q1564" i="11"/>
  <c r="Q1565" i="11"/>
  <c r="Q1566" i="11"/>
  <c r="Q1567" i="11"/>
  <c r="Q1568" i="11"/>
  <c r="Q1569" i="11"/>
  <c r="Q1570" i="11"/>
  <c r="Q1571" i="11"/>
  <c r="Q1572" i="11"/>
  <c r="Q1573" i="11"/>
  <c r="Q1574" i="11"/>
  <c r="Q1575" i="11"/>
  <c r="Q1576" i="11"/>
  <c r="Q1577" i="11"/>
  <c r="Q1578" i="11"/>
  <c r="Q1579" i="11"/>
  <c r="Q1580" i="11"/>
  <c r="Q1581" i="11"/>
  <c r="Q1582" i="11"/>
  <c r="Q1583" i="11"/>
  <c r="Q1584" i="11"/>
  <c r="Q1585" i="11"/>
  <c r="Q1586" i="11"/>
  <c r="Q1587" i="11"/>
  <c r="Q1588" i="11"/>
  <c r="Q1589" i="11"/>
  <c r="Q1590" i="11"/>
  <c r="Q1591" i="11"/>
  <c r="Q1592" i="11"/>
  <c r="Q1593" i="11"/>
  <c r="Q1594" i="11"/>
  <c r="Q1595" i="11"/>
  <c r="Q1596" i="11"/>
  <c r="Q1597" i="11"/>
  <c r="Q1598" i="11"/>
  <c r="Q1599" i="11"/>
  <c r="Q1600" i="11"/>
  <c r="Q1601" i="11"/>
  <c r="Q1602" i="11"/>
  <c r="Q1603" i="11"/>
  <c r="Q1604" i="11"/>
  <c r="Q1605" i="11"/>
  <c r="Q1606" i="11"/>
  <c r="Q1607" i="11"/>
  <c r="Q1608" i="11"/>
  <c r="Q1609" i="11"/>
  <c r="Q1610" i="11"/>
  <c r="Q1611" i="11"/>
  <c r="Q1612" i="11"/>
  <c r="Q1613" i="11"/>
  <c r="Q1614" i="11"/>
  <c r="Q1615" i="11"/>
  <c r="Q1616" i="11"/>
  <c r="Q1617" i="11"/>
  <c r="Q1618" i="11"/>
  <c r="Q1619" i="11"/>
  <c r="Q1620" i="11"/>
  <c r="Q1621" i="11"/>
  <c r="Q1622" i="11"/>
  <c r="Q1623" i="11"/>
  <c r="Q1624" i="11"/>
  <c r="Q1625" i="11"/>
  <c r="Q1626" i="11"/>
  <c r="Q1627" i="11"/>
  <c r="Q1628" i="11"/>
  <c r="Q1629" i="11"/>
  <c r="Q1630" i="11"/>
  <c r="Q1631" i="11"/>
  <c r="Q1632" i="11"/>
  <c r="Q1633" i="11"/>
  <c r="Q1634" i="11"/>
  <c r="Q1635" i="11"/>
  <c r="Q1636" i="11"/>
  <c r="Q1637" i="11"/>
  <c r="Q1638" i="11"/>
  <c r="Q1639" i="11"/>
  <c r="Q1640" i="11"/>
  <c r="Q1641" i="11"/>
  <c r="Q1642" i="11"/>
  <c r="Q1643" i="11"/>
  <c r="Q1644" i="11"/>
  <c r="Q1645" i="11"/>
  <c r="Q1646" i="11"/>
  <c r="Q1647" i="11"/>
  <c r="Q1648" i="11"/>
  <c r="Q1649" i="11"/>
  <c r="Q1650" i="11"/>
  <c r="Q1651" i="11"/>
  <c r="Q1652" i="11"/>
  <c r="Q1653" i="11"/>
  <c r="Q1654" i="11"/>
  <c r="Q1655" i="11"/>
  <c r="Q1656" i="11"/>
  <c r="Q1657" i="11"/>
  <c r="Q1658" i="11"/>
  <c r="Q1659" i="11"/>
  <c r="Q1660" i="11"/>
  <c r="Q1661" i="11"/>
  <c r="Q1662" i="11"/>
  <c r="Q1663" i="11"/>
  <c r="Q1664" i="11"/>
  <c r="Q1665" i="11"/>
  <c r="Q1666" i="11"/>
  <c r="Q1667" i="11"/>
  <c r="Q1668" i="11"/>
  <c r="Q1669" i="11"/>
  <c r="Q1670" i="11"/>
  <c r="Q1671" i="11"/>
  <c r="Q1672" i="11"/>
  <c r="Q1673" i="11"/>
  <c r="Q1674" i="11"/>
  <c r="Q1675" i="11"/>
  <c r="Q1676" i="11"/>
  <c r="Q1677" i="11"/>
  <c r="Q1678" i="11"/>
  <c r="Q1679" i="11"/>
  <c r="Q1680" i="11"/>
  <c r="Q1681" i="11"/>
  <c r="Q1682" i="11"/>
  <c r="Q1683" i="11"/>
  <c r="Q1684" i="11"/>
  <c r="Q1685" i="11"/>
  <c r="Q1686" i="11"/>
  <c r="Q1687" i="11"/>
  <c r="Q1688" i="11"/>
  <c r="Q1689" i="11"/>
  <c r="Q1690" i="11"/>
  <c r="Q1691" i="11"/>
  <c r="Q1692" i="11"/>
  <c r="Q1693" i="11"/>
  <c r="Q1694" i="11"/>
  <c r="Q1695" i="11"/>
  <c r="Q1696" i="11"/>
  <c r="Q1697" i="11"/>
  <c r="Q1698" i="11"/>
  <c r="Q1699" i="11"/>
  <c r="Q1700" i="11"/>
  <c r="Q1701" i="11"/>
  <c r="Q1702" i="11"/>
  <c r="Q1703" i="11"/>
  <c r="Q1704" i="11"/>
  <c r="Q1705" i="11"/>
  <c r="Q1706" i="11"/>
  <c r="Q1707" i="11"/>
  <c r="Q1708" i="11"/>
  <c r="Q1709" i="11"/>
  <c r="Q1710" i="11"/>
  <c r="Q1711" i="11"/>
  <c r="Q1712" i="11"/>
  <c r="Q1713" i="11"/>
  <c r="Q1714" i="11"/>
  <c r="Q1715" i="11"/>
  <c r="Q1716" i="11"/>
  <c r="Q1717" i="11"/>
  <c r="Q1718" i="11"/>
  <c r="Q1719" i="11"/>
  <c r="Q1720" i="11"/>
  <c r="Q1721" i="11"/>
  <c r="Q1722" i="11"/>
  <c r="Q1723" i="11"/>
  <c r="Q1724" i="11"/>
  <c r="Q1725" i="11"/>
  <c r="Q1726" i="11"/>
  <c r="Q1727" i="11"/>
  <c r="Q1728" i="11"/>
  <c r="Q1729" i="11"/>
  <c r="Q1730" i="11"/>
  <c r="Q1731" i="11"/>
  <c r="Q1732" i="11"/>
  <c r="Q1733" i="11"/>
  <c r="Q1734" i="11"/>
  <c r="Q1735" i="11"/>
  <c r="Q1736" i="11"/>
  <c r="Q1737" i="11"/>
  <c r="Q1738" i="11"/>
  <c r="Q1739" i="11"/>
  <c r="Q1740" i="11"/>
  <c r="Q1741" i="11"/>
  <c r="Q1742" i="11"/>
  <c r="Q1743" i="11"/>
  <c r="Q1744" i="11"/>
  <c r="Q1745" i="11"/>
  <c r="Q1746" i="11"/>
  <c r="Q1747" i="11"/>
  <c r="Q1748" i="11"/>
  <c r="Q1749" i="11"/>
  <c r="Q1750" i="11"/>
  <c r="Q1751" i="11"/>
  <c r="Q1752" i="11"/>
  <c r="Q1753" i="11"/>
  <c r="Q1754" i="11"/>
  <c r="Q1755" i="11"/>
  <c r="Q1756" i="11"/>
  <c r="Q1757" i="11"/>
  <c r="Q1758" i="11"/>
  <c r="Q1759" i="11"/>
  <c r="Q1760" i="11"/>
  <c r="Q1761" i="11"/>
  <c r="Q1762" i="11"/>
  <c r="Q1763" i="11"/>
  <c r="Q1764" i="11"/>
  <c r="Q1765" i="11"/>
  <c r="Q1766" i="11"/>
  <c r="Q1767" i="11"/>
  <c r="Q1768" i="11"/>
  <c r="Q1769" i="11"/>
  <c r="Q1770" i="11"/>
  <c r="Q1771" i="11"/>
  <c r="Q1772" i="11"/>
  <c r="Q1773" i="11"/>
  <c r="Q1774" i="11"/>
  <c r="Q1775" i="11"/>
  <c r="Q1776" i="11"/>
  <c r="Q1777" i="11"/>
  <c r="Q1778" i="11"/>
  <c r="Q1779" i="11"/>
  <c r="Q1780" i="11"/>
  <c r="Q1781" i="11"/>
  <c r="Q1782" i="11"/>
  <c r="Q1783" i="11"/>
  <c r="Q1784" i="11"/>
  <c r="Q1785" i="11"/>
  <c r="Q1786" i="11"/>
  <c r="Q1787" i="11"/>
  <c r="Q1788" i="11"/>
  <c r="Q1789" i="11"/>
  <c r="Q1790" i="11"/>
  <c r="Q1791" i="11"/>
  <c r="Q1792" i="11"/>
  <c r="Q1793" i="11"/>
  <c r="Q1794" i="11"/>
  <c r="Q1795" i="11"/>
  <c r="Q1796" i="11"/>
  <c r="Q1797" i="11"/>
  <c r="Q1798" i="11"/>
  <c r="Q1799" i="11"/>
  <c r="Q1800" i="11"/>
  <c r="Q1801" i="11"/>
  <c r="Q1802" i="11"/>
  <c r="Q1803" i="11"/>
  <c r="Q1804" i="11"/>
  <c r="Q1805" i="11"/>
  <c r="Q1806" i="11"/>
  <c r="Q1807" i="11"/>
  <c r="Q1808" i="11"/>
  <c r="Q1809" i="11"/>
  <c r="Q1810" i="11"/>
  <c r="Q1811" i="11"/>
  <c r="Q1812" i="11"/>
  <c r="Q1813" i="11"/>
  <c r="Q1814" i="11"/>
  <c r="Q1815" i="11"/>
  <c r="Q1816" i="11"/>
  <c r="Q1817" i="11"/>
  <c r="Q1818" i="11"/>
  <c r="Q1819" i="11"/>
  <c r="Q1820" i="11"/>
  <c r="Q1821" i="11"/>
  <c r="Q1822" i="11"/>
  <c r="Q1823" i="11"/>
  <c r="Q1824" i="11"/>
  <c r="Q1825" i="11"/>
  <c r="Q1826" i="11"/>
  <c r="Q1827" i="11"/>
  <c r="Q1828" i="11"/>
  <c r="Q1829" i="11"/>
  <c r="Q1830" i="11"/>
  <c r="Q1831" i="11"/>
  <c r="Q1832" i="11"/>
  <c r="Q1833" i="11"/>
  <c r="Q1834" i="11"/>
  <c r="Q1835" i="11"/>
  <c r="Q1836" i="11"/>
  <c r="Q1837" i="11"/>
  <c r="Q1838" i="11"/>
  <c r="Q1839" i="11"/>
  <c r="Q1840" i="11"/>
  <c r="Q1841" i="11"/>
  <c r="Q1842" i="11"/>
  <c r="Q1843" i="11"/>
  <c r="Q1844" i="11"/>
  <c r="Q1845" i="11"/>
  <c r="Q1846" i="11"/>
  <c r="Q1847" i="11"/>
  <c r="Q1848" i="11"/>
  <c r="Q1849" i="11"/>
  <c r="Q1850" i="11"/>
  <c r="Q1851" i="11"/>
  <c r="Q1852" i="11"/>
  <c r="Q1853" i="11"/>
  <c r="Q1854" i="11"/>
  <c r="Q1855" i="11"/>
  <c r="Q1856" i="11"/>
  <c r="Q1857" i="11"/>
  <c r="Q1858" i="11"/>
  <c r="Q1859" i="11"/>
  <c r="Q1860" i="11"/>
  <c r="Q1861" i="11"/>
  <c r="Q1862" i="11"/>
  <c r="Q1863" i="11"/>
  <c r="Q1864" i="11"/>
  <c r="Q1865" i="11"/>
  <c r="Q1866" i="11"/>
  <c r="Q1867" i="11"/>
  <c r="Q1868" i="11"/>
  <c r="Q1869" i="11"/>
  <c r="Q1870" i="11"/>
  <c r="Q1871" i="11"/>
  <c r="Q1872" i="11"/>
  <c r="Q1873" i="11"/>
  <c r="Q1874" i="11"/>
  <c r="Q1875" i="11"/>
  <c r="Q1876" i="11"/>
  <c r="Q1877" i="11"/>
  <c r="Q1878" i="11"/>
  <c r="Q1879" i="11"/>
  <c r="Q1880" i="11"/>
  <c r="Q1881" i="11"/>
  <c r="Q1882" i="11"/>
  <c r="Q1883" i="11"/>
  <c r="Q1884" i="11"/>
  <c r="Q1885" i="11"/>
  <c r="Q1886" i="11"/>
  <c r="Q1887" i="11"/>
  <c r="Q1888" i="11"/>
  <c r="Q1889" i="11"/>
  <c r="Q1890" i="11"/>
  <c r="Q1891" i="11"/>
  <c r="Q1892" i="11"/>
  <c r="Q1893" i="11"/>
  <c r="Q1894" i="11"/>
  <c r="Q1895" i="11"/>
  <c r="Q1896" i="11"/>
  <c r="Q1897" i="11"/>
  <c r="Q1898" i="11"/>
  <c r="Q1899" i="11"/>
  <c r="Q1900" i="11"/>
  <c r="Q1901" i="11"/>
  <c r="Q1902" i="11"/>
  <c r="Q1903" i="11"/>
  <c r="Q1904" i="11"/>
  <c r="Q1905" i="11"/>
  <c r="Q1906" i="11"/>
  <c r="Q1907" i="11"/>
  <c r="Q1908" i="11"/>
  <c r="Q1909" i="11"/>
  <c r="Q1910" i="11"/>
  <c r="Q1911" i="11"/>
  <c r="Q1912" i="11"/>
  <c r="Q1913" i="11"/>
  <c r="Q1914" i="11"/>
  <c r="Q1915" i="11"/>
  <c r="Q1916" i="11"/>
  <c r="Q1917" i="11"/>
  <c r="Q1918" i="11"/>
  <c r="Q1919" i="11"/>
  <c r="Q1920" i="11"/>
  <c r="Q1921" i="11"/>
  <c r="Q1922" i="11"/>
  <c r="Q1923" i="11"/>
  <c r="Q1924" i="11"/>
  <c r="Q1925" i="11"/>
  <c r="Q1926" i="11"/>
  <c r="Q1927" i="11"/>
  <c r="Q1928" i="11"/>
  <c r="Q1929" i="11"/>
  <c r="Q1930" i="11"/>
  <c r="Q1931" i="11"/>
  <c r="Q1932" i="11"/>
  <c r="Q1933" i="11"/>
  <c r="Q1934" i="11"/>
  <c r="Q1935" i="11"/>
  <c r="Q1936" i="11"/>
  <c r="Q1937" i="11"/>
  <c r="Q1938" i="11"/>
  <c r="Q1939" i="11"/>
  <c r="Q1940" i="11"/>
  <c r="Q1941" i="11"/>
  <c r="Q1942" i="11"/>
  <c r="Q1943" i="11"/>
  <c r="Q1944" i="11"/>
  <c r="Q1945" i="11"/>
  <c r="Q1946" i="11"/>
  <c r="Q1947" i="11"/>
  <c r="Q1948" i="11"/>
  <c r="Q1949" i="11"/>
  <c r="Q1950" i="11"/>
  <c r="Q1951" i="11"/>
  <c r="Q1952" i="11"/>
  <c r="Q1953" i="11"/>
  <c r="Q1954" i="11"/>
  <c r="Q1955" i="11"/>
  <c r="Q1956" i="11"/>
  <c r="Q1957" i="11"/>
  <c r="Q1958" i="11"/>
  <c r="Q1959" i="11"/>
  <c r="Q1960" i="11"/>
  <c r="Q1961" i="11"/>
  <c r="Q1962" i="11"/>
  <c r="Q1963" i="11"/>
  <c r="Q1964" i="11"/>
  <c r="Q1965" i="11"/>
  <c r="Q1966" i="11"/>
  <c r="Q1967" i="11"/>
  <c r="Q1968" i="11"/>
  <c r="Q1969" i="11"/>
  <c r="Q1970" i="11"/>
  <c r="Q1971" i="11"/>
  <c r="Q1972" i="11"/>
  <c r="Q1973" i="11"/>
  <c r="Q1974" i="11"/>
  <c r="Q1975" i="11"/>
  <c r="Q1976" i="11"/>
  <c r="Q1977" i="11"/>
  <c r="Q1978" i="11"/>
  <c r="Q1979" i="11"/>
  <c r="Q1980" i="11"/>
  <c r="Q1981" i="11"/>
  <c r="Q1982" i="11"/>
  <c r="Q1983" i="11"/>
  <c r="Q1984" i="11"/>
  <c r="Q1985" i="11"/>
  <c r="Q1986" i="11"/>
  <c r="Q1987" i="11"/>
  <c r="Q1988" i="11"/>
  <c r="Q1989" i="11"/>
  <c r="Q1990" i="11"/>
  <c r="Q1991" i="11"/>
  <c r="Q1992" i="11"/>
  <c r="Q1993" i="11"/>
  <c r="Q1994" i="11"/>
  <c r="Q1995" i="11"/>
  <c r="Q1996" i="11"/>
  <c r="Q1997" i="11"/>
  <c r="Q1998" i="11"/>
  <c r="Q1999" i="11"/>
  <c r="Q2000" i="11"/>
  <c r="Q2001" i="11"/>
  <c r="Q2002" i="11"/>
  <c r="Q2003" i="11"/>
  <c r="Q2004" i="11"/>
  <c r="Q2005" i="11"/>
  <c r="Q2006" i="11"/>
  <c r="Q2007" i="11"/>
  <c r="Q2008" i="11"/>
  <c r="Q2009" i="11"/>
  <c r="Q2010" i="11"/>
  <c r="Q2011" i="11"/>
  <c r="Q2012" i="11"/>
  <c r="Q2013" i="11"/>
  <c r="Q2014" i="11"/>
  <c r="Q2015" i="11"/>
  <c r="Q2016" i="11"/>
  <c r="Q2017" i="11"/>
  <c r="Q2018" i="11"/>
  <c r="Q2019" i="11"/>
  <c r="Q2020" i="11"/>
  <c r="Q2021" i="11"/>
  <c r="Q2022" i="11"/>
  <c r="Q2023" i="11"/>
  <c r="Q2024" i="11"/>
  <c r="Q2025" i="11"/>
  <c r="Q2026" i="11"/>
  <c r="Q2027" i="11"/>
  <c r="Q2028" i="11"/>
  <c r="Q2029" i="11"/>
  <c r="Q2030" i="11"/>
  <c r="Q2031" i="11"/>
  <c r="Q2032" i="11"/>
  <c r="Q2033" i="11"/>
  <c r="Q2034" i="11"/>
  <c r="Q2035" i="11"/>
  <c r="Q2036" i="11"/>
  <c r="Q2037" i="11"/>
  <c r="Q2038" i="11"/>
  <c r="Q2039" i="11"/>
  <c r="Q2040" i="11"/>
  <c r="Q2041" i="11"/>
  <c r="Q2042" i="11"/>
  <c r="Q2043" i="11"/>
  <c r="Q2044" i="11"/>
  <c r="Q2045" i="11"/>
  <c r="Q2046" i="11"/>
  <c r="Q2047" i="11"/>
  <c r="Q2048" i="11"/>
  <c r="Q2049" i="11"/>
  <c r="Q2050" i="11"/>
  <c r="Q2051" i="11"/>
  <c r="Q2052" i="11"/>
  <c r="Q2053" i="11"/>
  <c r="Q2054" i="11"/>
  <c r="Q2055" i="11"/>
  <c r="Q2056" i="11"/>
  <c r="Q2057" i="11"/>
  <c r="Q2058" i="11"/>
  <c r="Q2059" i="11"/>
  <c r="Q2060" i="11"/>
  <c r="Q2061" i="11"/>
  <c r="Q2062" i="11"/>
  <c r="Q2063" i="11"/>
  <c r="Q2064" i="11"/>
  <c r="Q2065" i="11"/>
  <c r="Q2066" i="11"/>
  <c r="Q2067" i="11"/>
  <c r="Q2068" i="11"/>
  <c r="Q2069" i="11"/>
  <c r="Q2070" i="11"/>
  <c r="Q2071" i="11"/>
  <c r="Q2072" i="11"/>
  <c r="Q2073" i="11"/>
  <c r="Q2074" i="11"/>
  <c r="Q2075" i="11"/>
  <c r="Q2076" i="11"/>
  <c r="Q2077" i="11"/>
  <c r="Q2078" i="11"/>
  <c r="Q2079" i="11"/>
  <c r="Q2080" i="11"/>
  <c r="Q2081" i="11"/>
  <c r="Q2082" i="11"/>
  <c r="Q2083" i="11"/>
  <c r="Q2084" i="11"/>
  <c r="Q2085" i="11"/>
  <c r="Q2086" i="11"/>
  <c r="Q2087" i="11"/>
  <c r="Q2088" i="11"/>
  <c r="Q2089" i="11"/>
  <c r="Q2090" i="11"/>
  <c r="Q2091" i="11"/>
  <c r="Q2092" i="11"/>
  <c r="Q2093" i="11"/>
  <c r="Q2094" i="11"/>
  <c r="Q2095" i="11"/>
  <c r="Q2096" i="11"/>
  <c r="Q2097" i="11"/>
  <c r="Q2098" i="11"/>
  <c r="Q2099" i="11"/>
  <c r="Q2100" i="11"/>
  <c r="Q2101" i="11"/>
  <c r="Q2102" i="11"/>
  <c r="Q2103" i="11"/>
  <c r="Q2104" i="11"/>
  <c r="Q2105" i="11"/>
  <c r="Q2106" i="11"/>
  <c r="Q2107" i="11"/>
  <c r="Q2108" i="11"/>
  <c r="Q2109" i="11"/>
  <c r="Q2110" i="11"/>
  <c r="Q2111" i="11"/>
  <c r="Q2112" i="11"/>
  <c r="Q2113" i="11"/>
  <c r="Q2114" i="11"/>
  <c r="Q2115" i="11"/>
  <c r="Q2116" i="11"/>
  <c r="Q2117" i="11"/>
  <c r="Q2118" i="11"/>
  <c r="Q2119" i="11"/>
  <c r="Q2120" i="11"/>
  <c r="Q2121" i="11"/>
  <c r="Q2122" i="11"/>
  <c r="Q2123" i="11"/>
  <c r="Q2124" i="11"/>
  <c r="Q2125" i="11"/>
  <c r="Q2126" i="11"/>
  <c r="Q2127" i="11"/>
  <c r="Q2128" i="11"/>
  <c r="Q2129" i="11"/>
  <c r="Q2130" i="11"/>
  <c r="Q2131" i="11"/>
  <c r="Q2132" i="11"/>
  <c r="Q2133" i="11"/>
  <c r="Q2134" i="11"/>
  <c r="Q2135" i="11"/>
  <c r="Q2136" i="11"/>
  <c r="Q2137" i="11"/>
  <c r="Q2138" i="11"/>
  <c r="Q2139" i="11"/>
  <c r="Q2140" i="11"/>
  <c r="Q2141" i="11"/>
  <c r="Q2142" i="11"/>
  <c r="Q2143" i="11"/>
  <c r="Q2144" i="11"/>
  <c r="Q2145" i="11"/>
  <c r="Q2146" i="11"/>
  <c r="Q2147" i="11"/>
  <c r="Q2148" i="11"/>
  <c r="Q2149" i="11"/>
  <c r="Q2150" i="11"/>
  <c r="Q2151" i="11"/>
  <c r="Q2152" i="11"/>
  <c r="Q2153" i="11"/>
  <c r="Q2154" i="11"/>
  <c r="Q2155" i="11"/>
  <c r="Q2156" i="11"/>
  <c r="Q2157" i="11"/>
  <c r="Q2158" i="11"/>
  <c r="Q2159" i="11"/>
  <c r="Q2160" i="11"/>
  <c r="Q2161" i="11"/>
  <c r="Q2162" i="11"/>
  <c r="Q2163" i="11"/>
  <c r="Q2164" i="11"/>
  <c r="Q2165" i="11"/>
  <c r="Q2166" i="11"/>
  <c r="Q2167" i="11"/>
  <c r="Q2168" i="11"/>
  <c r="Q2169" i="11"/>
  <c r="Q2170" i="11"/>
  <c r="Q2171" i="11"/>
  <c r="Q2172" i="11"/>
  <c r="Q2173" i="11"/>
  <c r="Q2174" i="11"/>
  <c r="Q2175" i="11"/>
  <c r="Q2176" i="11"/>
  <c r="Q2177" i="11"/>
  <c r="Q2178" i="11"/>
  <c r="Q2179" i="11"/>
  <c r="Q2180" i="11"/>
  <c r="Q2181" i="11"/>
  <c r="Q2182" i="11"/>
  <c r="Q2183" i="11"/>
  <c r="Q2184" i="11"/>
  <c r="Q2185" i="11"/>
  <c r="Q2186" i="11"/>
  <c r="Q2187" i="11"/>
  <c r="Q2188" i="11"/>
  <c r="Q2189" i="11"/>
  <c r="Q2190" i="11"/>
  <c r="Q2191" i="11"/>
  <c r="Q2192" i="11"/>
  <c r="Q2193" i="11"/>
  <c r="Q2194" i="11"/>
  <c r="Q2195" i="11"/>
  <c r="Q2196" i="11"/>
  <c r="Q2197" i="11"/>
  <c r="Q2198" i="11"/>
  <c r="Q2199" i="11"/>
  <c r="Q2200" i="11"/>
  <c r="Q2201" i="11"/>
  <c r="Q2202" i="11"/>
  <c r="Q2203" i="11"/>
  <c r="Q2204" i="11"/>
  <c r="Q2205" i="11"/>
  <c r="Q2206" i="11"/>
  <c r="Q2207" i="11"/>
  <c r="Q2208" i="11"/>
  <c r="Q2209" i="11"/>
  <c r="Q2210" i="11"/>
  <c r="Q2211" i="11"/>
  <c r="Q2212" i="11"/>
  <c r="Q2213" i="11"/>
  <c r="Q2214" i="11"/>
  <c r="Q2215" i="11"/>
  <c r="Q2216" i="11"/>
  <c r="Q2217" i="11"/>
  <c r="Q2218" i="11"/>
  <c r="Q2219" i="11"/>
  <c r="Q2220" i="11"/>
  <c r="Q2221" i="11"/>
  <c r="Q2222" i="11"/>
  <c r="Q2223" i="11"/>
  <c r="Q2224" i="11"/>
  <c r="Q2225" i="11"/>
  <c r="Q2226" i="11"/>
  <c r="Q2227" i="11"/>
  <c r="Q2228" i="11"/>
  <c r="Q2229" i="11"/>
  <c r="Q2230" i="11"/>
  <c r="Q2231" i="11"/>
  <c r="Q2232" i="11"/>
  <c r="Q2233" i="11"/>
  <c r="Q2234" i="11"/>
  <c r="Q2235" i="11"/>
  <c r="Q2236" i="11"/>
  <c r="Q2237" i="11"/>
  <c r="Q2238" i="11"/>
  <c r="Q2239" i="11"/>
  <c r="Q2240" i="11"/>
  <c r="Q2241" i="11"/>
  <c r="Q2242" i="11"/>
  <c r="Q2243" i="11"/>
  <c r="Q2244" i="11"/>
  <c r="Q2245" i="11"/>
  <c r="Q2246" i="11"/>
  <c r="Q2247" i="11"/>
  <c r="Q2248" i="11"/>
  <c r="Q2249" i="11"/>
  <c r="Q2250" i="11"/>
  <c r="Q2251" i="11"/>
  <c r="Q2252" i="11"/>
  <c r="Q2253" i="11"/>
  <c r="Q2254" i="11"/>
  <c r="Q2255" i="11"/>
  <c r="Q2256" i="11"/>
  <c r="Q2257" i="11"/>
  <c r="Q2258" i="11"/>
  <c r="Q2259" i="11"/>
  <c r="Q2260" i="11"/>
  <c r="Q2261" i="11"/>
  <c r="Q2262" i="11"/>
  <c r="Q2263" i="11"/>
  <c r="Q2264" i="11"/>
  <c r="Q2265" i="11"/>
  <c r="Q2266" i="11"/>
  <c r="Q2267" i="11"/>
  <c r="Q2268" i="11"/>
  <c r="Q2269" i="11"/>
  <c r="Q2270" i="11"/>
  <c r="Q2271" i="11"/>
  <c r="Q2272" i="11"/>
  <c r="Q2273" i="11"/>
  <c r="Q2274" i="11"/>
  <c r="Q2275" i="11"/>
  <c r="Q2276" i="11"/>
  <c r="Q2277" i="11"/>
  <c r="Q2278" i="11"/>
  <c r="Q2279" i="11"/>
  <c r="Q2280" i="11"/>
  <c r="Q2281" i="11"/>
  <c r="Q2282" i="11"/>
  <c r="Q2283" i="11"/>
  <c r="Q2284" i="11"/>
  <c r="Q2285" i="11"/>
  <c r="Q2286" i="11"/>
  <c r="Q2287" i="11"/>
  <c r="Q2288" i="11"/>
  <c r="Q2289" i="11"/>
  <c r="Q2290" i="11"/>
  <c r="Q2291" i="11"/>
  <c r="Q2292" i="11"/>
  <c r="Q2293" i="11"/>
  <c r="Q2294" i="11"/>
  <c r="Q2295" i="11"/>
  <c r="Q2296" i="11"/>
  <c r="Q2297" i="11"/>
  <c r="Q2298" i="11"/>
  <c r="Q2299" i="11"/>
  <c r="Q2300" i="11"/>
  <c r="Q2301" i="11"/>
  <c r="Q2302" i="11"/>
  <c r="Q2303" i="11"/>
  <c r="Q2304" i="11"/>
  <c r="Q2305" i="11"/>
  <c r="Q2306" i="11"/>
  <c r="Q2307" i="11"/>
  <c r="Q2308" i="11"/>
  <c r="Q2309" i="11"/>
  <c r="Q2310" i="11"/>
  <c r="Q2311" i="11"/>
  <c r="Q2312" i="11"/>
  <c r="Q2313" i="11"/>
  <c r="Q2314" i="11"/>
  <c r="Q2315" i="11"/>
  <c r="Q2316" i="11"/>
  <c r="Q2317" i="11"/>
  <c r="Q2318" i="11"/>
  <c r="Q2319" i="11"/>
  <c r="Q2320" i="11"/>
  <c r="Q2321" i="11"/>
  <c r="Q2322" i="11"/>
  <c r="Q2323" i="11"/>
  <c r="Q2324" i="11"/>
  <c r="Q2325" i="11"/>
  <c r="Q2326" i="11"/>
  <c r="Q2327" i="11"/>
  <c r="Q2328" i="11"/>
  <c r="Q2329" i="11"/>
  <c r="Q2330" i="11"/>
  <c r="Q2331" i="11"/>
  <c r="Q2332" i="11"/>
  <c r="Q2333" i="11"/>
  <c r="Q2334" i="11"/>
  <c r="Q2335" i="11"/>
  <c r="Q2336" i="11"/>
  <c r="Q2337" i="11"/>
  <c r="Q2338" i="11"/>
  <c r="Q2339" i="11"/>
  <c r="Q2340" i="11"/>
  <c r="Q2341" i="11"/>
  <c r="Q2342" i="11"/>
  <c r="Q2343" i="11"/>
  <c r="Q2344" i="11"/>
  <c r="Q2345" i="11"/>
  <c r="Q2346" i="11"/>
  <c r="Q2347" i="11"/>
  <c r="Q2348" i="11"/>
  <c r="Q2349" i="11"/>
  <c r="Q2350" i="11"/>
  <c r="Q2351" i="11"/>
  <c r="Q2352" i="11"/>
  <c r="Q2353" i="11"/>
  <c r="Q2354" i="11"/>
  <c r="Q2355" i="11"/>
  <c r="Q2356" i="11"/>
  <c r="Q2357" i="11"/>
  <c r="Q2358" i="11"/>
  <c r="Q2359" i="11"/>
  <c r="Q2360" i="11"/>
  <c r="Q2361" i="11"/>
  <c r="Q2362" i="11"/>
  <c r="Q2363" i="11"/>
  <c r="Q2364" i="11"/>
  <c r="Q2365" i="11"/>
  <c r="Q2366" i="11"/>
  <c r="Q2367" i="11"/>
  <c r="Q2368" i="11"/>
  <c r="Q2369" i="11"/>
  <c r="Q2370" i="11"/>
  <c r="Q2371" i="11"/>
  <c r="Q2372" i="11"/>
  <c r="Q2373" i="11"/>
  <c r="Q2374" i="11"/>
  <c r="Q2375" i="11"/>
  <c r="Q2376" i="11"/>
  <c r="Q2377" i="11"/>
  <c r="Q2378" i="11"/>
  <c r="Q2379" i="11"/>
  <c r="Q2380" i="11"/>
  <c r="Q2381" i="11"/>
  <c r="Q2382" i="11"/>
  <c r="Q2383" i="11"/>
  <c r="Q2384" i="11"/>
  <c r="Q2385" i="11"/>
  <c r="Q2386" i="11"/>
  <c r="Q2387" i="11"/>
  <c r="Q2388" i="11"/>
  <c r="Q2389" i="11"/>
  <c r="Q2390" i="11"/>
  <c r="Q2391" i="11"/>
  <c r="Q2392" i="11"/>
  <c r="Q2393" i="11"/>
  <c r="Q2394" i="11"/>
  <c r="Q2395" i="11"/>
  <c r="Q2396" i="11"/>
  <c r="Q2397" i="11"/>
  <c r="Q2398" i="11"/>
  <c r="Q2399" i="11"/>
  <c r="Q2400" i="11"/>
  <c r="Q2401" i="11"/>
  <c r="Q2402" i="11"/>
  <c r="Q2403" i="11"/>
  <c r="Q2404" i="11"/>
  <c r="Q2405" i="11"/>
  <c r="Q2406" i="11"/>
  <c r="Q2407" i="11"/>
  <c r="Q2408" i="11"/>
  <c r="Q2409" i="11"/>
  <c r="Q2410" i="11"/>
  <c r="Q2411" i="11"/>
  <c r="Q2412" i="11"/>
  <c r="Q2413" i="11"/>
  <c r="Q2414" i="11"/>
  <c r="Q2415" i="11"/>
  <c r="Q2416" i="11"/>
  <c r="Q2417" i="11"/>
  <c r="Q2418" i="11"/>
  <c r="Q2419" i="11"/>
  <c r="Q2420" i="11"/>
  <c r="Q2421" i="11"/>
  <c r="Q2422" i="11"/>
  <c r="Q2423" i="11"/>
  <c r="Q2424" i="11"/>
  <c r="Q2425" i="11"/>
  <c r="Q2426" i="11"/>
  <c r="Q2427" i="11"/>
  <c r="Q2428" i="11"/>
  <c r="Q2429" i="11"/>
  <c r="Q2430" i="11"/>
  <c r="Q2431" i="11"/>
  <c r="Q2432" i="11"/>
  <c r="Q2433" i="11"/>
  <c r="Q2434" i="11"/>
  <c r="Q2435" i="11"/>
  <c r="Q2436" i="11"/>
  <c r="Q2437" i="11"/>
  <c r="Q2438" i="11"/>
  <c r="Q2439" i="11"/>
  <c r="Q2440" i="11"/>
  <c r="Q2441" i="11"/>
  <c r="Q2442" i="11"/>
  <c r="Q2443" i="11"/>
  <c r="Q2444" i="11"/>
  <c r="Q2445" i="11"/>
  <c r="Q2446" i="11"/>
  <c r="Q2447" i="11"/>
  <c r="Q2448" i="11"/>
  <c r="Q2449" i="11"/>
  <c r="Q2450" i="11"/>
  <c r="Q2451" i="11"/>
  <c r="Q2452" i="11"/>
  <c r="Q2453" i="11"/>
  <c r="Q2454" i="11"/>
  <c r="Q2455" i="11"/>
  <c r="Q2456" i="11"/>
  <c r="Q2457" i="11"/>
  <c r="Q2458" i="11"/>
  <c r="Q2459" i="11"/>
  <c r="Q2460" i="11"/>
  <c r="Q2461" i="11"/>
  <c r="Q2462" i="11"/>
  <c r="Q2463" i="11"/>
  <c r="Q2464" i="11"/>
  <c r="Q2465" i="11"/>
  <c r="Q2466" i="11"/>
  <c r="Q2467" i="11"/>
  <c r="Q2468" i="11"/>
  <c r="Q2469" i="11"/>
  <c r="Q2470" i="11"/>
  <c r="Q2471" i="11"/>
  <c r="Q2472" i="11"/>
  <c r="Q2473" i="11"/>
  <c r="Q2474" i="11"/>
  <c r="Q2475" i="11"/>
  <c r="Q2476" i="11"/>
  <c r="Q2477" i="11"/>
  <c r="Q2478" i="11"/>
  <c r="Q2479" i="11"/>
  <c r="Q2480" i="11"/>
  <c r="Q2481" i="11"/>
  <c r="Q2482" i="11"/>
  <c r="Q2483" i="11"/>
  <c r="Q2484" i="11"/>
  <c r="Q2485" i="11"/>
  <c r="Q2486" i="11"/>
  <c r="Q2487" i="11"/>
  <c r="Q2488" i="11"/>
  <c r="Q2489" i="11"/>
  <c r="Q2490" i="11"/>
  <c r="Q2491" i="11"/>
  <c r="Q2492" i="11"/>
  <c r="Q2493" i="11"/>
  <c r="Q2494" i="11"/>
  <c r="Q2495" i="11"/>
  <c r="Q2496" i="11"/>
  <c r="Q2497" i="11"/>
  <c r="Q2498" i="11"/>
  <c r="Q2499" i="11"/>
  <c r="Q2500" i="11"/>
  <c r="Q2501" i="11"/>
  <c r="Q2502" i="11"/>
  <c r="Q2503" i="11"/>
  <c r="Q2504" i="11"/>
  <c r="Q2" i="11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E15" i="9"/>
  <c r="E14" i="9"/>
  <c r="E13" i="9"/>
  <c r="E12" i="9"/>
  <c r="E11" i="9"/>
  <c r="E10" i="9"/>
  <c r="E9" i="9"/>
  <c r="E8" i="9"/>
  <c r="E7" i="9"/>
  <c r="D15" i="9"/>
  <c r="D14" i="9"/>
  <c r="D13" i="9"/>
  <c r="D12" i="9"/>
  <c r="D11" i="9"/>
  <c r="D10" i="9"/>
  <c r="D9" i="9"/>
  <c r="D8" i="9"/>
  <c r="D7" i="9"/>
  <c r="C15" i="9"/>
  <c r="C14" i="9"/>
  <c r="C13" i="9"/>
  <c r="C12" i="9"/>
  <c r="C11" i="9"/>
  <c r="C10" i="9"/>
  <c r="C9" i="9"/>
  <c r="C8" i="9"/>
  <c r="C7" i="9"/>
  <c r="A10" i="8"/>
  <c r="C10" i="8" s="1"/>
  <c r="B10" i="8"/>
  <c r="A11" i="8"/>
  <c r="B11" i="8"/>
  <c r="C11" i="8"/>
  <c r="A12" i="8"/>
  <c r="C12" i="8" s="1"/>
  <c r="B12" i="8"/>
  <c r="A13" i="8"/>
  <c r="C13" i="8" s="1"/>
  <c r="B13" i="8"/>
  <c r="A14" i="8"/>
  <c r="C14" i="8" s="1"/>
  <c r="B14" i="8"/>
  <c r="A15" i="8"/>
  <c r="C15" i="8" s="1"/>
  <c r="B15" i="8"/>
  <c r="A16" i="8"/>
  <c r="C16" i="8" s="1"/>
  <c r="B16" i="8"/>
  <c r="A17" i="8"/>
  <c r="C17" i="8" s="1"/>
  <c r="B17" i="8"/>
  <c r="A18" i="8"/>
  <c r="B18" i="8"/>
  <c r="C18" i="8"/>
  <c r="A19" i="8"/>
  <c r="C19" i="8" s="1"/>
  <c r="B19" i="8"/>
  <c r="A20" i="8"/>
  <c r="C20" i="8" s="1"/>
  <c r="B20" i="8"/>
  <c r="A21" i="8"/>
  <c r="C21" i="8" s="1"/>
  <c r="B21" i="8"/>
  <c r="A22" i="8"/>
  <c r="C22" i="8" s="1"/>
  <c r="B22" i="8"/>
  <c r="A23" i="8"/>
  <c r="C23" i="8" s="1"/>
  <c r="B23" i="8"/>
  <c r="A24" i="8"/>
  <c r="C24" i="8" s="1"/>
  <c r="B24" i="8"/>
  <c r="A25" i="8"/>
  <c r="C25" i="8" s="1"/>
  <c r="B25" i="8"/>
  <c r="A26" i="8"/>
  <c r="C26" i="8" s="1"/>
  <c r="B26" i="8"/>
  <c r="A27" i="8"/>
  <c r="C27" i="8" s="1"/>
  <c r="B27" i="8"/>
  <c r="A28" i="8"/>
  <c r="C28" i="8" s="1"/>
  <c r="B28" i="8"/>
  <c r="A29" i="8"/>
  <c r="C29" i="8" s="1"/>
  <c r="B29" i="8"/>
  <c r="A30" i="8"/>
  <c r="C30" i="8" s="1"/>
  <c r="B30" i="8"/>
  <c r="A31" i="8"/>
  <c r="C31" i="8" s="1"/>
  <c r="B31" i="8"/>
  <c r="A32" i="8"/>
  <c r="B32" i="8"/>
  <c r="C32" i="8"/>
  <c r="A33" i="8"/>
  <c r="C33" i="8" s="1"/>
  <c r="B33" i="8"/>
  <c r="A34" i="8"/>
  <c r="C34" i="8" s="1"/>
  <c r="B34" i="8"/>
  <c r="A35" i="8"/>
  <c r="C35" i="8" s="1"/>
  <c r="B35" i="8"/>
  <c r="A36" i="8"/>
  <c r="C36" i="8" s="1"/>
  <c r="B36" i="8"/>
  <c r="A37" i="8"/>
  <c r="C37" i="8" s="1"/>
  <c r="B37" i="8"/>
  <c r="A38" i="8"/>
  <c r="C38" i="8" s="1"/>
  <c r="B38" i="8"/>
  <c r="A39" i="8"/>
  <c r="C39" i="8" s="1"/>
  <c r="B39" i="8"/>
  <c r="A40" i="8"/>
  <c r="C40" i="8" s="1"/>
  <c r="B40" i="8"/>
  <c r="A41" i="8"/>
  <c r="B41" i="8"/>
  <c r="C41" i="8"/>
  <c r="A42" i="8"/>
  <c r="C42" i="8" s="1"/>
  <c r="B42" i="8"/>
  <c r="A43" i="8"/>
  <c r="C43" i="8" s="1"/>
  <c r="B43" i="8"/>
  <c r="A44" i="8"/>
  <c r="C44" i="8" s="1"/>
  <c r="B44" i="8"/>
  <c r="A45" i="8"/>
  <c r="C45" i="8" s="1"/>
  <c r="B45" i="8"/>
  <c r="A46" i="8"/>
  <c r="C46" i="8" s="1"/>
  <c r="B46" i="8"/>
  <c r="A47" i="8"/>
  <c r="C47" i="8" s="1"/>
  <c r="B47" i="8"/>
  <c r="A48" i="8"/>
  <c r="C48" i="8" s="1"/>
  <c r="B48" i="8"/>
  <c r="A49" i="8"/>
  <c r="C49" i="8" s="1"/>
  <c r="B49" i="8"/>
  <c r="A50" i="8"/>
  <c r="B50" i="8"/>
  <c r="C50" i="8"/>
  <c r="A51" i="8"/>
  <c r="C51" i="8" s="1"/>
  <c r="B51" i="8"/>
  <c r="A52" i="8"/>
  <c r="C52" i="8" s="1"/>
  <c r="B52" i="8"/>
  <c r="A53" i="8"/>
  <c r="C53" i="8" s="1"/>
  <c r="B53" i="8"/>
  <c r="A54" i="8"/>
  <c r="C54" i="8" s="1"/>
  <c r="B54" i="8"/>
  <c r="A55" i="8"/>
  <c r="C55" i="8" s="1"/>
  <c r="B55" i="8"/>
  <c r="A56" i="8"/>
  <c r="B56" i="8"/>
  <c r="C56" i="8"/>
  <c r="A57" i="8"/>
  <c r="C57" i="8" s="1"/>
  <c r="B57" i="8"/>
  <c r="A58" i="8"/>
  <c r="C58" i="8" s="1"/>
  <c r="B58" i="8"/>
  <c r="A59" i="8"/>
  <c r="C59" i="8" s="1"/>
  <c r="B59" i="8"/>
  <c r="A60" i="8"/>
  <c r="C60" i="8" s="1"/>
  <c r="B60" i="8"/>
  <c r="A61" i="8"/>
  <c r="C61" i="8" s="1"/>
  <c r="B61" i="8"/>
  <c r="A62" i="8"/>
  <c r="C62" i="8" s="1"/>
  <c r="B62" i="8"/>
  <c r="A63" i="8"/>
  <c r="C63" i="8" s="1"/>
  <c r="B63" i="8"/>
  <c r="A64" i="8"/>
  <c r="C64" i="8" s="1"/>
  <c r="B64" i="8"/>
  <c r="A65" i="8"/>
  <c r="C65" i="8" s="1"/>
  <c r="B65" i="8"/>
  <c r="A66" i="8"/>
  <c r="C66" i="8" s="1"/>
  <c r="B66" i="8"/>
  <c r="A67" i="8"/>
  <c r="C67" i="8" s="1"/>
  <c r="B67" i="8"/>
  <c r="A68" i="8"/>
  <c r="C68" i="8" s="1"/>
  <c r="B68" i="8"/>
  <c r="A69" i="8"/>
  <c r="C69" i="8" s="1"/>
  <c r="B69" i="8"/>
  <c r="A70" i="8"/>
  <c r="C70" i="8" s="1"/>
  <c r="B70" i="8"/>
  <c r="A71" i="8"/>
  <c r="C71" i="8" s="1"/>
  <c r="B71" i="8"/>
  <c r="A72" i="8"/>
  <c r="C72" i="8" s="1"/>
  <c r="B72" i="8"/>
  <c r="A73" i="8"/>
  <c r="C73" i="8" s="1"/>
  <c r="B73" i="8"/>
  <c r="A74" i="8"/>
  <c r="B74" i="8"/>
  <c r="C74" i="8"/>
  <c r="A75" i="8"/>
  <c r="C75" i="8" s="1"/>
  <c r="B75" i="8"/>
  <c r="A76" i="8"/>
  <c r="C76" i="8" s="1"/>
  <c r="B76" i="8"/>
  <c r="A77" i="8"/>
  <c r="B77" i="8"/>
  <c r="C77" i="8"/>
  <c r="A78" i="8"/>
  <c r="C78" i="8" s="1"/>
  <c r="B78" i="8"/>
  <c r="A79" i="8"/>
  <c r="C79" i="8" s="1"/>
  <c r="B79" i="8"/>
  <c r="A80" i="8"/>
  <c r="C80" i="8" s="1"/>
  <c r="B80" i="8"/>
  <c r="A81" i="8"/>
  <c r="C81" i="8" s="1"/>
  <c r="B81" i="8"/>
  <c r="A82" i="8"/>
  <c r="C82" i="8" s="1"/>
  <c r="B82" i="8"/>
  <c r="A83" i="8"/>
  <c r="C83" i="8" s="1"/>
  <c r="B83" i="8"/>
  <c r="A84" i="8"/>
  <c r="C84" i="8" s="1"/>
  <c r="B84" i="8"/>
  <c r="A85" i="8"/>
  <c r="C85" i="8" s="1"/>
  <c r="B85" i="8"/>
  <c r="A86" i="8"/>
  <c r="C86" i="8" s="1"/>
  <c r="B86" i="8"/>
  <c r="A87" i="8"/>
  <c r="C87" i="8" s="1"/>
  <c r="B87" i="8"/>
  <c r="A88" i="8"/>
  <c r="C88" i="8" s="1"/>
  <c r="B88" i="8"/>
  <c r="A89" i="8"/>
  <c r="C89" i="8" s="1"/>
  <c r="B89" i="8"/>
  <c r="A90" i="8"/>
  <c r="B90" i="8"/>
  <c r="C90" i="8"/>
  <c r="A91" i="8"/>
  <c r="C91" i="8" s="1"/>
  <c r="B91" i="8"/>
  <c r="A92" i="8"/>
  <c r="C92" i="8" s="1"/>
  <c r="B92" i="8"/>
  <c r="A93" i="8"/>
  <c r="B93" i="8"/>
  <c r="C93" i="8"/>
  <c r="A94" i="8"/>
  <c r="C94" i="8" s="1"/>
  <c r="B94" i="8"/>
  <c r="A95" i="8"/>
  <c r="C95" i="8" s="1"/>
  <c r="B95" i="8"/>
  <c r="A96" i="8"/>
  <c r="B96" i="8"/>
  <c r="C96" i="8"/>
  <c r="A97" i="8"/>
  <c r="C97" i="8" s="1"/>
  <c r="B97" i="8"/>
  <c r="A98" i="8"/>
  <c r="C98" i="8" s="1"/>
  <c r="B98" i="8"/>
  <c r="A99" i="8"/>
  <c r="C99" i="8" s="1"/>
  <c r="B99" i="8"/>
  <c r="A100" i="8"/>
  <c r="C100" i="8" s="1"/>
  <c r="B100" i="8"/>
  <c r="A101" i="8"/>
  <c r="C101" i="8" s="1"/>
  <c r="B101" i="8"/>
  <c r="A102" i="8"/>
  <c r="C102" i="8" s="1"/>
  <c r="B102" i="8"/>
  <c r="A103" i="8"/>
  <c r="C103" i="8" s="1"/>
  <c r="B103" i="8"/>
  <c r="A104" i="8"/>
  <c r="C104" i="8" s="1"/>
  <c r="B104" i="8"/>
  <c r="A105" i="8"/>
  <c r="C105" i="8" s="1"/>
  <c r="B105" i="8"/>
  <c r="A106" i="8"/>
  <c r="C106" i="8" s="1"/>
  <c r="B106" i="8"/>
  <c r="A107" i="8"/>
  <c r="B107" i="8"/>
  <c r="C107" i="8"/>
  <c r="A108" i="8"/>
  <c r="C108" i="8" s="1"/>
  <c r="B108" i="8"/>
  <c r="A109" i="8"/>
  <c r="C109" i="8" s="1"/>
  <c r="B109" i="8"/>
  <c r="A110" i="8"/>
  <c r="C110" i="8" s="1"/>
  <c r="B110" i="8"/>
  <c r="A111" i="8"/>
  <c r="C111" i="8" s="1"/>
  <c r="B111" i="8"/>
  <c r="A112" i="8"/>
  <c r="C112" i="8" s="1"/>
  <c r="B112" i="8"/>
  <c r="A113" i="8"/>
  <c r="C113" i="8" s="1"/>
  <c r="B113" i="8"/>
  <c r="A114" i="8"/>
  <c r="C114" i="8" s="1"/>
  <c r="B114" i="8"/>
  <c r="A115" i="8"/>
  <c r="C115" i="8" s="1"/>
  <c r="B115" i="8"/>
  <c r="A116" i="8"/>
  <c r="C116" i="8" s="1"/>
  <c r="B116" i="8"/>
  <c r="A117" i="8"/>
  <c r="C117" i="8" s="1"/>
  <c r="B117" i="8"/>
  <c r="A118" i="8"/>
  <c r="C118" i="8" s="1"/>
  <c r="B118" i="8"/>
  <c r="A119" i="8"/>
  <c r="C119" i="8" s="1"/>
  <c r="B119" i="8"/>
  <c r="A120" i="8"/>
  <c r="C120" i="8" s="1"/>
  <c r="B120" i="8"/>
  <c r="A121" i="8"/>
  <c r="C121" i="8" s="1"/>
  <c r="B121" i="8"/>
  <c r="A122" i="8"/>
  <c r="C122" i="8" s="1"/>
  <c r="B122" i="8"/>
  <c r="A123" i="8"/>
  <c r="C123" i="8" s="1"/>
  <c r="B123" i="8"/>
  <c r="A124" i="8"/>
  <c r="C124" i="8" s="1"/>
  <c r="B124" i="8"/>
  <c r="A125" i="8"/>
  <c r="C125" i="8" s="1"/>
  <c r="B125" i="8"/>
  <c r="A126" i="8"/>
  <c r="C126" i="8" s="1"/>
  <c r="B126" i="8"/>
  <c r="A127" i="8"/>
  <c r="C127" i="8" s="1"/>
  <c r="B127" i="8"/>
  <c r="A128" i="8"/>
  <c r="C128" i="8" s="1"/>
  <c r="B128" i="8"/>
  <c r="A129" i="8"/>
  <c r="B129" i="8"/>
  <c r="C129" i="8"/>
  <c r="A130" i="8"/>
  <c r="C130" i="8" s="1"/>
  <c r="B130" i="8"/>
  <c r="A131" i="8"/>
  <c r="C131" i="8" s="1"/>
  <c r="B131" i="8"/>
  <c r="A132" i="8"/>
  <c r="C132" i="8" s="1"/>
  <c r="B132" i="8"/>
  <c r="A133" i="8"/>
  <c r="C133" i="8" s="1"/>
  <c r="B133" i="8"/>
  <c r="A134" i="8"/>
  <c r="C134" i="8" s="1"/>
  <c r="B134" i="8"/>
  <c r="A135" i="8"/>
  <c r="C135" i="8" s="1"/>
  <c r="B135" i="8"/>
  <c r="A136" i="8"/>
  <c r="C136" i="8" s="1"/>
  <c r="B136" i="8"/>
  <c r="A137" i="8"/>
  <c r="C137" i="8" s="1"/>
  <c r="B137" i="8"/>
  <c r="A138" i="8"/>
  <c r="B138" i="8"/>
  <c r="C138" i="8"/>
  <c r="A139" i="8"/>
  <c r="C139" i="8" s="1"/>
  <c r="B139" i="8"/>
  <c r="A140" i="8"/>
  <c r="C140" i="8" s="1"/>
  <c r="B140" i="8"/>
  <c r="A141" i="8"/>
  <c r="C141" i="8" s="1"/>
  <c r="B141" i="8"/>
  <c r="A142" i="8"/>
  <c r="C142" i="8" s="1"/>
  <c r="B142" i="8"/>
  <c r="A143" i="8"/>
  <c r="C143" i="8" s="1"/>
  <c r="B143" i="8"/>
  <c r="A144" i="8"/>
  <c r="C144" i="8" s="1"/>
  <c r="B144" i="8"/>
  <c r="A145" i="8"/>
  <c r="C145" i="8" s="1"/>
  <c r="B145" i="8"/>
  <c r="A146" i="8"/>
  <c r="C146" i="8" s="1"/>
  <c r="B146" i="8"/>
  <c r="A147" i="8"/>
  <c r="C147" i="8" s="1"/>
  <c r="B147" i="8"/>
  <c r="A148" i="8"/>
  <c r="C148" i="8" s="1"/>
  <c r="B148" i="8"/>
  <c r="A149" i="8"/>
  <c r="C149" i="8" s="1"/>
  <c r="B149" i="8"/>
  <c r="A150" i="8"/>
  <c r="C150" i="8" s="1"/>
  <c r="B150" i="8"/>
  <c r="A151" i="8"/>
  <c r="C151" i="8" s="1"/>
  <c r="B151" i="8"/>
  <c r="A152" i="8"/>
  <c r="C152" i="8" s="1"/>
  <c r="B152" i="8"/>
  <c r="A153" i="8"/>
  <c r="C153" i="8" s="1"/>
  <c r="B153" i="8"/>
  <c r="A154" i="8"/>
  <c r="C154" i="8" s="1"/>
  <c r="B154" i="8"/>
  <c r="A155" i="8"/>
  <c r="C155" i="8" s="1"/>
  <c r="B155" i="8"/>
  <c r="A156" i="8"/>
  <c r="C156" i="8" s="1"/>
  <c r="B156" i="8"/>
  <c r="A157" i="8"/>
  <c r="C157" i="8" s="1"/>
  <c r="B157" i="8"/>
  <c r="A158" i="8"/>
  <c r="C158" i="8" s="1"/>
  <c r="B158" i="8"/>
  <c r="A159" i="8"/>
  <c r="C159" i="8" s="1"/>
  <c r="B159" i="8"/>
  <c r="A160" i="8"/>
  <c r="C160" i="8" s="1"/>
  <c r="B160" i="8"/>
  <c r="A161" i="8"/>
  <c r="C161" i="8" s="1"/>
  <c r="B161" i="8"/>
  <c r="A162" i="8"/>
  <c r="C162" i="8" s="1"/>
  <c r="B162" i="8"/>
  <c r="A163" i="8"/>
  <c r="C163" i="8" s="1"/>
  <c r="B163" i="8"/>
  <c r="A164" i="8"/>
  <c r="C164" i="8" s="1"/>
  <c r="B164" i="8"/>
  <c r="A165" i="8"/>
  <c r="C165" i="8" s="1"/>
  <c r="B165" i="8"/>
  <c r="A166" i="8"/>
  <c r="C166" i="8" s="1"/>
  <c r="B166" i="8"/>
  <c r="A167" i="8"/>
  <c r="C167" i="8" s="1"/>
  <c r="B167" i="8"/>
  <c r="A168" i="8"/>
  <c r="C168" i="8" s="1"/>
  <c r="B168" i="8"/>
  <c r="A169" i="8"/>
  <c r="C169" i="8" s="1"/>
  <c r="B169" i="8"/>
  <c r="A170" i="8"/>
  <c r="C170" i="8" s="1"/>
  <c r="B170" i="8"/>
  <c r="A171" i="8"/>
  <c r="C171" i="8" s="1"/>
  <c r="B171" i="8"/>
  <c r="A172" i="8"/>
  <c r="C172" i="8" s="1"/>
  <c r="B172" i="8"/>
  <c r="A173" i="8"/>
  <c r="C173" i="8" s="1"/>
  <c r="B173" i="8"/>
  <c r="A174" i="8"/>
  <c r="C174" i="8" s="1"/>
  <c r="B174" i="8"/>
  <c r="A175" i="8"/>
  <c r="C175" i="8" s="1"/>
  <c r="B175" i="8"/>
  <c r="A176" i="8"/>
  <c r="C176" i="8" s="1"/>
  <c r="B176" i="8"/>
  <c r="A177" i="8"/>
  <c r="B177" i="8"/>
  <c r="C177" i="8"/>
  <c r="A178" i="8"/>
  <c r="C178" i="8" s="1"/>
  <c r="B178" i="8"/>
  <c r="A179" i="8"/>
  <c r="C179" i="8" s="1"/>
  <c r="B179" i="8"/>
  <c r="A180" i="8"/>
  <c r="C180" i="8" s="1"/>
  <c r="B180" i="8"/>
  <c r="A181" i="8"/>
  <c r="C181" i="8" s="1"/>
  <c r="B181" i="8"/>
  <c r="A182" i="8"/>
  <c r="C182" i="8" s="1"/>
  <c r="B182" i="8"/>
  <c r="A183" i="8"/>
  <c r="C183" i="8" s="1"/>
  <c r="B183" i="8"/>
  <c r="A184" i="8"/>
  <c r="C184" i="8" s="1"/>
  <c r="B184" i="8"/>
  <c r="A185" i="8"/>
  <c r="C185" i="8" s="1"/>
  <c r="B185" i="8"/>
  <c r="A186" i="8"/>
  <c r="C186" i="8" s="1"/>
  <c r="B186" i="8"/>
  <c r="A187" i="8"/>
  <c r="C187" i="8" s="1"/>
  <c r="B187" i="8"/>
  <c r="A188" i="8"/>
  <c r="C188" i="8" s="1"/>
  <c r="B188" i="8"/>
  <c r="A189" i="8"/>
  <c r="C189" i="8" s="1"/>
  <c r="B189" i="8"/>
  <c r="A190" i="8"/>
  <c r="B190" i="8"/>
  <c r="C190" i="8"/>
  <c r="A191" i="8"/>
  <c r="C191" i="8" s="1"/>
  <c r="B191" i="8"/>
  <c r="A192" i="8"/>
  <c r="C192" i="8" s="1"/>
  <c r="B192" i="8"/>
  <c r="A193" i="8"/>
  <c r="B193" i="8"/>
  <c r="C193" i="8"/>
  <c r="A194" i="8"/>
  <c r="C194" i="8" s="1"/>
  <c r="B194" i="8"/>
  <c r="A195" i="8"/>
  <c r="C195" i="8" s="1"/>
  <c r="B195" i="8"/>
  <c r="A196" i="8"/>
  <c r="C196" i="8" s="1"/>
  <c r="B196" i="8"/>
  <c r="A197" i="8"/>
  <c r="C197" i="8" s="1"/>
  <c r="B197" i="8"/>
  <c r="A198" i="8"/>
  <c r="C198" i="8" s="1"/>
  <c r="B198" i="8"/>
  <c r="A199" i="8"/>
  <c r="C199" i="8" s="1"/>
  <c r="B199" i="8"/>
  <c r="A200" i="8"/>
  <c r="C200" i="8" s="1"/>
  <c r="B200" i="8"/>
  <c r="A201" i="8"/>
  <c r="C201" i="8" s="1"/>
  <c r="B201" i="8"/>
  <c r="A202" i="8"/>
  <c r="C202" i="8" s="1"/>
  <c r="B202" i="8"/>
  <c r="A203" i="8"/>
  <c r="C203" i="8" s="1"/>
  <c r="B203" i="8"/>
  <c r="A204" i="8"/>
  <c r="C204" i="8" s="1"/>
  <c r="B204" i="8"/>
  <c r="A205" i="8"/>
  <c r="C205" i="8" s="1"/>
  <c r="B205" i="8"/>
  <c r="A206" i="8"/>
  <c r="C206" i="8" s="1"/>
  <c r="B206" i="8"/>
  <c r="A207" i="8"/>
  <c r="C207" i="8" s="1"/>
  <c r="B207" i="8"/>
  <c r="A208" i="8"/>
  <c r="B208" i="8"/>
  <c r="C208" i="8"/>
  <c r="A209" i="8"/>
  <c r="C209" i="8" s="1"/>
  <c r="B209" i="8"/>
  <c r="A210" i="8"/>
  <c r="C210" i="8" s="1"/>
  <c r="B210" i="8"/>
  <c r="A211" i="8"/>
  <c r="C211" i="8" s="1"/>
  <c r="B211" i="8"/>
  <c r="A212" i="8"/>
  <c r="C212" i="8" s="1"/>
  <c r="B212" i="8"/>
  <c r="A213" i="8"/>
  <c r="C213" i="8" s="1"/>
  <c r="B213" i="8"/>
  <c r="A214" i="8"/>
  <c r="C214" i="8" s="1"/>
  <c r="B214" i="8"/>
  <c r="A215" i="8"/>
  <c r="C215" i="8" s="1"/>
  <c r="B215" i="8"/>
  <c r="A216" i="8"/>
  <c r="C216" i="8" s="1"/>
  <c r="B216" i="8"/>
  <c r="A217" i="8"/>
  <c r="C217" i="8" s="1"/>
  <c r="B217" i="8"/>
  <c r="A218" i="8"/>
  <c r="C218" i="8" s="1"/>
  <c r="B218" i="8"/>
  <c r="A219" i="8"/>
  <c r="B219" i="8"/>
  <c r="C219" i="8"/>
  <c r="A220" i="8"/>
  <c r="C220" i="8" s="1"/>
  <c r="B220" i="8"/>
  <c r="A221" i="8"/>
  <c r="C221" i="8" s="1"/>
  <c r="B221" i="8"/>
  <c r="A222" i="8"/>
  <c r="B222" i="8"/>
  <c r="C222" i="8"/>
  <c r="A223" i="8"/>
  <c r="C223" i="8" s="1"/>
  <c r="B223" i="8"/>
  <c r="A224" i="8"/>
  <c r="C224" i="8" s="1"/>
  <c r="B224" i="8"/>
  <c r="A225" i="8"/>
  <c r="B225" i="8"/>
  <c r="C225" i="8"/>
  <c r="A226" i="8"/>
  <c r="C226" i="8" s="1"/>
  <c r="B226" i="8"/>
  <c r="A227" i="8"/>
  <c r="C227" i="8" s="1"/>
  <c r="B227" i="8"/>
  <c r="A228" i="8"/>
  <c r="C228" i="8" s="1"/>
  <c r="B228" i="8"/>
  <c r="A229" i="8"/>
  <c r="C229" i="8" s="1"/>
  <c r="B229" i="8"/>
  <c r="A230" i="8"/>
  <c r="C230" i="8" s="1"/>
  <c r="B230" i="8"/>
  <c r="A231" i="8"/>
  <c r="C231" i="8" s="1"/>
  <c r="B231" i="8"/>
  <c r="A232" i="8"/>
  <c r="C232" i="8" s="1"/>
  <c r="B232" i="8"/>
  <c r="A233" i="8"/>
  <c r="C233" i="8" s="1"/>
  <c r="B233" i="8"/>
  <c r="A234" i="8"/>
  <c r="C234" i="8" s="1"/>
  <c r="B234" i="8"/>
  <c r="A235" i="8"/>
  <c r="B235" i="8"/>
  <c r="C235" i="8"/>
  <c r="A236" i="8"/>
  <c r="C236" i="8" s="1"/>
  <c r="B236" i="8"/>
  <c r="A237" i="8"/>
  <c r="C237" i="8" s="1"/>
  <c r="B237" i="8"/>
  <c r="A238" i="8"/>
  <c r="B238" i="8"/>
  <c r="C238" i="8"/>
  <c r="A239" i="8"/>
  <c r="C239" i="8" s="1"/>
  <c r="B239" i="8"/>
  <c r="A240" i="8"/>
  <c r="C240" i="8" s="1"/>
  <c r="B240" i="8"/>
  <c r="A241" i="8"/>
  <c r="B241" i="8"/>
  <c r="C241" i="8"/>
  <c r="A242" i="8"/>
  <c r="C242" i="8" s="1"/>
  <c r="B242" i="8"/>
  <c r="A243" i="8"/>
  <c r="C243" i="8" s="1"/>
  <c r="B243" i="8"/>
  <c r="A244" i="8"/>
  <c r="C244" i="8" s="1"/>
  <c r="B244" i="8"/>
  <c r="A245" i="8"/>
  <c r="C245" i="8" s="1"/>
  <c r="B245" i="8"/>
  <c r="A246" i="8"/>
  <c r="C246" i="8" s="1"/>
  <c r="B246" i="8"/>
  <c r="A247" i="8"/>
  <c r="C247" i="8" s="1"/>
  <c r="B247" i="8"/>
  <c r="A248" i="8"/>
  <c r="C248" i="8" s="1"/>
  <c r="B248" i="8"/>
  <c r="A249" i="8"/>
  <c r="C249" i="8" s="1"/>
  <c r="B249" i="8"/>
  <c r="A250" i="8"/>
  <c r="C250" i="8" s="1"/>
  <c r="B250" i="8"/>
  <c r="A251" i="8"/>
  <c r="B251" i="8"/>
  <c r="C251" i="8"/>
  <c r="A252" i="8"/>
  <c r="C252" i="8" s="1"/>
  <c r="B252" i="8"/>
  <c r="A253" i="8"/>
  <c r="C253" i="8" s="1"/>
  <c r="B253" i="8"/>
  <c r="A254" i="8"/>
  <c r="B254" i="8"/>
  <c r="C254" i="8"/>
  <c r="A255" i="8"/>
  <c r="C255" i="8" s="1"/>
  <c r="B255" i="8"/>
  <c r="A256" i="8"/>
  <c r="C256" i="8" s="1"/>
  <c r="B256" i="8"/>
  <c r="A257" i="8"/>
  <c r="C257" i="8" s="1"/>
  <c r="B257" i="8"/>
  <c r="A258" i="8"/>
  <c r="C258" i="8" s="1"/>
  <c r="B258" i="8"/>
  <c r="A259" i="8"/>
  <c r="C259" i="8" s="1"/>
  <c r="B259" i="8"/>
  <c r="A260" i="8"/>
  <c r="C260" i="8" s="1"/>
  <c r="B260" i="8"/>
  <c r="A261" i="8"/>
  <c r="C261" i="8" s="1"/>
  <c r="B261" i="8"/>
  <c r="A262" i="8"/>
  <c r="C262" i="8" s="1"/>
  <c r="B262" i="8"/>
  <c r="A263" i="8"/>
  <c r="C263" i="8" s="1"/>
  <c r="B263" i="8"/>
  <c r="A264" i="8"/>
  <c r="C264" i="8" s="1"/>
  <c r="B264" i="8"/>
  <c r="A265" i="8"/>
  <c r="C265" i="8" s="1"/>
  <c r="B265" i="8"/>
  <c r="A266" i="8"/>
  <c r="C266" i="8" s="1"/>
  <c r="B266" i="8"/>
  <c r="A267" i="8"/>
  <c r="C267" i="8" s="1"/>
  <c r="B267" i="8"/>
  <c r="A268" i="8"/>
  <c r="C268" i="8" s="1"/>
  <c r="B268" i="8"/>
  <c r="A269" i="8"/>
  <c r="B269" i="8"/>
  <c r="C269" i="8"/>
  <c r="A270" i="8"/>
  <c r="C270" i="8" s="1"/>
  <c r="B270" i="8"/>
  <c r="A271" i="8"/>
  <c r="C271" i="8" s="1"/>
  <c r="B271" i="8"/>
  <c r="A272" i="8"/>
  <c r="B272" i="8"/>
  <c r="C272" i="8"/>
  <c r="A273" i="8"/>
  <c r="C273" i="8" s="1"/>
  <c r="B273" i="8"/>
  <c r="A274" i="8"/>
  <c r="C274" i="8" s="1"/>
  <c r="B274" i="8"/>
  <c r="A275" i="8"/>
  <c r="C275" i="8" s="1"/>
  <c r="B275" i="8"/>
  <c r="A276" i="8"/>
  <c r="C276" i="8" s="1"/>
  <c r="B276" i="8"/>
  <c r="A277" i="8"/>
  <c r="C277" i="8" s="1"/>
  <c r="B277" i="8"/>
  <c r="A278" i="8"/>
  <c r="C278" i="8" s="1"/>
  <c r="B278" i="8"/>
  <c r="A279" i="8"/>
  <c r="C279" i="8" s="1"/>
  <c r="B279" i="8"/>
  <c r="A280" i="8"/>
  <c r="C280" i="8" s="1"/>
  <c r="B280" i="8"/>
  <c r="A281" i="8"/>
  <c r="C281" i="8" s="1"/>
  <c r="B281" i="8"/>
  <c r="A282" i="8"/>
  <c r="B282" i="8"/>
  <c r="C282" i="8"/>
  <c r="A283" i="8"/>
  <c r="B283" i="8"/>
  <c r="C283" i="8"/>
  <c r="A284" i="8"/>
  <c r="C284" i="8" s="1"/>
  <c r="B284" i="8"/>
  <c r="A285" i="8"/>
  <c r="B285" i="8"/>
  <c r="C285" i="8"/>
  <c r="A286" i="8"/>
  <c r="B286" i="8"/>
  <c r="C286" i="8"/>
  <c r="A287" i="8"/>
  <c r="C287" i="8" s="1"/>
  <c r="B287" i="8"/>
  <c r="A288" i="8"/>
  <c r="B288" i="8"/>
  <c r="C288" i="8"/>
  <c r="A289" i="8"/>
  <c r="B289" i="8"/>
  <c r="C289" i="8"/>
  <c r="A290" i="8"/>
  <c r="C290" i="8" s="1"/>
  <c r="B290" i="8"/>
  <c r="A291" i="8"/>
  <c r="C291" i="8" s="1"/>
  <c r="B291" i="8"/>
  <c r="A292" i="8"/>
  <c r="C292" i="8" s="1"/>
  <c r="B292" i="8"/>
  <c r="A293" i="8"/>
  <c r="C293" i="8" s="1"/>
  <c r="B293" i="8"/>
  <c r="A294" i="8"/>
  <c r="C294" i="8" s="1"/>
  <c r="B294" i="8"/>
  <c r="A295" i="8"/>
  <c r="C295" i="8" s="1"/>
  <c r="B295" i="8"/>
  <c r="A296" i="8"/>
  <c r="C296" i="8" s="1"/>
  <c r="B296" i="8"/>
  <c r="A297" i="8"/>
  <c r="C297" i="8" s="1"/>
  <c r="B297" i="8"/>
  <c r="A298" i="8"/>
  <c r="C298" i="8" s="1"/>
  <c r="B298" i="8"/>
  <c r="A299" i="8"/>
  <c r="B299" i="8"/>
  <c r="C299" i="8"/>
  <c r="A300" i="8"/>
  <c r="C300" i="8" s="1"/>
  <c r="B300" i="8"/>
  <c r="A301" i="8"/>
  <c r="C301" i="8" s="1"/>
  <c r="B301" i="8"/>
  <c r="A302" i="8"/>
  <c r="B302" i="8"/>
  <c r="C302" i="8"/>
  <c r="A303" i="8"/>
  <c r="C303" i="8" s="1"/>
  <c r="B303" i="8"/>
  <c r="A304" i="8"/>
  <c r="C304" i="8" s="1"/>
  <c r="B304" i="8"/>
  <c r="A305" i="8"/>
  <c r="C305" i="8" s="1"/>
  <c r="B305" i="8"/>
  <c r="A306" i="8"/>
  <c r="C306" i="8" s="1"/>
  <c r="B306" i="8"/>
  <c r="A307" i="8"/>
  <c r="C307" i="8" s="1"/>
  <c r="B307" i="8"/>
  <c r="A308" i="8"/>
  <c r="C308" i="8" s="1"/>
  <c r="B308" i="8"/>
  <c r="B9" i="8"/>
  <c r="A9" i="8"/>
  <c r="C9" i="8" s="1"/>
  <c r="D8" i="12" l="1" a="1"/>
  <c r="D8" i="12" s="1"/>
  <c r="D10" i="12" a="1"/>
  <c r="D10" i="12" s="1"/>
  <c r="B19" i="12" a="1"/>
  <c r="B19" i="12" s="1"/>
  <c r="B23" i="12" s="1"/>
  <c r="D7" i="12" a="1"/>
  <c r="D7" i="12" s="1"/>
  <c r="B15" i="12"/>
  <c r="B22" i="12" s="1"/>
  <c r="B24" i="12" s="1"/>
  <c r="B4" i="11"/>
  <c r="B5" i="11"/>
  <c r="B18" i="9"/>
  <c r="F14" i="9"/>
  <c r="F8" i="9"/>
  <c r="B19" i="9"/>
  <c r="B20" i="9" s="1"/>
  <c r="B21" i="9" s="1"/>
  <c r="F12" i="9"/>
  <c r="F9" i="9"/>
  <c r="F10" i="9"/>
  <c r="F11" i="9"/>
  <c r="F13" i="9"/>
  <c r="F7" i="9"/>
  <c r="F15" i="9"/>
  <c r="H10" i="8"/>
  <c r="H11" i="8" s="1"/>
  <c r="H13" i="8" s="1"/>
  <c r="H15" i="8" s="1"/>
  <c r="H9" i="8"/>
  <c r="H12" i="8" s="1"/>
  <c r="B25" i="12" l="1"/>
  <c r="B26" i="12" s="1"/>
  <c r="B28" i="12" s="1"/>
  <c r="B25" i="9"/>
  <c r="B26" i="9" s="1"/>
  <c r="B27" i="9" s="1"/>
  <c r="B29" i="9" s="1"/>
  <c r="B24" i="9"/>
  <c r="L12" i="7" l="1"/>
  <c r="L13" i="7"/>
  <c r="K12" i="7"/>
  <c r="K13" i="7"/>
  <c r="J13" i="7"/>
  <c r="J12" i="7"/>
  <c r="B12" i="7"/>
  <c r="C12" i="7"/>
  <c r="B13" i="7"/>
  <c r="C13" i="7"/>
  <c r="B14" i="7"/>
  <c r="C14" i="7"/>
  <c r="B15" i="7"/>
  <c r="C15" i="7"/>
  <c r="B16" i="7"/>
  <c r="C16" i="7"/>
  <c r="B17" i="7"/>
  <c r="C17" i="7"/>
  <c r="B18" i="7"/>
  <c r="C18" i="7"/>
  <c r="B19" i="7"/>
  <c r="C19" i="7"/>
  <c r="B20" i="7"/>
  <c r="C20" i="7"/>
  <c r="B21" i="7"/>
  <c r="C21" i="7"/>
  <c r="B22" i="7"/>
  <c r="C22" i="7"/>
  <c r="B23" i="7"/>
  <c r="C23" i="7"/>
  <c r="B24" i="7"/>
  <c r="C24" i="7"/>
  <c r="B25" i="7"/>
  <c r="C25" i="7"/>
  <c r="B26" i="7"/>
  <c r="C26" i="7"/>
  <c r="B27" i="7"/>
  <c r="C27" i="7"/>
  <c r="B28" i="7"/>
  <c r="C28" i="7"/>
  <c r="B29" i="7"/>
  <c r="C29" i="7"/>
  <c r="B30" i="7"/>
  <c r="C30" i="7"/>
  <c r="B31" i="7"/>
  <c r="C31" i="7"/>
  <c r="B32" i="7"/>
  <c r="C32" i="7"/>
  <c r="B33" i="7"/>
  <c r="C33" i="7"/>
  <c r="B34" i="7"/>
  <c r="C34" i="7"/>
  <c r="B35" i="7"/>
  <c r="C35" i="7"/>
  <c r="B36" i="7"/>
  <c r="C36" i="7"/>
  <c r="B37" i="7"/>
  <c r="C37" i="7"/>
  <c r="B38" i="7"/>
  <c r="C38" i="7"/>
  <c r="B39" i="7"/>
  <c r="C39" i="7"/>
  <c r="B40" i="7"/>
  <c r="C40" i="7"/>
  <c r="B41" i="7"/>
  <c r="C41" i="7"/>
  <c r="B42" i="7"/>
  <c r="C42" i="7"/>
  <c r="B43" i="7"/>
  <c r="C43" i="7"/>
  <c r="B44" i="7"/>
  <c r="C44" i="7"/>
  <c r="B45" i="7"/>
  <c r="C45" i="7"/>
  <c r="B46" i="7"/>
  <c r="C46" i="7"/>
  <c r="B47" i="7"/>
  <c r="C47" i="7"/>
  <c r="B48" i="7"/>
  <c r="C48" i="7"/>
  <c r="B49" i="7"/>
  <c r="C49" i="7"/>
  <c r="B50" i="7"/>
  <c r="C50" i="7"/>
  <c r="B51" i="7"/>
  <c r="C51" i="7"/>
  <c r="B52" i="7"/>
  <c r="C52" i="7"/>
  <c r="B53" i="7"/>
  <c r="C53" i="7"/>
  <c r="B54" i="7"/>
  <c r="C54" i="7"/>
  <c r="B55" i="7"/>
  <c r="C55" i="7"/>
  <c r="B56" i="7"/>
  <c r="C56" i="7"/>
  <c r="B57" i="7"/>
  <c r="C57" i="7"/>
  <c r="B58" i="7"/>
  <c r="C58" i="7"/>
  <c r="B59" i="7"/>
  <c r="C59" i="7"/>
  <c r="B60" i="7"/>
  <c r="C60" i="7"/>
  <c r="B61" i="7"/>
  <c r="C61" i="7"/>
  <c r="B62" i="7"/>
  <c r="C62" i="7"/>
  <c r="B63" i="7"/>
  <c r="C63" i="7"/>
  <c r="B64" i="7"/>
  <c r="C64" i="7"/>
  <c r="B65" i="7"/>
  <c r="C65" i="7"/>
  <c r="B66" i="7"/>
  <c r="C66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B85" i="7"/>
  <c r="C85" i="7"/>
  <c r="B86" i="7"/>
  <c r="C86" i="7"/>
  <c r="B87" i="7"/>
  <c r="C87" i="7"/>
  <c r="B88" i="7"/>
  <c r="C88" i="7"/>
  <c r="B89" i="7"/>
  <c r="C89" i="7"/>
  <c r="B90" i="7"/>
  <c r="C90" i="7"/>
  <c r="B91" i="7"/>
  <c r="C91" i="7"/>
  <c r="B92" i="7"/>
  <c r="C92" i="7"/>
  <c r="B93" i="7"/>
  <c r="C93" i="7"/>
  <c r="B94" i="7"/>
  <c r="C94" i="7"/>
  <c r="B95" i="7"/>
  <c r="C95" i="7"/>
  <c r="B96" i="7"/>
  <c r="C96" i="7"/>
  <c r="B97" i="7"/>
  <c r="C97" i="7"/>
  <c r="B98" i="7"/>
  <c r="C98" i="7"/>
  <c r="B99" i="7"/>
  <c r="C99" i="7"/>
  <c r="B100" i="7"/>
  <c r="C100" i="7"/>
  <c r="B101" i="7"/>
  <c r="C101" i="7"/>
  <c r="B102" i="7"/>
  <c r="C102" i="7"/>
  <c r="B103" i="7"/>
  <c r="C103" i="7"/>
  <c r="B104" i="7"/>
  <c r="C104" i="7"/>
  <c r="B105" i="7"/>
  <c r="C105" i="7"/>
  <c r="B106" i="7"/>
  <c r="C106" i="7"/>
  <c r="B107" i="7"/>
  <c r="C107" i="7"/>
  <c r="B108" i="7"/>
  <c r="C108" i="7"/>
  <c r="B109" i="7"/>
  <c r="C109" i="7"/>
  <c r="B110" i="7"/>
  <c r="C110" i="7"/>
  <c r="B111" i="7"/>
  <c r="C111" i="7"/>
  <c r="B112" i="7"/>
  <c r="C112" i="7"/>
  <c r="B113" i="7"/>
  <c r="C113" i="7"/>
  <c r="B114" i="7"/>
  <c r="C114" i="7"/>
  <c r="B115" i="7"/>
  <c r="C115" i="7"/>
  <c r="B116" i="7"/>
  <c r="C116" i="7"/>
  <c r="B117" i="7"/>
  <c r="C117" i="7"/>
  <c r="B118" i="7"/>
  <c r="C118" i="7"/>
  <c r="B119" i="7"/>
  <c r="C119" i="7"/>
  <c r="B120" i="7"/>
  <c r="C120" i="7"/>
  <c r="B121" i="7"/>
  <c r="C121" i="7"/>
  <c r="B122" i="7"/>
  <c r="C122" i="7"/>
  <c r="B123" i="7"/>
  <c r="C123" i="7"/>
  <c r="B124" i="7"/>
  <c r="C124" i="7"/>
  <c r="B125" i="7"/>
  <c r="C125" i="7"/>
  <c r="B126" i="7"/>
  <c r="C126" i="7"/>
  <c r="B127" i="7"/>
  <c r="C127" i="7"/>
  <c r="B128" i="7"/>
  <c r="C128" i="7"/>
  <c r="B129" i="7"/>
  <c r="C129" i="7"/>
  <c r="B130" i="7"/>
  <c r="C130" i="7"/>
  <c r="B131" i="7"/>
  <c r="C131" i="7"/>
  <c r="B132" i="7"/>
  <c r="C132" i="7"/>
  <c r="B133" i="7"/>
  <c r="C133" i="7"/>
  <c r="B134" i="7"/>
  <c r="C134" i="7"/>
  <c r="B135" i="7"/>
  <c r="C135" i="7"/>
  <c r="B136" i="7"/>
  <c r="C136" i="7"/>
  <c r="B137" i="7"/>
  <c r="C137" i="7"/>
  <c r="B138" i="7"/>
  <c r="C138" i="7"/>
  <c r="B139" i="7"/>
  <c r="C139" i="7"/>
  <c r="B140" i="7"/>
  <c r="C140" i="7"/>
  <c r="B141" i="7"/>
  <c r="C141" i="7"/>
  <c r="B142" i="7"/>
  <c r="C142" i="7"/>
  <c r="B143" i="7"/>
  <c r="C143" i="7"/>
  <c r="B144" i="7"/>
  <c r="C144" i="7"/>
  <c r="B145" i="7"/>
  <c r="C145" i="7"/>
  <c r="B146" i="7"/>
  <c r="C146" i="7"/>
  <c r="B147" i="7"/>
  <c r="C147" i="7"/>
  <c r="B148" i="7"/>
  <c r="C148" i="7"/>
  <c r="B149" i="7"/>
  <c r="C149" i="7"/>
  <c r="B150" i="7"/>
  <c r="C150" i="7"/>
  <c r="B151" i="7"/>
  <c r="C151" i="7"/>
  <c r="B152" i="7"/>
  <c r="C152" i="7"/>
  <c r="B153" i="7"/>
  <c r="C153" i="7"/>
  <c r="B154" i="7"/>
  <c r="C154" i="7"/>
  <c r="B155" i="7"/>
  <c r="C155" i="7"/>
  <c r="B156" i="7"/>
  <c r="C156" i="7"/>
  <c r="B157" i="7"/>
  <c r="C157" i="7"/>
  <c r="B158" i="7"/>
  <c r="C158" i="7"/>
  <c r="B159" i="7"/>
  <c r="C159" i="7"/>
  <c r="B160" i="7"/>
  <c r="C160" i="7"/>
  <c r="B161" i="7"/>
  <c r="C161" i="7"/>
  <c r="B162" i="7"/>
  <c r="C162" i="7"/>
  <c r="B163" i="7"/>
  <c r="C163" i="7"/>
  <c r="B164" i="7"/>
  <c r="C164" i="7"/>
  <c r="B165" i="7"/>
  <c r="C165" i="7"/>
  <c r="B166" i="7"/>
  <c r="C166" i="7"/>
  <c r="B167" i="7"/>
  <c r="C167" i="7"/>
  <c r="B168" i="7"/>
  <c r="C168" i="7"/>
  <c r="B169" i="7"/>
  <c r="C169" i="7"/>
  <c r="B170" i="7"/>
  <c r="C170" i="7"/>
  <c r="B171" i="7"/>
  <c r="C171" i="7"/>
  <c r="B172" i="7"/>
  <c r="C172" i="7"/>
  <c r="B173" i="7"/>
  <c r="C173" i="7"/>
  <c r="B174" i="7"/>
  <c r="C174" i="7"/>
  <c r="B175" i="7"/>
  <c r="C175" i="7"/>
  <c r="B176" i="7"/>
  <c r="C176" i="7"/>
  <c r="B177" i="7"/>
  <c r="C177" i="7"/>
  <c r="B178" i="7"/>
  <c r="C178" i="7"/>
  <c r="B179" i="7"/>
  <c r="C179" i="7"/>
  <c r="B180" i="7"/>
  <c r="C180" i="7"/>
  <c r="B181" i="7"/>
  <c r="C181" i="7"/>
  <c r="B182" i="7"/>
  <c r="C182" i="7"/>
  <c r="B183" i="7"/>
  <c r="C183" i="7"/>
  <c r="B184" i="7"/>
  <c r="C184" i="7"/>
  <c r="B185" i="7"/>
  <c r="C185" i="7"/>
  <c r="B186" i="7"/>
  <c r="C186" i="7"/>
  <c r="B187" i="7"/>
  <c r="C187" i="7"/>
  <c r="B188" i="7"/>
  <c r="C188" i="7"/>
  <c r="B189" i="7"/>
  <c r="C189" i="7"/>
  <c r="B190" i="7"/>
  <c r="C190" i="7"/>
  <c r="B191" i="7"/>
  <c r="C191" i="7"/>
  <c r="B192" i="7"/>
  <c r="C192" i="7"/>
  <c r="B193" i="7"/>
  <c r="C193" i="7"/>
  <c r="B194" i="7"/>
  <c r="C194" i="7"/>
  <c r="B195" i="7"/>
  <c r="C195" i="7"/>
  <c r="B196" i="7"/>
  <c r="C196" i="7"/>
  <c r="B197" i="7"/>
  <c r="C197" i="7"/>
  <c r="B198" i="7"/>
  <c r="C198" i="7"/>
  <c r="B199" i="7"/>
  <c r="C199" i="7"/>
  <c r="B200" i="7"/>
  <c r="C200" i="7"/>
  <c r="B201" i="7"/>
  <c r="C201" i="7"/>
  <c r="B202" i="7"/>
  <c r="C202" i="7"/>
  <c r="B203" i="7"/>
  <c r="C203" i="7"/>
  <c r="B204" i="7"/>
  <c r="C204" i="7"/>
  <c r="B205" i="7"/>
  <c r="C205" i="7"/>
  <c r="B206" i="7"/>
  <c r="C206" i="7"/>
  <c r="B207" i="7"/>
  <c r="C207" i="7"/>
  <c r="B208" i="7"/>
  <c r="C208" i="7"/>
  <c r="B209" i="7"/>
  <c r="C209" i="7"/>
  <c r="B210" i="7"/>
  <c r="C210" i="7"/>
  <c r="B211" i="7"/>
  <c r="C211" i="7"/>
  <c r="B212" i="7"/>
  <c r="C212" i="7"/>
  <c r="B213" i="7"/>
  <c r="C213" i="7"/>
  <c r="B214" i="7"/>
  <c r="C214" i="7"/>
  <c r="B215" i="7"/>
  <c r="C215" i="7"/>
  <c r="B216" i="7"/>
  <c r="C216" i="7"/>
  <c r="B217" i="7"/>
  <c r="C217" i="7"/>
  <c r="B218" i="7"/>
  <c r="C218" i="7"/>
  <c r="B219" i="7"/>
  <c r="C219" i="7"/>
  <c r="B220" i="7"/>
  <c r="C220" i="7"/>
  <c r="B221" i="7"/>
  <c r="C221" i="7"/>
  <c r="B222" i="7"/>
  <c r="C222" i="7"/>
  <c r="B223" i="7"/>
  <c r="C223" i="7"/>
  <c r="B224" i="7"/>
  <c r="C224" i="7"/>
  <c r="B225" i="7"/>
  <c r="C225" i="7"/>
  <c r="B226" i="7"/>
  <c r="C226" i="7"/>
  <c r="B227" i="7"/>
  <c r="C227" i="7"/>
  <c r="B228" i="7"/>
  <c r="C228" i="7"/>
  <c r="B229" i="7"/>
  <c r="C229" i="7"/>
  <c r="B230" i="7"/>
  <c r="C230" i="7"/>
  <c r="B231" i="7"/>
  <c r="C231" i="7"/>
  <c r="B232" i="7"/>
  <c r="C232" i="7"/>
  <c r="B233" i="7"/>
  <c r="C233" i="7"/>
  <c r="B234" i="7"/>
  <c r="C234" i="7"/>
  <c r="B235" i="7"/>
  <c r="C235" i="7"/>
  <c r="B236" i="7"/>
  <c r="C236" i="7"/>
  <c r="B237" i="7"/>
  <c r="C237" i="7"/>
  <c r="B238" i="7"/>
  <c r="C238" i="7"/>
  <c r="B239" i="7"/>
  <c r="C239" i="7"/>
  <c r="B240" i="7"/>
  <c r="C240" i="7"/>
  <c r="B241" i="7"/>
  <c r="C241" i="7"/>
  <c r="B242" i="7"/>
  <c r="C242" i="7"/>
  <c r="B243" i="7"/>
  <c r="C243" i="7"/>
  <c r="B244" i="7"/>
  <c r="C244" i="7"/>
  <c r="B245" i="7"/>
  <c r="C245" i="7"/>
  <c r="B246" i="7"/>
  <c r="C246" i="7"/>
  <c r="B247" i="7"/>
  <c r="C247" i="7"/>
  <c r="B248" i="7"/>
  <c r="C248" i="7"/>
  <c r="B249" i="7"/>
  <c r="C249" i="7"/>
  <c r="B250" i="7"/>
  <c r="C250" i="7"/>
  <c r="B251" i="7"/>
  <c r="C251" i="7"/>
  <c r="B252" i="7"/>
  <c r="C252" i="7"/>
  <c r="B253" i="7"/>
  <c r="C253" i="7"/>
  <c r="B254" i="7"/>
  <c r="C254" i="7"/>
  <c r="B255" i="7"/>
  <c r="C255" i="7"/>
  <c r="B256" i="7"/>
  <c r="C256" i="7"/>
  <c r="B257" i="7"/>
  <c r="C257" i="7"/>
  <c r="B258" i="7"/>
  <c r="C258" i="7"/>
  <c r="B259" i="7"/>
  <c r="C259" i="7"/>
  <c r="B260" i="7"/>
  <c r="C260" i="7"/>
  <c r="B261" i="7"/>
  <c r="C261" i="7"/>
  <c r="B262" i="7"/>
  <c r="C262" i="7"/>
  <c r="B263" i="7"/>
  <c r="C263" i="7"/>
  <c r="B264" i="7"/>
  <c r="C264" i="7"/>
  <c r="B265" i="7"/>
  <c r="C265" i="7"/>
  <c r="B266" i="7"/>
  <c r="C266" i="7"/>
  <c r="B267" i="7"/>
  <c r="C267" i="7"/>
  <c r="B268" i="7"/>
  <c r="C268" i="7"/>
  <c r="B269" i="7"/>
  <c r="C269" i="7"/>
  <c r="B270" i="7"/>
  <c r="C270" i="7"/>
  <c r="B271" i="7"/>
  <c r="C271" i="7"/>
  <c r="B272" i="7"/>
  <c r="C272" i="7"/>
  <c r="B273" i="7"/>
  <c r="C273" i="7"/>
  <c r="B274" i="7"/>
  <c r="C274" i="7"/>
  <c r="B275" i="7"/>
  <c r="C275" i="7"/>
  <c r="B276" i="7"/>
  <c r="C276" i="7"/>
  <c r="B277" i="7"/>
  <c r="C277" i="7"/>
  <c r="B278" i="7"/>
  <c r="C278" i="7"/>
  <c r="B279" i="7"/>
  <c r="C279" i="7"/>
  <c r="B280" i="7"/>
  <c r="C280" i="7"/>
  <c r="B281" i="7"/>
  <c r="C281" i="7"/>
  <c r="B282" i="7"/>
  <c r="C282" i="7"/>
  <c r="B283" i="7"/>
  <c r="C283" i="7"/>
  <c r="B284" i="7"/>
  <c r="C284" i="7"/>
  <c r="B285" i="7"/>
  <c r="C285" i="7"/>
  <c r="B286" i="7"/>
  <c r="C286" i="7"/>
  <c r="B287" i="7"/>
  <c r="C287" i="7"/>
  <c r="B288" i="7"/>
  <c r="C288" i="7"/>
  <c r="B289" i="7"/>
  <c r="C289" i="7"/>
  <c r="B290" i="7"/>
  <c r="C290" i="7"/>
  <c r="B291" i="7"/>
  <c r="C291" i="7"/>
  <c r="B292" i="7"/>
  <c r="C292" i="7"/>
  <c r="B293" i="7"/>
  <c r="C293" i="7"/>
  <c r="B294" i="7"/>
  <c r="C294" i="7"/>
  <c r="B295" i="7"/>
  <c r="C295" i="7"/>
  <c r="B296" i="7"/>
  <c r="C296" i="7"/>
  <c r="B297" i="7"/>
  <c r="C297" i="7"/>
  <c r="B298" i="7"/>
  <c r="C298" i="7"/>
  <c r="B299" i="7"/>
  <c r="C299" i="7"/>
  <c r="B300" i="7"/>
  <c r="C300" i="7"/>
  <c r="B301" i="7"/>
  <c r="C301" i="7"/>
  <c r="B302" i="7"/>
  <c r="C302" i="7"/>
  <c r="B303" i="7"/>
  <c r="C303" i="7"/>
  <c r="B304" i="7"/>
  <c r="C304" i="7"/>
  <c r="B305" i="7"/>
  <c r="C305" i="7"/>
  <c r="B306" i="7"/>
  <c r="C306" i="7"/>
  <c r="B307" i="7"/>
  <c r="C307" i="7"/>
  <c r="B308" i="7"/>
  <c r="C308" i="7"/>
  <c r="B309" i="7"/>
  <c r="C309" i="7"/>
  <c r="B310" i="7"/>
  <c r="C310" i="7"/>
  <c r="B311" i="7"/>
  <c r="C311" i="7"/>
  <c r="B312" i="7"/>
  <c r="C312" i="7"/>
  <c r="B313" i="7"/>
  <c r="C313" i="7"/>
  <c r="B314" i="7"/>
  <c r="C314" i="7"/>
  <c r="B315" i="7"/>
  <c r="C315" i="7"/>
  <c r="B316" i="7"/>
  <c r="C316" i="7"/>
  <c r="B317" i="7"/>
  <c r="C317" i="7"/>
  <c r="B318" i="7"/>
  <c r="C318" i="7"/>
  <c r="B319" i="7"/>
  <c r="C319" i="7"/>
  <c r="B320" i="7"/>
  <c r="C320" i="7"/>
  <c r="B321" i="7"/>
  <c r="C321" i="7"/>
  <c r="B322" i="7"/>
  <c r="C322" i="7"/>
  <c r="B323" i="7"/>
  <c r="C323" i="7"/>
  <c r="B324" i="7"/>
  <c r="C324" i="7"/>
  <c r="B325" i="7"/>
  <c r="C325" i="7"/>
  <c r="B326" i="7"/>
  <c r="C326" i="7"/>
  <c r="B327" i="7"/>
  <c r="C327" i="7"/>
  <c r="B328" i="7"/>
  <c r="C328" i="7"/>
  <c r="B329" i="7"/>
  <c r="C329" i="7"/>
  <c r="B330" i="7"/>
  <c r="C330" i="7"/>
  <c r="B331" i="7"/>
  <c r="C331" i="7"/>
  <c r="B332" i="7"/>
  <c r="C332" i="7"/>
  <c r="B333" i="7"/>
  <c r="C333" i="7"/>
  <c r="B334" i="7"/>
  <c r="C334" i="7"/>
  <c r="B335" i="7"/>
  <c r="C335" i="7"/>
  <c r="B336" i="7"/>
  <c r="C336" i="7"/>
  <c r="B337" i="7"/>
  <c r="C337" i="7"/>
  <c r="B338" i="7"/>
  <c r="C338" i="7"/>
  <c r="B339" i="7"/>
  <c r="C339" i="7"/>
  <c r="B340" i="7"/>
  <c r="C340" i="7"/>
  <c r="B341" i="7"/>
  <c r="C341" i="7"/>
  <c r="B342" i="7"/>
  <c r="C342" i="7"/>
  <c r="B343" i="7"/>
  <c r="C343" i="7"/>
  <c r="B344" i="7"/>
  <c r="C344" i="7"/>
  <c r="B345" i="7"/>
  <c r="C345" i="7"/>
  <c r="B346" i="7"/>
  <c r="C346" i="7"/>
  <c r="B347" i="7"/>
  <c r="C347" i="7"/>
  <c r="B348" i="7"/>
  <c r="C348" i="7"/>
  <c r="B349" i="7"/>
  <c r="C349" i="7"/>
  <c r="B350" i="7"/>
  <c r="C350" i="7"/>
  <c r="B351" i="7"/>
  <c r="C351" i="7"/>
  <c r="B352" i="7"/>
  <c r="C352" i="7"/>
  <c r="B353" i="7"/>
  <c r="C353" i="7"/>
  <c r="B354" i="7"/>
  <c r="C354" i="7"/>
  <c r="B355" i="7"/>
  <c r="C355" i="7"/>
  <c r="B356" i="7"/>
  <c r="C356" i="7"/>
  <c r="B357" i="7"/>
  <c r="C357" i="7"/>
  <c r="B358" i="7"/>
  <c r="C358" i="7"/>
  <c r="B359" i="7"/>
  <c r="C359" i="7"/>
  <c r="B360" i="7"/>
  <c r="C360" i="7"/>
  <c r="B361" i="7"/>
  <c r="C361" i="7"/>
  <c r="B362" i="7"/>
  <c r="C362" i="7"/>
  <c r="B363" i="7"/>
  <c r="C363" i="7"/>
  <c r="B364" i="7"/>
  <c r="C364" i="7"/>
  <c r="B365" i="7"/>
  <c r="C365" i="7"/>
  <c r="B366" i="7"/>
  <c r="C366" i="7"/>
  <c r="B367" i="7"/>
  <c r="C367" i="7"/>
  <c r="B368" i="7"/>
  <c r="C368" i="7"/>
  <c r="B369" i="7"/>
  <c r="C369" i="7"/>
  <c r="B370" i="7"/>
  <c r="C370" i="7"/>
  <c r="B371" i="7"/>
  <c r="C371" i="7"/>
  <c r="B372" i="7"/>
  <c r="C372" i="7"/>
  <c r="B373" i="7"/>
  <c r="C373" i="7"/>
  <c r="B374" i="7"/>
  <c r="C374" i="7"/>
  <c r="B375" i="7"/>
  <c r="C375" i="7"/>
  <c r="B376" i="7"/>
  <c r="C376" i="7"/>
  <c r="B377" i="7"/>
  <c r="C377" i="7"/>
  <c r="B378" i="7"/>
  <c r="C378" i="7"/>
  <c r="B379" i="7"/>
  <c r="C379" i="7"/>
  <c r="B380" i="7"/>
  <c r="C380" i="7"/>
  <c r="B381" i="7"/>
  <c r="C381" i="7"/>
  <c r="B382" i="7"/>
  <c r="C382" i="7"/>
  <c r="B383" i="7"/>
  <c r="C383" i="7"/>
  <c r="B384" i="7"/>
  <c r="C384" i="7"/>
  <c r="B385" i="7"/>
  <c r="C385" i="7"/>
  <c r="B386" i="7"/>
  <c r="C386" i="7"/>
  <c r="B387" i="7"/>
  <c r="C387" i="7"/>
  <c r="B388" i="7"/>
  <c r="C388" i="7"/>
  <c r="B389" i="7"/>
  <c r="C389" i="7"/>
  <c r="B390" i="7"/>
  <c r="C390" i="7"/>
  <c r="B391" i="7"/>
  <c r="C391" i="7"/>
  <c r="B392" i="7"/>
  <c r="C392" i="7"/>
  <c r="B393" i="7"/>
  <c r="C393" i="7"/>
  <c r="B394" i="7"/>
  <c r="C394" i="7"/>
  <c r="B395" i="7"/>
  <c r="C395" i="7"/>
  <c r="B396" i="7"/>
  <c r="C396" i="7"/>
  <c r="B397" i="7"/>
  <c r="C397" i="7"/>
  <c r="B398" i="7"/>
  <c r="C398" i="7"/>
  <c r="B399" i="7"/>
  <c r="C399" i="7"/>
  <c r="B400" i="7"/>
  <c r="C400" i="7"/>
  <c r="B401" i="7"/>
  <c r="C401" i="7"/>
  <c r="B402" i="7"/>
  <c r="C402" i="7"/>
  <c r="B403" i="7"/>
  <c r="C403" i="7"/>
  <c r="B404" i="7"/>
  <c r="C404" i="7"/>
  <c r="B405" i="7"/>
  <c r="C405" i="7"/>
  <c r="B406" i="7"/>
  <c r="C406" i="7"/>
  <c r="B407" i="7"/>
  <c r="C407" i="7"/>
  <c r="B408" i="7"/>
  <c r="C408" i="7"/>
  <c r="B409" i="7"/>
  <c r="C409" i="7"/>
  <c r="B410" i="7"/>
  <c r="C410" i="7"/>
  <c r="B411" i="7"/>
  <c r="C411" i="7"/>
  <c r="B412" i="7"/>
  <c r="C412" i="7"/>
  <c r="B413" i="7"/>
  <c r="C413" i="7"/>
  <c r="B414" i="7"/>
  <c r="C414" i="7"/>
  <c r="B415" i="7"/>
  <c r="C415" i="7"/>
  <c r="B416" i="7"/>
  <c r="C416" i="7"/>
  <c r="B417" i="7"/>
  <c r="C417" i="7"/>
  <c r="B418" i="7"/>
  <c r="C418" i="7"/>
  <c r="B419" i="7"/>
  <c r="C419" i="7"/>
  <c r="B420" i="7"/>
  <c r="C420" i="7"/>
  <c r="B421" i="7"/>
  <c r="C421" i="7"/>
  <c r="B422" i="7"/>
  <c r="C422" i="7"/>
  <c r="B423" i="7"/>
  <c r="C423" i="7"/>
  <c r="B424" i="7"/>
  <c r="C424" i="7"/>
  <c r="B425" i="7"/>
  <c r="C425" i="7"/>
  <c r="B426" i="7"/>
  <c r="C426" i="7"/>
  <c r="B427" i="7"/>
  <c r="C427" i="7"/>
  <c r="B428" i="7"/>
  <c r="C428" i="7"/>
  <c r="B429" i="7"/>
  <c r="C429" i="7"/>
  <c r="B430" i="7"/>
  <c r="C430" i="7"/>
  <c r="B431" i="7"/>
  <c r="C431" i="7"/>
  <c r="B432" i="7"/>
  <c r="C432" i="7"/>
  <c r="B433" i="7"/>
  <c r="C433" i="7"/>
  <c r="B434" i="7"/>
  <c r="C434" i="7"/>
  <c r="B435" i="7"/>
  <c r="C435" i="7"/>
  <c r="B436" i="7"/>
  <c r="C436" i="7"/>
  <c r="B437" i="7"/>
  <c r="C437" i="7"/>
  <c r="B438" i="7"/>
  <c r="C438" i="7"/>
  <c r="B439" i="7"/>
  <c r="C439" i="7"/>
  <c r="B440" i="7"/>
  <c r="C440" i="7"/>
  <c r="B441" i="7"/>
  <c r="C441" i="7"/>
  <c r="B442" i="7"/>
  <c r="C442" i="7"/>
  <c r="B443" i="7"/>
  <c r="C443" i="7"/>
  <c r="B444" i="7"/>
  <c r="C444" i="7"/>
  <c r="B445" i="7"/>
  <c r="C445" i="7"/>
  <c r="B446" i="7"/>
  <c r="C446" i="7"/>
  <c r="B447" i="7"/>
  <c r="C447" i="7"/>
  <c r="B448" i="7"/>
  <c r="C448" i="7"/>
  <c r="B449" i="7"/>
  <c r="C449" i="7"/>
  <c r="B450" i="7"/>
  <c r="C450" i="7"/>
  <c r="B451" i="7"/>
  <c r="C451" i="7"/>
  <c r="B452" i="7"/>
  <c r="C452" i="7"/>
  <c r="B453" i="7"/>
  <c r="C453" i="7"/>
  <c r="B454" i="7"/>
  <c r="C454" i="7"/>
  <c r="B455" i="7"/>
  <c r="C455" i="7"/>
  <c r="B456" i="7"/>
  <c r="C456" i="7"/>
  <c r="B457" i="7"/>
  <c r="C457" i="7"/>
  <c r="B458" i="7"/>
  <c r="C458" i="7"/>
  <c r="B459" i="7"/>
  <c r="C459" i="7"/>
  <c r="B460" i="7"/>
  <c r="C460" i="7"/>
  <c r="B461" i="7"/>
  <c r="C461" i="7"/>
  <c r="B462" i="7"/>
  <c r="C462" i="7"/>
  <c r="B463" i="7"/>
  <c r="C463" i="7"/>
  <c r="B464" i="7"/>
  <c r="C464" i="7"/>
  <c r="B465" i="7"/>
  <c r="C465" i="7"/>
  <c r="B466" i="7"/>
  <c r="C466" i="7"/>
  <c r="B467" i="7"/>
  <c r="C467" i="7"/>
  <c r="B468" i="7"/>
  <c r="C468" i="7"/>
  <c r="B469" i="7"/>
  <c r="C469" i="7"/>
  <c r="B470" i="7"/>
  <c r="C470" i="7"/>
  <c r="B471" i="7"/>
  <c r="C471" i="7"/>
  <c r="B472" i="7"/>
  <c r="C472" i="7"/>
  <c r="B473" i="7"/>
  <c r="C473" i="7"/>
  <c r="B474" i="7"/>
  <c r="C474" i="7"/>
  <c r="B475" i="7"/>
  <c r="C475" i="7"/>
  <c r="B476" i="7"/>
  <c r="C476" i="7"/>
  <c r="B477" i="7"/>
  <c r="C477" i="7"/>
  <c r="B478" i="7"/>
  <c r="C478" i="7"/>
  <c r="B479" i="7"/>
  <c r="C479" i="7"/>
  <c r="B480" i="7"/>
  <c r="C480" i="7"/>
  <c r="B481" i="7"/>
  <c r="C481" i="7"/>
  <c r="B482" i="7"/>
  <c r="C482" i="7"/>
  <c r="B483" i="7"/>
  <c r="C483" i="7"/>
  <c r="B484" i="7"/>
  <c r="C484" i="7"/>
  <c r="B485" i="7"/>
  <c r="C485" i="7"/>
  <c r="B486" i="7"/>
  <c r="C486" i="7"/>
  <c r="B487" i="7"/>
  <c r="C487" i="7"/>
  <c r="B488" i="7"/>
  <c r="C488" i="7"/>
  <c r="B489" i="7"/>
  <c r="C489" i="7"/>
  <c r="B490" i="7"/>
  <c r="C490" i="7"/>
  <c r="B491" i="7"/>
  <c r="C491" i="7"/>
  <c r="B492" i="7"/>
  <c r="C492" i="7"/>
  <c r="B493" i="7"/>
  <c r="C493" i="7"/>
  <c r="B494" i="7"/>
  <c r="C494" i="7"/>
  <c r="B495" i="7"/>
  <c r="C495" i="7"/>
  <c r="B496" i="7"/>
  <c r="C496" i="7"/>
  <c r="B497" i="7"/>
  <c r="C497" i="7"/>
  <c r="B498" i="7"/>
  <c r="C498" i="7"/>
  <c r="B499" i="7"/>
  <c r="C499" i="7"/>
  <c r="B500" i="7"/>
  <c r="C500" i="7"/>
  <c r="B501" i="7"/>
  <c r="C501" i="7"/>
  <c r="B502" i="7"/>
  <c r="C502" i="7"/>
  <c r="B503" i="7"/>
  <c r="C503" i="7"/>
  <c r="B504" i="7"/>
  <c r="C504" i="7"/>
  <c r="B505" i="7"/>
  <c r="C505" i="7"/>
  <c r="B506" i="7"/>
  <c r="C506" i="7"/>
  <c r="B507" i="7"/>
  <c r="C507" i="7"/>
  <c r="B508" i="7"/>
  <c r="C508" i="7"/>
  <c r="B509" i="7"/>
  <c r="C509" i="7"/>
  <c r="B510" i="7"/>
  <c r="C510" i="7"/>
  <c r="B511" i="7"/>
  <c r="C511" i="7"/>
  <c r="B512" i="7"/>
  <c r="C512" i="7"/>
  <c r="B513" i="7"/>
  <c r="C513" i="7"/>
  <c r="B514" i="7"/>
  <c r="C514" i="7"/>
  <c r="B515" i="7"/>
  <c r="C515" i="7"/>
  <c r="B516" i="7"/>
  <c r="C516" i="7"/>
  <c r="B517" i="7"/>
  <c r="C517" i="7"/>
  <c r="B518" i="7"/>
  <c r="C518" i="7"/>
  <c r="B519" i="7"/>
  <c r="C519" i="7"/>
  <c r="B520" i="7"/>
  <c r="C520" i="7"/>
  <c r="B521" i="7"/>
  <c r="C521" i="7"/>
  <c r="B522" i="7"/>
  <c r="C522" i="7"/>
  <c r="B523" i="7"/>
  <c r="C523" i="7"/>
  <c r="B524" i="7"/>
  <c r="C524" i="7"/>
  <c r="B525" i="7"/>
  <c r="C525" i="7"/>
  <c r="B526" i="7"/>
  <c r="C526" i="7"/>
  <c r="B527" i="7"/>
  <c r="C527" i="7"/>
  <c r="B528" i="7"/>
  <c r="C528" i="7"/>
  <c r="B529" i="7"/>
  <c r="C529" i="7"/>
  <c r="B530" i="7"/>
  <c r="C530" i="7"/>
  <c r="B531" i="7"/>
  <c r="C531" i="7"/>
  <c r="B532" i="7"/>
  <c r="C532" i="7"/>
  <c r="B533" i="7"/>
  <c r="C533" i="7"/>
  <c r="B534" i="7"/>
  <c r="C534" i="7"/>
  <c r="B535" i="7"/>
  <c r="C535" i="7"/>
  <c r="B536" i="7"/>
  <c r="C536" i="7"/>
  <c r="B537" i="7"/>
  <c r="C537" i="7"/>
  <c r="B538" i="7"/>
  <c r="C538" i="7"/>
  <c r="B539" i="7"/>
  <c r="C539" i="7"/>
  <c r="B540" i="7"/>
  <c r="C540" i="7"/>
  <c r="B541" i="7"/>
  <c r="C541" i="7"/>
  <c r="B542" i="7"/>
  <c r="C542" i="7"/>
  <c r="B543" i="7"/>
  <c r="C543" i="7"/>
  <c r="B544" i="7"/>
  <c r="C544" i="7"/>
  <c r="B545" i="7"/>
  <c r="C545" i="7"/>
  <c r="B546" i="7"/>
  <c r="C546" i="7"/>
  <c r="B547" i="7"/>
  <c r="C547" i="7"/>
  <c r="B548" i="7"/>
  <c r="C548" i="7"/>
  <c r="B549" i="7"/>
  <c r="C549" i="7"/>
  <c r="B550" i="7"/>
  <c r="C550" i="7"/>
  <c r="B551" i="7"/>
  <c r="C551" i="7"/>
  <c r="B552" i="7"/>
  <c r="C552" i="7"/>
  <c r="B553" i="7"/>
  <c r="C553" i="7"/>
  <c r="B554" i="7"/>
  <c r="C554" i="7"/>
  <c r="B555" i="7"/>
  <c r="C555" i="7"/>
  <c r="B556" i="7"/>
  <c r="C556" i="7"/>
  <c r="B557" i="7"/>
  <c r="C557" i="7"/>
  <c r="B558" i="7"/>
  <c r="C558" i="7"/>
  <c r="B559" i="7"/>
  <c r="C559" i="7"/>
  <c r="B560" i="7"/>
  <c r="C560" i="7"/>
  <c r="B561" i="7"/>
  <c r="C561" i="7"/>
  <c r="B562" i="7"/>
  <c r="C562" i="7"/>
  <c r="B563" i="7"/>
  <c r="C563" i="7"/>
  <c r="B564" i="7"/>
  <c r="C564" i="7"/>
  <c r="B565" i="7"/>
  <c r="C565" i="7"/>
  <c r="B566" i="7"/>
  <c r="C566" i="7"/>
  <c r="B567" i="7"/>
  <c r="C567" i="7"/>
  <c r="B568" i="7"/>
  <c r="C568" i="7"/>
  <c r="B569" i="7"/>
  <c r="C569" i="7"/>
  <c r="B570" i="7"/>
  <c r="C570" i="7"/>
  <c r="B571" i="7"/>
  <c r="C571" i="7"/>
  <c r="B572" i="7"/>
  <c r="C572" i="7"/>
  <c r="B573" i="7"/>
  <c r="C573" i="7"/>
  <c r="B574" i="7"/>
  <c r="C574" i="7"/>
  <c r="B575" i="7"/>
  <c r="C575" i="7"/>
  <c r="B576" i="7"/>
  <c r="C576" i="7"/>
  <c r="B577" i="7"/>
  <c r="C577" i="7"/>
  <c r="B578" i="7"/>
  <c r="C578" i="7"/>
  <c r="B579" i="7"/>
  <c r="C579" i="7"/>
  <c r="B580" i="7"/>
  <c r="C580" i="7"/>
  <c r="B581" i="7"/>
  <c r="C581" i="7"/>
  <c r="B582" i="7"/>
  <c r="C582" i="7"/>
  <c r="B583" i="7"/>
  <c r="C583" i="7"/>
  <c r="B584" i="7"/>
  <c r="C584" i="7"/>
  <c r="B585" i="7"/>
  <c r="C585" i="7"/>
  <c r="B586" i="7"/>
  <c r="C586" i="7"/>
  <c r="B587" i="7"/>
  <c r="C587" i="7"/>
  <c r="B588" i="7"/>
  <c r="C588" i="7"/>
  <c r="B589" i="7"/>
  <c r="C589" i="7"/>
  <c r="B590" i="7"/>
  <c r="C590" i="7"/>
  <c r="B591" i="7"/>
  <c r="C591" i="7"/>
  <c r="B592" i="7"/>
  <c r="C592" i="7"/>
  <c r="B593" i="7"/>
  <c r="C593" i="7"/>
  <c r="B594" i="7"/>
  <c r="C594" i="7"/>
  <c r="B595" i="7"/>
  <c r="C595" i="7"/>
  <c r="B596" i="7"/>
  <c r="C596" i="7"/>
  <c r="B597" i="7"/>
  <c r="C597" i="7"/>
  <c r="B598" i="7"/>
  <c r="C598" i="7"/>
  <c r="B599" i="7"/>
  <c r="C599" i="7"/>
  <c r="B600" i="7"/>
  <c r="C600" i="7"/>
  <c r="B601" i="7"/>
  <c r="C601" i="7"/>
  <c r="B602" i="7"/>
  <c r="C602" i="7"/>
  <c r="B603" i="7"/>
  <c r="C603" i="7"/>
  <c r="B604" i="7"/>
  <c r="C604" i="7"/>
  <c r="B605" i="7"/>
  <c r="C605" i="7"/>
  <c r="B606" i="7"/>
  <c r="C606" i="7"/>
  <c r="B607" i="7"/>
  <c r="C607" i="7"/>
  <c r="B608" i="7"/>
  <c r="C608" i="7"/>
  <c r="B609" i="7"/>
  <c r="C609" i="7"/>
  <c r="B610" i="7"/>
  <c r="C610" i="7"/>
  <c r="B611" i="7"/>
  <c r="C611" i="7"/>
  <c r="B612" i="7"/>
  <c r="C612" i="7"/>
  <c r="B613" i="7"/>
  <c r="C613" i="7"/>
  <c r="B614" i="7"/>
  <c r="C614" i="7"/>
  <c r="B615" i="7"/>
  <c r="C615" i="7"/>
  <c r="B616" i="7"/>
  <c r="C616" i="7"/>
  <c r="B617" i="7"/>
  <c r="C617" i="7"/>
  <c r="B618" i="7"/>
  <c r="C618" i="7"/>
  <c r="B619" i="7"/>
  <c r="C619" i="7"/>
  <c r="B620" i="7"/>
  <c r="C620" i="7"/>
  <c r="B621" i="7"/>
  <c r="C621" i="7"/>
  <c r="B622" i="7"/>
  <c r="C622" i="7"/>
  <c r="B623" i="7"/>
  <c r="C623" i="7"/>
  <c r="B624" i="7"/>
  <c r="C624" i="7"/>
  <c r="B625" i="7"/>
  <c r="C625" i="7"/>
  <c r="B626" i="7"/>
  <c r="C626" i="7"/>
  <c r="B627" i="7"/>
  <c r="C627" i="7"/>
  <c r="B628" i="7"/>
  <c r="C628" i="7"/>
  <c r="B629" i="7"/>
  <c r="C629" i="7"/>
  <c r="B630" i="7"/>
  <c r="C630" i="7"/>
  <c r="B631" i="7"/>
  <c r="C631" i="7"/>
  <c r="B632" i="7"/>
  <c r="C632" i="7"/>
  <c r="B633" i="7"/>
  <c r="C633" i="7"/>
  <c r="B634" i="7"/>
  <c r="C634" i="7"/>
  <c r="B635" i="7"/>
  <c r="C635" i="7"/>
  <c r="B636" i="7"/>
  <c r="C636" i="7"/>
  <c r="B637" i="7"/>
  <c r="C637" i="7"/>
  <c r="B638" i="7"/>
  <c r="C638" i="7"/>
  <c r="B639" i="7"/>
  <c r="C639" i="7"/>
  <c r="B640" i="7"/>
  <c r="C640" i="7"/>
  <c r="B641" i="7"/>
  <c r="C641" i="7"/>
  <c r="B642" i="7"/>
  <c r="C642" i="7"/>
  <c r="B643" i="7"/>
  <c r="C643" i="7"/>
  <c r="B644" i="7"/>
  <c r="C644" i="7"/>
  <c r="B645" i="7"/>
  <c r="C645" i="7"/>
  <c r="B646" i="7"/>
  <c r="C646" i="7"/>
  <c r="B647" i="7"/>
  <c r="C647" i="7"/>
  <c r="B648" i="7"/>
  <c r="C648" i="7"/>
  <c r="B649" i="7"/>
  <c r="C649" i="7"/>
  <c r="B650" i="7"/>
  <c r="C650" i="7"/>
  <c r="B651" i="7"/>
  <c r="C651" i="7"/>
  <c r="B652" i="7"/>
  <c r="C652" i="7"/>
  <c r="B653" i="7"/>
  <c r="C653" i="7"/>
  <c r="B654" i="7"/>
  <c r="C654" i="7"/>
  <c r="B655" i="7"/>
  <c r="C655" i="7"/>
  <c r="B656" i="7"/>
  <c r="C656" i="7"/>
  <c r="B657" i="7"/>
  <c r="C657" i="7"/>
  <c r="B658" i="7"/>
  <c r="C658" i="7"/>
  <c r="B659" i="7"/>
  <c r="C659" i="7"/>
  <c r="B660" i="7"/>
  <c r="C660" i="7"/>
  <c r="B661" i="7"/>
  <c r="C661" i="7"/>
  <c r="B662" i="7"/>
  <c r="C662" i="7"/>
  <c r="B663" i="7"/>
  <c r="C663" i="7"/>
  <c r="B664" i="7"/>
  <c r="C664" i="7"/>
  <c r="B665" i="7"/>
  <c r="C665" i="7"/>
  <c r="B666" i="7"/>
  <c r="C666" i="7"/>
  <c r="B667" i="7"/>
  <c r="C667" i="7"/>
  <c r="B668" i="7"/>
  <c r="C668" i="7"/>
  <c r="B669" i="7"/>
  <c r="C669" i="7"/>
  <c r="B670" i="7"/>
  <c r="C670" i="7"/>
  <c r="B671" i="7"/>
  <c r="C671" i="7"/>
  <c r="B672" i="7"/>
  <c r="C672" i="7"/>
  <c r="B673" i="7"/>
  <c r="C673" i="7"/>
  <c r="B674" i="7"/>
  <c r="C674" i="7"/>
  <c r="B675" i="7"/>
  <c r="C675" i="7"/>
  <c r="B676" i="7"/>
  <c r="C676" i="7"/>
  <c r="B677" i="7"/>
  <c r="C677" i="7"/>
  <c r="B678" i="7"/>
  <c r="C678" i="7"/>
  <c r="B679" i="7"/>
  <c r="C679" i="7"/>
  <c r="B680" i="7"/>
  <c r="C680" i="7"/>
  <c r="B681" i="7"/>
  <c r="C681" i="7"/>
  <c r="B682" i="7"/>
  <c r="C682" i="7"/>
  <c r="B683" i="7"/>
  <c r="C683" i="7"/>
  <c r="B684" i="7"/>
  <c r="C684" i="7"/>
  <c r="B685" i="7"/>
  <c r="C685" i="7"/>
  <c r="B686" i="7"/>
  <c r="C686" i="7"/>
  <c r="B687" i="7"/>
  <c r="C687" i="7"/>
  <c r="B688" i="7"/>
  <c r="C688" i="7"/>
  <c r="B689" i="7"/>
  <c r="C689" i="7"/>
  <c r="B690" i="7"/>
  <c r="C690" i="7"/>
  <c r="B691" i="7"/>
  <c r="C691" i="7"/>
  <c r="B692" i="7"/>
  <c r="C692" i="7"/>
  <c r="B693" i="7"/>
  <c r="C693" i="7"/>
  <c r="B694" i="7"/>
  <c r="C694" i="7"/>
  <c r="B695" i="7"/>
  <c r="C695" i="7"/>
  <c r="B696" i="7"/>
  <c r="C696" i="7"/>
  <c r="B697" i="7"/>
  <c r="C697" i="7"/>
  <c r="B698" i="7"/>
  <c r="C698" i="7"/>
  <c r="B699" i="7"/>
  <c r="C699" i="7"/>
  <c r="B700" i="7"/>
  <c r="C700" i="7"/>
  <c r="B701" i="7"/>
  <c r="C701" i="7"/>
  <c r="B702" i="7"/>
  <c r="C702" i="7"/>
  <c r="B703" i="7"/>
  <c r="C703" i="7"/>
  <c r="B704" i="7"/>
  <c r="C704" i="7"/>
  <c r="B705" i="7"/>
  <c r="C705" i="7"/>
  <c r="B706" i="7"/>
  <c r="C706" i="7"/>
  <c r="B707" i="7"/>
  <c r="C707" i="7"/>
  <c r="B708" i="7"/>
  <c r="C708" i="7"/>
  <c r="B709" i="7"/>
  <c r="C709" i="7"/>
  <c r="B710" i="7"/>
  <c r="C710" i="7"/>
  <c r="B711" i="7"/>
  <c r="C711" i="7"/>
  <c r="B712" i="7"/>
  <c r="C712" i="7"/>
  <c r="B713" i="7"/>
  <c r="C713" i="7"/>
  <c r="B714" i="7"/>
  <c r="C714" i="7"/>
  <c r="B715" i="7"/>
  <c r="C715" i="7"/>
  <c r="B716" i="7"/>
  <c r="C716" i="7"/>
  <c r="B717" i="7"/>
  <c r="C717" i="7"/>
  <c r="B718" i="7"/>
  <c r="C718" i="7"/>
  <c r="B719" i="7"/>
  <c r="C719" i="7"/>
  <c r="B720" i="7"/>
  <c r="C720" i="7"/>
  <c r="B721" i="7"/>
  <c r="C721" i="7"/>
  <c r="B722" i="7"/>
  <c r="C722" i="7"/>
  <c r="B723" i="7"/>
  <c r="C723" i="7"/>
  <c r="B724" i="7"/>
  <c r="C724" i="7"/>
  <c r="B725" i="7"/>
  <c r="C725" i="7"/>
  <c r="B726" i="7"/>
  <c r="C726" i="7"/>
  <c r="B727" i="7"/>
  <c r="C727" i="7"/>
  <c r="B728" i="7"/>
  <c r="C728" i="7"/>
  <c r="B729" i="7"/>
  <c r="C729" i="7"/>
  <c r="B730" i="7"/>
  <c r="C730" i="7"/>
  <c r="B731" i="7"/>
  <c r="C731" i="7"/>
  <c r="B732" i="7"/>
  <c r="C732" i="7"/>
  <c r="B733" i="7"/>
  <c r="C733" i="7"/>
  <c r="B734" i="7"/>
  <c r="C734" i="7"/>
  <c r="B735" i="7"/>
  <c r="C735" i="7"/>
  <c r="B736" i="7"/>
  <c r="C736" i="7"/>
  <c r="B737" i="7"/>
  <c r="C737" i="7"/>
  <c r="B738" i="7"/>
  <c r="C738" i="7"/>
  <c r="B739" i="7"/>
  <c r="C739" i="7"/>
  <c r="B740" i="7"/>
  <c r="C740" i="7"/>
  <c r="B741" i="7"/>
  <c r="C741" i="7"/>
  <c r="B742" i="7"/>
  <c r="C742" i="7"/>
  <c r="B743" i="7"/>
  <c r="C743" i="7"/>
  <c r="B744" i="7"/>
  <c r="C744" i="7"/>
  <c r="B745" i="7"/>
  <c r="C745" i="7"/>
  <c r="B746" i="7"/>
  <c r="C746" i="7"/>
  <c r="B747" i="7"/>
  <c r="C747" i="7"/>
  <c r="B748" i="7"/>
  <c r="C748" i="7"/>
  <c r="B749" i="7"/>
  <c r="C749" i="7"/>
  <c r="B750" i="7"/>
  <c r="C750" i="7"/>
  <c r="B751" i="7"/>
  <c r="C751" i="7"/>
  <c r="B752" i="7"/>
  <c r="C752" i="7"/>
  <c r="B753" i="7"/>
  <c r="C753" i="7"/>
  <c r="B754" i="7"/>
  <c r="C754" i="7"/>
  <c r="B755" i="7"/>
  <c r="C755" i="7"/>
  <c r="B756" i="7"/>
  <c r="C756" i="7"/>
  <c r="B757" i="7"/>
  <c r="C757" i="7"/>
  <c r="B758" i="7"/>
  <c r="C758" i="7"/>
  <c r="B759" i="7"/>
  <c r="C759" i="7"/>
  <c r="B760" i="7"/>
  <c r="C760" i="7"/>
  <c r="B761" i="7"/>
  <c r="C761" i="7"/>
  <c r="B762" i="7"/>
  <c r="C762" i="7"/>
  <c r="B763" i="7"/>
  <c r="C763" i="7"/>
  <c r="B764" i="7"/>
  <c r="C764" i="7"/>
  <c r="B765" i="7"/>
  <c r="C765" i="7"/>
  <c r="B766" i="7"/>
  <c r="C766" i="7"/>
  <c r="B767" i="7"/>
  <c r="C767" i="7"/>
  <c r="B768" i="7"/>
  <c r="C768" i="7"/>
  <c r="B769" i="7"/>
  <c r="C769" i="7"/>
  <c r="B770" i="7"/>
  <c r="C770" i="7"/>
  <c r="B771" i="7"/>
  <c r="C771" i="7"/>
  <c r="B772" i="7"/>
  <c r="C772" i="7"/>
  <c r="B773" i="7"/>
  <c r="C773" i="7"/>
  <c r="B774" i="7"/>
  <c r="C774" i="7"/>
  <c r="B775" i="7"/>
  <c r="C775" i="7"/>
  <c r="B776" i="7"/>
  <c r="C776" i="7"/>
  <c r="B777" i="7"/>
  <c r="C777" i="7"/>
  <c r="B778" i="7"/>
  <c r="C778" i="7"/>
  <c r="B779" i="7"/>
  <c r="C779" i="7"/>
  <c r="B780" i="7"/>
  <c r="C780" i="7"/>
  <c r="B781" i="7"/>
  <c r="C781" i="7"/>
  <c r="B782" i="7"/>
  <c r="C782" i="7"/>
  <c r="B783" i="7"/>
  <c r="C783" i="7"/>
  <c r="B784" i="7"/>
  <c r="C784" i="7"/>
  <c r="B785" i="7"/>
  <c r="C785" i="7"/>
  <c r="B786" i="7"/>
  <c r="C786" i="7"/>
  <c r="B787" i="7"/>
  <c r="C787" i="7"/>
  <c r="B788" i="7"/>
  <c r="C788" i="7"/>
  <c r="B789" i="7"/>
  <c r="C789" i="7"/>
  <c r="B790" i="7"/>
  <c r="C790" i="7"/>
  <c r="B791" i="7"/>
  <c r="C791" i="7"/>
  <c r="B792" i="7"/>
  <c r="C792" i="7"/>
  <c r="B793" i="7"/>
  <c r="C793" i="7"/>
  <c r="B794" i="7"/>
  <c r="C794" i="7"/>
  <c r="B795" i="7"/>
  <c r="C795" i="7"/>
  <c r="B796" i="7"/>
  <c r="C796" i="7"/>
  <c r="B797" i="7"/>
  <c r="C797" i="7"/>
  <c r="B798" i="7"/>
  <c r="C798" i="7"/>
  <c r="B799" i="7"/>
  <c r="C799" i="7"/>
  <c r="B800" i="7"/>
  <c r="C800" i="7"/>
  <c r="B801" i="7"/>
  <c r="C801" i="7"/>
  <c r="B802" i="7"/>
  <c r="C802" i="7"/>
  <c r="B803" i="7"/>
  <c r="C803" i="7"/>
  <c r="B804" i="7"/>
  <c r="C804" i="7"/>
  <c r="B805" i="7"/>
  <c r="C805" i="7"/>
  <c r="B806" i="7"/>
  <c r="C806" i="7"/>
  <c r="B807" i="7"/>
  <c r="C807" i="7"/>
  <c r="B808" i="7"/>
  <c r="C808" i="7"/>
  <c r="B809" i="7"/>
  <c r="C809" i="7"/>
  <c r="B810" i="7"/>
  <c r="C810" i="7"/>
  <c r="B811" i="7"/>
  <c r="C811" i="7"/>
  <c r="B812" i="7"/>
  <c r="C812" i="7"/>
  <c r="B813" i="7"/>
  <c r="C813" i="7"/>
  <c r="B814" i="7"/>
  <c r="C814" i="7"/>
  <c r="B815" i="7"/>
  <c r="C815" i="7"/>
  <c r="B816" i="7"/>
  <c r="C816" i="7"/>
  <c r="B817" i="7"/>
  <c r="C817" i="7"/>
  <c r="B818" i="7"/>
  <c r="C818" i="7"/>
  <c r="B819" i="7"/>
  <c r="C819" i="7"/>
  <c r="B820" i="7"/>
  <c r="C820" i="7"/>
  <c r="B821" i="7"/>
  <c r="C821" i="7"/>
  <c r="B822" i="7"/>
  <c r="C822" i="7"/>
  <c r="B823" i="7"/>
  <c r="C823" i="7"/>
  <c r="B824" i="7"/>
  <c r="C824" i="7"/>
  <c r="B825" i="7"/>
  <c r="C825" i="7"/>
  <c r="B826" i="7"/>
  <c r="C826" i="7"/>
  <c r="B827" i="7"/>
  <c r="C827" i="7"/>
  <c r="B828" i="7"/>
  <c r="C828" i="7"/>
  <c r="B829" i="7"/>
  <c r="C829" i="7"/>
  <c r="B830" i="7"/>
  <c r="C830" i="7"/>
  <c r="B831" i="7"/>
  <c r="C831" i="7"/>
  <c r="B832" i="7"/>
  <c r="C832" i="7"/>
  <c r="B833" i="7"/>
  <c r="C833" i="7"/>
  <c r="B834" i="7"/>
  <c r="C834" i="7"/>
  <c r="B835" i="7"/>
  <c r="C835" i="7"/>
  <c r="B836" i="7"/>
  <c r="C836" i="7"/>
  <c r="B837" i="7"/>
  <c r="C837" i="7"/>
  <c r="B838" i="7"/>
  <c r="C838" i="7"/>
  <c r="B839" i="7"/>
  <c r="C839" i="7"/>
  <c r="B840" i="7"/>
  <c r="C840" i="7"/>
  <c r="B841" i="7"/>
  <c r="C841" i="7"/>
  <c r="B842" i="7"/>
  <c r="C842" i="7"/>
  <c r="B843" i="7"/>
  <c r="C843" i="7"/>
  <c r="B844" i="7"/>
  <c r="C844" i="7"/>
  <c r="B845" i="7"/>
  <c r="C845" i="7"/>
  <c r="B846" i="7"/>
  <c r="C846" i="7"/>
  <c r="B847" i="7"/>
  <c r="C847" i="7"/>
  <c r="B848" i="7"/>
  <c r="C848" i="7"/>
  <c r="B849" i="7"/>
  <c r="C849" i="7"/>
  <c r="B850" i="7"/>
  <c r="C850" i="7"/>
  <c r="B851" i="7"/>
  <c r="C851" i="7"/>
  <c r="B852" i="7"/>
  <c r="C852" i="7"/>
  <c r="B853" i="7"/>
  <c r="C853" i="7"/>
  <c r="B854" i="7"/>
  <c r="C854" i="7"/>
  <c r="B855" i="7"/>
  <c r="C855" i="7"/>
  <c r="B856" i="7"/>
  <c r="C856" i="7"/>
  <c r="B857" i="7"/>
  <c r="C857" i="7"/>
  <c r="B858" i="7"/>
  <c r="C858" i="7"/>
  <c r="B859" i="7"/>
  <c r="C859" i="7"/>
  <c r="B860" i="7"/>
  <c r="C860" i="7"/>
  <c r="B861" i="7"/>
  <c r="C861" i="7"/>
  <c r="B862" i="7"/>
  <c r="C862" i="7"/>
  <c r="B863" i="7"/>
  <c r="C863" i="7"/>
  <c r="B864" i="7"/>
  <c r="C864" i="7"/>
  <c r="B865" i="7"/>
  <c r="C865" i="7"/>
  <c r="B866" i="7"/>
  <c r="C866" i="7"/>
  <c r="B867" i="7"/>
  <c r="C867" i="7"/>
  <c r="B868" i="7"/>
  <c r="C868" i="7"/>
  <c r="B869" i="7"/>
  <c r="C869" i="7"/>
  <c r="B870" i="7"/>
  <c r="C870" i="7"/>
  <c r="B871" i="7"/>
  <c r="C871" i="7"/>
  <c r="B872" i="7"/>
  <c r="C872" i="7"/>
  <c r="B873" i="7"/>
  <c r="C873" i="7"/>
  <c r="B874" i="7"/>
  <c r="C874" i="7"/>
  <c r="B875" i="7"/>
  <c r="C875" i="7"/>
  <c r="B876" i="7"/>
  <c r="C876" i="7"/>
  <c r="B877" i="7"/>
  <c r="C877" i="7"/>
  <c r="B878" i="7"/>
  <c r="C878" i="7"/>
  <c r="B879" i="7"/>
  <c r="C879" i="7"/>
  <c r="B880" i="7"/>
  <c r="C880" i="7"/>
  <c r="B881" i="7"/>
  <c r="C881" i="7"/>
  <c r="B882" i="7"/>
  <c r="C882" i="7"/>
  <c r="B883" i="7"/>
  <c r="C883" i="7"/>
  <c r="B884" i="7"/>
  <c r="C884" i="7"/>
  <c r="B885" i="7"/>
  <c r="C885" i="7"/>
  <c r="B886" i="7"/>
  <c r="C886" i="7"/>
  <c r="B887" i="7"/>
  <c r="C887" i="7"/>
  <c r="B888" i="7"/>
  <c r="C888" i="7"/>
  <c r="B889" i="7"/>
  <c r="C889" i="7"/>
  <c r="B890" i="7"/>
  <c r="C890" i="7"/>
  <c r="B891" i="7"/>
  <c r="C891" i="7"/>
  <c r="B892" i="7"/>
  <c r="C892" i="7"/>
  <c r="B893" i="7"/>
  <c r="C893" i="7"/>
  <c r="B894" i="7"/>
  <c r="C894" i="7"/>
  <c r="B895" i="7"/>
  <c r="C895" i="7"/>
  <c r="B896" i="7"/>
  <c r="C896" i="7"/>
  <c r="B897" i="7"/>
  <c r="C897" i="7"/>
  <c r="B898" i="7"/>
  <c r="C898" i="7"/>
  <c r="B899" i="7"/>
  <c r="C899" i="7"/>
  <c r="B900" i="7"/>
  <c r="C900" i="7"/>
  <c r="B901" i="7"/>
  <c r="C901" i="7"/>
  <c r="B902" i="7"/>
  <c r="C902" i="7"/>
  <c r="B903" i="7"/>
  <c r="C903" i="7"/>
  <c r="B904" i="7"/>
  <c r="C904" i="7"/>
  <c r="B905" i="7"/>
  <c r="C905" i="7"/>
  <c r="B906" i="7"/>
  <c r="C906" i="7"/>
  <c r="B907" i="7"/>
  <c r="C907" i="7"/>
  <c r="B908" i="7"/>
  <c r="C908" i="7"/>
  <c r="B909" i="7"/>
  <c r="C909" i="7"/>
  <c r="B910" i="7"/>
  <c r="C910" i="7"/>
  <c r="B911" i="7"/>
  <c r="C911" i="7"/>
  <c r="B912" i="7"/>
  <c r="C912" i="7"/>
  <c r="B913" i="7"/>
  <c r="C913" i="7"/>
  <c r="B914" i="7"/>
  <c r="C914" i="7"/>
  <c r="B915" i="7"/>
  <c r="C915" i="7"/>
  <c r="B916" i="7"/>
  <c r="C916" i="7"/>
  <c r="B917" i="7"/>
  <c r="C917" i="7"/>
  <c r="B918" i="7"/>
  <c r="C918" i="7"/>
  <c r="B919" i="7"/>
  <c r="C919" i="7"/>
  <c r="B920" i="7"/>
  <c r="C920" i="7"/>
  <c r="B921" i="7"/>
  <c r="C921" i="7"/>
  <c r="B922" i="7"/>
  <c r="C922" i="7"/>
  <c r="B923" i="7"/>
  <c r="C923" i="7"/>
  <c r="B924" i="7"/>
  <c r="C924" i="7"/>
  <c r="B925" i="7"/>
  <c r="C925" i="7"/>
  <c r="B926" i="7"/>
  <c r="C926" i="7"/>
  <c r="B927" i="7"/>
  <c r="C927" i="7"/>
  <c r="B928" i="7"/>
  <c r="C928" i="7"/>
  <c r="B929" i="7"/>
  <c r="C929" i="7"/>
  <c r="B930" i="7"/>
  <c r="C930" i="7"/>
  <c r="B931" i="7"/>
  <c r="C931" i="7"/>
  <c r="B932" i="7"/>
  <c r="C932" i="7"/>
  <c r="B933" i="7"/>
  <c r="C933" i="7"/>
  <c r="B934" i="7"/>
  <c r="C934" i="7"/>
  <c r="B935" i="7"/>
  <c r="C935" i="7"/>
  <c r="B936" i="7"/>
  <c r="C936" i="7"/>
  <c r="B937" i="7"/>
  <c r="C937" i="7"/>
  <c r="B938" i="7"/>
  <c r="C938" i="7"/>
  <c r="B939" i="7"/>
  <c r="C939" i="7"/>
  <c r="B940" i="7"/>
  <c r="C940" i="7"/>
  <c r="B941" i="7"/>
  <c r="C941" i="7"/>
  <c r="B942" i="7"/>
  <c r="C942" i="7"/>
  <c r="B943" i="7"/>
  <c r="C943" i="7"/>
  <c r="B944" i="7"/>
  <c r="C944" i="7"/>
  <c r="B945" i="7"/>
  <c r="C945" i="7"/>
  <c r="B946" i="7"/>
  <c r="C946" i="7"/>
  <c r="B947" i="7"/>
  <c r="C947" i="7"/>
  <c r="B948" i="7"/>
  <c r="C948" i="7"/>
  <c r="B949" i="7"/>
  <c r="C949" i="7"/>
  <c r="B950" i="7"/>
  <c r="C950" i="7"/>
  <c r="B951" i="7"/>
  <c r="C951" i="7"/>
  <c r="B952" i="7"/>
  <c r="C952" i="7"/>
  <c r="B953" i="7"/>
  <c r="C953" i="7"/>
  <c r="B954" i="7"/>
  <c r="C954" i="7"/>
  <c r="B955" i="7"/>
  <c r="C955" i="7"/>
  <c r="B956" i="7"/>
  <c r="C956" i="7"/>
  <c r="B957" i="7"/>
  <c r="C957" i="7"/>
  <c r="B958" i="7"/>
  <c r="C958" i="7"/>
  <c r="B959" i="7"/>
  <c r="C959" i="7"/>
  <c r="B960" i="7"/>
  <c r="C960" i="7"/>
  <c r="B961" i="7"/>
  <c r="C961" i="7"/>
  <c r="B962" i="7"/>
  <c r="C962" i="7"/>
  <c r="B963" i="7"/>
  <c r="C963" i="7"/>
  <c r="B964" i="7"/>
  <c r="C964" i="7"/>
  <c r="B965" i="7"/>
  <c r="C965" i="7"/>
  <c r="B966" i="7"/>
  <c r="C966" i="7"/>
  <c r="B967" i="7"/>
  <c r="C967" i="7"/>
  <c r="B968" i="7"/>
  <c r="C968" i="7"/>
  <c r="B969" i="7"/>
  <c r="C969" i="7"/>
  <c r="B970" i="7"/>
  <c r="C970" i="7"/>
  <c r="B971" i="7"/>
  <c r="C971" i="7"/>
  <c r="B972" i="7"/>
  <c r="C972" i="7"/>
  <c r="B973" i="7"/>
  <c r="C973" i="7"/>
  <c r="B974" i="7"/>
  <c r="C974" i="7"/>
  <c r="B975" i="7"/>
  <c r="C975" i="7"/>
  <c r="B976" i="7"/>
  <c r="C976" i="7"/>
  <c r="B977" i="7"/>
  <c r="C977" i="7"/>
  <c r="B978" i="7"/>
  <c r="C978" i="7"/>
  <c r="B979" i="7"/>
  <c r="C979" i="7"/>
  <c r="B980" i="7"/>
  <c r="C980" i="7"/>
  <c r="B981" i="7"/>
  <c r="C981" i="7"/>
  <c r="B982" i="7"/>
  <c r="C982" i="7"/>
  <c r="B983" i="7"/>
  <c r="C983" i="7"/>
  <c r="B984" i="7"/>
  <c r="C984" i="7"/>
  <c r="B985" i="7"/>
  <c r="C985" i="7"/>
  <c r="B986" i="7"/>
  <c r="C986" i="7"/>
  <c r="B987" i="7"/>
  <c r="C987" i="7"/>
  <c r="B988" i="7"/>
  <c r="C988" i="7"/>
  <c r="B989" i="7"/>
  <c r="C989" i="7"/>
  <c r="B990" i="7"/>
  <c r="C990" i="7"/>
  <c r="B991" i="7"/>
  <c r="C991" i="7"/>
  <c r="B992" i="7"/>
  <c r="C992" i="7"/>
  <c r="B993" i="7"/>
  <c r="C993" i="7"/>
  <c r="B994" i="7"/>
  <c r="C994" i="7"/>
  <c r="B995" i="7"/>
  <c r="C995" i="7"/>
  <c r="B996" i="7"/>
  <c r="C996" i="7"/>
  <c r="B997" i="7"/>
  <c r="C997" i="7"/>
  <c r="B998" i="7"/>
  <c r="C998" i="7"/>
  <c r="B999" i="7"/>
  <c r="C999" i="7"/>
  <c r="B1000" i="7"/>
  <c r="C1000" i="7"/>
  <c r="B1001" i="7"/>
  <c r="C1001" i="7"/>
  <c r="B1002" i="7"/>
  <c r="C1002" i="7"/>
  <c r="B1003" i="7"/>
  <c r="C1003" i="7"/>
  <c r="B1004" i="7"/>
  <c r="C1004" i="7"/>
  <c r="B1005" i="7"/>
  <c r="C1005" i="7"/>
  <c r="B1006" i="7"/>
  <c r="C1006" i="7"/>
  <c r="B1007" i="7"/>
  <c r="C1007" i="7"/>
  <c r="B1008" i="7"/>
  <c r="C1008" i="7"/>
  <c r="B1009" i="7"/>
  <c r="C1009" i="7"/>
  <c r="B1010" i="7"/>
  <c r="C1010" i="7"/>
  <c r="B1011" i="7"/>
  <c r="C1011" i="7"/>
  <c r="B1012" i="7"/>
  <c r="C1012" i="7"/>
  <c r="B1013" i="7"/>
  <c r="C1013" i="7"/>
  <c r="B1014" i="7"/>
  <c r="C1014" i="7"/>
  <c r="B1015" i="7"/>
  <c r="C1015" i="7"/>
  <c r="B1016" i="7"/>
  <c r="C1016" i="7"/>
  <c r="B1017" i="7"/>
  <c r="C1017" i="7"/>
  <c r="B1018" i="7"/>
  <c r="C1018" i="7"/>
  <c r="B1019" i="7"/>
  <c r="C1019" i="7"/>
  <c r="B1020" i="7"/>
  <c r="C1020" i="7"/>
  <c r="B1021" i="7"/>
  <c r="C1021" i="7"/>
  <c r="B1022" i="7"/>
  <c r="C1022" i="7"/>
  <c r="B1023" i="7"/>
  <c r="C1023" i="7"/>
  <c r="B1024" i="7"/>
  <c r="C1024" i="7"/>
  <c r="B1025" i="7"/>
  <c r="C1025" i="7"/>
  <c r="B1026" i="7"/>
  <c r="C1026" i="7"/>
  <c r="B1027" i="7"/>
  <c r="C1027" i="7"/>
  <c r="B1028" i="7"/>
  <c r="C1028" i="7"/>
  <c r="B1029" i="7"/>
  <c r="C1029" i="7"/>
  <c r="B1030" i="7"/>
  <c r="C1030" i="7"/>
  <c r="B1031" i="7"/>
  <c r="C1031" i="7"/>
  <c r="B1032" i="7"/>
  <c r="C1032" i="7"/>
  <c r="B1033" i="7"/>
  <c r="C1033" i="7"/>
  <c r="B1034" i="7"/>
  <c r="C1034" i="7"/>
  <c r="B1035" i="7"/>
  <c r="C1035" i="7"/>
  <c r="B1036" i="7"/>
  <c r="C1036" i="7"/>
  <c r="B1037" i="7"/>
  <c r="C1037" i="7"/>
  <c r="B1038" i="7"/>
  <c r="C1038" i="7"/>
  <c r="B1039" i="7"/>
  <c r="C1039" i="7"/>
  <c r="B1040" i="7"/>
  <c r="C1040" i="7"/>
  <c r="B1041" i="7"/>
  <c r="C1041" i="7"/>
  <c r="B1042" i="7"/>
  <c r="C1042" i="7"/>
  <c r="B1043" i="7"/>
  <c r="C1043" i="7"/>
  <c r="B1044" i="7"/>
  <c r="C1044" i="7"/>
  <c r="B1045" i="7"/>
  <c r="C1045" i="7"/>
  <c r="B1046" i="7"/>
  <c r="C1046" i="7"/>
  <c r="B1047" i="7"/>
  <c r="C1047" i="7"/>
  <c r="B1048" i="7"/>
  <c r="C1048" i="7"/>
  <c r="B1049" i="7"/>
  <c r="C1049" i="7"/>
  <c r="B1050" i="7"/>
  <c r="C1050" i="7"/>
  <c r="B1051" i="7"/>
  <c r="C1051" i="7"/>
  <c r="B1052" i="7"/>
  <c r="C1052" i="7"/>
  <c r="B1053" i="7"/>
  <c r="C1053" i="7"/>
  <c r="B1054" i="7"/>
  <c r="C1054" i="7"/>
  <c r="B1055" i="7"/>
  <c r="C1055" i="7"/>
  <c r="B1056" i="7"/>
  <c r="C1056" i="7"/>
  <c r="B1057" i="7"/>
  <c r="C1057" i="7"/>
  <c r="B1058" i="7"/>
  <c r="C1058" i="7"/>
  <c r="B1059" i="7"/>
  <c r="C1059" i="7"/>
  <c r="B1060" i="7"/>
  <c r="C1060" i="7"/>
  <c r="B1061" i="7"/>
  <c r="C1061" i="7"/>
  <c r="B1062" i="7"/>
  <c r="C1062" i="7"/>
  <c r="B1063" i="7"/>
  <c r="C1063" i="7"/>
  <c r="B1064" i="7"/>
  <c r="C1064" i="7"/>
  <c r="B1065" i="7"/>
  <c r="C1065" i="7"/>
  <c r="B1066" i="7"/>
  <c r="C1066" i="7"/>
  <c r="B1067" i="7"/>
  <c r="C1067" i="7"/>
  <c r="B1068" i="7"/>
  <c r="C1068" i="7"/>
  <c r="B1069" i="7"/>
  <c r="C1069" i="7"/>
  <c r="B1070" i="7"/>
  <c r="C1070" i="7"/>
  <c r="B1071" i="7"/>
  <c r="C1071" i="7"/>
  <c r="B1072" i="7"/>
  <c r="C1072" i="7"/>
  <c r="B1073" i="7"/>
  <c r="C1073" i="7"/>
  <c r="B1074" i="7"/>
  <c r="C1074" i="7"/>
  <c r="B1075" i="7"/>
  <c r="C1075" i="7"/>
  <c r="B1076" i="7"/>
  <c r="C1076" i="7"/>
  <c r="B1077" i="7"/>
  <c r="C1077" i="7"/>
  <c r="B1078" i="7"/>
  <c r="C1078" i="7"/>
  <c r="B1079" i="7"/>
  <c r="C1079" i="7"/>
  <c r="B1080" i="7"/>
  <c r="C1080" i="7"/>
  <c r="B1081" i="7"/>
  <c r="C1081" i="7"/>
  <c r="B1082" i="7"/>
  <c r="C1082" i="7"/>
  <c r="B1083" i="7"/>
  <c r="C1083" i="7"/>
  <c r="B1084" i="7"/>
  <c r="C1084" i="7"/>
  <c r="B1085" i="7"/>
  <c r="C1085" i="7"/>
  <c r="B1086" i="7"/>
  <c r="C1086" i="7"/>
  <c r="B1087" i="7"/>
  <c r="C1087" i="7"/>
  <c r="B1088" i="7"/>
  <c r="C1088" i="7"/>
  <c r="B1089" i="7"/>
  <c r="C1089" i="7"/>
  <c r="B1090" i="7"/>
  <c r="C1090" i="7"/>
  <c r="B1091" i="7"/>
  <c r="C1091" i="7"/>
  <c r="B1092" i="7"/>
  <c r="C1092" i="7"/>
  <c r="B1093" i="7"/>
  <c r="C1093" i="7"/>
  <c r="B1094" i="7"/>
  <c r="C1094" i="7"/>
  <c r="B1095" i="7"/>
  <c r="C1095" i="7"/>
  <c r="B1096" i="7"/>
  <c r="C1096" i="7"/>
  <c r="B1097" i="7"/>
  <c r="C1097" i="7"/>
  <c r="B1098" i="7"/>
  <c r="C1098" i="7"/>
  <c r="B1099" i="7"/>
  <c r="C1099" i="7"/>
  <c r="B1100" i="7"/>
  <c r="C1100" i="7"/>
  <c r="B1101" i="7"/>
  <c r="C1101" i="7"/>
  <c r="B1102" i="7"/>
  <c r="C1102" i="7"/>
  <c r="B1103" i="7"/>
  <c r="C1103" i="7"/>
  <c r="B1104" i="7"/>
  <c r="C1104" i="7"/>
  <c r="B1105" i="7"/>
  <c r="C1105" i="7"/>
  <c r="B1106" i="7"/>
  <c r="C1106" i="7"/>
  <c r="B1107" i="7"/>
  <c r="C1107" i="7"/>
  <c r="B1108" i="7"/>
  <c r="C1108" i="7"/>
  <c r="B1109" i="7"/>
  <c r="C1109" i="7"/>
  <c r="B1110" i="7"/>
  <c r="C1110" i="7"/>
  <c r="B1111" i="7"/>
  <c r="C1111" i="7"/>
  <c r="B1112" i="7"/>
  <c r="C1112" i="7"/>
  <c r="B1113" i="7"/>
  <c r="C1113" i="7"/>
  <c r="B1114" i="7"/>
  <c r="C1114" i="7"/>
  <c r="B1115" i="7"/>
  <c r="C1115" i="7"/>
  <c r="B1116" i="7"/>
  <c r="C1116" i="7"/>
  <c r="B1117" i="7"/>
  <c r="C1117" i="7"/>
  <c r="B1118" i="7"/>
  <c r="C1118" i="7"/>
  <c r="B1119" i="7"/>
  <c r="C1119" i="7"/>
  <c r="B1120" i="7"/>
  <c r="C1120" i="7"/>
  <c r="B1121" i="7"/>
  <c r="C1121" i="7"/>
  <c r="B1122" i="7"/>
  <c r="C1122" i="7"/>
  <c r="B1123" i="7"/>
  <c r="C1123" i="7"/>
  <c r="B1124" i="7"/>
  <c r="C1124" i="7"/>
  <c r="B1125" i="7"/>
  <c r="C1125" i="7"/>
  <c r="B1126" i="7"/>
  <c r="C1126" i="7"/>
  <c r="B1127" i="7"/>
  <c r="C1127" i="7"/>
  <c r="B1128" i="7"/>
  <c r="C1128" i="7"/>
  <c r="B1129" i="7"/>
  <c r="C1129" i="7"/>
  <c r="B1130" i="7"/>
  <c r="C1130" i="7"/>
  <c r="B1131" i="7"/>
  <c r="C1131" i="7"/>
  <c r="B1132" i="7"/>
  <c r="C1132" i="7"/>
  <c r="B1133" i="7"/>
  <c r="C1133" i="7"/>
  <c r="B1134" i="7"/>
  <c r="C1134" i="7"/>
  <c r="B1135" i="7"/>
  <c r="C1135" i="7"/>
  <c r="B1136" i="7"/>
  <c r="C1136" i="7"/>
  <c r="B1137" i="7"/>
  <c r="C1137" i="7"/>
  <c r="B1138" i="7"/>
  <c r="C1138" i="7"/>
  <c r="B1139" i="7"/>
  <c r="C1139" i="7"/>
  <c r="B1140" i="7"/>
  <c r="C1140" i="7"/>
  <c r="B1141" i="7"/>
  <c r="C1141" i="7"/>
  <c r="B1142" i="7"/>
  <c r="C1142" i="7"/>
  <c r="B1143" i="7"/>
  <c r="C1143" i="7"/>
  <c r="B1144" i="7"/>
  <c r="C1144" i="7"/>
  <c r="B1145" i="7"/>
  <c r="C1145" i="7"/>
  <c r="B1146" i="7"/>
  <c r="C1146" i="7"/>
  <c r="B1147" i="7"/>
  <c r="C1147" i="7"/>
  <c r="B1148" i="7"/>
  <c r="C1148" i="7"/>
  <c r="B1149" i="7"/>
  <c r="C1149" i="7"/>
  <c r="B1150" i="7"/>
  <c r="C1150" i="7"/>
  <c r="B1151" i="7"/>
  <c r="C1151" i="7"/>
  <c r="B1152" i="7"/>
  <c r="C1152" i="7"/>
  <c r="B1153" i="7"/>
  <c r="C1153" i="7"/>
  <c r="B1154" i="7"/>
  <c r="C1154" i="7"/>
  <c r="B1155" i="7"/>
  <c r="C1155" i="7"/>
  <c r="B1156" i="7"/>
  <c r="C1156" i="7"/>
  <c r="B1157" i="7"/>
  <c r="C1157" i="7"/>
  <c r="B1158" i="7"/>
  <c r="C1158" i="7"/>
  <c r="B1159" i="7"/>
  <c r="C1159" i="7"/>
  <c r="B1160" i="7"/>
  <c r="C1160" i="7"/>
  <c r="B1161" i="7"/>
  <c r="C1161" i="7"/>
  <c r="B1162" i="7"/>
  <c r="C1162" i="7"/>
  <c r="B1163" i="7"/>
  <c r="C1163" i="7"/>
  <c r="B1164" i="7"/>
  <c r="C1164" i="7"/>
  <c r="B1165" i="7"/>
  <c r="C1165" i="7"/>
  <c r="B1166" i="7"/>
  <c r="C1166" i="7"/>
  <c r="B1167" i="7"/>
  <c r="C1167" i="7"/>
  <c r="B1168" i="7"/>
  <c r="C1168" i="7"/>
  <c r="B1169" i="7"/>
  <c r="C1169" i="7"/>
  <c r="B1170" i="7"/>
  <c r="C1170" i="7"/>
  <c r="B1171" i="7"/>
  <c r="C1171" i="7"/>
  <c r="B1172" i="7"/>
  <c r="C1172" i="7"/>
  <c r="B1173" i="7"/>
  <c r="C1173" i="7"/>
  <c r="B1174" i="7"/>
  <c r="C1174" i="7"/>
  <c r="B1175" i="7"/>
  <c r="C1175" i="7"/>
  <c r="B1176" i="7"/>
  <c r="C1176" i="7"/>
  <c r="B1177" i="7"/>
  <c r="C1177" i="7"/>
  <c r="B1178" i="7"/>
  <c r="C1178" i="7"/>
  <c r="B1179" i="7"/>
  <c r="C1179" i="7"/>
  <c r="B1180" i="7"/>
  <c r="C1180" i="7"/>
  <c r="B1181" i="7"/>
  <c r="C1181" i="7"/>
  <c r="B1182" i="7"/>
  <c r="C1182" i="7"/>
  <c r="B1183" i="7"/>
  <c r="C1183" i="7"/>
  <c r="B1184" i="7"/>
  <c r="C1184" i="7"/>
  <c r="B1185" i="7"/>
  <c r="C1185" i="7"/>
  <c r="B1186" i="7"/>
  <c r="C1186" i="7"/>
  <c r="B1187" i="7"/>
  <c r="C1187" i="7"/>
  <c r="B1188" i="7"/>
  <c r="C1188" i="7"/>
  <c r="B1189" i="7"/>
  <c r="C1189" i="7"/>
  <c r="B1190" i="7"/>
  <c r="C1190" i="7"/>
  <c r="B1191" i="7"/>
  <c r="C1191" i="7"/>
  <c r="B1192" i="7"/>
  <c r="C1192" i="7"/>
  <c r="B1193" i="7"/>
  <c r="C1193" i="7"/>
  <c r="B1194" i="7"/>
  <c r="C1194" i="7"/>
  <c r="B1195" i="7"/>
  <c r="C1195" i="7"/>
  <c r="B1196" i="7"/>
  <c r="C1196" i="7"/>
  <c r="B1197" i="7"/>
  <c r="C1197" i="7"/>
  <c r="B1198" i="7"/>
  <c r="C1198" i="7"/>
  <c r="B1199" i="7"/>
  <c r="C1199" i="7"/>
  <c r="B1200" i="7"/>
  <c r="C1200" i="7"/>
  <c r="B1201" i="7"/>
  <c r="C1201" i="7"/>
  <c r="B1202" i="7"/>
  <c r="C1202" i="7"/>
  <c r="B1203" i="7"/>
  <c r="C1203" i="7"/>
  <c r="B1204" i="7"/>
  <c r="C1204" i="7"/>
  <c r="B1205" i="7"/>
  <c r="C1205" i="7"/>
  <c r="B1206" i="7"/>
  <c r="C1206" i="7"/>
  <c r="B1207" i="7"/>
  <c r="C1207" i="7"/>
  <c r="B1208" i="7"/>
  <c r="C1208" i="7"/>
  <c r="B1209" i="7"/>
  <c r="C1209" i="7"/>
  <c r="B1210" i="7"/>
  <c r="C1210" i="7"/>
  <c r="B1211" i="7"/>
  <c r="C1211" i="7"/>
  <c r="B1212" i="7"/>
  <c r="C1212" i="7"/>
  <c r="B1213" i="7"/>
  <c r="C1213" i="7"/>
  <c r="B1214" i="7"/>
  <c r="C1214" i="7"/>
  <c r="B1215" i="7"/>
  <c r="C1215" i="7"/>
  <c r="B1216" i="7"/>
  <c r="C1216" i="7"/>
  <c r="B1217" i="7"/>
  <c r="C1217" i="7"/>
  <c r="B1218" i="7"/>
  <c r="C1218" i="7"/>
  <c r="B1219" i="7"/>
  <c r="C1219" i="7"/>
  <c r="B1220" i="7"/>
  <c r="C1220" i="7"/>
  <c r="B1221" i="7"/>
  <c r="C1221" i="7"/>
  <c r="B1222" i="7"/>
  <c r="C1222" i="7"/>
  <c r="B1223" i="7"/>
  <c r="C1223" i="7"/>
  <c r="B1224" i="7"/>
  <c r="C1224" i="7"/>
  <c r="B1225" i="7"/>
  <c r="C1225" i="7"/>
  <c r="B1226" i="7"/>
  <c r="C1226" i="7"/>
  <c r="B1227" i="7"/>
  <c r="C1227" i="7"/>
  <c r="B1228" i="7"/>
  <c r="C1228" i="7"/>
  <c r="B1229" i="7"/>
  <c r="C1229" i="7"/>
  <c r="B1230" i="7"/>
  <c r="C1230" i="7"/>
  <c r="B1231" i="7"/>
  <c r="C1231" i="7"/>
  <c r="B1232" i="7"/>
  <c r="C1232" i="7"/>
  <c r="B1233" i="7"/>
  <c r="C1233" i="7"/>
  <c r="B1234" i="7"/>
  <c r="C1234" i="7"/>
  <c r="B1235" i="7"/>
  <c r="C1235" i="7"/>
  <c r="B1236" i="7"/>
  <c r="C1236" i="7"/>
  <c r="B1237" i="7"/>
  <c r="C1237" i="7"/>
  <c r="B1238" i="7"/>
  <c r="C1238" i="7"/>
  <c r="B1239" i="7"/>
  <c r="C1239" i="7"/>
  <c r="B1240" i="7"/>
  <c r="C1240" i="7"/>
  <c r="B1241" i="7"/>
  <c r="C1241" i="7"/>
  <c r="B1242" i="7"/>
  <c r="C1242" i="7"/>
  <c r="B1243" i="7"/>
  <c r="C1243" i="7"/>
  <c r="B1244" i="7"/>
  <c r="C1244" i="7"/>
  <c r="B1245" i="7"/>
  <c r="C1245" i="7"/>
  <c r="B1246" i="7"/>
  <c r="C1246" i="7"/>
  <c r="B1247" i="7"/>
  <c r="C1247" i="7"/>
  <c r="B1248" i="7"/>
  <c r="C1248" i="7"/>
  <c r="B1249" i="7"/>
  <c r="C1249" i="7"/>
  <c r="B1250" i="7"/>
  <c r="C1250" i="7"/>
  <c r="B1251" i="7"/>
  <c r="C1251" i="7"/>
  <c r="B1252" i="7"/>
  <c r="C1252" i="7"/>
  <c r="B1253" i="7"/>
  <c r="C1253" i="7"/>
  <c r="B1254" i="7"/>
  <c r="C1254" i="7"/>
  <c r="B1255" i="7"/>
  <c r="C1255" i="7"/>
  <c r="B1256" i="7"/>
  <c r="C1256" i="7"/>
  <c r="B1257" i="7"/>
  <c r="C1257" i="7"/>
  <c r="B1258" i="7"/>
  <c r="C1258" i="7"/>
  <c r="B1259" i="7"/>
  <c r="C1259" i="7"/>
  <c r="B1260" i="7"/>
  <c r="C1260" i="7"/>
  <c r="B1261" i="7"/>
  <c r="C1261" i="7"/>
  <c r="B1262" i="7"/>
  <c r="C1262" i="7"/>
  <c r="B1263" i="7"/>
  <c r="C1263" i="7"/>
  <c r="B1264" i="7"/>
  <c r="C1264" i="7"/>
  <c r="B1265" i="7"/>
  <c r="C1265" i="7"/>
  <c r="B1266" i="7"/>
  <c r="C1266" i="7"/>
  <c r="B1267" i="7"/>
  <c r="C1267" i="7"/>
  <c r="B1268" i="7"/>
  <c r="C1268" i="7"/>
  <c r="B1269" i="7"/>
  <c r="C1269" i="7"/>
  <c r="B1270" i="7"/>
  <c r="C1270" i="7"/>
  <c r="B1271" i="7"/>
  <c r="C1271" i="7"/>
  <c r="B1272" i="7"/>
  <c r="C1272" i="7"/>
  <c r="B1273" i="7"/>
  <c r="C1273" i="7"/>
  <c r="B1274" i="7"/>
  <c r="C1274" i="7"/>
  <c r="B1275" i="7"/>
  <c r="C1275" i="7"/>
  <c r="B1276" i="7"/>
  <c r="C1276" i="7"/>
  <c r="B1277" i="7"/>
  <c r="C1277" i="7"/>
  <c r="B1278" i="7"/>
  <c r="C1278" i="7"/>
  <c r="B1279" i="7"/>
  <c r="C1279" i="7"/>
  <c r="B1280" i="7"/>
  <c r="C1280" i="7"/>
  <c r="B1281" i="7"/>
  <c r="C1281" i="7"/>
  <c r="B1282" i="7"/>
  <c r="C1282" i="7"/>
  <c r="B1283" i="7"/>
  <c r="C1283" i="7"/>
  <c r="B1284" i="7"/>
  <c r="C1284" i="7"/>
  <c r="B1285" i="7"/>
  <c r="C1285" i="7"/>
  <c r="B1286" i="7"/>
  <c r="C1286" i="7"/>
  <c r="B1287" i="7"/>
  <c r="C1287" i="7"/>
  <c r="B1288" i="7"/>
  <c r="C1288" i="7"/>
  <c r="B1289" i="7"/>
  <c r="C1289" i="7"/>
  <c r="B1290" i="7"/>
  <c r="C1290" i="7"/>
  <c r="B1291" i="7"/>
  <c r="C1291" i="7"/>
  <c r="B1292" i="7"/>
  <c r="C1292" i="7"/>
  <c r="B1293" i="7"/>
  <c r="C1293" i="7"/>
  <c r="B1294" i="7"/>
  <c r="C1294" i="7"/>
  <c r="B1295" i="7"/>
  <c r="C1295" i="7"/>
  <c r="B1296" i="7"/>
  <c r="C1296" i="7"/>
  <c r="B1297" i="7"/>
  <c r="C1297" i="7"/>
  <c r="B1298" i="7"/>
  <c r="C1298" i="7"/>
  <c r="B1299" i="7"/>
  <c r="C1299" i="7"/>
  <c r="B1300" i="7"/>
  <c r="C1300" i="7"/>
  <c r="B1301" i="7"/>
  <c r="C1301" i="7"/>
  <c r="B1302" i="7"/>
  <c r="C1302" i="7"/>
  <c r="B1303" i="7"/>
  <c r="C1303" i="7"/>
  <c r="B1304" i="7"/>
  <c r="C1304" i="7"/>
  <c r="B1305" i="7"/>
  <c r="C1305" i="7"/>
  <c r="B1306" i="7"/>
  <c r="C1306" i="7"/>
  <c r="B1307" i="7"/>
  <c r="C1307" i="7"/>
  <c r="B1308" i="7"/>
  <c r="C1308" i="7"/>
  <c r="B1309" i="7"/>
  <c r="C1309" i="7"/>
  <c r="B1310" i="7"/>
  <c r="C1310" i="7"/>
  <c r="B1311" i="7"/>
  <c r="C1311" i="7"/>
  <c r="B1312" i="7"/>
  <c r="C1312" i="7"/>
  <c r="B1313" i="7"/>
  <c r="C1313" i="7"/>
  <c r="B1314" i="7"/>
  <c r="C1314" i="7"/>
  <c r="B1315" i="7"/>
  <c r="C1315" i="7"/>
  <c r="B1316" i="7"/>
  <c r="C1316" i="7"/>
  <c r="B1317" i="7"/>
  <c r="C1317" i="7"/>
  <c r="B1318" i="7"/>
  <c r="C1318" i="7"/>
  <c r="B1319" i="7"/>
  <c r="C1319" i="7"/>
  <c r="B1320" i="7"/>
  <c r="C1320" i="7"/>
  <c r="B1321" i="7"/>
  <c r="C1321" i="7"/>
  <c r="B1322" i="7"/>
  <c r="C1322" i="7"/>
  <c r="B1323" i="7"/>
  <c r="C1323" i="7"/>
  <c r="B1324" i="7"/>
  <c r="C1324" i="7"/>
  <c r="B1325" i="7"/>
  <c r="C1325" i="7"/>
  <c r="B1326" i="7"/>
  <c r="C1326" i="7"/>
  <c r="B1327" i="7"/>
  <c r="C1327" i="7"/>
  <c r="B1328" i="7"/>
  <c r="C1328" i="7"/>
  <c r="B1329" i="7"/>
  <c r="C1329" i="7"/>
  <c r="B1330" i="7"/>
  <c r="C1330" i="7"/>
  <c r="B1331" i="7"/>
  <c r="C1331" i="7"/>
  <c r="B1332" i="7"/>
  <c r="C1332" i="7"/>
  <c r="B1333" i="7"/>
  <c r="C1333" i="7"/>
  <c r="B1334" i="7"/>
  <c r="C1334" i="7"/>
  <c r="B1335" i="7"/>
  <c r="C1335" i="7"/>
  <c r="B1336" i="7"/>
  <c r="C1336" i="7"/>
  <c r="B1337" i="7"/>
  <c r="C1337" i="7"/>
  <c r="B1338" i="7"/>
  <c r="C1338" i="7"/>
  <c r="B1339" i="7"/>
  <c r="C1339" i="7"/>
  <c r="B1340" i="7"/>
  <c r="C1340" i="7"/>
  <c r="B1341" i="7"/>
  <c r="C1341" i="7"/>
  <c r="B1342" i="7"/>
  <c r="C1342" i="7"/>
  <c r="B1343" i="7"/>
  <c r="C1343" i="7"/>
  <c r="B1344" i="7"/>
  <c r="C1344" i="7"/>
  <c r="B1345" i="7"/>
  <c r="C1345" i="7"/>
  <c r="B1346" i="7"/>
  <c r="C1346" i="7"/>
  <c r="B1347" i="7"/>
  <c r="C1347" i="7"/>
  <c r="B1348" i="7"/>
  <c r="C1348" i="7"/>
  <c r="B1349" i="7"/>
  <c r="C1349" i="7"/>
  <c r="B1350" i="7"/>
  <c r="C1350" i="7"/>
  <c r="B1351" i="7"/>
  <c r="C1351" i="7"/>
  <c r="B1352" i="7"/>
  <c r="C1352" i="7"/>
  <c r="B1353" i="7"/>
  <c r="C1353" i="7"/>
  <c r="B1354" i="7"/>
  <c r="C1354" i="7"/>
  <c r="B1355" i="7"/>
  <c r="C1355" i="7"/>
  <c r="B1356" i="7"/>
  <c r="C1356" i="7"/>
  <c r="B1357" i="7"/>
  <c r="C1357" i="7"/>
  <c r="B1358" i="7"/>
  <c r="C1358" i="7"/>
  <c r="B1359" i="7"/>
  <c r="C1359" i="7"/>
  <c r="B1360" i="7"/>
  <c r="C1360" i="7"/>
  <c r="B1361" i="7"/>
  <c r="C1361" i="7"/>
  <c r="B1362" i="7"/>
  <c r="C1362" i="7"/>
  <c r="B1363" i="7"/>
  <c r="C1363" i="7"/>
  <c r="B1364" i="7"/>
  <c r="C1364" i="7"/>
  <c r="B1365" i="7"/>
  <c r="C1365" i="7"/>
  <c r="B1366" i="7"/>
  <c r="C1366" i="7"/>
  <c r="B1367" i="7"/>
  <c r="C1367" i="7"/>
  <c r="B1368" i="7"/>
  <c r="C1368" i="7"/>
  <c r="B1369" i="7"/>
  <c r="C1369" i="7"/>
  <c r="B1370" i="7"/>
  <c r="C1370" i="7"/>
  <c r="B1371" i="7"/>
  <c r="C1371" i="7"/>
  <c r="B1372" i="7"/>
  <c r="C1372" i="7"/>
  <c r="B1373" i="7"/>
  <c r="C1373" i="7"/>
  <c r="B1374" i="7"/>
  <c r="C1374" i="7"/>
  <c r="B1375" i="7"/>
  <c r="C1375" i="7"/>
  <c r="B1376" i="7"/>
  <c r="C1376" i="7"/>
  <c r="B1377" i="7"/>
  <c r="C1377" i="7"/>
  <c r="B1378" i="7"/>
  <c r="C1378" i="7"/>
  <c r="B1379" i="7"/>
  <c r="C1379" i="7"/>
  <c r="B1380" i="7"/>
  <c r="C1380" i="7"/>
  <c r="B1381" i="7"/>
  <c r="C1381" i="7"/>
  <c r="B1382" i="7"/>
  <c r="C1382" i="7"/>
  <c r="B1383" i="7"/>
  <c r="C1383" i="7"/>
  <c r="B1384" i="7"/>
  <c r="C1384" i="7"/>
  <c r="B1385" i="7"/>
  <c r="C1385" i="7"/>
  <c r="B1386" i="7"/>
  <c r="C1386" i="7"/>
  <c r="B1387" i="7"/>
  <c r="C1387" i="7"/>
  <c r="B1388" i="7"/>
  <c r="C1388" i="7"/>
  <c r="B1389" i="7"/>
  <c r="C1389" i="7"/>
  <c r="B1390" i="7"/>
  <c r="C1390" i="7"/>
  <c r="B1391" i="7"/>
  <c r="C1391" i="7"/>
  <c r="B1392" i="7"/>
  <c r="C1392" i="7"/>
  <c r="B1393" i="7"/>
  <c r="C1393" i="7"/>
  <c r="B1394" i="7"/>
  <c r="C1394" i="7"/>
  <c r="B1395" i="7"/>
  <c r="C1395" i="7"/>
  <c r="B1396" i="7"/>
  <c r="C1396" i="7"/>
  <c r="B1397" i="7"/>
  <c r="C1397" i="7"/>
  <c r="B1398" i="7"/>
  <c r="C1398" i="7"/>
  <c r="B1399" i="7"/>
  <c r="C1399" i="7"/>
  <c r="B1400" i="7"/>
  <c r="C1400" i="7"/>
  <c r="B1401" i="7"/>
  <c r="C1401" i="7"/>
  <c r="B1402" i="7"/>
  <c r="C1402" i="7"/>
  <c r="B1403" i="7"/>
  <c r="C1403" i="7"/>
  <c r="B1404" i="7"/>
  <c r="C1404" i="7"/>
  <c r="B1405" i="7"/>
  <c r="C1405" i="7"/>
  <c r="B1406" i="7"/>
  <c r="C1406" i="7"/>
  <c r="B1407" i="7"/>
  <c r="C1407" i="7"/>
  <c r="B1408" i="7"/>
  <c r="C1408" i="7"/>
  <c r="B1409" i="7"/>
  <c r="C1409" i="7"/>
  <c r="B1410" i="7"/>
  <c r="C1410" i="7"/>
  <c r="B1411" i="7"/>
  <c r="C1411" i="7"/>
  <c r="B1412" i="7"/>
  <c r="C1412" i="7"/>
  <c r="B1413" i="7"/>
  <c r="C1413" i="7"/>
  <c r="B1414" i="7"/>
  <c r="C1414" i="7"/>
  <c r="B1415" i="7"/>
  <c r="C1415" i="7"/>
  <c r="B1416" i="7"/>
  <c r="C1416" i="7"/>
  <c r="B1417" i="7"/>
  <c r="C1417" i="7"/>
  <c r="B1418" i="7"/>
  <c r="C1418" i="7"/>
  <c r="B1419" i="7"/>
  <c r="C1419" i="7"/>
  <c r="B1420" i="7"/>
  <c r="C1420" i="7"/>
  <c r="B1421" i="7"/>
  <c r="C1421" i="7"/>
  <c r="B1422" i="7"/>
  <c r="C1422" i="7"/>
  <c r="B1423" i="7"/>
  <c r="C1423" i="7"/>
  <c r="B1424" i="7"/>
  <c r="C1424" i="7"/>
  <c r="B1425" i="7"/>
  <c r="C1425" i="7"/>
  <c r="B1426" i="7"/>
  <c r="C1426" i="7"/>
  <c r="B1427" i="7"/>
  <c r="C1427" i="7"/>
  <c r="B1428" i="7"/>
  <c r="C1428" i="7"/>
  <c r="B1429" i="7"/>
  <c r="C1429" i="7"/>
  <c r="B1430" i="7"/>
  <c r="C1430" i="7"/>
  <c r="B1431" i="7"/>
  <c r="C1431" i="7"/>
  <c r="B1432" i="7"/>
  <c r="C1432" i="7"/>
  <c r="B1433" i="7"/>
  <c r="C1433" i="7"/>
  <c r="B1434" i="7"/>
  <c r="C1434" i="7"/>
  <c r="B1435" i="7"/>
  <c r="C1435" i="7"/>
  <c r="B1436" i="7"/>
  <c r="C1436" i="7"/>
  <c r="B1437" i="7"/>
  <c r="C1437" i="7"/>
  <c r="B1438" i="7"/>
  <c r="C1438" i="7"/>
  <c r="B1439" i="7"/>
  <c r="C1439" i="7"/>
  <c r="B1440" i="7"/>
  <c r="C1440" i="7"/>
  <c r="B1441" i="7"/>
  <c r="C1441" i="7"/>
  <c r="B1442" i="7"/>
  <c r="C1442" i="7"/>
  <c r="B1443" i="7"/>
  <c r="C1443" i="7"/>
  <c r="B1444" i="7"/>
  <c r="C1444" i="7"/>
  <c r="B1445" i="7"/>
  <c r="C1445" i="7"/>
  <c r="B1446" i="7"/>
  <c r="C1446" i="7"/>
  <c r="B1447" i="7"/>
  <c r="C1447" i="7"/>
  <c r="B1448" i="7"/>
  <c r="C1448" i="7"/>
  <c r="B1449" i="7"/>
  <c r="C1449" i="7"/>
  <c r="B1450" i="7"/>
  <c r="C1450" i="7"/>
  <c r="B1451" i="7"/>
  <c r="C1451" i="7"/>
  <c r="B1452" i="7"/>
  <c r="C1452" i="7"/>
  <c r="B1453" i="7"/>
  <c r="C1453" i="7"/>
  <c r="B1454" i="7"/>
  <c r="C1454" i="7"/>
  <c r="B1455" i="7"/>
  <c r="C1455" i="7"/>
  <c r="B1456" i="7"/>
  <c r="C1456" i="7"/>
  <c r="B1457" i="7"/>
  <c r="C1457" i="7"/>
  <c r="B1458" i="7"/>
  <c r="C1458" i="7"/>
  <c r="B1459" i="7"/>
  <c r="C1459" i="7"/>
  <c r="B1460" i="7"/>
  <c r="C1460" i="7"/>
  <c r="B1461" i="7"/>
  <c r="C1461" i="7"/>
  <c r="B1462" i="7"/>
  <c r="C1462" i="7"/>
  <c r="B1463" i="7"/>
  <c r="C1463" i="7"/>
  <c r="B1464" i="7"/>
  <c r="C1464" i="7"/>
  <c r="B1465" i="7"/>
  <c r="C1465" i="7"/>
  <c r="B1466" i="7"/>
  <c r="C1466" i="7"/>
  <c r="B1467" i="7"/>
  <c r="C1467" i="7"/>
  <c r="B1468" i="7"/>
  <c r="C1468" i="7"/>
  <c r="B1469" i="7"/>
  <c r="C1469" i="7"/>
  <c r="B1470" i="7"/>
  <c r="C1470" i="7"/>
  <c r="B1471" i="7"/>
  <c r="C1471" i="7"/>
  <c r="B1472" i="7"/>
  <c r="C1472" i="7"/>
  <c r="B1473" i="7"/>
  <c r="C1473" i="7"/>
  <c r="B1474" i="7"/>
  <c r="C1474" i="7"/>
  <c r="B1475" i="7"/>
  <c r="C1475" i="7"/>
  <c r="B1476" i="7"/>
  <c r="C1476" i="7"/>
  <c r="B1477" i="7"/>
  <c r="C1477" i="7"/>
  <c r="B1478" i="7"/>
  <c r="C1478" i="7"/>
  <c r="B1479" i="7"/>
  <c r="C1479" i="7"/>
  <c r="B1480" i="7"/>
  <c r="C1480" i="7"/>
  <c r="B1481" i="7"/>
  <c r="C1481" i="7"/>
  <c r="B1482" i="7"/>
  <c r="C1482" i="7"/>
  <c r="B1483" i="7"/>
  <c r="C1483" i="7"/>
  <c r="B1484" i="7"/>
  <c r="C1484" i="7"/>
  <c r="B1485" i="7"/>
  <c r="C1485" i="7"/>
  <c r="B1486" i="7"/>
  <c r="C1486" i="7"/>
  <c r="B1487" i="7"/>
  <c r="C1487" i="7"/>
  <c r="B1488" i="7"/>
  <c r="C1488" i="7"/>
  <c r="B1489" i="7"/>
  <c r="C1489" i="7"/>
  <c r="B1490" i="7"/>
  <c r="C1490" i="7"/>
  <c r="B1491" i="7"/>
  <c r="C1491" i="7"/>
  <c r="B1492" i="7"/>
  <c r="C1492" i="7"/>
  <c r="B1493" i="7"/>
  <c r="C1493" i="7"/>
  <c r="B1494" i="7"/>
  <c r="C1494" i="7"/>
  <c r="B1495" i="7"/>
  <c r="C1495" i="7"/>
  <c r="B1496" i="7"/>
  <c r="C1496" i="7"/>
  <c r="B1497" i="7"/>
  <c r="C1497" i="7"/>
  <c r="B1498" i="7"/>
  <c r="C1498" i="7"/>
  <c r="B1499" i="7"/>
  <c r="C1499" i="7"/>
  <c r="B1500" i="7"/>
  <c r="C1500" i="7"/>
  <c r="B1501" i="7"/>
  <c r="C1501" i="7"/>
  <c r="B1502" i="7"/>
  <c r="C1502" i="7"/>
  <c r="B1503" i="7"/>
  <c r="C1503" i="7"/>
  <c r="B1504" i="7"/>
  <c r="C1504" i="7"/>
  <c r="B1505" i="7"/>
  <c r="C1505" i="7"/>
  <c r="B1506" i="7"/>
  <c r="C1506" i="7"/>
  <c r="B1507" i="7"/>
  <c r="C1507" i="7"/>
  <c r="B1508" i="7"/>
  <c r="C1508" i="7"/>
  <c r="B1509" i="7"/>
  <c r="C1509" i="7"/>
  <c r="B1510" i="7"/>
  <c r="C1510" i="7"/>
  <c r="B1511" i="7"/>
  <c r="C1511" i="7"/>
  <c r="B1512" i="7"/>
  <c r="C1512" i="7"/>
  <c r="B1513" i="7"/>
  <c r="C1513" i="7"/>
  <c r="B1514" i="7"/>
  <c r="C1514" i="7"/>
  <c r="B1515" i="7"/>
  <c r="C1515" i="7"/>
  <c r="B1516" i="7"/>
  <c r="C1516" i="7"/>
  <c r="B1517" i="7"/>
  <c r="C1517" i="7"/>
  <c r="B1518" i="7"/>
  <c r="C1518" i="7"/>
  <c r="B1519" i="7"/>
  <c r="C1519" i="7"/>
  <c r="B1520" i="7"/>
  <c r="C1520" i="7"/>
  <c r="B1521" i="7"/>
  <c r="C1521" i="7"/>
  <c r="B1522" i="7"/>
  <c r="C1522" i="7"/>
  <c r="B1523" i="7"/>
  <c r="C1523" i="7"/>
  <c r="B1524" i="7"/>
  <c r="C1524" i="7"/>
  <c r="B1525" i="7"/>
  <c r="C1525" i="7"/>
  <c r="B1526" i="7"/>
  <c r="C1526" i="7"/>
  <c r="B1527" i="7"/>
  <c r="C1527" i="7"/>
  <c r="B1528" i="7"/>
  <c r="C1528" i="7"/>
  <c r="B1529" i="7"/>
  <c r="C1529" i="7"/>
  <c r="B1530" i="7"/>
  <c r="C1530" i="7"/>
  <c r="B1531" i="7"/>
  <c r="C1531" i="7"/>
  <c r="B1532" i="7"/>
  <c r="C1532" i="7"/>
  <c r="B1533" i="7"/>
  <c r="C1533" i="7"/>
  <c r="B1534" i="7"/>
  <c r="C1534" i="7"/>
  <c r="B1535" i="7"/>
  <c r="C1535" i="7"/>
  <c r="B1536" i="7"/>
  <c r="C1536" i="7"/>
  <c r="B1537" i="7"/>
  <c r="C1537" i="7"/>
  <c r="B1538" i="7"/>
  <c r="C1538" i="7"/>
  <c r="B1539" i="7"/>
  <c r="C1539" i="7"/>
  <c r="B1540" i="7"/>
  <c r="C1540" i="7"/>
  <c r="B1541" i="7"/>
  <c r="C1541" i="7"/>
  <c r="B1542" i="7"/>
  <c r="C1542" i="7"/>
  <c r="B1543" i="7"/>
  <c r="C1543" i="7"/>
  <c r="B1544" i="7"/>
  <c r="C1544" i="7"/>
  <c r="B1545" i="7"/>
  <c r="C1545" i="7"/>
  <c r="B1546" i="7"/>
  <c r="C1546" i="7"/>
  <c r="B1547" i="7"/>
  <c r="C1547" i="7"/>
  <c r="B1548" i="7"/>
  <c r="C1548" i="7"/>
  <c r="B1549" i="7"/>
  <c r="C1549" i="7"/>
  <c r="B1550" i="7"/>
  <c r="C1550" i="7"/>
  <c r="B1551" i="7"/>
  <c r="C1551" i="7"/>
  <c r="B1552" i="7"/>
  <c r="C1552" i="7"/>
  <c r="B1553" i="7"/>
  <c r="C1553" i="7"/>
  <c r="B1554" i="7"/>
  <c r="C1554" i="7"/>
  <c r="B1555" i="7"/>
  <c r="C1555" i="7"/>
  <c r="B1556" i="7"/>
  <c r="C1556" i="7"/>
  <c r="B1557" i="7"/>
  <c r="C1557" i="7"/>
  <c r="B1558" i="7"/>
  <c r="C1558" i="7"/>
  <c r="B1559" i="7"/>
  <c r="C1559" i="7"/>
  <c r="B1560" i="7"/>
  <c r="C1560" i="7"/>
  <c r="B1561" i="7"/>
  <c r="C1561" i="7"/>
  <c r="B1562" i="7"/>
  <c r="C1562" i="7"/>
  <c r="B1563" i="7"/>
  <c r="C1563" i="7"/>
  <c r="B1564" i="7"/>
  <c r="C1564" i="7"/>
  <c r="B1565" i="7"/>
  <c r="C1565" i="7"/>
  <c r="B1566" i="7"/>
  <c r="C1566" i="7"/>
  <c r="B1567" i="7"/>
  <c r="C1567" i="7"/>
  <c r="B1568" i="7"/>
  <c r="C1568" i="7"/>
  <c r="B1569" i="7"/>
  <c r="C1569" i="7"/>
  <c r="B1570" i="7"/>
  <c r="C1570" i="7"/>
  <c r="B1571" i="7"/>
  <c r="C1571" i="7"/>
  <c r="B1572" i="7"/>
  <c r="C1572" i="7"/>
  <c r="B1573" i="7"/>
  <c r="C1573" i="7"/>
  <c r="B1574" i="7"/>
  <c r="C1574" i="7"/>
  <c r="B1575" i="7"/>
  <c r="C1575" i="7"/>
  <c r="B1576" i="7"/>
  <c r="C1576" i="7"/>
  <c r="B1577" i="7"/>
  <c r="C1577" i="7"/>
  <c r="B1578" i="7"/>
  <c r="C1578" i="7"/>
  <c r="B1579" i="7"/>
  <c r="C1579" i="7"/>
  <c r="B1580" i="7"/>
  <c r="C1580" i="7"/>
  <c r="B1581" i="7"/>
  <c r="C1581" i="7"/>
  <c r="B1582" i="7"/>
  <c r="C1582" i="7"/>
  <c r="B1583" i="7"/>
  <c r="C1583" i="7"/>
  <c r="B1584" i="7"/>
  <c r="C1584" i="7"/>
  <c r="B1585" i="7"/>
  <c r="C1585" i="7"/>
  <c r="B1586" i="7"/>
  <c r="C1586" i="7"/>
  <c r="B1587" i="7"/>
  <c r="C1587" i="7"/>
  <c r="B1588" i="7"/>
  <c r="C1588" i="7"/>
  <c r="B1589" i="7"/>
  <c r="C1589" i="7"/>
  <c r="B1590" i="7"/>
  <c r="C1590" i="7"/>
  <c r="B1591" i="7"/>
  <c r="C1591" i="7"/>
  <c r="B1592" i="7"/>
  <c r="C1592" i="7"/>
  <c r="B1593" i="7"/>
  <c r="C1593" i="7"/>
  <c r="B1594" i="7"/>
  <c r="C1594" i="7"/>
  <c r="B1595" i="7"/>
  <c r="C1595" i="7"/>
  <c r="B1596" i="7"/>
  <c r="C1596" i="7"/>
  <c r="B1597" i="7"/>
  <c r="C1597" i="7"/>
  <c r="B1598" i="7"/>
  <c r="C1598" i="7"/>
  <c r="B1599" i="7"/>
  <c r="C1599" i="7"/>
  <c r="B1600" i="7"/>
  <c r="C1600" i="7"/>
  <c r="B1601" i="7"/>
  <c r="C1601" i="7"/>
  <c r="B1602" i="7"/>
  <c r="C1602" i="7"/>
  <c r="B1603" i="7"/>
  <c r="C1603" i="7"/>
  <c r="B1604" i="7"/>
  <c r="C1604" i="7"/>
  <c r="B1605" i="7"/>
  <c r="C1605" i="7"/>
  <c r="B1606" i="7"/>
  <c r="C1606" i="7"/>
  <c r="B1607" i="7"/>
  <c r="C1607" i="7"/>
  <c r="B1608" i="7"/>
  <c r="C1608" i="7"/>
  <c r="B1609" i="7"/>
  <c r="C1609" i="7"/>
  <c r="B1610" i="7"/>
  <c r="C1610" i="7"/>
  <c r="B1611" i="7"/>
  <c r="C1611" i="7"/>
  <c r="B1612" i="7"/>
  <c r="C1612" i="7"/>
  <c r="B1613" i="7"/>
  <c r="C1613" i="7"/>
  <c r="B1614" i="7"/>
  <c r="C1614" i="7"/>
  <c r="B1615" i="7"/>
  <c r="C1615" i="7"/>
  <c r="B1616" i="7"/>
  <c r="C1616" i="7"/>
  <c r="B1617" i="7"/>
  <c r="C1617" i="7"/>
  <c r="B1618" i="7"/>
  <c r="C1618" i="7"/>
  <c r="B1619" i="7"/>
  <c r="C1619" i="7"/>
  <c r="B1620" i="7"/>
  <c r="C1620" i="7"/>
  <c r="B1621" i="7"/>
  <c r="C1621" i="7"/>
  <c r="B1622" i="7"/>
  <c r="C1622" i="7"/>
  <c r="B1623" i="7"/>
  <c r="C1623" i="7"/>
  <c r="B1624" i="7"/>
  <c r="C1624" i="7"/>
  <c r="B1625" i="7"/>
  <c r="C1625" i="7"/>
  <c r="B1626" i="7"/>
  <c r="C1626" i="7"/>
  <c r="B1627" i="7"/>
  <c r="C1627" i="7"/>
  <c r="B1628" i="7"/>
  <c r="C1628" i="7"/>
  <c r="B1629" i="7"/>
  <c r="C1629" i="7"/>
  <c r="B1630" i="7"/>
  <c r="C1630" i="7"/>
  <c r="B1631" i="7"/>
  <c r="C1631" i="7"/>
  <c r="B1632" i="7"/>
  <c r="C1632" i="7"/>
  <c r="B1633" i="7"/>
  <c r="C1633" i="7"/>
  <c r="B1634" i="7"/>
  <c r="C1634" i="7"/>
  <c r="B1635" i="7"/>
  <c r="C1635" i="7"/>
  <c r="B1636" i="7"/>
  <c r="C1636" i="7"/>
  <c r="B1637" i="7"/>
  <c r="C1637" i="7"/>
  <c r="B1638" i="7"/>
  <c r="C1638" i="7"/>
  <c r="B1639" i="7"/>
  <c r="C1639" i="7"/>
  <c r="B1640" i="7"/>
  <c r="C1640" i="7"/>
  <c r="B1641" i="7"/>
  <c r="C1641" i="7"/>
  <c r="B1642" i="7"/>
  <c r="C1642" i="7"/>
  <c r="B1643" i="7"/>
  <c r="C1643" i="7"/>
  <c r="B1644" i="7"/>
  <c r="C1644" i="7"/>
  <c r="B1645" i="7"/>
  <c r="C1645" i="7"/>
  <c r="B1646" i="7"/>
  <c r="C1646" i="7"/>
  <c r="B1647" i="7"/>
  <c r="C1647" i="7"/>
  <c r="B1648" i="7"/>
  <c r="C1648" i="7"/>
  <c r="B1649" i="7"/>
  <c r="C1649" i="7"/>
  <c r="B1650" i="7"/>
  <c r="C1650" i="7"/>
  <c r="B1651" i="7"/>
  <c r="C1651" i="7"/>
  <c r="B1652" i="7"/>
  <c r="C1652" i="7"/>
  <c r="B1653" i="7"/>
  <c r="C1653" i="7"/>
  <c r="B1654" i="7"/>
  <c r="C1654" i="7"/>
  <c r="B1655" i="7"/>
  <c r="C1655" i="7"/>
  <c r="B1656" i="7"/>
  <c r="C1656" i="7"/>
  <c r="B1657" i="7"/>
  <c r="C1657" i="7"/>
  <c r="B1658" i="7"/>
  <c r="C1658" i="7"/>
  <c r="B1659" i="7"/>
  <c r="C1659" i="7"/>
  <c r="B1660" i="7"/>
  <c r="C1660" i="7"/>
  <c r="B1661" i="7"/>
  <c r="C1661" i="7"/>
  <c r="B1662" i="7"/>
  <c r="C1662" i="7"/>
  <c r="B1663" i="7"/>
  <c r="C1663" i="7"/>
  <c r="B1664" i="7"/>
  <c r="C1664" i="7"/>
  <c r="B1665" i="7"/>
  <c r="C1665" i="7"/>
  <c r="B1666" i="7"/>
  <c r="C1666" i="7"/>
  <c r="B1667" i="7"/>
  <c r="C1667" i="7"/>
  <c r="B1668" i="7"/>
  <c r="C1668" i="7"/>
  <c r="B1669" i="7"/>
  <c r="C1669" i="7"/>
  <c r="B1670" i="7"/>
  <c r="C1670" i="7"/>
  <c r="B1671" i="7"/>
  <c r="C1671" i="7"/>
  <c r="B1672" i="7"/>
  <c r="C1672" i="7"/>
  <c r="B1673" i="7"/>
  <c r="C1673" i="7"/>
  <c r="B1674" i="7"/>
  <c r="C1674" i="7"/>
  <c r="B1675" i="7"/>
  <c r="C1675" i="7"/>
  <c r="B1676" i="7"/>
  <c r="C1676" i="7"/>
  <c r="B1677" i="7"/>
  <c r="C1677" i="7"/>
  <c r="B1678" i="7"/>
  <c r="C1678" i="7"/>
  <c r="B1679" i="7"/>
  <c r="C1679" i="7"/>
  <c r="B1680" i="7"/>
  <c r="C1680" i="7"/>
  <c r="B1681" i="7"/>
  <c r="C1681" i="7"/>
  <c r="B1682" i="7"/>
  <c r="C1682" i="7"/>
  <c r="B1683" i="7"/>
  <c r="C1683" i="7"/>
  <c r="B1684" i="7"/>
  <c r="C1684" i="7"/>
  <c r="B1685" i="7"/>
  <c r="C1685" i="7"/>
  <c r="B1686" i="7"/>
  <c r="C1686" i="7"/>
  <c r="B1687" i="7"/>
  <c r="C1687" i="7"/>
  <c r="B1688" i="7"/>
  <c r="C1688" i="7"/>
  <c r="B1689" i="7"/>
  <c r="C1689" i="7"/>
  <c r="B1690" i="7"/>
  <c r="C1690" i="7"/>
  <c r="B1691" i="7"/>
  <c r="C1691" i="7"/>
  <c r="B1692" i="7"/>
  <c r="C1692" i="7"/>
  <c r="B1693" i="7"/>
  <c r="C1693" i="7"/>
  <c r="B1694" i="7"/>
  <c r="C1694" i="7"/>
  <c r="B1695" i="7"/>
  <c r="C1695" i="7"/>
  <c r="B1696" i="7"/>
  <c r="C1696" i="7"/>
  <c r="B1697" i="7"/>
  <c r="C1697" i="7"/>
  <c r="B1698" i="7"/>
  <c r="C1698" i="7"/>
  <c r="B1699" i="7"/>
  <c r="C1699" i="7"/>
  <c r="B1700" i="7"/>
  <c r="C1700" i="7"/>
  <c r="B1701" i="7"/>
  <c r="C1701" i="7"/>
  <c r="B1702" i="7"/>
  <c r="C1702" i="7"/>
  <c r="B1703" i="7"/>
  <c r="C1703" i="7"/>
  <c r="B1704" i="7"/>
  <c r="C1704" i="7"/>
  <c r="B1705" i="7"/>
  <c r="C1705" i="7"/>
  <c r="B1706" i="7"/>
  <c r="C1706" i="7"/>
  <c r="B1707" i="7"/>
  <c r="C1707" i="7"/>
  <c r="B1708" i="7"/>
  <c r="C1708" i="7"/>
  <c r="B1709" i="7"/>
  <c r="C1709" i="7"/>
  <c r="B1710" i="7"/>
  <c r="C1710" i="7"/>
  <c r="B1711" i="7"/>
  <c r="C1711" i="7"/>
  <c r="B1712" i="7"/>
  <c r="C1712" i="7"/>
  <c r="B1713" i="7"/>
  <c r="C1713" i="7"/>
  <c r="B1714" i="7"/>
  <c r="C1714" i="7"/>
  <c r="B1715" i="7"/>
  <c r="C1715" i="7"/>
  <c r="B1716" i="7"/>
  <c r="C1716" i="7"/>
  <c r="B1717" i="7"/>
  <c r="C1717" i="7"/>
  <c r="B1718" i="7"/>
  <c r="C1718" i="7"/>
  <c r="B1719" i="7"/>
  <c r="C1719" i="7"/>
  <c r="B1720" i="7"/>
  <c r="C1720" i="7"/>
  <c r="B1721" i="7"/>
  <c r="C1721" i="7"/>
  <c r="B1722" i="7"/>
  <c r="C1722" i="7"/>
  <c r="B1723" i="7"/>
  <c r="C1723" i="7"/>
  <c r="B1724" i="7"/>
  <c r="C1724" i="7"/>
  <c r="B1725" i="7"/>
  <c r="C1725" i="7"/>
  <c r="B1726" i="7"/>
  <c r="C1726" i="7"/>
  <c r="B1727" i="7"/>
  <c r="C1727" i="7"/>
  <c r="B1728" i="7"/>
  <c r="C1728" i="7"/>
  <c r="B1729" i="7"/>
  <c r="C1729" i="7"/>
  <c r="B1730" i="7"/>
  <c r="C1730" i="7"/>
  <c r="B1731" i="7"/>
  <c r="C1731" i="7"/>
  <c r="B1732" i="7"/>
  <c r="C1732" i="7"/>
  <c r="B1733" i="7"/>
  <c r="C1733" i="7"/>
  <c r="B1734" i="7"/>
  <c r="C1734" i="7"/>
  <c r="B1735" i="7"/>
  <c r="C1735" i="7"/>
  <c r="B1736" i="7"/>
  <c r="C1736" i="7"/>
  <c r="B1737" i="7"/>
  <c r="C1737" i="7"/>
  <c r="B1738" i="7"/>
  <c r="C1738" i="7"/>
  <c r="B1739" i="7"/>
  <c r="C1739" i="7"/>
  <c r="B1740" i="7"/>
  <c r="C1740" i="7"/>
  <c r="B1741" i="7"/>
  <c r="C1741" i="7"/>
  <c r="B1742" i="7"/>
  <c r="C1742" i="7"/>
  <c r="B1743" i="7"/>
  <c r="C1743" i="7"/>
  <c r="B1744" i="7"/>
  <c r="C1744" i="7"/>
  <c r="B1745" i="7"/>
  <c r="C1745" i="7"/>
  <c r="B1746" i="7"/>
  <c r="C1746" i="7"/>
  <c r="B1747" i="7"/>
  <c r="C1747" i="7"/>
  <c r="B1748" i="7"/>
  <c r="C1748" i="7"/>
  <c r="B1749" i="7"/>
  <c r="C1749" i="7"/>
  <c r="B1750" i="7"/>
  <c r="C1750" i="7"/>
  <c r="B1751" i="7"/>
  <c r="C1751" i="7"/>
  <c r="B1752" i="7"/>
  <c r="C1752" i="7"/>
  <c r="B1753" i="7"/>
  <c r="C1753" i="7"/>
  <c r="B1754" i="7"/>
  <c r="C1754" i="7"/>
  <c r="B1755" i="7"/>
  <c r="C1755" i="7"/>
  <c r="B1756" i="7"/>
  <c r="C1756" i="7"/>
  <c r="B1757" i="7"/>
  <c r="C1757" i="7"/>
  <c r="B1758" i="7"/>
  <c r="C1758" i="7"/>
  <c r="B1759" i="7"/>
  <c r="C1759" i="7"/>
  <c r="B1760" i="7"/>
  <c r="C1760" i="7"/>
  <c r="B1761" i="7"/>
  <c r="C1761" i="7"/>
  <c r="B1762" i="7"/>
  <c r="C1762" i="7"/>
  <c r="B1763" i="7"/>
  <c r="C1763" i="7"/>
  <c r="B1764" i="7"/>
  <c r="C1764" i="7"/>
  <c r="B1765" i="7"/>
  <c r="C1765" i="7"/>
  <c r="B1766" i="7"/>
  <c r="C1766" i="7"/>
  <c r="B1767" i="7"/>
  <c r="C1767" i="7"/>
  <c r="B1768" i="7"/>
  <c r="C1768" i="7"/>
  <c r="B1769" i="7"/>
  <c r="C1769" i="7"/>
  <c r="B1770" i="7"/>
  <c r="C1770" i="7"/>
  <c r="B1771" i="7"/>
  <c r="C1771" i="7"/>
  <c r="B1772" i="7"/>
  <c r="C1772" i="7"/>
  <c r="B1773" i="7"/>
  <c r="C1773" i="7"/>
  <c r="B1774" i="7"/>
  <c r="C1774" i="7"/>
  <c r="B1775" i="7"/>
  <c r="C1775" i="7"/>
  <c r="B1776" i="7"/>
  <c r="C1776" i="7"/>
  <c r="B1777" i="7"/>
  <c r="C1777" i="7"/>
  <c r="B1778" i="7"/>
  <c r="C1778" i="7"/>
  <c r="B1779" i="7"/>
  <c r="C1779" i="7"/>
  <c r="B1780" i="7"/>
  <c r="C1780" i="7"/>
  <c r="B1781" i="7"/>
  <c r="C1781" i="7"/>
  <c r="B1782" i="7"/>
  <c r="C1782" i="7"/>
  <c r="B1783" i="7"/>
  <c r="C1783" i="7"/>
  <c r="B1784" i="7"/>
  <c r="C1784" i="7"/>
  <c r="B1785" i="7"/>
  <c r="C1785" i="7"/>
  <c r="B1786" i="7"/>
  <c r="C1786" i="7"/>
  <c r="B1787" i="7"/>
  <c r="C1787" i="7"/>
  <c r="B1788" i="7"/>
  <c r="C1788" i="7"/>
  <c r="B1789" i="7"/>
  <c r="C1789" i="7"/>
  <c r="B1790" i="7"/>
  <c r="C1790" i="7"/>
  <c r="B1791" i="7"/>
  <c r="C1791" i="7"/>
  <c r="B1792" i="7"/>
  <c r="C1792" i="7"/>
  <c r="B1793" i="7"/>
  <c r="C1793" i="7"/>
  <c r="B1794" i="7"/>
  <c r="C1794" i="7"/>
  <c r="B1795" i="7"/>
  <c r="C1795" i="7"/>
  <c r="B1796" i="7"/>
  <c r="C1796" i="7"/>
  <c r="B1797" i="7"/>
  <c r="C1797" i="7"/>
  <c r="B1798" i="7"/>
  <c r="C1798" i="7"/>
  <c r="B1799" i="7"/>
  <c r="C1799" i="7"/>
  <c r="B1800" i="7"/>
  <c r="C1800" i="7"/>
  <c r="B1801" i="7"/>
  <c r="C1801" i="7"/>
  <c r="B1802" i="7"/>
  <c r="C1802" i="7"/>
  <c r="B1803" i="7"/>
  <c r="C1803" i="7"/>
  <c r="B1804" i="7"/>
  <c r="C1804" i="7"/>
  <c r="B1805" i="7"/>
  <c r="C1805" i="7"/>
  <c r="B1806" i="7"/>
  <c r="C1806" i="7"/>
  <c r="B1807" i="7"/>
  <c r="C1807" i="7"/>
  <c r="B1808" i="7"/>
  <c r="C1808" i="7"/>
  <c r="B1809" i="7"/>
  <c r="C1809" i="7"/>
  <c r="B1810" i="7"/>
  <c r="C1810" i="7"/>
  <c r="B1811" i="7"/>
  <c r="C1811" i="7"/>
  <c r="B1812" i="7"/>
  <c r="C1812" i="7"/>
  <c r="B1813" i="7"/>
  <c r="C1813" i="7"/>
  <c r="B1814" i="7"/>
  <c r="C1814" i="7"/>
  <c r="B1815" i="7"/>
  <c r="C1815" i="7"/>
  <c r="B1816" i="7"/>
  <c r="C1816" i="7"/>
  <c r="B1817" i="7"/>
  <c r="C1817" i="7"/>
  <c r="B1818" i="7"/>
  <c r="C1818" i="7"/>
  <c r="B1819" i="7"/>
  <c r="C1819" i="7"/>
  <c r="B1820" i="7"/>
  <c r="C1820" i="7"/>
  <c r="B1821" i="7"/>
  <c r="C1821" i="7"/>
  <c r="B1822" i="7"/>
  <c r="C1822" i="7"/>
  <c r="B1823" i="7"/>
  <c r="C1823" i="7"/>
  <c r="B1824" i="7"/>
  <c r="C1824" i="7"/>
  <c r="B1825" i="7"/>
  <c r="C1825" i="7"/>
  <c r="B1826" i="7"/>
  <c r="C1826" i="7"/>
  <c r="B1827" i="7"/>
  <c r="C1827" i="7"/>
  <c r="B1828" i="7"/>
  <c r="C1828" i="7"/>
  <c r="B1829" i="7"/>
  <c r="C1829" i="7"/>
  <c r="B1830" i="7"/>
  <c r="C1830" i="7"/>
  <c r="B1831" i="7"/>
  <c r="C1831" i="7"/>
  <c r="B1832" i="7"/>
  <c r="C1832" i="7"/>
  <c r="B1833" i="7"/>
  <c r="C1833" i="7"/>
  <c r="B1834" i="7"/>
  <c r="C1834" i="7"/>
  <c r="B1835" i="7"/>
  <c r="C1835" i="7"/>
  <c r="B1836" i="7"/>
  <c r="C1836" i="7"/>
  <c r="B1837" i="7"/>
  <c r="C1837" i="7"/>
  <c r="B1838" i="7"/>
  <c r="C1838" i="7"/>
  <c r="B1839" i="7"/>
  <c r="C1839" i="7"/>
  <c r="B1840" i="7"/>
  <c r="C1840" i="7"/>
  <c r="B1841" i="7"/>
  <c r="C1841" i="7"/>
  <c r="B1842" i="7"/>
  <c r="C1842" i="7"/>
  <c r="B1843" i="7"/>
  <c r="C1843" i="7"/>
  <c r="B1844" i="7"/>
  <c r="C1844" i="7"/>
  <c r="B1845" i="7"/>
  <c r="C1845" i="7"/>
  <c r="B1846" i="7"/>
  <c r="C1846" i="7"/>
  <c r="B1847" i="7"/>
  <c r="C1847" i="7"/>
  <c r="B1848" i="7"/>
  <c r="C1848" i="7"/>
  <c r="B1849" i="7"/>
  <c r="C1849" i="7"/>
  <c r="B1850" i="7"/>
  <c r="C1850" i="7"/>
  <c r="B1851" i="7"/>
  <c r="C1851" i="7"/>
  <c r="B1852" i="7"/>
  <c r="C1852" i="7"/>
  <c r="B1853" i="7"/>
  <c r="C1853" i="7"/>
  <c r="B1854" i="7"/>
  <c r="C1854" i="7"/>
  <c r="B1855" i="7"/>
  <c r="C1855" i="7"/>
  <c r="B1856" i="7"/>
  <c r="C1856" i="7"/>
  <c r="B1857" i="7"/>
  <c r="C1857" i="7"/>
  <c r="B1858" i="7"/>
  <c r="C1858" i="7"/>
  <c r="B1859" i="7"/>
  <c r="C1859" i="7"/>
  <c r="B1860" i="7"/>
  <c r="C1860" i="7"/>
  <c r="B1861" i="7"/>
  <c r="C1861" i="7"/>
  <c r="B1862" i="7"/>
  <c r="C1862" i="7"/>
  <c r="B1863" i="7"/>
  <c r="C1863" i="7"/>
  <c r="B1864" i="7"/>
  <c r="C1864" i="7"/>
  <c r="B1865" i="7"/>
  <c r="C1865" i="7"/>
  <c r="B1866" i="7"/>
  <c r="C1866" i="7"/>
  <c r="B1867" i="7"/>
  <c r="C1867" i="7"/>
  <c r="B1868" i="7"/>
  <c r="C1868" i="7"/>
  <c r="B1869" i="7"/>
  <c r="C1869" i="7"/>
  <c r="B1870" i="7"/>
  <c r="C1870" i="7"/>
  <c r="B1871" i="7"/>
  <c r="C1871" i="7"/>
  <c r="B1872" i="7"/>
  <c r="C1872" i="7"/>
  <c r="B1873" i="7"/>
  <c r="C1873" i="7"/>
  <c r="B1874" i="7"/>
  <c r="C1874" i="7"/>
  <c r="B1875" i="7"/>
  <c r="C1875" i="7"/>
  <c r="B1876" i="7"/>
  <c r="C1876" i="7"/>
  <c r="B1877" i="7"/>
  <c r="C1877" i="7"/>
  <c r="B1878" i="7"/>
  <c r="C1878" i="7"/>
  <c r="B1879" i="7"/>
  <c r="C1879" i="7"/>
  <c r="B1880" i="7"/>
  <c r="C1880" i="7"/>
  <c r="B1881" i="7"/>
  <c r="C1881" i="7"/>
  <c r="B1882" i="7"/>
  <c r="C1882" i="7"/>
  <c r="B1883" i="7"/>
  <c r="C1883" i="7"/>
  <c r="B1884" i="7"/>
  <c r="C1884" i="7"/>
  <c r="B1885" i="7"/>
  <c r="C1885" i="7"/>
  <c r="B1886" i="7"/>
  <c r="C1886" i="7"/>
  <c r="B1887" i="7"/>
  <c r="C1887" i="7"/>
  <c r="B1888" i="7"/>
  <c r="C1888" i="7"/>
  <c r="B1889" i="7"/>
  <c r="C1889" i="7"/>
  <c r="B1890" i="7"/>
  <c r="C1890" i="7"/>
  <c r="B1891" i="7"/>
  <c r="C1891" i="7"/>
  <c r="B1892" i="7"/>
  <c r="C1892" i="7"/>
  <c r="B1893" i="7"/>
  <c r="C1893" i="7"/>
  <c r="B1894" i="7"/>
  <c r="C1894" i="7"/>
  <c r="B1895" i="7"/>
  <c r="C1895" i="7"/>
  <c r="B1896" i="7"/>
  <c r="C1896" i="7"/>
  <c r="B1897" i="7"/>
  <c r="C1897" i="7"/>
  <c r="B1898" i="7"/>
  <c r="C1898" i="7"/>
  <c r="B1899" i="7"/>
  <c r="C1899" i="7"/>
  <c r="B1900" i="7"/>
  <c r="C1900" i="7"/>
  <c r="B1901" i="7"/>
  <c r="C1901" i="7"/>
  <c r="B1902" i="7"/>
  <c r="C1902" i="7"/>
  <c r="B1903" i="7"/>
  <c r="C1903" i="7"/>
  <c r="B1904" i="7"/>
  <c r="C1904" i="7"/>
  <c r="B1905" i="7"/>
  <c r="C1905" i="7"/>
  <c r="B1906" i="7"/>
  <c r="C1906" i="7"/>
  <c r="B1907" i="7"/>
  <c r="C1907" i="7"/>
  <c r="B1908" i="7"/>
  <c r="C1908" i="7"/>
  <c r="B1909" i="7"/>
  <c r="C1909" i="7"/>
  <c r="B1910" i="7"/>
  <c r="C1910" i="7"/>
  <c r="B1911" i="7"/>
  <c r="C1911" i="7"/>
  <c r="B1912" i="7"/>
  <c r="C1912" i="7"/>
  <c r="B1913" i="7"/>
  <c r="C1913" i="7"/>
  <c r="B1914" i="7"/>
  <c r="C1914" i="7"/>
  <c r="B1915" i="7"/>
  <c r="C1915" i="7"/>
  <c r="B1916" i="7"/>
  <c r="C1916" i="7"/>
  <c r="B1917" i="7"/>
  <c r="C1917" i="7"/>
  <c r="B1918" i="7"/>
  <c r="C1918" i="7"/>
  <c r="B1919" i="7"/>
  <c r="C1919" i="7"/>
  <c r="B1920" i="7"/>
  <c r="C1920" i="7"/>
  <c r="B1921" i="7"/>
  <c r="C1921" i="7"/>
  <c r="B1922" i="7"/>
  <c r="C1922" i="7"/>
  <c r="B1923" i="7"/>
  <c r="C1923" i="7"/>
  <c r="B1924" i="7"/>
  <c r="C1924" i="7"/>
  <c r="B1925" i="7"/>
  <c r="C1925" i="7"/>
  <c r="B1926" i="7"/>
  <c r="C1926" i="7"/>
  <c r="B1927" i="7"/>
  <c r="C1927" i="7"/>
  <c r="B1928" i="7"/>
  <c r="C1928" i="7"/>
  <c r="B1929" i="7"/>
  <c r="C1929" i="7"/>
  <c r="B1930" i="7"/>
  <c r="C1930" i="7"/>
  <c r="B1931" i="7"/>
  <c r="C1931" i="7"/>
  <c r="B1932" i="7"/>
  <c r="C1932" i="7"/>
  <c r="B1933" i="7"/>
  <c r="C1933" i="7"/>
  <c r="B1934" i="7"/>
  <c r="C1934" i="7"/>
  <c r="B1935" i="7"/>
  <c r="C1935" i="7"/>
  <c r="B1936" i="7"/>
  <c r="C1936" i="7"/>
  <c r="B1937" i="7"/>
  <c r="C1937" i="7"/>
  <c r="B1938" i="7"/>
  <c r="C1938" i="7"/>
  <c r="B1939" i="7"/>
  <c r="C1939" i="7"/>
  <c r="B1940" i="7"/>
  <c r="C1940" i="7"/>
  <c r="B1941" i="7"/>
  <c r="C1941" i="7"/>
  <c r="B1942" i="7"/>
  <c r="C1942" i="7"/>
  <c r="B1943" i="7"/>
  <c r="C1943" i="7"/>
  <c r="B1944" i="7"/>
  <c r="C1944" i="7"/>
  <c r="B1945" i="7"/>
  <c r="C1945" i="7"/>
  <c r="B1946" i="7"/>
  <c r="C1946" i="7"/>
  <c r="B1947" i="7"/>
  <c r="C1947" i="7"/>
  <c r="B1948" i="7"/>
  <c r="C1948" i="7"/>
  <c r="B1949" i="7"/>
  <c r="C1949" i="7"/>
  <c r="B1950" i="7"/>
  <c r="C1950" i="7"/>
  <c r="B1951" i="7"/>
  <c r="C1951" i="7"/>
  <c r="B1952" i="7"/>
  <c r="C1952" i="7"/>
  <c r="B1953" i="7"/>
  <c r="C1953" i="7"/>
  <c r="B1954" i="7"/>
  <c r="C1954" i="7"/>
  <c r="B1955" i="7"/>
  <c r="C1955" i="7"/>
  <c r="B1956" i="7"/>
  <c r="C1956" i="7"/>
  <c r="B1957" i="7"/>
  <c r="C1957" i="7"/>
  <c r="B1958" i="7"/>
  <c r="C1958" i="7"/>
  <c r="B1959" i="7"/>
  <c r="C1959" i="7"/>
  <c r="B1960" i="7"/>
  <c r="C1960" i="7"/>
  <c r="B1961" i="7"/>
  <c r="C1961" i="7"/>
  <c r="B1962" i="7"/>
  <c r="C1962" i="7"/>
  <c r="B1963" i="7"/>
  <c r="C1963" i="7"/>
  <c r="B1964" i="7"/>
  <c r="C1964" i="7"/>
  <c r="B1965" i="7"/>
  <c r="C1965" i="7"/>
  <c r="B1966" i="7"/>
  <c r="C1966" i="7"/>
  <c r="B1967" i="7"/>
  <c r="C1967" i="7"/>
  <c r="B1968" i="7"/>
  <c r="C1968" i="7"/>
  <c r="B1969" i="7"/>
  <c r="C1969" i="7"/>
  <c r="B1970" i="7"/>
  <c r="C1970" i="7"/>
  <c r="B1971" i="7"/>
  <c r="C1971" i="7"/>
  <c r="B1972" i="7"/>
  <c r="C1972" i="7"/>
  <c r="B1973" i="7"/>
  <c r="C1973" i="7"/>
  <c r="B1974" i="7"/>
  <c r="C1974" i="7"/>
  <c r="B1975" i="7"/>
  <c r="C1975" i="7"/>
  <c r="B1976" i="7"/>
  <c r="C1976" i="7"/>
  <c r="B1977" i="7"/>
  <c r="C1977" i="7"/>
  <c r="B1978" i="7"/>
  <c r="C1978" i="7"/>
  <c r="B1979" i="7"/>
  <c r="C1979" i="7"/>
  <c r="B1980" i="7"/>
  <c r="C1980" i="7"/>
  <c r="B1981" i="7"/>
  <c r="C1981" i="7"/>
  <c r="B1982" i="7"/>
  <c r="C1982" i="7"/>
  <c r="B1983" i="7"/>
  <c r="C1983" i="7"/>
  <c r="B1984" i="7"/>
  <c r="C1984" i="7"/>
  <c r="B1985" i="7"/>
  <c r="C1985" i="7"/>
  <c r="B1986" i="7"/>
  <c r="C1986" i="7"/>
  <c r="B1987" i="7"/>
  <c r="C1987" i="7"/>
  <c r="B1988" i="7"/>
  <c r="C1988" i="7"/>
  <c r="B1989" i="7"/>
  <c r="C1989" i="7"/>
  <c r="B1990" i="7"/>
  <c r="C1990" i="7"/>
  <c r="B1991" i="7"/>
  <c r="C1991" i="7"/>
  <c r="B1992" i="7"/>
  <c r="C1992" i="7"/>
  <c r="B1993" i="7"/>
  <c r="C1993" i="7"/>
  <c r="B1994" i="7"/>
  <c r="C1994" i="7"/>
  <c r="B1995" i="7"/>
  <c r="C1995" i="7"/>
  <c r="B1996" i="7"/>
  <c r="C1996" i="7"/>
  <c r="B1997" i="7"/>
  <c r="C1997" i="7"/>
  <c r="B1998" i="7"/>
  <c r="C1998" i="7"/>
  <c r="B1999" i="7"/>
  <c r="C1999" i="7"/>
  <c r="B2000" i="7"/>
  <c r="C2000" i="7"/>
  <c r="B2001" i="7"/>
  <c r="C2001" i="7"/>
  <c r="B2002" i="7"/>
  <c r="C2002" i="7"/>
  <c r="B2003" i="7"/>
  <c r="C2003" i="7"/>
  <c r="B2004" i="7"/>
  <c r="C2004" i="7"/>
  <c r="B2005" i="7"/>
  <c r="C2005" i="7"/>
  <c r="B2006" i="7"/>
  <c r="C2006" i="7"/>
  <c r="B2007" i="7"/>
  <c r="C2007" i="7"/>
  <c r="B2008" i="7"/>
  <c r="C2008" i="7"/>
  <c r="B2009" i="7"/>
  <c r="C2009" i="7"/>
  <c r="B2010" i="7"/>
  <c r="C2010" i="7"/>
  <c r="B2011" i="7"/>
  <c r="C2011" i="7"/>
  <c r="B2012" i="7"/>
  <c r="C2012" i="7"/>
  <c r="B2013" i="7"/>
  <c r="C2013" i="7"/>
  <c r="B2014" i="7"/>
  <c r="C2014" i="7"/>
  <c r="B2015" i="7"/>
  <c r="C2015" i="7"/>
  <c r="B2016" i="7"/>
  <c r="C2016" i="7"/>
  <c r="B2017" i="7"/>
  <c r="C2017" i="7"/>
  <c r="B2018" i="7"/>
  <c r="C2018" i="7"/>
  <c r="B2019" i="7"/>
  <c r="C2019" i="7"/>
  <c r="B2020" i="7"/>
  <c r="C2020" i="7"/>
  <c r="B2021" i="7"/>
  <c r="C2021" i="7"/>
  <c r="B2022" i="7"/>
  <c r="C2022" i="7"/>
  <c r="B2023" i="7"/>
  <c r="C2023" i="7"/>
  <c r="B2024" i="7"/>
  <c r="C2024" i="7"/>
  <c r="B2025" i="7"/>
  <c r="C2025" i="7"/>
  <c r="B2026" i="7"/>
  <c r="C2026" i="7"/>
  <c r="B2027" i="7"/>
  <c r="C2027" i="7"/>
  <c r="B2028" i="7"/>
  <c r="C2028" i="7"/>
  <c r="B2029" i="7"/>
  <c r="C2029" i="7"/>
  <c r="B2030" i="7"/>
  <c r="C2030" i="7"/>
  <c r="B2031" i="7"/>
  <c r="C2031" i="7"/>
  <c r="B2032" i="7"/>
  <c r="C2032" i="7"/>
  <c r="B2033" i="7"/>
  <c r="C2033" i="7"/>
  <c r="B2034" i="7"/>
  <c r="C2034" i="7"/>
  <c r="B2035" i="7"/>
  <c r="C2035" i="7"/>
  <c r="B2036" i="7"/>
  <c r="C2036" i="7"/>
  <c r="B2037" i="7"/>
  <c r="C2037" i="7"/>
  <c r="B2038" i="7"/>
  <c r="C2038" i="7"/>
  <c r="B2039" i="7"/>
  <c r="C2039" i="7"/>
  <c r="B2040" i="7"/>
  <c r="C2040" i="7"/>
  <c r="B2041" i="7"/>
  <c r="C2041" i="7"/>
  <c r="B2042" i="7"/>
  <c r="C2042" i="7"/>
  <c r="B2043" i="7"/>
  <c r="C2043" i="7"/>
  <c r="B2044" i="7"/>
  <c r="C2044" i="7"/>
  <c r="B2045" i="7"/>
  <c r="C2045" i="7"/>
  <c r="B2046" i="7"/>
  <c r="C2046" i="7"/>
  <c r="B2047" i="7"/>
  <c r="C2047" i="7"/>
  <c r="B2048" i="7"/>
  <c r="C2048" i="7"/>
  <c r="B2049" i="7"/>
  <c r="C2049" i="7"/>
  <c r="B2050" i="7"/>
  <c r="C2050" i="7"/>
  <c r="B2051" i="7"/>
  <c r="C2051" i="7"/>
  <c r="B2052" i="7"/>
  <c r="C2052" i="7"/>
  <c r="B2053" i="7"/>
  <c r="C2053" i="7"/>
  <c r="B2054" i="7"/>
  <c r="C2054" i="7"/>
  <c r="B2055" i="7"/>
  <c r="C2055" i="7"/>
  <c r="B2056" i="7"/>
  <c r="C2056" i="7"/>
  <c r="B2057" i="7"/>
  <c r="C2057" i="7"/>
  <c r="B2058" i="7"/>
  <c r="C2058" i="7"/>
  <c r="B2059" i="7"/>
  <c r="C2059" i="7"/>
  <c r="B2060" i="7"/>
  <c r="C2060" i="7"/>
  <c r="B2061" i="7"/>
  <c r="C2061" i="7"/>
  <c r="B2062" i="7"/>
  <c r="C2062" i="7"/>
  <c r="B2063" i="7"/>
  <c r="C2063" i="7"/>
  <c r="B2064" i="7"/>
  <c r="C2064" i="7"/>
  <c r="B2065" i="7"/>
  <c r="C2065" i="7"/>
  <c r="B2066" i="7"/>
  <c r="C2066" i="7"/>
  <c r="B2067" i="7"/>
  <c r="C2067" i="7"/>
  <c r="B2068" i="7"/>
  <c r="C2068" i="7"/>
  <c r="B2069" i="7"/>
  <c r="C2069" i="7"/>
  <c r="B2070" i="7"/>
  <c r="C2070" i="7"/>
  <c r="B2071" i="7"/>
  <c r="C2071" i="7"/>
  <c r="B2072" i="7"/>
  <c r="C2072" i="7"/>
  <c r="B2073" i="7"/>
  <c r="C2073" i="7"/>
  <c r="B2074" i="7"/>
  <c r="C2074" i="7"/>
  <c r="B2075" i="7"/>
  <c r="C2075" i="7"/>
  <c r="B2076" i="7"/>
  <c r="C2076" i="7"/>
  <c r="B2077" i="7"/>
  <c r="C2077" i="7"/>
  <c r="B2078" i="7"/>
  <c r="C2078" i="7"/>
  <c r="B2079" i="7"/>
  <c r="C2079" i="7"/>
  <c r="B2080" i="7"/>
  <c r="C2080" i="7"/>
  <c r="B2081" i="7"/>
  <c r="C2081" i="7"/>
  <c r="B2082" i="7"/>
  <c r="C2082" i="7"/>
  <c r="B2083" i="7"/>
  <c r="C2083" i="7"/>
  <c r="B2084" i="7"/>
  <c r="C2084" i="7"/>
  <c r="B2085" i="7"/>
  <c r="C2085" i="7"/>
  <c r="B2086" i="7"/>
  <c r="C2086" i="7"/>
  <c r="B2087" i="7"/>
  <c r="C2087" i="7"/>
  <c r="B2088" i="7"/>
  <c r="C2088" i="7"/>
  <c r="B2089" i="7"/>
  <c r="C2089" i="7"/>
  <c r="B2090" i="7"/>
  <c r="C2090" i="7"/>
  <c r="B2091" i="7"/>
  <c r="C2091" i="7"/>
  <c r="B2092" i="7"/>
  <c r="C2092" i="7"/>
  <c r="B2093" i="7"/>
  <c r="C2093" i="7"/>
  <c r="B2094" i="7"/>
  <c r="C2094" i="7"/>
  <c r="B2095" i="7"/>
  <c r="C2095" i="7"/>
  <c r="B2096" i="7"/>
  <c r="C2096" i="7"/>
  <c r="B2097" i="7"/>
  <c r="C2097" i="7"/>
  <c r="B2098" i="7"/>
  <c r="C2098" i="7"/>
  <c r="B2099" i="7"/>
  <c r="C2099" i="7"/>
  <c r="B2100" i="7"/>
  <c r="C2100" i="7"/>
  <c r="B2101" i="7"/>
  <c r="C2101" i="7"/>
  <c r="B2102" i="7"/>
  <c r="C2102" i="7"/>
  <c r="B2103" i="7"/>
  <c r="C2103" i="7"/>
  <c r="B2104" i="7"/>
  <c r="C2104" i="7"/>
  <c r="B2105" i="7"/>
  <c r="C2105" i="7"/>
  <c r="B2106" i="7"/>
  <c r="C2106" i="7"/>
  <c r="B2107" i="7"/>
  <c r="C2107" i="7"/>
  <c r="B2108" i="7"/>
  <c r="C2108" i="7"/>
  <c r="B2109" i="7"/>
  <c r="C2109" i="7"/>
  <c r="B2110" i="7"/>
  <c r="C2110" i="7"/>
  <c r="B2111" i="7"/>
  <c r="C2111" i="7"/>
  <c r="B2112" i="7"/>
  <c r="C2112" i="7"/>
  <c r="B2113" i="7"/>
  <c r="C2113" i="7"/>
  <c r="B2114" i="7"/>
  <c r="C2114" i="7"/>
  <c r="B2115" i="7"/>
  <c r="C2115" i="7"/>
  <c r="B2116" i="7"/>
  <c r="C2116" i="7"/>
  <c r="B2117" i="7"/>
  <c r="C2117" i="7"/>
  <c r="B2118" i="7"/>
  <c r="C2118" i="7"/>
  <c r="B2119" i="7"/>
  <c r="C2119" i="7"/>
  <c r="B2120" i="7"/>
  <c r="C2120" i="7"/>
  <c r="B2121" i="7"/>
  <c r="C2121" i="7"/>
  <c r="B2122" i="7"/>
  <c r="C2122" i="7"/>
  <c r="B2123" i="7"/>
  <c r="C2123" i="7"/>
  <c r="B2124" i="7"/>
  <c r="C2124" i="7"/>
  <c r="B2125" i="7"/>
  <c r="C2125" i="7"/>
  <c r="B2126" i="7"/>
  <c r="C2126" i="7"/>
  <c r="B2127" i="7"/>
  <c r="C2127" i="7"/>
  <c r="B2128" i="7"/>
  <c r="C2128" i="7"/>
  <c r="B2129" i="7"/>
  <c r="C2129" i="7"/>
  <c r="B2130" i="7"/>
  <c r="C2130" i="7"/>
  <c r="B2131" i="7"/>
  <c r="C2131" i="7"/>
  <c r="B2132" i="7"/>
  <c r="C2132" i="7"/>
  <c r="B2133" i="7"/>
  <c r="C2133" i="7"/>
  <c r="B2134" i="7"/>
  <c r="C2134" i="7"/>
  <c r="B2135" i="7"/>
  <c r="C2135" i="7"/>
  <c r="B2136" i="7"/>
  <c r="C2136" i="7"/>
  <c r="B2137" i="7"/>
  <c r="C2137" i="7"/>
  <c r="B2138" i="7"/>
  <c r="C2138" i="7"/>
  <c r="B2139" i="7"/>
  <c r="C2139" i="7"/>
  <c r="B2140" i="7"/>
  <c r="C2140" i="7"/>
  <c r="B2141" i="7"/>
  <c r="C2141" i="7"/>
  <c r="B2142" i="7"/>
  <c r="C2142" i="7"/>
  <c r="B2143" i="7"/>
  <c r="C2143" i="7"/>
  <c r="B2144" i="7"/>
  <c r="C2144" i="7"/>
  <c r="B2145" i="7"/>
  <c r="C2145" i="7"/>
  <c r="B2146" i="7"/>
  <c r="C2146" i="7"/>
  <c r="B2147" i="7"/>
  <c r="C2147" i="7"/>
  <c r="B2148" i="7"/>
  <c r="C2148" i="7"/>
  <c r="B2149" i="7"/>
  <c r="C2149" i="7"/>
  <c r="B2150" i="7"/>
  <c r="C2150" i="7"/>
  <c r="B2151" i="7"/>
  <c r="C2151" i="7"/>
  <c r="B2152" i="7"/>
  <c r="C2152" i="7"/>
  <c r="B2153" i="7"/>
  <c r="C2153" i="7"/>
  <c r="B2154" i="7"/>
  <c r="C2154" i="7"/>
  <c r="B2155" i="7"/>
  <c r="C2155" i="7"/>
  <c r="B2156" i="7"/>
  <c r="C2156" i="7"/>
  <c r="B2157" i="7"/>
  <c r="C2157" i="7"/>
  <c r="B2158" i="7"/>
  <c r="C2158" i="7"/>
  <c r="B2159" i="7"/>
  <c r="C2159" i="7"/>
  <c r="B2160" i="7"/>
  <c r="C2160" i="7"/>
  <c r="B2161" i="7"/>
  <c r="C2161" i="7"/>
  <c r="B2162" i="7"/>
  <c r="C2162" i="7"/>
  <c r="B2163" i="7"/>
  <c r="C2163" i="7"/>
  <c r="B2164" i="7"/>
  <c r="C2164" i="7"/>
  <c r="B2165" i="7"/>
  <c r="C2165" i="7"/>
  <c r="B2166" i="7"/>
  <c r="C2166" i="7"/>
  <c r="B2167" i="7"/>
  <c r="C2167" i="7"/>
  <c r="B2168" i="7"/>
  <c r="C2168" i="7"/>
  <c r="B2169" i="7"/>
  <c r="C2169" i="7"/>
  <c r="B2170" i="7"/>
  <c r="C2170" i="7"/>
  <c r="B2171" i="7"/>
  <c r="C2171" i="7"/>
  <c r="B2172" i="7"/>
  <c r="C2172" i="7"/>
  <c r="B2173" i="7"/>
  <c r="C2173" i="7"/>
  <c r="B2174" i="7"/>
  <c r="C2174" i="7"/>
  <c r="B2175" i="7"/>
  <c r="C2175" i="7"/>
  <c r="B2176" i="7"/>
  <c r="C2176" i="7"/>
  <c r="B2177" i="7"/>
  <c r="C2177" i="7"/>
  <c r="B2178" i="7"/>
  <c r="C2178" i="7"/>
  <c r="B2179" i="7"/>
  <c r="C2179" i="7"/>
  <c r="B2180" i="7"/>
  <c r="C2180" i="7"/>
  <c r="B2181" i="7"/>
  <c r="C2181" i="7"/>
  <c r="B2182" i="7"/>
  <c r="C2182" i="7"/>
  <c r="B2183" i="7"/>
  <c r="C2183" i="7"/>
  <c r="B2184" i="7"/>
  <c r="C2184" i="7"/>
  <c r="B2185" i="7"/>
  <c r="C2185" i="7"/>
  <c r="B2186" i="7"/>
  <c r="C2186" i="7"/>
  <c r="B2187" i="7"/>
  <c r="C2187" i="7"/>
  <c r="B2188" i="7"/>
  <c r="C2188" i="7"/>
  <c r="B2189" i="7"/>
  <c r="C2189" i="7"/>
  <c r="B2190" i="7"/>
  <c r="C2190" i="7"/>
  <c r="B2191" i="7"/>
  <c r="C2191" i="7"/>
  <c r="B2192" i="7"/>
  <c r="C2192" i="7"/>
  <c r="B2193" i="7"/>
  <c r="C2193" i="7"/>
  <c r="B2194" i="7"/>
  <c r="C2194" i="7"/>
  <c r="B2195" i="7"/>
  <c r="C2195" i="7"/>
  <c r="B2196" i="7"/>
  <c r="C2196" i="7"/>
  <c r="B2197" i="7"/>
  <c r="C2197" i="7"/>
  <c r="B2198" i="7"/>
  <c r="C2198" i="7"/>
  <c r="B2199" i="7"/>
  <c r="C2199" i="7"/>
  <c r="B2200" i="7"/>
  <c r="C2200" i="7"/>
  <c r="B2201" i="7"/>
  <c r="C2201" i="7"/>
  <c r="B2202" i="7"/>
  <c r="C2202" i="7"/>
  <c r="B2203" i="7"/>
  <c r="C2203" i="7"/>
  <c r="B2204" i="7"/>
  <c r="C2204" i="7"/>
  <c r="B2205" i="7"/>
  <c r="C2205" i="7"/>
  <c r="B2206" i="7"/>
  <c r="C2206" i="7"/>
  <c r="B2207" i="7"/>
  <c r="C2207" i="7"/>
  <c r="B2208" i="7"/>
  <c r="C2208" i="7"/>
  <c r="B2209" i="7"/>
  <c r="C2209" i="7"/>
  <c r="B2210" i="7"/>
  <c r="C2210" i="7"/>
  <c r="B2211" i="7"/>
  <c r="C2211" i="7"/>
  <c r="B2212" i="7"/>
  <c r="C2212" i="7"/>
  <c r="B2213" i="7"/>
  <c r="C2213" i="7"/>
  <c r="B2214" i="7"/>
  <c r="C2214" i="7"/>
  <c r="B2215" i="7"/>
  <c r="C2215" i="7"/>
  <c r="B2216" i="7"/>
  <c r="C2216" i="7"/>
  <c r="B2217" i="7"/>
  <c r="C2217" i="7"/>
  <c r="B2218" i="7"/>
  <c r="C2218" i="7"/>
  <c r="B2219" i="7"/>
  <c r="C2219" i="7"/>
  <c r="B2220" i="7"/>
  <c r="C2220" i="7"/>
  <c r="B2221" i="7"/>
  <c r="C2221" i="7"/>
  <c r="B2222" i="7"/>
  <c r="C2222" i="7"/>
  <c r="B2223" i="7"/>
  <c r="C2223" i="7"/>
  <c r="B2224" i="7"/>
  <c r="C2224" i="7"/>
  <c r="B2225" i="7"/>
  <c r="C2225" i="7"/>
  <c r="B2226" i="7"/>
  <c r="C2226" i="7"/>
  <c r="B2227" i="7"/>
  <c r="C2227" i="7"/>
  <c r="B2228" i="7"/>
  <c r="C2228" i="7"/>
  <c r="B2229" i="7"/>
  <c r="C2229" i="7"/>
  <c r="B2230" i="7"/>
  <c r="C2230" i="7"/>
  <c r="B2231" i="7"/>
  <c r="C2231" i="7"/>
  <c r="B2232" i="7"/>
  <c r="C2232" i="7"/>
  <c r="B2233" i="7"/>
  <c r="C2233" i="7"/>
  <c r="B2234" i="7"/>
  <c r="C2234" i="7"/>
  <c r="B2235" i="7"/>
  <c r="C2235" i="7"/>
  <c r="B2236" i="7"/>
  <c r="C2236" i="7"/>
  <c r="B2237" i="7"/>
  <c r="C2237" i="7"/>
  <c r="B2238" i="7"/>
  <c r="C2238" i="7"/>
  <c r="B2239" i="7"/>
  <c r="C2239" i="7"/>
  <c r="B2240" i="7"/>
  <c r="C2240" i="7"/>
  <c r="B2241" i="7"/>
  <c r="C2241" i="7"/>
  <c r="B2242" i="7"/>
  <c r="C2242" i="7"/>
  <c r="B2243" i="7"/>
  <c r="C2243" i="7"/>
  <c r="B2244" i="7"/>
  <c r="C2244" i="7"/>
  <c r="B2245" i="7"/>
  <c r="C2245" i="7"/>
  <c r="B2246" i="7"/>
  <c r="C2246" i="7"/>
  <c r="B2247" i="7"/>
  <c r="C2247" i="7"/>
  <c r="B2248" i="7"/>
  <c r="C2248" i="7"/>
  <c r="B2249" i="7"/>
  <c r="C2249" i="7"/>
  <c r="B2250" i="7"/>
  <c r="C2250" i="7"/>
  <c r="B2251" i="7"/>
  <c r="C2251" i="7"/>
  <c r="B2252" i="7"/>
  <c r="C2252" i="7"/>
  <c r="B2253" i="7"/>
  <c r="C2253" i="7"/>
  <c r="B2254" i="7"/>
  <c r="C2254" i="7"/>
  <c r="B2255" i="7"/>
  <c r="C2255" i="7"/>
  <c r="B2256" i="7"/>
  <c r="C2256" i="7"/>
  <c r="B2257" i="7"/>
  <c r="C2257" i="7"/>
  <c r="B2258" i="7"/>
  <c r="C2258" i="7"/>
  <c r="B2259" i="7"/>
  <c r="C2259" i="7"/>
  <c r="B2260" i="7"/>
  <c r="C2260" i="7"/>
  <c r="B2261" i="7"/>
  <c r="C2261" i="7"/>
  <c r="B2262" i="7"/>
  <c r="C2262" i="7"/>
  <c r="B2263" i="7"/>
  <c r="C2263" i="7"/>
  <c r="B2264" i="7"/>
  <c r="C2264" i="7"/>
  <c r="B2265" i="7"/>
  <c r="C2265" i="7"/>
  <c r="B2266" i="7"/>
  <c r="C2266" i="7"/>
  <c r="B2267" i="7"/>
  <c r="C2267" i="7"/>
  <c r="B2268" i="7"/>
  <c r="C2268" i="7"/>
  <c r="B2269" i="7"/>
  <c r="C2269" i="7"/>
  <c r="B2270" i="7"/>
  <c r="C2270" i="7"/>
  <c r="B2271" i="7"/>
  <c r="C2271" i="7"/>
  <c r="B2272" i="7"/>
  <c r="C2272" i="7"/>
  <c r="B2273" i="7"/>
  <c r="C2273" i="7"/>
  <c r="B2274" i="7"/>
  <c r="C2274" i="7"/>
  <c r="B2275" i="7"/>
  <c r="C2275" i="7"/>
  <c r="B2276" i="7"/>
  <c r="C2276" i="7"/>
  <c r="B2277" i="7"/>
  <c r="C2277" i="7"/>
  <c r="B2278" i="7"/>
  <c r="C2278" i="7"/>
  <c r="B2279" i="7"/>
  <c r="C2279" i="7"/>
  <c r="B2280" i="7"/>
  <c r="C2280" i="7"/>
  <c r="B2281" i="7"/>
  <c r="C2281" i="7"/>
  <c r="B2282" i="7"/>
  <c r="C2282" i="7"/>
  <c r="B2283" i="7"/>
  <c r="C2283" i="7"/>
  <c r="B2284" i="7"/>
  <c r="C2284" i="7"/>
  <c r="B2285" i="7"/>
  <c r="C2285" i="7"/>
  <c r="B2286" i="7"/>
  <c r="C2286" i="7"/>
  <c r="B2287" i="7"/>
  <c r="C2287" i="7"/>
  <c r="B2288" i="7"/>
  <c r="C2288" i="7"/>
  <c r="B2289" i="7"/>
  <c r="C2289" i="7"/>
  <c r="B2290" i="7"/>
  <c r="C2290" i="7"/>
  <c r="B2291" i="7"/>
  <c r="C2291" i="7"/>
  <c r="B2292" i="7"/>
  <c r="C2292" i="7"/>
  <c r="B2293" i="7"/>
  <c r="C2293" i="7"/>
  <c r="B2294" i="7"/>
  <c r="C2294" i="7"/>
  <c r="B2295" i="7"/>
  <c r="C2295" i="7"/>
  <c r="B2296" i="7"/>
  <c r="C2296" i="7"/>
  <c r="B2297" i="7"/>
  <c r="C2297" i="7"/>
  <c r="B2298" i="7"/>
  <c r="C2298" i="7"/>
  <c r="B2299" i="7"/>
  <c r="C2299" i="7"/>
  <c r="B2300" i="7"/>
  <c r="C2300" i="7"/>
  <c r="B2301" i="7"/>
  <c r="C2301" i="7"/>
  <c r="B2302" i="7"/>
  <c r="C2302" i="7"/>
  <c r="B2303" i="7"/>
  <c r="C2303" i="7"/>
  <c r="B2304" i="7"/>
  <c r="C2304" i="7"/>
  <c r="B2305" i="7"/>
  <c r="C2305" i="7"/>
  <c r="B2306" i="7"/>
  <c r="C2306" i="7"/>
  <c r="B2307" i="7"/>
  <c r="C2307" i="7"/>
  <c r="B2308" i="7"/>
  <c r="C2308" i="7"/>
  <c r="B2309" i="7"/>
  <c r="C2309" i="7"/>
  <c r="B2310" i="7"/>
  <c r="C2310" i="7"/>
  <c r="B2311" i="7"/>
  <c r="C2311" i="7"/>
  <c r="B2312" i="7"/>
  <c r="C2312" i="7"/>
  <c r="B2313" i="7"/>
  <c r="C2313" i="7"/>
  <c r="B2314" i="7"/>
  <c r="C2314" i="7"/>
  <c r="B2315" i="7"/>
  <c r="C2315" i="7"/>
  <c r="B2316" i="7"/>
  <c r="C2316" i="7"/>
  <c r="B2317" i="7"/>
  <c r="C2317" i="7"/>
  <c r="B2318" i="7"/>
  <c r="C2318" i="7"/>
  <c r="B2319" i="7"/>
  <c r="C2319" i="7"/>
  <c r="B2320" i="7"/>
  <c r="C2320" i="7"/>
  <c r="B2321" i="7"/>
  <c r="C2321" i="7"/>
  <c r="B2322" i="7"/>
  <c r="C2322" i="7"/>
  <c r="B2323" i="7"/>
  <c r="C2323" i="7"/>
  <c r="B2324" i="7"/>
  <c r="C2324" i="7"/>
  <c r="B2325" i="7"/>
  <c r="C2325" i="7"/>
  <c r="B2326" i="7"/>
  <c r="C2326" i="7"/>
  <c r="B2327" i="7"/>
  <c r="C2327" i="7"/>
  <c r="B2328" i="7"/>
  <c r="C2328" i="7"/>
  <c r="B2329" i="7"/>
  <c r="C2329" i="7"/>
  <c r="B2330" i="7"/>
  <c r="C2330" i="7"/>
  <c r="B2331" i="7"/>
  <c r="C2331" i="7"/>
  <c r="B2332" i="7"/>
  <c r="C2332" i="7"/>
  <c r="B2333" i="7"/>
  <c r="C2333" i="7"/>
  <c r="B2334" i="7"/>
  <c r="C2334" i="7"/>
  <c r="B2335" i="7"/>
  <c r="C2335" i="7"/>
  <c r="B2336" i="7"/>
  <c r="C2336" i="7"/>
  <c r="B2337" i="7"/>
  <c r="C2337" i="7"/>
  <c r="B2338" i="7"/>
  <c r="C2338" i="7"/>
  <c r="B2339" i="7"/>
  <c r="C2339" i="7"/>
  <c r="B2340" i="7"/>
  <c r="C2340" i="7"/>
  <c r="B2341" i="7"/>
  <c r="C2341" i="7"/>
  <c r="B2342" i="7"/>
  <c r="C2342" i="7"/>
  <c r="B2343" i="7"/>
  <c r="C2343" i="7"/>
  <c r="B2344" i="7"/>
  <c r="C2344" i="7"/>
  <c r="B2345" i="7"/>
  <c r="C2345" i="7"/>
  <c r="B2346" i="7"/>
  <c r="C2346" i="7"/>
  <c r="B2347" i="7"/>
  <c r="C2347" i="7"/>
  <c r="B2348" i="7"/>
  <c r="C2348" i="7"/>
  <c r="B2349" i="7"/>
  <c r="C2349" i="7"/>
  <c r="B2350" i="7"/>
  <c r="C2350" i="7"/>
  <c r="B2351" i="7"/>
  <c r="C2351" i="7"/>
  <c r="B2352" i="7"/>
  <c r="C2352" i="7"/>
  <c r="B2353" i="7"/>
  <c r="C2353" i="7"/>
  <c r="B2354" i="7"/>
  <c r="C2354" i="7"/>
  <c r="B2355" i="7"/>
  <c r="C2355" i="7"/>
  <c r="B2356" i="7"/>
  <c r="C2356" i="7"/>
  <c r="B2357" i="7"/>
  <c r="C2357" i="7"/>
  <c r="B2358" i="7"/>
  <c r="C2358" i="7"/>
  <c r="B2359" i="7"/>
  <c r="C2359" i="7"/>
  <c r="B2360" i="7"/>
  <c r="C2360" i="7"/>
  <c r="B2361" i="7"/>
  <c r="C2361" i="7"/>
  <c r="B2362" i="7"/>
  <c r="C2362" i="7"/>
  <c r="B2363" i="7"/>
  <c r="C2363" i="7"/>
  <c r="B2364" i="7"/>
  <c r="C2364" i="7"/>
  <c r="B2365" i="7"/>
  <c r="C2365" i="7"/>
  <c r="B2366" i="7"/>
  <c r="C2366" i="7"/>
  <c r="B2367" i="7"/>
  <c r="C2367" i="7"/>
  <c r="B2368" i="7"/>
  <c r="C2368" i="7"/>
  <c r="B2369" i="7"/>
  <c r="C2369" i="7"/>
  <c r="B2370" i="7"/>
  <c r="C2370" i="7"/>
  <c r="B2371" i="7"/>
  <c r="C2371" i="7"/>
  <c r="B2372" i="7"/>
  <c r="C2372" i="7"/>
  <c r="B2373" i="7"/>
  <c r="C2373" i="7"/>
  <c r="B2374" i="7"/>
  <c r="C2374" i="7"/>
  <c r="B2375" i="7"/>
  <c r="C2375" i="7"/>
  <c r="B2376" i="7"/>
  <c r="C2376" i="7"/>
  <c r="B2377" i="7"/>
  <c r="C2377" i="7"/>
  <c r="B2378" i="7"/>
  <c r="C2378" i="7"/>
  <c r="B2379" i="7"/>
  <c r="C2379" i="7"/>
  <c r="B2380" i="7"/>
  <c r="C2380" i="7"/>
  <c r="B2381" i="7"/>
  <c r="C2381" i="7"/>
  <c r="B2382" i="7"/>
  <c r="C2382" i="7"/>
  <c r="B2383" i="7"/>
  <c r="C2383" i="7"/>
  <c r="B2384" i="7"/>
  <c r="C2384" i="7"/>
  <c r="B2385" i="7"/>
  <c r="C2385" i="7"/>
  <c r="B2386" i="7"/>
  <c r="C2386" i="7"/>
  <c r="B2387" i="7"/>
  <c r="C2387" i="7"/>
  <c r="B2388" i="7"/>
  <c r="C2388" i="7"/>
  <c r="B2389" i="7"/>
  <c r="C2389" i="7"/>
  <c r="B2390" i="7"/>
  <c r="C2390" i="7"/>
  <c r="B2391" i="7"/>
  <c r="C2391" i="7"/>
  <c r="B2392" i="7"/>
  <c r="C2392" i="7"/>
  <c r="B2393" i="7"/>
  <c r="C2393" i="7"/>
  <c r="B2394" i="7"/>
  <c r="C2394" i="7"/>
  <c r="B2395" i="7"/>
  <c r="C2395" i="7"/>
  <c r="B2396" i="7"/>
  <c r="C2396" i="7"/>
  <c r="B2397" i="7"/>
  <c r="C2397" i="7"/>
  <c r="B2398" i="7"/>
  <c r="C2398" i="7"/>
  <c r="B2399" i="7"/>
  <c r="C2399" i="7"/>
  <c r="B2400" i="7"/>
  <c r="C2400" i="7"/>
  <c r="B2401" i="7"/>
  <c r="C2401" i="7"/>
  <c r="B2402" i="7"/>
  <c r="C2402" i="7"/>
  <c r="B2403" i="7"/>
  <c r="C2403" i="7"/>
  <c r="B2404" i="7"/>
  <c r="C2404" i="7"/>
  <c r="B2405" i="7"/>
  <c r="C2405" i="7"/>
  <c r="B2406" i="7"/>
  <c r="C2406" i="7"/>
  <c r="B2407" i="7"/>
  <c r="C2407" i="7"/>
  <c r="B2408" i="7"/>
  <c r="C2408" i="7"/>
  <c r="B2409" i="7"/>
  <c r="C2409" i="7"/>
  <c r="B2410" i="7"/>
  <c r="C2410" i="7"/>
  <c r="B2411" i="7"/>
  <c r="C2411" i="7"/>
  <c r="B2412" i="7"/>
  <c r="C2412" i="7"/>
  <c r="B2413" i="7"/>
  <c r="C2413" i="7"/>
  <c r="B2414" i="7"/>
  <c r="C2414" i="7"/>
  <c r="B2415" i="7"/>
  <c r="C2415" i="7"/>
  <c r="B2416" i="7"/>
  <c r="C2416" i="7"/>
  <c r="B2417" i="7"/>
  <c r="C2417" i="7"/>
  <c r="B2418" i="7"/>
  <c r="C2418" i="7"/>
  <c r="B2419" i="7"/>
  <c r="C2419" i="7"/>
  <c r="B2420" i="7"/>
  <c r="C2420" i="7"/>
  <c r="B2421" i="7"/>
  <c r="C2421" i="7"/>
  <c r="B2422" i="7"/>
  <c r="C2422" i="7"/>
  <c r="B2423" i="7"/>
  <c r="C2423" i="7"/>
  <c r="B2424" i="7"/>
  <c r="C2424" i="7"/>
  <c r="B2425" i="7"/>
  <c r="C2425" i="7"/>
  <c r="B2426" i="7"/>
  <c r="C2426" i="7"/>
  <c r="B2427" i="7"/>
  <c r="C2427" i="7"/>
  <c r="B2428" i="7"/>
  <c r="C2428" i="7"/>
  <c r="B2429" i="7"/>
  <c r="C2429" i="7"/>
  <c r="B2430" i="7"/>
  <c r="C2430" i="7"/>
  <c r="B2431" i="7"/>
  <c r="C2431" i="7"/>
  <c r="B2432" i="7"/>
  <c r="C2432" i="7"/>
  <c r="B2433" i="7"/>
  <c r="C2433" i="7"/>
  <c r="B2434" i="7"/>
  <c r="C2434" i="7"/>
  <c r="B2435" i="7"/>
  <c r="C2435" i="7"/>
  <c r="B2436" i="7"/>
  <c r="C2436" i="7"/>
  <c r="B2437" i="7"/>
  <c r="C2437" i="7"/>
  <c r="B2438" i="7"/>
  <c r="C2438" i="7"/>
  <c r="B2439" i="7"/>
  <c r="C2439" i="7"/>
  <c r="B2440" i="7"/>
  <c r="C2440" i="7"/>
  <c r="B2441" i="7"/>
  <c r="C2441" i="7"/>
  <c r="B2442" i="7"/>
  <c r="C2442" i="7"/>
  <c r="B2443" i="7"/>
  <c r="C2443" i="7"/>
  <c r="B2444" i="7"/>
  <c r="C2444" i="7"/>
  <c r="B2445" i="7"/>
  <c r="C2445" i="7"/>
  <c r="B2446" i="7"/>
  <c r="C2446" i="7"/>
  <c r="B2447" i="7"/>
  <c r="C2447" i="7"/>
  <c r="B2448" i="7"/>
  <c r="C2448" i="7"/>
  <c r="B2449" i="7"/>
  <c r="C2449" i="7"/>
  <c r="B2450" i="7"/>
  <c r="C2450" i="7"/>
  <c r="B2451" i="7"/>
  <c r="C2451" i="7"/>
  <c r="B2452" i="7"/>
  <c r="C2452" i="7"/>
  <c r="B2453" i="7"/>
  <c r="C2453" i="7"/>
  <c r="B2454" i="7"/>
  <c r="C2454" i="7"/>
  <c r="B2455" i="7"/>
  <c r="C2455" i="7"/>
  <c r="B2456" i="7"/>
  <c r="C2456" i="7"/>
  <c r="B2457" i="7"/>
  <c r="C2457" i="7"/>
  <c r="B2458" i="7"/>
  <c r="C2458" i="7"/>
  <c r="B2459" i="7"/>
  <c r="C2459" i="7"/>
  <c r="B2460" i="7"/>
  <c r="C2460" i="7"/>
  <c r="B2461" i="7"/>
  <c r="C2461" i="7"/>
  <c r="B2462" i="7"/>
  <c r="C2462" i="7"/>
  <c r="B2463" i="7"/>
  <c r="C2463" i="7"/>
  <c r="B2464" i="7"/>
  <c r="C2464" i="7"/>
  <c r="B2465" i="7"/>
  <c r="C2465" i="7"/>
  <c r="B2466" i="7"/>
  <c r="C2466" i="7"/>
  <c r="B2467" i="7"/>
  <c r="C2467" i="7"/>
  <c r="B2468" i="7"/>
  <c r="C2468" i="7"/>
  <c r="B2469" i="7"/>
  <c r="C2469" i="7"/>
  <c r="B2470" i="7"/>
  <c r="C2470" i="7"/>
  <c r="B2471" i="7"/>
  <c r="C2471" i="7"/>
  <c r="B2472" i="7"/>
  <c r="C2472" i="7"/>
  <c r="B2473" i="7"/>
  <c r="C2473" i="7"/>
  <c r="B2474" i="7"/>
  <c r="C2474" i="7"/>
  <c r="B2475" i="7"/>
  <c r="C2475" i="7"/>
  <c r="B2476" i="7"/>
  <c r="C2476" i="7"/>
  <c r="B2477" i="7"/>
  <c r="C2477" i="7"/>
  <c r="B2478" i="7"/>
  <c r="C2478" i="7"/>
  <c r="B2479" i="7"/>
  <c r="C2479" i="7"/>
  <c r="B2480" i="7"/>
  <c r="C2480" i="7"/>
  <c r="B2481" i="7"/>
  <c r="C2481" i="7"/>
  <c r="B2482" i="7"/>
  <c r="C2482" i="7"/>
  <c r="B2483" i="7"/>
  <c r="C2483" i="7"/>
  <c r="B2484" i="7"/>
  <c r="C2484" i="7"/>
  <c r="B2485" i="7"/>
  <c r="C2485" i="7"/>
  <c r="B2486" i="7"/>
  <c r="C2486" i="7"/>
  <c r="B2487" i="7"/>
  <c r="C2487" i="7"/>
  <c r="B2488" i="7"/>
  <c r="C2488" i="7"/>
  <c r="B2489" i="7"/>
  <c r="C2489" i="7"/>
  <c r="B2490" i="7"/>
  <c r="C2490" i="7"/>
  <c r="B2491" i="7"/>
  <c r="C2491" i="7"/>
  <c r="B2492" i="7"/>
  <c r="C2492" i="7"/>
  <c r="B2493" i="7"/>
  <c r="C2493" i="7"/>
  <c r="B2494" i="7"/>
  <c r="C2494" i="7"/>
  <c r="B2495" i="7"/>
  <c r="C2495" i="7"/>
  <c r="B2496" i="7"/>
  <c r="C2496" i="7"/>
  <c r="B2497" i="7"/>
  <c r="C2497" i="7"/>
  <c r="B2498" i="7"/>
  <c r="C2498" i="7"/>
  <c r="B2499" i="7"/>
  <c r="C2499" i="7"/>
  <c r="B2500" i="7"/>
  <c r="C2500" i="7"/>
  <c r="B2501" i="7"/>
  <c r="C2501" i="7"/>
  <c r="B2502" i="7"/>
  <c r="C2502" i="7"/>
  <c r="B2503" i="7"/>
  <c r="C2503" i="7"/>
  <c r="B2504" i="7"/>
  <c r="C2504" i="7"/>
  <c r="B2505" i="7"/>
  <c r="C2505" i="7"/>
  <c r="B2506" i="7"/>
  <c r="C2506" i="7"/>
  <c r="B2507" i="7"/>
  <c r="C2507" i="7"/>
  <c r="B2508" i="7"/>
  <c r="C2508" i="7"/>
  <c r="B2509" i="7"/>
  <c r="C2509" i="7"/>
  <c r="B2510" i="7"/>
  <c r="C2510" i="7"/>
  <c r="C11" i="7"/>
  <c r="B11" i="7"/>
  <c r="I96" i="3"/>
  <c r="I79" i="3"/>
  <c r="I48" i="3"/>
  <c r="I42" i="3"/>
  <c r="I40" i="3"/>
  <c r="I27" i="3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B22" i="6"/>
  <c r="C12" i="6"/>
  <c r="C11" i="6"/>
  <c r="B11" i="6"/>
  <c r="B12" i="6"/>
  <c r="C13" i="6" l="1"/>
  <c r="B13" i="6"/>
  <c r="D11" i="6"/>
  <c r="D12" i="6"/>
  <c r="D13" i="6" l="1"/>
  <c r="B18" i="6" s="1"/>
  <c r="B24" i="6"/>
  <c r="B25" i="6"/>
  <c r="C18" i="6" l="1"/>
  <c r="B17" i="6"/>
  <c r="C17" i="6"/>
  <c r="B21" i="6"/>
  <c r="B23" i="6" s="1"/>
  <c r="B27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<sst xmlns="http://schemas.openxmlformats.org/spreadsheetml/2006/main" count="72494" uniqueCount="8595">
  <si>
    <t>Client_ID</t>
  </si>
  <si>
    <t>Company_Name</t>
  </si>
  <si>
    <t>Industry</t>
  </si>
  <si>
    <t>Contract_Type</t>
  </si>
  <si>
    <t>Region</t>
  </si>
  <si>
    <t>City</t>
  </si>
  <si>
    <t>Onboarding_Date</t>
  </si>
  <si>
    <t>Satisfaction_Score</t>
  </si>
  <si>
    <t>Tenure_Years</t>
  </si>
  <si>
    <t>Annual_Contract_Value</t>
  </si>
  <si>
    <t>Account_Status</t>
  </si>
  <si>
    <t>CLI-0113</t>
  </si>
  <si>
    <t>CloudNine Enterprises</t>
  </si>
  <si>
    <t>Healthcare</t>
  </si>
  <si>
    <t>Managed Services</t>
  </si>
  <si>
    <t>South</t>
  </si>
  <si>
    <t>Hyderabad</t>
  </si>
  <si>
    <t>Active</t>
  </si>
  <si>
    <t>CLI-0047</t>
  </si>
  <si>
    <t>DigitalForge Services</t>
  </si>
  <si>
    <t>Government</t>
  </si>
  <si>
    <t>East</t>
  </si>
  <si>
    <t>Kolkata</t>
  </si>
  <si>
    <t>CLI-0083</t>
  </si>
  <si>
    <t>OmniSoft Digital</t>
  </si>
  <si>
    <t>Media</t>
  </si>
  <si>
    <t>Annual License</t>
  </si>
  <si>
    <t>CLI-0111</t>
  </si>
  <si>
    <t>Banking</t>
  </si>
  <si>
    <t>Monthly SaaS</t>
  </si>
  <si>
    <t>West</t>
  </si>
  <si>
    <t>Ahmedabad</t>
  </si>
  <si>
    <t>CLI-0199</t>
  </si>
  <si>
    <t>GreenPulse Technologies</t>
  </si>
  <si>
    <t>CLI-0213</t>
  </si>
  <si>
    <t>SwiftCode Solutions</t>
  </si>
  <si>
    <t>Logistics</t>
  </si>
  <si>
    <t>Surat</t>
  </si>
  <si>
    <t>CLI-0042</t>
  </si>
  <si>
    <t>NovaTech Group</t>
  </si>
  <si>
    <t>EdTech</t>
  </si>
  <si>
    <t>Churned</t>
  </si>
  <si>
    <t>CLI-0217</t>
  </si>
  <si>
    <t>BlueOrbit Systems</t>
  </si>
  <si>
    <t>Multi-Year</t>
  </si>
  <si>
    <t>CLI-0070</t>
  </si>
  <si>
    <t>SilverEdge Labs</t>
  </si>
  <si>
    <t>North</t>
  </si>
  <si>
    <t>Lucknow</t>
  </si>
  <si>
    <t>CLI-0115</t>
  </si>
  <si>
    <t>DataWeave Corp</t>
  </si>
  <si>
    <t>Patna</t>
  </si>
  <si>
    <t>CLI-0264</t>
  </si>
  <si>
    <t>BrightPath Technologies</t>
  </si>
  <si>
    <t>Insurance</t>
  </si>
  <si>
    <t>Project-Based</t>
  </si>
  <si>
    <t>Kochi</t>
  </si>
  <si>
    <t>CLI-0219</t>
  </si>
  <si>
    <t>OmniSoft Corp</t>
  </si>
  <si>
    <t>Manufacturing</t>
  </si>
  <si>
    <t>CLI-0269</t>
  </si>
  <si>
    <t>SwiftCode Infotech</t>
  </si>
  <si>
    <t>CLI-0152</t>
  </si>
  <si>
    <t>NovaTech Enterprises</t>
  </si>
  <si>
    <t>Bangalore</t>
  </si>
  <si>
    <t>At Risk</t>
  </si>
  <si>
    <t>CLI-0150</t>
  </si>
  <si>
    <t>GreenPulse Solutions</t>
  </si>
  <si>
    <t>CLI-0078</t>
  </si>
  <si>
    <t>InfraMax Technologies</t>
  </si>
  <si>
    <t>Delhi</t>
  </si>
  <si>
    <t>CLI-0297</t>
  </si>
  <si>
    <t>InfraMax Systems</t>
  </si>
  <si>
    <t>Telecom</t>
  </si>
  <si>
    <t>CLI-0107</t>
  </si>
  <si>
    <t>DataWeave Systems</t>
  </si>
  <si>
    <t>Bhubaneswar</t>
  </si>
  <si>
    <t>CLI-0195</t>
  </si>
  <si>
    <t>Apex Corp</t>
  </si>
  <si>
    <t>Unspecified</t>
  </si>
  <si>
    <t>CLI-0168</t>
  </si>
  <si>
    <t>SilverEdge Enterprises</t>
  </si>
  <si>
    <t>CLI-0097</t>
  </si>
  <si>
    <t>BlueOrbit Corp</t>
  </si>
  <si>
    <t>Chennai</t>
  </si>
  <si>
    <t>CLI-0183</t>
  </si>
  <si>
    <t>CLI-0242</t>
  </si>
  <si>
    <t>CloudNine Group</t>
  </si>
  <si>
    <t>CLI-0176</t>
  </si>
  <si>
    <t>CrestLine Group</t>
  </si>
  <si>
    <t>CLI-0012</t>
  </si>
  <si>
    <t>OmniSoft Labs</t>
  </si>
  <si>
    <t>CLI-0160</t>
  </si>
  <si>
    <t>SilverEdge Services</t>
  </si>
  <si>
    <t>CLI-0286</t>
  </si>
  <si>
    <t>BrightPath Infotech</t>
  </si>
  <si>
    <t>Guwahati</t>
  </si>
  <si>
    <t>CLI-0244</t>
  </si>
  <si>
    <t>BlueOrbit Group</t>
  </si>
  <si>
    <t>CLI-0080</t>
  </si>
  <si>
    <t>NetDynamic Labs</t>
  </si>
  <si>
    <t>CLI-0077</t>
  </si>
  <si>
    <t>Pune</t>
  </si>
  <si>
    <t>CLI-0236</t>
  </si>
  <si>
    <t>NetDynamic Group</t>
  </si>
  <si>
    <t>Chandigarh</t>
  </si>
  <si>
    <t>CLI-0099</t>
  </si>
  <si>
    <t>OmniSoft Services</t>
  </si>
  <si>
    <t>CLI-0198</t>
  </si>
  <si>
    <t>CoreLogic Systems</t>
  </si>
  <si>
    <t>CLI-0117</t>
  </si>
  <si>
    <t>InfraMax Digital</t>
  </si>
  <si>
    <t>CLI-0243</t>
  </si>
  <si>
    <t>CloudNine Infotech</t>
  </si>
  <si>
    <t>CLI-0015</t>
  </si>
  <si>
    <t>Pinnacle Solutions</t>
  </si>
  <si>
    <t>CLI-0218</t>
  </si>
  <si>
    <t>TechVista Digital</t>
  </si>
  <si>
    <t>CLI-0171</t>
  </si>
  <si>
    <t>NovaTech Labs</t>
  </si>
  <si>
    <t>CLI-0270</t>
  </si>
  <si>
    <t>GreenPulse Infotech</t>
  </si>
  <si>
    <t>CLI-0005</t>
  </si>
  <si>
    <t>CrestLine Corp</t>
  </si>
  <si>
    <t>CLI-0066</t>
  </si>
  <si>
    <t>BrightPath Services</t>
  </si>
  <si>
    <t>CLI-0278</t>
  </si>
  <si>
    <t>TechVista Technologies</t>
  </si>
  <si>
    <t>CLI-0190</t>
  </si>
  <si>
    <t>CloudNine Systems</t>
  </si>
  <si>
    <t>CLI-0075</t>
  </si>
  <si>
    <t>CLI-0027</t>
  </si>
  <si>
    <t>Apex Technologies</t>
  </si>
  <si>
    <t>CLI-0022</t>
  </si>
  <si>
    <t>GreenPulse Group</t>
  </si>
  <si>
    <t>CLI-0079</t>
  </si>
  <si>
    <t>CoreLogic Enterprises</t>
  </si>
  <si>
    <t>Mumbai</t>
  </si>
  <si>
    <t>CLI-0184</t>
  </si>
  <si>
    <t>CloudNine Digital</t>
  </si>
  <si>
    <t>CLI-0010</t>
  </si>
  <si>
    <t>SafeHaven Digital</t>
  </si>
  <si>
    <t>CLI-0130</t>
  </si>
  <si>
    <t>Apex Enterprises</t>
  </si>
  <si>
    <t>CLI-0164</t>
  </si>
  <si>
    <t>SilverEdge Corp</t>
  </si>
  <si>
    <t>CLI-0274</t>
  </si>
  <si>
    <t>CLI-0271</t>
  </si>
  <si>
    <t>CrestLine Systems</t>
  </si>
  <si>
    <t>CLI-0025</t>
  </si>
  <si>
    <t>InfraMax Solutions</t>
  </si>
  <si>
    <t>Retail</t>
  </si>
  <si>
    <t>CLI-0041</t>
  </si>
  <si>
    <t>BrightPath Labs</t>
  </si>
  <si>
    <t>CLI-0029</t>
  </si>
  <si>
    <t>InfraMax Corp</t>
  </si>
  <si>
    <t>CLI-0136</t>
  </si>
  <si>
    <t>CoreLogic Corp</t>
  </si>
  <si>
    <t>CLI-0050</t>
  </si>
  <si>
    <t>InfraMax Services</t>
  </si>
  <si>
    <t>CLI-0032</t>
  </si>
  <si>
    <t>TechVista Infotech</t>
  </si>
  <si>
    <t>CLI-0161</t>
  </si>
  <si>
    <t>Pinnacle Group</t>
  </si>
  <si>
    <t>CLI-0044</t>
  </si>
  <si>
    <t>CLI-0085</t>
  </si>
  <si>
    <t>OmniSoft Solutions</t>
  </si>
  <si>
    <t>CLI-0065</t>
  </si>
  <si>
    <t>Zenith Infotech</t>
  </si>
  <si>
    <t>CLI-0037</t>
  </si>
  <si>
    <t>GreenPulse Labs</t>
  </si>
  <si>
    <t>CLI-0172</t>
  </si>
  <si>
    <t>InfraMax Group</t>
  </si>
  <si>
    <t>CLI-0112</t>
  </si>
  <si>
    <t>Apex Systems</t>
  </si>
  <si>
    <t>CLI-0177</t>
  </si>
  <si>
    <t>CLI-0016</t>
  </si>
  <si>
    <t>SwiftCode Technologies</t>
  </si>
  <si>
    <t>CLI-0200</t>
  </si>
  <si>
    <t>CrestLine Services</t>
  </si>
  <si>
    <t>CLI-0153</t>
  </si>
  <si>
    <t>DigitalForge Infotech</t>
  </si>
  <si>
    <t>CLI-0292</t>
  </si>
  <si>
    <t>SilverEdge Solutions</t>
  </si>
  <si>
    <t>CLI-0082</t>
  </si>
  <si>
    <t>BrightPath Group</t>
  </si>
  <si>
    <t>CLI-0165</t>
  </si>
  <si>
    <t>Zenith Labs</t>
  </si>
  <si>
    <t>CLI-0273</t>
  </si>
  <si>
    <t>SwiftCode Group</t>
  </si>
  <si>
    <t>CLI-0076</t>
  </si>
  <si>
    <t>CLI-0272</t>
  </si>
  <si>
    <t>Zenith Corp</t>
  </si>
  <si>
    <t>CLI-0034</t>
  </si>
  <si>
    <t>CLI-0043</t>
  </si>
  <si>
    <t>SwiftCode Enterprises</t>
  </si>
  <si>
    <t>CLI-0284</t>
  </si>
  <si>
    <t>SilverEdge Infotech</t>
  </si>
  <si>
    <t>CLI-0086</t>
  </si>
  <si>
    <t>DigitalForge Group</t>
  </si>
  <si>
    <t>CLI-0120</t>
  </si>
  <si>
    <t>CLI-0215</t>
  </si>
  <si>
    <t>SilverEdge Digital</t>
  </si>
  <si>
    <t>CLI-0193</t>
  </si>
  <si>
    <t>Zenith Technologies</t>
  </si>
  <si>
    <t>CLI-0250</t>
  </si>
  <si>
    <t>Vertex Technologies</t>
  </si>
  <si>
    <t>CLI-0191</t>
  </si>
  <si>
    <t>CLI-0051</t>
  </si>
  <si>
    <t>NetDynamic Digital</t>
  </si>
  <si>
    <t>CLI-0007</t>
  </si>
  <si>
    <t>CLI-0073</t>
  </si>
  <si>
    <t>DigitalForge Digital</t>
  </si>
  <si>
    <t>Jaipur</t>
  </si>
  <si>
    <t>CLI-0114</t>
  </si>
  <si>
    <t>GreenPulse Enterprises</t>
  </si>
  <si>
    <t>CLI-0169</t>
  </si>
  <si>
    <t>OmniSoft Systems</t>
  </si>
  <si>
    <t>CLI-0039</t>
  </si>
  <si>
    <t>CLI-0063</t>
  </si>
  <si>
    <t>CLI-0155</t>
  </si>
  <si>
    <t>CloudNine Corp</t>
  </si>
  <si>
    <t>CLI-0140</t>
  </si>
  <si>
    <t>GreenPulse Corp</t>
  </si>
  <si>
    <t>CLI-0145</t>
  </si>
  <si>
    <t>CoreLogic Labs</t>
  </si>
  <si>
    <t>CLI-0154</t>
  </si>
  <si>
    <t>DataWeave Services</t>
  </si>
  <si>
    <t>CLI-0246</t>
  </si>
  <si>
    <t>NovaTech Systems</t>
  </si>
  <si>
    <t>CLI-0197</t>
  </si>
  <si>
    <t>Zenith Group</t>
  </si>
  <si>
    <t>CLI-0156</t>
  </si>
  <si>
    <t>SwiftCode Corp</t>
  </si>
  <si>
    <t>CLI-0023</t>
  </si>
  <si>
    <t>CLI-0186</t>
  </si>
  <si>
    <t>CLI-0143</t>
  </si>
  <si>
    <t>NetDynamic Technologies</t>
  </si>
  <si>
    <t>CLI-0220</t>
  </si>
  <si>
    <t>BrightPath Solutions</t>
  </si>
  <si>
    <t>CLI-0095</t>
  </si>
  <si>
    <t>SwiftCode Labs</t>
  </si>
  <si>
    <t>CLI-0279</t>
  </si>
  <si>
    <t>CLI-0300</t>
  </si>
  <si>
    <t>Pinnacle Infotech</t>
  </si>
  <si>
    <t>CLI-0291</t>
  </si>
  <si>
    <t>Zenith Systems</t>
  </si>
  <si>
    <t>CLI-0290</t>
  </si>
  <si>
    <t>SilverEdge Group</t>
  </si>
  <si>
    <t>CLI-0110</t>
  </si>
  <si>
    <t>CLI-0253</t>
  </si>
  <si>
    <t>DigitalForge Systems</t>
  </si>
  <si>
    <t>CLI-0167</t>
  </si>
  <si>
    <t>SafeHaven Systems</t>
  </si>
  <si>
    <t>CLI-0157</t>
  </si>
  <si>
    <t>CLI-0162</t>
  </si>
  <si>
    <t>DataWeave Solutions</t>
  </si>
  <si>
    <t>CLI-0035</t>
  </si>
  <si>
    <t>CLI-0283</t>
  </si>
  <si>
    <t>NovaTech Infotech</t>
  </si>
  <si>
    <t>CLI-0013</t>
  </si>
  <si>
    <t>CLI-0105</t>
  </si>
  <si>
    <t>CLI-0259</t>
  </si>
  <si>
    <t>CLI-0277</t>
  </si>
  <si>
    <t>CLI-0268</t>
  </si>
  <si>
    <t>Vertex Solutions</t>
  </si>
  <si>
    <t>CLI-0017</t>
  </si>
  <si>
    <t>TechVista Services</t>
  </si>
  <si>
    <t>CLI-0261</t>
  </si>
  <si>
    <t>CLI-0226</t>
  </si>
  <si>
    <t>CoreLogic Technologies</t>
  </si>
  <si>
    <t>CLI-0058</t>
  </si>
  <si>
    <t>Zenith Enterprises</t>
  </si>
  <si>
    <t>CLI-0224</t>
  </si>
  <si>
    <t>CrestLine Digital</t>
  </si>
  <si>
    <t>CLI-0020</t>
  </si>
  <si>
    <t>NovaTech Solutions</t>
  </si>
  <si>
    <t>CLI-0137</t>
  </si>
  <si>
    <t>TechVista Enterprises</t>
  </si>
  <si>
    <t>CLI-0182</t>
  </si>
  <si>
    <t>CLI-0108</t>
  </si>
  <si>
    <t>CoreLogic Infotech</t>
  </si>
  <si>
    <t>CLI-0252</t>
  </si>
  <si>
    <t>CLI-0166</t>
  </si>
  <si>
    <t>CLI-0276</t>
  </si>
  <si>
    <t>CLI-0144</t>
  </si>
  <si>
    <t>CoreLogic Solutions</t>
  </si>
  <si>
    <t>CLI-0094</t>
  </si>
  <si>
    <t>CLI-0251</t>
  </si>
  <si>
    <t>CLI-0121</t>
  </si>
  <si>
    <t>Vertex Systems</t>
  </si>
  <si>
    <t>CLI-0212</t>
  </si>
  <si>
    <t>CLI-0204</t>
  </si>
  <si>
    <t>CLI-0201</t>
  </si>
  <si>
    <t>Vertex Group</t>
  </si>
  <si>
    <t>CLI-0141</t>
  </si>
  <si>
    <t>CLI-0048</t>
  </si>
  <si>
    <t>CLI-0247</t>
  </si>
  <si>
    <t>SafeHaven Infotech</t>
  </si>
  <si>
    <t>CLI-0093</t>
  </si>
  <si>
    <t>CLI-0084</t>
  </si>
  <si>
    <t>CLI-0026</t>
  </si>
  <si>
    <t>CLI-0149</t>
  </si>
  <si>
    <t>CLI-0245</t>
  </si>
  <si>
    <t>CrestLine Technologies</t>
  </si>
  <si>
    <t>CLI-0054</t>
  </si>
  <si>
    <t>BrightPath Digital</t>
  </si>
  <si>
    <t>CLI-0004</t>
  </si>
  <si>
    <t>CLI-0232</t>
  </si>
  <si>
    <t>CLI-0231</t>
  </si>
  <si>
    <t>CLI-0187</t>
  </si>
  <si>
    <t>DigitalForge Corp</t>
  </si>
  <si>
    <t>CLI-0234</t>
  </si>
  <si>
    <t>CLI-0210</t>
  </si>
  <si>
    <t>CLI-0295</t>
  </si>
  <si>
    <t>Zenith Digital</t>
  </si>
  <si>
    <t>CLI-0101</t>
  </si>
  <si>
    <t>Pinnacle Services</t>
  </si>
  <si>
    <t>CLI-0089</t>
  </si>
  <si>
    <t>CLI-0223</t>
  </si>
  <si>
    <t>Pinnacle Technologies</t>
  </si>
  <si>
    <t>CLI-0009</t>
  </si>
  <si>
    <t>DataWeave Technologies</t>
  </si>
  <si>
    <t>CLI-0299</t>
  </si>
  <si>
    <t>CLI-0298</t>
  </si>
  <si>
    <t>Apex Labs</t>
  </si>
  <si>
    <t>CLI-0109</t>
  </si>
  <si>
    <t>Vertex Corp</t>
  </si>
  <si>
    <t>CLI-0135</t>
  </si>
  <si>
    <t>CLI-0014</t>
  </si>
  <si>
    <t>CLI-0033</t>
  </si>
  <si>
    <t>CLI-0281</t>
  </si>
  <si>
    <t>CLI-0102</t>
  </si>
  <si>
    <t>Vertex Labs</t>
  </si>
  <si>
    <t>CLI-0072</t>
  </si>
  <si>
    <t>CLI-0131</t>
  </si>
  <si>
    <t>DataWeave Enterprises</t>
  </si>
  <si>
    <t>CLI-0222</t>
  </si>
  <si>
    <t>InfraMax Enterprises</t>
  </si>
  <si>
    <t>CLI-0126</t>
  </si>
  <si>
    <t>OmniSoft Technologies</t>
  </si>
  <si>
    <t>CLI-0071</t>
  </si>
  <si>
    <t>CLI-0148</t>
  </si>
  <si>
    <t>CLI-0188</t>
  </si>
  <si>
    <t>CLI-0216</t>
  </si>
  <si>
    <t>CLI-0196</t>
  </si>
  <si>
    <t>CLI-0096</t>
  </si>
  <si>
    <t>NovaTech Services</t>
  </si>
  <si>
    <t>CLI-0249</t>
  </si>
  <si>
    <t>CLI-0011</t>
  </si>
  <si>
    <t>CLI-0139</t>
  </si>
  <si>
    <t>CLI-0002</t>
  </si>
  <si>
    <t>Apex Group</t>
  </si>
  <si>
    <t>CLI-0158</t>
  </si>
  <si>
    <t>OmniSoft Enterprises</t>
  </si>
  <si>
    <t>CLI-0127</t>
  </si>
  <si>
    <t>CLI-0170</t>
  </si>
  <si>
    <t>CLI-0241</t>
  </si>
  <si>
    <t>CLI-0021</t>
  </si>
  <si>
    <t>CoreLogic Digital</t>
  </si>
  <si>
    <t>CLI-0031</t>
  </si>
  <si>
    <t>CLI-0028</t>
  </si>
  <si>
    <t>CLI-0040</t>
  </si>
  <si>
    <t>CLI-0092</t>
  </si>
  <si>
    <t>CLI-0159</t>
  </si>
  <si>
    <t>CLI-0228</t>
  </si>
  <si>
    <t>CLI-0238</t>
  </si>
  <si>
    <t>CLI-0239</t>
  </si>
  <si>
    <t>CLI-0053</t>
  </si>
  <si>
    <t>Pinnacle Enterprises</t>
  </si>
  <si>
    <t>CLI-0229</t>
  </si>
  <si>
    <t>CLI-0062</t>
  </si>
  <si>
    <t>CLI-0206</t>
  </si>
  <si>
    <t>CLI-0061</t>
  </si>
  <si>
    <t>CLI-0052</t>
  </si>
  <si>
    <t>BlueOrbit Labs</t>
  </si>
  <si>
    <t>CLI-0189</t>
  </si>
  <si>
    <t>CrestLine Enterprises</t>
  </si>
  <si>
    <t>CLI-0128</t>
  </si>
  <si>
    <t>SafeHaven Group</t>
  </si>
  <si>
    <t>CLI-0049</t>
  </si>
  <si>
    <t>CLI-0255</t>
  </si>
  <si>
    <t>CLI-0285</t>
  </si>
  <si>
    <t>CLI-0069</t>
  </si>
  <si>
    <t>CLI-0056</t>
  </si>
  <si>
    <t>TechVista Group</t>
  </si>
  <si>
    <t>CLI-0256</t>
  </si>
  <si>
    <t>CLI-0237</t>
  </si>
  <si>
    <t>CLI-0122</t>
  </si>
  <si>
    <t>CLI-0046</t>
  </si>
  <si>
    <t>CLI-0280</t>
  </si>
  <si>
    <t>CloudNine Solutions</t>
  </si>
  <si>
    <t>CLI-0088</t>
  </si>
  <si>
    <t>DataWeave Digital</t>
  </si>
  <si>
    <t>CLI-0211</t>
  </si>
  <si>
    <t>CLI-0192</t>
  </si>
  <si>
    <t>CLI-0173</t>
  </si>
  <si>
    <t>DataWeave Labs</t>
  </si>
  <si>
    <t>CLI-0289</t>
  </si>
  <si>
    <t>CLI-0024</t>
  </si>
  <si>
    <t>CLI-0074</t>
  </si>
  <si>
    <t>CLI-0064</t>
  </si>
  <si>
    <t>CLI-0068</t>
  </si>
  <si>
    <t>CLI-0214</t>
  </si>
  <si>
    <t>CLI-0240</t>
  </si>
  <si>
    <t>CLI-0275</t>
  </si>
  <si>
    <t>CLI-0138</t>
  </si>
  <si>
    <t>SafeHaven Enterprises</t>
  </si>
  <si>
    <t>CLI-0133</t>
  </si>
  <si>
    <t>GreenPulse Services</t>
  </si>
  <si>
    <t>CLI-0091</t>
  </si>
  <si>
    <t>CLI-0106</t>
  </si>
  <si>
    <t>CLI-0296</t>
  </si>
  <si>
    <t>CLI-0293</t>
  </si>
  <si>
    <t>CLI-0059</t>
  </si>
  <si>
    <t>CLI-0180</t>
  </si>
  <si>
    <t>SwiftCode Systems</t>
  </si>
  <si>
    <t>CLI-0257</t>
  </si>
  <si>
    <t>DigitalForge Technologies</t>
  </si>
  <si>
    <t>CLI-0057</t>
  </si>
  <si>
    <t>NetDynamic Enterprises</t>
  </si>
  <si>
    <t>CLI-0202</t>
  </si>
  <si>
    <t>SafeHaven Solutions</t>
  </si>
  <si>
    <t>CLI-0163</t>
  </si>
  <si>
    <t>CLI-0098</t>
  </si>
  <si>
    <t>CLI-0067</t>
  </si>
  <si>
    <t>CLI-0267</t>
  </si>
  <si>
    <t>CLI-0124</t>
  </si>
  <si>
    <t>CLI-0287</t>
  </si>
  <si>
    <t>CLI-0221</t>
  </si>
  <si>
    <t>NovaTech Corp</t>
  </si>
  <si>
    <t>CLI-0230</t>
  </si>
  <si>
    <t>CLI-0118</t>
  </si>
  <si>
    <t>CLI-0288</t>
  </si>
  <si>
    <t>CLI-0235</t>
  </si>
  <si>
    <t>CoreLogic Group</t>
  </si>
  <si>
    <t>CLI-0174</t>
  </si>
  <si>
    <t>CLI-0125</t>
  </si>
  <si>
    <t>CloudNine Labs</t>
  </si>
  <si>
    <t>CLI-0248</t>
  </si>
  <si>
    <t>CLI-0194</t>
  </si>
  <si>
    <t>Apex Services</t>
  </si>
  <si>
    <t>CLI-0227</t>
  </si>
  <si>
    <t>Vertex Services</t>
  </si>
  <si>
    <t>CLI-0129</t>
  </si>
  <si>
    <t>Apex Digital</t>
  </si>
  <si>
    <t>CLI-0132</t>
  </si>
  <si>
    <t>CLI-0263</t>
  </si>
  <si>
    <t>CLI-0060</t>
  </si>
  <si>
    <t>CLI-0175</t>
  </si>
  <si>
    <t>CLI-0151</t>
  </si>
  <si>
    <t>CLI-0258</t>
  </si>
  <si>
    <t>DataWeave Group</t>
  </si>
  <si>
    <t>CLI-0038</t>
  </si>
  <si>
    <t>CLI-0055</t>
  </si>
  <si>
    <t>CLI-0260</t>
  </si>
  <si>
    <t>CLI-0209</t>
  </si>
  <si>
    <t>CLI-0134</t>
  </si>
  <si>
    <t>CLI-0003</t>
  </si>
  <si>
    <t>CLI-0207</t>
  </si>
  <si>
    <t>CLI-0233</t>
  </si>
  <si>
    <t>CLI-0147</t>
  </si>
  <si>
    <t>CLI-0116</t>
  </si>
  <si>
    <t>DigitalForge Solutions</t>
  </si>
  <si>
    <t>CLI-0294</t>
  </si>
  <si>
    <t>CLI-0178</t>
  </si>
  <si>
    <t>CLI-0179</t>
  </si>
  <si>
    <t>CLI-0146</t>
  </si>
  <si>
    <t>CloudNine Technologies</t>
  </si>
  <si>
    <t>CLI-0282</t>
  </si>
  <si>
    <t>CLI-0036</t>
  </si>
  <si>
    <t>CLI-0008</t>
  </si>
  <si>
    <t>CLI-0103</t>
  </si>
  <si>
    <t>CLI-0208</t>
  </si>
  <si>
    <t>CLI-0203</t>
  </si>
  <si>
    <t>CLI-0181</t>
  </si>
  <si>
    <t>CLI-0205</t>
  </si>
  <si>
    <t>CLI-0142</t>
  </si>
  <si>
    <t>BlueOrbit Infotech</t>
  </si>
  <si>
    <t>CLI-0045</t>
  </si>
  <si>
    <t>CLI-0081</t>
  </si>
  <si>
    <t>CLI-0001</t>
  </si>
  <si>
    <t>CLI-0123</t>
  </si>
  <si>
    <t>CLI-0185</t>
  </si>
  <si>
    <t>CLI-0019</t>
  </si>
  <si>
    <t>CLI-0087</t>
  </si>
  <si>
    <t>CLI-0119</t>
  </si>
  <si>
    <t>SwiftCode Services</t>
  </si>
  <si>
    <t>CLI-0265</t>
  </si>
  <si>
    <t>BrightPath Systems</t>
  </si>
  <si>
    <t>CLI-0262</t>
  </si>
  <si>
    <t>CLI-0018</t>
  </si>
  <si>
    <t>CLI-0100</t>
  </si>
  <si>
    <t>CLI-0266</t>
  </si>
  <si>
    <t>CLI-0104</t>
  </si>
  <si>
    <t>CLI-0006</t>
  </si>
  <si>
    <t>CLI-0225</t>
  </si>
  <si>
    <t>CLI-0254</t>
  </si>
  <si>
    <t>CLI-0090</t>
  </si>
  <si>
    <t>CLI-0030</t>
  </si>
  <si>
    <t>Expense_ID</t>
  </si>
  <si>
    <t>Department</t>
  </si>
  <si>
    <t>Category</t>
  </si>
  <si>
    <t>Vendor</t>
  </si>
  <si>
    <t>Amount_INR</t>
  </si>
  <si>
    <t>Budget_Allocated_INR</t>
  </si>
  <si>
    <t>Expense_Date</t>
  </si>
  <si>
    <t>Approval_Status</t>
  </si>
  <si>
    <t>Payment_Mode</t>
  </si>
  <si>
    <t>Fiscal_Year</t>
  </si>
  <si>
    <t>Remarks</t>
  </si>
  <si>
    <t>Amount_Type_Flag</t>
  </si>
  <si>
    <t>High_Value_Pending_Rejected_Flag</t>
  </si>
  <si>
    <t>EXP-00594</t>
  </si>
  <si>
    <t>Cloud Infrastructure</t>
  </si>
  <si>
    <t>Slack</t>
  </si>
  <si>
    <t>Pending</t>
  </si>
  <si>
    <t>Vendor Credit</t>
  </si>
  <si>
    <t>FY2023-2024</t>
  </si>
  <si>
    <t>Under review</t>
  </si>
  <si>
    <t>Expense</t>
  </si>
  <si>
    <t>Flag: High-Value Pending</t>
  </si>
  <si>
    <t>EXP-00495</t>
  </si>
  <si>
    <t>Operations</t>
  </si>
  <si>
    <t>Utilities</t>
  </si>
  <si>
    <t>HubSpot</t>
  </si>
  <si>
    <t>Approved</t>
  </si>
  <si>
    <t>Bank Transfer</t>
  </si>
  <si>
    <t>Recurring</t>
  </si>
  <si>
    <t>EXP-00587</t>
  </si>
  <si>
    <t>Sales</t>
  </si>
  <si>
    <t>Marketing Spend</t>
  </si>
  <si>
    <t>SAP</t>
  </si>
  <si>
    <t>EXP-00178</t>
  </si>
  <si>
    <t>Finance</t>
  </si>
  <si>
    <t>Infosys</t>
  </si>
  <si>
    <t>FY2024-2025</t>
  </si>
  <si>
    <t/>
  </si>
  <si>
    <t>EXP-00869</t>
  </si>
  <si>
    <t>TCS</t>
  </si>
  <si>
    <t>Credit Card</t>
  </si>
  <si>
    <t>FY2022-2023</t>
  </si>
  <si>
    <t>EXP-00674</t>
  </si>
  <si>
    <t>Hardware</t>
  </si>
  <si>
    <t>EXP-00181</t>
  </si>
  <si>
    <t>Engineering</t>
  </si>
  <si>
    <t>Urgent</t>
  </si>
  <si>
    <t>EXP-00277</t>
  </si>
  <si>
    <t>Support</t>
  </si>
  <si>
    <t>Office Supplies</t>
  </si>
  <si>
    <t>Wipro</t>
  </si>
  <si>
    <t>EXP-00515</t>
  </si>
  <si>
    <t>Consulting Fees</t>
  </si>
  <si>
    <t>Oracle</t>
  </si>
  <si>
    <t>Duplicate entry</t>
  </si>
  <si>
    <t>EXP-00339</t>
  </si>
  <si>
    <t>EXP-00555</t>
  </si>
  <si>
    <t>EXP-00803</t>
  </si>
  <si>
    <t>Travel</t>
  </si>
  <si>
    <t>Freshdesk</t>
  </si>
  <si>
    <t>Petty Cash</t>
  </si>
  <si>
    <t>EXP-00875</t>
  </si>
  <si>
    <t>Software Licenses</t>
  </si>
  <si>
    <t>Google Cloud</t>
  </si>
  <si>
    <t>EXP-00691</t>
  </si>
  <si>
    <t>HR</t>
  </si>
  <si>
    <t>EXP-00233</t>
  </si>
  <si>
    <t>EXP-00071</t>
  </si>
  <si>
    <t>One-time</t>
  </si>
  <si>
    <t>EXP-00860</t>
  </si>
  <si>
    <t>EXP-00607</t>
  </si>
  <si>
    <t>Jira</t>
  </si>
  <si>
    <t>EXP-00651</t>
  </si>
  <si>
    <t>EXP-00652</t>
  </si>
  <si>
    <t>AWS</t>
  </si>
  <si>
    <t>EXP-00369</t>
  </si>
  <si>
    <t>Marketing</t>
  </si>
  <si>
    <t>EXP-00721</t>
  </si>
  <si>
    <t>EXP-00390</t>
  </si>
  <si>
    <t>EXP-00520</t>
  </si>
  <si>
    <t>EXP-00971</t>
  </si>
  <si>
    <t>Training</t>
  </si>
  <si>
    <t>Credit/Refund</t>
  </si>
  <si>
    <t>EXP-00411</t>
  </si>
  <si>
    <t>Microsoft Azure</t>
  </si>
  <si>
    <t>EXP-00354</t>
  </si>
  <si>
    <t>Salaries</t>
  </si>
  <si>
    <t>EXP-00600</t>
  </si>
  <si>
    <t>Zoom</t>
  </si>
  <si>
    <t>EXP-00034</t>
  </si>
  <si>
    <t>EXP-00200</t>
  </si>
  <si>
    <t>EXP-00925</t>
  </si>
  <si>
    <t>EXP-00546</t>
  </si>
  <si>
    <t>Adobe</t>
  </si>
  <si>
    <t>EXP-00602</t>
  </si>
  <si>
    <t>EXP-00083</t>
  </si>
  <si>
    <t>Maintenance</t>
  </si>
  <si>
    <t>Rejected</t>
  </si>
  <si>
    <t>EXP-00750</t>
  </si>
  <si>
    <t>Recruitment</t>
  </si>
  <si>
    <t>EXP-00172</t>
  </si>
  <si>
    <t>EXP-00531</t>
  </si>
  <si>
    <t>EXP-00337</t>
  </si>
  <si>
    <t>EXP-00832</t>
  </si>
  <si>
    <t>EXP-00717</t>
  </si>
  <si>
    <t>Internal</t>
  </si>
  <si>
    <t>EXP-00601</t>
  </si>
  <si>
    <t>EXP-00275</t>
  </si>
  <si>
    <t>EXP-00466</t>
  </si>
  <si>
    <t>EXP-00663</t>
  </si>
  <si>
    <t>EXP-00954</t>
  </si>
  <si>
    <t>EXP-00024</t>
  </si>
  <si>
    <t>EXP-00430</t>
  </si>
  <si>
    <t>EXP-00219</t>
  </si>
  <si>
    <t>EXP-00318</t>
  </si>
  <si>
    <t>EXP-00235</t>
  </si>
  <si>
    <t>EXP-00231</t>
  </si>
  <si>
    <t>EXP-00680</t>
  </si>
  <si>
    <t>EXP-00301</t>
  </si>
  <si>
    <t>EXP-00617</t>
  </si>
  <si>
    <t>EXP-00994</t>
  </si>
  <si>
    <t>EXP-00548</t>
  </si>
  <si>
    <t>EXP-00738</t>
  </si>
  <si>
    <t>EXP-00490</t>
  </si>
  <si>
    <t>Uncategorized</t>
  </si>
  <si>
    <t>EXP-00449</t>
  </si>
  <si>
    <t>EXP-00147</t>
  </si>
  <si>
    <t>EXP-00348</t>
  </si>
  <si>
    <t>EXP-00372</t>
  </si>
  <si>
    <t>EXP-00397</t>
  </si>
  <si>
    <t>EXP-00806</t>
  </si>
  <si>
    <t>EXP-00660</t>
  </si>
  <si>
    <t>EXP-00207</t>
  </si>
  <si>
    <t>EXP-00085</t>
  </si>
  <si>
    <t>Salesforce</t>
  </si>
  <si>
    <t>EXP-00209</t>
  </si>
  <si>
    <t>EXP-00089</t>
  </si>
  <si>
    <t>EXP-00889</t>
  </si>
  <si>
    <t>EXP-00899</t>
  </si>
  <si>
    <t>EXP-00470</t>
  </si>
  <si>
    <t>EXP-00720</t>
  </si>
  <si>
    <t>EXP-00033</t>
  </si>
  <si>
    <t>EXP-00636</t>
  </si>
  <si>
    <t>EXP-00382</t>
  </si>
  <si>
    <t>EXP-00550</t>
  </si>
  <si>
    <t>EXP-00163</t>
  </si>
  <si>
    <t>EXP-00795</t>
  </si>
  <si>
    <t>EXP-00727</t>
  </si>
  <si>
    <t>EXP-00403</t>
  </si>
  <si>
    <t>EXP-00569</t>
  </si>
  <si>
    <t>EXP-00396</t>
  </si>
  <si>
    <t>EXP-00865</t>
  </si>
  <si>
    <t>EXP-00271</t>
  </si>
  <si>
    <t>EXP-00272</t>
  </si>
  <si>
    <t>EXP-00583</t>
  </si>
  <si>
    <t>EXP-00533</t>
  </si>
  <si>
    <t>EXP-00371</t>
  </si>
  <si>
    <t>EXP-00835</t>
  </si>
  <si>
    <t>EXP-00923</t>
  </si>
  <si>
    <t>EXP-00169</t>
  </si>
  <si>
    <t>EXP-00683</t>
  </si>
  <si>
    <t>EXP-00506</t>
  </si>
  <si>
    <t>EXP-00540</t>
  </si>
  <si>
    <t>EXP-00532</t>
  </si>
  <si>
    <t>EXP-00898</t>
  </si>
  <si>
    <t>EXP-00179</t>
  </si>
  <si>
    <t>EXP-00321</t>
  </si>
  <si>
    <t>EXP-00514</t>
  </si>
  <si>
    <t>EXP-00407</t>
  </si>
  <si>
    <t>EXP-00053</t>
  </si>
  <si>
    <t>EXP-00530</t>
  </si>
  <si>
    <t>EXP-00838</t>
  </si>
  <si>
    <t>EXP-00150</t>
  </si>
  <si>
    <t>EXP-00553</t>
  </si>
  <si>
    <t>EXP-00767</t>
  </si>
  <si>
    <t>EXP-00754</t>
  </si>
  <si>
    <t>EXP-00552</t>
  </si>
  <si>
    <t>EXP-00941</t>
  </si>
  <si>
    <t>EXP-00876</t>
  </si>
  <si>
    <t>EXP-00909</t>
  </si>
  <si>
    <t>EXP-00475</t>
  </si>
  <si>
    <t>EXP-00250</t>
  </si>
  <si>
    <t>EXP-00917</t>
  </si>
  <si>
    <t>EXP-00915</t>
  </si>
  <si>
    <t>EXP-00739</t>
  </si>
  <si>
    <t>EXP-00517</t>
  </si>
  <si>
    <t>EXP-00778</t>
  </si>
  <si>
    <t>EXP-00057</t>
  </si>
  <si>
    <t>EXP-00424</t>
  </si>
  <si>
    <t>EXP-00267</t>
  </si>
  <si>
    <t>EXP-00227</t>
  </si>
  <si>
    <t>EXP-00263</t>
  </si>
  <si>
    <t>EXP-00365</t>
  </si>
  <si>
    <t>EXP-00045</t>
  </si>
  <si>
    <t>EXP-00108</t>
  </si>
  <si>
    <t>EXP-00849</t>
  </si>
  <si>
    <t>EXP-00015</t>
  </si>
  <si>
    <t>EXP-00568</t>
  </si>
  <si>
    <t>EXP-00319</t>
  </si>
  <si>
    <t>EXP-00254</t>
  </si>
  <si>
    <t>EXP-00794</t>
  </si>
  <si>
    <t>EXP-00095</t>
  </si>
  <si>
    <t>EXP-00148</t>
  </si>
  <si>
    <t>EXP-00693</t>
  </si>
  <si>
    <t>EXP-00801</t>
  </si>
  <si>
    <t>EXP-00891</t>
  </si>
  <si>
    <t>EXP-00621</t>
  </si>
  <si>
    <t>EXP-00741</t>
  </si>
  <si>
    <t>EXP-00474</t>
  </si>
  <si>
    <t>EXP-00324</t>
  </si>
  <si>
    <t>EXP-00884</t>
  </si>
  <si>
    <t>EXP-00557</t>
  </si>
  <si>
    <t>EXP-00592</t>
  </si>
  <si>
    <t>EXP-00290</t>
  </si>
  <si>
    <t>EXP-00061</t>
  </si>
  <si>
    <t>EXP-00002</t>
  </si>
  <si>
    <t>EXP-00512</t>
  </si>
  <si>
    <t>EXP-00031</t>
  </si>
  <si>
    <t>EXP-00675</t>
  </si>
  <si>
    <t>EXP-00477</t>
  </si>
  <si>
    <t>EXP-00654</t>
  </si>
  <si>
    <t>EXP-00679</t>
  </si>
  <si>
    <t>EXP-00360</t>
  </si>
  <si>
    <t>EXP-00627</t>
  </si>
  <si>
    <t>EXP-00180</t>
  </si>
  <si>
    <t>EXP-00982</t>
  </si>
  <si>
    <t>EXP-00564</t>
  </si>
  <si>
    <t>EXP-00203</t>
  </si>
  <si>
    <t>EXP-01000</t>
  </si>
  <si>
    <t>EXP-00944</t>
  </si>
  <si>
    <t>EXP-00246</t>
  </si>
  <si>
    <t>EXP-00011</t>
  </si>
  <si>
    <t>EXP-00501</t>
  </si>
  <si>
    <t>EXP-00580</t>
  </si>
  <si>
    <t>EXP-00410</t>
  </si>
  <si>
    <t>EXP-00961</t>
  </si>
  <si>
    <t>EXP-00334</t>
  </si>
  <si>
    <t>EXP-00977</t>
  </si>
  <si>
    <t>EXP-00695</t>
  </si>
  <si>
    <t>EXP-00431</t>
  </si>
  <si>
    <t>EXP-00990</t>
  </si>
  <si>
    <t>EXP-00356</t>
  </si>
  <si>
    <t>EXP-00582</t>
  </si>
  <si>
    <t>EXP-00666</t>
  </si>
  <si>
    <t>EXP-00300</t>
  </si>
  <si>
    <t>EXP-00226</t>
  </si>
  <si>
    <t>EXP-00420</t>
  </si>
  <si>
    <t>EXP-00924</t>
  </si>
  <si>
    <t>EXP-00373</t>
  </si>
  <si>
    <t>EXP-00109</t>
  </si>
  <si>
    <t>EXP-00706</t>
  </si>
  <si>
    <t>EXP-00351</t>
  </si>
  <si>
    <t>EXP-00001</t>
  </si>
  <si>
    <t>EXP-00104</t>
  </si>
  <si>
    <t>EXP-00096</t>
  </si>
  <si>
    <t>EXP-00195</t>
  </si>
  <si>
    <t>EXP-00467</t>
  </si>
  <si>
    <t>EXP-00138</t>
  </si>
  <si>
    <t>EXP-00445</t>
  </si>
  <si>
    <t>EXP-00671</t>
  </si>
  <si>
    <t>EXP-00454</t>
  </si>
  <si>
    <t>EXP-00193</t>
  </si>
  <si>
    <t>EXP-00682</t>
  </si>
  <si>
    <t>EXP-00776</t>
  </si>
  <si>
    <t>EXP-00686</t>
  </si>
  <si>
    <t>EXP-00561</t>
  </si>
  <si>
    <t>EXP-00049</t>
  </si>
  <si>
    <t>EXP-00872</t>
  </si>
  <si>
    <t>EXP-00981</t>
  </si>
  <si>
    <t>EXP-00628</t>
  </si>
  <si>
    <t>EXP-00765</t>
  </si>
  <si>
    <t>EXP-00854</t>
  </si>
  <si>
    <t>EXP-00726</t>
  </si>
  <si>
    <t>EXP-00560</t>
  </si>
  <si>
    <t>EXP-00573</t>
  </si>
  <si>
    <t>EXP-00598</t>
  </si>
  <si>
    <t>EXP-00198</t>
  </si>
  <si>
    <t>EXP-00938</t>
  </si>
  <si>
    <t>EXP-00681</t>
  </si>
  <si>
    <t>EXP-00171</t>
  </si>
  <si>
    <t>EXP-00575</t>
  </si>
  <si>
    <t>EXP-00248</t>
  </si>
  <si>
    <t>EXP-00471</t>
  </si>
  <si>
    <t>EXP-00385</t>
  </si>
  <si>
    <t>EXP-00714</t>
  </si>
  <si>
    <t>EXP-00341</t>
  </si>
  <si>
    <t>EXP-00873</t>
  </si>
  <si>
    <t>EXP-00732</t>
  </si>
  <si>
    <t>EXP-00298</t>
  </si>
  <si>
    <t>EXP-00743</t>
  </si>
  <si>
    <t>EXP-00596</t>
  </si>
  <si>
    <t>EXP-00093</t>
  </si>
  <si>
    <t>EXP-00208</t>
  </si>
  <si>
    <t>EXP-00132</t>
  </si>
  <si>
    <t>EXP-00888</t>
  </si>
  <si>
    <t>EXP-00642</t>
  </si>
  <si>
    <t>EXP-00919</t>
  </si>
  <si>
    <t>EXP-00121</t>
  </si>
  <si>
    <t>EXP-00606</t>
  </si>
  <si>
    <t>EXP-00155</t>
  </si>
  <si>
    <t>EXP-00294</t>
  </si>
  <si>
    <t>EXP-00881</t>
  </si>
  <si>
    <t>EXP-00626</t>
  </si>
  <si>
    <t>EXP-00274</t>
  </si>
  <si>
    <t>EXP-00883</t>
  </si>
  <si>
    <t>EXP-00364</t>
  </si>
  <si>
    <t>EXP-00947</t>
  </si>
  <si>
    <t>EXP-00699</t>
  </si>
  <si>
    <t>EXP-00004</t>
  </si>
  <si>
    <t>EXP-00718</t>
  </si>
  <si>
    <t>EXP-00668</t>
  </si>
  <si>
    <t>EXP-00026</t>
  </si>
  <si>
    <t>EXP-00658</t>
  </si>
  <si>
    <t>EXP-00493</t>
  </si>
  <si>
    <t>EXP-00224</t>
  </si>
  <si>
    <t>EXP-00135</t>
  </si>
  <si>
    <t>EXP-00251</t>
  </si>
  <si>
    <t>EXP-00631</t>
  </si>
  <si>
    <t>EXP-00593</t>
  </si>
  <si>
    <t>EXP-00995</t>
  </si>
  <si>
    <t>EXP-00817</t>
  </si>
  <si>
    <t>EXP-00701</t>
  </si>
  <si>
    <t>EXP-00880</t>
  </si>
  <si>
    <t>EXP-00488</t>
  </si>
  <si>
    <t>EXP-00935</t>
  </si>
  <si>
    <t>EXP-00692</t>
  </si>
  <si>
    <t>EXP-00306</t>
  </si>
  <si>
    <t>EXP-00027</t>
  </si>
  <si>
    <t>EXP-00072</t>
  </si>
  <si>
    <t>EXP-00797</t>
  </si>
  <si>
    <t>EXP-00779</t>
  </si>
  <si>
    <t>EXP-00336</t>
  </si>
  <si>
    <t>EXP-00781</t>
  </si>
  <si>
    <t>EXP-00725</t>
  </si>
  <si>
    <t>EXP-00417</t>
  </si>
  <si>
    <t>EXP-00021</t>
  </si>
  <si>
    <t>EXP-00363</t>
  </si>
  <si>
    <t>EXP-00764</t>
  </si>
  <si>
    <t>EXP-00839</t>
  </si>
  <si>
    <t>EXP-00824</t>
  </si>
  <si>
    <t>EXP-00059</t>
  </si>
  <si>
    <t>EXP-00638</t>
  </si>
  <si>
    <t>EXP-00984</t>
  </si>
  <si>
    <t>EXP-00442</t>
  </si>
  <si>
    <t>EXP-00284</t>
  </si>
  <si>
    <t>EXP-00851</t>
  </si>
  <si>
    <t>EXP-00664</t>
  </si>
  <si>
    <t>EXP-00897</t>
  </si>
  <si>
    <t>EXP-00566</t>
  </si>
  <si>
    <t>EXP-00834</t>
  </si>
  <si>
    <t>EXP-00913</t>
  </si>
  <si>
    <t>EXP-00223</t>
  </si>
  <si>
    <t>EXP-00511</t>
  </si>
  <si>
    <t>EXP-00129</t>
  </si>
  <si>
    <t>EXP-00433</t>
  </si>
  <si>
    <t>EXP-00748</t>
  </si>
  <si>
    <t>EXP-00734</t>
  </si>
  <si>
    <t>EXP-00100</t>
  </si>
  <si>
    <t>EXP-00419</t>
  </si>
  <si>
    <t>EXP-00563</t>
  </si>
  <si>
    <t>EXP-00218</t>
  </si>
  <si>
    <t>EXP-00489</t>
  </si>
  <si>
    <t>EXP-00796</t>
  </si>
  <si>
    <t>EXP-00846</t>
  </si>
  <si>
    <t>EXP-00966</t>
  </si>
  <si>
    <t>EXP-00352</t>
  </si>
  <si>
    <t>EXP-00508</t>
  </si>
  <si>
    <t>EXP-00205</t>
  </si>
  <si>
    <t>EXP-00050</t>
  </si>
  <si>
    <t>EXP-00458</t>
  </si>
  <si>
    <t>EXP-00539</t>
  </si>
  <si>
    <t>EXP-00111</t>
  </si>
  <si>
    <t>EXP-00710</t>
  </si>
  <si>
    <t>EXP-00536</t>
  </si>
  <si>
    <t>EXP-00576</t>
  </si>
  <si>
    <t>EXP-00065</t>
  </si>
  <si>
    <t>EXP-00630</t>
  </si>
  <si>
    <t>EXP-00505</t>
  </si>
  <si>
    <t>EXP-00479</t>
  </si>
  <si>
    <t>EXP-00313</t>
  </si>
  <si>
    <t>EXP-00315</t>
  </si>
  <si>
    <t>EXP-00943</t>
  </si>
  <si>
    <t>EXP-00444</t>
  </si>
  <si>
    <t>EXP-00007</t>
  </si>
  <si>
    <t>EXP-00183</t>
  </si>
  <si>
    <t>EXP-00185</t>
  </si>
  <si>
    <t>EXP-00603</t>
  </si>
  <si>
    <t>EXP-00103</t>
  </si>
  <si>
    <t>EXP-00099</t>
  </si>
  <si>
    <t>EXP-00166</t>
  </si>
  <si>
    <t>EXP-00844</t>
  </si>
  <si>
    <t>EXP-00391</t>
  </si>
  <si>
    <t>EXP-00079</t>
  </si>
  <si>
    <t>EXP-00443</t>
  </si>
  <si>
    <t>EXP-00076</t>
  </si>
  <si>
    <t>EXP-00320</t>
  </si>
  <si>
    <t>EXP-00080</t>
  </si>
  <si>
    <t>EXP-00452</t>
  </si>
  <si>
    <t>EXP-00541</t>
  </si>
  <si>
    <t>EXP-00468</t>
  </si>
  <si>
    <t>EXP-00456</t>
  </si>
  <si>
    <t>EXP-00383</t>
  </si>
  <si>
    <t>EXP-00882</t>
  </si>
  <si>
    <t>EXP-00427</t>
  </si>
  <si>
    <t>EXP-00192</t>
  </si>
  <si>
    <t>EXP-00196</t>
  </si>
  <si>
    <t>EXP-00537</t>
  </si>
  <si>
    <t>EXP-00234</t>
  </si>
  <si>
    <t>EXP-00067</t>
  </si>
  <si>
    <t>EXP-00392</t>
  </si>
  <si>
    <t>EXP-00238</t>
  </si>
  <si>
    <t>EXP-00338</t>
  </si>
  <si>
    <t>EXP-00574</t>
  </si>
  <si>
    <t>EXP-00473</t>
  </si>
  <si>
    <t>EXP-00689</t>
  </si>
  <si>
    <t>EXP-00144</t>
  </si>
  <si>
    <t>EXP-00376</t>
  </si>
  <si>
    <t>EXP-00856</t>
  </si>
  <si>
    <t>EXP-00423</t>
  </si>
  <si>
    <t>EXP-00367</t>
  </si>
  <si>
    <t>EXP-00685</t>
  </si>
  <si>
    <t>EXP-00656</t>
  </si>
  <si>
    <t>EXP-00156</t>
  </si>
  <si>
    <t>EXP-00953</t>
  </si>
  <si>
    <t>EXP-00780</t>
  </si>
  <si>
    <t>EXP-00307</t>
  </si>
  <si>
    <t>EXP-00522</t>
  </si>
  <si>
    <t>EXP-00115</t>
  </si>
  <si>
    <t>EXP-00777</t>
  </si>
  <si>
    <t>EXP-00029</t>
  </si>
  <si>
    <t>EXP-00283</t>
  </si>
  <si>
    <t>EXP-00619</t>
  </si>
  <si>
    <t>EXP-00705</t>
  </si>
  <si>
    <t>EXP-00101</t>
  </si>
  <si>
    <t>EXP-00343</t>
  </si>
  <si>
    <t>EXP-00330</t>
  </si>
  <si>
    <t>EXP-00405</t>
  </si>
  <si>
    <t>EXP-00842</t>
  </si>
  <si>
    <t>EXP-00762</t>
  </si>
  <si>
    <t>EXP-00291</t>
  </si>
  <si>
    <t>EXP-00416</t>
  </si>
  <si>
    <t>EXP-00127</t>
  </si>
  <si>
    <t>EXP-00974</t>
  </si>
  <si>
    <t>EXP-00892</t>
  </si>
  <si>
    <t>EXP-00775</t>
  </si>
  <si>
    <t>EXP-00837</t>
  </si>
  <si>
    <t>EXP-00684</t>
  </si>
  <si>
    <t>EXP-00368</t>
  </si>
  <si>
    <t>EXP-00623</t>
  </si>
  <si>
    <t>EXP-00939</t>
  </si>
  <si>
    <t>EXP-00979</t>
  </si>
  <si>
    <t>EXP-00784</t>
  </si>
  <si>
    <t>EXP-00736</t>
  </si>
  <si>
    <t>EXP-00056</t>
  </si>
  <si>
    <t>EXP-00210</t>
  </si>
  <si>
    <t>EXP-00690</t>
  </si>
  <si>
    <t>EXP-00930</t>
  </si>
  <si>
    <t>EXP-00006</t>
  </si>
  <si>
    <t>EXP-00497</t>
  </si>
  <si>
    <t>EXP-00107</t>
  </si>
  <si>
    <t>EXP-00262</t>
  </si>
  <si>
    <t>EXP-00853</t>
  </si>
  <si>
    <t>EXP-00331</t>
  </si>
  <si>
    <t>EXP-00554</t>
  </si>
  <si>
    <t>EXP-00519</t>
  </si>
  <si>
    <t>EXP-00020</t>
  </si>
  <si>
    <t>EXP-00288</t>
  </si>
  <si>
    <t>EXP-00395</t>
  </si>
  <si>
    <t>EXP-00282</t>
  </si>
  <si>
    <t>EXP-00481</t>
  </si>
  <si>
    <t>EXP-00105</t>
  </si>
  <si>
    <t>EXP-00499</t>
  </si>
  <si>
    <t>EXP-00194</t>
  </si>
  <si>
    <t>EXP-00289</t>
  </si>
  <si>
    <t>EXP-00242</t>
  </si>
  <si>
    <t>EXP-00931</t>
  </si>
  <si>
    <t>EXP-00243</t>
  </si>
  <si>
    <t>EXP-00669</t>
  </si>
  <si>
    <t>EXP-00895</t>
  </si>
  <si>
    <t>EXP-00378</t>
  </si>
  <si>
    <t>EXP-00793</t>
  </si>
  <si>
    <t>EXP-00772</t>
  </si>
  <si>
    <t>EXP-00188</t>
  </si>
  <si>
    <t>EXP-00428</t>
  </si>
  <si>
    <t>EXP-00060</t>
  </si>
  <si>
    <t>EXP-00084</t>
  </si>
  <si>
    <t>EXP-00232</t>
  </si>
  <si>
    <t>EXP-00526</t>
  </si>
  <si>
    <t>EXP-00070</t>
  </si>
  <si>
    <t>EXP-00394</t>
  </si>
  <si>
    <t>EXP-00255</t>
  </si>
  <si>
    <t>EXP-00571</t>
  </si>
  <si>
    <t>EXP-00798</t>
  </si>
  <si>
    <t>EXP-00848</t>
  </si>
  <si>
    <t>EXP-00962</t>
  </si>
  <si>
    <t>EXP-00657</t>
  </si>
  <si>
    <t>EXP-00082</t>
  </si>
  <si>
    <t>EXP-00633</t>
  </si>
  <si>
    <t>EXP-00102</t>
  </si>
  <si>
    <t>EXP-00136</t>
  </si>
  <si>
    <t>EXP-00963</t>
  </si>
  <si>
    <t>EXP-00653</t>
  </si>
  <si>
    <t>EXP-00097</t>
  </si>
  <si>
    <t>EXP-00973</t>
  </si>
  <si>
    <t>EXP-00868</t>
  </si>
  <si>
    <t>EXP-00374</t>
  </si>
  <si>
    <t>EXP-00768</t>
  </si>
  <si>
    <t>EXP-00650</t>
  </si>
  <si>
    <t>EXP-00314</t>
  </si>
  <si>
    <t>EXP-00366</t>
  </si>
  <si>
    <t>EXP-00992</t>
  </si>
  <si>
    <t>EXP-00463</t>
  </si>
  <si>
    <t>EXP-00265</t>
  </si>
  <si>
    <t>EXP-00585</t>
  </si>
  <si>
    <t>EXP-00945</t>
  </si>
  <si>
    <t>EXP-00353</t>
  </si>
  <si>
    <t>EXP-00597</t>
  </si>
  <si>
    <t>EXP-00450</t>
  </si>
  <si>
    <t>EXP-00661</t>
  </si>
  <si>
    <t>EXP-00525</t>
  </si>
  <si>
    <t>EXP-00388</t>
  </si>
  <si>
    <t>EXP-00485</t>
  </si>
  <si>
    <t>EXP-00016</t>
  </si>
  <si>
    <t>EXP-00038</t>
  </si>
  <si>
    <t>EXP-00589</t>
  </si>
  <si>
    <t>EXP-00879</t>
  </si>
  <si>
    <t>EXP-00618</t>
  </si>
  <si>
    <t>EXP-00117</t>
  </si>
  <si>
    <t>EXP-00833</t>
  </si>
  <si>
    <t>EXP-00731</t>
  </si>
  <si>
    <t>EXP-00997</t>
  </si>
  <si>
    <t>EXP-00771</t>
  </si>
  <si>
    <t>EXP-00612</t>
  </si>
  <si>
    <t>EXP-00279</t>
  </si>
  <si>
    <t>EXP-00608</t>
  </si>
  <si>
    <t>EXP-00130</t>
  </si>
  <si>
    <t>EXP-00293</t>
  </si>
  <si>
    <t>EXP-00933</t>
  </si>
  <si>
    <t>EXP-00969</t>
  </si>
  <si>
    <t>EXP-00326</t>
  </si>
  <si>
    <t>EXP-00792</t>
  </si>
  <si>
    <t>EXP-00927</t>
  </si>
  <si>
    <t>EXP-00722</t>
  </si>
  <si>
    <t>EXP-00345</t>
  </si>
  <si>
    <t>EXP-00946</t>
  </si>
  <si>
    <t>EXP-00088</t>
  </si>
  <si>
    <t>EXP-00694</t>
  </si>
  <si>
    <t>EXP-00186</t>
  </si>
  <si>
    <t>EXP-00964</t>
  </si>
  <si>
    <t>EXP-00153</t>
  </si>
  <si>
    <t>EXP-00644</t>
  </si>
  <si>
    <t>EXP-00260</t>
  </si>
  <si>
    <t>EXP-00951</t>
  </si>
  <si>
    <t>EXP-00760</t>
  </si>
  <si>
    <t>EXP-00402</t>
  </si>
  <si>
    <t>EXP-00983</t>
  </si>
  <si>
    <t>EXP-00847</t>
  </si>
  <si>
    <t>EXP-00647</t>
  </si>
  <si>
    <t>EXP-00528</t>
  </si>
  <si>
    <t>EXP-00965</t>
  </si>
  <si>
    <t>EXP-00018</t>
  </si>
  <si>
    <t>EXP-00529</t>
  </si>
  <si>
    <t>EXP-00936</t>
  </si>
  <si>
    <t>EXP-00134</t>
  </si>
  <si>
    <t>EXP-00167</t>
  </si>
  <si>
    <t>EXP-00874</t>
  </si>
  <si>
    <t>EXP-00116</t>
  </si>
  <si>
    <t>EXP-00357</t>
  </si>
  <si>
    <t>EXP-00418</t>
  </si>
  <si>
    <t>EXP-00157</t>
  </si>
  <si>
    <t>EXP-00062</t>
  </si>
  <si>
    <t>EXP-00516</t>
  </si>
  <si>
    <t>EXP-00890</t>
  </si>
  <si>
    <t>EXP-00655</t>
  </si>
  <si>
    <t>EXP-00744</t>
  </si>
  <si>
    <t>EXP-00286</t>
  </si>
  <si>
    <t>EXP-00278</t>
  </si>
  <si>
    <t>EXP-00273</t>
  </si>
  <si>
    <t>EXP-00518</t>
  </si>
  <si>
    <t>EXP-00728</t>
  </si>
  <si>
    <t>EXP-00039</t>
  </si>
  <si>
    <t>EXP-00724</t>
  </si>
  <si>
    <t>EXP-00761</t>
  </si>
  <si>
    <t>EXP-00022</t>
  </si>
  <si>
    <t>EXP-00448</t>
  </si>
  <si>
    <t>EXP-00141</t>
  </si>
  <si>
    <t>EXP-00344</t>
  </si>
  <si>
    <t>EXP-00168</t>
  </si>
  <si>
    <t>EXP-00749</t>
  </si>
  <si>
    <t>EXP-00073</t>
  </si>
  <si>
    <t>EXP-00896</t>
  </si>
  <si>
    <t>EXP-00384</t>
  </si>
  <si>
    <t>EXP-00980</t>
  </si>
  <si>
    <t>EXP-00972</t>
  </si>
  <si>
    <t>EXP-00432</t>
  </si>
  <si>
    <t>EXP-00622</t>
  </si>
  <si>
    <t>EXP-00253</t>
  </si>
  <si>
    <t>EXP-00312</t>
  </si>
  <si>
    <t>EXP-00878</t>
  </si>
  <si>
    <t>EXP-00645</t>
  </si>
  <si>
    <t>EXP-00008</t>
  </si>
  <si>
    <t>EXP-00487</t>
  </si>
  <si>
    <t>EXP-00730</t>
  </si>
  <si>
    <t>EXP-00221</t>
  </si>
  <si>
    <t>EXP-00276</t>
  </si>
  <si>
    <t>EXP-00985</t>
  </si>
  <si>
    <t>EXP-00043</t>
  </si>
  <si>
    <t>EXP-00503</t>
  </si>
  <si>
    <t>EXP-00142</t>
  </si>
  <si>
    <t>EXP-00162</t>
  </si>
  <si>
    <t>EXP-00098</t>
  </si>
  <si>
    <t>EXP-00986</t>
  </si>
  <si>
    <t>EXP-00375</t>
  </si>
  <si>
    <t>EXP-00268</t>
  </si>
  <si>
    <t>EXP-00624</t>
  </si>
  <si>
    <t>EXP-00078</t>
  </si>
  <si>
    <t>EXP-00785</t>
  </si>
  <si>
    <t>EXP-00325</t>
  </si>
  <si>
    <t>EXP-00296</t>
  </si>
  <si>
    <t>EXP-00310</t>
  </si>
  <si>
    <t>EXP-00161</t>
  </si>
  <si>
    <t>EXP-00716</t>
  </si>
  <si>
    <t>EXP-00901</t>
  </si>
  <si>
    <t>EXP-00317</t>
  </si>
  <si>
    <t>EXP-00989</t>
  </si>
  <si>
    <t>EXP-00857</t>
  </si>
  <si>
    <t>EXP-00422</t>
  </si>
  <si>
    <t>EXP-00190</t>
  </si>
  <si>
    <t>EXP-00773</t>
  </si>
  <si>
    <t>EXP-00510</t>
  </si>
  <si>
    <t>EXP-00333</t>
  </si>
  <si>
    <t>EXP-00077</t>
  </si>
  <si>
    <t>EXP-00044</t>
  </si>
  <si>
    <t>EXP-00464</t>
  </si>
  <si>
    <t>EXP-00229</t>
  </si>
  <si>
    <t>EXP-00245</t>
  </si>
  <si>
    <t>EXP-00302</t>
  </si>
  <si>
    <t>EXP-00719</t>
  </si>
  <si>
    <t>EXP-00249</t>
  </si>
  <si>
    <t>EXP-00999</t>
  </si>
  <si>
    <t>EXP-00241</t>
  </si>
  <si>
    <t>EXP-00703</t>
  </si>
  <si>
    <t>EXP-00755</t>
  </si>
  <si>
    <t>EXP-00862</t>
  </si>
  <si>
    <t>EXP-00123</t>
  </si>
  <si>
    <t>EXP-00855</t>
  </si>
  <si>
    <t>EXP-00894</t>
  </si>
  <si>
    <t>EXP-00440</t>
  </si>
  <si>
    <t>EXP-00058</t>
  </si>
  <si>
    <t>EXP-00380</t>
  </si>
  <si>
    <t>EXP-00918</t>
  </si>
  <si>
    <t>EXP-00257</t>
  </si>
  <si>
    <t>EXP-00905</t>
  </si>
  <si>
    <t>EXP-00949</t>
  </si>
  <si>
    <t>EXP-00678</t>
  </si>
  <si>
    <t>EXP-00735</t>
  </si>
  <si>
    <t>EXP-00237</t>
  </si>
  <si>
    <t>EXP-00305</t>
  </si>
  <si>
    <t>EXP-00465</t>
  </si>
  <si>
    <t>EXP-00547</t>
  </si>
  <si>
    <t>EXP-00815</t>
  </si>
  <si>
    <t>EXP-00446</t>
  </si>
  <si>
    <t>EXP-00753</t>
  </si>
  <si>
    <t>EXP-00812</t>
  </si>
  <si>
    <t>EXP-00852</t>
  </si>
  <si>
    <t>EXP-00737</t>
  </si>
  <si>
    <t>EXP-00064</t>
  </si>
  <si>
    <t>EXP-00504</t>
  </si>
  <si>
    <t>EXP-00688</t>
  </si>
  <si>
    <t>EXP-00831</t>
  </si>
  <si>
    <t>EXP-00400</t>
  </si>
  <si>
    <t>EXP-00409</t>
  </si>
  <si>
    <t>EXP-00087</t>
  </si>
  <si>
    <t>EXP-00667</t>
  </si>
  <si>
    <t>EXP-00128</t>
  </si>
  <si>
    <t>EXP-00040</t>
  </si>
  <si>
    <t>EXP-00910</t>
  </si>
  <si>
    <t>EXP-00826</t>
  </si>
  <si>
    <t>EXP-00551</t>
  </si>
  <si>
    <t>EXP-00425</t>
  </si>
  <si>
    <t>EXP-00484</t>
  </si>
  <si>
    <t>EXP-00591</t>
  </si>
  <si>
    <t>EXP-00640</t>
  </si>
  <si>
    <t>EXP-00509</t>
  </si>
  <si>
    <t>EXP-00893</t>
  </si>
  <si>
    <t>EXP-00614</t>
  </si>
  <si>
    <t>EXP-00698</t>
  </si>
  <si>
    <t>EXP-00885</t>
  </si>
  <si>
    <t>EXP-00225</t>
  </si>
  <si>
    <t>EXP-00740</t>
  </si>
  <si>
    <t>EXP-00804</t>
  </si>
  <si>
    <t>EXP-00069</t>
  </si>
  <si>
    <t>EXP-00204</t>
  </si>
  <si>
    <t>EXP-00562</t>
  </si>
  <si>
    <t>EXP-00014</t>
  </si>
  <si>
    <t>EXP-00921</t>
  </si>
  <si>
    <t>EXP-00304</t>
  </si>
  <si>
    <t>EXP-00013</t>
  </si>
  <si>
    <t>EXP-00412</t>
  </si>
  <si>
    <t>EXP-00063</t>
  </si>
  <si>
    <t>EXP-00948</t>
  </si>
  <si>
    <t>EXP-00818</t>
  </si>
  <si>
    <t>EXP-00269</t>
  </si>
  <si>
    <t>EXP-00991</t>
  </si>
  <si>
    <t>EXP-00604</t>
  </si>
  <si>
    <t>EXP-00584</t>
  </si>
  <si>
    <t>EXP-00911</t>
  </si>
  <si>
    <t>EXP-00825</t>
  </si>
  <si>
    <t>EXP-00976</t>
  </si>
  <si>
    <t>EXP-00800</t>
  </si>
  <si>
    <t>EXP-00521</t>
  </si>
  <si>
    <t>EXP-00673</t>
  </si>
  <si>
    <t>EXP-00335</t>
  </si>
  <si>
    <t>EXP-00534</t>
  </si>
  <si>
    <t>EXP-00081</t>
  </si>
  <si>
    <t>EXP-00620</t>
  </si>
  <si>
    <t>EXP-00280</t>
  </si>
  <si>
    <t>EXP-00387</t>
  </si>
  <si>
    <t>EXP-00830</t>
  </si>
  <si>
    <t>EXP-00904</t>
  </si>
  <si>
    <t>EXP-00332</t>
  </si>
  <si>
    <t>EXP-00118</t>
  </si>
  <si>
    <t>EXP-00182</t>
  </si>
  <si>
    <t>EXP-00613</t>
  </si>
  <si>
    <t>EXP-00978</t>
  </si>
  <si>
    <t>EXP-00866</t>
  </si>
  <si>
    <t>EXP-00810</t>
  </si>
  <si>
    <t>EXP-00035</t>
  </si>
  <si>
    <t>EXP-00988</t>
  </si>
  <si>
    <t>EXP-00704</t>
  </si>
  <si>
    <t>EXP-00581</t>
  </si>
  <si>
    <t>EXP-00766</t>
  </si>
  <si>
    <t>EXP-00215</t>
  </si>
  <si>
    <t>EXP-00437</t>
  </si>
  <si>
    <t>EXP-00672</t>
  </si>
  <si>
    <t>EXP-00789</t>
  </si>
  <si>
    <t>EXP-00903</t>
  </si>
  <si>
    <t>EXP-00239</t>
  </si>
  <si>
    <t>EXP-00421</t>
  </si>
  <si>
    <t>EXP-00408</t>
  </si>
  <si>
    <t>EXP-00770</t>
  </si>
  <si>
    <t>EXP-00287</t>
  </si>
  <si>
    <t>EXP-00907</t>
  </si>
  <si>
    <t>EXP-00877</t>
  </si>
  <si>
    <t>EXP-00590</t>
  </si>
  <si>
    <t>EXP-00635</t>
  </si>
  <si>
    <t>EXP-00211</t>
  </si>
  <si>
    <t>EXP-00295</t>
  </si>
  <si>
    <t>EXP-00342</t>
  </si>
  <si>
    <t>EXP-00968</t>
  </si>
  <si>
    <t>EXP-00538</t>
  </si>
  <si>
    <t>EXP-00713</t>
  </si>
  <si>
    <t>EXP-00820</t>
  </si>
  <si>
    <t>EXP-00491</t>
  </si>
  <si>
    <t>EXP-00676</t>
  </si>
  <si>
    <t>EXP-00723</t>
  </si>
  <si>
    <t>EXP-00414</t>
  </si>
  <si>
    <t>EXP-00840</t>
  </si>
  <si>
    <t>EXP-00822</t>
  </si>
  <si>
    <t>EXP-00677</t>
  </si>
  <si>
    <t>EXP-00055</t>
  </si>
  <si>
    <t>EXP-00486</t>
  </si>
  <si>
    <t>EXP-00929</t>
  </si>
  <si>
    <t>EXP-00160</t>
  </si>
  <si>
    <t>EXP-00206</t>
  </si>
  <si>
    <t>EXP-00217</t>
  </si>
  <si>
    <t>EXP-00125</t>
  </si>
  <si>
    <t>EXP-00782</t>
  </si>
  <si>
    <t>EXP-00340</t>
  </si>
  <si>
    <t>EXP-00567</t>
  </si>
  <si>
    <t>EXP-00867</t>
  </si>
  <si>
    <t>EXP-00137</t>
  </si>
  <si>
    <t>EXP-00813</t>
  </si>
  <si>
    <t>EXP-00308</t>
  </si>
  <si>
    <t>EXP-00902</t>
  </si>
  <si>
    <t>EXP-00068</t>
  </si>
  <si>
    <t>EXP-00746</t>
  </si>
  <si>
    <t>EXP-00054</t>
  </si>
  <si>
    <t>EXP-00386</t>
  </si>
  <si>
    <t>EXP-00863</t>
  </si>
  <si>
    <t>EXP-00379</t>
  </si>
  <si>
    <t>EXP-00005</t>
  </si>
  <si>
    <t>EXP-00119</t>
  </si>
  <si>
    <t>EXP-00496</t>
  </si>
  <si>
    <t>EXP-00819</t>
  </si>
  <si>
    <t>EXP-00175</t>
  </si>
  <si>
    <t>EXP-00610</t>
  </si>
  <si>
    <t>EXP-00187</t>
  </si>
  <si>
    <t>EXP-00197</t>
  </si>
  <si>
    <t>EXP-00435</t>
  </si>
  <si>
    <t>EXP-00436</t>
  </si>
  <si>
    <t>EXP-00023</t>
  </si>
  <si>
    <t>EXP-00469</t>
  </si>
  <si>
    <t>EXP-00922</t>
  </si>
  <si>
    <t>EXP-00483</t>
  </si>
  <si>
    <t>EXP-00928</t>
  </si>
  <si>
    <t>EXP-00579</t>
  </si>
  <si>
    <t>EXP-00350</t>
  </si>
  <si>
    <t>EXP-00075</t>
  </si>
  <si>
    <t>EXP-00415</t>
  </si>
  <si>
    <t>EXP-00523</t>
  </si>
  <si>
    <t>EXP-00316</t>
  </si>
  <si>
    <t>EXP-00558</t>
  </si>
  <si>
    <t>EXP-00783</t>
  </si>
  <si>
    <t>EXP-00457</t>
  </si>
  <si>
    <t>EXP-00009</t>
  </si>
  <si>
    <t>EXP-00191</t>
  </si>
  <si>
    <t>EXP-00912</t>
  </si>
  <si>
    <t>EXP-00041</t>
  </si>
  <si>
    <t>EXP-00659</t>
  </si>
  <si>
    <t>EXP-00165</t>
  </si>
  <si>
    <t>EXP-00886</t>
  </si>
  <si>
    <t>EXP-00757</t>
  </si>
  <si>
    <t>EXP-00742</t>
  </si>
  <si>
    <t>EXP-00216</t>
  </si>
  <si>
    <t>EXP-00756</t>
  </si>
  <si>
    <t>EXP-00715</t>
  </si>
  <si>
    <t>EXP-00120</t>
  </si>
  <si>
    <t>EXP-00438</t>
  </si>
  <si>
    <t>EXP-00048</t>
  </si>
  <si>
    <t>EXP-00956</t>
  </si>
  <si>
    <t>EXP-00154</t>
  </si>
  <si>
    <t>EXP-00399</t>
  </si>
  <si>
    <t>EXP-00665</t>
  </si>
  <si>
    <t>EXP-00264</t>
  </si>
  <si>
    <t>EXP-00028</t>
  </si>
  <si>
    <t>EXP-00634</t>
  </si>
  <si>
    <t>EXP-00535</t>
  </si>
  <si>
    <t>EXP-00453</t>
  </si>
  <si>
    <t>EXP-00998</t>
  </si>
  <si>
    <t>EXP-00542</t>
  </si>
  <si>
    <t>EXP-00126</t>
  </si>
  <si>
    <t>EXP-00222</t>
  </si>
  <si>
    <t>EXP-00362</t>
  </si>
  <si>
    <t>EXP-00164</t>
  </si>
  <si>
    <t>EXP-00230</t>
  </si>
  <si>
    <t>EXP-00074</t>
  </si>
  <si>
    <t>EXP-00401</t>
  </si>
  <si>
    <t>EXP-00131</t>
  </si>
  <si>
    <t>EXP-00358</t>
  </si>
  <si>
    <t>EXP-00637</t>
  </si>
  <si>
    <t>EXP-00124</t>
  </si>
  <si>
    <t>EXP-00434</t>
  </si>
  <si>
    <t>EXP-00447</t>
  </si>
  <si>
    <t>EXP-00281</t>
  </si>
  <si>
    <t>EXP-00615</t>
  </si>
  <si>
    <t>EXP-00151</t>
  </si>
  <si>
    <t>EXP-00426</t>
  </si>
  <si>
    <t>EXP-00030</t>
  </si>
  <si>
    <t>EXP-00545</t>
  </si>
  <si>
    <t>EXP-00887</t>
  </si>
  <si>
    <t>EXP-00202</t>
  </si>
  <si>
    <t>EXP-00572</t>
  </si>
  <si>
    <t>EXP-00451</t>
  </si>
  <si>
    <t>EXP-00052</t>
  </si>
  <si>
    <t>EXP-00112</t>
  </si>
  <si>
    <t>EXP-00914</t>
  </si>
  <si>
    <t>EXP-00494</t>
  </si>
  <si>
    <t>EXP-00850</t>
  </si>
  <si>
    <t>EXP-00220</t>
  </si>
  <si>
    <t>EXP-00955</t>
  </si>
  <si>
    <t>EXP-00639</t>
  </si>
  <si>
    <t>EXP-00462</t>
  </si>
  <si>
    <t>EXP-00201</t>
  </si>
  <si>
    <t>EXP-00605</t>
  </si>
  <si>
    <t>EXP-00975</t>
  </si>
  <si>
    <t>EXP-00648</t>
  </si>
  <si>
    <t>EXP-00970</t>
  </si>
  <si>
    <t>EXP-00751</t>
  </si>
  <si>
    <t>EXP-00176</t>
  </si>
  <si>
    <t>EXP-00543</t>
  </si>
  <si>
    <t>EXP-00544</t>
  </si>
  <si>
    <t>EXP-00122</t>
  </si>
  <si>
    <t>EXP-00829</t>
  </si>
  <si>
    <t>EXP-00361</t>
  </si>
  <si>
    <t>EXP-00389</t>
  </si>
  <si>
    <t>EXP-00858</t>
  </si>
  <si>
    <t>EXP-00814</t>
  </si>
  <si>
    <t>EXP-00632</t>
  </si>
  <si>
    <t>EXP-00377</t>
  </si>
  <si>
    <t>EXP-00170</t>
  </si>
  <si>
    <t>EXP-00787</t>
  </si>
  <si>
    <t>EXP-00091</t>
  </si>
  <si>
    <t>EXP-00920</t>
  </si>
  <si>
    <t>EXP-00032</t>
  </si>
  <si>
    <t>EXP-00934</t>
  </si>
  <si>
    <t>EXP-00500</t>
  </si>
  <si>
    <t>EXP-00094</t>
  </si>
  <si>
    <t>EXP-00461</t>
  </si>
  <si>
    <t>EXP-00670</t>
  </si>
  <si>
    <t>EXP-00406</t>
  </si>
  <si>
    <t>EXP-00861</t>
  </si>
  <si>
    <t>EXP-00937</t>
  </si>
  <si>
    <t>EXP-00159</t>
  </si>
  <si>
    <t>EXP-00595</t>
  </si>
  <si>
    <t>EXP-00309</t>
  </si>
  <si>
    <t>EXP-00036</t>
  </si>
  <si>
    <t>EXP-00017</t>
  </si>
  <si>
    <t>EXP-00311</t>
  </si>
  <si>
    <t>EXP-00845</t>
  </si>
  <si>
    <t>EXP-00019</t>
  </si>
  <si>
    <t>EXP-00759</t>
  </si>
  <si>
    <t>EXP-00790</t>
  </si>
  <si>
    <t>EXP-00252</t>
  </si>
  <si>
    <t>EXP-00809</t>
  </si>
  <si>
    <t>EXP-00993</t>
  </si>
  <si>
    <t>EXP-00752</t>
  </si>
  <si>
    <t>EXP-00900</t>
  </si>
  <si>
    <t>EXP-00828</t>
  </si>
  <si>
    <t>EXP-00189</t>
  </si>
  <si>
    <t>EXP-00687</t>
  </si>
  <si>
    <t>EXP-00836</t>
  </si>
  <si>
    <t>EXP-00702</t>
  </si>
  <si>
    <t>EXP-00958</t>
  </si>
  <si>
    <t>EXP-00429</t>
  </si>
  <si>
    <t>EXP-00556</t>
  </si>
  <si>
    <t>EXP-00146</t>
  </si>
  <si>
    <t>EXP-00370</t>
  </si>
  <si>
    <t>EXP-00942</t>
  </si>
  <si>
    <t>EXP-00629</t>
  </si>
  <si>
    <t>EXP-00524</t>
  </si>
  <si>
    <t>EXP-00763</t>
  </si>
  <si>
    <t>EXP-00940</t>
  </si>
  <si>
    <t>EXP-00347</t>
  </si>
  <si>
    <t>EXP-00513</t>
  </si>
  <si>
    <t>EXP-00478</t>
  </si>
  <si>
    <t>EXP-00950</t>
  </si>
  <si>
    <t>EXP-00480</t>
  </si>
  <si>
    <t>EXP-00708</t>
  </si>
  <si>
    <t>EXP-00646</t>
  </si>
  <si>
    <t>EXP-00214</t>
  </si>
  <si>
    <t>EXP-00711</t>
  </si>
  <si>
    <t>EXP-00802</t>
  </si>
  <si>
    <t>EXP-00926</t>
  </si>
  <si>
    <t>EXP-00791</t>
  </si>
  <si>
    <t>EXP-00114</t>
  </si>
  <si>
    <t>EXP-00010</t>
  </si>
  <si>
    <t>EXP-00152</t>
  </si>
  <si>
    <t>EXP-00323</t>
  </si>
  <si>
    <t>EXP-00643</t>
  </si>
  <si>
    <t>EXP-00236</t>
  </si>
  <si>
    <t>EXP-00599</t>
  </si>
  <si>
    <t>EXP-00870</t>
  </si>
  <si>
    <t>EXP-00498</t>
  </si>
  <si>
    <t>EXP-00786</t>
  </si>
  <si>
    <t>EXP-00110</t>
  </si>
  <si>
    <t>EXP-00359</t>
  </si>
  <si>
    <t>EXP-00003</t>
  </si>
  <si>
    <t>EXP-00042</t>
  </si>
  <si>
    <t>EXP-00240</t>
  </si>
  <si>
    <t>EXP-00292</t>
  </si>
  <si>
    <t>EXP-00025</t>
  </si>
  <si>
    <t>EXP-00259</t>
  </si>
  <si>
    <t>EXP-00086</t>
  </si>
  <si>
    <t>EXP-00092</t>
  </si>
  <si>
    <t>EXP-00827</t>
  </si>
  <si>
    <t>EXP-00349</t>
  </si>
  <si>
    <t>EXP-00841</t>
  </si>
  <si>
    <t>EXP-00906</t>
  </si>
  <si>
    <t>EXP-00113</t>
  </si>
  <si>
    <t>EXP-00381</t>
  </si>
  <si>
    <t>EXP-00140</t>
  </si>
  <si>
    <t>EXP-00788</t>
  </si>
  <si>
    <t>EXP-00285</t>
  </si>
  <si>
    <t>EXP-00707</t>
  </si>
  <si>
    <t>EXP-00586</t>
  </si>
  <si>
    <t>EXP-00611</t>
  </si>
  <si>
    <t>EXP-00733</t>
  </si>
  <si>
    <t>EXP-00957</t>
  </si>
  <si>
    <t>EXP-00066</t>
  </si>
  <si>
    <t>EXP-00266</t>
  </si>
  <si>
    <t>EXP-00145</t>
  </si>
  <si>
    <t>EXP-00139</t>
  </si>
  <si>
    <t>EXP-00106</t>
  </si>
  <si>
    <t>EXP-00625</t>
  </si>
  <si>
    <t>EXP-00864</t>
  </si>
  <si>
    <t>EXP-00916</t>
  </si>
  <si>
    <t>EXP-00346</t>
  </si>
  <si>
    <t>EXP-00460</t>
  </si>
  <si>
    <t>EXP-00329</t>
  </si>
  <si>
    <t>EXP-00578</t>
  </si>
  <si>
    <t>EXP-00173</t>
  </si>
  <si>
    <t>EXP-00174</t>
  </si>
  <si>
    <t>EXP-00299</t>
  </si>
  <si>
    <t>EXP-00811</t>
  </si>
  <si>
    <t>EXP-00745</t>
  </si>
  <si>
    <t>EXP-00158</t>
  </si>
  <si>
    <t>EXP-00261</t>
  </si>
  <si>
    <t>EXP-00472</t>
  </si>
  <si>
    <t>EXP-00051</t>
  </si>
  <si>
    <t>EXP-00502</t>
  </si>
  <si>
    <t>EXP-00987</t>
  </si>
  <si>
    <t>EXP-00871</t>
  </si>
  <si>
    <t>EXP-00322</t>
  </si>
  <si>
    <t>EXP-00816</t>
  </si>
  <si>
    <t>EXP-00932</t>
  </si>
  <si>
    <t>EXP-00696</t>
  </si>
  <si>
    <t>EXP-00649</t>
  </si>
  <si>
    <t>EXP-00507</t>
  </si>
  <si>
    <t>EXP-00199</t>
  </si>
  <si>
    <t>EXP-00821</t>
  </si>
  <si>
    <t>EXP-00700</t>
  </si>
  <si>
    <t>EXP-00184</t>
  </si>
  <si>
    <t>EXP-00549</t>
  </si>
  <si>
    <t>EXP-00712</t>
  </si>
  <si>
    <t>EXP-00355</t>
  </si>
  <si>
    <t>EXP-00769</t>
  </si>
  <si>
    <t>EXP-00843</t>
  </si>
  <si>
    <t>EXP-00404</t>
  </si>
  <si>
    <t>EXP-00244</t>
  </si>
  <si>
    <t>EXP-00492</t>
  </si>
  <si>
    <t>EXP-00616</t>
  </si>
  <si>
    <t>EXP-00256</t>
  </si>
  <si>
    <t>EXP-00393</t>
  </si>
  <si>
    <t>EXP-00149</t>
  </si>
  <si>
    <t>EXP-00774</t>
  </si>
  <si>
    <t>EXP-00455</t>
  </si>
  <si>
    <t>EXP-00482</t>
  </si>
  <si>
    <t>EXP-00037</t>
  </si>
  <si>
    <t>EXP-00729</t>
  </si>
  <si>
    <t>EXP-00439</t>
  </si>
  <si>
    <t>EXP-00799</t>
  </si>
  <si>
    <t>EXP-00808</t>
  </si>
  <si>
    <t>EXP-00959</t>
  </si>
  <si>
    <t>EXP-00213</t>
  </si>
  <si>
    <t>EXP-00247</t>
  </si>
  <si>
    <t>EXP-00133</t>
  </si>
  <si>
    <t>EXP-00047</t>
  </si>
  <si>
    <t>EXP-00859</t>
  </si>
  <si>
    <t>EXP-00297</t>
  </si>
  <si>
    <t>EXP-00228</t>
  </si>
  <si>
    <t>EXP-00823</t>
  </si>
  <si>
    <t>EXP-00559</t>
  </si>
  <si>
    <t>EXP-00577</t>
  </si>
  <si>
    <t>EXP-00327</t>
  </si>
  <si>
    <t>EXP-00709</t>
  </si>
  <si>
    <t>EXP-00662</t>
  </si>
  <si>
    <t>EXP-00908</t>
  </si>
  <si>
    <t>EXP-00952</t>
  </si>
  <si>
    <t>EXP-00570</t>
  </si>
  <si>
    <t>EXP-00967</t>
  </si>
  <si>
    <t>EXP-00177</t>
  </si>
  <si>
    <t>EXP-00441</t>
  </si>
  <si>
    <t>EXP-00398</t>
  </si>
  <si>
    <t>EXP-00747</t>
  </si>
  <si>
    <t>EXP-00758</t>
  </si>
  <si>
    <t>EXP-00303</t>
  </si>
  <si>
    <t>EXP-00588</t>
  </si>
  <si>
    <t>EXP-00960</t>
  </si>
  <si>
    <t>EXP-00641</t>
  </si>
  <si>
    <t>EXP-00476</t>
  </si>
  <si>
    <t>EXP-00527</t>
  </si>
  <si>
    <t>EXP-00212</t>
  </si>
  <si>
    <t>EXP-00609</t>
  </si>
  <si>
    <t>EXP-00996</t>
  </si>
  <si>
    <t>EXP-00090</t>
  </si>
  <si>
    <t>EXP-00046</t>
  </si>
  <si>
    <t>EXP-00697</t>
  </si>
  <si>
    <t>EXP-00258</t>
  </si>
  <si>
    <t>EXP-00012</t>
  </si>
  <si>
    <t>EXP-00565</t>
  </si>
  <si>
    <t>EXP-00805</t>
  </si>
  <si>
    <t>EXP-00807</t>
  </si>
  <si>
    <t>EXP-00413</t>
  </si>
  <si>
    <t>EXP-00143</t>
  </si>
  <si>
    <t>EXP-00328</t>
  </si>
  <si>
    <t>EXP-00459</t>
  </si>
  <si>
    <t>EXP-00270</t>
  </si>
  <si>
    <t>Campaign_ID</t>
  </si>
  <si>
    <t>Campaign_Name</t>
  </si>
  <si>
    <t>Channel</t>
  </si>
  <si>
    <t>Campaign_Type</t>
  </si>
  <si>
    <t>Start_Date</t>
  </si>
  <si>
    <t>End_Date</t>
  </si>
  <si>
    <t>Budget_INR</t>
  </si>
  <si>
    <t>Impressions</t>
  </si>
  <si>
    <t>Clicks</t>
  </si>
  <si>
    <t>MQLs</t>
  </si>
  <si>
    <t>SQLs</t>
  </si>
  <si>
    <t>Conversions</t>
  </si>
  <si>
    <t>CTR_Percent</t>
  </si>
  <si>
    <t>Cost_Per_Click</t>
  </si>
  <si>
    <t>Customer_Acquisition_Cost</t>
  </si>
  <si>
    <t>Target_Region</t>
  </si>
  <si>
    <t>Target_Industry</t>
  </si>
  <si>
    <t>CAMP-0116</t>
  </si>
  <si>
    <t>Q2-2023 SecureNet Suite Retargeting</t>
  </si>
  <si>
    <t>Google Ads</t>
  </si>
  <si>
    <t>Retargeting</t>
  </si>
  <si>
    <t>CAMP-0035</t>
  </si>
  <si>
    <t>Q2-2023 AnalyticsEdge Retargeting</t>
  </si>
  <si>
    <t>Social Media</t>
  </si>
  <si>
    <t>Lead Generation</t>
  </si>
  <si>
    <t>CAMP-0127</t>
  </si>
  <si>
    <t>Q4-2023 AnalyticsEdge Product Launch</t>
  </si>
  <si>
    <t>SEO</t>
  </si>
  <si>
    <t>Brand Awareness</t>
  </si>
  <si>
    <t>All Regions</t>
  </si>
  <si>
    <t>CAMP-0115</t>
  </si>
  <si>
    <t>Q4-2024 AI Insights Module Retargeting</t>
  </si>
  <si>
    <t>Webinar</t>
  </si>
  <si>
    <t>CAMP-0111</t>
  </si>
  <si>
    <t>Q1-2024 SecureNet Suite Retargeting</t>
  </si>
  <si>
    <t>CAMP-0123</t>
  </si>
  <si>
    <t>Q1-2024 CloudShift Platform Event Promotion</t>
  </si>
  <si>
    <t>LinkedIn</t>
  </si>
  <si>
    <t>CAMP-0086</t>
  </si>
  <si>
    <t>Q2-2023 AnalyticsEdge Product Launch</t>
  </si>
  <si>
    <t>CAMP-0039</t>
  </si>
  <si>
    <t>Q3-2025 DevOps Accelerator Event Promotion</t>
  </si>
  <si>
    <t>CAMP-0016</t>
  </si>
  <si>
    <t>Q3-2023 DevOps Accelerator Brand Awareness</t>
  </si>
  <si>
    <t>All Industries</t>
  </si>
  <si>
    <t>CAMP-0043</t>
  </si>
  <si>
    <t>Q4-2025 AI Insights Module Brand Awareness</t>
  </si>
  <si>
    <t>Content Marketing</t>
  </si>
  <si>
    <t>Event Promotion</t>
  </si>
  <si>
    <t>CAMP-0124</t>
  </si>
  <si>
    <t>Q2-2025 SecureNet Suite Brand Awareness</t>
  </si>
  <si>
    <t>CAMP-0053</t>
  </si>
  <si>
    <t>Q2-2025 AI Insights Module Product Launch</t>
  </si>
  <si>
    <t>CAMP-0018</t>
  </si>
  <si>
    <t>Q2-2023 SecureNet Suite Event Promotion</t>
  </si>
  <si>
    <t>CAMP-0008</t>
  </si>
  <si>
    <t>Q3-2023 AI Insights Module Retargeting</t>
  </si>
  <si>
    <t>Email</t>
  </si>
  <si>
    <t>CAMP-0150</t>
  </si>
  <si>
    <t>Q3-2023 AnalyticsEdge Brand Awareness</t>
  </si>
  <si>
    <t>CAMP-0024</t>
  </si>
  <si>
    <t>Q4-2025 AI Insights Module Product Launch</t>
  </si>
  <si>
    <t>Product Launch</t>
  </si>
  <si>
    <t>CAMP-0060</t>
  </si>
  <si>
    <t>Q3-2023 AnalyticsEdge Product Launch</t>
  </si>
  <si>
    <t>CAMP-0105</t>
  </si>
  <si>
    <t>Q4-2023 AnalyticsEdge Event Promotion</t>
  </si>
  <si>
    <t>CAMP-0113</t>
  </si>
  <si>
    <t>Q2-2024 CloudShift Platform Lead Generation</t>
  </si>
  <si>
    <t>CAMP-0133</t>
  </si>
  <si>
    <t>Q4-2025 DataVault Pro Retargeting</t>
  </si>
  <si>
    <t>CAMP-0142</t>
  </si>
  <si>
    <t>Q2-2023 DevOps Accelerator Retargeting</t>
  </si>
  <si>
    <t>CAMP-0121</t>
  </si>
  <si>
    <t>Q4-2023 AI Insights Module Lead Generation</t>
  </si>
  <si>
    <t>CAMP-0076</t>
  </si>
  <si>
    <t>Q3-2025 SecureNet Suite Event Promotion</t>
  </si>
  <si>
    <t>CAMP-0062</t>
  </si>
  <si>
    <t>Q1-2024 AnalyticsEdge Retargeting</t>
  </si>
  <si>
    <t>CAMP-0099</t>
  </si>
  <si>
    <t>Q2-2025 DevOps Accelerator Brand Awareness</t>
  </si>
  <si>
    <t>CAMP-0077</t>
  </si>
  <si>
    <t>Q4-2024 DataVault Pro Brand Awareness</t>
  </si>
  <si>
    <t>CAMP-0054</t>
  </si>
  <si>
    <t>Q1-2024 AnalyticsEdge Lead Generation</t>
  </si>
  <si>
    <t>CAMP-0112</t>
  </si>
  <si>
    <t>CAMP-0032</t>
  </si>
  <si>
    <t>Q2-2025 AnalyticsEdge Product Launch</t>
  </si>
  <si>
    <t>CAMP-0042</t>
  </si>
  <si>
    <t>Q4-2025 CloudShift Platform Retargeting</t>
  </si>
  <si>
    <t>CAMP-0080</t>
  </si>
  <si>
    <t>Q3-2024 AnalyticsEdge Lead Generation</t>
  </si>
  <si>
    <t>CAMP-0084</t>
  </si>
  <si>
    <t>Q1-2024 AI Insights Module Retargeting</t>
  </si>
  <si>
    <t>CAMP-0089</t>
  </si>
  <si>
    <t>Q1-2024 AI Insights Module Lead Generation</t>
  </si>
  <si>
    <t>CAMP-0146</t>
  </si>
  <si>
    <t>Q1-2025 SecureNet Suite Lead Generation</t>
  </si>
  <si>
    <t>CAMP-0092</t>
  </si>
  <si>
    <t>Q1-2024 DevOps Accelerator Lead Generation</t>
  </si>
  <si>
    <t>CAMP-0034</t>
  </si>
  <si>
    <t>Q4-2023 DevOps Accelerator Event Promotion</t>
  </si>
  <si>
    <t>CAMP-0059</t>
  </si>
  <si>
    <t>Q4-2025 SecureNet Suite Event Promotion</t>
  </si>
  <si>
    <t>CAMP-0003</t>
  </si>
  <si>
    <t>Q4-2023 SecureNet Suite Product Launch</t>
  </si>
  <si>
    <t>CAMP-0026</t>
  </si>
  <si>
    <t>Q1-2024 CloudShift Platform Product Launch</t>
  </si>
  <si>
    <t>CAMP-0147</t>
  </si>
  <si>
    <t>Q1-2024 AI Insights Module Brand Awareness</t>
  </si>
  <si>
    <t>Trade Show</t>
  </si>
  <si>
    <t>CAMP-0014</t>
  </si>
  <si>
    <t>Q1-2023 DataVault Pro Brand Awareness</t>
  </si>
  <si>
    <t>CAMP-0067</t>
  </si>
  <si>
    <t>Q3-2023 DevOps Accelerator Retargeting</t>
  </si>
  <si>
    <t>CAMP-0107</t>
  </si>
  <si>
    <t>Q4-2025 AI Insights Module Retargeting</t>
  </si>
  <si>
    <t>CAMP-0109</t>
  </si>
  <si>
    <t>Q4-2023 CloudShift Platform Product Launch</t>
  </si>
  <si>
    <t>CAMP-0108</t>
  </si>
  <si>
    <t>CAMP-0145</t>
  </si>
  <si>
    <t>Q3-2023 CloudShift Platform Lead Generation</t>
  </si>
  <si>
    <t>CAMP-0070</t>
  </si>
  <si>
    <t>Q3-2024 CloudShift Platform Brand Awareness</t>
  </si>
  <si>
    <t>CAMP-0017</t>
  </si>
  <si>
    <t>Q1-2023 DataVault Pro Retargeting</t>
  </si>
  <si>
    <t>CAMP-0074</t>
  </si>
  <si>
    <t>Q4-2023 DevOps Accelerator Retargeting</t>
  </si>
  <si>
    <t>CAMP-0131</t>
  </si>
  <si>
    <t>Q1-2025 DataVault Pro Event Promotion</t>
  </si>
  <si>
    <t>CAMP-0126</t>
  </si>
  <si>
    <t>Q3-2025 DataVault Pro Product Launch</t>
  </si>
  <si>
    <t>CAMP-0135</t>
  </si>
  <si>
    <t>Q1-2025 SecureNet Suite Brand Awareness</t>
  </si>
  <si>
    <t>CAMP-0020</t>
  </si>
  <si>
    <t>Q4-2023 DataVault Pro Lead Generation</t>
  </si>
  <si>
    <t>CAMP-0023</t>
  </si>
  <si>
    <t>Q4-2024 DevOps Accelerator Lead Generation</t>
  </si>
  <si>
    <t>CAMP-0106</t>
  </si>
  <si>
    <t>Q1-2025 DevOps Accelerator Event Promotion</t>
  </si>
  <si>
    <t>CAMP-0068</t>
  </si>
  <si>
    <t>Q3-2023 AI Insights Module Event Promotion</t>
  </si>
  <si>
    <t>CAMP-0071</t>
  </si>
  <si>
    <t>Q2-2025 DataVault Pro Event Promotion</t>
  </si>
  <si>
    <t>CAMP-0065</t>
  </si>
  <si>
    <t>CAMP-0058</t>
  </si>
  <si>
    <t>Q1-2024 SecureNet Suite Brand Awareness</t>
  </si>
  <si>
    <t>CAMP-0040</t>
  </si>
  <si>
    <t>Q2-2024 AnalyticsEdge Product Launch</t>
  </si>
  <si>
    <t>CAMP-0041</t>
  </si>
  <si>
    <t>Q2-2024 AnalyticsEdge Lead Generation</t>
  </si>
  <si>
    <t>CAMP-0010</t>
  </si>
  <si>
    <t>Q1-2024 CloudShift Platform Brand Awareness</t>
  </si>
  <si>
    <t>CAMP-0130</t>
  </si>
  <si>
    <t>Q3-2024 DataVault Pro Brand Awareness</t>
  </si>
  <si>
    <t>CAMP-0007</t>
  </si>
  <si>
    <t>Q3-2024 DevOps Accelerator Brand Awareness</t>
  </si>
  <si>
    <t>CAMP-0102</t>
  </si>
  <si>
    <t>Q2-2023 AI Insights Module Brand Awareness</t>
  </si>
  <si>
    <t>CAMP-0046</t>
  </si>
  <si>
    <t>Q3-2023 AI Insights Module Brand Awareness</t>
  </si>
  <si>
    <t>CAMP-0048</t>
  </si>
  <si>
    <t>Q4-2024 DataVault Pro Event Promotion</t>
  </si>
  <si>
    <t>CAMP-0047</t>
  </si>
  <si>
    <t>Q2-2024 AI Insights Module Product Launch</t>
  </si>
  <si>
    <t>CAMP-0073</t>
  </si>
  <si>
    <t>Q1-2024 SecureNet Suite Lead Generation</t>
  </si>
  <si>
    <t>CAMP-0138</t>
  </si>
  <si>
    <t>Q2-2025 DataVault Pro Lead Generation</t>
  </si>
  <si>
    <t>CAMP-0136</t>
  </si>
  <si>
    <t>Q4-2024 SecureNet Suite Product Launch</t>
  </si>
  <si>
    <t>CAMP-0079</t>
  </si>
  <si>
    <t>CAMP-0057</t>
  </si>
  <si>
    <t>CAMP-0075</t>
  </si>
  <si>
    <t>Q2-2024 DataVault Pro Event Promotion</t>
  </si>
  <si>
    <t>CAMP-0015</t>
  </si>
  <si>
    <t>Q3-2025 AnalyticsEdge Event Promotion</t>
  </si>
  <si>
    <t>CAMP-0061</t>
  </si>
  <si>
    <t>Q1-2023 AI Insights Module Retargeting</t>
  </si>
  <si>
    <t>CAMP-0149</t>
  </si>
  <si>
    <t>Q4-2024 SecureNet Suite Brand Awareness</t>
  </si>
  <si>
    <t>CAMP-0101</t>
  </si>
  <si>
    <t>Q1-2024 DevOps Accelerator Product Launch</t>
  </si>
  <si>
    <t>CAMP-0095</t>
  </si>
  <si>
    <t>CAMP-0012</t>
  </si>
  <si>
    <t>Q1-2025 SecureNet Suite Product Launch</t>
  </si>
  <si>
    <t>CAMP-0038</t>
  </si>
  <si>
    <t>Q4-2023 DataVault Pro Product Launch</t>
  </si>
  <si>
    <t>CAMP-0049</t>
  </si>
  <si>
    <t>Q3-2024 DataVault Pro Lead Generation</t>
  </si>
  <si>
    <t>CAMP-0093</t>
  </si>
  <si>
    <t>Q2-2025 AI Insights Module Retargeting</t>
  </si>
  <si>
    <t>CAMP-0140</t>
  </si>
  <si>
    <t>Q1-2023 CloudShift Platform Retargeting</t>
  </si>
  <si>
    <t>CAMP-0139</t>
  </si>
  <si>
    <t>Q4-2023 SecureNet Suite Lead Generation</t>
  </si>
  <si>
    <t>CAMP-0110</t>
  </si>
  <si>
    <t>Q2-2025 DevOps Accelerator Retargeting</t>
  </si>
  <si>
    <t>CAMP-0050</t>
  </si>
  <si>
    <t>Q3-2024 DevOps Accelerator Lead Generation</t>
  </si>
  <si>
    <t>CAMP-0030</t>
  </si>
  <si>
    <t>CAMP-0004</t>
  </si>
  <si>
    <t>Q1-2025 AnalyticsEdge Event Promotion</t>
  </si>
  <si>
    <t>CAMP-0011</t>
  </si>
  <si>
    <t>CAMP-0063</t>
  </si>
  <si>
    <t>Q4-2025 DataVault Pro Brand Awareness</t>
  </si>
  <si>
    <t>CAMP-0103</t>
  </si>
  <si>
    <t>CAMP-0033</t>
  </si>
  <si>
    <t>CAMP-0120</t>
  </si>
  <si>
    <t>CAMP-0144</t>
  </si>
  <si>
    <t>Q4-2024 DevOps Accelerator Event Promotion</t>
  </si>
  <si>
    <t>CAMP-0022</t>
  </si>
  <si>
    <t>Q3-2024 AI Insights Module Product Launch</t>
  </si>
  <si>
    <t>CAMP-0064</t>
  </si>
  <si>
    <t>CAMP-0143</t>
  </si>
  <si>
    <t>Q2-2023 CloudShift Platform Brand Awareness</t>
  </si>
  <si>
    <t>CAMP-0098</t>
  </si>
  <si>
    <t>CAMP-0128</t>
  </si>
  <si>
    <t>Q1-2023 CloudShift Platform Brand Awareness</t>
  </si>
  <si>
    <t>CAMP-0118</t>
  </si>
  <si>
    <t>Q3-2023 CloudShift Platform Retargeting</t>
  </si>
  <si>
    <t>CAMP-0096</t>
  </si>
  <si>
    <t>Q4-2023 DataVault Pro Event Promotion</t>
  </si>
  <si>
    <t>CAMP-0069</t>
  </si>
  <si>
    <t>Q2-2024 SecureNet Suite Event Promotion</t>
  </si>
  <si>
    <t>CAMP-0045</t>
  </si>
  <si>
    <t>CAMP-0056</t>
  </si>
  <si>
    <t>Q3-2024 SecureNet Suite Lead Generation</t>
  </si>
  <si>
    <t>CAMP-0132</t>
  </si>
  <si>
    <t>Q3-2025 DataVault Pro Event Promotion</t>
  </si>
  <si>
    <t>CAMP-0078</t>
  </si>
  <si>
    <t>Q2-2024 CloudShift Platform Product Launch</t>
  </si>
  <si>
    <t>CAMP-0094</t>
  </si>
  <si>
    <t>CAMP-0037</t>
  </si>
  <si>
    <t>Q3-2025 SecureNet Suite Lead Generation</t>
  </si>
  <si>
    <t>CAMP-0081</t>
  </si>
  <si>
    <t>Q4-2025 DevOps Accelerator Retargeting</t>
  </si>
  <si>
    <t>CAMP-0066</t>
  </si>
  <si>
    <t>CAMP-0137</t>
  </si>
  <si>
    <t>CAMP-0082</t>
  </si>
  <si>
    <t>CAMP-0087</t>
  </si>
  <si>
    <t>Q4-2024 DataVault Pro Lead Generation</t>
  </si>
  <si>
    <t>CAMP-0019</t>
  </si>
  <si>
    <t>Q2-2024 DevOps Accelerator Retargeting</t>
  </si>
  <si>
    <t>CAMP-0085</t>
  </si>
  <si>
    <t>Q3-2025 DataVault Pro Retargeting</t>
  </si>
  <si>
    <t>CAMP-0021</t>
  </si>
  <si>
    <t>CAMP-0083</t>
  </si>
  <si>
    <t>Q3-2025 SecureNet Suite Product Launch</t>
  </si>
  <si>
    <t>CAMP-0051</t>
  </si>
  <si>
    <t>Q1-2023 AnalyticsEdge Lead Generation</t>
  </si>
  <si>
    <t>CAMP-0114</t>
  </si>
  <si>
    <t>Q4-2025 AnalyticsEdge Lead Generation</t>
  </si>
  <si>
    <t>CAMP-0013</t>
  </si>
  <si>
    <t>Q2-2023 DataVault Pro Product Launch</t>
  </si>
  <si>
    <t>CAMP-0052</t>
  </si>
  <si>
    <t>Q4-2023 AnalyticsEdge Brand Awareness</t>
  </si>
  <si>
    <t>CAMP-0072</t>
  </si>
  <si>
    <t>CAMP-0091</t>
  </si>
  <si>
    <t>Q1-2025 SecureNet Suite Event Promotion</t>
  </si>
  <si>
    <t>CAMP-0122</t>
  </si>
  <si>
    <t>Q2-2024 CloudShift Platform Retargeting</t>
  </si>
  <si>
    <t>CAMP-0119</t>
  </si>
  <si>
    <t>Q2-2023 DevOps Accelerator Event Promotion</t>
  </si>
  <si>
    <t>CAMP-0100</t>
  </si>
  <si>
    <t>Q1-2024 AI Insights Module Product Launch</t>
  </si>
  <si>
    <t>CAMP-0031</t>
  </si>
  <si>
    <t>CAMP-0088</t>
  </si>
  <si>
    <t>Q3-2024 SecureNet Suite Brand Awareness</t>
  </si>
  <si>
    <t>CAMP-0117</t>
  </si>
  <si>
    <t>Q4-2023 DevOps Accelerator Brand Awareness</t>
  </si>
  <si>
    <t>CAMP-0009</t>
  </si>
  <si>
    <t>Q2-2025 DataVault Pro Brand Awareness</t>
  </si>
  <si>
    <t>CAMP-0148</t>
  </si>
  <si>
    <t>CAMP-0125</t>
  </si>
  <si>
    <t>CAMP-0029</t>
  </si>
  <si>
    <t>Q1-2024 DataVault Pro Lead Generation</t>
  </si>
  <si>
    <t>CAMP-0005</t>
  </si>
  <si>
    <t>CAMP-0104</t>
  </si>
  <si>
    <t>Q3-2025 AI Insights Module Lead Generation</t>
  </si>
  <si>
    <t>CAMP-0002</t>
  </si>
  <si>
    <t>Q3-2023 AI Insights Module Product Launch</t>
  </si>
  <si>
    <t>CAMP-0141</t>
  </si>
  <si>
    <t>Q4-2023 CloudShift Platform Brand Awareness</t>
  </si>
  <si>
    <t>CAMP-0134</t>
  </si>
  <si>
    <t>Q4-2025 CloudShift Platform Brand Awareness</t>
  </si>
  <si>
    <t>CAMP-0027</t>
  </si>
  <si>
    <t>CAMP-0090</t>
  </si>
  <si>
    <t>CAMP-0097</t>
  </si>
  <si>
    <t>CAMP-0025</t>
  </si>
  <si>
    <t>CAMP-0001</t>
  </si>
  <si>
    <t>Q4-2024 DataVault Pro Product Launch</t>
  </si>
  <si>
    <t>CAMP-0044</t>
  </si>
  <si>
    <t>Q2-2023 CloudShift Platform Event Promotion</t>
  </si>
  <si>
    <t>CAMP-0055</t>
  </si>
  <si>
    <t>Q4-2023 DataVault Pro Retargeting</t>
  </si>
  <si>
    <t>CAMP-0036</t>
  </si>
  <si>
    <t>CAMP-0006</t>
  </si>
  <si>
    <t>Q3-2023 SecureNet Suite Lead Generation</t>
  </si>
  <si>
    <t>CAMP-0028</t>
  </si>
  <si>
    <t>CAMP-0129</t>
  </si>
  <si>
    <t>Deal_ID</t>
  </si>
  <si>
    <t>Sales_Rep</t>
  </si>
  <si>
    <t>Product</t>
  </si>
  <si>
    <t>Lead_Source</t>
  </si>
  <si>
    <t>Deal_Stage</t>
  </si>
  <si>
    <t>Deal_Value_INR</t>
  </si>
  <si>
    <t>Created_Date</t>
  </si>
  <si>
    <t>Close_Date</t>
  </si>
  <si>
    <t>Days_to_Close</t>
  </si>
  <si>
    <t>Discount_Percent</t>
  </si>
  <si>
    <t>Quarter</t>
  </si>
  <si>
    <t>Outlier_Flag</t>
  </si>
  <si>
    <t>DEAL-01440</t>
  </si>
  <si>
    <t>Rohit Mehta</t>
  </si>
  <si>
    <t>SecureNet Suite</t>
  </si>
  <si>
    <t>Referral</t>
  </si>
  <si>
    <t>Closed Lost</t>
  </si>
  <si>
    <t>Q4-2023</t>
  </si>
  <si>
    <t>Normal</t>
  </si>
  <si>
    <t>DEAL-02021</t>
  </si>
  <si>
    <t>Amit Pillai</t>
  </si>
  <si>
    <t>AI Insights Module</t>
  </si>
  <si>
    <t>Organic Search</t>
  </si>
  <si>
    <t>Prospecting</t>
  </si>
  <si>
    <t>Q2-2023</t>
  </si>
  <si>
    <t>DEAL-00174</t>
  </si>
  <si>
    <t>Proposal Sent</t>
  </si>
  <si>
    <t>Q1-2023</t>
  </si>
  <si>
    <t>DEAL-02399</t>
  </si>
  <si>
    <t>Vikram Patel</t>
  </si>
  <si>
    <t>AnalyticsEdge</t>
  </si>
  <si>
    <t>Closed Won</t>
  </si>
  <si>
    <t>Q4-2024</t>
  </si>
  <si>
    <t>DEAL-00243</t>
  </si>
  <si>
    <t>Siddharth Joshi</t>
  </si>
  <si>
    <t>DataVault Pro</t>
  </si>
  <si>
    <t>Email Campaign</t>
  </si>
  <si>
    <t>DEAL-02410</t>
  </si>
  <si>
    <t>Unassigned</t>
  </si>
  <si>
    <t>Qualification</t>
  </si>
  <si>
    <t>DEAL-02158</t>
  </si>
  <si>
    <t>DEAL-01161</t>
  </si>
  <si>
    <t>Aditya Pillai</t>
  </si>
  <si>
    <t>Q1-2025</t>
  </si>
  <si>
    <t>DEAL-00586</t>
  </si>
  <si>
    <t>Meera Reddy</t>
  </si>
  <si>
    <t>CloudShift Platform</t>
  </si>
  <si>
    <t>Q1-2024</t>
  </si>
  <si>
    <t>DEAL-00863</t>
  </si>
  <si>
    <t>LinkedIn Campaign</t>
  </si>
  <si>
    <t>DEAL-01273</t>
  </si>
  <si>
    <t>Ananya Sharma</t>
  </si>
  <si>
    <t>DEAL-01938</t>
  </si>
  <si>
    <t>Siddharth Gupta</t>
  </si>
  <si>
    <t>DEAL-01122</t>
  </si>
  <si>
    <t>Rahul Patel</t>
  </si>
  <si>
    <t>DEAL-01643</t>
  </si>
  <si>
    <t>Riya Das</t>
  </si>
  <si>
    <t>DevOps Accelerator</t>
  </si>
  <si>
    <t>DEAL-00234</t>
  </si>
  <si>
    <t>DEAL-01783</t>
  </si>
  <si>
    <t>Vikram Iyer</t>
  </si>
  <si>
    <t>Cold Outreach</t>
  </si>
  <si>
    <t>Q3-2023</t>
  </si>
  <si>
    <t>DEAL-00305</t>
  </si>
  <si>
    <t>Neha Pillai</t>
  </si>
  <si>
    <t>Q2-2024</t>
  </si>
  <si>
    <t>DEAL-00351</t>
  </si>
  <si>
    <t>Arjun Rao</t>
  </si>
  <si>
    <t>DEAL-02148</t>
  </si>
  <si>
    <t>DEAL-01377</t>
  </si>
  <si>
    <t>DEAL-01947</t>
  </si>
  <si>
    <t>DEAL-02354</t>
  </si>
  <si>
    <t>DEAL-01835</t>
  </si>
  <si>
    <t>DEAL-02057</t>
  </si>
  <si>
    <t>Deepika Das</t>
  </si>
  <si>
    <t>Unknown</t>
  </si>
  <si>
    <t>Negotiation</t>
  </si>
  <si>
    <t>DEAL-00631</t>
  </si>
  <si>
    <t>DEAL-02059</t>
  </si>
  <si>
    <t>DEAL-00946</t>
  </si>
  <si>
    <t>DEAL-01560</t>
  </si>
  <si>
    <t>DEAL-01779</t>
  </si>
  <si>
    <t>DEAL-01223</t>
  </si>
  <si>
    <t>Q3-2024</t>
  </si>
  <si>
    <t>DEAL-02345</t>
  </si>
  <si>
    <t>DEAL-00816</t>
  </si>
  <si>
    <t>DEAL-01909</t>
  </si>
  <si>
    <t>DEAL-00184</t>
  </si>
  <si>
    <t>DEAL-00430</t>
  </si>
  <si>
    <t>DEAL-01657</t>
  </si>
  <si>
    <t>DEAL-01118</t>
  </si>
  <si>
    <t>DEAL-00337</t>
  </si>
  <si>
    <t>DEAL-01051</t>
  </si>
  <si>
    <t>Priya Kumar</t>
  </si>
  <si>
    <t>DEAL-01916</t>
  </si>
  <si>
    <t>DEAL-00718</t>
  </si>
  <si>
    <t>High Outlier</t>
  </si>
  <si>
    <t>DEAL-02141</t>
  </si>
  <si>
    <t>DEAL-00488</t>
  </si>
  <si>
    <t>DEAL-01718</t>
  </si>
  <si>
    <t>DEAL-01359</t>
  </si>
  <si>
    <t>DEAL-01902</t>
  </si>
  <si>
    <t>DEAL-00388</t>
  </si>
  <si>
    <t>DEAL-02216</t>
  </si>
  <si>
    <t>DEAL-00556</t>
  </si>
  <si>
    <t>DEAL-01130</t>
  </si>
  <si>
    <t>DEAL-00938</t>
  </si>
  <si>
    <t>DEAL-00794</t>
  </si>
  <si>
    <t>DEAL-00604</t>
  </si>
  <si>
    <t>DEAL-00954</t>
  </si>
  <si>
    <t>DEAL-01107</t>
  </si>
  <si>
    <t>DEAL-00597</t>
  </si>
  <si>
    <t>DEAL-01404</t>
  </si>
  <si>
    <t>DEAL-02242</t>
  </si>
  <si>
    <t>DEAL-02405</t>
  </si>
  <si>
    <t>DEAL-00721</t>
  </si>
  <si>
    <t>DEAL-00504</t>
  </si>
  <si>
    <t>DEAL-00937</t>
  </si>
  <si>
    <t>DEAL-01769</t>
  </si>
  <si>
    <t>DEAL-01725</t>
  </si>
  <si>
    <t>DEAL-00951</t>
  </si>
  <si>
    <t>DEAL-00313</t>
  </si>
  <si>
    <t>DEAL-00726</t>
  </si>
  <si>
    <t>DEAL-01062</t>
  </si>
  <si>
    <t>DEAL-00072</t>
  </si>
  <si>
    <t>DEAL-00593</t>
  </si>
  <si>
    <t>DEAL-00633</t>
  </si>
  <si>
    <t>DEAL-00241</t>
  </si>
  <si>
    <t>DEAL-00879</t>
  </si>
  <si>
    <t>DEAL-01532</t>
  </si>
  <si>
    <t>DEAL-02348</t>
  </si>
  <si>
    <t>DEAL-01079</t>
  </si>
  <si>
    <t>DEAL-01305</t>
  </si>
  <si>
    <t>DEAL-00187</t>
  </si>
  <si>
    <t>DEAL-02217</t>
  </si>
  <si>
    <t>DEAL-00347</t>
  </si>
  <si>
    <t>DEAL-00971</t>
  </si>
  <si>
    <t>DEAL-00709</t>
  </si>
  <si>
    <t>DEAL-00383</t>
  </si>
  <si>
    <t>DEAL-01809</t>
  </si>
  <si>
    <t>DEAL-00077</t>
  </si>
  <si>
    <t>DEAL-00423</t>
  </si>
  <si>
    <t>DEAL-01237</t>
  </si>
  <si>
    <t>DEAL-01217</t>
  </si>
  <si>
    <t>DEAL-01724</t>
  </si>
  <si>
    <t>DEAL-00151</t>
  </si>
  <si>
    <t>DEAL-00418</t>
  </si>
  <si>
    <t>DEAL-01039</t>
  </si>
  <si>
    <t>DEAL-01871</t>
  </si>
  <si>
    <t>DEAL-01438</t>
  </si>
  <si>
    <t>DEAL-02064</t>
  </si>
  <si>
    <t>DEAL-00140</t>
  </si>
  <si>
    <t>DEAL-01175</t>
  </si>
  <si>
    <t>DEAL-01177</t>
  </si>
  <si>
    <t>DEAL-02224</t>
  </si>
  <si>
    <t>DEAL-00759</t>
  </si>
  <si>
    <t>DEAL-01879</t>
  </si>
  <si>
    <t>DEAL-00385</t>
  </si>
  <si>
    <t>DEAL-00751</t>
  </si>
  <si>
    <t>DEAL-00209</t>
  </si>
  <si>
    <t>DEAL-02422</t>
  </si>
  <si>
    <t>DEAL-02192</t>
  </si>
  <si>
    <t>DEAL-00734</t>
  </si>
  <si>
    <t>DEAL-00346</t>
  </si>
  <si>
    <t>DEAL-01261</t>
  </si>
  <si>
    <t>DEAL-00214</t>
  </si>
  <si>
    <t>DEAL-00465</t>
  </si>
  <si>
    <t>DEAL-02096</t>
  </si>
  <si>
    <t>DEAL-01915</t>
  </si>
  <si>
    <t>DEAL-01987</t>
  </si>
  <si>
    <t>DEAL-00825</t>
  </si>
  <si>
    <t>DEAL-00165</t>
  </si>
  <si>
    <t>DEAL-00678</t>
  </si>
  <si>
    <t>DEAL-02465</t>
  </si>
  <si>
    <t>DEAL-01564</t>
  </si>
  <si>
    <t>DEAL-00013</t>
  </si>
  <si>
    <t>DEAL-00784</t>
  </si>
  <si>
    <t>DEAL-01621</t>
  </si>
  <si>
    <t>DEAL-00754</t>
  </si>
  <si>
    <t>DEAL-00878</t>
  </si>
  <si>
    <t>DEAL-01375</t>
  </si>
  <si>
    <t>DEAL-00052</t>
  </si>
  <si>
    <t>DEAL-01939</t>
  </si>
  <si>
    <t>DEAL-00359</t>
  </si>
  <si>
    <t>DEAL-01036</t>
  </si>
  <si>
    <t>DEAL-00032</t>
  </si>
  <si>
    <t>DEAL-02003</t>
  </si>
  <si>
    <t>DEAL-02280</t>
  </si>
  <si>
    <t>DEAL-00343</t>
  </si>
  <si>
    <t>DEAL-01156</t>
  </si>
  <si>
    <t>DEAL-02493</t>
  </si>
  <si>
    <t>DEAL-00360</t>
  </si>
  <si>
    <t>DEAL-00869</t>
  </si>
  <si>
    <t>DEAL-01016</t>
  </si>
  <si>
    <t>DEAL-00788</t>
  </si>
  <si>
    <t>DEAL-01956</t>
  </si>
  <si>
    <t>DEAL-01339</t>
  </si>
  <si>
    <t>DEAL-02015</t>
  </si>
  <si>
    <t>DEAL-00640</t>
  </si>
  <si>
    <t>DEAL-02185</t>
  </si>
  <si>
    <t>DEAL-00812</t>
  </si>
  <si>
    <t>DEAL-01989</t>
  </si>
  <si>
    <t>DEAL-00481</t>
  </si>
  <si>
    <t>DEAL-01410</t>
  </si>
  <si>
    <t>DEAL-00210</t>
  </si>
  <si>
    <t>DEAL-01717</t>
  </si>
  <si>
    <t>DEAL-01611</t>
  </si>
  <si>
    <t>DEAL-01509</t>
  </si>
  <si>
    <t>DEAL-01639</t>
  </si>
  <si>
    <t>DEAL-00895</t>
  </si>
  <si>
    <t>DEAL-00693</t>
  </si>
  <si>
    <t>DEAL-01870</t>
  </si>
  <si>
    <t>DEAL-01206</t>
  </si>
  <si>
    <t>DEAL-00109</t>
  </si>
  <si>
    <t>DEAL-00410</t>
  </si>
  <si>
    <t>DEAL-01180</t>
  </si>
  <si>
    <t>DEAL-00876</t>
  </si>
  <si>
    <t>DEAL-02108</t>
  </si>
  <si>
    <t>DEAL-00603</t>
  </si>
  <si>
    <t>DEAL-00528</t>
  </si>
  <si>
    <t>DEAL-01070</t>
  </si>
  <si>
    <t>DEAL-02187</t>
  </si>
  <si>
    <t>DEAL-00691</t>
  </si>
  <si>
    <t>DEAL-00771</t>
  </si>
  <si>
    <t>DEAL-02201</t>
  </si>
  <si>
    <t>DEAL-01287</t>
  </si>
  <si>
    <t>DEAL-00607</t>
  </si>
  <si>
    <t>DEAL-01401</t>
  </si>
  <si>
    <t>DEAL-02243</t>
  </si>
  <si>
    <t>DEAL-00839</t>
  </si>
  <si>
    <t>DEAL-01963</t>
  </si>
  <si>
    <t>DEAL-01301</t>
  </si>
  <si>
    <t>DEAL-00996</t>
  </si>
  <si>
    <t>DEAL-00330</t>
  </si>
  <si>
    <t>DEAL-01297</t>
  </si>
  <si>
    <t>DEAL-00426</t>
  </si>
  <si>
    <t>DEAL-01322</t>
  </si>
  <si>
    <t>DEAL-01711</t>
  </si>
  <si>
    <t>DEAL-02157</t>
  </si>
  <si>
    <t>DEAL-01620</t>
  </si>
  <si>
    <t>DEAL-02497</t>
  </si>
  <si>
    <t>DEAL-00750</t>
  </si>
  <si>
    <t>DEAL-01931</t>
  </si>
  <si>
    <t>DEAL-00861</t>
  </si>
  <si>
    <t>DEAL-00522</t>
  </si>
  <si>
    <t>DEAL-00817</t>
  </si>
  <si>
    <t>DEAL-00580</t>
  </si>
  <si>
    <t>DEAL-02489</t>
  </si>
  <si>
    <t>DEAL-00884</t>
  </si>
  <si>
    <t>DEAL-01822</t>
  </si>
  <si>
    <t>DEAL-01990</t>
  </si>
  <si>
    <t>DEAL-00950</t>
  </si>
  <si>
    <t>DEAL-01379</t>
  </si>
  <si>
    <t>DEAL-02279</t>
  </si>
  <si>
    <t>DEAL-01007</t>
  </si>
  <si>
    <t>DEAL-00164</t>
  </si>
  <si>
    <t>DEAL-00171</t>
  </si>
  <si>
    <t>DEAL-00587</t>
  </si>
  <si>
    <t>DEAL-01925</t>
  </si>
  <si>
    <t>DEAL-01795</t>
  </si>
  <si>
    <t>DEAL-00086</t>
  </si>
  <si>
    <t>DEAL-01239</t>
  </si>
  <si>
    <t>DEAL-00454</t>
  </si>
  <si>
    <t>DEAL-01050</t>
  </si>
  <si>
    <t>DEAL-01151</t>
  </si>
  <si>
    <t>DEAL-02421</t>
  </si>
  <si>
    <t>DEAL-01367</t>
  </si>
  <si>
    <t>DEAL-02179</t>
  </si>
  <si>
    <t>DEAL-02470</t>
  </si>
  <si>
    <t>DEAL-00942</t>
  </si>
  <si>
    <t>DEAL-02468</t>
  </si>
  <si>
    <t>DEAL-00901</t>
  </si>
  <si>
    <t>DEAL-00629</t>
  </si>
  <si>
    <t>DEAL-00558</t>
  </si>
  <si>
    <t>DEAL-01854</t>
  </si>
  <si>
    <t>DEAL-00431</t>
  </si>
  <si>
    <t>DEAL-01562</t>
  </si>
  <si>
    <t>DEAL-01882</t>
  </si>
  <si>
    <t>DEAL-01732</t>
  </si>
  <si>
    <t>DEAL-00368</t>
  </si>
  <si>
    <t>DEAL-00141</t>
  </si>
  <si>
    <t>DEAL-00715</t>
  </si>
  <si>
    <t>DEAL-00284</t>
  </si>
  <si>
    <t>DEAL-01531</t>
  </si>
  <si>
    <t>DEAL-01202</t>
  </si>
  <si>
    <t>DEAL-01899</t>
  </si>
  <si>
    <t>DEAL-01826</t>
  </si>
  <si>
    <t>DEAL-02095</t>
  </si>
  <si>
    <t>DEAL-00703</t>
  </si>
  <si>
    <t>DEAL-00470</t>
  </si>
  <si>
    <t>DEAL-02396</t>
  </si>
  <si>
    <t>DEAL-00494</t>
  </si>
  <si>
    <t>DEAL-01277</t>
  </si>
  <si>
    <t>DEAL-01980</t>
  </si>
  <si>
    <t>DEAL-01349</t>
  </si>
  <si>
    <t>DEAL-01955</t>
  </si>
  <si>
    <t>DEAL-01677</t>
  </si>
  <si>
    <t>DEAL-02022</t>
  </si>
  <si>
    <t>DEAL-01554</t>
  </si>
  <si>
    <t>DEAL-02126</t>
  </si>
  <si>
    <t>DEAL-02281</t>
  </si>
  <si>
    <t>DEAL-02275</t>
  </si>
  <si>
    <t>DEAL-00249</t>
  </si>
  <si>
    <t>DEAL-00370</t>
  </si>
  <si>
    <t>DEAL-00045</t>
  </si>
  <si>
    <t>DEAL-00265</t>
  </si>
  <si>
    <t>DEAL-00240</t>
  </si>
  <si>
    <t>DEAL-00218</t>
  </si>
  <si>
    <t>DEAL-00637</t>
  </si>
  <si>
    <t>DEAL-00096</t>
  </si>
  <si>
    <t>DEAL-00342</t>
  </si>
  <si>
    <t>DEAL-01406</t>
  </si>
  <si>
    <t>DEAL-01662</t>
  </si>
  <si>
    <t>DEAL-00963</t>
  </si>
  <si>
    <t>DEAL-00552</t>
  </si>
  <si>
    <t>DEAL-00208</t>
  </si>
  <si>
    <t>DEAL-01517</t>
  </si>
  <si>
    <t>DEAL-02104</t>
  </si>
  <si>
    <t>DEAL-01038</t>
  </si>
  <si>
    <t>DEAL-00864</t>
  </si>
  <si>
    <t>DEAL-00393</t>
  </si>
  <si>
    <t>DEAL-01786</t>
  </si>
  <si>
    <t>DEAL-02420</t>
  </si>
  <si>
    <t>DEAL-01063</t>
  </si>
  <si>
    <t>DEAL-00421</t>
  </si>
  <si>
    <t>DEAL-00057</t>
  </si>
  <si>
    <t>DEAL-00987</t>
  </si>
  <si>
    <t>DEAL-01319</t>
  </si>
  <si>
    <t>DEAL-01318</t>
  </si>
  <si>
    <t>DEAL-02479</t>
  </si>
  <si>
    <t>DEAL-01400</t>
  </si>
  <si>
    <t>DEAL-00500</t>
  </si>
  <si>
    <t>DEAL-00757</t>
  </si>
  <si>
    <t>DEAL-00356</t>
  </si>
  <si>
    <t>DEAL-02361</t>
  </si>
  <si>
    <t>DEAL-00466</t>
  </si>
  <si>
    <t>DEAL-00527</t>
  </si>
  <si>
    <t>DEAL-00529</t>
  </si>
  <si>
    <t>DEAL-02301</t>
  </si>
  <si>
    <t>DEAL-02132</t>
  </si>
  <si>
    <t>DEAL-00834</t>
  </si>
  <si>
    <t>DEAL-01000</t>
  </si>
  <si>
    <t>DEAL-02116</t>
  </si>
  <si>
    <t>DEAL-01116</t>
  </si>
  <si>
    <t>DEAL-02199</t>
  </si>
  <si>
    <t>DEAL-01165</t>
  </si>
  <si>
    <t>DEAL-01792</t>
  </si>
  <si>
    <t>DEAL-02225</t>
  </si>
  <si>
    <t>DEAL-00125</t>
  </si>
  <si>
    <t>DEAL-00881</t>
  </si>
  <si>
    <t>DEAL-02452</t>
  </si>
  <si>
    <t>DEAL-01477</t>
  </si>
  <si>
    <t>DEAL-00009</t>
  </si>
  <si>
    <t>DEAL-00188</t>
  </si>
  <si>
    <t>DEAL-00323</t>
  </si>
  <si>
    <t>DEAL-00180</t>
  </si>
  <si>
    <t>DEAL-00429</t>
  </si>
  <si>
    <t>DEAL-00679</t>
  </si>
  <si>
    <t>DEAL-02231</t>
  </si>
  <si>
    <t>DEAL-02302</t>
  </si>
  <si>
    <t>DEAL-01302</t>
  </si>
  <si>
    <t>DEAL-02133</t>
  </si>
  <si>
    <t>DEAL-02147</t>
  </si>
  <si>
    <t>DEAL-02413</t>
  </si>
  <si>
    <t>DEAL-00530</t>
  </si>
  <si>
    <t>DEAL-01481</t>
  </si>
  <si>
    <t>DEAL-02232</t>
  </si>
  <si>
    <t>DEAL-00244</t>
  </si>
  <si>
    <t>DEAL-00030</t>
  </si>
  <si>
    <t>DEAL-01414</t>
  </si>
  <si>
    <t>DEAL-00644</t>
  </si>
  <si>
    <t>DEAL-01970</t>
  </si>
  <si>
    <t>DEAL-01253</t>
  </si>
  <si>
    <t>DEAL-02325</t>
  </si>
  <si>
    <t>DEAL-01687</t>
  </si>
  <si>
    <t>DEAL-02313</t>
  </si>
  <si>
    <t>DEAL-01816</t>
  </si>
  <si>
    <t>DEAL-01257</t>
  </si>
  <si>
    <t>DEAL-01276</t>
  </si>
  <si>
    <t>DEAL-01932</t>
  </si>
  <si>
    <t>DEAL-00832</t>
  </si>
  <si>
    <t>DEAL-00758</t>
  </si>
  <si>
    <t>DEAL-00150</t>
  </si>
  <si>
    <t>DEAL-02456</t>
  </si>
  <si>
    <t>DEAL-01397</t>
  </si>
  <si>
    <t>DEAL-01142</t>
  </si>
  <si>
    <t>DEAL-01235</t>
  </si>
  <si>
    <t>DEAL-00128</t>
  </si>
  <si>
    <t>DEAL-00886</t>
  </si>
  <si>
    <t>DEAL-00152</t>
  </si>
  <si>
    <t>DEAL-01278</t>
  </si>
  <si>
    <t>DEAL-01690</t>
  </si>
  <si>
    <t>DEAL-01913</t>
  </si>
  <si>
    <t>DEAL-00634</t>
  </si>
  <si>
    <t>DEAL-01877</t>
  </si>
  <si>
    <t>DEAL-01247</t>
  </si>
  <si>
    <t>DEAL-01774</t>
  </si>
  <si>
    <t>DEAL-02076</t>
  </si>
  <si>
    <t>DEAL-02282</t>
  </si>
  <si>
    <t>DEAL-01574</t>
  </si>
  <si>
    <t>DEAL-01738</t>
  </si>
  <si>
    <t>DEAL-00306</t>
  </si>
  <si>
    <t>DEAL-01694</t>
  </si>
  <si>
    <t>DEAL-00625</t>
  </si>
  <si>
    <t>DEAL-01193</t>
  </si>
  <si>
    <t>DEAL-01753</t>
  </si>
  <si>
    <t>DEAL-00273</t>
  </si>
  <si>
    <t>DEAL-02379</t>
  </si>
  <si>
    <t>DEAL-02009</t>
  </si>
  <si>
    <t>DEAL-00087</t>
  </si>
  <si>
    <t>DEAL-02055</t>
  </si>
  <si>
    <t>DEAL-01934</t>
  </si>
  <si>
    <t>DEAL-01526</t>
  </si>
  <si>
    <t>DEAL-01642</t>
  </si>
  <si>
    <t>DEAL-02067</t>
  </si>
  <si>
    <t>DEAL-00573</t>
  </si>
  <si>
    <t>DEAL-00966</t>
  </si>
  <si>
    <t>DEAL-02471</t>
  </si>
  <si>
    <t>DEAL-02084</t>
  </si>
  <si>
    <t>DEAL-01018</t>
  </si>
  <si>
    <t>DEAL-02170</t>
  </si>
  <si>
    <t>DEAL-00263</t>
  </si>
  <si>
    <t>DEAL-01483</t>
  </si>
  <si>
    <t>DEAL-00692</t>
  </si>
  <si>
    <t>DEAL-00146</t>
  </si>
  <si>
    <t>DEAL-00769</t>
  </si>
  <si>
    <t>DEAL-02222</t>
  </si>
  <si>
    <t>DEAL-00843</t>
  </si>
  <si>
    <t>DEAL-00674</t>
  </si>
  <si>
    <t>DEAL-00831</t>
  </si>
  <si>
    <t>DEAL-02112</t>
  </si>
  <si>
    <t>DEAL-01665</t>
  </si>
  <si>
    <t>DEAL-00770</t>
  </si>
  <si>
    <t>DEAL-01636</t>
  </si>
  <si>
    <t>DEAL-01673</t>
  </si>
  <si>
    <t>DEAL-00730</t>
  </si>
  <si>
    <t>DEAL-01959</t>
  </si>
  <si>
    <t>DEAL-00027</t>
  </si>
  <si>
    <t>DEAL-00877</t>
  </si>
  <si>
    <t>DEAL-00080</t>
  </si>
  <si>
    <t>DEAL-01493</t>
  </si>
  <si>
    <t>DEAL-01469</t>
  </si>
  <si>
    <t>DEAL-01503</t>
  </si>
  <si>
    <t>DEAL-01263</t>
  </si>
  <si>
    <t>DEAL-00700</t>
  </si>
  <si>
    <t>DEAL-00509</t>
  </si>
  <si>
    <t>DEAL-01594</t>
  </si>
  <si>
    <t>DEAL-00387</t>
  </si>
  <si>
    <t>DEAL-02125</t>
  </si>
  <si>
    <t>DEAL-00548</t>
  </si>
  <si>
    <t>DEAL-01264</t>
  </si>
  <si>
    <t>DEAL-02447</t>
  </si>
  <si>
    <t>DEAL-00270</t>
  </si>
  <si>
    <t>DEAL-00028</t>
  </si>
  <si>
    <t>DEAL-01467</t>
  </si>
  <si>
    <t>DEAL-02194</t>
  </si>
  <si>
    <t>DEAL-01668</t>
  </si>
  <si>
    <t>DEAL-02120</t>
  </si>
  <si>
    <t>DEAL-00698</t>
  </si>
  <si>
    <t>DEAL-00565</t>
  </si>
  <si>
    <t>DEAL-02455</t>
  </si>
  <si>
    <t>DEAL-00084</t>
  </si>
  <si>
    <t>DEAL-01641</t>
  </si>
  <si>
    <t>DEAL-00286</t>
  </si>
  <si>
    <t>DEAL-00201</t>
  </si>
  <si>
    <t>DEAL-01316</t>
  </si>
  <si>
    <t>DEAL-01015</t>
  </si>
  <si>
    <t>DEAL-00477</t>
  </si>
  <si>
    <t>DEAL-02107</t>
  </si>
  <si>
    <t>DEAL-01490</t>
  </si>
  <si>
    <t>DEAL-00274</t>
  </si>
  <si>
    <t>DEAL-02014</t>
  </si>
  <si>
    <t>DEAL-00857</t>
  </si>
  <si>
    <t>DEAL-01803</t>
  </si>
  <si>
    <t>DEAL-02011</t>
  </si>
  <si>
    <t>DEAL-01629</t>
  </si>
  <si>
    <t>DEAL-01645</t>
  </si>
  <si>
    <t>DEAL-01197</t>
  </si>
  <si>
    <t>DEAL-00182</t>
  </si>
  <si>
    <t>DEAL-00462</t>
  </si>
  <si>
    <t>DEAL-00245</t>
  </si>
  <si>
    <t>DEAL-00314</t>
  </si>
  <si>
    <t>DEAL-01282</t>
  </si>
  <si>
    <t>DEAL-02488</t>
  </si>
  <si>
    <t>DEAL-01455</t>
  </si>
  <si>
    <t>DEAL-00732</t>
  </si>
  <si>
    <t>DEAL-02390</t>
  </si>
  <si>
    <t>DEAL-00773</t>
  </si>
  <si>
    <t>DEAL-01482</t>
  </si>
  <si>
    <t>DEAL-02168</t>
  </si>
  <si>
    <t>DEAL-01052</t>
  </si>
  <si>
    <t>DEAL-01327</t>
  </si>
  <si>
    <t>DEAL-00612</t>
  </si>
  <si>
    <t>DEAL-01678</t>
  </si>
  <si>
    <t>DEAL-00619</t>
  </si>
  <si>
    <t>DEAL-00956</t>
  </si>
  <si>
    <t>DEAL-02119</t>
  </si>
  <si>
    <t>DEAL-00444</t>
  </si>
  <si>
    <t>DEAL-01721</t>
  </si>
  <si>
    <t>DEAL-02311</t>
  </si>
  <si>
    <t>DEAL-00630</t>
  </si>
  <si>
    <t>DEAL-00491</t>
  </si>
  <si>
    <t>DEAL-01610</t>
  </si>
  <si>
    <t>DEAL-02287</t>
  </si>
  <si>
    <t>DEAL-02322</t>
  </si>
  <si>
    <t>DEAL-02359</t>
  </si>
  <si>
    <t>DEAL-01043</t>
  </si>
  <si>
    <t>DEAL-01184</t>
  </si>
  <si>
    <t>DEAL-01403</t>
  </si>
  <si>
    <t>DEAL-00979</t>
  </si>
  <si>
    <t>DEAL-02306</t>
  </si>
  <si>
    <t>DEAL-00406</t>
  </si>
  <si>
    <t>DEAL-00051</t>
  </si>
  <si>
    <t>DEAL-00329</t>
  </si>
  <si>
    <t>DEAL-01325</t>
  </si>
  <si>
    <t>DEAL-01715</t>
  </si>
  <si>
    <t>DEAL-01666</t>
  </si>
  <si>
    <t>DEAL-00473</t>
  </si>
  <si>
    <t>DEAL-02258</t>
  </si>
  <si>
    <t>DEAL-02006</t>
  </si>
  <si>
    <t>DEAL-00935</t>
  </si>
  <si>
    <t>DEAL-02486</t>
  </si>
  <si>
    <t>DEAL-00054</t>
  </si>
  <si>
    <t>DEAL-01084</t>
  </si>
  <si>
    <t>DEAL-00581</t>
  </si>
  <si>
    <t>DEAL-00068</t>
  </si>
  <si>
    <t>DEAL-02149</t>
  </si>
  <si>
    <t>DEAL-01846</t>
  </si>
  <si>
    <t>DEAL-01439</t>
  </si>
  <si>
    <t>DEAL-00859</t>
  </si>
  <si>
    <t>DEAL-01073</t>
  </si>
  <si>
    <t>DEAL-00160</t>
  </si>
  <si>
    <t>DEAL-00835</t>
  </si>
  <si>
    <t>DEAL-01416</t>
  </si>
  <si>
    <t>DEAL-01567</t>
  </si>
  <si>
    <t>DEAL-01634</t>
  </si>
  <si>
    <t>DEAL-00468</t>
  </si>
  <si>
    <t>DEAL-02402</t>
  </si>
  <si>
    <t>DEAL-01075</t>
  </si>
  <si>
    <t>DEAL-00685</t>
  </si>
  <si>
    <t>DEAL-01595</t>
  </si>
  <si>
    <t>DEAL-00204</t>
  </si>
  <si>
    <t>DEAL-01289</t>
  </si>
  <si>
    <t>DEAL-00031</t>
  </si>
  <si>
    <t>DEAL-02058</t>
  </si>
  <si>
    <t>DEAL-01047</t>
  </si>
  <si>
    <t>DEAL-02002</t>
  </si>
  <si>
    <t>DEAL-00121</t>
  </si>
  <si>
    <t>DEAL-02268</t>
  </si>
  <si>
    <t>DEAL-02060</t>
  </si>
  <si>
    <t>DEAL-00828</t>
  </si>
  <si>
    <t>DEAL-00257</t>
  </si>
  <si>
    <t>DEAL-01788</t>
  </si>
  <si>
    <t>DEAL-01101</t>
  </si>
  <si>
    <t>DEAL-00397</t>
  </si>
  <si>
    <t>DEAL-01502</t>
  </si>
  <si>
    <t>DEAL-00749</t>
  </si>
  <si>
    <t>DEAL-02499</t>
  </si>
  <si>
    <t>DEAL-01244</t>
  </si>
  <si>
    <t>DEAL-02073</t>
  </si>
  <si>
    <t>DEAL-02121</t>
  </si>
  <si>
    <t>DEAL-00781</t>
  </si>
  <si>
    <t>DEAL-01746</t>
  </si>
  <si>
    <t>DEAL-02292</t>
  </si>
  <si>
    <t>DEAL-01260</t>
  </si>
  <si>
    <t>DEAL-01474</t>
  </si>
  <si>
    <t>DEAL-00701</t>
  </si>
  <si>
    <t>DEAL-01354</t>
  </si>
  <si>
    <t>DEAL-02482</t>
  </si>
  <si>
    <t>DEAL-00554</t>
  </si>
  <si>
    <t>DEAL-00247</t>
  </si>
  <si>
    <t>DEAL-01860</t>
  </si>
  <si>
    <t>DEAL-00363</t>
  </si>
  <si>
    <t>DEAL-02150</t>
  </si>
  <si>
    <t>DEAL-01901</t>
  </si>
  <si>
    <t>DEAL-02207</t>
  </si>
  <si>
    <t>DEAL-01597</t>
  </si>
  <si>
    <t>DEAL-01082</t>
  </si>
  <si>
    <t>DEAL-01456</t>
  </si>
  <si>
    <t>DEAL-01066</t>
  </si>
  <si>
    <t>DEAL-00060</t>
  </si>
  <si>
    <t>DEAL-02041</t>
  </si>
  <si>
    <t>DEAL-00434</t>
  </si>
  <si>
    <t>DEAL-00256</t>
  </si>
  <si>
    <t>DEAL-02266</t>
  </si>
  <si>
    <t>DEAL-01962</t>
  </si>
  <si>
    <t>DEAL-00574</t>
  </si>
  <si>
    <t>DEAL-00821</t>
  </si>
  <si>
    <t>DEAL-00613</t>
  </si>
  <si>
    <t>DEAL-02267</t>
  </si>
  <si>
    <t>DEAL-02184</t>
  </si>
  <si>
    <t>DEAL-01988</t>
  </si>
  <si>
    <t>DEAL-00327</t>
  </si>
  <si>
    <t>DEAL-00105</t>
  </si>
  <si>
    <t>DEAL-02151</t>
  </si>
  <si>
    <t>DEAL-01849</t>
  </si>
  <si>
    <t>DEAL-02417</t>
  </si>
  <si>
    <t>DEAL-01880</t>
  </si>
  <si>
    <t>DEAL-01658</t>
  </si>
  <si>
    <t>DEAL-00824</t>
  </si>
  <si>
    <t>DEAL-00880</t>
  </si>
  <si>
    <t>DEAL-00016</t>
  </si>
  <si>
    <t>DEAL-02046</t>
  </si>
  <si>
    <t>DEAL-00496</t>
  </si>
  <si>
    <t>DEAL-02474</t>
  </si>
  <si>
    <t>DEAL-02114</t>
  </si>
  <si>
    <t>DEAL-01087</t>
  </si>
  <si>
    <t>DEAL-01412</t>
  </si>
  <si>
    <t>DEAL-00078</t>
  </si>
  <si>
    <t>DEAL-00752</t>
  </si>
  <si>
    <t>DEAL-01312</t>
  </si>
  <si>
    <t>DEAL-01745</t>
  </si>
  <si>
    <t>DEAL-01587</t>
  </si>
  <si>
    <t>DEAL-02436</t>
  </si>
  <si>
    <t>DEAL-00598</t>
  </si>
  <si>
    <t>DEAL-02164</t>
  </si>
  <si>
    <t>DEAL-01234</t>
  </si>
  <si>
    <t>DEAL-00814</t>
  </si>
  <si>
    <t>DEAL-00339</t>
  </si>
  <si>
    <t>DEAL-01445</t>
  </si>
  <si>
    <t>DEAL-01444</t>
  </si>
  <si>
    <t>DEAL-00517</t>
  </si>
  <si>
    <t>DEAL-01424</t>
  </si>
  <si>
    <t>DEAL-02352</t>
  </si>
  <si>
    <t>DEAL-00626</t>
  </si>
  <si>
    <t>DEAL-01196</t>
  </si>
  <si>
    <t>DEAL-02023</t>
  </si>
  <si>
    <t>DEAL-00615</t>
  </si>
  <si>
    <t>DEAL-00736</t>
  </si>
  <si>
    <t>DEAL-00207</t>
  </si>
  <si>
    <t>DEAL-00921</t>
  </si>
  <si>
    <t>DEAL-00199</t>
  </si>
  <si>
    <t>DEAL-02429</t>
  </si>
  <si>
    <t>DEAL-02386</t>
  </si>
  <si>
    <t>DEAL-01284</t>
  </si>
  <si>
    <t>DEAL-01224</t>
  </si>
  <si>
    <t>DEAL-01413</t>
  </si>
  <si>
    <t>DEAL-00600</t>
  </si>
  <si>
    <t>DEAL-00551</t>
  </si>
  <si>
    <t>DEAL-01387</t>
  </si>
  <si>
    <t>DEAL-01178</t>
  </si>
  <si>
    <t>DEAL-02252</t>
  </si>
  <si>
    <t>DEAL-02259</t>
  </si>
  <si>
    <t>DEAL-02462</t>
  </si>
  <si>
    <t>DEAL-00957</t>
  </si>
  <si>
    <t>DEAL-02070</t>
  </si>
  <si>
    <t>DEAL-02056</t>
  </si>
  <si>
    <t>DEAL-00627</t>
  </si>
  <si>
    <t>DEAL-02393</t>
  </si>
  <si>
    <t>DEAL-00458</t>
  </si>
  <si>
    <t>DEAL-01742</t>
  </si>
  <si>
    <t>DEAL-00129</t>
  </si>
  <si>
    <t>DEAL-01341</t>
  </si>
  <si>
    <t>DEAL-01758</t>
  </si>
  <si>
    <t>DEAL-00250</t>
  </si>
  <si>
    <t>DEAL-00870</t>
  </si>
  <si>
    <t>DEAL-02337</t>
  </si>
  <si>
    <t>DEAL-01426</t>
  </si>
  <si>
    <t>DEAL-01866</t>
  </si>
  <si>
    <t>DEAL-02233</t>
  </si>
  <si>
    <t>DEAL-01695</t>
  </si>
  <si>
    <t>DEAL-01881</t>
  </si>
  <si>
    <t>DEAL-01511</t>
  </si>
  <si>
    <t>DEAL-00543</t>
  </si>
  <si>
    <t>DEAL-01552</t>
  </si>
  <si>
    <t>DEAL-00860</t>
  </si>
  <si>
    <t>DEAL-00883</t>
  </si>
  <si>
    <t>DEAL-02332</t>
  </si>
  <si>
    <t>DEAL-02092</t>
  </si>
  <si>
    <t>DEAL-01900</t>
  </si>
  <si>
    <t>DEAL-00193</t>
  </si>
  <si>
    <t>DEAL-01124</t>
  </si>
  <si>
    <t>DEAL-00155</t>
  </si>
  <si>
    <t>DEAL-02130</t>
  </si>
  <si>
    <t>DEAL-02227</t>
  </si>
  <si>
    <t>DEAL-01154</t>
  </si>
  <si>
    <t>DEAL-00887</t>
  </si>
  <si>
    <t>DEAL-00014</t>
  </si>
  <si>
    <t>DEAL-01760</t>
  </si>
  <si>
    <t>DEAL-00539</t>
  </si>
  <si>
    <t>DEAL-02334</t>
  </si>
  <si>
    <t>DEAL-01348</t>
  </si>
  <si>
    <t>DEAL-00064</t>
  </si>
  <si>
    <t>DEAL-01741</t>
  </si>
  <si>
    <t>DEAL-00555</t>
  </si>
  <si>
    <t>DEAL-01163</t>
  </si>
  <si>
    <t>DEAL-00377</t>
  </si>
  <si>
    <t>DEAL-01583</t>
  </si>
  <si>
    <t>DEAL-02129</t>
  </si>
  <si>
    <t>DEAL-00493</t>
  </si>
  <si>
    <t>DEAL-00145</t>
  </si>
  <si>
    <t>DEAL-01310</t>
  </si>
  <si>
    <t>DEAL-00136</t>
  </si>
  <si>
    <t>DEAL-00855</t>
  </si>
  <si>
    <t>DEAL-02204</t>
  </si>
  <si>
    <t>DEAL-01108</t>
  </si>
  <si>
    <t>DEAL-02394</t>
  </si>
  <si>
    <t>DEAL-02365</t>
  </si>
  <si>
    <t>DEAL-00353</t>
  </si>
  <si>
    <t>DEAL-01505</t>
  </si>
  <si>
    <t>DEAL-01622</t>
  </si>
  <si>
    <t>DEAL-00262</t>
  </si>
  <si>
    <t>DEAL-00849</t>
  </si>
  <si>
    <t>DEAL-01504</t>
  </si>
  <si>
    <t>DEAL-01971</t>
  </si>
  <si>
    <t>DEAL-02434</t>
  </si>
  <si>
    <t>DEAL-00858</t>
  </si>
  <si>
    <t>DEAL-01093</t>
  </si>
  <si>
    <t>DEAL-00203</t>
  </si>
  <si>
    <t>DEAL-00571</t>
  </si>
  <si>
    <t>DEAL-00925</t>
  </si>
  <si>
    <t>DEAL-01099</t>
  </si>
  <si>
    <t>DEAL-01086</t>
  </si>
  <si>
    <t>DEAL-00362</t>
  </si>
  <si>
    <t>DEAL-01888</t>
  </si>
  <si>
    <t>DEAL-02007</t>
  </si>
  <si>
    <t>DEAL-00290</t>
  </si>
  <si>
    <t>DEAL-00196</t>
  </si>
  <si>
    <t>DEAL-01704</t>
  </si>
  <si>
    <t>DEAL-00195</t>
  </si>
  <si>
    <t>DEAL-01683</t>
  </si>
  <si>
    <t>DEAL-01685</t>
  </si>
  <si>
    <t>DEAL-01545</t>
  </si>
  <si>
    <t>DEAL-01449</t>
  </si>
  <si>
    <t>DEAL-01973</t>
  </si>
  <si>
    <t>DEAL-00727</t>
  </si>
  <si>
    <t>DEAL-01114</t>
  </si>
  <si>
    <t>DEAL-01432</t>
  </si>
  <si>
    <t>DEAL-02487</t>
  </si>
  <si>
    <t>DEAL-00712</t>
  </si>
  <si>
    <t>DEAL-00289</t>
  </si>
  <si>
    <t>DEAL-01903</t>
  </si>
  <si>
    <t>DEAL-01825</t>
  </si>
  <si>
    <t>DEAL-00427</t>
  </si>
  <si>
    <t>DEAL-01935</t>
  </si>
  <si>
    <t>DEAL-00178</t>
  </si>
  <si>
    <t>DEAL-00958</t>
  </si>
  <si>
    <t>DEAL-01252</t>
  </si>
  <si>
    <t>DEAL-00798</t>
  </si>
  <si>
    <t>DEAL-00402</t>
  </si>
  <si>
    <t>DEAL-02298</t>
  </si>
  <si>
    <t>DEAL-01967</t>
  </si>
  <si>
    <t>DEAL-00455</t>
  </si>
  <si>
    <t>DEAL-02000</t>
  </si>
  <si>
    <t>DEAL-00561</t>
  </si>
  <si>
    <t>DEAL-00194</t>
  </si>
  <si>
    <t>DEAL-02034</t>
  </si>
  <si>
    <t>DEAL-02010</t>
  </si>
  <si>
    <t>DEAL-01149</t>
  </si>
  <si>
    <t>DEAL-01041</t>
  </si>
  <si>
    <t>DEAL-01829</t>
  </si>
  <si>
    <t>DEAL-01049</t>
  </si>
  <si>
    <t>DEAL-02418</t>
  </si>
  <si>
    <t>DEAL-01592</t>
  </si>
  <si>
    <t>DEAL-02485</t>
  </si>
  <si>
    <t>DEAL-00572</t>
  </si>
  <si>
    <t>DEAL-01712</t>
  </si>
  <si>
    <t>DEAL-01427</t>
  </si>
  <si>
    <t>DEAL-01682</t>
  </si>
  <si>
    <t>DEAL-02093</t>
  </si>
  <si>
    <t>DEAL-02082</t>
  </si>
  <si>
    <t>DEAL-01308</t>
  </si>
  <si>
    <t>DEAL-01103</t>
  </si>
  <si>
    <t>DEAL-00378</t>
  </si>
  <si>
    <t>DEAL-00293</t>
  </si>
  <si>
    <t>DEAL-01347</t>
  </si>
  <si>
    <t>DEAL-00425</t>
  </si>
  <si>
    <t>DEAL-01332</t>
  </si>
  <si>
    <t>DEAL-00147</t>
  </si>
  <si>
    <t>DEAL-00649</t>
  </si>
  <si>
    <t>DEAL-00780</t>
  </si>
  <si>
    <t>DEAL-02100</t>
  </si>
  <si>
    <t>DEAL-02290</t>
  </si>
  <si>
    <t>DEAL-01556</t>
  </si>
  <si>
    <t>DEAL-01744</t>
  </si>
  <si>
    <t>DEAL-01344</t>
  </si>
  <si>
    <t>DEAL-00441</t>
  </si>
  <si>
    <t>DEAL-00190</t>
  </si>
  <si>
    <t>DEAL-01766</t>
  </si>
  <si>
    <t>DEAL-00108</t>
  </si>
  <si>
    <t>DEAL-00269</t>
  </si>
  <si>
    <t>DEAL-00740</t>
  </si>
  <si>
    <t>DEAL-00745</t>
  </si>
  <si>
    <t>DEAL-00930</t>
  </si>
  <si>
    <t>DEAL-00847</t>
  </si>
  <si>
    <t>DEAL-00090</t>
  </si>
  <si>
    <t>DEAL-01696</t>
  </si>
  <si>
    <t>DEAL-01679</t>
  </si>
  <si>
    <t>DEAL-00272</t>
  </si>
  <si>
    <t>DEAL-00085</t>
  </si>
  <si>
    <t>DEAL-01891</t>
  </si>
  <si>
    <t>DEAL-01998</t>
  </si>
  <si>
    <t>DEAL-00285</t>
  </si>
  <si>
    <t>DEAL-00038</t>
  </si>
  <si>
    <t>DEAL-01434</t>
  </si>
  <si>
    <t>DEAL-00097</t>
  </si>
  <si>
    <t>DEAL-01813</t>
  </si>
  <si>
    <t>DEAL-00345</t>
  </si>
  <si>
    <t>DEAL-00974</t>
  </si>
  <si>
    <t>DEAL-00226</t>
  </si>
  <si>
    <t>DEAL-01186</t>
  </si>
  <si>
    <t>DEAL-01159</t>
  </si>
  <si>
    <t>DEAL-00478</t>
  </si>
  <si>
    <t>DEAL-01271</t>
  </si>
  <si>
    <t>DEAL-00463</t>
  </si>
  <si>
    <t>DEAL-00632</t>
  </si>
  <si>
    <t>DEAL-01378</t>
  </si>
  <si>
    <t>DEAL-01852</t>
  </si>
  <si>
    <t>DEAL-00578</t>
  </si>
  <si>
    <t>DEAL-01527</t>
  </si>
  <si>
    <t>DEAL-01815</t>
  </si>
  <si>
    <t>DEAL-02370</t>
  </si>
  <si>
    <t>DEAL-00939</t>
  </si>
  <si>
    <t>DEAL-02392</t>
  </si>
  <si>
    <t>DEAL-00287</t>
  </si>
  <si>
    <t>DEAL-00501</t>
  </si>
  <si>
    <t>DEAL-00317</t>
  </si>
  <si>
    <t>DEAL-01358</t>
  </si>
  <si>
    <t>DEAL-01146</t>
  </si>
  <si>
    <t>DEAL-02249</t>
  </si>
  <si>
    <t>DEAL-00511</t>
  </si>
  <si>
    <t>DEAL-01515</t>
  </si>
  <si>
    <t>DEAL-01182</t>
  </si>
  <si>
    <t>DEAL-01021</t>
  </si>
  <si>
    <t>DEAL-00166</t>
  </si>
  <si>
    <t>DEAL-00177</t>
  </si>
  <si>
    <t>DEAL-02247</t>
  </si>
  <si>
    <t>DEAL-00464</t>
  </si>
  <si>
    <t>DEAL-00513</t>
  </si>
  <si>
    <t>DEAL-00608</t>
  </si>
  <si>
    <t>DEAL-00413</t>
  </si>
  <si>
    <t>DEAL-02200</t>
  </si>
  <si>
    <t>DEAL-01691</t>
  </si>
  <si>
    <t>DEAL-01958</t>
  </si>
  <si>
    <t>DEAL-00432</t>
  </si>
  <si>
    <t>DEAL-00225</t>
  </si>
  <si>
    <t>DEAL-00891</t>
  </si>
  <si>
    <t>DEAL-01671</t>
  </si>
  <si>
    <t>DEAL-00115</t>
  </si>
  <si>
    <t>DEAL-00238</t>
  </si>
  <si>
    <t>DEAL-01828</t>
  </si>
  <si>
    <t>DEAL-02496</t>
  </si>
  <si>
    <t>DEAL-00158</t>
  </si>
  <si>
    <t>DEAL-00395</t>
  </si>
  <si>
    <t>DEAL-01068</t>
  </si>
  <si>
    <t>DEAL-01930</t>
  </si>
  <si>
    <t>DEAL-00902</t>
  </si>
  <si>
    <t>DEAL-00259</t>
  </si>
  <si>
    <t>DEAL-00391</t>
  </si>
  <si>
    <t>DEAL-02145</t>
  </si>
  <si>
    <t>DEAL-01797</t>
  </si>
  <si>
    <t>DEAL-01838</t>
  </si>
  <si>
    <t>DEAL-00563</t>
  </si>
  <si>
    <t>DEAL-02047</t>
  </si>
  <si>
    <t>DEAL-00696</t>
  </si>
  <si>
    <t>DEAL-00112</t>
  </si>
  <si>
    <t>DEAL-00618</t>
  </si>
  <si>
    <t>DEAL-02472</t>
  </si>
  <si>
    <t>DEAL-00302</t>
  </si>
  <si>
    <t>DEAL-01573</t>
  </si>
  <si>
    <t>DEAL-00948</t>
  </si>
  <si>
    <t>DEAL-01352</t>
  </si>
  <si>
    <t>DEAL-00856</t>
  </si>
  <si>
    <t>DEAL-01088</t>
  </si>
  <si>
    <t>DEAL-02016</t>
  </si>
  <si>
    <t>DEAL-00575</t>
  </si>
  <si>
    <t>DEAL-02172</t>
  </si>
  <si>
    <t>DEAL-01756</t>
  </si>
  <si>
    <t>DEAL-01061</t>
  </si>
  <si>
    <t>DEAL-01953</t>
  </si>
  <si>
    <t>DEAL-01307</t>
  </si>
  <si>
    <t>DEAL-00605</t>
  </si>
  <si>
    <t>DEAL-01304</t>
  </si>
  <si>
    <t>DEAL-00510</t>
  </si>
  <si>
    <t>DEAL-01613</t>
  </si>
  <si>
    <t>DEAL-00216</t>
  </si>
  <si>
    <t>DEAL-01251</t>
  </si>
  <si>
    <t>DEAL-00515</t>
  </si>
  <si>
    <t>DEAL-00995</t>
  </si>
  <si>
    <t>DEAL-02401</t>
  </si>
  <si>
    <t>DEAL-01187</t>
  </si>
  <si>
    <t>DEAL-00449</t>
  </si>
  <si>
    <t>DEAL-02117</t>
  </si>
  <si>
    <t>DEAL-00113</t>
  </si>
  <si>
    <t>DEAL-01241</t>
  </si>
  <si>
    <t>DEAL-00590</t>
  </si>
  <si>
    <t>DEAL-00704</t>
  </si>
  <si>
    <t>DEAL-00011</t>
  </si>
  <si>
    <t>DEAL-00955</t>
  </si>
  <si>
    <t>DEAL-00107</t>
  </si>
  <si>
    <t>DEAL-02062</t>
  </si>
  <si>
    <t>DEAL-00170</t>
  </si>
  <si>
    <t>DEAL-01464</t>
  </si>
  <si>
    <t>DEAL-00508</t>
  </si>
  <si>
    <t>DEAL-00428</t>
  </si>
  <si>
    <t>DEAL-01317</t>
  </si>
  <si>
    <t>DEAL-02478</t>
  </si>
  <si>
    <t>DEAL-02144</t>
  </si>
  <si>
    <t>DEAL-02261</t>
  </si>
  <si>
    <t>DEAL-00564</t>
  </si>
  <si>
    <t>DEAL-01661</t>
  </si>
  <si>
    <t>DEAL-01265</t>
  </si>
  <si>
    <t>DEAL-02052</t>
  </si>
  <si>
    <t>DEAL-01834</t>
  </si>
  <si>
    <t>DEAL-01295</t>
  </si>
  <si>
    <t>DEAL-00874</t>
  </si>
  <si>
    <t>DEAL-01588</t>
  </si>
  <si>
    <t>DEAL-01667</t>
  </si>
  <si>
    <t>DEAL-02412</t>
  </si>
  <si>
    <t>DEAL-01407</t>
  </si>
  <si>
    <t>DEAL-01356</t>
  </si>
  <si>
    <t>DEAL-00894</t>
  </si>
  <si>
    <t>DEAL-01466</t>
  </si>
  <si>
    <t>DEAL-01940</t>
  </si>
  <si>
    <t>DEAL-00037</t>
  </si>
  <si>
    <t>DEAL-01132</t>
  </si>
  <si>
    <t>DEAL-01565</t>
  </si>
  <si>
    <t>DEAL-01478</t>
  </si>
  <si>
    <t>DEAL-01979</t>
  </si>
  <si>
    <t>DEAL-01680</t>
  </si>
  <si>
    <t>DEAL-01145</t>
  </si>
  <si>
    <t>DEAL-02321</t>
  </si>
  <si>
    <t>DEAL-00998</t>
  </si>
  <si>
    <t>DEAL-01259</t>
  </si>
  <si>
    <t>DEAL-00628</t>
  </si>
  <si>
    <t>DEAL-01819</t>
  </si>
  <si>
    <t>DEAL-00652</t>
  </si>
  <si>
    <t>DEAL-01270</t>
  </si>
  <si>
    <t>DEAL-00279</t>
  </si>
  <si>
    <t>DEAL-02109</t>
  </si>
  <si>
    <t>DEAL-02103</t>
  </si>
  <si>
    <t>DEAL-01092</t>
  </si>
  <si>
    <t>DEAL-02324</t>
  </si>
  <si>
    <t>DEAL-00304</t>
  </si>
  <si>
    <t>DEAL-00792</t>
  </si>
  <si>
    <t>DEAL-01362</t>
  </si>
  <si>
    <t>DEAL-00802</t>
  </si>
  <si>
    <t>DEAL-01256</t>
  </si>
  <si>
    <t>DEAL-01908</t>
  </si>
  <si>
    <t>DEAL-01676</t>
  </si>
  <si>
    <t>DEAL-00227</t>
  </si>
  <si>
    <t>DEAL-01342</t>
  </si>
  <si>
    <t>DEAL-01707</t>
  </si>
  <si>
    <t>DEAL-00040</t>
  </si>
  <si>
    <t>DEAL-02214</t>
  </si>
  <si>
    <t>DEAL-00100</t>
  </si>
  <si>
    <t>DEAL-01334</t>
  </si>
  <si>
    <t>DEAL-02400</t>
  </si>
  <si>
    <t>DEAL-00790</t>
  </si>
  <si>
    <t>DEAL-00334</t>
  </si>
  <si>
    <t>DEAL-01399</t>
  </si>
  <si>
    <t>DEAL-00312</t>
  </si>
  <si>
    <t>DEAL-02431</t>
  </si>
  <si>
    <t>DEAL-02450</t>
  </si>
  <si>
    <t>DEAL-01923</t>
  </si>
  <si>
    <t>DEAL-01208</t>
  </si>
  <si>
    <t>DEAL-00414</t>
  </si>
  <si>
    <t>DEAL-01802</t>
  </si>
  <si>
    <t>DEAL-02013</t>
  </si>
  <si>
    <t>DEAL-00217</t>
  </si>
  <si>
    <t>DEAL-02154</t>
  </si>
  <si>
    <t>DEAL-02180</t>
  </si>
  <si>
    <t>DEAL-01701</t>
  </si>
  <si>
    <t>DEAL-00231</t>
  </si>
  <si>
    <t>DEAL-01722</t>
  </si>
  <si>
    <t>DEAL-01499</t>
  </si>
  <si>
    <t>DEAL-01320</t>
  </si>
  <si>
    <t>DEAL-01728</t>
  </si>
  <si>
    <t>DEAL-00666</t>
  </si>
  <si>
    <t>DEAL-02498</t>
  </si>
  <si>
    <t>DEAL-01077</t>
  </si>
  <si>
    <t>DEAL-02198</t>
  </si>
  <si>
    <t>DEAL-02017</t>
  </si>
  <si>
    <t>DEAL-00357</t>
  </si>
  <si>
    <t>DEAL-00665</t>
  </si>
  <si>
    <t>DEAL-00975</t>
  </si>
  <si>
    <t>DEAL-00341</t>
  </si>
  <si>
    <t>DEAL-01150</t>
  </si>
  <si>
    <t>DEAL-00639</t>
  </si>
  <si>
    <t>DEAL-02408</t>
  </si>
  <si>
    <t>DEAL-01213</t>
  </si>
  <si>
    <t>DEAL-00622</t>
  </si>
  <si>
    <t>DEAL-01790</t>
  </si>
  <si>
    <t>DEAL-01216</t>
  </si>
  <si>
    <t>DEAL-01624</t>
  </si>
  <si>
    <t>DEAL-00039</t>
  </si>
  <si>
    <t>DEAL-00699</t>
  </si>
  <si>
    <t>DEAL-00638</t>
  </si>
  <si>
    <t>DEAL-00585</t>
  </si>
  <si>
    <t>DEAL-00914</t>
  </si>
  <si>
    <t>DEAL-01468</t>
  </si>
  <si>
    <t>DEAL-01857</t>
  </si>
  <si>
    <t>DEAL-00024</t>
  </si>
  <si>
    <t>DEAL-02375</t>
  </si>
  <si>
    <t>DEAL-02102</t>
  </si>
  <si>
    <t>DEAL-00134</t>
  </si>
  <si>
    <t>DEAL-00142</t>
  </si>
  <si>
    <t>DEAL-02362</t>
  </si>
  <si>
    <t>DEAL-01250</t>
  </si>
  <si>
    <t>DEAL-00657</t>
  </si>
  <si>
    <t>DEAL-02481</t>
  </si>
  <si>
    <t>DEAL-00309</t>
  </si>
  <si>
    <t>DEAL-00566</t>
  </si>
  <si>
    <t>DEAL-00344</t>
  </si>
  <si>
    <t>DEAL-02467</t>
  </si>
  <si>
    <t>DEAL-00850</t>
  </si>
  <si>
    <t>DEAL-01343</t>
  </si>
  <si>
    <t>DEAL-00043</t>
  </si>
  <si>
    <t>DEAL-00044</t>
  </si>
  <si>
    <t>DEAL-00047</t>
  </si>
  <si>
    <t>DEAL-01960</t>
  </si>
  <si>
    <t>DEAL-01865</t>
  </si>
  <si>
    <t>DEAL-01876</t>
  </si>
  <si>
    <t>DEAL-02490</t>
  </si>
  <si>
    <t>DEAL-00283</t>
  </si>
  <si>
    <t>DEAL-00722</t>
  </si>
  <si>
    <t>DEAL-02036</t>
  </si>
  <si>
    <t>DEAL-00292</t>
  </si>
  <si>
    <t>DEAL-00664</t>
  </si>
  <si>
    <t>DEAL-01485</t>
  </si>
  <si>
    <t>DEAL-01885</t>
  </si>
  <si>
    <t>DEAL-02341</t>
  </si>
  <si>
    <t>DEAL-02391</t>
  </si>
  <si>
    <t>DEAL-02403</t>
  </si>
  <si>
    <t>DEAL-02425</t>
  </si>
  <si>
    <t>DEAL-01100</t>
  </si>
  <si>
    <t>DEAL-00352</t>
  </si>
  <si>
    <t>DEAL-00089</t>
  </si>
  <si>
    <t>DEAL-00118</t>
  </si>
  <si>
    <t>DEAL-00842</t>
  </si>
  <si>
    <t>DEAL-01944</t>
  </si>
  <si>
    <t>DEAL-00785</t>
  </si>
  <si>
    <t>DEAL-00439</t>
  </si>
  <si>
    <t>DEAL-00122</t>
  </si>
  <si>
    <t>DEAL-02389</t>
  </si>
  <si>
    <t>DEAL-02234</t>
  </si>
  <si>
    <t>DEAL-02440</t>
  </si>
  <si>
    <t>DEAL-01227</t>
  </si>
  <si>
    <t>DEAL-00416</t>
  </si>
  <si>
    <t>DEAL-00120</t>
  </si>
  <si>
    <t>DEAL-00251</t>
  </si>
  <si>
    <t>DEAL-01160</t>
  </si>
  <si>
    <t>DEAL-01793</t>
  </si>
  <si>
    <t>DEAL-00782</t>
  </si>
  <si>
    <t>DEAL-00959</t>
  </si>
  <si>
    <t>DEAL-01054</t>
  </si>
  <si>
    <t>DEAL-00753</t>
  </si>
  <si>
    <t>DEAL-00479</t>
  </si>
  <si>
    <t>DEAL-01060</t>
  </si>
  <si>
    <t>DEAL-00061</t>
  </si>
  <si>
    <t>DEAL-01605</t>
  </si>
  <si>
    <t>DEAL-01936</t>
  </si>
  <si>
    <t>DEAL-00294</t>
  </si>
  <si>
    <t>DEAL-00813</t>
  </si>
  <si>
    <t>DEAL-01922</t>
  </si>
  <si>
    <t>DEAL-00117</t>
  </si>
  <si>
    <t>DEAL-01211</t>
  </si>
  <si>
    <t>DEAL-01761</t>
  </si>
  <si>
    <t>DEAL-00157</t>
  </si>
  <si>
    <t>DEAL-01451</t>
  </si>
  <si>
    <t>DEAL-00540</t>
  </si>
  <si>
    <t>DEAL-02031</t>
  </si>
  <si>
    <t>DEAL-02372</t>
  </si>
  <si>
    <t>DEAL-00645</t>
  </si>
  <si>
    <t>DEAL-01924</t>
  </si>
  <si>
    <t>DEAL-01974</t>
  </si>
  <si>
    <t>DEAL-01874</t>
  </si>
  <si>
    <t>DEAL-00775</t>
  </si>
  <si>
    <t>DEAL-00299</t>
  </si>
  <si>
    <t>DEAL-00516</t>
  </si>
  <si>
    <t>DEAL-02459</t>
  </si>
  <si>
    <t>DEAL-00702</t>
  </si>
  <si>
    <t>DEAL-02336</t>
  </si>
  <si>
    <t>DEAL-01479</t>
  </si>
  <si>
    <t>DEAL-01859</t>
  </si>
  <si>
    <t>DEAL-01212</t>
  </si>
  <si>
    <t>DEAL-02407</t>
  </si>
  <si>
    <t>DEAL-01460</t>
  </si>
  <si>
    <t>DEAL-01104</t>
  </si>
  <si>
    <t>DEAL-01820</t>
  </si>
  <si>
    <t>DEAL-00673</t>
  </si>
  <si>
    <t>DEAL-00367</t>
  </si>
  <si>
    <t>DEAL-00081</t>
  </si>
  <si>
    <t>DEAL-00602</t>
  </si>
  <si>
    <t>DEAL-01454</t>
  </si>
  <si>
    <t>DEAL-00725</t>
  </si>
  <si>
    <t>DEAL-01376</t>
  </si>
  <si>
    <t>DEAL-01807</t>
  </si>
  <si>
    <t>DEAL-01539</t>
  </si>
  <si>
    <t>DEAL-01692</t>
  </si>
  <si>
    <t>DEAL-02138</t>
  </si>
  <si>
    <t>DEAL-00206</t>
  </si>
  <si>
    <t>DEAL-02040</t>
  </si>
  <si>
    <t>DEAL-00670</t>
  </si>
  <si>
    <t>DEAL-00499</t>
  </si>
  <si>
    <t>DEAL-00920</t>
  </si>
  <si>
    <t>DEAL-02271</t>
  </si>
  <si>
    <t>DEAL-01335</t>
  </si>
  <si>
    <t>DEAL-00761</t>
  </si>
  <si>
    <t>DEAL-00985</t>
  </si>
  <si>
    <t>DEAL-00973</t>
  </si>
  <si>
    <t>DEAL-00818</t>
  </si>
  <si>
    <t>DEAL-01179</t>
  </si>
  <si>
    <t>DEAL-01547</t>
  </si>
  <si>
    <t>DEAL-01236</t>
  </si>
  <si>
    <t>DEAL-01448</t>
  </si>
  <si>
    <t>DEAL-01705</t>
  </si>
  <si>
    <t>DEAL-00408</t>
  </si>
  <si>
    <t>DEAL-00332</t>
  </si>
  <si>
    <t>DEAL-00908</t>
  </si>
  <si>
    <t>DEAL-01896</t>
  </si>
  <si>
    <t>DEAL-00254</t>
  </si>
  <si>
    <t>DEAL-01057</t>
  </si>
  <si>
    <t>DEAL-01363</t>
  </si>
  <si>
    <t>DEAL-01655</t>
  </si>
  <si>
    <t>DEAL-01028</t>
  </si>
  <si>
    <t>DEAL-00535</t>
  </si>
  <si>
    <t>DEAL-01957</t>
  </si>
  <si>
    <t>DEAL-01628</t>
  </si>
  <si>
    <t>DEAL-00442</t>
  </si>
  <si>
    <t>DEAL-01233</t>
  </si>
  <si>
    <t>DEAL-01808</t>
  </si>
  <si>
    <t>DEAL-00394</t>
  </si>
  <si>
    <t>DEAL-00873</t>
  </si>
  <si>
    <t>DEAL-00006</t>
  </si>
  <si>
    <t>DEAL-02356</t>
  </si>
  <si>
    <t>DEAL-00982</t>
  </si>
  <si>
    <t>DEAL-02079</t>
  </si>
  <si>
    <t>DEAL-01650</t>
  </si>
  <si>
    <t>DEAL-01513</t>
  </si>
  <si>
    <t>DEAL-00173</t>
  </si>
  <si>
    <t>DEAL-01516</t>
  </si>
  <si>
    <t>DEAL-00350</t>
  </si>
  <si>
    <t>DEAL-00592</t>
  </si>
  <si>
    <t>DEAL-00229</t>
  </si>
  <si>
    <t>DEAL-02206</t>
  </si>
  <si>
    <t>DEAL-01968</t>
  </si>
  <si>
    <t>DEAL-00460</t>
  </si>
  <si>
    <t>DEAL-01996</t>
  </si>
  <si>
    <t>DEAL-01067</t>
  </si>
  <si>
    <t>DEAL-01907</t>
  </si>
  <si>
    <t>DEAL-01731</t>
  </si>
  <si>
    <t>DEAL-00058</t>
  </si>
  <si>
    <t>DEAL-00922</t>
  </si>
  <si>
    <t>DEAL-01422</t>
  </si>
  <si>
    <t>DEAL-01847</t>
  </si>
  <si>
    <t>DEAL-02310</t>
  </si>
  <si>
    <t>DEAL-00219</t>
  </si>
  <si>
    <t>DEAL-02169</t>
  </si>
  <si>
    <t>DEAL-01585</t>
  </si>
  <si>
    <t>DEAL-01447</t>
  </si>
  <si>
    <t>DEAL-01225</t>
  </si>
  <si>
    <t>DEAL-01164</t>
  </si>
  <si>
    <t>DEAL-01727</t>
  </si>
  <si>
    <t>DEAL-02291</t>
  </si>
  <si>
    <t>DEAL-00094</t>
  </si>
  <si>
    <t>DEAL-02395</t>
  </si>
  <si>
    <t>DEAL-00169</t>
  </si>
  <si>
    <t>DEAL-01895</t>
  </si>
  <si>
    <t>DEAL-00222</t>
  </si>
  <si>
    <t>DEAL-00929</t>
  </si>
  <si>
    <t>DEAL-00069</t>
  </si>
  <si>
    <t>DEAL-00760</t>
  </si>
  <si>
    <t>DEAL-01589</t>
  </si>
  <si>
    <t>DEAL-01069</t>
  </si>
  <si>
    <t>DEAL-02248</t>
  </si>
  <si>
    <t>DEAL-01905</t>
  </si>
  <si>
    <t>DEAL-02038</t>
  </si>
  <si>
    <t>DEAL-01458</t>
  </si>
  <si>
    <t>DEAL-00803</t>
  </si>
  <si>
    <t>DEAL-01649</t>
  </si>
  <si>
    <t>DEAL-01653</t>
  </si>
  <si>
    <t>DEAL-00005</t>
  </si>
  <si>
    <t>DEAL-00411</t>
  </si>
  <si>
    <t>DEAL-00646</t>
  </si>
  <si>
    <t>DEAL-00675</t>
  </si>
  <si>
    <t>DEAL-01014</t>
  </si>
  <si>
    <t>DEAL-00015</t>
  </si>
  <si>
    <t>DEAL-00623</t>
  </si>
  <si>
    <t>DEAL-02366</t>
  </si>
  <si>
    <t>DEAL-01331</t>
  </si>
  <si>
    <t>DEAL-00071</t>
  </si>
  <si>
    <t>DEAL-00943</t>
  </si>
  <si>
    <t>DEAL-01133</t>
  </si>
  <si>
    <t>DEAL-01656</t>
  </si>
  <si>
    <t>DEAL-01134</t>
  </si>
  <si>
    <t>DEAL-00647</t>
  </si>
  <si>
    <t>DEAL-00570</t>
  </si>
  <si>
    <t>DEAL-01386</t>
  </si>
  <si>
    <t>DEAL-01147</t>
  </si>
  <si>
    <t>DEAL-01129</t>
  </si>
  <si>
    <t>DEAL-00417</t>
  </si>
  <si>
    <t>DEAL-02042</t>
  </si>
  <si>
    <t>DEAL-00906</t>
  </si>
  <si>
    <t>DEAL-00940</t>
  </si>
  <si>
    <t>DEAL-01937</t>
  </si>
  <si>
    <t>DEAL-00248</t>
  </si>
  <si>
    <t>DEAL-00872</t>
  </si>
  <si>
    <t>DEAL-00720</t>
  </si>
  <si>
    <t>DEAL-02437</t>
  </si>
  <si>
    <t>DEAL-00624</t>
  </si>
  <si>
    <t>DEAL-00682</t>
  </si>
  <si>
    <t>DEAL-02078</t>
  </si>
  <si>
    <t>DEAL-00487</t>
  </si>
  <si>
    <t>DEAL-01791</t>
  </si>
  <si>
    <t>DEAL-01383</t>
  </si>
  <si>
    <t>DEAL-01884</t>
  </si>
  <si>
    <t>DEAL-00325</t>
  </si>
  <si>
    <t>DEAL-01618</t>
  </si>
  <si>
    <t>DEAL-01984</t>
  </si>
  <si>
    <t>DEAL-02210</t>
  </si>
  <si>
    <t>DEAL-00829</t>
  </si>
  <si>
    <t>DEAL-02197</t>
  </si>
  <si>
    <t>DEAL-00373</t>
  </si>
  <si>
    <t>DEAL-00474</t>
  </si>
  <si>
    <t>DEAL-00905</t>
  </si>
  <si>
    <t>DEAL-00036</t>
  </si>
  <si>
    <t>DEAL-00168</t>
  </si>
  <si>
    <t>DEAL-01192</t>
  </si>
  <si>
    <t>DEAL-02048</t>
  </si>
  <si>
    <t>DEAL-00819</t>
  </si>
  <si>
    <t>DEAL-00288</t>
  </si>
  <si>
    <t>DEAL-02124</t>
  </si>
  <si>
    <t>DEAL-02257</t>
  </si>
  <si>
    <t>DEAL-01652</t>
  </si>
  <si>
    <t>DEAL-02460</t>
  </si>
  <si>
    <t>DEAL-01600</t>
  </si>
  <si>
    <t>DEAL-01640</t>
  </si>
  <si>
    <t>DEAL-00023</t>
  </si>
  <si>
    <t>DEAL-02026</t>
  </si>
  <si>
    <t>DEAL-01759</t>
  </si>
  <si>
    <t>DEAL-01031</t>
  </si>
  <si>
    <t>DEAL-01392</t>
  </si>
  <si>
    <t>DEAL-01167</t>
  </si>
  <si>
    <t>DEAL-01166</t>
  </si>
  <si>
    <t>DEAL-00056</t>
  </si>
  <si>
    <t>DEAL-02191</t>
  </si>
  <si>
    <t>DEAL-02353</t>
  </si>
  <si>
    <t>DEAL-01523</t>
  </si>
  <si>
    <t>DEAL-01203</t>
  </si>
  <si>
    <t>DEAL-01338</t>
  </si>
  <si>
    <t>DEAL-01811</t>
  </si>
  <si>
    <t>DEAL-02035</t>
  </si>
  <si>
    <t>DEAL-00934</t>
  </si>
  <si>
    <t>DEAL-01283</t>
  </si>
  <si>
    <t>DEAL-00098</t>
  </si>
  <si>
    <t>DEAL-01590</t>
  </si>
  <si>
    <t>DEAL-00871</t>
  </si>
  <si>
    <t>DEAL-00953</t>
  </si>
  <si>
    <t>DEAL-00390</t>
  </si>
  <si>
    <t>DEAL-02373</t>
  </si>
  <si>
    <t>DEAL-02160</t>
  </si>
  <si>
    <t>DEAL-01131</t>
  </si>
  <si>
    <t>DEAL-01033</t>
  </si>
  <si>
    <t>DEAL-02273</t>
  </si>
  <si>
    <t>DEAL-02285</t>
  </si>
  <si>
    <t>DEAL-02069</t>
  </si>
  <si>
    <t>DEAL-01747</t>
  </si>
  <si>
    <t>DEAL-01004</t>
  </si>
  <si>
    <t>DEAL-01076</t>
  </si>
  <si>
    <t>DEAL-00001</t>
  </si>
  <si>
    <t>DEAL-00827</t>
  </si>
  <si>
    <t>DEAL-01274</t>
  </si>
  <si>
    <t>DEAL-01787</t>
  </si>
  <si>
    <t>DEAL-00381</t>
  </si>
  <si>
    <t>DEAL-01032</t>
  </si>
  <si>
    <t>DEAL-01647</t>
  </si>
  <si>
    <t>DEAL-02426</t>
  </si>
  <si>
    <t>DEAL-02080</t>
  </si>
  <si>
    <t>DEAL-01972</t>
  </si>
  <si>
    <t>DEAL-01110</t>
  </si>
  <si>
    <t>DEAL-01199</t>
  </si>
  <si>
    <t>DEAL-00135</t>
  </si>
  <si>
    <t>DEAL-00968</t>
  </si>
  <si>
    <t>DEAL-02025</t>
  </si>
  <si>
    <t>DEAL-02333</t>
  </si>
  <si>
    <t>DEAL-01763</t>
  </si>
  <si>
    <t>DEAL-00415</t>
  </si>
  <si>
    <t>DEAL-01709</t>
  </si>
  <si>
    <t>DEAL-01540</t>
  </si>
  <si>
    <t>DEAL-00833</t>
  </si>
  <si>
    <t>DEAL-01976</t>
  </si>
  <si>
    <t>DEAL-00506</t>
  </si>
  <si>
    <t>DEAL-02250</t>
  </si>
  <si>
    <t>DEAL-00276</t>
  </si>
  <si>
    <t>DEAL-02143</t>
  </si>
  <si>
    <t>DEAL-00962</t>
  </si>
  <si>
    <t>DEAL-02457</t>
  </si>
  <si>
    <t>DEAL-00838</t>
  </si>
  <si>
    <t>DEAL-01396</t>
  </si>
  <si>
    <t>DEAL-00379</t>
  </si>
  <si>
    <t>DEAL-00621</t>
  </si>
  <si>
    <t>DEAL-01486</t>
  </si>
  <si>
    <t>DEAL-01737</t>
  </si>
  <si>
    <t>DEAL-01171</t>
  </si>
  <si>
    <t>DEAL-00138</t>
  </si>
  <si>
    <t>DEAL-01162</t>
  </si>
  <si>
    <t>DEAL-01839</t>
  </si>
  <si>
    <t>DEAL-00067</t>
  </si>
  <si>
    <t>DEAL-00583</t>
  </si>
  <si>
    <t>DEAL-01541</t>
  </si>
  <si>
    <t>DEAL-01473</t>
  </si>
  <si>
    <t>DEAL-01948</t>
  </si>
  <si>
    <t>DEAL-01754</t>
  </si>
  <si>
    <t>DEAL-02045</t>
  </si>
  <si>
    <t>DEAL-02024</t>
  </si>
  <si>
    <t>DEAL-00233</t>
  </si>
  <si>
    <t>DEAL-02152</t>
  </si>
  <si>
    <t>DEAL-00588</t>
  </si>
  <si>
    <t>DEAL-01381</t>
  </si>
  <si>
    <t>DEAL-00026</t>
  </si>
  <si>
    <t>DEAL-01898</t>
  </si>
  <si>
    <t>DEAL-01946</t>
  </si>
  <si>
    <t>DEAL-00123</t>
  </si>
  <si>
    <t>DEAL-02367</t>
  </si>
  <si>
    <t>DEAL-00083</t>
  </si>
  <si>
    <t>DEAL-01599</t>
  </si>
  <si>
    <t>DEAL-00384</t>
  </si>
  <si>
    <t>DEAL-00260</t>
  </si>
  <si>
    <t>DEAL-00453</t>
  </si>
  <si>
    <t>DEAL-02463</t>
  </si>
  <si>
    <t>DEAL-01617</t>
  </si>
  <si>
    <t>DEAL-02454</t>
  </si>
  <si>
    <t>DEAL-02427</t>
  </si>
  <si>
    <t>DEAL-02473</t>
  </si>
  <si>
    <t>DEAL-02491</t>
  </si>
  <si>
    <t>DEAL-02293</t>
  </si>
  <si>
    <t>DEAL-01991</t>
  </si>
  <si>
    <t>DEAL-01431</t>
  </si>
  <si>
    <t>DEAL-00167</t>
  </si>
  <si>
    <t>DEAL-02075</t>
  </si>
  <si>
    <t>DEAL-02230</t>
  </si>
  <si>
    <t>DEAL-00786</t>
  </si>
  <si>
    <t>DEAL-00911</t>
  </si>
  <si>
    <t>DEAL-00933</t>
  </si>
  <si>
    <t>DEAL-01056</t>
  </si>
  <si>
    <t>DEAL-02326</t>
  </si>
  <si>
    <t>DEAL-01040</t>
  </si>
  <si>
    <t>DEAL-00456</t>
  </si>
  <si>
    <t>DEAL-00291</t>
  </si>
  <si>
    <t>DEAL-01436</t>
  </si>
  <si>
    <t>DEAL-02305</t>
  </si>
  <si>
    <t>DEAL-01755</t>
  </si>
  <si>
    <t>DEAL-02464</t>
  </si>
  <si>
    <t>DEAL-02203</t>
  </si>
  <si>
    <t>DEAL-00990</t>
  </si>
  <si>
    <t>DEAL-02156</t>
  </si>
  <si>
    <t>DEAL-01823</t>
  </si>
  <si>
    <t>DEAL-02053</t>
  </si>
  <si>
    <t>DEAL-01981</t>
  </si>
  <si>
    <t>DEAL-00695</t>
  </si>
  <si>
    <t>DEAL-00371</t>
  </si>
  <si>
    <t>DEAL-01453</t>
  </si>
  <si>
    <t>DEAL-01157</t>
  </si>
  <si>
    <t>DEAL-00498</t>
  </si>
  <si>
    <t>DEAL-01437</t>
  </si>
  <si>
    <t>DEAL-02385</t>
  </si>
  <si>
    <t>DEAL-00800</t>
  </si>
  <si>
    <t>DEAL-01231</t>
  </si>
  <si>
    <t>DEAL-00541</t>
  </si>
  <si>
    <t>DEAL-00538</t>
  </si>
  <si>
    <t>DEAL-01942</t>
  </si>
  <si>
    <t>DEAL-02355</t>
  </si>
  <si>
    <t>DEAL-01254</t>
  </si>
  <si>
    <t>DEAL-01644</t>
  </si>
  <si>
    <t>DEAL-00232</t>
  </si>
  <si>
    <t>DEAL-01889</t>
  </si>
  <si>
    <t>DEAL-00239</t>
  </si>
  <si>
    <t>DEAL-00928</t>
  </si>
  <si>
    <t>DEAL-00742</t>
  </si>
  <si>
    <t>DEAL-02461</t>
  </si>
  <si>
    <t>DEAL-01632</t>
  </si>
  <si>
    <t>DEAL-01037</t>
  </si>
  <si>
    <t>DEAL-02378</t>
  </si>
  <si>
    <t>DEAL-00923</t>
  </si>
  <si>
    <t>DEAL-01074</t>
  </si>
  <si>
    <t>DEAL-00717</t>
  </si>
  <si>
    <t>DEAL-01507</t>
  </si>
  <si>
    <t>DEAL-01083</t>
  </si>
  <si>
    <t>DEAL-02235</t>
  </si>
  <si>
    <t>DEAL-01703</t>
  </si>
  <si>
    <t>DEAL-01258</t>
  </si>
  <si>
    <t>DEAL-02328</t>
  </si>
  <si>
    <t>DEAL-01638</t>
  </si>
  <si>
    <t>DEAL-02343</t>
  </si>
  <si>
    <t>DEAL-01670</t>
  </si>
  <si>
    <t>DEAL-02166</t>
  </si>
  <si>
    <t>DEAL-01619</t>
  </si>
  <si>
    <t>DEAL-00900</t>
  </si>
  <si>
    <t>DEAL-00191</t>
  </si>
  <si>
    <t>DEAL-01141</t>
  </si>
  <si>
    <t>DEAL-02330</t>
  </si>
  <si>
    <t>DEAL-01883</t>
  </si>
  <si>
    <t>DEAL-02376</t>
  </si>
  <si>
    <t>DEAL-01631</t>
  </si>
  <si>
    <t>DEAL-01091</t>
  </si>
  <si>
    <t>DEAL-01582</t>
  </si>
  <si>
    <t>DEAL-00033</t>
  </si>
  <si>
    <t>DEAL-00774</t>
  </si>
  <si>
    <t>DEAL-02483</t>
  </si>
  <si>
    <t>DEAL-00484</t>
  </si>
  <si>
    <t>DEAL-00924</t>
  </si>
  <si>
    <t>DEAL-02032</t>
  </si>
  <si>
    <t>DEAL-01608</t>
  </si>
  <si>
    <t>DEAL-02068</t>
  </si>
  <si>
    <t>DEAL-00553</t>
  </si>
  <si>
    <t>DEAL-01604</t>
  </si>
  <si>
    <t>DEAL-01219</t>
  </si>
  <si>
    <t>DEAL-00336</t>
  </si>
  <si>
    <t>DEAL-02331</t>
  </si>
  <si>
    <t>DEAL-02094</t>
  </si>
  <si>
    <t>DEAL-02241</t>
  </si>
  <si>
    <t>DEAL-01596</t>
  </si>
  <si>
    <t>DEAL-01279</t>
  </si>
  <si>
    <t>DEAL-02236</t>
  </si>
  <si>
    <t>DEAL-00854</t>
  </si>
  <si>
    <t>DEAL-00268</t>
  </si>
  <si>
    <t>DEAL-00970</t>
  </si>
  <si>
    <t>DEAL-00518</t>
  </si>
  <si>
    <t>DEAL-00008</t>
  </si>
  <si>
    <t>DEAL-01298</t>
  </si>
  <si>
    <t>DEAL-01950</t>
  </si>
  <si>
    <t>DEAL-01055</t>
  </si>
  <si>
    <t>DEAL-01230</t>
  </si>
  <si>
    <t>DEAL-00237</t>
  </si>
  <si>
    <t>DEAL-00338</t>
  </si>
  <si>
    <t>DEAL-02213</t>
  </si>
  <si>
    <t>DEAL-02451</t>
  </si>
  <si>
    <t>DEAL-00642</t>
  </si>
  <si>
    <t>DEAL-02263</t>
  </si>
  <si>
    <t>DEAL-01775</t>
  </si>
  <si>
    <t>DEAL-01489</t>
  </si>
  <si>
    <t>DEAL-01716</t>
  </si>
  <si>
    <t>DEAL-01126</t>
  </si>
  <si>
    <t>DEAL-01752</t>
  </si>
  <si>
    <t>DEAL-00595</t>
  </si>
  <si>
    <t>DEAL-00994</t>
  </si>
  <si>
    <t>DEAL-00448</t>
  </si>
  <si>
    <t>DEAL-00372</t>
  </si>
  <si>
    <t>DEAL-02297</t>
  </si>
  <si>
    <t>DEAL-00707</t>
  </si>
  <si>
    <t>DEAL-00153</t>
  </si>
  <si>
    <t>DEAL-01262</t>
  </si>
  <si>
    <t>DEAL-02381</t>
  </si>
  <si>
    <t>DEAL-02380</t>
  </si>
  <si>
    <t>DEAL-02205</t>
  </si>
  <si>
    <t>DEAL-02050</t>
  </si>
  <si>
    <t>DEAL-00320</t>
  </si>
  <si>
    <t>DEAL-01654</t>
  </si>
  <si>
    <t>DEAL-01183</t>
  </si>
  <si>
    <t>DEAL-01977</t>
  </si>
  <si>
    <t>DEAL-01887</t>
  </si>
  <si>
    <t>DEAL-00469</t>
  </si>
  <si>
    <t>DEAL-00837</t>
  </si>
  <si>
    <t>DEAL-01591</t>
  </si>
  <si>
    <t>DEAL-00567</t>
  </si>
  <si>
    <t>DEAL-02342</t>
  </si>
  <si>
    <t>DEAL-01855</t>
  </si>
  <si>
    <t>DEAL-01496</t>
  </si>
  <si>
    <t>DEAL-00480</t>
  </si>
  <si>
    <t>DEAL-00450</t>
  </si>
  <si>
    <t>DEAL-00497</t>
  </si>
  <si>
    <t>DEAL-00677</t>
  </si>
  <si>
    <t>DEAL-00796</t>
  </si>
  <si>
    <t>DEAL-02255</t>
  </si>
  <si>
    <t>DEAL-01299</t>
  </si>
  <si>
    <t>DEAL-01606</t>
  </si>
  <si>
    <t>DEAL-01501</t>
  </si>
  <si>
    <t>DEAL-02240</t>
  </si>
  <si>
    <t>DEAL-02347</t>
  </si>
  <si>
    <t>DEAL-01123</t>
  </si>
  <si>
    <t>DEAL-01089</t>
  </si>
  <si>
    <t>DEAL-02167</t>
  </si>
  <si>
    <t>DEAL-01586</t>
  </si>
  <si>
    <t>DEAL-01205</t>
  </si>
  <si>
    <t>DEAL-00163</t>
  </si>
  <si>
    <t>DEAL-02246</t>
  </si>
  <si>
    <t>DEAL-01566</t>
  </si>
  <si>
    <t>DEAL-00520</t>
  </si>
  <si>
    <t>DEAL-02176</t>
  </si>
  <si>
    <t>DEAL-01008</t>
  </si>
  <si>
    <t>DEAL-01218</t>
  </si>
  <si>
    <t>DEAL-00997</t>
  </si>
  <si>
    <t>DEAL-01614</t>
  </si>
  <si>
    <t>DEAL-01394</t>
  </si>
  <si>
    <t>DEAL-01139</t>
  </si>
  <si>
    <t>DEAL-02476</t>
  </si>
  <si>
    <t>DEAL-01152</t>
  </si>
  <si>
    <t>DEAL-02127</t>
  </si>
  <si>
    <t>DEAL-00223</t>
  </si>
  <si>
    <t>DEAL-02153</t>
  </si>
  <si>
    <t>DEAL-01085</t>
  </si>
  <si>
    <t>DEAL-01751</t>
  </si>
  <si>
    <t>DEAL-00025</t>
  </si>
  <si>
    <t>DEAL-01333</t>
  </si>
  <si>
    <t>DEAL-00228</t>
  </si>
  <si>
    <t>DEAL-02226</t>
  </si>
  <si>
    <t>DEAL-00694</t>
  </si>
  <si>
    <t>DEAL-01388</t>
  </si>
  <si>
    <t>DEAL-01524</t>
  </si>
  <si>
    <t>DEAL-02444</t>
  </si>
  <si>
    <t>DEAL-00636</t>
  </si>
  <si>
    <t>DEAL-00826</t>
  </si>
  <si>
    <t>DEAL-00648</t>
  </si>
  <si>
    <t>DEAL-02202</t>
  </si>
  <si>
    <t>DEAL-01106</t>
  </si>
  <si>
    <t>DEAL-01470</t>
  </si>
  <si>
    <t>DEAL-01119</t>
  </si>
  <si>
    <t>DEAL-02245</t>
  </si>
  <si>
    <t>DEAL-00101</t>
  </si>
  <si>
    <t>DEAL-01550</t>
  </si>
  <si>
    <t>DEAL-01548</t>
  </si>
  <si>
    <t>DEAL-01128</t>
  </si>
  <si>
    <t>DEAL-02140</t>
  </si>
  <si>
    <t>DEAL-00021</t>
  </si>
  <si>
    <t>DEAL-00211</t>
  </si>
  <si>
    <t>DEAL-02384</t>
  </si>
  <si>
    <t>DEAL-01065</t>
  </si>
  <si>
    <t>DEAL-01519</t>
  </si>
  <si>
    <t>DEAL-01402</t>
  </si>
  <si>
    <t>DEAL-00932</t>
  </si>
  <si>
    <t>DEAL-00070</t>
  </si>
  <si>
    <t>DEAL-00658</t>
  </si>
  <si>
    <t>DEAL-00738</t>
  </si>
  <si>
    <t>DEAL-01385</t>
  </si>
  <si>
    <t>DEAL-00568</t>
  </si>
  <si>
    <t>DEAL-01801</t>
  </si>
  <si>
    <t>DEAL-01557</t>
  </si>
  <si>
    <t>DEAL-01022</t>
  </si>
  <si>
    <t>DEAL-00635</t>
  </si>
  <si>
    <t>DEAL-02494</t>
  </si>
  <si>
    <t>DEAL-01558</t>
  </si>
  <si>
    <t>DEAL-00841</t>
  </si>
  <si>
    <t>DEAL-01537</t>
  </si>
  <si>
    <t>DEAL-00993</t>
  </si>
  <si>
    <t>DEAL-01733</t>
  </si>
  <si>
    <t>DEAL-00840</t>
  </si>
  <si>
    <t>DEAL-01226</t>
  </si>
  <si>
    <t>DEAL-00719</t>
  </si>
  <si>
    <t>DEAL-00398</t>
  </si>
  <si>
    <t>DEAL-02244</t>
  </si>
  <si>
    <t>DEAL-00768</t>
  </si>
  <si>
    <t>DEAL-00213</t>
  </si>
  <si>
    <t>DEAL-02091</t>
  </si>
  <si>
    <t>DEAL-01255</t>
  </si>
  <si>
    <t>DEAL-02304</t>
  </si>
  <si>
    <t>DEAL-02228</t>
  </si>
  <si>
    <t>DEAL-01113</t>
  </si>
  <si>
    <t>DEAL-00295</t>
  </si>
  <si>
    <t>DEAL-00731</t>
  </si>
  <si>
    <t>DEAL-00483</t>
  </si>
  <si>
    <t>DEAL-02049</t>
  </si>
  <si>
    <t>DEAL-01246</t>
  </si>
  <si>
    <t>DEAL-00364</t>
  </si>
  <si>
    <t>DEAL-02495</t>
  </si>
  <si>
    <t>DEAL-01121</t>
  </si>
  <si>
    <t>DEAL-00303</t>
  </si>
  <si>
    <t>DEAL-02438</t>
  </si>
  <si>
    <t>DEAL-01366</t>
  </si>
  <si>
    <t>DEAL-00012</t>
  </si>
  <si>
    <t>DEAL-01581</t>
  </si>
  <si>
    <t>DEAL-00896</t>
  </si>
  <si>
    <t>DEAL-00053</t>
  </si>
  <si>
    <t>DEAL-01369</t>
  </si>
  <si>
    <t>DEAL-01005</t>
  </si>
  <si>
    <t>DEAL-01140</t>
  </si>
  <si>
    <t>DEAL-00662</t>
  </si>
  <si>
    <t>DEAL-01120</t>
  </si>
  <si>
    <t>DEAL-02277</t>
  </si>
  <si>
    <t>DEAL-00266</t>
  </si>
  <si>
    <t>DEAL-00741</t>
  </si>
  <si>
    <t>DEAL-01781</t>
  </si>
  <si>
    <t>DEAL-01419</t>
  </si>
  <si>
    <t>DEAL-02371</t>
  </si>
  <si>
    <t>DEAL-00318</t>
  </si>
  <si>
    <t>DEAL-01576</t>
  </si>
  <si>
    <t>DEAL-01229</t>
  </si>
  <si>
    <t>DEAL-01143</t>
  </si>
  <si>
    <t>DEAL-00689</t>
  </si>
  <si>
    <t>DEAL-00747</t>
  </si>
  <si>
    <t>DEAL-01365</t>
  </si>
  <si>
    <t>DEAL-02430</t>
  </si>
  <si>
    <t>DEAL-00969</t>
  </si>
  <si>
    <t>DEAL-01812</t>
  </si>
  <si>
    <t>DEAL-01542</t>
  </si>
  <si>
    <t>DEAL-00848</t>
  </si>
  <si>
    <t>DEAL-01917</t>
  </si>
  <si>
    <t>DEAL-02139</t>
  </si>
  <si>
    <t>DEAL-01851</t>
  </si>
  <si>
    <t>DEAL-00130</t>
  </si>
  <si>
    <t>DEAL-02448</t>
  </si>
  <si>
    <t>DEAL-01324</t>
  </si>
  <si>
    <t>DEAL-01281</t>
  </si>
  <si>
    <t>DEAL-01435</t>
  </si>
  <si>
    <t>DEAL-00354</t>
  </si>
  <si>
    <t>DEAL-00545</t>
  </si>
  <si>
    <t>DEAL-01078</t>
  </si>
  <si>
    <t>DEAL-00139</t>
  </si>
  <si>
    <t>DEAL-01714</t>
  </si>
  <si>
    <t>DEAL-01520</t>
  </si>
  <si>
    <t>DEAL-01420</t>
  </si>
  <si>
    <t>DEAL-02358</t>
  </si>
  <si>
    <t>DEAL-01840</t>
  </si>
  <si>
    <t>DEAL-01024</t>
  </si>
  <si>
    <t>DEAL-00737</t>
  </si>
  <si>
    <t>DEAL-02338</t>
  </si>
  <si>
    <t>DEAL-00589</t>
  </si>
  <si>
    <t>DEAL-01098</t>
  </si>
  <si>
    <t>DEAL-02383</t>
  </si>
  <si>
    <t>DEAL-01553</t>
  </si>
  <si>
    <t>DEAL-00890</t>
  </si>
  <si>
    <t>DEAL-02218</t>
  </si>
  <si>
    <t>DEAL-01910</t>
  </si>
  <si>
    <t>DEAL-00041</t>
  </si>
  <si>
    <t>DEAL-00862</t>
  </si>
  <si>
    <t>DEAL-00537</t>
  </si>
  <si>
    <t>DEAL-00965</t>
  </si>
  <si>
    <t>DEAL-02142</t>
  </si>
  <si>
    <t>DEAL-01172</t>
  </si>
  <si>
    <t>DEAL-02251</t>
  </si>
  <si>
    <t>DEAL-00801</t>
  </si>
  <si>
    <t>DEAL-01892</t>
  </si>
  <si>
    <t>DEAL-00435</t>
  </si>
  <si>
    <t>DEAL-00215</t>
  </si>
  <si>
    <t>DEAL-02484</t>
  </si>
  <si>
    <t>DEAL-01872</t>
  </si>
  <si>
    <t>DEAL-02155</t>
  </si>
  <si>
    <t>DEAL-02044</t>
  </si>
  <si>
    <t>DEAL-00261</t>
  </si>
  <si>
    <t>DEAL-01346</t>
  </si>
  <si>
    <t>DEAL-00102</t>
  </si>
  <si>
    <t>DEAL-00020</t>
  </si>
  <si>
    <t>DEAL-00980</t>
  </si>
  <si>
    <t>DEAL-00375</t>
  </si>
  <si>
    <t>DEAL-01125</t>
  </si>
  <si>
    <t>DEAL-01894</t>
  </si>
  <si>
    <t>DEAL-01994</t>
  </si>
  <si>
    <t>DEAL-02043</t>
  </si>
  <si>
    <t>DEAL-02101</t>
  </si>
  <si>
    <t>DEAL-01232</t>
  </si>
  <si>
    <t>DEAL-02475</t>
  </si>
  <si>
    <t>DEAL-01248</t>
  </si>
  <si>
    <t>DEAL-00787</t>
  </si>
  <si>
    <t>DEAL-01689</t>
  </si>
  <si>
    <t>DEAL-01204</t>
  </si>
  <si>
    <t>DEAL-02314</t>
  </si>
  <si>
    <t>DEAL-01818</t>
  </si>
  <si>
    <t>DEAL-00183</t>
  </si>
  <si>
    <t>DEAL-01886</t>
  </si>
  <si>
    <t>DEAL-00076</t>
  </si>
  <si>
    <t>DEAL-01578</t>
  </si>
  <si>
    <t>DEAL-01463</t>
  </si>
  <si>
    <t>DEAL-01198</t>
  </si>
  <si>
    <t>DEAL-02175</t>
  </si>
  <si>
    <t>DEAL-01059</t>
  </si>
  <si>
    <t>DEAL-02208</t>
  </si>
  <si>
    <t>DEAL-00739</t>
  </si>
  <si>
    <t>DEAL-01904</t>
  </si>
  <si>
    <t>DEAL-02159</t>
  </si>
  <si>
    <t>DEAL-01428</t>
  </si>
  <si>
    <t>DEAL-00961</t>
  </si>
  <si>
    <t>DEAL-02283</t>
  </si>
  <si>
    <t>DEAL-00903</t>
  </si>
  <si>
    <t>DEAL-02211</t>
  </si>
  <si>
    <t>DEAL-01115</t>
  </si>
  <si>
    <t>DEAL-01806</t>
  </si>
  <si>
    <t>DEAL-01190</t>
  </si>
  <si>
    <t>DEAL-00650</t>
  </si>
  <si>
    <t>DEAL-01735</t>
  </si>
  <si>
    <t>DEAL-01651</t>
  </si>
  <si>
    <t>DEAL-00335</t>
  </si>
  <si>
    <t>DEAL-01288</t>
  </si>
  <si>
    <t>DEAL-02066</t>
  </si>
  <si>
    <t>DEAL-00328</t>
  </si>
  <si>
    <t>DEAL-00748</t>
  </si>
  <si>
    <t>DEAL-00852</t>
  </si>
  <si>
    <t>DEAL-01800</t>
  </si>
  <si>
    <t>DEAL-00505</t>
  </si>
  <si>
    <t>DEAL-01918</t>
  </si>
  <si>
    <t>DEAL-02188</t>
  </si>
  <si>
    <t>DEAL-01978</t>
  </si>
  <si>
    <t>DEAL-01534</t>
  </si>
  <si>
    <t>DEAL-00976</t>
  </si>
  <si>
    <t>DEAL-01841</t>
  </si>
  <si>
    <t>DEAL-01409</t>
  </si>
  <si>
    <t>DEAL-00401</t>
  </si>
  <si>
    <t>DEAL-01544</t>
  </si>
  <si>
    <t>DEAL-01568</t>
  </si>
  <si>
    <t>DEAL-00746</t>
  </si>
  <si>
    <t>DEAL-01340</t>
  </si>
  <si>
    <t>DEAL-01664</t>
  </si>
  <si>
    <t>DEAL-00419</t>
  </si>
  <si>
    <t>DEAL-00186</t>
  </si>
  <si>
    <t>DEAL-01027</t>
  </si>
  <si>
    <t>DEAL-02063</t>
  </si>
  <si>
    <t>DEAL-01743</t>
  </si>
  <si>
    <t>DEAL-01328</t>
  </si>
  <si>
    <t>DEAL-02028</t>
  </si>
  <si>
    <t>DEAL-02223</t>
  </si>
  <si>
    <t>DEAL-02209</t>
  </si>
  <si>
    <t>DEAL-00947</t>
  </si>
  <si>
    <t>DEAL-01046</t>
  </si>
  <si>
    <t>DEAL-01906</t>
  </si>
  <si>
    <t>DEAL-00116</t>
  </si>
  <si>
    <t>DEAL-00531</t>
  </si>
  <si>
    <t>DEAL-00797</t>
  </si>
  <si>
    <t>DEAL-00159</t>
  </si>
  <si>
    <t>DEAL-01986</t>
  </si>
  <si>
    <t>DEAL-00735</t>
  </si>
  <si>
    <t>DEAL-00111</t>
  </si>
  <si>
    <t>DEAL-00242</t>
  </si>
  <si>
    <t>DEAL-01457</t>
  </si>
  <si>
    <t>DEAL-00298</t>
  </si>
  <si>
    <t>DEAL-00807</t>
  </si>
  <si>
    <t>DEAL-01336</t>
  </si>
  <si>
    <t>DEAL-00127</t>
  </si>
  <si>
    <t>DEAL-02368</t>
  </si>
  <si>
    <t>DEAL-00446</t>
  </si>
  <si>
    <t>DEAL-02005</t>
  </si>
  <si>
    <t>DEAL-00806</t>
  </si>
  <si>
    <t>DEAL-00690</t>
  </si>
  <si>
    <t>DEAL-01240</t>
  </si>
  <si>
    <t>DEAL-01821</t>
  </si>
  <si>
    <t>DEAL-02001</t>
  </si>
  <si>
    <t>DEAL-00653</t>
  </si>
  <si>
    <t>DEAL-01999</t>
  </si>
  <si>
    <t>DEAL-00079</t>
  </si>
  <si>
    <t>DEAL-02212</t>
  </si>
  <si>
    <t>DEAL-01189</t>
  </si>
  <si>
    <t>DEAL-00457</t>
  </si>
  <si>
    <t>DEAL-01961</t>
  </si>
  <si>
    <t>DEAL-02315</t>
  </si>
  <si>
    <t>DEAL-01430</t>
  </si>
  <si>
    <t>DEAL-01804</t>
  </si>
  <si>
    <t>DEAL-00684</t>
  </si>
  <si>
    <t>DEAL-00904</t>
  </si>
  <si>
    <t>DEAL-01740</t>
  </si>
  <si>
    <t>DEAL-02415</t>
  </si>
  <si>
    <t>DEAL-01764</t>
  </si>
  <si>
    <t>DEAL-01579</t>
  </si>
  <si>
    <t>DEAL-00220</t>
  </si>
  <si>
    <t>DEAL-00485</t>
  </si>
  <si>
    <t>DEAL-01373</t>
  </si>
  <si>
    <t>DEAL-00830</t>
  </si>
  <si>
    <t>DEAL-02500</t>
  </si>
  <si>
    <t>DEAL-00420</t>
  </si>
  <si>
    <t>DEAL-01245</t>
  </si>
  <si>
    <t>DEAL-01965</t>
  </si>
  <si>
    <t>DEAL-01309</t>
  </si>
  <si>
    <t>DEAL-01929</t>
  </si>
  <si>
    <t>DEAL-01249</t>
  </si>
  <si>
    <t>DEAL-02260</t>
  </si>
  <si>
    <t>DEAL-00181</t>
  </si>
  <si>
    <t>DEAL-00776</t>
  </si>
  <si>
    <t>DEAL-01858</t>
  </si>
  <si>
    <t>DEAL-01912</t>
  </si>
  <si>
    <t>DEAL-02477</t>
  </si>
  <si>
    <t>DEAL-02189</t>
  </si>
  <si>
    <t>DEAL-01535</t>
  </si>
  <si>
    <t>DEAL-00851</t>
  </si>
  <si>
    <t>DEAL-02174</t>
  </si>
  <si>
    <t>DEAL-02115</t>
  </si>
  <si>
    <t>DEAL-00791</t>
  </si>
  <si>
    <t>DEAL-02177</t>
  </si>
  <si>
    <t>DEAL-02195</t>
  </si>
  <si>
    <t>DEAL-01890</t>
  </si>
  <si>
    <t>DEAL-02083</t>
  </si>
  <si>
    <t>DEAL-02308</t>
  </si>
  <si>
    <t>DEAL-02416</t>
  </si>
  <si>
    <t>DEAL-02098</t>
  </si>
  <si>
    <t>DEAL-01071</t>
  </si>
  <si>
    <t>DEAL-02182</t>
  </si>
  <si>
    <t>DEAL-02369</t>
  </si>
  <si>
    <t>DEAL-01355</t>
  </si>
  <si>
    <t>DEAL-00114</t>
  </si>
  <si>
    <t>DEAL-01529</t>
  </si>
  <si>
    <t>DEAL-00192</t>
  </si>
  <si>
    <t>DEAL-01867</t>
  </si>
  <si>
    <t>DEAL-02027</t>
  </si>
  <si>
    <t>DEAL-01794</t>
  </si>
  <si>
    <t>DEAL-00022</t>
  </si>
  <si>
    <t>DEAL-01494</t>
  </si>
  <si>
    <t>DEAL-00656</t>
  </si>
  <si>
    <t>DEAL-01837</t>
  </si>
  <si>
    <t>DEAL-02296</t>
  </si>
  <si>
    <t>DEAL-00778</t>
  </si>
  <si>
    <t>DEAL-01508</t>
  </si>
  <si>
    <t>DEAL-01491</t>
  </si>
  <si>
    <t>DEAL-00913</t>
  </si>
  <si>
    <t>DEAL-02398</t>
  </si>
  <si>
    <t>DEAL-00668</t>
  </si>
  <si>
    <t>DEAL-00743</t>
  </si>
  <si>
    <t>DEAL-00296</t>
  </si>
  <si>
    <t>DEAL-01465</t>
  </si>
  <si>
    <t>DEAL-00762</t>
  </si>
  <si>
    <t>DEAL-01736</t>
  </si>
  <si>
    <t>DEAL-00793</t>
  </si>
  <si>
    <t>DEAL-00404</t>
  </si>
  <si>
    <t>DEAL-02219</t>
  </si>
  <si>
    <t>DEAL-00714</t>
  </si>
  <si>
    <t>DEAL-02442</t>
  </si>
  <si>
    <t>DEAL-00447</t>
  </si>
  <si>
    <t>DEAL-02350</t>
  </si>
  <si>
    <t>DEAL-01506</t>
  </si>
  <si>
    <t>DEAL-01603</t>
  </si>
  <si>
    <t>DEAL-00502</t>
  </si>
  <si>
    <t>DEAL-01659</t>
  </si>
  <si>
    <t>DEAL-01345</t>
  </si>
  <si>
    <t>DEAL-01025</t>
  </si>
  <si>
    <t>DEAL-00867</t>
  </si>
  <si>
    <t>DEAL-00799</t>
  </si>
  <si>
    <t>DEAL-00755</t>
  </si>
  <si>
    <t>DEAL-00472</t>
  </si>
  <si>
    <t>DEAL-00594</t>
  </si>
  <si>
    <t>DEAL-00349</t>
  </si>
  <si>
    <t>DEAL-01538</t>
  </si>
  <si>
    <t>DEAL-00246</t>
  </si>
  <si>
    <t>DEAL-00941</t>
  </si>
  <si>
    <t>DEAL-00185</t>
  </si>
  <si>
    <t>DEAL-01536</t>
  </si>
  <si>
    <t>DEAL-01730</t>
  </si>
  <si>
    <t>DEAL-02357</t>
  </si>
  <si>
    <t>DEAL-00311</t>
  </si>
  <si>
    <t>DEAL-00972</t>
  </si>
  <si>
    <t>DEAL-00560</t>
  </si>
  <si>
    <t>DEAL-02423</t>
  </si>
  <si>
    <t>DEAL-01845</t>
  </si>
  <si>
    <t>DEAL-01019</t>
  </si>
  <si>
    <t>DEAL-01563</t>
  </si>
  <si>
    <t>DEAL-02377</t>
  </si>
  <si>
    <t>DEAL-00845</t>
  </si>
  <si>
    <t>DEAL-01982</t>
  </si>
  <si>
    <t>DEAL-00805</t>
  </si>
  <si>
    <t>DEAL-01897</t>
  </si>
  <si>
    <t>DEAL-00542</t>
  </si>
  <si>
    <t>DEAL-01726</t>
  </si>
  <si>
    <t>DEAL-00986</t>
  </si>
  <si>
    <t>DEAL-02221</t>
  </si>
  <si>
    <t>DEAL-01222</t>
  </si>
  <si>
    <t>DEAL-01181</t>
  </si>
  <si>
    <t>DEAL-01353</t>
  </si>
  <si>
    <t>DEAL-00175</t>
  </si>
  <si>
    <t>DEAL-00846</t>
  </si>
  <si>
    <t>DEAL-02131</t>
  </si>
  <si>
    <t>DEAL-01964</t>
  </si>
  <si>
    <t>DEAL-01045</t>
  </si>
  <si>
    <t>DEAL-01777</t>
  </si>
  <si>
    <t>DEAL-01951</t>
  </si>
  <si>
    <t>DEAL-01286</t>
  </si>
  <si>
    <t>DEAL-01405</t>
  </si>
  <si>
    <t>DEAL-01290</t>
  </si>
  <si>
    <t>DEAL-00154</t>
  </si>
  <si>
    <t>DEAL-00978</t>
  </si>
  <si>
    <t>DEAL-02274</t>
  </si>
  <si>
    <t>DEAL-00003</t>
  </si>
  <si>
    <t>DEAL-00526</t>
  </si>
  <si>
    <t>DEAL-00189</t>
  </si>
  <si>
    <t>DEAL-01228</t>
  </si>
  <si>
    <t>DEAL-00897</t>
  </si>
  <si>
    <t>DEAL-01209</t>
  </si>
  <si>
    <t>DEAL-02364</t>
  </si>
  <si>
    <t>DEAL-02284</t>
  </si>
  <si>
    <t>DEAL-00614</t>
  </si>
  <si>
    <t>DEAL-02299</t>
  </si>
  <si>
    <t>DEAL-01266</t>
  </si>
  <si>
    <t>DEAL-00424</t>
  </si>
  <si>
    <t>DEAL-00099</t>
  </si>
  <si>
    <t>DEAL-00661</t>
  </si>
  <si>
    <t>DEAL-00988</t>
  </si>
  <si>
    <t>DEAL-01750</t>
  </si>
  <si>
    <t>DEAL-01090</t>
  </si>
  <si>
    <t>DEAL-00686</t>
  </si>
  <si>
    <t>DEAL-01575</t>
  </si>
  <si>
    <t>DEAL-01706</t>
  </si>
  <si>
    <t>DEAL-01637</t>
  </si>
  <si>
    <t>DEAL-00795</t>
  </si>
  <si>
    <t>DEAL-00267</t>
  </si>
  <si>
    <t>DEAL-01681</t>
  </si>
  <si>
    <t>DEAL-01612</t>
  </si>
  <si>
    <t>DEAL-01480</t>
  </si>
  <si>
    <t>DEAL-01850</t>
  </si>
  <si>
    <t>DEAL-00514</t>
  </si>
  <si>
    <t>DEAL-00436</t>
  </si>
  <si>
    <t>DEAL-00910</t>
  </si>
  <si>
    <t>DEAL-01020</t>
  </si>
  <si>
    <t>DEAL-00992</t>
  </si>
  <si>
    <t>DEAL-02349</t>
  </si>
  <si>
    <t>DEAL-01384</t>
  </si>
  <si>
    <t>DEAL-02097</t>
  </si>
  <si>
    <t>DEAL-00949</t>
  </si>
  <si>
    <t>DEAL-00885</t>
  </si>
  <si>
    <t>DEAL-00476</t>
  </si>
  <si>
    <t>DEAL-00671</t>
  </si>
  <si>
    <t>DEAL-00482</t>
  </si>
  <si>
    <t>DEAL-01555</t>
  </si>
  <si>
    <t>DEAL-00422</t>
  </si>
  <si>
    <t>DEAL-02113</t>
  </si>
  <si>
    <t>DEAL-01864</t>
  </si>
  <si>
    <t>DEAL-01771</t>
  </si>
  <si>
    <t>DEAL-00445</t>
  </si>
  <si>
    <t>DEAL-01337</t>
  </si>
  <si>
    <t>DEAL-00369</t>
  </si>
  <si>
    <t>DEAL-00131</t>
  </si>
  <si>
    <t>DEAL-00680</t>
  </si>
  <si>
    <t>DEAL-01522</t>
  </si>
  <si>
    <t>DEAL-00319</t>
  </si>
  <si>
    <t>DEAL-01985</t>
  </si>
  <si>
    <t>DEAL-02317</t>
  </si>
  <si>
    <t>DEAL-00255</t>
  </si>
  <si>
    <t>DEAL-00936</t>
  </si>
  <si>
    <t>DEAL-02029</t>
  </si>
  <si>
    <t>DEAL-02428</t>
  </si>
  <si>
    <t>DEAL-00092</t>
  </si>
  <si>
    <t>DEAL-01748</t>
  </si>
  <si>
    <t>DEAL-00407</t>
  </si>
  <si>
    <t>DEAL-02319</t>
  </si>
  <si>
    <t>DEAL-01672</t>
  </si>
  <si>
    <t>DEAL-02441</t>
  </si>
  <si>
    <t>DEAL-01269</t>
  </si>
  <si>
    <t>DEAL-00264</t>
  </si>
  <si>
    <t>DEAL-02360</t>
  </si>
  <si>
    <t>DEAL-01442</t>
  </si>
  <si>
    <t>DEAL-00716</t>
  </si>
  <si>
    <t>DEAL-02118</t>
  </si>
  <si>
    <t>DEAL-00808</t>
  </si>
  <si>
    <t>DEAL-01207</t>
  </si>
  <si>
    <t>DEAL-01418</t>
  </si>
  <si>
    <t>DEAL-01476</t>
  </si>
  <si>
    <t>DEAL-01796</t>
  </si>
  <si>
    <t>DEAL-00601</t>
  </si>
  <si>
    <t>DEAL-01313</t>
  </si>
  <si>
    <t>DEAL-01843</t>
  </si>
  <si>
    <t>DEAL-01380</t>
  </si>
  <si>
    <t>DEAL-01757</t>
  </si>
  <si>
    <t>DEAL-01914</t>
  </si>
  <si>
    <t>DEAL-02443</t>
  </si>
  <si>
    <t>DEAL-01350</t>
  </si>
  <si>
    <t>DEAL-00321</t>
  </si>
  <si>
    <t>DEAL-00559</t>
  </si>
  <si>
    <t>DEAL-00376</t>
  </si>
  <si>
    <t>DEAL-01844</t>
  </si>
  <si>
    <t>DEAL-00991</t>
  </si>
  <si>
    <t>DEAL-01423</t>
  </si>
  <si>
    <t>DEAL-01995</t>
  </si>
  <si>
    <t>DEAL-01293</t>
  </si>
  <si>
    <t>DEAL-00544</t>
  </si>
  <si>
    <t>DEAL-01461</t>
  </si>
  <si>
    <t>DEAL-00004</t>
  </si>
  <si>
    <t>DEAL-00017</t>
  </si>
  <si>
    <t>DEAL-01048</t>
  </si>
  <si>
    <t>DEAL-01360</t>
  </si>
  <si>
    <t>DEAL-00029</t>
  </si>
  <si>
    <t>DEAL-01648</t>
  </si>
  <si>
    <t>DEAL-02466</t>
  </si>
  <si>
    <t>DEAL-01607</t>
  </si>
  <si>
    <t>DEAL-01429</t>
  </si>
  <si>
    <t>DEAL-02020</t>
  </si>
  <si>
    <t>DEAL-00202</t>
  </si>
  <si>
    <t>DEAL-00912</t>
  </si>
  <si>
    <t>DEAL-00815</t>
  </si>
  <si>
    <t>DEAL-01433</t>
  </si>
  <si>
    <t>DEAL-02122</t>
  </si>
  <si>
    <t>DEAL-00088</t>
  </si>
  <si>
    <t>DEAL-01559</t>
  </si>
  <si>
    <t>DEAL-01546</t>
  </si>
  <si>
    <t>DEAL-01572</t>
  </si>
  <si>
    <t>DEAL-01194</t>
  </si>
  <si>
    <t>DEAL-02215</t>
  </si>
  <si>
    <t>DEAL-02469</t>
  </si>
  <si>
    <t>DEAL-00221</t>
  </si>
  <si>
    <t>DEAL-00697</t>
  </si>
  <si>
    <t>DEAL-01201</t>
  </si>
  <si>
    <t>DEAL-00663</t>
  </si>
  <si>
    <t>DEAL-01001</t>
  </si>
  <si>
    <t>DEAL-02186</t>
  </si>
  <si>
    <t>DEAL-01983</t>
  </si>
  <si>
    <t>DEAL-00655</t>
  </si>
  <si>
    <t>DEAL-00374</t>
  </si>
  <si>
    <t>DEAL-00810</t>
  </si>
  <si>
    <t>DEAL-00119</t>
  </si>
  <si>
    <t>DEAL-01221</t>
  </si>
  <si>
    <t>DEAL-00853</t>
  </si>
  <si>
    <t>DEAL-01368</t>
  </si>
  <si>
    <t>DEAL-00836</t>
  </si>
  <si>
    <t>DEAL-01674</t>
  </si>
  <si>
    <t>DEAL-02105</t>
  </si>
  <si>
    <t>DEAL-00365</t>
  </si>
  <si>
    <t>DEAL-00524</t>
  </si>
  <si>
    <t>DEAL-01521</t>
  </si>
  <si>
    <t>DEAL-00200</t>
  </si>
  <si>
    <t>DEAL-00062</t>
  </si>
  <si>
    <t>DEAL-01616</t>
  </si>
  <si>
    <t>DEAL-00048</t>
  </si>
  <si>
    <t>DEAL-00253</t>
  </si>
  <si>
    <t>DEAL-01321</t>
  </si>
  <si>
    <t>DEAL-01471</t>
  </si>
  <si>
    <t>DEAL-01127</t>
  </si>
  <si>
    <t>DEAL-02327</t>
  </si>
  <si>
    <t>DEAL-00042</t>
  </si>
  <si>
    <t>DEAL-02033</t>
  </si>
  <si>
    <t>DEAL-02458</t>
  </si>
  <si>
    <t>DEAL-01772</t>
  </si>
  <si>
    <t>DEAL-01660</t>
  </si>
  <si>
    <t>DEAL-00315</t>
  </si>
  <si>
    <t>DEAL-01294</t>
  </si>
  <si>
    <t>DEAL-02453</t>
  </si>
  <si>
    <t>DEAL-01135</t>
  </si>
  <si>
    <t>DEAL-00981</t>
  </si>
  <si>
    <t>DEAL-02289</t>
  </si>
  <si>
    <t>DEAL-00176</t>
  </si>
  <si>
    <t>DEAL-01168</t>
  </si>
  <si>
    <t>DEAL-00952</t>
  </si>
  <si>
    <t>DEAL-01391</t>
  </si>
  <si>
    <t>DEAL-02077</t>
  </si>
  <si>
    <t>DEAL-01798</t>
  </si>
  <si>
    <t>DEAL-02074</t>
  </si>
  <si>
    <t>DEAL-02256</t>
  </si>
  <si>
    <t>DEAL-01153</t>
  </si>
  <si>
    <t>DEAL-01966</t>
  </si>
  <si>
    <t>DEAL-02449</t>
  </si>
  <si>
    <t>DEAL-00599</t>
  </si>
  <si>
    <t>DEAL-00724</t>
  </si>
  <si>
    <t>DEAL-01702</t>
  </si>
  <si>
    <t>DEAL-01810</t>
  </si>
  <si>
    <t>DEAL-02088</t>
  </si>
  <si>
    <t>DEAL-01195</t>
  </si>
  <si>
    <t>DEAL-01602</t>
  </si>
  <si>
    <t>DEAL-01875</t>
  </si>
  <si>
    <t>DEAL-01035</t>
  </si>
  <si>
    <t>DEAL-00403</t>
  </si>
  <si>
    <t>DEAL-01382</t>
  </si>
  <si>
    <t>DEAL-00822</t>
  </si>
  <si>
    <t>DEAL-00282</t>
  </si>
  <si>
    <t>DEAL-00866</t>
  </si>
  <si>
    <t>DEAL-02278</t>
  </si>
  <si>
    <t>DEAL-00999</t>
  </si>
  <si>
    <t>DEAL-01013</t>
  </si>
  <si>
    <t>DEAL-00438</t>
  </si>
  <si>
    <t>DEAL-02136</t>
  </si>
  <si>
    <t>DEAL-00576</t>
  </si>
  <si>
    <t>DEAL-01268</t>
  </si>
  <si>
    <t>DEAL-02382</t>
  </si>
  <si>
    <t>DEAL-00106</t>
  </si>
  <si>
    <t>DEAL-01291</t>
  </si>
  <si>
    <t>DEAL-01969</t>
  </si>
  <si>
    <t>DEAL-00681</t>
  </si>
  <si>
    <t>DEAL-01296</t>
  </si>
  <si>
    <t>DEAL-01952</t>
  </si>
  <si>
    <t>DEAL-00355</t>
  </si>
  <si>
    <t>DEAL-00898</t>
  </si>
  <si>
    <t>DEAL-01533</t>
  </si>
  <si>
    <t>DEAL-00687</t>
  </si>
  <si>
    <t>DEAL-01148</t>
  </si>
  <si>
    <t>DEAL-01459</t>
  </si>
  <si>
    <t>DEAL-00236</t>
  </si>
  <si>
    <t>DEAL-00133</t>
  </si>
  <si>
    <t>DEAL-01992</t>
  </si>
  <si>
    <t>DEAL-01443</t>
  </si>
  <si>
    <t>DEAL-00277</t>
  </si>
  <si>
    <t>DEAL-01200</t>
  </si>
  <si>
    <t>DEAL-01609</t>
  </si>
  <si>
    <t>DEAL-02085</t>
  </si>
  <si>
    <t>DEAL-00672</t>
  </si>
  <si>
    <t>DEAL-01306</t>
  </si>
  <si>
    <t>DEAL-01598</t>
  </si>
  <si>
    <t>DEAL-00596</t>
  </si>
  <si>
    <t>DEAL-01472</t>
  </si>
  <si>
    <t>DEAL-01267</t>
  </si>
  <si>
    <t>DEAL-00667</t>
  </si>
  <si>
    <t>DEAL-01176</t>
  </si>
  <si>
    <t>DEAL-01782</t>
  </si>
  <si>
    <t>DEAL-02346</t>
  </si>
  <si>
    <t>DEAL-01789</t>
  </si>
  <si>
    <t>DEAL-00322</t>
  </si>
  <si>
    <t>DEAL-01697</t>
  </si>
  <si>
    <t>DEAL-00882</t>
  </si>
  <si>
    <t>DEAL-02099</t>
  </si>
  <si>
    <t>DEAL-00280</t>
  </si>
  <si>
    <t>DEAL-01853</t>
  </si>
  <si>
    <t>DEAL-01824</t>
  </si>
  <si>
    <t>DEAL-01686</t>
  </si>
  <si>
    <t>DEAL-01188</t>
  </si>
  <si>
    <t>DEAL-01943</t>
  </si>
  <si>
    <t>DEAL-01720</t>
  </si>
  <si>
    <t>DEAL-00333</t>
  </si>
  <si>
    <t>DEAL-01669</t>
  </si>
  <si>
    <t>DEAL-01272</t>
  </si>
  <si>
    <t>DEAL-01300</t>
  </si>
  <si>
    <t>DEAL-00616</t>
  </si>
  <si>
    <t>DEAL-00224</t>
  </si>
  <si>
    <t>DEAL-00536</t>
  </si>
  <si>
    <t>DEAL-00989</t>
  </si>
  <si>
    <t>DEAL-02196</t>
  </si>
  <si>
    <t>DEAL-00728</t>
  </si>
  <si>
    <t>DEAL-01002</t>
  </si>
  <si>
    <t>DEAL-01571</t>
  </si>
  <si>
    <t>DEAL-00230</t>
  </si>
  <si>
    <t>DEAL-02435</t>
  </si>
  <si>
    <t>DEAL-01832</t>
  </si>
  <si>
    <t>DEAL-01275</t>
  </si>
  <si>
    <t>DEAL-02061</t>
  </si>
  <si>
    <t>DEAL-01510</t>
  </si>
  <si>
    <t>DEAL-02161</t>
  </si>
  <si>
    <t>DEAL-01357</t>
  </si>
  <si>
    <t>DEAL-01893</t>
  </si>
  <si>
    <t>DEAL-01169</t>
  </si>
  <si>
    <t>DEAL-00065</t>
  </si>
  <si>
    <t>DEAL-00723</t>
  </si>
  <si>
    <t>DEAL-01220</t>
  </si>
  <si>
    <t>DEAL-02071</t>
  </si>
  <si>
    <t>DEAL-02253</t>
  </si>
  <si>
    <t>DEAL-02272</t>
  </si>
  <si>
    <t>DEAL-02137</t>
  </si>
  <si>
    <t>DEAL-00777</t>
  </si>
  <si>
    <t>DEAL-01551</t>
  </si>
  <si>
    <t>DEAL-00931</t>
  </si>
  <si>
    <t>DEAL-00143</t>
  </si>
  <si>
    <t>DEAL-02339</t>
  </si>
  <si>
    <t>DEAL-02162</t>
  </si>
  <si>
    <t>DEAL-00409</t>
  </si>
  <si>
    <t>DEAL-00382</t>
  </si>
  <si>
    <t>DEAL-00765</t>
  </si>
  <si>
    <t>DEAL-02190</t>
  </si>
  <si>
    <t>DEAL-00437</t>
  </si>
  <si>
    <t>DEAL-00676</t>
  </si>
  <si>
    <t>DEAL-00197</t>
  </si>
  <si>
    <t>DEAL-02344</t>
  </si>
  <si>
    <t>DEAL-01827</t>
  </si>
  <si>
    <t>DEAL-01484</t>
  </si>
  <si>
    <t>DEAL-01034</t>
  </si>
  <si>
    <t>DEAL-01869</t>
  </si>
  <si>
    <t>DEAL-01868</t>
  </si>
  <si>
    <t>DEAL-00744</t>
  </si>
  <si>
    <t>DEAL-01848</t>
  </si>
  <si>
    <t>DEAL-01954</t>
  </si>
  <si>
    <t>DEAL-02419</t>
  </si>
  <si>
    <t>DEAL-01475</t>
  </si>
  <si>
    <t>DEAL-00525</t>
  </si>
  <si>
    <t>DEAL-01081</t>
  </si>
  <si>
    <t>DEAL-00549</t>
  </si>
  <si>
    <t>DEAL-00532</t>
  </si>
  <si>
    <t>DEAL-00926</t>
  </si>
  <si>
    <t>DEAL-00868</t>
  </si>
  <si>
    <t>DEAL-01330</t>
  </si>
  <si>
    <t>DEAL-00546</t>
  </si>
  <si>
    <t>DEAL-00584</t>
  </si>
  <si>
    <t>DEAL-02351</t>
  </si>
  <si>
    <t>DEAL-00772</t>
  </si>
  <si>
    <t>DEAL-00909</t>
  </si>
  <si>
    <t>DEAL-02446</t>
  </si>
  <si>
    <t>DEAL-01949</t>
  </si>
  <si>
    <t>DEAL-01921</t>
  </si>
  <si>
    <t>DEAL-01831</t>
  </si>
  <si>
    <t>DEAL-00348</t>
  </si>
  <si>
    <t>DEAL-00074</t>
  </si>
  <si>
    <t>DEAL-01615</t>
  </si>
  <si>
    <t>DEAL-00711</t>
  </si>
  <si>
    <t>DEAL-01919</t>
  </si>
  <si>
    <t>DEAL-01012</t>
  </si>
  <si>
    <t>DEAL-02433</t>
  </si>
  <si>
    <t>DEAL-02087</t>
  </si>
  <si>
    <t>DEAL-00944</t>
  </si>
  <si>
    <t>DEAL-00007</t>
  </si>
  <si>
    <t>DEAL-01210</t>
  </si>
  <si>
    <t>DEAL-00252</t>
  </si>
  <si>
    <t>DEAL-00326</t>
  </si>
  <si>
    <t>DEAL-00400</t>
  </si>
  <si>
    <t>DEAL-02309</t>
  </si>
  <si>
    <t>DEAL-02374</t>
  </si>
  <si>
    <t>DEAL-01975</t>
  </si>
  <si>
    <t>DEAL-01928</t>
  </si>
  <si>
    <t>DEAL-01053</t>
  </si>
  <si>
    <t>DEAL-01993</t>
  </si>
  <si>
    <t>DEAL-02320</t>
  </si>
  <si>
    <t>DEAL-01739</t>
  </si>
  <si>
    <t>DEAL-00205</t>
  </si>
  <si>
    <t>DEAL-01920</t>
  </si>
  <si>
    <t>DEAL-01749</t>
  </si>
  <si>
    <t>DEAL-01767</t>
  </si>
  <si>
    <t>DEAL-00507</t>
  </si>
  <si>
    <t>DEAL-00977</t>
  </si>
  <si>
    <t>DEAL-00763</t>
  </si>
  <si>
    <t>DEAL-00889</t>
  </si>
  <si>
    <t>DEAL-00126</t>
  </si>
  <si>
    <t>DEAL-00300</t>
  </si>
  <si>
    <t>DEAL-01011</t>
  </si>
  <si>
    <t>DEAL-01155</t>
  </si>
  <si>
    <t>DEAL-00392</t>
  </si>
  <si>
    <t>DEAL-01601</t>
  </si>
  <si>
    <t>DEAL-00875</t>
  </si>
  <si>
    <t>DEAL-01495</t>
  </si>
  <si>
    <t>DEAL-00915</t>
  </si>
  <si>
    <t>DEAL-01863</t>
  </si>
  <si>
    <t>DEAL-02307</t>
  </si>
  <si>
    <t>DEAL-01173</t>
  </si>
  <si>
    <t>DEAL-01584</t>
  </si>
  <si>
    <t>DEAL-02492</t>
  </si>
  <si>
    <t>DEAL-02183</t>
  </si>
  <si>
    <t>DEAL-01487</t>
  </si>
  <si>
    <t>DEAL-01214</t>
  </si>
  <si>
    <t>DEAL-00533</t>
  </si>
  <si>
    <t>DEAL-01723</t>
  </si>
  <si>
    <t>DEAL-00110</t>
  </si>
  <si>
    <t>DEAL-00331</t>
  </si>
  <si>
    <t>DEAL-02037</t>
  </si>
  <si>
    <t>DEAL-01862</t>
  </si>
  <si>
    <t>DEAL-00361</t>
  </si>
  <si>
    <t>DEAL-00073</t>
  </si>
  <si>
    <t>DEAL-02106</t>
  </si>
  <si>
    <t>DEAL-00550</t>
  </si>
  <si>
    <t>DEAL-00660</t>
  </si>
  <si>
    <t>DEAL-01927</t>
  </si>
  <si>
    <t>DEAL-01390</t>
  </si>
  <si>
    <t>DEAL-01411</t>
  </si>
  <si>
    <t>DEAL-00844</t>
  </si>
  <si>
    <t>DEAL-02181</t>
  </si>
  <si>
    <t>DEAL-00503</t>
  </si>
  <si>
    <t>DEAL-01042</t>
  </si>
  <si>
    <t>DEAL-00945</t>
  </si>
  <si>
    <t>DEAL-01395</t>
  </si>
  <si>
    <t>DEAL-01926</t>
  </si>
  <si>
    <t>DEAL-00713</t>
  </si>
  <si>
    <t>DEAL-00340</t>
  </si>
  <si>
    <t>DEAL-02335</t>
  </si>
  <si>
    <t>DEAL-01698</t>
  </si>
  <si>
    <t>DEAL-00984</t>
  </si>
  <si>
    <t>DEAL-00569</t>
  </si>
  <si>
    <t>DEAL-00669</t>
  </si>
  <si>
    <t>DEAL-01785</t>
  </si>
  <si>
    <t>DEAL-01878</t>
  </si>
  <si>
    <t>DEAL-00582</t>
  </si>
  <si>
    <t>DEAL-01699</t>
  </si>
  <si>
    <t>DEAL-01518</t>
  </si>
  <si>
    <t>DEAL-00729</t>
  </si>
  <si>
    <t>DEAL-00804</t>
  </si>
  <si>
    <t>DEAL-01561</t>
  </si>
  <si>
    <t>DEAL-01528</t>
  </si>
  <si>
    <t>DEAL-01570</t>
  </si>
  <si>
    <t>DEAL-01776</t>
  </si>
  <si>
    <t>DEAL-00063</t>
  </si>
  <si>
    <t>DEAL-00705</t>
  </si>
  <si>
    <t>DEAL-00512</t>
  </si>
  <si>
    <t>DEAL-02089</t>
  </si>
  <si>
    <t>DEAL-01446</t>
  </si>
  <si>
    <t>DEAL-02173</t>
  </si>
  <si>
    <t>DEAL-02363</t>
  </si>
  <si>
    <t>DEAL-01941</t>
  </si>
  <si>
    <t>DEAL-00577</t>
  </si>
  <si>
    <t>DEAL-01144</t>
  </si>
  <si>
    <t>DEAL-01112</t>
  </si>
  <si>
    <t>DEAL-01512</t>
  </si>
  <si>
    <t>DEAL-00899</t>
  </si>
  <si>
    <t>DEAL-02340</t>
  </si>
  <si>
    <t>DEAL-00149</t>
  </si>
  <si>
    <t>DEAL-01280</t>
  </si>
  <si>
    <t>DEAL-01006</t>
  </si>
  <si>
    <t>DEAL-00820</t>
  </si>
  <si>
    <t>DEAL-02237</t>
  </si>
  <si>
    <t>DEAL-02262</t>
  </si>
  <si>
    <t>DEAL-00055</t>
  </si>
  <si>
    <t>DEAL-02065</t>
  </si>
  <si>
    <t>DEAL-00486</t>
  </si>
  <si>
    <t>DEAL-01626</t>
  </si>
  <si>
    <t>DEAL-02229</t>
  </si>
  <si>
    <t>DEAL-01314</t>
  </si>
  <si>
    <t>DEAL-01030</t>
  </si>
  <si>
    <t>DEAL-02008</t>
  </si>
  <si>
    <t>DEAL-02439</t>
  </si>
  <si>
    <t>DEAL-02480</t>
  </si>
  <si>
    <t>DEAL-00892</t>
  </si>
  <si>
    <t>DEAL-00405</t>
  </si>
  <si>
    <t>DEAL-01693</t>
  </si>
  <si>
    <t>DEAL-00764</t>
  </si>
  <si>
    <t>DEAL-00386</t>
  </si>
  <si>
    <t>DEAL-01044</t>
  </si>
  <si>
    <t>DEAL-02264</t>
  </si>
  <si>
    <t>DEAL-02004</t>
  </si>
  <si>
    <t>DEAL-01111</t>
  </si>
  <si>
    <t>DEAL-00606</t>
  </si>
  <si>
    <t>DEAL-01933</t>
  </si>
  <si>
    <t>DEAL-00095</t>
  </si>
  <si>
    <t>DEAL-00927</t>
  </si>
  <si>
    <t>DEAL-00521</t>
  </si>
  <si>
    <t>DEAL-00534</t>
  </si>
  <si>
    <t>DEAL-02312</t>
  </si>
  <si>
    <t>DEAL-02318</t>
  </si>
  <si>
    <t>DEAL-01580</t>
  </si>
  <si>
    <t>DEAL-02165</t>
  </si>
  <si>
    <t>DEAL-00162</t>
  </si>
  <si>
    <t>DEAL-01441</t>
  </si>
  <si>
    <t>DEAL-01109</t>
  </si>
  <si>
    <t>DEAL-01630</t>
  </si>
  <si>
    <t>DEAL-00412</t>
  </si>
  <si>
    <t>DEAL-02323</t>
  </si>
  <si>
    <t>DEAL-01623</t>
  </si>
  <si>
    <t>DEAL-02054</t>
  </si>
  <si>
    <t>DEAL-00964</t>
  </si>
  <si>
    <t>DEAL-01242</t>
  </si>
  <si>
    <t>DEAL-00235</t>
  </si>
  <si>
    <t>DEAL-01415</t>
  </si>
  <si>
    <t>DEAL-01170</t>
  </si>
  <si>
    <t>DEAL-00093</t>
  </si>
  <si>
    <t>DEAL-00865</t>
  </si>
  <si>
    <t>DEAL-00396</t>
  </si>
  <si>
    <t>DEAL-02012</t>
  </si>
  <si>
    <t>DEAL-01452</t>
  </si>
  <si>
    <t>DEAL-01719</t>
  </si>
  <si>
    <t>DEAL-00492</t>
  </si>
  <si>
    <t>DEAL-02030</t>
  </si>
  <si>
    <t>DEAL-01450</t>
  </si>
  <si>
    <t>DEAL-01710</t>
  </si>
  <si>
    <t>DEAL-01514</t>
  </si>
  <si>
    <t>DEAL-01773</t>
  </si>
  <si>
    <t>DEAL-01064</t>
  </si>
  <si>
    <t>DEAL-00324</t>
  </si>
  <si>
    <t>DEAL-00918</t>
  </si>
  <si>
    <t>DEAL-01003</t>
  </si>
  <si>
    <t>DEAL-00002</t>
  </si>
  <si>
    <t>DEAL-00609</t>
  </si>
  <si>
    <t>DEAL-00019</t>
  </si>
  <si>
    <t>DEAL-01593</t>
  </si>
  <si>
    <t>DEAL-00706</t>
  </si>
  <si>
    <t>DEAL-00307</t>
  </si>
  <si>
    <t>DEAL-01315</t>
  </si>
  <si>
    <t>DEAL-01080</t>
  </si>
  <si>
    <t>DEAL-02294</t>
  </si>
  <si>
    <t>DEAL-02086</t>
  </si>
  <si>
    <t>DEAL-01096</t>
  </si>
  <si>
    <t>DEAL-01873</t>
  </si>
  <si>
    <t>DEAL-00212</t>
  </si>
  <si>
    <t>DEAL-00651</t>
  </si>
  <si>
    <t>DEAL-02411</t>
  </si>
  <si>
    <t>DEAL-00779</t>
  </si>
  <si>
    <t>DEAL-02146</t>
  </si>
  <si>
    <t>DEAL-01421</t>
  </si>
  <si>
    <t>DEAL-00611</t>
  </si>
  <si>
    <t>DEAL-00471</t>
  </si>
  <si>
    <t>DEAL-02072</t>
  </si>
  <si>
    <t>DEAL-00591</t>
  </si>
  <si>
    <t>DEAL-01058</t>
  </si>
  <si>
    <t>DEAL-01729</t>
  </si>
  <si>
    <t>DEAL-01836</t>
  </si>
  <si>
    <t>DEAL-01762</t>
  </si>
  <si>
    <t>DEAL-01191</t>
  </si>
  <si>
    <t>DEAL-00659</t>
  </si>
  <si>
    <t>DEAL-00308</t>
  </si>
  <si>
    <t>DEAL-00562</t>
  </si>
  <si>
    <t>DEAL-00091</t>
  </si>
  <si>
    <t>DEAL-01713</t>
  </si>
  <si>
    <t>DEAL-01243</t>
  </si>
  <si>
    <t>DEAL-02329</t>
  </si>
  <si>
    <t>DEAL-01700</t>
  </si>
  <si>
    <t>DEAL-01684</t>
  </si>
  <si>
    <t>DEAL-00399</t>
  </si>
  <si>
    <t>DEAL-00281</t>
  </si>
  <si>
    <t>DEAL-00967</t>
  </si>
  <si>
    <t>DEAL-00433</t>
  </si>
  <si>
    <t>DEAL-00756</t>
  </si>
  <si>
    <t>DEAL-00156</t>
  </si>
  <si>
    <t>DEAL-02123</t>
  </si>
  <si>
    <t>DEAL-01398</t>
  </si>
  <si>
    <t>DEAL-02432</t>
  </si>
  <si>
    <t>DEAL-01389</t>
  </si>
  <si>
    <t>DEAL-00198</t>
  </si>
  <si>
    <t>DEAL-00461</t>
  </si>
  <si>
    <t>DEAL-02265</t>
  </si>
  <si>
    <t>DEAL-00137</t>
  </si>
  <si>
    <t>DEAL-01393</t>
  </si>
  <si>
    <t>DEAL-00104</t>
  </si>
  <si>
    <t>DEAL-01158</t>
  </si>
  <si>
    <t>DEAL-00888</t>
  </si>
  <si>
    <t>DEAL-00789</t>
  </si>
  <si>
    <t>DEAL-00066</t>
  </si>
  <si>
    <t>DEAL-01097</t>
  </si>
  <si>
    <t>DEAL-00495</t>
  </si>
  <si>
    <t>DEAL-02239</t>
  </si>
  <si>
    <t>DEAL-00172</t>
  </si>
  <si>
    <t>DEAL-02081</t>
  </si>
  <si>
    <t>DEAL-01351</t>
  </si>
  <si>
    <t>DEAL-00049</t>
  </si>
  <si>
    <t>DEAL-02220</t>
  </si>
  <si>
    <t>DEAL-02110</t>
  </si>
  <si>
    <t>DEAL-01326</t>
  </si>
  <si>
    <t>DEAL-00075</t>
  </si>
  <si>
    <t>DEAL-02135</t>
  </si>
  <si>
    <t>DEAL-00059</t>
  </si>
  <si>
    <t>DEAL-00034</t>
  </si>
  <si>
    <t>DEAL-01023</t>
  </si>
  <si>
    <t>DEAL-01997</t>
  </si>
  <si>
    <t>DEAL-00451</t>
  </si>
  <si>
    <t>DEAL-02111</t>
  </si>
  <si>
    <t>DEAL-01646</t>
  </si>
  <si>
    <t>DEAL-00557</t>
  </si>
  <si>
    <t>DEAL-00490</t>
  </si>
  <si>
    <t>DEAL-02269</t>
  </si>
  <si>
    <t>DEAL-01238</t>
  </si>
  <si>
    <t>DEAL-01833</t>
  </si>
  <si>
    <t>DEAL-01009</t>
  </si>
  <si>
    <t>DEAL-02424</t>
  </si>
  <si>
    <t>DEAL-02276</t>
  </si>
  <si>
    <t>DEAL-00179</t>
  </si>
  <si>
    <t>DEAL-01117</t>
  </si>
  <si>
    <t>DEAL-02193</t>
  </si>
  <si>
    <t>DEAL-02288</t>
  </si>
  <si>
    <t>DEAL-00297</t>
  </si>
  <si>
    <t>DEAL-01814</t>
  </si>
  <si>
    <t>DEAL-02388</t>
  </si>
  <si>
    <t>DEAL-00688</t>
  </si>
  <si>
    <t>DEAL-00443</t>
  </si>
  <si>
    <t>DEAL-02163</t>
  </si>
  <si>
    <t>DEAL-01105</t>
  </si>
  <si>
    <t>DEAL-00440</t>
  </si>
  <si>
    <t>DEAL-00010</t>
  </si>
  <si>
    <t>DEAL-00389</t>
  </si>
  <si>
    <t>DEAL-02090</t>
  </si>
  <si>
    <t>DEAL-00161</t>
  </si>
  <si>
    <t>DEAL-01842</t>
  </si>
  <si>
    <t>DEAL-01072</t>
  </si>
  <si>
    <t>DEAL-00523</t>
  </si>
  <si>
    <t>DEAL-00579</t>
  </si>
  <si>
    <t>DEAL-00620</t>
  </si>
  <si>
    <t>DEAL-01017</t>
  </si>
  <si>
    <t>DEAL-01374</t>
  </si>
  <si>
    <t>DEAL-01768</t>
  </si>
  <si>
    <t>DEAL-00610</t>
  </si>
  <si>
    <t>DEAL-01311</t>
  </si>
  <si>
    <t>DEAL-00316</t>
  </si>
  <si>
    <t>DEAL-01543</t>
  </si>
  <si>
    <t>DEAL-01136</t>
  </si>
  <si>
    <t>DEAL-01625</t>
  </si>
  <si>
    <t>DEAL-00366</t>
  </si>
  <si>
    <t>DEAL-01708</t>
  </si>
  <si>
    <t>DEAL-01102</t>
  </si>
  <si>
    <t>DEAL-00809</t>
  </si>
  <si>
    <t>DEAL-00459</t>
  </si>
  <si>
    <t>DEAL-00654</t>
  </si>
  <si>
    <t>DEAL-01734</t>
  </si>
  <si>
    <t>DEAL-02018</t>
  </si>
  <si>
    <t>DEAL-00271</t>
  </si>
  <si>
    <t>DEAL-00082</t>
  </si>
  <si>
    <t>DEAL-02171</t>
  </si>
  <si>
    <t>DEAL-01370</t>
  </si>
  <si>
    <t>DEAL-01029</t>
  </si>
  <si>
    <t>DEAL-01095</t>
  </si>
  <si>
    <t>DEAL-00811</t>
  </si>
  <si>
    <t>DEAL-01861</t>
  </si>
  <si>
    <t>DEAL-00708</t>
  </si>
  <si>
    <t>DEAL-00275</t>
  </si>
  <si>
    <t>DEAL-00893</t>
  </si>
  <si>
    <t>DEAL-01371</t>
  </si>
  <si>
    <t>DEAL-02409</t>
  </si>
  <si>
    <t>DEAL-01026</t>
  </si>
  <si>
    <t>DEAL-02134</t>
  </si>
  <si>
    <t>DEAL-01945</t>
  </si>
  <si>
    <t>DEAL-00823</t>
  </si>
  <si>
    <t>DEAL-02397</t>
  </si>
  <si>
    <t>DEAL-00310</t>
  </si>
  <si>
    <t>DEAL-01488</t>
  </si>
  <si>
    <t>DEAL-01830</t>
  </si>
  <si>
    <t>DEAL-02406</t>
  </si>
  <si>
    <t>DEAL-00358</t>
  </si>
  <si>
    <t>DEAL-01500</t>
  </si>
  <si>
    <t>DEAL-00258</t>
  </si>
  <si>
    <t>DEAL-01417</t>
  </si>
  <si>
    <t>DEAL-00767</t>
  </si>
  <si>
    <t>DEAL-01569</t>
  </si>
  <si>
    <t>DEAL-00144</t>
  </si>
  <si>
    <t>DEAL-00103</t>
  </si>
  <si>
    <t>DEAL-01765</t>
  </si>
  <si>
    <t>DEAL-01285</t>
  </si>
  <si>
    <t>DEAL-01010</t>
  </si>
  <si>
    <t>DEAL-01635</t>
  </si>
  <si>
    <t>DEAL-00617</t>
  </si>
  <si>
    <t>DEAL-02445</t>
  </si>
  <si>
    <t>DEAL-01627</t>
  </si>
  <si>
    <t>DEAL-02300</t>
  </si>
  <si>
    <t>DEAL-01303</t>
  </si>
  <si>
    <t>DEAL-00710</t>
  </si>
  <si>
    <t>DEAL-01778</t>
  </si>
  <si>
    <t>DEAL-02414</t>
  </si>
  <si>
    <t>DEAL-02238</t>
  </si>
  <si>
    <t>DEAL-02387</t>
  </si>
  <si>
    <t>DEAL-02404</t>
  </si>
  <si>
    <t>DEAL-01408</t>
  </si>
  <si>
    <t>DEAL-00783</t>
  </si>
  <si>
    <t>DEAL-00519</t>
  </si>
  <si>
    <t>DEAL-00380</t>
  </si>
  <si>
    <t>DEAL-01185</t>
  </si>
  <si>
    <t>DEAL-01094</t>
  </si>
  <si>
    <t>DEAL-02019</t>
  </si>
  <si>
    <t>DEAL-02178</t>
  </si>
  <si>
    <t>DEAL-01633</t>
  </si>
  <si>
    <t>DEAL-02303</t>
  </si>
  <si>
    <t>DEAL-00148</t>
  </si>
  <si>
    <t>DEAL-01530</t>
  </si>
  <si>
    <t>DEAL-00641</t>
  </si>
  <si>
    <t>DEAL-01492</t>
  </si>
  <si>
    <t>DEAL-00035</t>
  </si>
  <si>
    <t>DEAL-02039</t>
  </si>
  <si>
    <t>DEAL-01497</t>
  </si>
  <si>
    <t>DEAL-01425</t>
  </si>
  <si>
    <t>DEAL-00046</t>
  </si>
  <si>
    <t>DEAL-01805</t>
  </si>
  <si>
    <t>DEAL-00124</t>
  </si>
  <si>
    <t>DEAL-00489</t>
  </si>
  <si>
    <t>DEAL-01292</t>
  </si>
  <si>
    <t>DEAL-00452</t>
  </si>
  <si>
    <t>DEAL-01675</t>
  </si>
  <si>
    <t>DEAL-00547</t>
  </si>
  <si>
    <t>DEAL-01525</t>
  </si>
  <si>
    <t>DEAL-01361</t>
  </si>
  <si>
    <t>DEAL-01462</t>
  </si>
  <si>
    <t>DEAL-01215</t>
  </si>
  <si>
    <t>DEAL-01577</t>
  </si>
  <si>
    <t>DEAL-02295</t>
  </si>
  <si>
    <t>DEAL-02286</t>
  </si>
  <si>
    <t>DEAL-01817</t>
  </si>
  <si>
    <t>DEAL-01549</t>
  </si>
  <si>
    <t>DEAL-00916</t>
  </si>
  <si>
    <t>DEAL-00475</t>
  </si>
  <si>
    <t>DEAL-00766</t>
  </si>
  <si>
    <t>DEAL-00919</t>
  </si>
  <si>
    <t>DEAL-01856</t>
  </si>
  <si>
    <t>DEAL-01364</t>
  </si>
  <si>
    <t>DEAL-00132</t>
  </si>
  <si>
    <t>DEAL-02128</t>
  </si>
  <si>
    <t>DEAL-00983</t>
  </si>
  <si>
    <t>DEAL-00278</t>
  </si>
  <si>
    <t>DEAL-02270</t>
  </si>
  <si>
    <t>DEAL-01498</t>
  </si>
  <si>
    <t>DEAL-00050</t>
  </si>
  <si>
    <t>DEAL-02254</t>
  </si>
  <si>
    <t>DEAL-01911</t>
  </si>
  <si>
    <t>DEAL-00301</t>
  </si>
  <si>
    <t>DEAL-01780</t>
  </si>
  <si>
    <t>DEAL-02051</t>
  </si>
  <si>
    <t>DEAL-00683</t>
  </si>
  <si>
    <t>DEAL-00917</t>
  </si>
  <si>
    <t>DEAL-01372</t>
  </si>
  <si>
    <t>DEAL-00907</t>
  </si>
  <si>
    <t>DEAL-01137</t>
  </si>
  <si>
    <t>DEAL-02316</t>
  </si>
  <si>
    <t>DEAL-01688</t>
  </si>
  <si>
    <t>DEAL-00467</t>
  </si>
  <si>
    <t>DEAL-00643</t>
  </si>
  <si>
    <t>DEAL-01138</t>
  </si>
  <si>
    <t>DEAL-00733</t>
  </si>
  <si>
    <t>DEAL-00960</t>
  </si>
  <si>
    <t>DEAL-01329</t>
  </si>
  <si>
    <t>DEAL-00018</t>
  </si>
  <si>
    <t>DEAL-01174</t>
  </si>
  <si>
    <t>DEAL-01323</t>
  </si>
  <si>
    <t>DEAL-01663</t>
  </si>
  <si>
    <t>DEAL-01784</t>
  </si>
  <si>
    <t>DEAL-01799</t>
  </si>
  <si>
    <t>DEAL-01770</t>
  </si>
  <si>
    <t>Ticket_ID</t>
  </si>
  <si>
    <t>Issue_Type</t>
  </si>
  <si>
    <t>Priority</t>
  </si>
  <si>
    <t>Resolved_Date</t>
  </si>
  <si>
    <t>Resolution_Hours</t>
  </si>
  <si>
    <t>SLA_Target_Hours</t>
  </si>
  <si>
    <t>SLA_Met</t>
  </si>
  <si>
    <t>Status</t>
  </si>
  <si>
    <t>Assigned_Agent</t>
  </si>
  <si>
    <t>Contact_Channel</t>
  </si>
  <si>
    <t>Customer_Satisfaction</t>
  </si>
  <si>
    <t>TKT-01100</t>
  </si>
  <si>
    <t>Access Permission Issue</t>
  </si>
  <si>
    <t>Low</t>
  </si>
  <si>
    <t>No</t>
  </si>
  <si>
    <t>Resolved</t>
  </si>
  <si>
    <t>TKT-02536</t>
  </si>
  <si>
    <t>Feature Request</t>
  </si>
  <si>
    <t>Medium</t>
  </si>
  <si>
    <t>Ananya Joshi</t>
  </si>
  <si>
    <t>Chat</t>
  </si>
  <si>
    <t>TKT-00220</t>
  </si>
  <si>
    <t>Yes</t>
  </si>
  <si>
    <t>Rahul Das</t>
  </si>
  <si>
    <t>Phone</t>
  </si>
  <si>
    <t>TKT-02139</t>
  </si>
  <si>
    <t>Login Issue</t>
  </si>
  <si>
    <t>Escalated</t>
  </si>
  <si>
    <t>Pooja Iyer</t>
  </si>
  <si>
    <t>TKT-01110</t>
  </si>
  <si>
    <t>Critical</t>
  </si>
  <si>
    <t>In Progress</t>
  </si>
  <si>
    <t>Divya Reddy</t>
  </si>
  <si>
    <t>TKT-03054</t>
  </si>
  <si>
    <t>Onboarding Support</t>
  </si>
  <si>
    <t>Pooja Patel</t>
  </si>
  <si>
    <t>Portal</t>
  </si>
  <si>
    <t>TKT-00333</t>
  </si>
  <si>
    <t>Security Alert</t>
  </si>
  <si>
    <t>Pooja Gupta</t>
  </si>
  <si>
    <t>TKT-01472</t>
  </si>
  <si>
    <t>Manish Nair</t>
  </si>
  <si>
    <t>TKT-01841</t>
  </si>
  <si>
    <t>API Integration Failure</t>
  </si>
  <si>
    <t>Priya Nair</t>
  </si>
  <si>
    <t>TKT-00445</t>
  </si>
  <si>
    <t>Dashboard Bug</t>
  </si>
  <si>
    <t>High</t>
  </si>
  <si>
    <t>Open</t>
  </si>
  <si>
    <t>TKT-03379</t>
  </si>
  <si>
    <t>Billing Query</t>
  </si>
  <si>
    <t>TKT-01818</t>
  </si>
  <si>
    <t>TKT-00367</t>
  </si>
  <si>
    <t>Report Inaccuracy</t>
  </si>
  <si>
    <t>Neha Gupta</t>
  </si>
  <si>
    <t>TKT-03060</t>
  </si>
  <si>
    <t>Performance Lag</t>
  </si>
  <si>
    <t>Deepika Mishra</t>
  </si>
  <si>
    <t>TKT-03487</t>
  </si>
  <si>
    <t>Data Sync Error</t>
  </si>
  <si>
    <t>TKT-03741</t>
  </si>
  <si>
    <t>TKT-01257</t>
  </si>
  <si>
    <t>Nikhil Mehta</t>
  </si>
  <si>
    <t>TKT-01790</t>
  </si>
  <si>
    <t>Server Downtime</t>
  </si>
  <si>
    <t>TKT-02799</t>
  </si>
  <si>
    <t>Kavya Iyer</t>
  </si>
  <si>
    <t>TKT-00635</t>
  </si>
  <si>
    <t>TKT-01805</t>
  </si>
  <si>
    <t>TKT-03253</t>
  </si>
  <si>
    <t>TKT-00709</t>
  </si>
  <si>
    <t>TKT-00343</t>
  </si>
  <si>
    <t>TKT-03567</t>
  </si>
  <si>
    <t>TKT-02295</t>
  </si>
  <si>
    <t>TKT-02678</t>
  </si>
  <si>
    <t>Siddharth Reddy</t>
  </si>
  <si>
    <t>TKT-03086</t>
  </si>
  <si>
    <t>TKT-00950</t>
  </si>
  <si>
    <t>TKT-02137</t>
  </si>
  <si>
    <t>TKT-03836</t>
  </si>
  <si>
    <t>TKT-03334</t>
  </si>
  <si>
    <t>TKT-03902</t>
  </si>
  <si>
    <t>TKT-02387</t>
  </si>
  <si>
    <t>Karan Gupta</t>
  </si>
  <si>
    <t>TKT-03282</t>
  </si>
  <si>
    <t>TKT-03494</t>
  </si>
  <si>
    <t>Arjun Mishra</t>
  </si>
  <si>
    <t>TKT-02380</t>
  </si>
  <si>
    <t>Priya Patel</t>
  </si>
  <si>
    <t>TKT-03553</t>
  </si>
  <si>
    <t>TKT-03523</t>
  </si>
  <si>
    <t>TKT-03577</t>
  </si>
  <si>
    <t>TKT-00070</t>
  </si>
  <si>
    <t>TKT-02556</t>
  </si>
  <si>
    <t>TKT-01161</t>
  </si>
  <si>
    <t>TKT-03580</t>
  </si>
  <si>
    <t>TKT-03327</t>
  </si>
  <si>
    <t>TKT-03342</t>
  </si>
  <si>
    <t>TKT-00112</t>
  </si>
  <si>
    <t>TKT-01800</t>
  </si>
  <si>
    <t>TKT-02619</t>
  </si>
  <si>
    <t>Karan Rao</t>
  </si>
  <si>
    <t>TKT-03979</t>
  </si>
  <si>
    <t>TKT-00369</t>
  </si>
  <si>
    <t>TKT-02046</t>
  </si>
  <si>
    <t>TKT-02983</t>
  </si>
  <si>
    <t>TKT-02680</t>
  </si>
  <si>
    <t>Divya Verma</t>
  </si>
  <si>
    <t>TKT-00221</t>
  </si>
  <si>
    <t>TKT-01719</t>
  </si>
  <si>
    <t>TKT-02963</t>
  </si>
  <si>
    <t>TKT-00253</t>
  </si>
  <si>
    <t>TKT-03096</t>
  </si>
  <si>
    <t>TKT-03957</t>
  </si>
  <si>
    <t>TKT-01175</t>
  </si>
  <si>
    <t>TKT-02787</t>
  </si>
  <si>
    <t>TKT-02896</t>
  </si>
  <si>
    <t>TKT-01696</t>
  </si>
  <si>
    <t>TKT-02414</t>
  </si>
  <si>
    <t>TKT-01537</t>
  </si>
  <si>
    <t>TKT-03857</t>
  </si>
  <si>
    <t>TKT-02796</t>
  </si>
  <si>
    <t>TKT-02458</t>
  </si>
  <si>
    <t>TKT-00276</t>
  </si>
  <si>
    <t>TKT-03056</t>
  </si>
  <si>
    <t>TKT-03271</t>
  </si>
  <si>
    <t>TKT-02121</t>
  </si>
  <si>
    <t>TKT-00076</t>
  </si>
  <si>
    <t>TKT-00203</t>
  </si>
  <si>
    <t>TKT-02610</t>
  </si>
  <si>
    <t>TKT-01336</t>
  </si>
  <si>
    <t>TKT-00752</t>
  </si>
  <si>
    <t>TKT-00441</t>
  </si>
  <si>
    <t>TKT-02567</t>
  </si>
  <si>
    <t>TKT-02982</t>
  </si>
  <si>
    <t>TKT-03650</t>
  </si>
  <si>
    <t>TKT-00929</t>
  </si>
  <si>
    <t>TKT-01508</t>
  </si>
  <si>
    <t>TKT-02182</t>
  </si>
  <si>
    <t>TKT-02062</t>
  </si>
  <si>
    <t>TKT-00874</t>
  </si>
  <si>
    <t>TKT-03430</t>
  </si>
  <si>
    <t>TKT-03132</t>
  </si>
  <si>
    <t>TKT-01208</t>
  </si>
  <si>
    <t>TKT-03384</t>
  </si>
  <si>
    <t>TKT-00614</t>
  </si>
  <si>
    <t>TKT-01159</t>
  </si>
  <si>
    <t>TKT-00467</t>
  </si>
  <si>
    <t>TKT-02005</t>
  </si>
  <si>
    <t>TKT-00202</t>
  </si>
  <si>
    <t>TKT-02224</t>
  </si>
  <si>
    <t>TKT-00479</t>
  </si>
  <si>
    <t>TKT-02827</t>
  </si>
  <si>
    <t>TKT-02698</t>
  </si>
  <si>
    <t>Nikhil Reddy</t>
  </si>
  <si>
    <t>TKT-02656</t>
  </si>
  <si>
    <t>TKT-00233</t>
  </si>
  <si>
    <t>TKT-01140</t>
  </si>
  <si>
    <t>TKT-02859</t>
  </si>
  <si>
    <t>TKT-03682</t>
  </si>
  <si>
    <t>TKT-02459</t>
  </si>
  <si>
    <t>TKT-02296</t>
  </si>
  <si>
    <t>TKT-02792</t>
  </si>
  <si>
    <t>TKT-02492</t>
  </si>
  <si>
    <t>TKT-01444</t>
  </si>
  <si>
    <t>TKT-02070</t>
  </si>
  <si>
    <t>TKT-00560</t>
  </si>
  <si>
    <t>TKT-00121</t>
  </si>
  <si>
    <t>TKT-00569</t>
  </si>
  <si>
    <t>TKT-01176</t>
  </si>
  <si>
    <t>TKT-03066</t>
  </si>
  <si>
    <t>TKT-03827</t>
  </si>
  <si>
    <t>TKT-02297</t>
  </si>
  <si>
    <t>TKT-01793</t>
  </si>
  <si>
    <t>TKT-01910</t>
  </si>
  <si>
    <t>TKT-01731</t>
  </si>
  <si>
    <t>TKT-03322</t>
  </si>
  <si>
    <t>TKT-03107</t>
  </si>
  <si>
    <t>TKT-01772</t>
  </si>
  <si>
    <t>TKT-03649</t>
  </si>
  <si>
    <t>TKT-00236</t>
  </si>
  <si>
    <t>TKT-00589</t>
  </si>
  <si>
    <t>TKT-00518</t>
  </si>
  <si>
    <t>TKT-00464</t>
  </si>
  <si>
    <t>TKT-00692</t>
  </si>
  <si>
    <t>TKT-03292</t>
  </si>
  <si>
    <t>TKT-02260</t>
  </si>
  <si>
    <t>TKT-01514</t>
  </si>
  <si>
    <t>TKT-01948</t>
  </si>
  <si>
    <t>TKT-03554</t>
  </si>
  <si>
    <t>TKT-01217</t>
  </si>
  <si>
    <t>TKT-01814</t>
  </si>
  <si>
    <t>TKT-00986</t>
  </si>
  <si>
    <t>TKT-00397</t>
  </si>
  <si>
    <t>TKT-00905</t>
  </si>
  <si>
    <t>TKT-00073</t>
  </si>
  <si>
    <t>TKT-00146</t>
  </si>
  <si>
    <t>TKT-03047</t>
  </si>
  <si>
    <t>TKT-01119</t>
  </si>
  <si>
    <t>TKT-00809</t>
  </si>
  <si>
    <t>TKT-01271</t>
  </si>
  <si>
    <t>TKT-02240</t>
  </si>
  <si>
    <t>TKT-00853</t>
  </si>
  <si>
    <t>TKT-01926</t>
  </si>
  <si>
    <t>TKT-03445</t>
  </si>
  <si>
    <t>TKT-03398</t>
  </si>
  <si>
    <t>TKT-02898</t>
  </si>
  <si>
    <t>TKT-02388</t>
  </si>
  <si>
    <t>TKT-02523</t>
  </si>
  <si>
    <t>TKT-03762</t>
  </si>
  <si>
    <t>TKT-03807</t>
  </si>
  <si>
    <t>TKT-01581</t>
  </si>
  <si>
    <t>TKT-02848</t>
  </si>
  <si>
    <t>TKT-02635</t>
  </si>
  <si>
    <t>TKT-03480</t>
  </si>
  <si>
    <t>TKT-02989</t>
  </si>
  <si>
    <t>TKT-00837</t>
  </si>
  <si>
    <t>TKT-02712</t>
  </si>
  <si>
    <t>TKT-00171</t>
  </si>
  <si>
    <t>TKT-03978</t>
  </si>
  <si>
    <t>TKT-00028</t>
  </si>
  <si>
    <t>TKT-02049</t>
  </si>
  <si>
    <t>TKT-02129</t>
  </si>
  <si>
    <t>TKT-03990</t>
  </si>
  <si>
    <t>TKT-00683</t>
  </si>
  <si>
    <t>TKT-02757</t>
  </si>
  <si>
    <t>TKT-02014</t>
  </si>
  <si>
    <t>TKT-01083</t>
  </si>
  <si>
    <t>TKT-03140</t>
  </si>
  <si>
    <t>TKT-00893</t>
  </si>
  <si>
    <t>TKT-01333</t>
  </si>
  <si>
    <t>TKT-02257</t>
  </si>
  <si>
    <t>TKT-03712</t>
  </si>
  <si>
    <t>TKT-01429</t>
  </si>
  <si>
    <t>TKT-02407</t>
  </si>
  <si>
    <t>TKT-03757</t>
  </si>
  <si>
    <t>TKT-03209</t>
  </si>
  <si>
    <t>TKT-02007</t>
  </si>
  <si>
    <t>TKT-00810</t>
  </si>
  <si>
    <t>TKT-01482</t>
  </si>
  <si>
    <t>TKT-02807</t>
  </si>
  <si>
    <t>TKT-03453</t>
  </si>
  <si>
    <t>TKT-01394</t>
  </si>
  <si>
    <t>TKT-00453</t>
  </si>
  <si>
    <t>TKT-01306</t>
  </si>
  <si>
    <t>TKT-02562</t>
  </si>
  <si>
    <t>TKT-00788</t>
  </si>
  <si>
    <t>TKT-00131</t>
  </si>
  <si>
    <t>TKT-03473</t>
  </si>
  <si>
    <t>TKT-03242</t>
  </si>
  <si>
    <t>TKT-03830</t>
  </si>
  <si>
    <t>TKT-00951</t>
  </si>
  <si>
    <t>TKT-03913</t>
  </si>
  <si>
    <t>TKT-02191</t>
  </si>
  <si>
    <t>TKT-02622</t>
  </si>
  <si>
    <t>TKT-00141</t>
  </si>
  <si>
    <t>TKT-02862</t>
  </si>
  <si>
    <t>TKT-03207</t>
  </si>
  <si>
    <t>TKT-02347</t>
  </si>
  <si>
    <t>TKT-01354</t>
  </si>
  <si>
    <t>TKT-02451</t>
  </si>
  <si>
    <t>TKT-01184</t>
  </si>
  <si>
    <t>TKT-00300</t>
  </si>
  <si>
    <t>TKT-02891</t>
  </si>
  <si>
    <t>TKT-02585</t>
  </si>
  <si>
    <t>TKT-00659</t>
  </si>
  <si>
    <t>TKT-00314</t>
  </si>
  <si>
    <t>TKT-02254</t>
  </si>
  <si>
    <t>TKT-03809</t>
  </si>
  <si>
    <t>TKT-01349</t>
  </si>
  <si>
    <t>TKT-00844</t>
  </si>
  <si>
    <t>TKT-00761</t>
  </si>
  <si>
    <t>TKT-01532</t>
  </si>
  <si>
    <t>TKT-00249</t>
  </si>
  <si>
    <t>TKT-01286</t>
  </si>
  <si>
    <t>TKT-00462</t>
  </si>
  <si>
    <t>TKT-03875</t>
  </si>
  <si>
    <t>TKT-03599</t>
  </si>
  <si>
    <t>TKT-02501</t>
  </si>
  <si>
    <t>TKT-02887</t>
  </si>
  <si>
    <t>TKT-01835</t>
  </si>
  <si>
    <t>TKT-02115</t>
  </si>
  <si>
    <t>TKT-03345</t>
  </si>
  <si>
    <t>TKT-00282</t>
  </si>
  <si>
    <t>TKT-01768</t>
  </si>
  <si>
    <t>TKT-01143</t>
  </si>
  <si>
    <t>TKT-03314</t>
  </si>
  <si>
    <t>TKT-00890</t>
  </si>
  <si>
    <t>TKT-02423</t>
  </si>
  <si>
    <t>TKT-01496</t>
  </si>
  <si>
    <t>TKT-03500</t>
  </si>
  <si>
    <t>TKT-03756</t>
  </si>
  <si>
    <t>TKT-00225</t>
  </si>
  <si>
    <t>TKT-03290</t>
  </si>
  <si>
    <t>TKT-03040</t>
  </si>
  <si>
    <t>TKT-03073</t>
  </si>
  <si>
    <t>TKT-00630</t>
  </si>
  <si>
    <t>TKT-02897</t>
  </si>
  <si>
    <t>TKT-02508</t>
  </si>
  <si>
    <t>TKT-02669</t>
  </si>
  <si>
    <t>TKT-03368</t>
  </si>
  <si>
    <t>TKT-03602</t>
  </si>
  <si>
    <t>TKT-02248</t>
  </si>
  <si>
    <t>TKT-02760</t>
  </si>
  <si>
    <t>TKT-01231</t>
  </si>
  <si>
    <t>TKT-02470</t>
  </si>
  <si>
    <t>TKT-02288</t>
  </si>
  <si>
    <t>TKT-02271</t>
  </si>
  <si>
    <t>TKT-01430</t>
  </si>
  <si>
    <t>TKT-02832</t>
  </si>
  <si>
    <t>TKT-03410</t>
  </si>
  <si>
    <t>TKT-01725</t>
  </si>
  <si>
    <t>TKT-02759</t>
  </si>
  <si>
    <t>TKT-03114</t>
  </si>
  <si>
    <t>TKT-01924</t>
  </si>
  <si>
    <t>TKT-03718</t>
  </si>
  <si>
    <t>TKT-03295</t>
  </si>
  <si>
    <t>TKT-02710</t>
  </si>
  <si>
    <t>TKT-02581</t>
  </si>
  <si>
    <t>TKT-02753</t>
  </si>
  <si>
    <t>TKT-03710</t>
  </si>
  <si>
    <t>TKT-00524</t>
  </si>
  <si>
    <t>TKT-00864</t>
  </si>
  <si>
    <t>TKT-01309</t>
  </si>
  <si>
    <t>TKT-02723</t>
  </si>
  <si>
    <t>TKT-03980</t>
  </si>
  <si>
    <t>TKT-01713</t>
  </si>
  <si>
    <t>TKT-01042</t>
  </si>
  <si>
    <t>TKT-02408</t>
  </si>
  <si>
    <t>TKT-03628</t>
  </si>
  <si>
    <t>TKT-00046</t>
  </si>
  <si>
    <t>TKT-00484</t>
  </si>
  <si>
    <t>TKT-01918</t>
  </si>
  <si>
    <t>TKT-01763</t>
  </si>
  <si>
    <t>TKT-03157</t>
  </si>
  <si>
    <t>TKT-00189</t>
  </si>
  <si>
    <t>TKT-03831</t>
  </si>
  <si>
    <t>TKT-03166</t>
  </si>
  <si>
    <t>TKT-00478</t>
  </si>
  <si>
    <t>TKT-01876</t>
  </si>
  <si>
    <t>TKT-02836</t>
  </si>
  <si>
    <t>TKT-02780</t>
  </si>
  <si>
    <t>TKT-02789</t>
  </si>
  <si>
    <t>TKT-02510</t>
  </si>
  <si>
    <t>TKT-02053</t>
  </si>
  <si>
    <t>TKT-00275</t>
  </si>
  <si>
    <t>TKT-01455</t>
  </si>
  <si>
    <t>TKT-00584</t>
  </si>
  <si>
    <t>TKT-01431</t>
  </si>
  <si>
    <t>TKT-00262</t>
  </si>
  <si>
    <t>TKT-03915</t>
  </si>
  <si>
    <t>TKT-01607</t>
  </si>
  <si>
    <t>TKT-03502</t>
  </si>
  <si>
    <t>TKT-00376</t>
  </si>
  <si>
    <t>TKT-02174</t>
  </si>
  <si>
    <t>TKT-00243</t>
  </si>
  <si>
    <t>TKT-00550</t>
  </si>
  <si>
    <t>TKT-01098</t>
  </si>
  <si>
    <t>TKT-02774</t>
  </si>
  <si>
    <t>TKT-03658</t>
  </si>
  <si>
    <t>TKT-00855</t>
  </si>
  <si>
    <t>TKT-02731</t>
  </si>
  <si>
    <t>TKT-01944</t>
  </si>
  <si>
    <t>TKT-01502</t>
  </si>
  <si>
    <t>TKT-02390</t>
  </si>
  <si>
    <t>TKT-01966</t>
  </si>
  <si>
    <t>TKT-02961</t>
  </si>
  <si>
    <t>TKT-02081</t>
  </si>
  <si>
    <t>TKT-00552</t>
  </si>
  <si>
    <t>TKT-02968</t>
  </si>
  <si>
    <t>TKT-00774</t>
  </si>
  <si>
    <t>TKT-00949</t>
  </si>
  <si>
    <t>TKT-03388</t>
  </si>
  <si>
    <t>TKT-02033</t>
  </si>
  <si>
    <t>TKT-03536</t>
  </si>
  <si>
    <t>TKT-01060</t>
  </si>
  <si>
    <t>TKT-02773</t>
  </si>
  <si>
    <t>TKT-00474</t>
  </si>
  <si>
    <t>TKT-02334</t>
  </si>
  <si>
    <t>TKT-00460</t>
  </si>
  <si>
    <t>TKT-01943</t>
  </si>
  <si>
    <t>TKT-00330</t>
  </si>
  <si>
    <t>TKT-02093</t>
  </si>
  <si>
    <t>TKT-01796</t>
  </si>
  <si>
    <t>TKT-00579</t>
  </si>
  <si>
    <t>TKT-02374</t>
  </si>
  <si>
    <t>TKT-00862</t>
  </si>
  <si>
    <t>TKT-02561</t>
  </si>
  <si>
    <t>TKT-03463</t>
  </si>
  <si>
    <t>TKT-03125</t>
  </si>
  <si>
    <t>TKT-01681</t>
  </si>
  <si>
    <t>TKT-02899</t>
  </si>
  <si>
    <t>TKT-02590</t>
  </si>
  <si>
    <t>TKT-03350</t>
  </si>
  <si>
    <t>TKT-01193</t>
  </si>
  <si>
    <t>TKT-03131</t>
  </si>
  <si>
    <t>TKT-02548</t>
  </si>
  <si>
    <t>TKT-03021</t>
  </si>
  <si>
    <t>TKT-01568</t>
  </si>
  <si>
    <t>TKT-00684</t>
  </si>
  <si>
    <t>TKT-03786</t>
  </si>
  <si>
    <t>TKT-00182</t>
  </si>
  <si>
    <t>TKT-02876</t>
  </si>
  <si>
    <t>TKT-01868</t>
  </si>
  <si>
    <t>TKT-03841</t>
  </si>
  <si>
    <t>TKT-03511</t>
  </si>
  <si>
    <t>TKT-03993</t>
  </si>
  <si>
    <t>TKT-02941</t>
  </si>
  <si>
    <t>TKT-03862</t>
  </si>
  <si>
    <t>TKT-02779</t>
  </si>
  <si>
    <t>TKT-02213</t>
  </si>
  <si>
    <t>TKT-01801</t>
  </si>
  <si>
    <t>TKT-03051</t>
  </si>
  <si>
    <t>TKT-02058</t>
  </si>
  <si>
    <t>TKT-01000</t>
  </si>
  <si>
    <t>TKT-00595</t>
  </si>
  <si>
    <t>TKT-02720</t>
  </si>
  <si>
    <t>TKT-02346</t>
  </si>
  <si>
    <t>TKT-00966</t>
  </si>
  <si>
    <t>TKT-03328</t>
  </si>
  <si>
    <t>TKT-02758</t>
  </si>
  <si>
    <t>TKT-03048</t>
  </si>
  <si>
    <t>TKT-02953</t>
  </si>
  <si>
    <t>TKT-01585</t>
  </si>
  <si>
    <t>TKT-03495</t>
  </si>
  <si>
    <t>TKT-00640</t>
  </si>
  <si>
    <t>TKT-01604</t>
  </si>
  <si>
    <t>TKT-02124</t>
  </si>
  <si>
    <t>TKT-00307</t>
  </si>
  <si>
    <t>TKT-00483</t>
  </si>
  <si>
    <t>TKT-00385</t>
  </si>
  <si>
    <t>TKT-03734</t>
  </si>
  <si>
    <t>TKT-00461</t>
  </si>
  <si>
    <t>TKT-01803</t>
  </si>
  <si>
    <t>TKT-01416</t>
  </si>
  <si>
    <t>TKT-03829</t>
  </si>
  <si>
    <t>TKT-02738</t>
  </si>
  <si>
    <t>TKT-02603</t>
  </si>
  <si>
    <t>TKT-01824</t>
  </si>
  <si>
    <t>TKT-01278</t>
  </si>
  <si>
    <t>TKT-02087</t>
  </si>
  <si>
    <t>TKT-02096</t>
  </si>
  <si>
    <t>TKT-02349</t>
  </si>
  <si>
    <t>TKT-00214</t>
  </si>
  <si>
    <t>TKT-03019</t>
  </si>
  <si>
    <t>TKT-01130</t>
  </si>
  <si>
    <t>TKT-03585</t>
  </si>
  <si>
    <t>TKT-01819</t>
  </si>
  <si>
    <t>TKT-03793</t>
  </si>
  <si>
    <t>TKT-03870</t>
  </si>
  <si>
    <t>TKT-01535</t>
  </si>
  <si>
    <t>TKT-02018</t>
  </si>
  <si>
    <t>TKT-03193</t>
  </si>
  <si>
    <t>TKT-01249</t>
  </si>
  <si>
    <t>TKT-00861</t>
  </si>
  <si>
    <t>TKT-00338</t>
  </si>
  <si>
    <t>TKT-01767</t>
  </si>
  <si>
    <t>TKT-02109</t>
  </si>
  <si>
    <t>TKT-03839</t>
  </si>
  <si>
    <t>TKT-03879</t>
  </si>
  <si>
    <t>TKT-02102</t>
  </si>
  <si>
    <t>TKT-02955</t>
  </si>
  <si>
    <t>TKT-00815</t>
  </si>
  <si>
    <t>TKT-02677</t>
  </si>
  <si>
    <t>TKT-02309</t>
  </si>
  <si>
    <t>TKT-01118</t>
  </si>
  <si>
    <t>TKT-02751</t>
  </si>
  <si>
    <t>TKT-03181</t>
  </si>
  <si>
    <t>TKT-00439</t>
  </si>
  <si>
    <t>TKT-01653</t>
  </si>
  <si>
    <t>TKT-03702</t>
  </si>
  <si>
    <t>TKT-02566</t>
  </si>
  <si>
    <t>TKT-02667</t>
  </si>
  <si>
    <t>TKT-01566</t>
  </si>
  <si>
    <t>TKT-01584</t>
  </si>
  <si>
    <t>TKT-00690</t>
  </si>
  <si>
    <t>TKT-01954</t>
  </si>
  <si>
    <t>TKT-01565</t>
  </si>
  <si>
    <t>TKT-02775</t>
  </si>
  <si>
    <t>TKT-03848</t>
  </si>
  <si>
    <t>TKT-00489</t>
  </si>
  <si>
    <t>TKT-01004</t>
  </si>
  <si>
    <t>TKT-00846</t>
  </si>
  <si>
    <t>TKT-02742</t>
  </si>
  <si>
    <t>TKT-00106</t>
  </si>
  <si>
    <t>TKT-02321</t>
  </si>
  <si>
    <t>TKT-02175</t>
  </si>
  <si>
    <t>TKT-03939</t>
  </si>
  <si>
    <t>TKT-03339</t>
  </si>
  <si>
    <t>TKT-00050</t>
  </si>
  <si>
    <t>TKT-03415</t>
  </si>
  <si>
    <t>TKT-03118</t>
  </si>
  <si>
    <t>TKT-01268</t>
  </si>
  <si>
    <t>TKT-00422</t>
  </si>
  <si>
    <t>TKT-03688</t>
  </si>
  <si>
    <t>TKT-01892</t>
  </si>
  <si>
    <t>TKT-00590</t>
  </si>
  <si>
    <t>TKT-02370</t>
  </si>
  <si>
    <t>TKT-00319</t>
  </si>
  <si>
    <t>TKT-01392</t>
  </si>
  <si>
    <t>TKT-02283</t>
  </si>
  <si>
    <t>TKT-02413</t>
  </si>
  <si>
    <t>TKT-00676</t>
  </si>
  <si>
    <t>TKT-03733</t>
  </si>
  <si>
    <t>TKT-02818</t>
  </si>
  <si>
    <t>TKT-03738</t>
  </si>
  <si>
    <t>TKT-03059</t>
  </si>
  <si>
    <t>TKT-02579</t>
  </si>
  <si>
    <t>TKT-02231</t>
  </si>
  <si>
    <t>TKT-02580</t>
  </si>
  <si>
    <t>TKT-02202</t>
  </si>
  <si>
    <t>TKT-02977</t>
  </si>
  <si>
    <t>TKT-02013</t>
  </si>
  <si>
    <t>TKT-02147</t>
  </si>
  <si>
    <t>TKT-03533</t>
  </si>
  <si>
    <t>TKT-01147</t>
  </si>
  <si>
    <t>TKT-03819</t>
  </si>
  <si>
    <t>TKT-02494</t>
  </si>
  <si>
    <t>TKT-01501</t>
  </si>
  <si>
    <t>TKT-01172</t>
  </si>
  <si>
    <t>TKT-03977</t>
  </si>
  <si>
    <t>TKT-03714</t>
  </si>
  <si>
    <t>TKT-02558</t>
  </si>
  <si>
    <t>TKT-00838</t>
  </si>
  <si>
    <t>TKT-01848</t>
  </si>
  <si>
    <t>TKT-03573</t>
  </si>
  <si>
    <t>TKT-02842</t>
  </si>
  <si>
    <t>TKT-00157</t>
  </si>
  <si>
    <t>TKT-03835</t>
  </si>
  <si>
    <t>TKT-00218</t>
  </si>
  <si>
    <t>TKT-02261</t>
  </si>
  <si>
    <t>TKT-02085</t>
  </si>
  <si>
    <t>TKT-03179</t>
  </si>
  <si>
    <t>TKT-01599</t>
  </si>
  <si>
    <t>TKT-01485</t>
  </si>
  <si>
    <t>TKT-01405</t>
  </si>
  <si>
    <t>TKT-02849</t>
  </si>
  <si>
    <t>TKT-01603</t>
  </si>
  <si>
    <t>TKT-02466</t>
  </si>
  <si>
    <t>TKT-00128</t>
  </si>
  <si>
    <t>TKT-03106</t>
  </si>
  <si>
    <t>TKT-02864</t>
  </si>
  <si>
    <t>TKT-03112</t>
  </si>
  <si>
    <t>TKT-03403</t>
  </si>
  <si>
    <t>TKT-03916</t>
  </si>
  <si>
    <t>TKT-01774</t>
  </si>
  <si>
    <t>TKT-01760</t>
  </si>
  <si>
    <t>TKT-02872</t>
  </si>
  <si>
    <t>TKT-02754</t>
  </si>
  <si>
    <t>TKT-00242</t>
  </si>
  <si>
    <t>TKT-01024</t>
  </si>
  <si>
    <t>TKT-03175</t>
  </si>
  <si>
    <t>TKT-02763</t>
  </si>
  <si>
    <t>TKT-01970</t>
  </si>
  <si>
    <t>TKT-00204</t>
  </si>
  <si>
    <t>TKT-02278</t>
  </si>
  <si>
    <t>TKT-03074</t>
  </si>
  <si>
    <t>TKT-01842</t>
  </si>
  <si>
    <t>TKT-01198</t>
  </si>
  <si>
    <t>TKT-00043</t>
  </si>
  <si>
    <t>TKT-00632</t>
  </si>
  <si>
    <t>TKT-01058</t>
  </si>
  <si>
    <t>TKT-03745</t>
  </si>
  <si>
    <t>TKT-00892</t>
  </si>
  <si>
    <t>TKT-01715</t>
  </si>
  <si>
    <t>TKT-03348</t>
  </si>
  <si>
    <t>TKT-02513</t>
  </si>
  <si>
    <t>TKT-03906</t>
  </si>
  <si>
    <t>TKT-03111</t>
  </si>
  <si>
    <t>TKT-01246</t>
  </si>
  <si>
    <t>TKT-01612</t>
  </si>
  <si>
    <t>TKT-03776</t>
  </si>
  <si>
    <t>TKT-00799</t>
  </si>
  <si>
    <t>TKT-02601</t>
  </si>
  <si>
    <t>TKT-01350</t>
  </si>
  <si>
    <t>TKT-01996</t>
  </si>
  <si>
    <t>TKT-01202</t>
  </si>
  <si>
    <t>TKT-02746</t>
  </si>
  <si>
    <t>TKT-01313</t>
  </si>
  <si>
    <t>TKT-01689</t>
  </si>
  <si>
    <t>TKT-00806</t>
  </si>
  <si>
    <t>TKT-02526</t>
  </si>
  <si>
    <t>TKT-02364</t>
  </si>
  <si>
    <t>TKT-02269</t>
  </si>
  <si>
    <t>TKT-01736</t>
  </si>
  <si>
    <t>TKT-03023</t>
  </si>
  <si>
    <t>TKT-01179</t>
  </si>
  <si>
    <t>TKT-02552</t>
  </si>
  <si>
    <t>TKT-03343</t>
  </si>
  <si>
    <t>TKT-02183</t>
  </si>
  <si>
    <t>TKT-01779</t>
  </si>
  <si>
    <t>TKT-01530</t>
  </si>
  <si>
    <t>TKT-03550</t>
  </si>
  <si>
    <t>TKT-02608</t>
  </si>
  <si>
    <t>TKT-00088</t>
  </si>
  <si>
    <t>TKT-01965</t>
  </si>
  <si>
    <t>TKT-03695</t>
  </si>
  <si>
    <t>TKT-02367</t>
  </si>
  <si>
    <t>TKT-03419</t>
  </si>
  <si>
    <t>TKT-02824</t>
  </si>
  <si>
    <t>TKT-02300</t>
  </si>
  <si>
    <t>TKT-01635</t>
  </si>
  <si>
    <t>TKT-02575</t>
  </si>
  <si>
    <t>TKT-00052</t>
  </si>
  <si>
    <t>TKT-00011</t>
  </si>
  <si>
    <t>TKT-01987</t>
  </si>
  <si>
    <t>TKT-03044</t>
  </si>
  <si>
    <t>TKT-02737</t>
  </si>
  <si>
    <t>TKT-02073</t>
  </si>
  <si>
    <t>TKT-02744</t>
  </si>
  <si>
    <t>TKT-00290</t>
  </si>
  <si>
    <t>TKT-01090</t>
  </si>
  <si>
    <t>TKT-00212</t>
  </si>
  <si>
    <t>TKT-03313</t>
  </si>
  <si>
    <t>TKT-02516</t>
  </si>
  <si>
    <t>TKT-03104</t>
  </si>
  <si>
    <t>TKT-01206</t>
  </si>
  <si>
    <t>TKT-02482</t>
  </si>
  <si>
    <t>TKT-03020</t>
  </si>
  <si>
    <t>TKT-01324</t>
  </si>
  <si>
    <t>TKT-03178</t>
  </si>
  <si>
    <t>TKT-01312</t>
  </si>
  <si>
    <t>TKT-00767</t>
  </si>
  <si>
    <t>TKT-03614</t>
  </si>
  <si>
    <t>TKT-00246</t>
  </si>
  <si>
    <t>TKT-03918</t>
  </si>
  <si>
    <t>TKT-03932</t>
  </si>
  <si>
    <t>TKT-02655</t>
  </si>
  <si>
    <t>TKT-00424</t>
  </si>
  <si>
    <t>TKT-03735</t>
  </si>
  <si>
    <t>TKT-02951</t>
  </si>
  <si>
    <t>TKT-02253</t>
  </si>
  <si>
    <t>TKT-00095</t>
  </si>
  <si>
    <t>TKT-03860</t>
  </si>
  <si>
    <t>TKT-03332</t>
  </si>
  <si>
    <t>TKT-02699</t>
  </si>
  <si>
    <t>TKT-00010</t>
  </si>
  <si>
    <t>TKT-03739</t>
  </si>
  <si>
    <t>TKT-02341</t>
  </si>
  <si>
    <t>TKT-02108</t>
  </si>
  <si>
    <t>TKT-02201</t>
  </si>
  <si>
    <t>TKT-02772</t>
  </si>
  <si>
    <t>TKT-03572</t>
  </si>
  <si>
    <t>TKT-01288</t>
  </si>
  <si>
    <t>TKT-00766</t>
  </si>
  <si>
    <t>TKT-00119</t>
  </si>
  <si>
    <t>TKT-03032</t>
  </si>
  <si>
    <t>TKT-01636</t>
  </si>
  <si>
    <t>TKT-01556</t>
  </si>
  <si>
    <t>TKT-00100</t>
  </si>
  <si>
    <t>TKT-01914</t>
  </si>
  <si>
    <t>TKT-00828</t>
  </si>
  <si>
    <t>TKT-01972</t>
  </si>
  <si>
    <t>TKT-03484</t>
  </si>
  <si>
    <t>TKT-03955</t>
  </si>
  <si>
    <t>TKT-01776</t>
  </si>
  <si>
    <t>TKT-01615</t>
  </si>
  <si>
    <t>TKT-00493</t>
  </si>
  <si>
    <t>TKT-02906</t>
  </si>
  <si>
    <t>TKT-02430</t>
  </si>
  <si>
    <t>TKT-01690</t>
  </si>
  <si>
    <t>TKT-02275</t>
  </si>
  <si>
    <t>TKT-00223</t>
  </si>
  <si>
    <t>TKT-03981</t>
  </si>
  <si>
    <t>TKT-01744</t>
  </si>
  <si>
    <t>TKT-03517</t>
  </si>
  <si>
    <t>TKT-03012</t>
  </si>
  <si>
    <t>TKT-01225</t>
  </si>
  <si>
    <t>TKT-02812</t>
  </si>
  <si>
    <t>TKT-02167</t>
  </si>
  <si>
    <t>TKT-01533</t>
  </si>
  <si>
    <t>TKT-02158</t>
  </si>
  <si>
    <t>TKT-01080</t>
  </si>
  <si>
    <t>TKT-03006</t>
  </si>
  <si>
    <t>TKT-02245</t>
  </si>
  <si>
    <t>TKT-01075</t>
  </si>
  <si>
    <t>TKT-00596</t>
  </si>
  <si>
    <t>TKT-00514</t>
  </si>
  <si>
    <t>TKT-00450</t>
  </si>
  <si>
    <t>TKT-02802</t>
  </si>
  <si>
    <t>TKT-03462</t>
  </si>
  <si>
    <t>TKT-03838</t>
  </si>
  <si>
    <t>TKT-03392</t>
  </si>
  <si>
    <t>TKT-03421</t>
  </si>
  <si>
    <t>TKT-02615</t>
  </si>
  <si>
    <t>TKT-02673</t>
  </si>
  <si>
    <t>TKT-03352</t>
  </si>
  <si>
    <t>TKT-00566</t>
  </si>
  <si>
    <t>TKT-02200</t>
  </si>
  <si>
    <t>TKT-00358</t>
  </si>
  <si>
    <t>TKT-02107</t>
  </si>
  <si>
    <t>TKT-02647</t>
  </si>
  <si>
    <t>TKT-02379</t>
  </si>
  <si>
    <t>TKT-00403</t>
  </si>
  <si>
    <t>TKT-02702</t>
  </si>
  <si>
    <t>TKT-02918</t>
  </si>
  <si>
    <t>TKT-00618</t>
  </si>
  <si>
    <t>TKT-03030</t>
  </si>
  <si>
    <t>TKT-03371</t>
  </si>
  <si>
    <t>TKT-03743</t>
  </si>
  <si>
    <t>TKT-01160</t>
  </si>
  <si>
    <t>TKT-03601</t>
  </si>
  <si>
    <t>TKT-00001</t>
  </si>
  <si>
    <t>TKT-00312</t>
  </si>
  <si>
    <t>TKT-00021</t>
  </si>
  <si>
    <t>TKT-03555</t>
  </si>
  <si>
    <t>TKT-00727</t>
  </si>
  <si>
    <t>TKT-02915</t>
  </si>
  <si>
    <t>TKT-00916</t>
  </si>
  <si>
    <t>TKT-01395</t>
  </si>
  <si>
    <t>TKT-00266</t>
  </si>
  <si>
    <t>TKT-03631</t>
  </si>
  <si>
    <t>TKT-03937</t>
  </si>
  <si>
    <t>TKT-00937</t>
  </si>
  <si>
    <t>TKT-02913</t>
  </si>
  <si>
    <t>TKT-03189</t>
  </si>
  <si>
    <t>TKT-02419</t>
  </si>
  <si>
    <t>TKT-00334</t>
  </si>
  <si>
    <t>TKT-02833</t>
  </si>
  <si>
    <t>TKT-01698</t>
  </si>
  <si>
    <t>TKT-00816</t>
  </si>
  <si>
    <t>TKT-00295</t>
  </si>
  <si>
    <t>TKT-00409</t>
  </si>
  <si>
    <t>TKT-02534</t>
  </si>
  <si>
    <t>TKT-01550</t>
  </si>
  <si>
    <t>TKT-00825</t>
  </si>
  <si>
    <t>TKT-01196</t>
  </si>
  <si>
    <t>TKT-01103</t>
  </si>
  <si>
    <t>TKT-00258</t>
  </si>
  <si>
    <t>TKT-02911</t>
  </si>
  <si>
    <t>TKT-01984</t>
  </si>
  <si>
    <t>TKT-02323</t>
  </si>
  <si>
    <t>TKT-03889</t>
  </si>
  <si>
    <t>TKT-01922</t>
  </si>
  <si>
    <t>TKT-02624</t>
  </si>
  <si>
    <t>TKT-03724</t>
  </si>
  <si>
    <t>TKT-00114</t>
  </si>
  <si>
    <t>TKT-01285</t>
  </si>
  <si>
    <t>TKT-00025</t>
  </si>
  <si>
    <t>TKT-01846</t>
  </si>
  <si>
    <t>TKT-03667</t>
  </si>
  <si>
    <t>TKT-03005</t>
  </si>
  <si>
    <t>TKT-01522</t>
  </si>
  <si>
    <t>TKT-01105</t>
  </si>
  <si>
    <t>TKT-00919</t>
  </si>
  <si>
    <t>TKT-02829</t>
  </si>
  <si>
    <t>TKT-03460</t>
  </si>
  <si>
    <t>TKT-01317</t>
  </si>
  <si>
    <t>TKT-01524</t>
  </si>
  <si>
    <t>TKT-02547</t>
  </si>
  <si>
    <t>TKT-03309</t>
  </si>
  <si>
    <t>TKT-02299</t>
  </si>
  <si>
    <t>TKT-03960</t>
  </si>
  <si>
    <t>TKT-03229</t>
  </si>
  <si>
    <t>TKT-00745</t>
  </si>
  <si>
    <t>TKT-00561</t>
  </si>
  <si>
    <t>TKT-00985</t>
  </si>
  <si>
    <t>TKT-03600</t>
  </si>
  <si>
    <t>TKT-03404</t>
  </si>
  <si>
    <t>TKT-00528</t>
  </si>
  <si>
    <t>TKT-01074</t>
  </si>
  <si>
    <t>TKT-03277</t>
  </si>
  <si>
    <t>TKT-03052</t>
  </si>
  <si>
    <t>TKT-03674</t>
  </si>
  <si>
    <t>TKT-03363</t>
  </si>
  <si>
    <t>TKT-00863</t>
  </si>
  <si>
    <t>TKT-01669</t>
  </si>
  <si>
    <t>TKT-03706</t>
  </si>
  <si>
    <t>TKT-00641</t>
  </si>
  <si>
    <t>TKT-02151</t>
  </si>
  <si>
    <t>TKT-01305</t>
  </si>
  <si>
    <t>TKT-02350</t>
  </si>
  <si>
    <t>TKT-02305</t>
  </si>
  <si>
    <t>TKT-02392</t>
  </si>
  <si>
    <t>TKT-03524</t>
  </si>
  <si>
    <t>TKT-02287</t>
  </si>
  <si>
    <t>TKT-03116</t>
  </si>
  <si>
    <t>TKT-02693</t>
  </si>
  <si>
    <t>TKT-00519</t>
  </si>
  <si>
    <t>TKT-02152</t>
  </si>
  <si>
    <t>TKT-03492</t>
  </si>
  <si>
    <t>TKT-00254</t>
  </si>
  <si>
    <t>TKT-00616</t>
  </si>
  <si>
    <t>TKT-03562</t>
  </si>
  <si>
    <t>TKT-01560</t>
  </si>
  <si>
    <t>TKT-00349</t>
  </si>
  <si>
    <t>TKT-03940</t>
  </si>
  <si>
    <t>TKT-03486</t>
  </si>
  <si>
    <t>TKT-02237</t>
  </si>
  <si>
    <t>TKT-00729</t>
  </si>
  <si>
    <t>TKT-02360</t>
  </si>
  <si>
    <t>TKT-01096</t>
  </si>
  <si>
    <t>TKT-00877</t>
  </si>
  <si>
    <t>TKT-03571</t>
  </si>
  <si>
    <t>TKT-00096</t>
  </si>
  <si>
    <t>TKT-03834</t>
  </si>
  <si>
    <t>TKT-02471</t>
  </si>
  <si>
    <t>TKT-00733</t>
  </si>
  <si>
    <t>TKT-01237</t>
  </si>
  <si>
    <t>TKT-01686</t>
  </si>
  <si>
    <t>TKT-03130</t>
  </si>
  <si>
    <t>TKT-01950</t>
  </si>
  <si>
    <t>TKT-03803</t>
  </si>
  <si>
    <t>TKT-01013</t>
  </si>
  <si>
    <t>TKT-01280</t>
  </si>
  <si>
    <t>TKT-01873</t>
  </si>
  <si>
    <t>TKT-01523</t>
  </si>
  <si>
    <t>TKT-03740</t>
  </si>
  <si>
    <t>TKT-02363</t>
  </si>
  <si>
    <t>TKT-00722</t>
  </si>
  <si>
    <t>TKT-02947</t>
  </si>
  <si>
    <t>TKT-01812</t>
  </si>
  <si>
    <t>TKT-01010</t>
  </si>
  <si>
    <t>TKT-02330</t>
  </si>
  <si>
    <t>TKT-02304</t>
  </si>
  <si>
    <t>TKT-02286</t>
  </si>
  <si>
    <t>TKT-01899</t>
  </si>
  <si>
    <t>TKT-02980</t>
  </si>
  <si>
    <t>TKT-01229</t>
  </si>
  <si>
    <t>TKT-01093</t>
  </si>
  <si>
    <t>TKT-02650</t>
  </si>
  <si>
    <t>TKT-03787</t>
  </si>
  <si>
    <t>TKT-02000</t>
  </si>
  <si>
    <t>TKT-01964</t>
  </si>
  <si>
    <t>TKT-00008</t>
  </si>
  <si>
    <t>TKT-01374</t>
  </si>
  <si>
    <t>TKT-01314</t>
  </si>
  <si>
    <t>TKT-00834</t>
  </si>
  <si>
    <t>TKT-01046</t>
  </si>
  <si>
    <t>TKT-01553</t>
  </si>
  <si>
    <t>TKT-02500</t>
  </si>
  <si>
    <t>TKT-02923</t>
  </si>
  <si>
    <t>TKT-03393</t>
  </si>
  <si>
    <t>TKT-00402</t>
  </si>
  <si>
    <t>TKT-01799</t>
  </si>
  <si>
    <t>TKT-02940</t>
  </si>
  <si>
    <t>TKT-01941</t>
  </si>
  <si>
    <t>TKT-02022</t>
  </si>
  <si>
    <t>TKT-00381</t>
  </si>
  <si>
    <t>TKT-03627</t>
  </si>
  <si>
    <t>TKT-00649</t>
  </si>
  <si>
    <t>TKT-02065</t>
  </si>
  <si>
    <t>TKT-02491</t>
  </si>
  <si>
    <t>TKT-01248</t>
  </si>
  <si>
    <t>TKT-01913</t>
  </si>
  <si>
    <t>TKT-02612</t>
  </si>
  <si>
    <t>TKT-02847</t>
  </si>
  <si>
    <t>TKT-02600</t>
  </si>
  <si>
    <t>TKT-00326</t>
  </si>
  <si>
    <t>TKT-01727</t>
  </si>
  <si>
    <t>TKT-02029</t>
  </si>
  <si>
    <t>TKT-02452</t>
  </si>
  <si>
    <t>TKT-03597</t>
  </si>
  <si>
    <t>TKT-03449</t>
  </si>
  <si>
    <t>TKT-02273</t>
  </si>
  <si>
    <t>TKT-03468</t>
  </si>
  <si>
    <t>TKT-01877</t>
  </si>
  <si>
    <t>TKT-01181</t>
  </si>
  <si>
    <t>TKT-02734</t>
  </si>
  <si>
    <t>TKT-00061</t>
  </si>
  <si>
    <t>TKT-02733</t>
  </si>
  <si>
    <t>TKT-01369</t>
  </si>
  <si>
    <t>TKT-01273</t>
  </si>
  <si>
    <t>TKT-03799</t>
  </si>
  <si>
    <t>TKT-00713</t>
  </si>
  <si>
    <t>TKT-00658</t>
  </si>
  <si>
    <t>TKT-01934</t>
  </si>
  <si>
    <t>TKT-00830</t>
  </si>
  <si>
    <t>TKT-00092</t>
  </si>
  <si>
    <t>TKT-00645</t>
  </si>
  <si>
    <t>TKT-03885</t>
  </si>
  <si>
    <t>TKT-00979</t>
  </si>
  <si>
    <t>TKT-01874</t>
  </si>
  <si>
    <t>TKT-00481</t>
  </si>
  <si>
    <t>TKT-00820</t>
  </si>
  <si>
    <t>TKT-00668</t>
  </si>
  <si>
    <t>TKT-02637</t>
  </si>
  <si>
    <t>TKT-03257</t>
  </si>
  <si>
    <t>TKT-03691</t>
  </si>
  <si>
    <t>TKT-03412</t>
  </si>
  <si>
    <t>TKT-00273</t>
  </si>
  <si>
    <t>TKT-00384</t>
  </si>
  <si>
    <t>TKT-02533</t>
  </si>
  <si>
    <t>TKT-02928</t>
  </si>
  <si>
    <t>TKT-03808</t>
  </si>
  <si>
    <t>TKT-02907</t>
  </si>
  <si>
    <t>TKT-02460</t>
  </si>
  <si>
    <t>TKT-02432</t>
  </si>
  <si>
    <t>TKT-01465</t>
  </si>
  <si>
    <t>TKT-01363</t>
  </si>
  <si>
    <t>TKT-01342</t>
  </si>
  <si>
    <t>TKT-03340</t>
  </si>
  <si>
    <t>TKT-00117</t>
  </si>
  <si>
    <t>TKT-01007</t>
  </si>
  <si>
    <t>TKT-00454</t>
  </si>
  <si>
    <t>TKT-03842</t>
  </si>
  <si>
    <t>TKT-01226</t>
  </si>
  <si>
    <t>TKT-00031</t>
  </si>
  <si>
    <t>TKT-03769</t>
  </si>
  <si>
    <t>TKT-00720</t>
  </si>
  <si>
    <t>TKT-01634</t>
  </si>
  <si>
    <t>TKT-01148</t>
  </si>
  <si>
    <t>TKT-00880</t>
  </si>
  <si>
    <t>TKT-03931</t>
  </si>
  <si>
    <t>TKT-00714</t>
  </si>
  <si>
    <t>TKT-02816</t>
  </si>
  <si>
    <t>TKT-00992</t>
  </si>
  <si>
    <t>TKT-00903</t>
  </si>
  <si>
    <t>TKT-01797</t>
  </si>
  <si>
    <t>TKT-01070</t>
  </si>
  <si>
    <t>TKT-00978</t>
  </si>
  <si>
    <t>TKT-00702</t>
  </si>
  <si>
    <t>TKT-00925</t>
  </si>
  <si>
    <t>TKT-01331</t>
  </si>
  <si>
    <t>TKT-02917</t>
  </si>
  <si>
    <t>TKT-03219</t>
  </si>
  <si>
    <t>TKT-02026</t>
  </si>
  <si>
    <t>TKT-00305</t>
  </si>
  <si>
    <t>TKT-00023</t>
  </si>
  <si>
    <t>TKT-00779</t>
  </si>
  <si>
    <t>TKT-00894</t>
  </si>
  <si>
    <t>TKT-02687</t>
  </si>
  <si>
    <t>TKT-02160</t>
  </si>
  <si>
    <t>TKT-01990</t>
  </si>
  <si>
    <t>TKT-03544</t>
  </si>
  <si>
    <t>TKT-02040</t>
  </si>
  <si>
    <t>TKT-01419</t>
  </si>
  <si>
    <t>TKT-01038</t>
  </si>
  <si>
    <t>TKT-00594</t>
  </si>
  <si>
    <t>TKT-02133</t>
  </si>
  <si>
    <t>TKT-02927</t>
  </si>
  <si>
    <t>TKT-01343</t>
  </si>
  <si>
    <t>TKT-01942</t>
  </si>
  <si>
    <t>TKT-03102</t>
  </si>
  <si>
    <t>TKT-03637</t>
  </si>
  <si>
    <t>TKT-00098</t>
  </si>
  <si>
    <t>TKT-03971</t>
  </si>
  <si>
    <t>TKT-02884</t>
  </si>
  <si>
    <t>TKT-01216</t>
  </si>
  <si>
    <t>TKT-01020</t>
  </si>
  <si>
    <t>TKT-00585</t>
  </si>
  <si>
    <t>TKT-02331</t>
  </si>
  <si>
    <t>TKT-01095</t>
  </si>
  <si>
    <t>TKT-02478</t>
  </si>
  <si>
    <t>TKT-01346</t>
  </si>
  <si>
    <t>TKT-03697</t>
  </si>
  <si>
    <t>TKT-00520</t>
  </si>
  <si>
    <t>TKT-00611</t>
  </si>
  <si>
    <t>TKT-02841</t>
  </si>
  <si>
    <t>TKT-01282</t>
  </si>
  <si>
    <t>TKT-00512</t>
  </si>
  <si>
    <t>TKT-00325</t>
  </si>
  <si>
    <t>TKT-02181</t>
  </si>
  <si>
    <t>TKT-03068</t>
  </si>
  <si>
    <t>TKT-01146</t>
  </si>
  <si>
    <t>TKT-00195</t>
  </si>
  <si>
    <t>TKT-01548</t>
  </si>
  <si>
    <t>TKT-00988</t>
  </si>
  <si>
    <t>TKT-03134</t>
  </si>
  <si>
    <t>TKT-00934</t>
  </si>
  <si>
    <t>TKT-03341</t>
  </si>
  <si>
    <t>TKT-02800</t>
  </si>
  <si>
    <t>TKT-00048</t>
  </si>
  <si>
    <t>TKT-00475</t>
  </si>
  <si>
    <t>TKT-01353</t>
  </si>
  <si>
    <t>TKT-01197</t>
  </si>
  <si>
    <t>TKT-00183</t>
  </si>
  <si>
    <t>TKT-02965</t>
  </si>
  <si>
    <t>TKT-03812</t>
  </si>
  <si>
    <t>TKT-00882</t>
  </si>
  <si>
    <t>TKT-01108</t>
  </si>
  <si>
    <t>TKT-02831</t>
  </si>
  <si>
    <t>TKT-00504</t>
  </si>
  <si>
    <t>TKT-01795</t>
  </si>
  <si>
    <t>TKT-03064</t>
  </si>
  <si>
    <t>TKT-01203</t>
  </si>
  <si>
    <t>TKT-01569</t>
  </si>
  <si>
    <t>TKT-01891</t>
  </si>
  <si>
    <t>TKT-03177</t>
  </si>
  <si>
    <t>TKT-02220</t>
  </si>
  <si>
    <t>TKT-02218</t>
  </si>
  <si>
    <t>TKT-02263</t>
  </si>
  <si>
    <t>TKT-02866</t>
  </si>
  <si>
    <t>TKT-02262</t>
  </si>
  <si>
    <t>TKT-03800</t>
  </si>
  <si>
    <t>TKT-02418</t>
  </si>
  <si>
    <t>TKT-00495</t>
  </si>
  <si>
    <t>TKT-00308</t>
  </si>
  <si>
    <t>TKT-01399</t>
  </si>
  <si>
    <t>TKT-00051</t>
  </si>
  <si>
    <t>TKT-03444</t>
  </si>
  <si>
    <t>TKT-02707</t>
  </si>
  <si>
    <t>TKT-01037</t>
  </si>
  <si>
    <t>TKT-03070</t>
  </si>
  <si>
    <t>TKT-02066</t>
  </si>
  <si>
    <t>TKT-01982</t>
  </si>
  <si>
    <t>TKT-03307</t>
  </si>
  <si>
    <t>TKT-00688</t>
  </si>
  <si>
    <t>TKT-01983</t>
  </si>
  <si>
    <t>TKT-03748</t>
  </si>
  <si>
    <t>TKT-01224</t>
  </si>
  <si>
    <t>TKT-00012</t>
  </si>
  <si>
    <t>TKT-01061</t>
  </si>
  <si>
    <t>TKT-02177</t>
  </si>
  <si>
    <t>TKT-03837</t>
  </si>
  <si>
    <t>TKT-02359</t>
  </si>
  <si>
    <t>TKT-02095</t>
  </si>
  <si>
    <t>TKT-02852</t>
  </si>
  <si>
    <t>TKT-03133</t>
  </si>
  <si>
    <t>TKT-03678</t>
  </si>
  <si>
    <t>TKT-03413</t>
  </si>
  <si>
    <t>TKT-03726</t>
  </si>
  <si>
    <t>TKT-00036</t>
  </si>
  <si>
    <t>TKT-01647</t>
  </si>
  <si>
    <t>TKT-01069</t>
  </si>
  <si>
    <t>TKT-01838</t>
  </si>
  <si>
    <t>TKT-01236</t>
  </si>
  <si>
    <t>TKT-03065</t>
  </si>
  <si>
    <t>TKT-01139</t>
  </si>
  <si>
    <t>TKT-03779</t>
  </si>
  <si>
    <t>TKT-02706</t>
  </si>
  <si>
    <t>TKT-01022</t>
  </si>
  <si>
    <t>TKT-03675</t>
  </si>
  <si>
    <t>TKT-00677</t>
  </si>
  <si>
    <t>TKT-02627</t>
  </si>
  <si>
    <t>TKT-00818</t>
  </si>
  <si>
    <t>TKT-03055</t>
  </si>
  <si>
    <t>TKT-00211</t>
  </si>
  <si>
    <t>TKT-03854</t>
  </si>
  <si>
    <t>TKT-01687</t>
  </si>
  <si>
    <t>TKT-03425</t>
  </si>
  <si>
    <t>TKT-01298</t>
  </si>
  <si>
    <t>TKT-00754</t>
  </si>
  <si>
    <t>TKT-02339</t>
  </si>
  <si>
    <t>TKT-02525</t>
  </si>
  <si>
    <t>TKT-02307</t>
  </si>
  <si>
    <t>TKT-01109</t>
  </si>
  <si>
    <t>TKT-00511</t>
  </si>
  <si>
    <t>TKT-03924</t>
  </si>
  <si>
    <t>TKT-03481</t>
  </si>
  <si>
    <t>TKT-03958</t>
  </si>
  <si>
    <t>TKT-02962</t>
  </si>
  <si>
    <t>TKT-02970</t>
  </si>
  <si>
    <t>TKT-00787</t>
  </si>
  <si>
    <t>TKT-02308</t>
  </si>
  <si>
    <t>TKT-00792</t>
  </si>
  <si>
    <t>TKT-03574</t>
  </si>
  <si>
    <t>TKT-01364</t>
  </si>
  <si>
    <t>TKT-01275</t>
  </si>
  <si>
    <t>TKT-02979</t>
  </si>
  <si>
    <t>TKT-00174</t>
  </si>
  <si>
    <t>TKT-03182</t>
  </si>
  <si>
    <t>TKT-01561</t>
  </si>
  <si>
    <t>TKT-00348</t>
  </si>
  <si>
    <t>TKT-03440</t>
  </si>
  <si>
    <t>TKT-00610</t>
  </si>
  <si>
    <t>TKT-01618</t>
  </si>
  <si>
    <t>TKT-02355</t>
  </si>
  <si>
    <t>TKT-02118</t>
  </si>
  <si>
    <t>TKT-01593</t>
  </si>
  <si>
    <t>TKT-01330</t>
  </si>
  <si>
    <t>TKT-02155</t>
  </si>
  <si>
    <t>TKT-00642</t>
  </si>
  <si>
    <t>TKT-00521</t>
  </si>
  <si>
    <t>TKT-02426</t>
  </si>
  <si>
    <t>TKT-02801</t>
  </si>
  <si>
    <t>TKT-02368</t>
  </si>
  <si>
    <t>TKT-03338</t>
  </si>
  <si>
    <t>TKT-02216</t>
  </si>
  <si>
    <t>TKT-00184</t>
  </si>
  <si>
    <t>TKT-03596</t>
  </si>
  <si>
    <t>TKT-03926</t>
  </si>
  <si>
    <t>TKT-02609</t>
  </si>
  <si>
    <t>TKT-01045</t>
  </si>
  <si>
    <t>TKT-01608</t>
  </si>
  <si>
    <t>TKT-02909</t>
  </si>
  <si>
    <t>TKT-02043</t>
  </si>
  <si>
    <t>TKT-01122</t>
  </si>
  <si>
    <t>TKT-00078</t>
  </si>
  <si>
    <t>TKT-00037</t>
  </si>
  <si>
    <t>TKT-00955</t>
  </si>
  <si>
    <t>TKT-00945</t>
  </si>
  <si>
    <t>TKT-00732</t>
  </si>
  <si>
    <t>TKT-00150</t>
  </si>
  <si>
    <t>TKT-03683</t>
  </si>
  <si>
    <t>TKT-01547</t>
  </si>
  <si>
    <t>TKT-02886</t>
  </si>
  <si>
    <t>TKT-03117</t>
  </si>
  <si>
    <t>TKT-01442</t>
  </si>
  <si>
    <t>TKT-02168</t>
  </si>
  <si>
    <t>TKT-03258</t>
  </si>
  <si>
    <t>TKT-02325</t>
  </si>
  <si>
    <t>TKT-01721</t>
  </si>
  <si>
    <t>TKT-01749</t>
  </si>
  <si>
    <t>TKT-03223</t>
  </si>
  <si>
    <t>TKT-03671</t>
  </si>
  <si>
    <t>TKT-02568</t>
  </si>
  <si>
    <t>TKT-01014</t>
  </si>
  <si>
    <t>TKT-01551</t>
  </si>
  <si>
    <t>TKT-02572</t>
  </si>
  <si>
    <t>TKT-00270</t>
  </si>
  <si>
    <t>TKT-02103</t>
  </si>
  <si>
    <t>TKT-01459</t>
  </si>
  <si>
    <t>TKT-02472</t>
  </si>
  <si>
    <t>TKT-00473</t>
  </si>
  <si>
    <t>TKT-00496</t>
  </si>
  <si>
    <t>TKT-00778</t>
  </si>
  <si>
    <t>TKT-01907</t>
  </si>
  <si>
    <t>TKT-02856</t>
  </si>
  <si>
    <t>TKT-02298</t>
  </si>
  <si>
    <t>TKT-01620</t>
  </si>
  <si>
    <t>TKT-01351</t>
  </si>
  <si>
    <t>TKT-03220</t>
  </si>
  <si>
    <t>TKT-03357</t>
  </si>
  <si>
    <t>TKT-02882</t>
  </si>
  <si>
    <t>TKT-02919</t>
  </si>
  <si>
    <t>TKT-00140</t>
  </si>
  <si>
    <t>TKT-00164</t>
  </si>
  <si>
    <t>TKT-01475</t>
  </si>
  <si>
    <t>TKT-02890</t>
  </si>
  <si>
    <t>TKT-02030</t>
  </si>
  <si>
    <t>TKT-01355</t>
  </si>
  <si>
    <t>TKT-01684</t>
  </si>
  <si>
    <t>TKT-01149</t>
  </si>
  <si>
    <t>TKT-02686</t>
  </si>
  <si>
    <t>TKT-00340</t>
  </si>
  <si>
    <t>TKT-03581</t>
  </si>
  <si>
    <t>TKT-00932</t>
  </si>
  <si>
    <t>TKT-03035</t>
  </si>
  <si>
    <t>TKT-01019</t>
  </si>
  <si>
    <t>TKT-01640</t>
  </si>
  <si>
    <t>TKT-00116</t>
  </si>
  <si>
    <t>TKT-00175</t>
  </si>
  <si>
    <t>TKT-00933</t>
  </si>
  <si>
    <t>TKT-00406</t>
  </si>
  <si>
    <t>TKT-02924</t>
  </si>
  <si>
    <t>TKT-02117</t>
  </si>
  <si>
    <t>TKT-02010</t>
  </si>
  <si>
    <t>TKT-03437</t>
  </si>
  <si>
    <t>TKT-03824</t>
  </si>
  <si>
    <t>TKT-00062</t>
  </si>
  <si>
    <t>TKT-00283</t>
  </si>
  <si>
    <t>TKT-03731</t>
  </si>
  <si>
    <t>TKT-02009</t>
  </si>
  <si>
    <t>TKT-02289</t>
  </si>
  <si>
    <t>TKT-03431</t>
  </si>
  <si>
    <t>TKT-03155</t>
  </si>
  <si>
    <t>TKT-00655</t>
  </si>
  <si>
    <t>TKT-02860</t>
  </si>
  <si>
    <t>TKT-01693</t>
  </si>
  <si>
    <t>TKT-01691</t>
  </si>
  <si>
    <t>TKT-01827</t>
  </si>
  <si>
    <t>TKT-03907</t>
  </si>
  <si>
    <t>TKT-00057</t>
  </si>
  <si>
    <t>TKT-01026</t>
  </si>
  <si>
    <t>TKT-00199</t>
  </si>
  <si>
    <t>TKT-02495</t>
  </si>
  <si>
    <t>TKT-02063</t>
  </si>
  <si>
    <t>TKT-01189</t>
  </si>
  <si>
    <t>TKT-00904</t>
  </si>
  <si>
    <t>TKT-03777</t>
  </si>
  <si>
    <t>TKT-02301</t>
  </si>
  <si>
    <t>TKT-03248</t>
  </si>
  <si>
    <t>TKT-03568</t>
  </si>
  <si>
    <t>TKT-03156</t>
  </si>
  <si>
    <t>TKT-02476</t>
  </si>
  <si>
    <t>TKT-00602</t>
  </si>
  <si>
    <t>TKT-01770</t>
  </si>
  <si>
    <t>TKT-00038</t>
  </si>
  <si>
    <t>TKT-01486</t>
  </si>
  <si>
    <t>TKT-03796</t>
  </si>
  <si>
    <t>TKT-01340</t>
  </si>
  <si>
    <t>TKT-02514</t>
  </si>
  <si>
    <t>TKT-01851</t>
  </si>
  <si>
    <t>TKT-03375</t>
  </si>
  <si>
    <t>TKT-01909</t>
  </si>
  <si>
    <t>TKT-02973</t>
  </si>
  <si>
    <t>TKT-00337</t>
  </si>
  <si>
    <t>TKT-03561</t>
  </si>
  <si>
    <t>TKT-03101</t>
  </si>
  <si>
    <t>TKT-01596</t>
  </si>
  <si>
    <t>TKT-00662</t>
  </si>
  <si>
    <t>TKT-03192</t>
  </si>
  <si>
    <t>TKT-00505</t>
  </si>
  <si>
    <t>TKT-02351</t>
  </si>
  <si>
    <t>TKT-00887</t>
  </si>
  <si>
    <t>TKT-01621</t>
  </si>
  <si>
    <t>TKT-03619</t>
  </si>
  <si>
    <t>TKT-00575</t>
  </si>
  <si>
    <t>TKT-03147</t>
  </si>
  <si>
    <t>TKT-03872</t>
  </si>
  <si>
    <t>TKT-01099</t>
  </si>
  <si>
    <t>TKT-03321</t>
  </si>
  <si>
    <t>TKT-03448</t>
  </si>
  <si>
    <t>TKT-03575</t>
  </si>
  <si>
    <t>TKT-00138</t>
  </si>
  <si>
    <t>TKT-02813</t>
  </si>
  <si>
    <t>TKT-00163</t>
  </si>
  <si>
    <t>TKT-02072</t>
  </si>
  <si>
    <t>TKT-02921</t>
  </si>
  <si>
    <t>TKT-01979</t>
  </si>
  <si>
    <t>TKT-02959</t>
  </si>
  <si>
    <t>TKT-03541</t>
  </si>
  <si>
    <t>TKT-01705</t>
  </si>
  <si>
    <t>TKT-00954</t>
  </si>
  <si>
    <t>TKT-03847</t>
  </si>
  <si>
    <t>TKT-00115</t>
  </si>
  <si>
    <t>TKT-00108</t>
  </si>
  <si>
    <t>TKT-02761</t>
  </si>
  <si>
    <t>TKT-00067</t>
  </si>
  <si>
    <t>TKT-01627</t>
  </si>
  <si>
    <t>TKT-03620</t>
  </si>
  <si>
    <t>TKT-01888</t>
  </si>
  <si>
    <t>TKT-03604</t>
  </si>
  <si>
    <t>TKT-00274</t>
  </si>
  <si>
    <t>TKT-02489</t>
  </si>
  <si>
    <t>TKT-01440</t>
  </si>
  <si>
    <t>TKT-03078</t>
  </si>
  <si>
    <t>TKT-03276</t>
  </si>
  <si>
    <t>TKT-01128</t>
  </si>
  <si>
    <t>TKT-02211</t>
  </si>
  <si>
    <t>TKT-01066</t>
  </si>
  <si>
    <t>TKT-00626</t>
  </si>
  <si>
    <t>TKT-03366</t>
  </si>
  <si>
    <t>TKT-02878</t>
  </si>
  <si>
    <t>TKT-00612</t>
  </si>
  <si>
    <t>TKT-00734</t>
  </si>
  <si>
    <t>TKT-01145</t>
  </si>
  <si>
    <t>TKT-00430</t>
  </si>
  <si>
    <t>TKT-02449</t>
  </si>
  <si>
    <t>TKT-03657</t>
  </si>
  <si>
    <t>TKT-00500</t>
  </si>
  <si>
    <t>TKT-01777</t>
  </si>
  <si>
    <t>TKT-01706</t>
  </si>
  <si>
    <t>TKT-01726</t>
  </si>
  <si>
    <t>TKT-01952</t>
  </si>
  <si>
    <t>TKT-03029</t>
  </si>
  <si>
    <t>TKT-00813</t>
  </si>
  <si>
    <t>TKT-01311</t>
  </si>
  <si>
    <t>TKT-02881</t>
  </si>
  <si>
    <t>TKT-03895</t>
  </si>
  <si>
    <t>TKT-00851</t>
  </si>
  <si>
    <t>TKT-03704</t>
  </si>
  <si>
    <t>TKT-00415</t>
  </si>
  <si>
    <t>TKT-01707</t>
  </si>
  <si>
    <t>TKT-02205</t>
  </si>
  <si>
    <t>TKT-00394</t>
  </si>
  <si>
    <t>TKT-03802</t>
  </si>
  <si>
    <t>TKT-00279</t>
  </si>
  <si>
    <t>TKT-02184</t>
  </si>
  <si>
    <t>TKT-01235</t>
  </si>
  <si>
    <t>TKT-01289</t>
  </si>
  <si>
    <t>TKT-00359</t>
  </si>
  <si>
    <t>TKT-03719</t>
  </si>
  <si>
    <t>TKT-02403</t>
  </si>
  <si>
    <t>TKT-03594</t>
  </si>
  <si>
    <t>TKT-01896</t>
  </si>
  <si>
    <t>TKT-00856</t>
  </si>
  <si>
    <t>TKT-03551</t>
  </si>
  <si>
    <t>TKT-02933</t>
  </si>
  <si>
    <t>TKT-03878</t>
  </si>
  <si>
    <t>TKT-03442</t>
  </si>
  <si>
    <t>TKT-03454</t>
  </si>
  <si>
    <t>TKT-01902</t>
  </si>
  <si>
    <t>TKT-00132</t>
  </si>
  <si>
    <t>TKT-03337</t>
  </si>
  <si>
    <t>TKT-00936</t>
  </si>
  <si>
    <t>TKT-01051</t>
  </si>
  <si>
    <t>TKT-02132</t>
  </si>
  <si>
    <t>TKT-00858</t>
  </si>
  <si>
    <t>TKT-02450</t>
  </si>
  <si>
    <t>TKT-01182</t>
  </si>
  <si>
    <t>TKT-01135</t>
  </si>
  <si>
    <t>TKT-01170</t>
  </si>
  <si>
    <t>TKT-03727</t>
  </si>
  <si>
    <t>TKT-02716</t>
  </si>
  <si>
    <t>TKT-00870</t>
  </si>
  <si>
    <t>TKT-00624</t>
  </si>
  <si>
    <t>TKT-02075</t>
  </si>
  <si>
    <t>TKT-03429</t>
  </si>
  <si>
    <t>TKT-01595</t>
  </si>
  <si>
    <t>TKT-03934</t>
  </si>
  <si>
    <t>TKT-02161</t>
  </si>
  <si>
    <t>TKT-01949</t>
  </si>
  <si>
    <t>TKT-03715</t>
  </si>
  <si>
    <t>TKT-02031</t>
  </si>
  <si>
    <t>TKT-00310</t>
  </si>
  <si>
    <t>TKT-03402</t>
  </si>
  <si>
    <t>TKT-01408</t>
  </si>
  <si>
    <t>TKT-01209</t>
  </si>
  <si>
    <t>TKT-02504</t>
  </si>
  <si>
    <t>TKT-01376</t>
  </si>
  <si>
    <t>TKT-00977</t>
  </si>
  <si>
    <t>TKT-03721</t>
  </si>
  <si>
    <t>TKT-02274</t>
  </si>
  <si>
    <t>TKT-01526</t>
  </si>
  <si>
    <t>TKT-00154</t>
  </si>
  <si>
    <t>TKT-02192</t>
  </si>
  <si>
    <t>TKT-00470</t>
  </si>
  <si>
    <t>TKT-03369</t>
  </si>
  <si>
    <t>TKT-02530</t>
  </si>
  <si>
    <t>TKT-03753</t>
  </si>
  <si>
    <t>TKT-01742</t>
  </si>
  <si>
    <t>TKT-01156</t>
  </si>
  <si>
    <t>TKT-00408</t>
  </si>
  <si>
    <t>TKT-01446</t>
  </si>
  <si>
    <t>TKT-03818</t>
  </si>
  <si>
    <t>TKT-02704</t>
  </si>
  <si>
    <t>TKT-01683</t>
  </si>
  <si>
    <t>TKT-03583</t>
  </si>
  <si>
    <t>TKT-02204</t>
  </si>
  <si>
    <t>TKT-02795</t>
  </si>
  <si>
    <t>TKT-03950</t>
  </si>
  <si>
    <t>TKT-02188</t>
  </si>
  <si>
    <t>TKT-02790</t>
  </si>
  <si>
    <t>TKT-01850</t>
  </si>
  <si>
    <t>TKT-01915</t>
  </si>
  <si>
    <t>TKT-01213</t>
  </si>
  <si>
    <t>TKT-01094</t>
  </si>
  <si>
    <t>TKT-01495</t>
  </si>
  <si>
    <t>TKT-01414</t>
  </si>
  <si>
    <t>TKT-01457</t>
  </si>
  <si>
    <t>TKT-01733</t>
  </si>
  <si>
    <t>TKT-01718</t>
  </si>
  <si>
    <t>TKT-01658</t>
  </si>
  <si>
    <t>TKT-02354</t>
  </si>
  <si>
    <t>TKT-00581</t>
  </si>
  <si>
    <t>TKT-01920</t>
  </si>
  <si>
    <t>TKT-02925</t>
  </si>
  <si>
    <t>TKT-03665</t>
  </si>
  <si>
    <t>TKT-03750</t>
  </si>
  <si>
    <t>TKT-02776</t>
  </si>
  <si>
    <t>TKT-00437</t>
  </si>
  <si>
    <t>TKT-03716</t>
  </si>
  <si>
    <t>TKT-01834</t>
  </si>
  <si>
    <t>TKT-01018</t>
  </si>
  <si>
    <t>TKT-03158</t>
  </si>
  <si>
    <t>TKT-00033</t>
  </si>
  <si>
    <t>TKT-00587</t>
  </si>
  <si>
    <t>TKT-01320</t>
  </si>
  <si>
    <t>TKT-00227</t>
  </si>
  <si>
    <t>TKT-03324</t>
  </si>
  <si>
    <t>TKT-03367</t>
  </si>
  <si>
    <t>TKT-03508</t>
  </si>
  <si>
    <t>TKT-03849</t>
  </si>
  <si>
    <t>TKT-02001</t>
  </si>
  <si>
    <t>TKT-03866</t>
  </si>
  <si>
    <t>TKT-01642</t>
  </si>
  <si>
    <t>TKT-00426</t>
  </si>
  <si>
    <t>TKT-03646</t>
  </si>
  <si>
    <t>TKT-02057</t>
  </si>
  <si>
    <t>TKT-02270</t>
  </si>
  <si>
    <t>TKT-01059</t>
  </si>
  <si>
    <t>TKT-03234</t>
  </si>
  <si>
    <t>TKT-03247</t>
  </si>
  <si>
    <t>TKT-00177</t>
  </si>
  <si>
    <t>TKT-01063</t>
  </si>
  <si>
    <t>TKT-01415</t>
  </si>
  <si>
    <t>TKT-02654</t>
  </si>
  <si>
    <t>TKT-00167</t>
  </si>
  <si>
    <t>TKT-02378</t>
  </si>
  <si>
    <t>TKT-03279</t>
  </si>
  <si>
    <t>TKT-03208</t>
  </si>
  <si>
    <t>TKT-00311</t>
  </si>
  <si>
    <t>TKT-01016</t>
  </si>
  <si>
    <t>TKT-00621</t>
  </si>
  <si>
    <t>TKT-00317</t>
  </si>
  <si>
    <t>TKT-03443</t>
  </si>
  <si>
    <t>TKT-00959</t>
  </si>
  <si>
    <t>TKT-00663</t>
  </si>
  <si>
    <t>TKT-00206</t>
  </si>
  <si>
    <t>TKT-03622</t>
  </si>
  <si>
    <t>TKT-03129</t>
  </si>
  <si>
    <t>TKT-03195</t>
  </si>
  <si>
    <t>TKT-02111</t>
  </si>
  <si>
    <t>TKT-02597</t>
  </si>
  <si>
    <t>TKT-03308</t>
  </si>
  <si>
    <t>TKT-03272</t>
  </si>
  <si>
    <t>TKT-01322</t>
  </si>
  <si>
    <t>TKT-02027</t>
  </si>
  <si>
    <t>TKT-02416</t>
  </si>
  <si>
    <t>TKT-00509</t>
  </si>
  <si>
    <t>TKT-00178</t>
  </si>
  <si>
    <t>TKT-01111</t>
  </si>
  <si>
    <t>TKT-00480</t>
  </si>
  <si>
    <t>TKT-03405</t>
  </si>
  <si>
    <t>TKT-01737</t>
  </si>
  <si>
    <t>TKT-02697</t>
  </si>
  <si>
    <t>TKT-03927</t>
  </si>
  <si>
    <t>TKT-00210</t>
  </si>
  <si>
    <t>TKT-03943</t>
  </si>
  <si>
    <t>TKT-02239</t>
  </si>
  <si>
    <t>TKT-00086</t>
  </si>
  <si>
    <t>TKT-00268</t>
  </si>
  <si>
    <t>TKT-03013</t>
  </si>
  <si>
    <t>TKT-03874</t>
  </si>
  <si>
    <t>TKT-00102</t>
  </si>
  <si>
    <t>TKT-02493</t>
  </si>
  <si>
    <t>TKT-03028</t>
  </si>
  <si>
    <t>TKT-00207</t>
  </si>
  <si>
    <t>TKT-02142</t>
  </si>
  <si>
    <t>TKT-03822</t>
  </si>
  <si>
    <t>TKT-00502</t>
  </si>
  <si>
    <t>TKT-03108</t>
  </si>
  <si>
    <t>TKT-03137</t>
  </si>
  <si>
    <t>TKT-03024</t>
  </si>
  <si>
    <t>TKT-03346</t>
  </si>
  <si>
    <t>TKT-00345</t>
  </si>
  <si>
    <t>TKT-00248</t>
  </si>
  <si>
    <t>TKT-02100</t>
  </si>
  <si>
    <t>TKT-03694</t>
  </si>
  <si>
    <t>TKT-03643</t>
  </si>
  <si>
    <t>TKT-01162</t>
  </si>
  <si>
    <t>TKT-03022</t>
  </si>
  <si>
    <t>TKT-01542</t>
  </si>
  <si>
    <t>TKT-02365</t>
  </si>
  <si>
    <t>TKT-03518</t>
  </si>
  <si>
    <t>TKT-00875</t>
  </si>
  <si>
    <t>TKT-03377</t>
  </si>
  <si>
    <t>TKT-00854</t>
  </si>
  <si>
    <t>TKT-00947</t>
  </si>
  <si>
    <t>TKT-00107</t>
  </si>
  <si>
    <t>TKT-03235</t>
  </si>
  <si>
    <t>TKT-00527</t>
  </si>
  <si>
    <t>TKT-03966</t>
  </si>
  <si>
    <t>TKT-03323</t>
  </si>
  <si>
    <t>TKT-03717</t>
  </si>
  <si>
    <t>TKT-00301</t>
  </si>
  <si>
    <t>TKT-00264</t>
  </si>
  <si>
    <t>TKT-00074</t>
  </si>
  <si>
    <t>TKT-02473</t>
  </si>
  <si>
    <t>TKT-01291</t>
  </si>
  <si>
    <t>TKT-03765</t>
  </si>
  <si>
    <t>TKT-01437</t>
  </si>
  <si>
    <t>TKT-00803</t>
  </si>
  <si>
    <t>TKT-02179</t>
  </si>
  <si>
    <t>TKT-00205</t>
  </si>
  <si>
    <t>TKT-01573</t>
  </si>
  <si>
    <t>TKT-00347</t>
  </si>
  <si>
    <t>TKT-02691</t>
  </si>
  <si>
    <t>TKT-01857</t>
  </si>
  <si>
    <t>TKT-01134</t>
  </si>
  <si>
    <t>TKT-00857</t>
  </si>
  <si>
    <t>TKT-03018</t>
  </si>
  <si>
    <t>TKT-02920</t>
  </si>
  <si>
    <t>TKT-01304</t>
  </si>
  <si>
    <t>TKT-02986</t>
  </si>
  <si>
    <t>TKT-02892</t>
  </si>
  <si>
    <t>TKT-03091</t>
  </si>
  <si>
    <t>TKT-00522</t>
  </si>
  <si>
    <t>TKT-03466</t>
  </si>
  <si>
    <t>TKT-03389</t>
  </si>
  <si>
    <t>TKT-01833</t>
  </si>
  <si>
    <t>TKT-02830</t>
  </si>
  <si>
    <t>TKT-00576</t>
  </si>
  <si>
    <t>TKT-00350</t>
  </si>
  <si>
    <t>TKT-02578</t>
  </si>
  <si>
    <t>TKT-03792</t>
  </si>
  <si>
    <t>TKT-02987</t>
  </si>
  <si>
    <t>TKT-02020</t>
  </si>
  <si>
    <t>TKT-01887</t>
  </si>
  <si>
    <t>TKT-02453</t>
  </si>
  <si>
    <t>TKT-00208</t>
  </si>
  <si>
    <t>TKT-00366</t>
  </si>
  <si>
    <t>TKT-02573</t>
  </si>
  <si>
    <t>TKT-02668</t>
  </si>
  <si>
    <t>TKT-02540</t>
  </si>
  <si>
    <t>TKT-02584</t>
  </si>
  <si>
    <t>TKT-01489</t>
  </si>
  <si>
    <t>TKT-00542</t>
  </si>
  <si>
    <t>TKT-01129</t>
  </si>
  <si>
    <t>TKT-01388</t>
  </si>
  <si>
    <t>TKT-03877</t>
  </si>
  <si>
    <t>TKT-01384</t>
  </si>
  <si>
    <t>TKT-02689</t>
  </si>
  <si>
    <t>TKT-02583</t>
  </si>
  <si>
    <t>TKT-00605</t>
  </si>
  <si>
    <t>TKT-02549</t>
  </si>
  <si>
    <t>TKT-00323</t>
  </si>
  <si>
    <t>TKT-02729</t>
  </si>
  <si>
    <t>TKT-00660</t>
  </si>
  <si>
    <t>TKT-03664</t>
  </si>
  <si>
    <t>TKT-01761</t>
  </si>
  <si>
    <t>TKT-02166</t>
  </si>
  <si>
    <t>TKT-02571</t>
  </si>
  <si>
    <t>TKT-00931</t>
  </si>
  <si>
    <t>TKT-02045</t>
  </si>
  <si>
    <t>TKT-02335</t>
  </si>
  <si>
    <t>TKT-03817</t>
  </si>
  <si>
    <t>TKT-03968</t>
  </si>
  <si>
    <t>TKT-00847</t>
  </si>
  <si>
    <t>TKT-03537</t>
  </si>
  <si>
    <t>TKT-02588</t>
  </si>
  <si>
    <t>TKT-01531</t>
  </si>
  <si>
    <t>TKT-03467</t>
  </si>
  <si>
    <t>TKT-02559</t>
  </si>
  <si>
    <t>TKT-02290</t>
  </si>
  <si>
    <t>TKT-01389</t>
  </si>
  <si>
    <t>TKT-02247</t>
  </si>
  <si>
    <t>TKT-00433</t>
  </si>
  <si>
    <t>TKT-02207</t>
  </si>
  <si>
    <t>TKT-02938</t>
  </si>
  <si>
    <t>TKT-01034</t>
  </si>
  <si>
    <t>TKT-01445</t>
  </si>
  <si>
    <t>TKT-01387</t>
  </si>
  <si>
    <t>TKT-01998</t>
  </si>
  <si>
    <t>TKT-01113</t>
  </si>
  <si>
    <t>TKT-00251</t>
  </si>
  <si>
    <t>TKT-00099</t>
  </si>
  <si>
    <t>TKT-01614</t>
  </si>
  <si>
    <t>TKT-01308</t>
  </si>
  <si>
    <t>TKT-01269</t>
  </si>
  <si>
    <t>TKT-00669</t>
  </si>
  <si>
    <t>TKT-02850</t>
  </si>
  <si>
    <t>TKT-02105</t>
  </si>
  <si>
    <t>TKT-01120</t>
  </si>
  <si>
    <t>TKT-00884</t>
  </si>
  <si>
    <t>TKT-02338</t>
  </si>
  <si>
    <t>TKT-00568</t>
  </si>
  <si>
    <t>TKT-02863</t>
  </si>
  <si>
    <t>TKT-03986</t>
  </si>
  <si>
    <t>TKT-02990</t>
  </si>
  <si>
    <t>TKT-03069</t>
  </si>
  <si>
    <t>TKT-02908</t>
  </si>
  <si>
    <t>TKT-00452</t>
  </si>
  <si>
    <t>TKT-00241</t>
  </si>
  <si>
    <t>TKT-03082</t>
  </si>
  <si>
    <t>TKT-02342</t>
  </si>
  <si>
    <t>TKT-03662</t>
  </si>
  <si>
    <t>TKT-01694</t>
  </si>
  <si>
    <t>TKT-02483</t>
  </si>
  <si>
    <t>TKT-02996</t>
  </si>
  <si>
    <t>TKT-02172</t>
  </si>
  <si>
    <t>TKT-00447</t>
  </si>
  <si>
    <t>TKT-01438</t>
  </si>
  <si>
    <t>TKT-01201</t>
  </si>
  <si>
    <t>TKT-01301</t>
  </si>
  <si>
    <t>TKT-03612</t>
  </si>
  <si>
    <t>TKT-00704</t>
  </si>
  <si>
    <t>TKT-01116</t>
  </si>
  <si>
    <t>TKT-02170</t>
  </si>
  <si>
    <t>TKT-02352</t>
  </si>
  <si>
    <t>TKT-02966</t>
  </si>
  <si>
    <t>TKT-00842</t>
  </si>
  <si>
    <t>TKT-01191</t>
  </si>
  <si>
    <t>TKT-02857</t>
  </si>
  <si>
    <t>TKT-01845</t>
  </si>
  <si>
    <t>TKT-03810</t>
  </si>
  <si>
    <t>TKT-02454</t>
  </si>
  <si>
    <t>TKT-00059</t>
  </si>
  <si>
    <t>TKT-00370</t>
  </si>
  <si>
    <t>TKT-03804</t>
  </si>
  <si>
    <t>TKT-00652</t>
  </si>
  <si>
    <t>TKT-00940</t>
  </si>
  <si>
    <t>TKT-01971</t>
  </si>
  <si>
    <t>TKT-01125</t>
  </si>
  <si>
    <t>TKT-02061</t>
  </si>
  <si>
    <t>TKT-00731</t>
  </si>
  <si>
    <t>TKT-00984</t>
  </si>
  <si>
    <t>TKT-02718</t>
  </si>
  <si>
    <t>TKT-00513</t>
  </si>
  <si>
    <t>TKT-00823</t>
  </si>
  <si>
    <t>TKT-02845</t>
  </si>
  <si>
    <t>TKT-03994</t>
  </si>
  <si>
    <t>TKT-03644</t>
  </si>
  <si>
    <t>TKT-01347</t>
  </si>
  <si>
    <t>TKT-00118</t>
  </si>
  <si>
    <t>TKT-00110</t>
  </si>
  <si>
    <t>TKT-01418</t>
  </si>
  <si>
    <t>TKT-01300</t>
  </si>
  <si>
    <t>TKT-02441</t>
  </si>
  <si>
    <t>TKT-03263</t>
  </si>
  <si>
    <t>TKT-02701</t>
  </si>
  <si>
    <t>TKT-02971</t>
  </si>
  <si>
    <t>TKT-02422</t>
  </si>
  <si>
    <t>TKT-03633</t>
  </si>
  <si>
    <t>TKT-01434</t>
  </si>
  <si>
    <t>TKT-00960</t>
  </si>
  <si>
    <t>TKT-01272</t>
  </si>
  <si>
    <t>TKT-03400</t>
  </si>
  <si>
    <t>TKT-02617</t>
  </si>
  <si>
    <t>TKT-03071</t>
  </si>
  <si>
    <t>TKT-00020</t>
  </si>
  <si>
    <t>TKT-03936</t>
  </si>
  <si>
    <t>TKT-01840</t>
  </si>
  <si>
    <t>TKT-01598</t>
  </si>
  <si>
    <t>TKT-00322</t>
  </si>
  <si>
    <t>TKT-02357</t>
  </si>
  <si>
    <t>TKT-01390</t>
  </si>
  <si>
    <t>TKT-00586</t>
  </si>
  <si>
    <t>TKT-03892</t>
  </si>
  <si>
    <t>TKT-02711</t>
  </si>
  <si>
    <t>TKT-03545</t>
  </si>
  <si>
    <t>TKT-01912</t>
  </si>
  <si>
    <t>TKT-02988</t>
  </si>
  <si>
    <t>TKT-00026</t>
  </si>
  <si>
    <t>TKT-01345</t>
  </si>
  <si>
    <t>TKT-00771</t>
  </si>
  <si>
    <t>TKT-00515</t>
  </si>
  <si>
    <t>TKT-03632</t>
  </si>
  <si>
    <t>TKT-01583</t>
  </si>
  <si>
    <t>TKT-01256</t>
  </si>
  <si>
    <t>TKT-02519</t>
  </si>
  <si>
    <t>TKT-00082</t>
  </si>
  <si>
    <t>TKT-03984</t>
  </si>
  <si>
    <t>TKT-03615</t>
  </si>
  <si>
    <t>TKT-03399</t>
  </si>
  <si>
    <t>TKT-03538</t>
  </si>
  <si>
    <t>TKT-00952</t>
  </si>
  <si>
    <t>TKT-01293</t>
  </si>
  <si>
    <t>TKT-03458</t>
  </si>
  <si>
    <t>TKT-03833</t>
  </si>
  <si>
    <t>TKT-00005</t>
  </si>
  <si>
    <t>TKT-03791</t>
  </si>
  <si>
    <t>TKT-02606</t>
  </si>
  <si>
    <t>TKT-03519</t>
  </si>
  <si>
    <t>TKT-01029</t>
  </si>
  <si>
    <t>TKT-00498</t>
  </si>
  <si>
    <t>TKT-00639</t>
  </si>
  <si>
    <t>TKT-01373</t>
  </si>
  <si>
    <t>TKT-01806</t>
  </si>
  <si>
    <t>TKT-02539</t>
  </si>
  <si>
    <t>TKT-00897</t>
  </si>
  <si>
    <t>TKT-03141</t>
  </si>
  <si>
    <t>TKT-01088</t>
  </si>
  <si>
    <t>TKT-03098</t>
  </si>
  <si>
    <t>TKT-03737</t>
  </si>
  <si>
    <t>TKT-02823</t>
  </si>
  <si>
    <t>TKT-02798</t>
  </si>
  <si>
    <t>TKT-02267</t>
  </si>
  <si>
    <t>TKT-03135</t>
  </si>
  <si>
    <t>TKT-03138</t>
  </si>
  <si>
    <t>TKT-00833</t>
  </si>
  <si>
    <t>TKT-00914</t>
  </si>
  <si>
    <t>TKT-02894</t>
  </si>
  <si>
    <t>TKT-01836</t>
  </si>
  <si>
    <t>TKT-01589</t>
  </si>
  <si>
    <t>TKT-01151</t>
  </si>
  <si>
    <t>TKT-01753</t>
  </si>
  <si>
    <t>TKT-00737</t>
  </si>
  <si>
    <t>TKT-00173</t>
  </si>
  <si>
    <t>TKT-00921</t>
  </si>
  <si>
    <t>TKT-01240</t>
  </si>
  <si>
    <t>TKT-00797</t>
  </si>
  <si>
    <t>TKT-02936</t>
  </si>
  <si>
    <t>TKT-01490</t>
  </si>
  <si>
    <t>TKT-01908</t>
  </si>
  <si>
    <t>TKT-03004</t>
  </si>
  <si>
    <t>TKT-01264</t>
  </si>
  <si>
    <t>TKT-02104</t>
  </si>
  <si>
    <t>TKT-01391</t>
  </si>
  <si>
    <t>TKT-00427</t>
  </si>
  <si>
    <t>TKT-01652</t>
  </si>
  <si>
    <t>TKT-02700</t>
  </si>
  <si>
    <t>TKT-01512</t>
  </si>
  <si>
    <t>TKT-02674</t>
  </si>
  <si>
    <t>TKT-03201</t>
  </si>
  <si>
    <t>TKT-01413</t>
  </si>
  <si>
    <t>TKT-00477</t>
  </si>
  <si>
    <t>TKT-03780</t>
  </si>
  <si>
    <t>TKT-03962</t>
  </si>
  <si>
    <t>TKT-03049</t>
  </si>
  <si>
    <t>TKT-02538</t>
  </si>
  <si>
    <t>TKT-01832</t>
  </si>
  <si>
    <t>TKT-00216</t>
  </si>
  <si>
    <t>TKT-02078</t>
  </si>
  <si>
    <t>TKT-00674</t>
  </si>
  <si>
    <t>TKT-00449</t>
  </si>
  <si>
    <t>TKT-03775</t>
  </si>
  <si>
    <t>TKT-01211</t>
  </si>
  <si>
    <t>TKT-01577</t>
  </si>
  <si>
    <t>TKT-02015</t>
  </si>
  <si>
    <t>TKT-03266</t>
  </si>
  <si>
    <t>TKT-01335</t>
  </si>
  <si>
    <t>TKT-00398</t>
  </si>
  <si>
    <t>TKT-00435</t>
  </si>
  <si>
    <t>TKT-03512</t>
  </si>
  <si>
    <t>TKT-00084</t>
  </si>
  <si>
    <t>TKT-03540</t>
  </si>
  <si>
    <t>TKT-02480</t>
  </si>
  <si>
    <t>TKT-02658</t>
  </si>
  <si>
    <t>TKT-02528</t>
  </si>
  <si>
    <t>TKT-00153</t>
  </si>
  <si>
    <t>TKT-00466</t>
  </si>
  <si>
    <t>TKT-02879</t>
  </si>
  <si>
    <t>TKT-00190</t>
  </si>
  <si>
    <t>TKT-01023</t>
  </si>
  <si>
    <t>TKT-02024</t>
  </si>
  <si>
    <t>TKT-01382</t>
  </si>
  <si>
    <t>TKT-01939</t>
  </si>
  <si>
    <t>TKT-01383</t>
  </si>
  <si>
    <t>TKT-03698</t>
  </si>
  <si>
    <t>TKT-02895</t>
  </si>
  <si>
    <t>TKT-01056</t>
  </si>
  <si>
    <t>TKT-01464</t>
  </si>
  <si>
    <t>TKT-03972</t>
  </si>
  <si>
    <t>TKT-02825</t>
  </si>
  <si>
    <t>TKT-02604</t>
  </si>
  <si>
    <t>TKT-02344</t>
  </si>
  <si>
    <t>TKT-01499</t>
  </si>
  <si>
    <t>TKT-01158</t>
  </si>
  <si>
    <t>TKT-02743</t>
  </si>
  <si>
    <t>TKT-00990</t>
  </si>
  <si>
    <t>TKT-00516</t>
  </si>
  <si>
    <t>TKT-00829</t>
  </si>
  <si>
    <t>TKT-03995</t>
  </si>
  <si>
    <t>TKT-02249</t>
  </si>
  <si>
    <t>TKT-03548</t>
  </si>
  <si>
    <t>TKT-01997</t>
  </si>
  <si>
    <t>TKT-01829</t>
  </si>
  <si>
    <t>TKT-00742</t>
  </si>
  <si>
    <t>TKT-02969</t>
  </si>
  <si>
    <t>TKT-00699</t>
  </si>
  <si>
    <t>TKT-00492</t>
  </si>
  <si>
    <t>TKT-01183</t>
  </si>
  <si>
    <t>TKT-03072</t>
  </si>
  <si>
    <t>TKT-02880</t>
  </si>
  <si>
    <t>TKT-01675</t>
  </si>
  <si>
    <t>TKT-01728</t>
  </si>
  <si>
    <t>TKT-01493</t>
  </si>
  <si>
    <t>TKT-00547</t>
  </si>
  <si>
    <t>TKT-03148</t>
  </si>
  <si>
    <t>TKT-03942</t>
  </si>
  <si>
    <t>TKT-02553</t>
  </si>
  <si>
    <t>TKT-01821</t>
  </si>
  <si>
    <t>TKT-02420</t>
  </si>
  <si>
    <t>TKT-01995</t>
  </si>
  <si>
    <t>TKT-00299</t>
  </si>
  <si>
    <t>TKT-00278</t>
  </si>
  <si>
    <t>TKT-01053</t>
  </si>
  <si>
    <t>TKT-02985</t>
  </si>
  <si>
    <t>TKT-00598</t>
  </si>
  <si>
    <t>TKT-02328</t>
  </si>
  <si>
    <t>TKT-00597</t>
  </si>
  <si>
    <t>TKT-03246</t>
  </si>
  <si>
    <t>TKT-00224</t>
  </si>
  <si>
    <t>TKT-00849</t>
  </si>
  <si>
    <t>TKT-01315</t>
  </si>
  <si>
    <t>TKT-02176</t>
  </si>
  <si>
    <t>TKT-00860</t>
  </si>
  <si>
    <t>TKT-03811</t>
  </si>
  <si>
    <t>TKT-03507</t>
  </si>
  <si>
    <t>TKT-02019</t>
  </si>
  <si>
    <t>TKT-03037</t>
  </si>
  <si>
    <t>TKT-03666</t>
  </si>
  <si>
    <t>TKT-03982</t>
  </si>
  <si>
    <t>TKT-03244</t>
  </si>
  <si>
    <t>TKT-03559</t>
  </si>
  <si>
    <t>TKT-02219</t>
  </si>
  <si>
    <t>TKT-01339</t>
  </si>
  <si>
    <t>TKT-01969</t>
  </si>
  <si>
    <t>TKT-01654</t>
  </si>
  <si>
    <t>TKT-01738</t>
  </si>
  <si>
    <t>TKT-02602</t>
  </si>
  <si>
    <t>TKT-03067</t>
  </si>
  <si>
    <t>TKT-00888</t>
  </si>
  <si>
    <t>TKT-00030</t>
  </si>
  <si>
    <t>TKT-00654</t>
  </si>
  <si>
    <t>TKT-03255</t>
  </si>
  <si>
    <t>TKT-02130</t>
  </si>
  <si>
    <t>TKT-00187</t>
  </si>
  <si>
    <t>TKT-03451</t>
  </si>
  <si>
    <t>TKT-00064</t>
  </si>
  <si>
    <t>TKT-00196</t>
  </si>
  <si>
    <t>TKT-03103</t>
  </si>
  <si>
    <t>TKT-01962</t>
  </si>
  <si>
    <t>TKT-01646</t>
  </si>
  <si>
    <t>TKT-01261</t>
  </si>
  <si>
    <t>TKT-00209</t>
  </si>
  <si>
    <t>TKT-02793</t>
  </si>
  <si>
    <t>TKT-00957</t>
  </si>
  <si>
    <t>TKT-01044</t>
  </si>
  <si>
    <t>TKT-01052</t>
  </si>
  <si>
    <t>TKT-01114</t>
  </si>
  <si>
    <t>TKT-03865</t>
  </si>
  <si>
    <t>TKT-03883</t>
  </si>
  <si>
    <t>TKT-01748</t>
  </si>
  <si>
    <t>TKT-01192</t>
  </si>
  <si>
    <t>TKT-03358</t>
  </si>
  <si>
    <t>TKT-02122</t>
  </si>
  <si>
    <t>TKT-00706</t>
  </si>
  <si>
    <t>TKT-00553</t>
  </si>
  <si>
    <t>TKT-00486</t>
  </si>
  <si>
    <t>TKT-00144</t>
  </si>
  <si>
    <t>TKT-00719</t>
  </si>
  <si>
    <t>TKT-00257</t>
  </si>
  <si>
    <t>TKT-02044</t>
  </si>
  <si>
    <t>TKT-02889</t>
  </si>
  <si>
    <t>TKT-00002</t>
  </si>
  <si>
    <t>TKT-03911</t>
  </si>
  <si>
    <t>TKT-01411</t>
  </si>
  <si>
    <t>TKT-00071</t>
  </si>
  <si>
    <t>TKT-00324</t>
  </si>
  <si>
    <t>TKT-03754</t>
  </si>
  <si>
    <t>TKT-02448</t>
  </si>
  <si>
    <t>TKT-01081</t>
  </si>
  <si>
    <t>TKT-00896</t>
  </si>
  <si>
    <t>TKT-00463</t>
  </si>
  <si>
    <t>TKT-00399</t>
  </si>
  <si>
    <t>TKT-02646</t>
  </si>
  <si>
    <t>TKT-01546</t>
  </si>
  <si>
    <t>TKT-00510</t>
  </si>
  <si>
    <t>TKT-01967</t>
  </si>
  <si>
    <t>TKT-00580</t>
  </si>
  <si>
    <t>TKT-01791</t>
  </si>
  <si>
    <t>TKT-02038</t>
  </si>
  <si>
    <t>TKT-02662</t>
  </si>
  <si>
    <t>TKT-03080</t>
  </si>
  <si>
    <t>TKT-01933</t>
  </si>
  <si>
    <t>TKT-00186</t>
  </si>
  <si>
    <t>TKT-02140</t>
  </si>
  <si>
    <t>TKT-02435</t>
  </si>
  <si>
    <t>TKT-02113</t>
  </si>
  <si>
    <t>TKT-02611</t>
  </si>
  <si>
    <t>TKT-01515</t>
  </si>
  <si>
    <t>TKT-00577</t>
  </si>
  <si>
    <t>TKT-00886</t>
  </si>
  <si>
    <t>TKT-02461</t>
  </si>
  <si>
    <t>TKT-00105</t>
  </si>
  <si>
    <t>TKT-03970</t>
  </si>
  <si>
    <t>TKT-00723</t>
  </si>
  <si>
    <t>TKT-01992</t>
  </si>
  <si>
    <t>TKT-00379</t>
  </si>
  <si>
    <t>TKT-03426</t>
  </si>
  <si>
    <t>TKT-01071</t>
  </si>
  <si>
    <t>TKT-01260</t>
  </si>
  <si>
    <t>TKT-03506</t>
  </si>
  <si>
    <t>TKT-02956</t>
  </si>
  <si>
    <t>TKT-00656</t>
  </si>
  <si>
    <t>TKT-02905</t>
  </si>
  <si>
    <t>TKT-00998</t>
  </si>
  <si>
    <t>TKT-03497</t>
  </si>
  <si>
    <t>TKT-02481</t>
  </si>
  <si>
    <t>TKT-03904</t>
  </si>
  <si>
    <t>TKT-03286</t>
  </si>
  <si>
    <t>TKT-02292</t>
  </si>
  <si>
    <t>TKT-01513</t>
  </si>
  <si>
    <t>TKT-01473</t>
  </si>
  <si>
    <t>TKT-00410</t>
  </si>
  <si>
    <t>TKT-00735</t>
  </si>
  <si>
    <t>TKT-02294</t>
  </si>
  <si>
    <t>TKT-03530</t>
  </si>
  <si>
    <t>TKT-00147</t>
  </si>
  <si>
    <t>TKT-01632</t>
  </si>
  <si>
    <t>TKT-03485</t>
  </si>
  <si>
    <t>TKT-01481</t>
  </si>
  <si>
    <t>TKT-02502</t>
  </si>
  <si>
    <t>TKT-00238</t>
  </si>
  <si>
    <t>TKT-00471</t>
  </si>
  <si>
    <t>TKT-02194</t>
  </si>
  <si>
    <t>TKT-02410</t>
  </si>
  <si>
    <t>TKT-02069</t>
  </si>
  <si>
    <t>TKT-03063</t>
  </si>
  <si>
    <t>TKT-00555</t>
  </si>
  <si>
    <t>TKT-00817</t>
  </si>
  <si>
    <t>TKT-03651</t>
  </si>
  <si>
    <t>TKT-03887</t>
  </si>
  <si>
    <t>TKT-00377</t>
  </si>
  <si>
    <t>TKT-03057</t>
  </si>
  <si>
    <t>TKT-00965</t>
  </si>
  <si>
    <t>TKT-02717</t>
  </si>
  <si>
    <t>TKT-03652</t>
  </si>
  <si>
    <t>TKT-02163</t>
  </si>
  <si>
    <t>TKT-02234</t>
  </si>
  <si>
    <t>TKT-01491</t>
  </si>
  <si>
    <t>TKT-03441</t>
  </si>
  <si>
    <t>TKT-00488</t>
  </si>
  <si>
    <t>TKT-00316</t>
  </si>
  <si>
    <t>TKT-00541</t>
  </si>
  <si>
    <t>TKT-00703</t>
  </si>
  <si>
    <t>TKT-00765</t>
  </si>
  <si>
    <t>TKT-03411</t>
  </si>
  <si>
    <t>TKT-00672</t>
  </si>
  <si>
    <t>TKT-02447</t>
  </si>
  <si>
    <t>TKT-00529</t>
  </si>
  <si>
    <t>TKT-03515</t>
  </si>
  <si>
    <t>TKT-03823</t>
  </si>
  <si>
    <t>TKT-03436</t>
  </si>
  <si>
    <t>TKT-01543</t>
  </si>
  <si>
    <t>TKT-03331</t>
  </si>
  <si>
    <t>TKT-02499</t>
  </si>
  <si>
    <t>TKT-01509</t>
  </si>
  <si>
    <t>TKT-03923</t>
  </si>
  <si>
    <t>TKT-01575</t>
  </si>
  <si>
    <t>TKT-00356</t>
  </si>
  <si>
    <t>TKT-00770</t>
  </si>
  <si>
    <t>TKT-01295</t>
  </si>
  <si>
    <t>TKT-02487</t>
  </si>
  <si>
    <t>TKT-00901</t>
  </si>
  <si>
    <t>TKT-03105</t>
  </si>
  <si>
    <t>TKT-02241</t>
  </si>
  <si>
    <t>TKT-03742</t>
  </si>
  <si>
    <t>TKT-00357</t>
  </si>
  <si>
    <t>TKT-02128</t>
  </si>
  <si>
    <t>TKT-02730</t>
  </si>
  <si>
    <t>TKT-02932</t>
  </si>
  <si>
    <t>TKT-03630</t>
  </si>
  <si>
    <t>TKT-01927</t>
  </si>
  <si>
    <t>TKT-01274</t>
  </si>
  <si>
    <t>TKT-00027</t>
  </si>
  <si>
    <t>TKT-03372</t>
  </si>
  <si>
    <t>TKT-01319</t>
  </si>
  <si>
    <t>TKT-01917</t>
  </si>
  <si>
    <t>TKT-03618</t>
  </si>
  <si>
    <t>TKT-02853</t>
  </si>
  <si>
    <t>TKT-01576</t>
  </si>
  <si>
    <t>TKT-01006</t>
  </si>
  <si>
    <t>TKT-01590</t>
  </si>
  <si>
    <t>TKT-03498</t>
  </si>
  <si>
    <t>TKT-00149</t>
  </si>
  <si>
    <t>TKT-03254</t>
  </si>
  <si>
    <t>TKT-03953</t>
  </si>
  <si>
    <t>TKT-03433</t>
  </si>
  <si>
    <t>TKT-02088</t>
  </si>
  <si>
    <t>TKT-00346</t>
  </si>
  <si>
    <t>TKT-03890</t>
  </si>
  <si>
    <t>TKT-03528</t>
  </si>
  <si>
    <t>TKT-01015</t>
  </si>
  <si>
    <t>TKT-00701</t>
  </si>
  <si>
    <t>TKT-01238</t>
  </si>
  <si>
    <t>TKT-03928</t>
  </si>
  <si>
    <t>TKT-03605</t>
  </si>
  <si>
    <t>TKT-01441</t>
  </si>
  <si>
    <t>TKT-02781</t>
  </si>
  <si>
    <t>TKT-00352</t>
  </si>
  <si>
    <t>TKT-01510</t>
  </si>
  <si>
    <t>TKT-01443</t>
  </si>
  <si>
    <t>TKT-00293</t>
  </si>
  <si>
    <t>TKT-00297</t>
  </si>
  <si>
    <t>TKT-01865</t>
  </si>
  <si>
    <t>TKT-03239</t>
  </si>
  <si>
    <t>TKT-01033</t>
  </si>
  <si>
    <t>TKT-00158</t>
  </si>
  <si>
    <t>TKT-02914</t>
  </si>
  <si>
    <t>TKT-03764</t>
  </si>
  <si>
    <t>TKT-00537</t>
  </si>
  <si>
    <t>TKT-01253</t>
  </si>
  <si>
    <t>TKT-03085</t>
  </si>
  <si>
    <t>TKT-01989</t>
  </si>
  <si>
    <t>TKT-03165</t>
  </si>
  <si>
    <t>TKT-00538</t>
  </si>
  <si>
    <t>TKT-00361</t>
  </si>
  <si>
    <t>TKT-01672</t>
  </si>
  <si>
    <t>TKT-01185</t>
  </si>
  <si>
    <t>TKT-00250</t>
  </si>
  <si>
    <t>TKT-03991</t>
  </si>
  <si>
    <t>TKT-01724</t>
  </si>
  <si>
    <t>TKT-03587</t>
  </si>
  <si>
    <t>TKT-02474</t>
  </si>
  <si>
    <t>TKT-01747</t>
  </si>
  <si>
    <t>TKT-02810</t>
  </si>
  <si>
    <t>TKT-00755</t>
  </si>
  <si>
    <t>TKT-03228</t>
  </si>
  <si>
    <t>TKT-02178</t>
  </si>
  <si>
    <t>TKT-01623</t>
  </si>
  <si>
    <t>TKT-03623</t>
  </si>
  <si>
    <t>TKT-03975</t>
  </si>
  <si>
    <t>TKT-01112</t>
  </si>
  <si>
    <t>TKT-03773</t>
  </si>
  <si>
    <t>TKT-00085</t>
  </si>
  <si>
    <t>TKT-00808</t>
  </si>
  <si>
    <t>TKT-03542</t>
  </si>
  <si>
    <t>TKT-03278</t>
  </si>
  <si>
    <t>TKT-00746</t>
  </si>
  <si>
    <t>TKT-03211</t>
  </si>
  <si>
    <t>TKT-00432</t>
  </si>
  <si>
    <t>TKT-00647</t>
  </si>
  <si>
    <t>TKT-02786</t>
  </si>
  <si>
    <t>TKT-00229</t>
  </si>
  <si>
    <t>TKT-02479</t>
  </si>
  <si>
    <t>TKT-00718</t>
  </si>
  <si>
    <t>TKT-01709</t>
  </si>
  <si>
    <t>TKT-01469</t>
  </si>
  <si>
    <t>TKT-01906</t>
  </si>
  <si>
    <t>TKT-00193</t>
  </si>
  <si>
    <t>TKT-01872</t>
  </si>
  <si>
    <t>TKT-02518</t>
  </si>
  <si>
    <t>TKT-03914</t>
  </si>
  <si>
    <t>TKT-03586</t>
  </si>
  <si>
    <t>TKT-02318</t>
  </si>
  <si>
    <t>TKT-03843</t>
  </si>
  <si>
    <t>TKT-03864</t>
  </si>
  <si>
    <t>TKT-02978</t>
  </si>
  <si>
    <t>TKT-03191</t>
  </si>
  <si>
    <t>TKT-02555</t>
  </si>
  <si>
    <t>TKT-00801</t>
  </si>
  <si>
    <t>TKT-01218</t>
  </si>
  <si>
    <t>TKT-00643</t>
  </si>
  <si>
    <t>TKT-02165</t>
  </si>
  <si>
    <t>TKT-01454</t>
  </si>
  <si>
    <t>TKT-03146</t>
  </si>
  <si>
    <t>TKT-01195</t>
  </si>
  <si>
    <t>TKT-01925</t>
  </si>
  <si>
    <t>TKT-01587</t>
  </si>
  <si>
    <t>TKT-02651</t>
  </si>
  <si>
    <t>TKT-00715</t>
  </si>
  <si>
    <t>TKT-01986</t>
  </si>
  <si>
    <t>TKT-00712</t>
  </si>
  <si>
    <t>TKT-02819</t>
  </si>
  <si>
    <t>TKT-00087</t>
  </si>
  <si>
    <t>TKT-00533</t>
  </si>
  <si>
    <t>TKT-02164</t>
  </si>
  <si>
    <t>TKT-02766</t>
  </si>
  <si>
    <t>TKT-02594</t>
  </si>
  <si>
    <t>TKT-00751</t>
  </si>
  <si>
    <t>TKT-00378</t>
  </si>
  <si>
    <t>TKT-03681</t>
  </si>
  <si>
    <t>TKT-02670</t>
  </si>
  <si>
    <t>TKT-00079</t>
  </si>
  <si>
    <t>TKT-03529</t>
  </si>
  <si>
    <t>TKT-01423</t>
  </si>
  <si>
    <t>TKT-03546</t>
  </si>
  <si>
    <t>TKT-00648</t>
  </si>
  <si>
    <t>TKT-00910</t>
  </si>
  <si>
    <t>TKT-02310</t>
  </si>
  <si>
    <t>TKT-01484</t>
  </si>
  <si>
    <t>TKT-02645</t>
  </si>
  <si>
    <t>TKT-00534</t>
  </si>
  <si>
    <t>TKT-00841</t>
  </si>
  <si>
    <t>TKT-01758</t>
  </si>
  <si>
    <t>TKT-03729</t>
  </si>
  <si>
    <t>TKT-02614</t>
  </si>
  <si>
    <t>TKT-03897</t>
  </si>
  <si>
    <t>TKT-00962</t>
  </si>
  <si>
    <t>TKT-01938</t>
  </si>
  <si>
    <t>TKT-03215</t>
  </si>
  <si>
    <t>TKT-03474</t>
  </si>
  <si>
    <t>TKT-00448</t>
  </si>
  <si>
    <t>TKT-03422</t>
  </si>
  <si>
    <t>TKT-01720</t>
  </si>
  <si>
    <t>TKT-01570</t>
  </si>
  <si>
    <t>TKT-00265</t>
  </si>
  <si>
    <t>TKT-01426</t>
  </si>
  <si>
    <t>TKT-02865</t>
  </si>
  <si>
    <t>TKT-01245</t>
  </si>
  <si>
    <t>TKT-01402</t>
  </si>
  <si>
    <t>TKT-03053</t>
  </si>
  <si>
    <t>TKT-01138</t>
  </si>
  <si>
    <t>TKT-03260</t>
  </si>
  <si>
    <t>TKT-00544</t>
  </si>
  <si>
    <t>TKT-02097</t>
  </si>
  <si>
    <t>TKT-01352</t>
  </si>
  <si>
    <t>TKT-01393</t>
  </si>
  <si>
    <t>TKT-03180</t>
  </si>
  <si>
    <t>TKT-01199</t>
  </si>
  <si>
    <t>TKT-01474</t>
  </si>
  <si>
    <t>TKT-00593</t>
  </si>
  <si>
    <t>TKT-02676</t>
  </si>
  <si>
    <t>TKT-02404</t>
  </si>
  <si>
    <t>TKT-02079</t>
  </si>
  <si>
    <t>TKT-00657</t>
  </si>
  <si>
    <t>TKT-01344</t>
  </si>
  <si>
    <t>TKT-02593</t>
  </si>
  <si>
    <t>TKT-00687</t>
  </si>
  <si>
    <t>TKT-03670</t>
  </si>
  <si>
    <t>TKT-02443</t>
  </si>
  <si>
    <t>TKT-02312</t>
  </si>
  <si>
    <t>TKT-00694</t>
  </si>
  <si>
    <t>TKT-02242</t>
  </si>
  <si>
    <t>TKT-03354</t>
  </si>
  <si>
    <t>TKT-03557</t>
  </si>
  <si>
    <t>TKT-02266</t>
  </si>
  <si>
    <t>TKT-01205</t>
  </si>
  <si>
    <t>TKT-00120</t>
  </si>
  <si>
    <t>TKT-02692</t>
  </si>
  <si>
    <t>TKT-03851</t>
  </si>
  <si>
    <t>TKT-02394</t>
  </si>
  <si>
    <t>TKT-03938</t>
  </si>
  <si>
    <t>TKT-03850</t>
  </si>
  <si>
    <t>TKT-03476</t>
  </si>
  <si>
    <t>TKT-02251</t>
  </si>
  <si>
    <t>TKT-02127</t>
  </si>
  <si>
    <t>TKT-01132</t>
  </si>
  <si>
    <t>TKT-01869</t>
  </si>
  <si>
    <t>TKT-01830</t>
  </si>
  <si>
    <t>TKT-01466</t>
  </si>
  <si>
    <t>TKT-03617</t>
  </si>
  <si>
    <t>TKT-01804</t>
  </si>
  <si>
    <t>TKT-03264</t>
  </si>
  <si>
    <t>TKT-00417</t>
  </si>
  <si>
    <t>TKT-02316</t>
  </si>
  <si>
    <t>TKT-03094</t>
  </si>
  <si>
    <t>TKT-00487</t>
  </si>
  <si>
    <t>TKT-03034</t>
  </si>
  <si>
    <t>TKT-02232</t>
  </si>
  <si>
    <t>TKT-01279</t>
  </si>
  <si>
    <t>TKT-02822</t>
  </si>
  <si>
    <t>TKT-03891</t>
  </si>
  <si>
    <t>TKT-02719</t>
  </si>
  <si>
    <t>TKT-01544</t>
  </si>
  <si>
    <t>TKT-01187</t>
  </si>
  <si>
    <t>TKT-00748</t>
  </si>
  <si>
    <t>TKT-02976</t>
  </si>
  <si>
    <t>TKT-00097</t>
  </si>
  <si>
    <t>TKT-02144</t>
  </si>
  <si>
    <t>TKT-03186</t>
  </si>
  <si>
    <t>TKT-03269</t>
  </si>
  <si>
    <t>TKT-03027</t>
  </si>
  <si>
    <t>TKT-02314</t>
  </si>
  <si>
    <t>TKT-02003</t>
  </si>
  <si>
    <t>TKT-02198</t>
  </si>
  <si>
    <t>TKT-01338</t>
  </si>
  <si>
    <t>TKT-02595</t>
  </si>
  <si>
    <t>TKT-03136</t>
  </si>
  <si>
    <t>TKT-00390</t>
  </si>
  <si>
    <t>TKT-00232</t>
  </si>
  <si>
    <t>TKT-01136</t>
  </si>
  <si>
    <t>TKT-02436</t>
  </si>
  <si>
    <t>TKT-03478</t>
  </si>
  <si>
    <t>TKT-03356</t>
  </si>
  <si>
    <t>TKT-00835</t>
  </si>
  <si>
    <t>TKT-03456</t>
  </si>
  <si>
    <t>TKT-01500</t>
  </si>
  <si>
    <t>TKT-03256</t>
  </si>
  <si>
    <t>TKT-03868</t>
  </si>
  <si>
    <t>TKT-01186</t>
  </si>
  <si>
    <t>TKT-01270</t>
  </si>
  <si>
    <t>TKT-00329</t>
  </si>
  <si>
    <t>TKT-03901</t>
  </si>
  <si>
    <t>TKT-03225</t>
  </si>
  <si>
    <t>TKT-00075</t>
  </si>
  <si>
    <t>TKT-01323</t>
  </si>
  <si>
    <t>TKT-00472</t>
  </si>
  <si>
    <t>TKT-02639</t>
  </si>
  <si>
    <t>TKT-02209</t>
  </si>
  <si>
    <t>TKT-03304</t>
  </si>
  <si>
    <t>TKT-02817</t>
  </si>
  <si>
    <t>TKT-00973</t>
  </si>
  <si>
    <t>TKT-00664</t>
  </si>
  <si>
    <t>TKT-01679</t>
  </si>
  <si>
    <t>TKT-03905</t>
  </si>
  <si>
    <t>TKT-02935</t>
  </si>
  <si>
    <t>TKT-03570</t>
  </si>
  <si>
    <t>TKT-03457</t>
  </si>
  <si>
    <t>TKT-00549</t>
  </si>
  <si>
    <t>TKT-01825</t>
  </si>
  <si>
    <t>TKT-01756</t>
  </si>
  <si>
    <t>TKT-03197</t>
  </si>
  <si>
    <t>TKT-03293</t>
  </si>
  <si>
    <t>TKT-01701</t>
  </si>
  <si>
    <t>TKT-01792</t>
  </si>
  <si>
    <t>TKT-01936</t>
  </si>
  <si>
    <t>TKT-03771</t>
  </si>
  <si>
    <t>TKT-02228</t>
  </si>
  <si>
    <t>TKT-01131</t>
  </si>
  <si>
    <t>TKT-03305</t>
  </si>
  <si>
    <t>TKT-00292</t>
  </si>
  <si>
    <t>TKT-03522</t>
  </si>
  <si>
    <t>TKT-03894</t>
  </si>
  <si>
    <t>TKT-03558</t>
  </si>
  <si>
    <t>TKT-02582</t>
  </si>
  <si>
    <t>TKT-01788</t>
  </si>
  <si>
    <t>TKT-02442</t>
  </si>
  <si>
    <t>TKT-01403</t>
  </si>
  <si>
    <t>TKT-03751</t>
  </si>
  <si>
    <t>TKT-02206</t>
  </si>
  <si>
    <t>TKT-03432</t>
  </si>
  <si>
    <t>TKT-01562</t>
  </si>
  <si>
    <t>TKT-00953</t>
  </si>
  <si>
    <t>TKT-02145</t>
  </si>
  <si>
    <t>TKT-02036</t>
  </si>
  <si>
    <t>TKT-03355</t>
  </si>
  <si>
    <t>TKT-01973</t>
  </si>
  <si>
    <t>TKT-00104</t>
  </si>
  <si>
    <t>TKT-03592</t>
  </si>
  <si>
    <t>TKT-01079</t>
  </si>
  <si>
    <t>TKT-03409</t>
  </si>
  <si>
    <t>TKT-03607</t>
  </si>
  <si>
    <t>TKT-02256</t>
  </si>
  <si>
    <t>TKT-00239</t>
  </si>
  <si>
    <t>TKT-02945</t>
  </si>
  <si>
    <t>TKT-02747</t>
  </si>
  <si>
    <t>TKT-03344</t>
  </si>
  <si>
    <t>TKT-02791</t>
  </si>
  <si>
    <t>TKT-00798</t>
  </si>
  <si>
    <t>TKT-02605</t>
  </si>
  <si>
    <t>TKT-02047</t>
  </si>
  <si>
    <t>TKT-02477</t>
  </si>
  <si>
    <t>TKT-00240</t>
  </si>
  <si>
    <t>TKT-02765</t>
  </si>
  <si>
    <t>TKT-02843</t>
  </si>
  <si>
    <t>TKT-01674</t>
  </si>
  <si>
    <t>TKT-01536</t>
  </si>
  <si>
    <t>TKT-03855</t>
  </si>
  <si>
    <t>TKT-01296</t>
  </si>
  <si>
    <t>TKT-01144</t>
  </si>
  <si>
    <t>TKT-01958</t>
  </si>
  <si>
    <t>TKT-02777</t>
  </si>
  <si>
    <t>TKT-01043</t>
  </si>
  <si>
    <t>TKT-02541</t>
  </si>
  <si>
    <t>TKT-00042</t>
  </si>
  <si>
    <t>TKT-01628</t>
  </si>
  <si>
    <t>TKT-02503</t>
  </si>
  <si>
    <t>TKT-01065</t>
  </si>
  <si>
    <t>TKT-02383</t>
  </si>
  <si>
    <t>TKT-01102</t>
  </si>
  <si>
    <t>TKT-01785</t>
  </si>
  <si>
    <t>TKT-00192</t>
  </si>
  <si>
    <t>TKT-02190</t>
  </si>
  <si>
    <t>TKT-03238</t>
  </si>
  <si>
    <t>TKT-02457</t>
  </si>
  <si>
    <t>TKT-01708</t>
  </si>
  <si>
    <t>TKT-02136</t>
  </si>
  <si>
    <t>TKT-02056</t>
  </si>
  <si>
    <t>TKT-01517</t>
  </si>
  <si>
    <t>TKT-01837</t>
  </si>
  <si>
    <t>TKT-03227</t>
  </si>
  <si>
    <t>TKT-01057</t>
  </si>
  <si>
    <t>TKT-02229</t>
  </si>
  <si>
    <t>TKT-01665</t>
  </si>
  <si>
    <t>TKT-02871</t>
  </si>
  <si>
    <t>TKT-02385</t>
  </si>
  <si>
    <t>TKT-02997</t>
  </si>
  <si>
    <t>TKT-01956</t>
  </si>
  <si>
    <t>TKT-03736</t>
  </si>
  <si>
    <t>TKT-00151</t>
  </si>
  <si>
    <t>TKT-02302</t>
  </si>
  <si>
    <t>TKT-01637</t>
  </si>
  <si>
    <t>TKT-01173</t>
  </si>
  <si>
    <t>TKT-01699</t>
  </si>
  <si>
    <t>TKT-01008</t>
  </si>
  <si>
    <t>TKT-03527</t>
  </si>
  <si>
    <t>TKT-03417</t>
  </si>
  <si>
    <t>TKT-01571</t>
  </si>
  <si>
    <t>TKT-03790</t>
  </si>
  <si>
    <t>TKT-00508</t>
  </si>
  <si>
    <t>TKT-01820</t>
  </si>
  <si>
    <t>TKT-01692</t>
  </si>
  <si>
    <t>TKT-01856</t>
  </si>
  <si>
    <t>TKT-01420</t>
  </si>
  <si>
    <t>TKT-02336</t>
  </si>
  <si>
    <t>TKT-02428</t>
  </si>
  <si>
    <t>TKT-02120</t>
  </si>
  <si>
    <t>TKT-03196</t>
  </si>
  <si>
    <t>TKT-02515</t>
  </si>
  <si>
    <t>TKT-01017</t>
  </si>
  <si>
    <t>TKT-03185</t>
  </si>
  <si>
    <t>TKT-00912</t>
  </si>
  <si>
    <t>TKT-00428</t>
  </si>
  <si>
    <t>TKT-02620</t>
  </si>
  <si>
    <t>TKT-02171</t>
  </si>
  <si>
    <t>TKT-02535</t>
  </si>
  <si>
    <t>TKT-00077</t>
  </si>
  <si>
    <t>TKT-01622</t>
  </si>
  <si>
    <t>TKT-00741</t>
  </si>
  <si>
    <t>TKT-00332</t>
  </si>
  <si>
    <t>TKT-01154</t>
  </si>
  <si>
    <t>TKT-02180</t>
  </si>
  <si>
    <t>TKT-01889</t>
  </si>
  <si>
    <t>TKT-00351</t>
  </si>
  <si>
    <t>TKT-01009</t>
  </si>
  <si>
    <t>TKT-00938</t>
  </si>
  <si>
    <t>TKT-02324</t>
  </si>
  <si>
    <t>TKT-00697</t>
  </si>
  <si>
    <t>TKT-00971</t>
  </si>
  <si>
    <t>TKT-02722</t>
  </si>
  <si>
    <t>TKT-03335</t>
  </si>
  <si>
    <t>TKT-02696</t>
  </si>
  <si>
    <t>TKT-03261</t>
  </si>
  <si>
    <t>TKT-02565</t>
  </si>
  <si>
    <t>TKT-02017</t>
  </si>
  <si>
    <t>TKT-01380</t>
  </si>
  <si>
    <t>TKT-01600</t>
  </si>
  <si>
    <t>TKT-00935</t>
  </si>
  <si>
    <t>TKT-02333</t>
  </si>
  <si>
    <t>TKT-03504</t>
  </si>
  <si>
    <t>TKT-00608</t>
  </si>
  <si>
    <t>TKT-02258</t>
  </si>
  <si>
    <t>TKT-03884</t>
  </si>
  <si>
    <t>TKT-02153</t>
  </si>
  <si>
    <t>TKT-01518</t>
  </si>
  <si>
    <t>TKT-03680</t>
  </si>
  <si>
    <t>TKT-01580</t>
  </si>
  <si>
    <t>TKT-03525</t>
  </si>
  <si>
    <t>TKT-02629</t>
  </si>
  <si>
    <t>TKT-02358</t>
  </si>
  <si>
    <t>TKT-01307</t>
  </si>
  <si>
    <t>TKT-02429</t>
  </si>
  <si>
    <t>TKT-00622</t>
  </si>
  <si>
    <t>TKT-01141</t>
  </si>
  <si>
    <t>TKT-00198</t>
  </si>
  <si>
    <t>TKT-02468</t>
  </si>
  <si>
    <t>TKT-01049</t>
  </si>
  <si>
    <t>TKT-00442</t>
  </si>
  <si>
    <t>TKT-02854</t>
  </si>
  <si>
    <t>TKT-00975</t>
  </si>
  <si>
    <t>TKT-00230</t>
  </si>
  <si>
    <t>TKT-02721</t>
  </si>
  <si>
    <t>TKT-01945</t>
  </si>
  <si>
    <t>TKT-02233</t>
  </si>
  <si>
    <t>TKT-03033</t>
  </si>
  <si>
    <t>TKT-01316</t>
  </si>
  <si>
    <t>TKT-03300</t>
  </si>
  <si>
    <t>TKT-03298</t>
  </si>
  <si>
    <t>TKT-03900</t>
  </si>
  <si>
    <t>TKT-02146</t>
  </si>
  <si>
    <t>TKT-03408</t>
  </si>
  <si>
    <t>TKT-02362</t>
  </si>
  <si>
    <t>TKT-00651</t>
  </si>
  <si>
    <t>TKT-00918</t>
  </si>
  <si>
    <t>TKT-02386</t>
  </si>
  <si>
    <t>TKT-01358</t>
  </si>
  <si>
    <t>TKT-03109</t>
  </si>
  <si>
    <t>TKT-03075</t>
  </si>
  <si>
    <t>TKT-02732</t>
  </si>
  <si>
    <t>TKT-02957</t>
  </si>
  <si>
    <t>TKT-01062</t>
  </si>
  <si>
    <t>TKT-01594</t>
  </si>
  <si>
    <t>TKT-00821</t>
  </si>
  <si>
    <t>TKT-00983</t>
  </si>
  <si>
    <t>TKT-02446</t>
  </si>
  <si>
    <t>TKT-03351</t>
  </si>
  <si>
    <t>TKT-03370</t>
  </si>
  <si>
    <t>TKT-01932</t>
  </si>
  <si>
    <t>TKT-00383</t>
  </si>
  <si>
    <t>TKT-00526</t>
  </si>
  <si>
    <t>TKT-02785</t>
  </si>
  <si>
    <t>TKT-03483</t>
  </si>
  <si>
    <t>TKT-02421</t>
  </si>
  <si>
    <t>TKT-03119</t>
  </si>
  <si>
    <t>TKT-00794</t>
  </si>
  <si>
    <t>TKT-01064</t>
  </si>
  <si>
    <t>TKT-01732</t>
  </si>
  <si>
    <t>TKT-00705</t>
  </si>
  <si>
    <t>TKT-02199</t>
  </si>
  <si>
    <t>TKT-03861</t>
  </si>
  <si>
    <t>TKT-03532</t>
  </si>
  <si>
    <t>TKT-01786</t>
  </si>
  <si>
    <t>TKT-03578</t>
  </si>
  <si>
    <t>TKT-00592</t>
  </si>
  <si>
    <t>TKT-02725</t>
  </si>
  <si>
    <t>TKT-00412</t>
  </si>
  <si>
    <t>TKT-00418</t>
  </si>
  <si>
    <t>TKT-01755</t>
  </si>
  <si>
    <t>TKT-02724</t>
  </si>
  <si>
    <t>TKT-02931</t>
  </si>
  <si>
    <t>TKT-00756</t>
  </si>
  <si>
    <t>TKT-00135</t>
  </si>
  <si>
    <t>TKT-02808</t>
  </si>
  <si>
    <t>TKT-02663</t>
  </si>
  <si>
    <t>TKT-00680</t>
  </si>
  <si>
    <t>TKT-02011</t>
  </si>
  <si>
    <t>TKT-00373</t>
  </si>
  <si>
    <t>TKT-03042</t>
  </si>
  <si>
    <t>TKT-02094</t>
  </si>
  <si>
    <t>TKT-01410</t>
  </si>
  <si>
    <t>TKT-02427</t>
  </si>
  <si>
    <t>TKT-00617</t>
  </si>
  <si>
    <t>TKT-02123</t>
  </si>
  <si>
    <t>TKT-03205</t>
  </si>
  <si>
    <t>TKT-01729</t>
  </si>
  <si>
    <t>TKT-02156</t>
  </si>
  <si>
    <t>TKT-02280</t>
  </si>
  <si>
    <t>TKT-00353</t>
  </si>
  <si>
    <t>TKT-03174</t>
  </si>
  <si>
    <t>TKT-01396</t>
  </si>
  <si>
    <t>TKT-00053</t>
  </si>
  <si>
    <t>TKT-03770</t>
  </si>
  <si>
    <t>TKT-00055</t>
  </si>
  <si>
    <t>TKT-01991</t>
  </si>
  <si>
    <t>TKT-01663</t>
  </si>
  <si>
    <t>TKT-03382</t>
  </si>
  <si>
    <t>TKT-03472</t>
  </si>
  <si>
    <t>TKT-01243</t>
  </si>
  <si>
    <t>TKT-03510</t>
  </si>
  <si>
    <t>TKT-02922</t>
  </si>
  <si>
    <t>TKT-00006</t>
  </si>
  <si>
    <t>TKT-02091</t>
  </si>
  <si>
    <t>TKT-01397</t>
  </si>
  <si>
    <t>TKT-01124</t>
  </si>
  <si>
    <t>TKT-00638</t>
  </si>
  <si>
    <t>TKT-00724</t>
  </si>
  <si>
    <t>TKT-00780</t>
  </si>
  <si>
    <t>TKT-02112</t>
  </si>
  <si>
    <t>TKT-01068</t>
  </si>
  <si>
    <t>TKT-00913</t>
  </si>
  <si>
    <t>TKT-02607</t>
  </si>
  <si>
    <t>TKT-00271</t>
  </si>
  <si>
    <t>TKT-01798</t>
  </si>
  <si>
    <t>TKT-01480</t>
  </si>
  <si>
    <t>TKT-00226</t>
  </si>
  <si>
    <t>TKT-03459</t>
  </si>
  <si>
    <t>TKT-01773</t>
  </si>
  <si>
    <t>TKT-00260</t>
  </si>
  <si>
    <t>TKT-01200</t>
  </si>
  <si>
    <t>TKT-03373</t>
  </si>
  <si>
    <t>TKT-01290</t>
  </si>
  <si>
    <t>TKT-00245</t>
  </si>
  <si>
    <t>TKT-03268</t>
  </si>
  <si>
    <t>TKT-01050</t>
  </si>
  <si>
    <t>TKT-03801</t>
  </si>
  <si>
    <t>TKT-01115</t>
  </si>
  <si>
    <t>TKT-01828</t>
  </si>
  <si>
    <t>TKT-03381</t>
  </si>
  <si>
    <t>TKT-03634</t>
  </si>
  <si>
    <t>TKT-01740</t>
  </si>
  <si>
    <t>TKT-02820</t>
  </si>
  <si>
    <t>TKT-03935</t>
  </si>
  <si>
    <t>TKT-02748</t>
  </si>
  <si>
    <t>TKT-00812</t>
  </si>
  <si>
    <t>TKT-00559</t>
  </si>
  <si>
    <t>TKT-03566</t>
  </si>
  <si>
    <t>TKT-03705</t>
  </si>
  <si>
    <t>TKT-00499</t>
  </si>
  <si>
    <t>TKT-02598</t>
  </si>
  <si>
    <t>TKT-00425</t>
  </si>
  <si>
    <t>TKT-01960</t>
  </si>
  <si>
    <t>TKT-02210</t>
  </si>
  <si>
    <t>TKT-01407</t>
  </si>
  <si>
    <t>TKT-00125</t>
  </si>
  <si>
    <t>TKT-03985</t>
  </si>
  <si>
    <t>TKT-03700</t>
  </si>
  <si>
    <t>TKT-01783</t>
  </si>
  <si>
    <t>TKT-03025</t>
  </si>
  <si>
    <t>TKT-01516</t>
  </si>
  <si>
    <t>TKT-03709</t>
  </si>
  <si>
    <t>TKT-03315</t>
  </si>
  <si>
    <t>TKT-03187</t>
  </si>
  <si>
    <t>TKT-00898</t>
  </si>
  <si>
    <t>TKT-03003</t>
  </si>
  <si>
    <t>TKT-02569</t>
  </si>
  <si>
    <t>TKT-02630</t>
  </si>
  <si>
    <t>TKT-01425</t>
  </si>
  <si>
    <t>TKT-00728</t>
  </si>
  <si>
    <t>TKT-00142</t>
  </si>
  <si>
    <t>TKT-03635</t>
  </si>
  <si>
    <t>TKT-00145</t>
  </si>
  <si>
    <t>TKT-00650</t>
  </si>
  <si>
    <t>TKT-00993</t>
  </si>
  <si>
    <t>TKT-00689</t>
  </si>
  <si>
    <t>TKT-01302</t>
  </si>
  <si>
    <t>TKT-03961</t>
  </si>
  <si>
    <t>TKT-03124</t>
  </si>
  <si>
    <t>TKT-02736</t>
  </si>
  <si>
    <t>TKT-02463</t>
  </si>
  <si>
    <t>TKT-01092</t>
  </si>
  <si>
    <t>TKT-02972</t>
  </si>
  <si>
    <t>TKT-02821</t>
  </si>
  <si>
    <t>TKT-03152</t>
  </si>
  <si>
    <t>TKT-01940</t>
  </si>
  <si>
    <t>TKT-02490</t>
  </si>
  <si>
    <t>TKT-02874</t>
  </si>
  <si>
    <t>TKT-00161</t>
  </si>
  <si>
    <t>TKT-00850</t>
  </si>
  <si>
    <t>TKT-03880</t>
  </si>
  <si>
    <t>TKT-03959</t>
  </si>
  <si>
    <t>TKT-01901</t>
  </si>
  <si>
    <t>TKT-02415</t>
  </si>
  <si>
    <t>TKT-02002</t>
  </si>
  <si>
    <t>TKT-00600</t>
  </si>
  <si>
    <t>TKT-03778</t>
  </si>
  <si>
    <t>TKT-00315</t>
  </si>
  <si>
    <t>TKT-00693</t>
  </si>
  <si>
    <t>TKT-02082</t>
  </si>
  <si>
    <t>TKT-03450</t>
  </si>
  <si>
    <t>TKT-03871</t>
  </si>
  <si>
    <t>TKT-01895</t>
  </si>
  <si>
    <t>TKT-01040</t>
  </si>
  <si>
    <t>TKT-02694</t>
  </si>
  <si>
    <t>TKT-03505</t>
  </si>
  <si>
    <t>TKT-00839</t>
  </si>
  <si>
    <t>TKT-00014</t>
  </si>
  <si>
    <t>TKT-00093</t>
  </si>
  <si>
    <t>TKT-00049</t>
  </si>
  <si>
    <t>TKT-02506</t>
  </si>
  <si>
    <t>TKT-00879</t>
  </si>
  <si>
    <t>TKT-01673</t>
  </si>
  <si>
    <t>TKT-02805</t>
  </si>
  <si>
    <t>TKT-03126</t>
  </si>
  <si>
    <t>TKT-02080</t>
  </si>
  <si>
    <t>TKT-00126</t>
  </si>
  <si>
    <t>TKT-00069</t>
  </si>
  <si>
    <t>TKT-02628</t>
  </si>
  <si>
    <t>TKT-02735</t>
  </si>
  <si>
    <t>TKT-01167</t>
  </si>
  <si>
    <t>TKT-00391</t>
  </si>
  <si>
    <t>TKT-00738</t>
  </si>
  <si>
    <t>TKT-03761</t>
  </si>
  <si>
    <t>TKT-02154</t>
  </si>
  <si>
    <t>TKT-00772</t>
  </si>
  <si>
    <t>TKT-01447</t>
  </si>
  <si>
    <t>TKT-02475</t>
  </si>
  <si>
    <t>TKT-00899</t>
  </si>
  <si>
    <t>TKT-03686</t>
  </si>
  <si>
    <t>TKT-03416</t>
  </si>
  <si>
    <t>TKT-02291</t>
  </si>
  <si>
    <t>TKT-01294</t>
  </si>
  <si>
    <t>TKT-01326</t>
  </si>
  <si>
    <t>TKT-02873</t>
  </si>
  <si>
    <t>TKT-02317</t>
  </si>
  <si>
    <t>TKT-00156</t>
  </si>
  <si>
    <t>TKT-02244</t>
  </si>
  <si>
    <t>TKT-00382</t>
  </si>
  <si>
    <t>TKT-02681</t>
  </si>
  <si>
    <t>TKT-02877</t>
  </si>
  <si>
    <t>TKT-01579</t>
  </si>
  <si>
    <t>TKT-03291</t>
  </si>
  <si>
    <t>TKT-03669</t>
  </si>
  <si>
    <t>TKT-02768</t>
  </si>
  <si>
    <t>TKT-02071</t>
  </si>
  <si>
    <t>TKT-03046</t>
  </si>
  <si>
    <t>TKT-01003</t>
  </si>
  <si>
    <t>TKT-01602</t>
  </si>
  <si>
    <t>TKT-03595</t>
  </si>
  <si>
    <t>TKT-00922</t>
  </si>
  <si>
    <t>TKT-01468</t>
  </si>
  <si>
    <t>TKT-02293</t>
  </si>
  <si>
    <t>TKT-02021</t>
  </si>
  <si>
    <t>TKT-00331</t>
  </si>
  <si>
    <t>TKT-03198</t>
  </si>
  <si>
    <t>TKT-00040</t>
  </si>
  <si>
    <t>TKT-00900</t>
  </si>
  <si>
    <t>TKT-01883</t>
  </si>
  <si>
    <t>TKT-00457</t>
  </si>
  <si>
    <t>TKT-01424</t>
  </si>
  <si>
    <t>TKT-00543</t>
  </si>
  <si>
    <t>TKT-02644</t>
  </si>
  <si>
    <t>TKT-01072</t>
  </si>
  <si>
    <t>TKT-03893</t>
  </si>
  <si>
    <t>TKT-03844</t>
  </si>
  <si>
    <t>TKT-02684</t>
  </si>
  <si>
    <t>TKT-01357</t>
  </si>
  <si>
    <t>TKT-03845</t>
  </si>
  <si>
    <t>TKT-02101</t>
  </si>
  <si>
    <t>TKT-01781</t>
  </si>
  <si>
    <t>TKT-01808</t>
  </si>
  <si>
    <t>TKT-00776</t>
  </si>
  <si>
    <t>TKT-03989</t>
  </si>
  <si>
    <t>TKT-03469</t>
  </si>
  <si>
    <t>TKT-01107</t>
  </si>
  <si>
    <t>TKT-00438</t>
  </si>
  <si>
    <t>TKT-03999</t>
  </si>
  <si>
    <t>TKT-01657</t>
  </si>
  <si>
    <t>TKT-01626</t>
  </si>
  <si>
    <t>TKT-00627</t>
  </si>
  <si>
    <t>TKT-02389</t>
  </si>
  <si>
    <t>TKT-01483</t>
  </si>
  <si>
    <t>TKT-01592</t>
  </si>
  <si>
    <t>TKT-02006</t>
  </si>
  <si>
    <t>TKT-01554</t>
  </si>
  <si>
    <t>TKT-02981</t>
  </si>
  <si>
    <t>TKT-01348</t>
  </si>
  <si>
    <t>TKT-01133</t>
  </si>
  <si>
    <t>TKT-03461</t>
  </si>
  <si>
    <t>TKT-00188</t>
  </si>
  <si>
    <t>TKT-02703</t>
  </si>
  <si>
    <t>TKT-00280</t>
  </si>
  <si>
    <t>TKT-00072</t>
  </si>
  <si>
    <t>TKT-03435</t>
  </si>
  <si>
    <t>TKT-00375</t>
  </si>
  <si>
    <t>TKT-00013</t>
  </si>
  <si>
    <t>TKT-00637</t>
  </si>
  <si>
    <t>TKT-00791</t>
  </si>
  <si>
    <t>TKT-03316</t>
  </si>
  <si>
    <t>TKT-01428</t>
  </si>
  <si>
    <t>TKT-00717</t>
  </si>
  <si>
    <t>TKT-03424</t>
  </si>
  <si>
    <t>TKT-02657</t>
  </si>
  <si>
    <t>TKT-03121</t>
  </si>
  <si>
    <t>TKT-03954</t>
  </si>
  <si>
    <t>TKT-03008</t>
  </si>
  <si>
    <t>TKT-03603</t>
  </si>
  <si>
    <t>TKT-03629</t>
  </si>
  <si>
    <t>TKT-00017</t>
  </si>
  <si>
    <t>TKT-03153</t>
  </si>
  <si>
    <t>TKT-01712</t>
  </si>
  <si>
    <t>TKT-01567</t>
  </si>
  <si>
    <t>TKT-03549</t>
  </si>
  <si>
    <t>TKT-03161</t>
  </si>
  <si>
    <t>TKT-03017</t>
  </si>
  <si>
    <t>TKT-01769</t>
  </si>
  <si>
    <t>TKT-00644</t>
  </si>
  <si>
    <t>TKT-01164</t>
  </si>
  <si>
    <t>TKT-01745</t>
  </si>
  <si>
    <t>TKT-00609</t>
  </si>
  <si>
    <t>TKT-03967</t>
  </si>
  <si>
    <t>TKT-02119</t>
  </si>
  <si>
    <t>TKT-00926</t>
  </si>
  <si>
    <t>TKT-03589</t>
  </si>
  <si>
    <t>TKT-02902</t>
  </si>
  <si>
    <t>TKT-01861</t>
  </si>
  <si>
    <t>TKT-01616</t>
  </si>
  <si>
    <t>TKT-00943</t>
  </si>
  <si>
    <t>TKT-03360</t>
  </si>
  <si>
    <t>TKT-01810</t>
  </si>
  <si>
    <t>TKT-01377</t>
  </si>
  <si>
    <t>TKT-00372</t>
  </si>
  <si>
    <t>TKT-02076</t>
  </si>
  <si>
    <t>TKT-01563</t>
  </si>
  <si>
    <t>TKT-01310</t>
  </si>
  <si>
    <t>TKT-01247</t>
  </si>
  <si>
    <t>TKT-03336</t>
  </si>
  <si>
    <t>TKT-00159</t>
  </si>
  <si>
    <t>TKT-01207</t>
  </si>
  <si>
    <t>TKT-03974</t>
  </si>
  <si>
    <t>TKT-01710</t>
  </si>
  <si>
    <t>TKT-03863</t>
  </si>
  <si>
    <t>TKT-03287</t>
  </si>
  <si>
    <t>TKT-00490</t>
  </si>
  <si>
    <t>TKT-01961</t>
  </si>
  <si>
    <t>TKT-01648</t>
  </si>
  <si>
    <t>TKT-02507</t>
  </si>
  <si>
    <t>TKT-02804</t>
  </si>
  <si>
    <t>TKT-03394</t>
  </si>
  <si>
    <t>TKT-01734</t>
  </si>
  <si>
    <t>TKT-03016</t>
  </si>
  <si>
    <t>TKT-02532</t>
  </si>
  <si>
    <t>TKT-03569</t>
  </si>
  <si>
    <t>TKT-00414</t>
  </si>
  <si>
    <t>TKT-01372</t>
  </si>
  <si>
    <t>TKT-03289</t>
  </si>
  <si>
    <t>TKT-02564</t>
  </si>
  <si>
    <t>TKT-00179</t>
  </si>
  <si>
    <t>TKT-00444</t>
  </si>
  <si>
    <t>TKT-02406</t>
  </si>
  <si>
    <t>TKT-03973</t>
  </si>
  <si>
    <t>TKT-02995</t>
  </si>
  <si>
    <t>TKT-00696</t>
  </si>
  <si>
    <t>TKT-00259</t>
  </si>
  <si>
    <t>TKT-03058</t>
  </si>
  <si>
    <t>TKT-01662</t>
  </si>
  <si>
    <t>TKT-00304</t>
  </si>
  <si>
    <t>TKT-02952</t>
  </si>
  <si>
    <t>TKT-02398</t>
  </si>
  <si>
    <t>TKT-01287</t>
  </si>
  <si>
    <t>TKT-02059</t>
  </si>
  <si>
    <t>TKT-02376</t>
  </si>
  <si>
    <t>TKT-03407</t>
  </si>
  <si>
    <t>TKT-00758</t>
  </si>
  <si>
    <t>TKT-00583</t>
  </si>
  <si>
    <t>TKT-00822</t>
  </si>
  <si>
    <t>TKT-03514</t>
  </si>
  <si>
    <t>TKT-03171</t>
  </si>
  <si>
    <t>TKT-02455</t>
  </si>
  <si>
    <t>TKT-01529</t>
  </si>
  <si>
    <t>TKT-03250</t>
  </si>
  <si>
    <t>TKT-00419</t>
  </si>
  <si>
    <t>TKT-03663</t>
  </si>
  <si>
    <t>TKT-03556</t>
  </si>
  <si>
    <t>TKT-00294</t>
  </si>
  <si>
    <t>TKT-03730</t>
  </si>
  <si>
    <t>TKT-00344</t>
  </si>
  <si>
    <t>TKT-03475</t>
  </si>
  <si>
    <t>TKT-03167</t>
  </si>
  <si>
    <t>TKT-01787</t>
  </si>
  <si>
    <t>TKT-00881</t>
  </si>
  <si>
    <t>TKT-01258</t>
  </si>
  <si>
    <t>TKT-01885</t>
  </si>
  <si>
    <t>TKT-02992</t>
  </si>
  <si>
    <t>TKT-00494</t>
  </si>
  <si>
    <t>TKT-01067</t>
  </si>
  <si>
    <t>TKT-02462</t>
  </si>
  <si>
    <t>TKT-03563</t>
  </si>
  <si>
    <t>TKT-01031</t>
  </si>
  <si>
    <t>TKT-01617</t>
  </si>
  <si>
    <t>TKT-00671</t>
  </si>
  <si>
    <t>TKT-01844</t>
  </si>
  <si>
    <t>TKT-02055</t>
  </si>
  <si>
    <t>TKT-03401</t>
  </si>
  <si>
    <t>TKT-02272</t>
  </si>
  <si>
    <t>TKT-02912</t>
  </si>
  <si>
    <t>TKT-00024</t>
  </si>
  <si>
    <t>TKT-03711</t>
  </si>
  <si>
    <t>TKT-02954</t>
  </si>
  <si>
    <t>TKT-03144</t>
  </si>
  <si>
    <t>TKT-02771</t>
  </si>
  <si>
    <t>TKT-01371</t>
  </si>
  <si>
    <t>TKT-03154</t>
  </si>
  <si>
    <t>TKT-00440</t>
  </si>
  <si>
    <t>TKT-00757</t>
  </si>
  <si>
    <t>TKT-01815</t>
  </si>
  <si>
    <t>TKT-00503</t>
  </si>
  <si>
    <t>TKT-01127</t>
  </si>
  <si>
    <t>TKT-00999</t>
  </si>
  <si>
    <t>TKT-03621</t>
  </si>
  <si>
    <t>TKT-02531</t>
  </si>
  <si>
    <t>TKT-01552</t>
  </si>
  <si>
    <t>TKT-02016</t>
  </si>
  <si>
    <t>TKT-01259</t>
  </si>
  <si>
    <t>TKT-03763</t>
  </si>
  <si>
    <t>TKT-02092</t>
  </si>
  <si>
    <t>TKT-03482</t>
  </si>
  <si>
    <t>TKT-03245</t>
  </si>
  <si>
    <t>TKT-02522</t>
  </si>
  <si>
    <t>TKT-02926</t>
  </si>
  <si>
    <t>TKT-03648</t>
  </si>
  <si>
    <t>TKT-00852</t>
  </si>
  <si>
    <t>TKT-01284</t>
  </si>
  <si>
    <t>TKT-02090</t>
  </si>
  <si>
    <t>TKT-00868</t>
  </si>
  <si>
    <t>TKT-02946</t>
  </si>
  <si>
    <t>TKT-01488</t>
  </si>
  <si>
    <t>TKT-00364</t>
  </si>
  <si>
    <t>TKT-00139</t>
  </si>
  <si>
    <t>TKT-03882</t>
  </si>
  <si>
    <t>TKT-03043</t>
  </si>
  <si>
    <t>TKT-01409</t>
  </si>
  <si>
    <t>TKT-00405</t>
  </si>
  <si>
    <t>TKT-00148</t>
  </si>
  <si>
    <t>TKT-01619</t>
  </si>
  <si>
    <t>TKT-00525</t>
  </si>
  <si>
    <t>TKT-02051</t>
  </si>
  <si>
    <t>TKT-03014</t>
  </si>
  <si>
    <t>TKT-00793</t>
  </si>
  <si>
    <t>TKT-02215</t>
  </si>
  <si>
    <t>TKT-03110</t>
  </si>
  <si>
    <t>TKT-03946</t>
  </si>
  <si>
    <t>TKT-02715</t>
  </si>
  <si>
    <t>TKT-03564</t>
  </si>
  <si>
    <t>TKT-02844</t>
  </si>
  <si>
    <t>TKT-02870</t>
  </si>
  <si>
    <t>TKT-03221</t>
  </si>
  <si>
    <t>TKT-02974</t>
  </si>
  <si>
    <t>TKT-02221</t>
  </si>
  <si>
    <t>TKT-01230</t>
  </si>
  <si>
    <t>TKT-03856</t>
  </si>
  <si>
    <t>TKT-00991</t>
  </si>
  <si>
    <t>TKT-02993</t>
  </si>
  <si>
    <t>TKT-03969</t>
  </si>
  <si>
    <t>TKT-03840</t>
  </si>
  <si>
    <t>TKT-01993</t>
  </si>
  <si>
    <t>TKT-01757</t>
  </si>
  <si>
    <t>TKT-02885</t>
  </si>
  <si>
    <t>TKT-01963</t>
  </si>
  <si>
    <t>TKT-01976</t>
  </si>
  <si>
    <t>TKT-01039</t>
  </si>
  <si>
    <t>TKT-00041</t>
  </si>
  <si>
    <t>TKT-00309</t>
  </si>
  <si>
    <t>TKT-03184</t>
  </si>
  <si>
    <t>TKT-01586</t>
  </si>
  <si>
    <t>TKT-02373</t>
  </si>
  <si>
    <t>TKT-03767</t>
  </si>
  <si>
    <t>TKT-03661</t>
  </si>
  <si>
    <t>TKT-00781</t>
  </si>
  <si>
    <t>TKT-01871</t>
  </si>
  <si>
    <t>TKT-01422</t>
  </si>
  <si>
    <t>TKT-03591</t>
  </si>
  <si>
    <t>TKT-02661</t>
  </si>
  <si>
    <t>TKT-03199</t>
  </si>
  <si>
    <t>TKT-01853</t>
  </si>
  <si>
    <t>TKT-01001</t>
  </si>
  <si>
    <t>TKT-02546</t>
  </si>
  <si>
    <t>TKT-03142</t>
  </si>
  <si>
    <t>TKT-01947</t>
  </si>
  <si>
    <t>TKT-04000</t>
  </si>
  <si>
    <t>TKT-02434</t>
  </si>
  <si>
    <t>TKT-02517</t>
  </si>
  <si>
    <t>TKT-01638</t>
  </si>
  <si>
    <t>TKT-01656</t>
  </si>
  <si>
    <t>TKT-00155</t>
  </si>
  <si>
    <t>TKT-02764</t>
  </si>
  <si>
    <t>TKT-02464</t>
  </si>
  <si>
    <t>TKT-00721</t>
  </si>
  <si>
    <t>TKT-00814</t>
  </si>
  <si>
    <t>TKT-00339</t>
  </si>
  <si>
    <t>TKT-03509</t>
  </si>
  <si>
    <t>TKT-01470</t>
  </si>
  <si>
    <t>TKT-03329</t>
  </si>
  <si>
    <t>TKT-03039</t>
  </si>
  <si>
    <t>TKT-00653</t>
  </si>
  <si>
    <t>TKT-02616</t>
  </si>
  <si>
    <t>TKT-02705</t>
  </si>
  <si>
    <t>TKT-01862</t>
  </si>
  <si>
    <t>TKT-01931</t>
  </si>
  <si>
    <t>TKT-01281</t>
  </si>
  <si>
    <t>TKT-00423</t>
  </si>
  <si>
    <t>TKT-00923</t>
  </si>
  <si>
    <t>TKT-01121</t>
  </si>
  <si>
    <t>TKT-01875</t>
  </si>
  <si>
    <t>TKT-03699</t>
  </si>
  <si>
    <t>TKT-02393</t>
  </si>
  <si>
    <t>TKT-02089</t>
  </si>
  <si>
    <t>TKT-03496</t>
  </si>
  <si>
    <t>TKT-00459</t>
  </si>
  <si>
    <t>TKT-02846</t>
  </si>
  <si>
    <t>TKT-02975</t>
  </si>
  <si>
    <t>TKT-01778</t>
  </si>
  <si>
    <t>TKT-03418</t>
  </si>
  <si>
    <t>TKT-01558</t>
  </si>
  <si>
    <t>TKT-03099</t>
  </si>
  <si>
    <t>TKT-01255</t>
  </si>
  <si>
    <t>TKT-02444</t>
  </si>
  <si>
    <t>TKT-03659</t>
  </si>
  <si>
    <t>TKT-02025</t>
  </si>
  <si>
    <t>TKT-01239</t>
  </si>
  <si>
    <t>TKT-03281</t>
  </si>
  <si>
    <t>TKT-02783</t>
  </si>
  <si>
    <t>TKT-01703</t>
  </si>
  <si>
    <t>TKT-00094</t>
  </si>
  <si>
    <t>TKT-00219</t>
  </si>
  <si>
    <t>TKT-02340</t>
  </si>
  <si>
    <t>TKT-03009</t>
  </si>
  <si>
    <t>TKT-03677</t>
  </si>
  <si>
    <t>TKT-00636</t>
  </si>
  <si>
    <t>TKT-01077</t>
  </si>
  <si>
    <t>TKT-00162</t>
  </si>
  <si>
    <t>TKT-02695</t>
  </si>
  <si>
    <t>TKT-01697</t>
  </si>
  <si>
    <t>TKT-02187</t>
  </si>
  <si>
    <t>TKT-00848</t>
  </si>
  <si>
    <t>TKT-02948</t>
  </si>
  <si>
    <t>TKT-02225</t>
  </si>
  <si>
    <t>TKT-03383</t>
  </si>
  <si>
    <t>TKT-02545</t>
  </si>
  <si>
    <t>TKT-03162</t>
  </si>
  <si>
    <t>TKT-00420</t>
  </si>
  <si>
    <t>TKT-01849</t>
  </si>
  <si>
    <t>TKT-00091</t>
  </si>
  <si>
    <t>TKT-02784</t>
  </si>
  <si>
    <t>TKT-00753</t>
  </si>
  <si>
    <t>TKT-02496</t>
  </si>
  <si>
    <t>TKT-00287</t>
  </si>
  <si>
    <t>TKT-03194</t>
  </si>
  <si>
    <t>TKT-02949</t>
  </si>
  <si>
    <t>TKT-00060</t>
  </si>
  <si>
    <t>TKT-02074</t>
  </si>
  <si>
    <t>TKT-02236</t>
  </si>
  <si>
    <t>TKT-01886</t>
  </si>
  <si>
    <t>TKT-00365</t>
  </si>
  <si>
    <t>TKT-03149</t>
  </si>
  <si>
    <t>TKT-03288</t>
  </si>
  <si>
    <t>TKT-00963</t>
  </si>
  <si>
    <t>TKT-01117</t>
  </si>
  <si>
    <t>TKT-01807</t>
  </si>
  <si>
    <t>TKT-00080</t>
  </si>
  <si>
    <t>TKT-01097</t>
  </si>
  <si>
    <t>TKT-01406</t>
  </si>
  <si>
    <t>TKT-03588</t>
  </si>
  <si>
    <t>TKT-00883</t>
  </si>
  <si>
    <t>TKT-01150</t>
  </si>
  <si>
    <t>TKT-02114</t>
  </si>
  <si>
    <t>TKT-00895</t>
  </si>
  <si>
    <t>TKT-00130</t>
  </si>
  <si>
    <t>TKT-00548</t>
  </si>
  <si>
    <t>TKT-00784</t>
  </si>
  <si>
    <t>TKT-03964</t>
  </si>
  <si>
    <t>TKT-01520</t>
  </si>
  <si>
    <t>TKT-00558</t>
  </si>
  <si>
    <t>TKT-01784</t>
  </si>
  <si>
    <t>TKT-01220</t>
  </si>
  <si>
    <t>TKT-03252</t>
  </si>
  <si>
    <t>TKT-03898</t>
  </si>
  <si>
    <t>TKT-02366</t>
  </si>
  <si>
    <t>TKT-03160</t>
  </si>
  <si>
    <t>TKT-03150</t>
  </si>
  <si>
    <t>TKT-00234</t>
  </si>
  <si>
    <t>TKT-03026</t>
  </si>
  <si>
    <t>TKT-01463</t>
  </si>
  <si>
    <t>TKT-00866</t>
  </si>
  <si>
    <t>TKT-03608</t>
  </si>
  <si>
    <t>TKT-01605</t>
  </si>
  <si>
    <t>TKT-00468</t>
  </si>
  <si>
    <t>TKT-01283</t>
  </si>
  <si>
    <t>TKT-02563</t>
  </si>
  <si>
    <t>TKT-02964</t>
  </si>
  <si>
    <t>TKT-01955</t>
  </si>
  <si>
    <t>TKT-03859</t>
  </si>
  <si>
    <t>TKT-02544</t>
  </si>
  <si>
    <t>TKT-02756</t>
  </si>
  <si>
    <t>TKT-01242</t>
  </si>
  <si>
    <t>TKT-01503</t>
  </si>
  <si>
    <t>TKT-03455</t>
  </si>
  <si>
    <t>TKT-01905</t>
  </si>
  <si>
    <t>TKT-00604</t>
  </si>
  <si>
    <t>TKT-00826</t>
  </si>
  <si>
    <t>TKT-01645</t>
  </si>
  <si>
    <t>TKT-03888</t>
  </si>
  <si>
    <t>TKT-01504</t>
  </si>
  <si>
    <t>TKT-02869</t>
  </si>
  <si>
    <t>TKT-03092</t>
  </si>
  <si>
    <t>TKT-02060</t>
  </si>
  <si>
    <t>TKT-01746</t>
  </si>
  <si>
    <t>TKT-00328</t>
  </si>
  <si>
    <t>TKT-00827</t>
  </si>
  <si>
    <t>TKT-00796</t>
  </si>
  <si>
    <t>TKT-03061</t>
  </si>
  <si>
    <t>TKT-03499</t>
  </si>
  <si>
    <t>TKT-00902</t>
  </si>
  <si>
    <t>TKT-02752</t>
  </si>
  <si>
    <t>TKT-02984</t>
  </si>
  <si>
    <t>TKT-01975</t>
  </si>
  <si>
    <t>TKT-00455</t>
  </si>
  <si>
    <t>TKT-00465</t>
  </si>
  <si>
    <t>TKT-01655</t>
  </si>
  <si>
    <t>TKT-00603</t>
  </si>
  <si>
    <t>TKT-01764</t>
  </si>
  <si>
    <t>TKT-02631</t>
  </si>
  <si>
    <t>TKT-00269</t>
  </si>
  <si>
    <t>TKT-02714</t>
  </si>
  <si>
    <t>TKT-00341</t>
  </si>
  <si>
    <t>TKT-03782</t>
  </si>
  <si>
    <t>TKT-02138</t>
  </si>
  <si>
    <t>TKT-00535</t>
  </si>
  <si>
    <t>TKT-03701</t>
  </si>
  <si>
    <t>TKT-01880</t>
  </si>
  <si>
    <t>TKT-00231</t>
  </si>
  <si>
    <t>TKT-00469</t>
  </si>
  <si>
    <t>TKT-01123</t>
  </si>
  <si>
    <t>TKT-02285</t>
  </si>
  <si>
    <t>TKT-01478</t>
  </si>
  <si>
    <t>TKT-01717</t>
  </si>
  <si>
    <t>TKT-00790</t>
  </si>
  <si>
    <t>TKT-00065</t>
  </si>
  <si>
    <t>TKT-03766</t>
  </si>
  <si>
    <t>TKT-02412</t>
  </si>
  <si>
    <t>TKT-00400</t>
  </si>
  <si>
    <t>TKT-03319</t>
  </si>
  <si>
    <t>TKT-03164</t>
  </si>
  <si>
    <t>TKT-03886</t>
  </si>
  <si>
    <t>TKT-01511</t>
  </si>
  <si>
    <t>TKT-00824</t>
  </si>
  <si>
    <t>TKT-01519</t>
  </si>
  <si>
    <t>TKT-03899</t>
  </si>
  <si>
    <t>TKT-02401</t>
  </si>
  <si>
    <t>TKT-03390</t>
  </si>
  <si>
    <t>TKT-02440</t>
  </si>
  <si>
    <t>TKT-03041</t>
  </si>
  <si>
    <t>TKT-00987</t>
  </si>
  <si>
    <t>TKT-00831</t>
  </si>
  <si>
    <t>TKT-02587</t>
  </si>
  <si>
    <t>TKT-00762</t>
  </si>
  <si>
    <t>TKT-02384</t>
  </si>
  <si>
    <t>TKT-02032</t>
  </si>
  <si>
    <t>TKT-00458</t>
  </si>
  <si>
    <t>TKT-01855</t>
  </si>
  <si>
    <t>TKT-00421</t>
  </si>
  <si>
    <t>TKT-03176</t>
  </si>
  <si>
    <t>TKT-01142</t>
  </si>
  <si>
    <t>TKT-00291</t>
  </si>
  <si>
    <t>TKT-03306</t>
  </si>
  <si>
    <t>TKT-01254</t>
  </si>
  <si>
    <t>TKT-00682</t>
  </si>
  <si>
    <t>TKT-02960</t>
  </si>
  <si>
    <t>TKT-03320</t>
  </si>
  <si>
    <t>TKT-01012</t>
  </si>
  <si>
    <t>TKT-00667</t>
  </si>
  <si>
    <t>TKT-03011</t>
  </si>
  <si>
    <t>TKT-00393</t>
  </si>
  <si>
    <t>TKT-00267</t>
  </si>
  <si>
    <t>TKT-00625</t>
  </si>
  <si>
    <t>TKT-00789</t>
  </si>
  <si>
    <t>TKT-00633</t>
  </si>
  <si>
    <t>TKT-03428</t>
  </si>
  <si>
    <t>TKT-02633</t>
  </si>
  <si>
    <t>TKT-01609</t>
  </si>
  <si>
    <t>TKT-00066</t>
  </si>
  <si>
    <t>TKT-00039</t>
  </si>
  <si>
    <t>TKT-02570</t>
  </si>
  <si>
    <t>TKT-00501</t>
  </si>
  <si>
    <t>TKT-00911</t>
  </si>
  <si>
    <t>TKT-03520</t>
  </si>
  <si>
    <t>TKT-00554</t>
  </si>
  <si>
    <t>TKT-00785</t>
  </si>
  <si>
    <t>TKT-00928</t>
  </si>
  <si>
    <t>TKT-01055</t>
  </si>
  <si>
    <t>TKT-02377</t>
  </si>
  <si>
    <t>TKT-03873</t>
  </si>
  <si>
    <t>TKT-01928</t>
  </si>
  <si>
    <t>TKT-01700</t>
  </si>
  <si>
    <t>TKT-00044</t>
  </si>
  <si>
    <t>TKT-00434</t>
  </si>
  <si>
    <t>TKT-01276</t>
  </si>
  <si>
    <t>TKT-00451</t>
  </si>
  <si>
    <t>TKT-01165</t>
  </si>
  <si>
    <t>TKT-03299</t>
  </si>
  <si>
    <t>TKT-01453</t>
  </si>
  <si>
    <t>TKT-03493</t>
  </si>
  <si>
    <t>TKT-00090</t>
  </si>
  <si>
    <t>TKT-03218</t>
  </si>
  <si>
    <t>TKT-00197</t>
  </si>
  <si>
    <t>TKT-03921</t>
  </si>
  <si>
    <t>TKT-00019</t>
  </si>
  <si>
    <t>TKT-01168</t>
  </si>
  <si>
    <t>TKT-03998</t>
  </si>
  <si>
    <t>TKT-02488</t>
  </si>
  <si>
    <t>TKT-03720</t>
  </si>
  <si>
    <t>TKT-01904</t>
  </si>
  <si>
    <t>TKT-03236</t>
  </si>
  <si>
    <t>TKT-00047</t>
  </si>
  <si>
    <t>TKT-01166</t>
  </si>
  <si>
    <t>TKT-03036</t>
  </si>
  <si>
    <t>TKT-01921</t>
  </si>
  <si>
    <t>TKT-01521</t>
  </si>
  <si>
    <t>TKT-01670</t>
  </si>
  <si>
    <t>TKT-02770</t>
  </si>
  <si>
    <t>TKT-01702</t>
  </si>
  <si>
    <t>TKT-00670</t>
  </si>
  <si>
    <t>TKT-01671</t>
  </si>
  <si>
    <t>TKT-02991</t>
  </si>
  <si>
    <t>TKT-01329</t>
  </si>
  <si>
    <t>TKT-01027</t>
  </si>
  <si>
    <t>TKT-00958</t>
  </si>
  <si>
    <t>TKT-03813</t>
  </si>
  <si>
    <t>TKT-03274</t>
  </si>
  <si>
    <t>TKT-01233</t>
  </si>
  <si>
    <t>TKT-03312</t>
  </si>
  <si>
    <t>TKT-01177</t>
  </si>
  <si>
    <t>TKT-02762</t>
  </si>
  <si>
    <t>TKT-00730</t>
  </si>
  <si>
    <t>TKT-03045</t>
  </si>
  <si>
    <t>TKT-03951</t>
  </si>
  <si>
    <t>TKT-03947</t>
  </si>
  <si>
    <t>TKT-00891</t>
  </si>
  <si>
    <t>TKT-03784</t>
  </si>
  <si>
    <t>TKT-01433</t>
  </si>
  <si>
    <t>TKT-02682</t>
  </si>
  <si>
    <t>TKT-02034</t>
  </si>
  <si>
    <t>TKT-01981</t>
  </si>
  <si>
    <t>TKT-01366</t>
  </si>
  <si>
    <t>TKT-00588</t>
  </si>
  <si>
    <t>TKT-03626</t>
  </si>
  <si>
    <t>TKT-03294</t>
  </si>
  <si>
    <t>TKT-03590</t>
  </si>
  <si>
    <t>TKT-01267</t>
  </si>
  <si>
    <t>TKT-00277</t>
  </si>
  <si>
    <t>TKT-02320</t>
  </si>
  <si>
    <t>TKT-02626</t>
  </si>
  <si>
    <t>TKT-01089</t>
  </si>
  <si>
    <t>TKT-00969</t>
  </si>
  <si>
    <t>TKT-01539</t>
  </si>
  <si>
    <t>TKT-03275</t>
  </si>
  <si>
    <t>TKT-00136</t>
  </si>
  <si>
    <t>TKT-02431</t>
  </si>
  <si>
    <t>TKT-03231</t>
  </si>
  <si>
    <t>TKT-02782</t>
  </si>
  <si>
    <t>TKT-00288</t>
  </si>
  <si>
    <t>TKT-00286</t>
  </si>
  <si>
    <t>TKT-01852</t>
  </si>
  <si>
    <t>TKT-00939</t>
  </si>
  <si>
    <t>TKT-02276</t>
  </si>
  <si>
    <t>TKT-01152</t>
  </si>
  <si>
    <t>TKT-00201</t>
  </si>
  <si>
    <t>TKT-01375</t>
  </si>
  <si>
    <t>TKT-02643</t>
  </si>
  <si>
    <t>TKT-03814</t>
  </si>
  <si>
    <t>TKT-03945</t>
  </si>
  <si>
    <t>TKT-02084</t>
  </si>
  <si>
    <t>TKT-03204</t>
  </si>
  <si>
    <t>TKT-01894</t>
  </si>
  <si>
    <t>TKT-03759</t>
  </si>
  <si>
    <t>TKT-03636</t>
  </si>
  <si>
    <t>TKT-02685</t>
  </si>
  <si>
    <t>TKT-01974</t>
  </si>
  <si>
    <t>TKT-00113</t>
  </si>
  <si>
    <t>TKT-03378</t>
  </si>
  <si>
    <t>TKT-03090</t>
  </si>
  <si>
    <t>TKT-03249</t>
  </si>
  <si>
    <t>TKT-03606</t>
  </si>
  <si>
    <t>TKT-03846</t>
  </si>
  <si>
    <t>TKT-00109</t>
  </si>
  <si>
    <t>TKT-00782</t>
  </si>
  <si>
    <t>TKT-02509</t>
  </si>
  <si>
    <t>TKT-02589</t>
  </si>
  <si>
    <t>TKT-01297</t>
  </si>
  <si>
    <t>TKT-01451</t>
  </si>
  <si>
    <t>TKT-03983</t>
  </si>
  <si>
    <t>TKT-03744</t>
  </si>
  <si>
    <t>TKT-01714</t>
  </si>
  <si>
    <t>TKT-02666</t>
  </si>
  <si>
    <t>TKT-01378</t>
  </si>
  <si>
    <t>TKT-03781</t>
  </si>
  <si>
    <t>TKT-03143</t>
  </si>
  <si>
    <t>TKT-02939</t>
  </si>
  <si>
    <t>TKT-00840</t>
  </si>
  <si>
    <t>TKT-01644</t>
  </si>
  <si>
    <t>TKT-02226</t>
  </si>
  <si>
    <t>TKT-00994</t>
  </si>
  <si>
    <t>TKT-02048</t>
  </si>
  <si>
    <t>TKT-03491</t>
  </si>
  <si>
    <t>TKT-02709</t>
  </si>
  <si>
    <t>TKT-03768</t>
  </si>
  <si>
    <t>TKT-01730</t>
  </si>
  <si>
    <t>TKT-01041</t>
  </si>
  <si>
    <t>TKT-00876</t>
  </si>
  <si>
    <t>TKT-03123</t>
  </si>
  <si>
    <t>TKT-01650</t>
  </si>
  <si>
    <t>TKT-03297</t>
  </si>
  <si>
    <t>TKT-03828</t>
  </si>
  <si>
    <t>TKT-00673</t>
  </si>
  <si>
    <t>TKT-03988</t>
  </si>
  <si>
    <t>TKT-01188</t>
  </si>
  <si>
    <t>TKT-00068</t>
  </si>
  <si>
    <t>TKT-01688</t>
  </si>
  <si>
    <t>TKT-03692</t>
  </si>
  <si>
    <t>TKT-00170</t>
  </si>
  <si>
    <t>TKT-03642</t>
  </si>
  <si>
    <t>TKT-01813</t>
  </si>
  <si>
    <t>TKT-02803</t>
  </si>
  <si>
    <t>TKT-00034</t>
  </si>
  <si>
    <t>TKT-02838</t>
  </si>
  <si>
    <t>TKT-03251</t>
  </si>
  <si>
    <t>TKT-01867</t>
  </si>
  <si>
    <t>TKT-00615</t>
  </si>
  <si>
    <t>TKT-00995</t>
  </si>
  <si>
    <t>TKT-02967</t>
  </si>
  <si>
    <t>TKT-02227</t>
  </si>
  <si>
    <t>TKT-00871</t>
  </si>
  <si>
    <t>TKT-03127</t>
  </si>
  <si>
    <t>TKT-02888</t>
  </si>
  <si>
    <t>TKT-02149</t>
  </si>
  <si>
    <t>TKT-00482</t>
  </si>
  <si>
    <t>TKT-02023</t>
  </si>
  <si>
    <t>TKT-03172</t>
  </si>
  <si>
    <t>TKT-02858</t>
  </si>
  <si>
    <t>TKT-00111</t>
  </si>
  <si>
    <t>TKT-00967</t>
  </si>
  <si>
    <t>TKT-01574</t>
  </si>
  <si>
    <t>TKT-03084</t>
  </si>
  <si>
    <t>TKT-01953</t>
  </si>
  <si>
    <t>TKT-01866</t>
  </si>
  <si>
    <t>TKT-03265</t>
  </si>
  <si>
    <t>TKT-02243</t>
  </si>
  <si>
    <t>TKT-01557</t>
  </si>
  <si>
    <t>TKT-00980</t>
  </si>
  <si>
    <t>TKT-00244</t>
  </si>
  <si>
    <t>TKT-03941</t>
  </si>
  <si>
    <t>TKT-03439</t>
  </si>
  <si>
    <t>TKT-00845</t>
  </si>
  <si>
    <t>TKT-01766</t>
  </si>
  <si>
    <t>TKT-03365</t>
  </si>
  <si>
    <t>TKT-02505</t>
  </si>
  <si>
    <t>TKT-03081</t>
  </si>
  <si>
    <t>TKT-00215</t>
  </si>
  <si>
    <t>TKT-01497</t>
  </si>
  <si>
    <t>TKT-03869</t>
  </si>
  <si>
    <t>TKT-03273</t>
  </si>
  <si>
    <t>TKT-00634</t>
  </si>
  <si>
    <t>TKT-00908</t>
  </si>
  <si>
    <t>TKT-01078</t>
  </si>
  <si>
    <t>TKT-01386</t>
  </si>
  <si>
    <t>TKT-03655</t>
  </si>
  <si>
    <t>TKT-03513</t>
  </si>
  <si>
    <t>TKT-02653</t>
  </si>
  <si>
    <t>TKT-01525</t>
  </si>
  <si>
    <t>TKT-00200</t>
  </si>
  <si>
    <t>TKT-01250</t>
  </si>
  <si>
    <t>TKT-02904</t>
  </si>
  <si>
    <t>TKT-00506</t>
  </si>
  <si>
    <t>TKT-00022</t>
  </si>
  <si>
    <t>TKT-01126</t>
  </si>
  <si>
    <t>TKT-03259</t>
  </si>
  <si>
    <t>TKT-03115</t>
  </si>
  <si>
    <t>TKT-01036</t>
  </si>
  <si>
    <t>TKT-01427</t>
  </si>
  <si>
    <t>TKT-02679</t>
  </si>
  <si>
    <t>TKT-01903</t>
  </si>
  <si>
    <t>TKT-03395</t>
  </si>
  <si>
    <t>TKT-02934</t>
  </si>
  <si>
    <t>TKT-00800</t>
  </si>
  <si>
    <t>TKT-02867</t>
  </si>
  <si>
    <t>TKT-03795</t>
  </si>
  <si>
    <t>TKT-03613</t>
  </si>
  <si>
    <t>TKT-03083</t>
  </si>
  <si>
    <t>TKT-02282</t>
  </si>
  <si>
    <t>TKT-01716</t>
  </si>
  <si>
    <t>TKT-00363</t>
  </si>
  <si>
    <t>TKT-01759</t>
  </si>
  <si>
    <t>TKT-01368</t>
  </si>
  <si>
    <t>TKT-03077</t>
  </si>
  <si>
    <t>TKT-01811</t>
  </si>
  <si>
    <t>TKT-00956</t>
  </si>
  <si>
    <t>TKT-01957</t>
  </si>
  <si>
    <t>TKT-03560</t>
  </si>
  <si>
    <t>TKT-01751</t>
  </si>
  <si>
    <t>TKT-03579</t>
  </si>
  <si>
    <t>TKT-02106</t>
  </si>
  <si>
    <t>TKT-03825</t>
  </si>
  <si>
    <t>TKT-02828</t>
  </si>
  <si>
    <t>TKT-02554</t>
  </si>
  <si>
    <t>TKT-00302</t>
  </si>
  <si>
    <t>TKT-00063</t>
  </si>
  <si>
    <t>TKT-00081</t>
  </si>
  <si>
    <t>TKT-01452</t>
  </si>
  <si>
    <t>TKT-03093</t>
  </si>
  <si>
    <t>TKT-03708</t>
  </si>
  <si>
    <t>TKT-03965</t>
  </si>
  <si>
    <t>TKT-00628</t>
  </si>
  <si>
    <t>TKT-03531</t>
  </si>
  <si>
    <t>TKT-01327</t>
  </si>
  <si>
    <t>TKT-03380</t>
  </si>
  <si>
    <t>TKT-02255</t>
  </si>
  <si>
    <t>TKT-03302</t>
  </si>
  <si>
    <t>TKT-03640</t>
  </si>
  <si>
    <t>TKT-00832</t>
  </si>
  <si>
    <t>TKT-00387</t>
  </si>
  <si>
    <t>TKT-00335</t>
  </si>
  <si>
    <t>TKT-00362</t>
  </si>
  <si>
    <t>TKT-03774</t>
  </si>
  <si>
    <t>TKT-01860</t>
  </si>
  <si>
    <t>TKT-01631</t>
  </si>
  <si>
    <t>TKT-02348</t>
  </si>
  <si>
    <t>TKT-02652</t>
  </si>
  <si>
    <t>TKT-01153</t>
  </si>
  <si>
    <t>TKT-00546</t>
  </si>
  <si>
    <t>TKT-01435</t>
  </si>
  <si>
    <t>TKT-02235</t>
  </si>
  <si>
    <t>TKT-03490</t>
  </si>
  <si>
    <t>TKT-02399</t>
  </si>
  <si>
    <t>TKT-00578</t>
  </si>
  <si>
    <t>TKT-03038</t>
  </si>
  <si>
    <t>TKT-03391</t>
  </si>
  <si>
    <t>TKT-00811</t>
  </si>
  <si>
    <t>TKT-01629</t>
  </si>
  <si>
    <t>TKT-02186</t>
  </si>
  <si>
    <t>TKT-00015</t>
  </si>
  <si>
    <t>TKT-01959</t>
  </si>
  <si>
    <t>TKT-03732</t>
  </si>
  <si>
    <t>TKT-03815</t>
  </si>
  <si>
    <t>TKT-00867</t>
  </si>
  <si>
    <t>TKT-03696</t>
  </si>
  <si>
    <t>TKT-02277</t>
  </si>
  <si>
    <t>TKT-03755</t>
  </si>
  <si>
    <t>TKT-01929</t>
  </si>
  <si>
    <t>TKT-03920</t>
  </si>
  <si>
    <t>TKT-02851</t>
  </si>
  <si>
    <t>TKT-03087</t>
  </si>
  <si>
    <t>TKT-03917</t>
  </si>
  <si>
    <t>TKT-00736</t>
  </si>
  <si>
    <t>TKT-02592</t>
  </si>
  <si>
    <t>TKT-03949</t>
  </si>
  <si>
    <t>TKT-00972</t>
  </si>
  <si>
    <t>TKT-00396</t>
  </si>
  <si>
    <t>TKT-01025</t>
  </si>
  <si>
    <t>TKT-01087</t>
  </si>
  <si>
    <t>TKT-00606</t>
  </si>
  <si>
    <t>TKT-00961</t>
  </si>
  <si>
    <t>TKT-03992</t>
  </si>
  <si>
    <t>TKT-02551</t>
  </si>
  <si>
    <t>TKT-00416</t>
  </si>
  <si>
    <t>TKT-02942</t>
  </si>
  <si>
    <t>TKT-00613</t>
  </si>
  <si>
    <t>TKT-00056</t>
  </si>
  <si>
    <t>TKT-01498</t>
  </si>
  <si>
    <t>TKT-03406</t>
  </si>
  <si>
    <t>TKT-03237</t>
  </si>
  <si>
    <t>TKT-00996</t>
  </si>
  <si>
    <t>TKT-03212</t>
  </si>
  <si>
    <t>TKT-02745</t>
  </si>
  <si>
    <t>TKT-01379</t>
  </si>
  <si>
    <t>TKT-01084</t>
  </si>
  <si>
    <t>TKT-00970</t>
  </si>
  <si>
    <t>TKT-00775</t>
  </si>
  <si>
    <t>TKT-02739</t>
  </si>
  <si>
    <t>TKT-00599</t>
  </si>
  <si>
    <t>TKT-01101</t>
  </si>
  <si>
    <t>TKT-00321</t>
  </si>
  <si>
    <t>TKT-03772</t>
  </si>
  <si>
    <t>TKT-00805</t>
  </si>
  <si>
    <t>TKT-00374</t>
  </si>
  <si>
    <t>TKT-02855</t>
  </si>
  <si>
    <t>TKT-03948</t>
  </si>
  <si>
    <t>TKT-00160</t>
  </si>
  <si>
    <t>TKT-00920</t>
  </si>
  <si>
    <t>TKT-02052</t>
  </si>
  <si>
    <t>TKT-01251</t>
  </si>
  <si>
    <t>TKT-03746</t>
  </si>
  <si>
    <t>TKT-00089</t>
  </si>
  <si>
    <t>TKT-03713</t>
  </si>
  <si>
    <t>TKT-01743</t>
  </si>
  <si>
    <t>TKT-01625</t>
  </si>
  <si>
    <t>TKT-03910</t>
  </si>
  <si>
    <t>TKT-02134</t>
  </si>
  <si>
    <t>TKT-03963</t>
  </si>
  <si>
    <t>TKT-01252</t>
  </si>
  <si>
    <t>TKT-03616</t>
  </si>
  <si>
    <t>TKT-02591</t>
  </si>
  <si>
    <t>TKT-00545</t>
  </si>
  <si>
    <t>TKT-01847</t>
  </si>
  <si>
    <t>TKT-02713</t>
  </si>
  <si>
    <t>TKT-01591</t>
  </si>
  <si>
    <t>TKT-01900</t>
  </si>
  <si>
    <t>TKT-01227</t>
  </si>
  <si>
    <t>TKT-03598</t>
  </si>
  <si>
    <t>TKT-01822</t>
  </si>
  <si>
    <t>TKT-02999</t>
  </si>
  <si>
    <t>TKT-03001</t>
  </si>
  <si>
    <t>TKT-00194</t>
  </si>
  <si>
    <t>TKT-02375</t>
  </si>
  <si>
    <t>TKT-01782</t>
  </si>
  <si>
    <t>TKT-01318</t>
  </si>
  <si>
    <t>TKT-03232</t>
  </si>
  <si>
    <t>TKT-00129</t>
  </si>
  <si>
    <t>TKT-00768</t>
  </si>
  <si>
    <t>TKT-00261</t>
  </si>
  <si>
    <t>TKT-01613</t>
  </si>
  <si>
    <t>TKT-00661</t>
  </si>
  <si>
    <t>TKT-03611</t>
  </si>
  <si>
    <t>TKT-03997</t>
  </si>
  <si>
    <t>TKT-02728</t>
  </si>
  <si>
    <t>TKT-02900</t>
  </si>
  <si>
    <t>TKT-00675</t>
  </si>
  <si>
    <t>TKT-00869</t>
  </si>
  <si>
    <t>TKT-01325</t>
  </si>
  <si>
    <t>TKT-03206</t>
  </si>
  <si>
    <t>TKT-01980</t>
  </si>
  <si>
    <t>TKT-00666</t>
  </si>
  <si>
    <t>TKT-03788</t>
  </si>
  <si>
    <t>TKT-03929</t>
  </si>
  <si>
    <t>TKT-02727</t>
  </si>
  <si>
    <t>TKT-02943</t>
  </si>
  <si>
    <t>TKT-02284</t>
  </si>
  <si>
    <t>TKT-02638</t>
  </si>
  <si>
    <t>TKT-03376</t>
  </si>
  <si>
    <t>TKT-01739</t>
  </si>
  <si>
    <t>TKT-03159</t>
  </si>
  <si>
    <t>TKT-00557</t>
  </si>
  <si>
    <t>TKT-02839</t>
  </si>
  <si>
    <t>TKT-01890</t>
  </si>
  <si>
    <t>TKT-00836</t>
  </si>
  <si>
    <t>TKT-02467</t>
  </si>
  <si>
    <t>TKT-01180</t>
  </si>
  <si>
    <t>TKT-00725</t>
  </si>
  <si>
    <t>TKT-00007</t>
  </si>
  <si>
    <t>TKT-02664</t>
  </si>
  <si>
    <t>TKT-01005</t>
  </si>
  <si>
    <t>TKT-00476</t>
  </si>
  <si>
    <t>TKT-01263</t>
  </si>
  <si>
    <t>TKT-03088</t>
  </si>
  <si>
    <t>TKT-03262</t>
  </si>
  <si>
    <t>TKT-02369</t>
  </si>
  <si>
    <t>TKT-02797</t>
  </si>
  <si>
    <t>TKT-01174</t>
  </si>
  <si>
    <t>TKT-02345</t>
  </si>
  <si>
    <t>TKT-03925</t>
  </si>
  <si>
    <t>TKT-00974</t>
  </si>
  <si>
    <t>TKT-01775</t>
  </si>
  <si>
    <t>TKT-00298</t>
  </si>
  <si>
    <t>TKT-00392</t>
  </si>
  <si>
    <t>TKT-01611</t>
  </si>
  <si>
    <t>TKT-00058</t>
  </si>
  <si>
    <t>TKT-00485</t>
  </si>
  <si>
    <t>TKT-01381</t>
  </si>
  <si>
    <t>TKT-01467</t>
  </si>
  <si>
    <t>TKT-01356</t>
  </si>
  <si>
    <t>TKT-03168</t>
  </si>
  <si>
    <t>TKT-01752</t>
  </si>
  <si>
    <t>TKT-02840</t>
  </si>
  <si>
    <t>TKT-02690</t>
  </si>
  <si>
    <t>TKT-03752</t>
  </si>
  <si>
    <t>TKT-02306</t>
  </si>
  <si>
    <t>TKT-00909</t>
  </si>
  <si>
    <t>TKT-01303</t>
  </si>
  <si>
    <t>TKT-03624</t>
  </si>
  <si>
    <t>TKT-01221</t>
  </si>
  <si>
    <t>TKT-03079</t>
  </si>
  <si>
    <t>TKT-02675</t>
  </si>
  <si>
    <t>TKT-03423</t>
  </si>
  <si>
    <t>TKT-03076</t>
  </si>
  <si>
    <t>TKT-01476</t>
  </si>
  <si>
    <t>TKT-00807</t>
  </si>
  <si>
    <t>TKT-02041</t>
  </si>
  <si>
    <t>TKT-01506</t>
  </si>
  <si>
    <t>TKT-02238</t>
  </si>
  <si>
    <t>TKT-01011</t>
  </si>
  <si>
    <t>TKT-03222</t>
  </si>
  <si>
    <t>TKT-03100</t>
  </si>
  <si>
    <t>TKT-02550</t>
  </si>
  <si>
    <t>TKT-01816</t>
  </si>
  <si>
    <t>TKT-03471</t>
  </si>
  <si>
    <t>TKT-00176</t>
  </si>
  <si>
    <t>TKT-00708</t>
  </si>
  <si>
    <t>TKT-02486</t>
  </si>
  <si>
    <t>TKT-00750</t>
  </si>
  <si>
    <t>TKT-02577</t>
  </si>
  <si>
    <t>TKT-02659</t>
  </si>
  <si>
    <t>TKT-02625</t>
  </si>
  <si>
    <t>TKT-00681</t>
  </si>
  <si>
    <t>TKT-02391</t>
  </si>
  <si>
    <t>TKT-03169</t>
  </si>
  <si>
    <t>TKT-01222</t>
  </si>
  <si>
    <t>TKT-03703</t>
  </si>
  <si>
    <t>TKT-01898</t>
  </si>
  <si>
    <t>TKT-01450</t>
  </si>
  <si>
    <t>TKT-01054</t>
  </si>
  <si>
    <t>TKT-00711</t>
  </si>
  <si>
    <t>TKT-02498</t>
  </si>
  <si>
    <t>TKT-00915</t>
  </si>
  <si>
    <t>TKT-00532</t>
  </si>
  <si>
    <t>TKT-03501</t>
  </si>
  <si>
    <t>TKT-00355</t>
  </si>
  <si>
    <t>TKT-02135</t>
  </si>
  <si>
    <t>TKT-03477</t>
  </si>
  <si>
    <t>TKT-01624</t>
  </si>
  <si>
    <t>TKT-03330</t>
  </si>
  <si>
    <t>TKT-03359</t>
  </si>
  <si>
    <t>TKT-00763</t>
  </si>
  <si>
    <t>TKT-02868</t>
  </si>
  <si>
    <t>TKT-00371</t>
  </si>
  <si>
    <t>TKT-03760</t>
  </si>
  <si>
    <t>TKT-00431</t>
  </si>
  <si>
    <t>TKT-02814</t>
  </si>
  <si>
    <t>TKT-00313</t>
  </si>
  <si>
    <t>TKT-03593</t>
  </si>
  <si>
    <t>TKT-03987</t>
  </si>
  <si>
    <t>TKT-03031</t>
  </si>
  <si>
    <t>TKT-00591</t>
  </si>
  <si>
    <t>TKT-02469</t>
  </si>
  <si>
    <t>TKT-01398</t>
  </si>
  <si>
    <t>TKT-00927</t>
  </si>
  <si>
    <t>TKT-02099</t>
  </si>
  <si>
    <t>TKT-00327</t>
  </si>
  <si>
    <t>TKT-00623</t>
  </si>
  <si>
    <t>TKT-01682</t>
  </si>
  <si>
    <t>TKT-02596</t>
  </si>
  <si>
    <t>TKT-02755</t>
  </si>
  <si>
    <t>TKT-02327</t>
  </si>
  <si>
    <t>TKT-03660</t>
  </si>
  <si>
    <t>TKT-02524</t>
  </si>
  <si>
    <t>TKT-01404</t>
  </si>
  <si>
    <t>TKT-01780</t>
  </si>
  <si>
    <t>TKT-03806</t>
  </si>
  <si>
    <t>TKT-00777</t>
  </si>
  <si>
    <t>TKT-01219</t>
  </si>
  <si>
    <t>TKT-03420</t>
  </si>
  <si>
    <t>TKT-01879</t>
  </si>
  <si>
    <t>TKT-00530</t>
  </si>
  <si>
    <t>TKT-03452</t>
  </si>
  <si>
    <t>TKT-03919</t>
  </si>
  <si>
    <t>TKT-02649</t>
  </si>
  <si>
    <t>TKT-00968</t>
  </si>
  <si>
    <t>TKT-01839</t>
  </si>
  <si>
    <t>TKT-03285</t>
  </si>
  <si>
    <t>TKT-01641</t>
  </si>
  <si>
    <t>TKT-01328</t>
  </si>
  <si>
    <t>TKT-03794</t>
  </si>
  <si>
    <t>TKT-00360</t>
  </si>
  <si>
    <t>TKT-00388</t>
  </si>
  <si>
    <t>TKT-01985</t>
  </si>
  <si>
    <t>TKT-02203</t>
  </si>
  <si>
    <t>TKT-01194</t>
  </si>
  <si>
    <t>TKT-03668</t>
  </si>
  <si>
    <t>TKT-01651</t>
  </si>
  <si>
    <t>TKT-03930</t>
  </si>
  <si>
    <t>TKT-03002</t>
  </si>
  <si>
    <t>TKT-03933</t>
  </si>
  <si>
    <t>TKT-00296</t>
  </si>
  <si>
    <t>TKT-02322</t>
  </si>
  <si>
    <t>TKT-01843</t>
  </si>
  <si>
    <t>TKT-00281</t>
  </si>
  <si>
    <t>TKT-03230</t>
  </si>
  <si>
    <t>TKT-02332</t>
  </si>
  <si>
    <t>TKT-02405</t>
  </si>
  <si>
    <t>TKT-02671</t>
  </si>
  <si>
    <t>TKT-02576</t>
  </si>
  <si>
    <t>TKT-03241</t>
  </si>
  <si>
    <t>TKT-01649</t>
  </si>
  <si>
    <t>TKT-02313</t>
  </si>
  <si>
    <t>TKT-01994</t>
  </si>
  <si>
    <t>TKT-01666</t>
  </si>
  <si>
    <t>TKT-03374</t>
  </si>
  <si>
    <t>TKT-00531</t>
  </si>
  <si>
    <t>TKT-00523</t>
  </si>
  <si>
    <t>TKT-03867</t>
  </si>
  <si>
    <t>TKT-01507</t>
  </si>
  <si>
    <t>TKT-03684</t>
  </si>
  <si>
    <t>TKT-03434</t>
  </si>
  <si>
    <t>TKT-01765</t>
  </si>
  <si>
    <t>TKT-01527</t>
  </si>
  <si>
    <t>TKT-01540</t>
  </si>
  <si>
    <t>TKT-03521</t>
  </si>
  <si>
    <t>TKT-02998</t>
  </si>
  <si>
    <t>TKT-00407</t>
  </si>
  <si>
    <t>TKT-00981</t>
  </si>
  <si>
    <t>TKT-00570</t>
  </si>
  <si>
    <t>TKT-01588</t>
  </si>
  <si>
    <t>TKT-01292</t>
  </si>
  <si>
    <t>TKT-02193</t>
  </si>
  <si>
    <t>TKT-02433</t>
  </si>
  <si>
    <t>TKT-00629</t>
  </si>
  <si>
    <t>TKT-00404</t>
  </si>
  <si>
    <t>TKT-02217</t>
  </si>
  <si>
    <t>TKT-03625</t>
  </si>
  <si>
    <t>TKT-00802</t>
  </si>
  <si>
    <t>TKT-02246</t>
  </si>
  <si>
    <t>TKT-00744</t>
  </si>
  <si>
    <t>TKT-02456</t>
  </si>
  <si>
    <t>TKT-02083</t>
  </si>
  <si>
    <t>TKT-03427</t>
  </si>
  <si>
    <t>TKT-02586</t>
  </si>
  <si>
    <t>TKT-01858</t>
  </si>
  <si>
    <t>TKT-01864</t>
  </si>
  <si>
    <t>TKT-00536</t>
  </si>
  <si>
    <t>TKT-01704</t>
  </si>
  <si>
    <t>TKT-00137</t>
  </si>
  <si>
    <t>TKT-03353</t>
  </si>
  <si>
    <t>TKT-00783</t>
  </si>
  <si>
    <t>TKT-01541</t>
  </si>
  <si>
    <t>TKT-02835</t>
  </si>
  <si>
    <t>TKT-00859</t>
  </si>
  <si>
    <t>TKT-00739</t>
  </si>
  <si>
    <t>TKT-02265</t>
  </si>
  <si>
    <t>TKT-02861</t>
  </si>
  <si>
    <t>TKT-03685</t>
  </si>
  <si>
    <t>TKT-01722</t>
  </si>
  <si>
    <t>TKT-02788</t>
  </si>
  <si>
    <t>TKT-03725</t>
  </si>
  <si>
    <t>TKT-03317</t>
  </si>
  <si>
    <t>TKT-03386</t>
  </si>
  <si>
    <t>TKT-01321</t>
  </si>
  <si>
    <t>TKT-03858</t>
  </si>
  <si>
    <t>TKT-01826</t>
  </si>
  <si>
    <t>TKT-02098</t>
  </si>
  <si>
    <t>TKT-02683</t>
  </si>
  <si>
    <t>TKT-03903</t>
  </si>
  <si>
    <t>TKT-00574</t>
  </si>
  <si>
    <t>TKT-03311</t>
  </si>
  <si>
    <t>TKT-02116</t>
  </si>
  <si>
    <t>TKT-02004</t>
  </si>
  <si>
    <t>TKT-02131</t>
  </si>
  <si>
    <t>TKT-01106</t>
  </si>
  <si>
    <t>TKT-01680</t>
  </si>
  <si>
    <t>TKT-01028</t>
  </si>
  <si>
    <t>TKT-03758</t>
  </si>
  <si>
    <t>TKT-01794</t>
  </si>
  <si>
    <t>TKT-00573</t>
  </si>
  <si>
    <t>TKT-01559</t>
  </si>
  <si>
    <t>TKT-03139</t>
  </si>
  <si>
    <t>TKT-03151</t>
  </si>
  <si>
    <t>TKT-03489</t>
  </si>
  <si>
    <t>TKT-02511</t>
  </si>
  <si>
    <t>TKT-01893</t>
  </si>
  <si>
    <t>TKT-00843</t>
  </si>
  <si>
    <t>TKT-01214</t>
  </si>
  <si>
    <t>TKT-02529</t>
  </si>
  <si>
    <t>TKT-01610</t>
  </si>
  <si>
    <t>TKT-00237</t>
  </si>
  <si>
    <t>TKT-00336</t>
  </si>
  <si>
    <t>TKT-00564</t>
  </si>
  <si>
    <t>TKT-00562</t>
  </si>
  <si>
    <t>TKT-00395</t>
  </si>
  <si>
    <t>TKT-00685</t>
  </si>
  <si>
    <t>TKT-02439</t>
  </si>
  <si>
    <t>TKT-00760</t>
  </si>
  <si>
    <t>TKT-01549</t>
  </si>
  <si>
    <t>TKT-01534</t>
  </si>
  <si>
    <t>TKT-01035</t>
  </si>
  <si>
    <t>TKT-01678</t>
  </si>
  <si>
    <t>TKT-02574</t>
  </si>
  <si>
    <t>TKT-00620</t>
  </si>
  <si>
    <t>TKT-02035</t>
  </si>
  <si>
    <t>TKT-00152</t>
  </si>
  <si>
    <t>TKT-00429</t>
  </si>
  <si>
    <t>TKT-01863</t>
  </si>
  <si>
    <t>TKT-00213</t>
  </si>
  <si>
    <t>TKT-03797</t>
  </si>
  <si>
    <t>TKT-03000</t>
  </si>
  <si>
    <t>TKT-03908</t>
  </si>
  <si>
    <t>TKT-03534</t>
  </si>
  <si>
    <t>TKT-03653</t>
  </si>
  <si>
    <t>TKT-02521</t>
  </si>
  <si>
    <t>TKT-03922</t>
  </si>
  <si>
    <t>TKT-01421</t>
  </si>
  <si>
    <t>TKT-00924</t>
  </si>
  <si>
    <t>TKT-00749</t>
  </si>
  <si>
    <t>TKT-00885</t>
  </si>
  <si>
    <t>TKT-03362</t>
  </si>
  <si>
    <t>TKT-00930</t>
  </si>
  <si>
    <t>TKT-03789</t>
  </si>
  <si>
    <t>TKT-01817</t>
  </si>
  <si>
    <t>TKT-00976</t>
  </si>
  <si>
    <t>TKT-02910</t>
  </si>
  <si>
    <t>TKT-00942</t>
  </si>
  <si>
    <t>TKT-03798</t>
  </si>
  <si>
    <t>TKT-01365</t>
  </si>
  <si>
    <t>TKT-02008</t>
  </si>
  <si>
    <t>TKT-03122</t>
  </si>
  <si>
    <t>TKT-03333</t>
  </si>
  <si>
    <t>TKT-03944</t>
  </si>
  <si>
    <t>TKT-02343</t>
  </si>
  <si>
    <t>TKT-02402</t>
  </si>
  <si>
    <t>TKT-00446</t>
  </si>
  <si>
    <t>TKT-00342</t>
  </si>
  <si>
    <t>TKT-01137</t>
  </si>
  <si>
    <t>TKT-02064</t>
  </si>
  <si>
    <t>TKT-03820</t>
  </si>
  <si>
    <t>TKT-01479</t>
  </si>
  <si>
    <t>TKT-03565</t>
  </si>
  <si>
    <t>TKT-01999</t>
  </si>
  <si>
    <t>TKT-02599</t>
  </si>
  <si>
    <t>TKT-03641</t>
  </si>
  <si>
    <t>TKT-02067</t>
  </si>
  <si>
    <t>TKT-01244</t>
  </si>
  <si>
    <t>TKT-00285</t>
  </si>
  <si>
    <t>TKT-00169</t>
  </si>
  <si>
    <t>TKT-03582</t>
  </si>
  <si>
    <t>TKT-02319</t>
  </si>
  <si>
    <t>TKT-00256</t>
  </si>
  <si>
    <t>TKT-02311</t>
  </si>
  <si>
    <t>TKT-01677</t>
  </si>
  <si>
    <t>TKT-00565</t>
  </si>
  <si>
    <t>TKT-02726</t>
  </si>
  <si>
    <t>TKT-03816</t>
  </si>
  <si>
    <t>TKT-03609</t>
  </si>
  <si>
    <t>TKT-01930</t>
  </si>
  <si>
    <t>TKT-02189</t>
  </si>
  <si>
    <t>TKT-03673</t>
  </si>
  <si>
    <t>TKT-01564</t>
  </si>
  <si>
    <t>TKT-03690</t>
  </si>
  <si>
    <t>TKT-00103</t>
  </si>
  <si>
    <t>TKT-02811</t>
  </si>
  <si>
    <t>TKT-01630</t>
  </si>
  <si>
    <t>TKT-01448</t>
  </si>
  <si>
    <t>TKT-00289</t>
  </si>
  <si>
    <t>TKT-00665</t>
  </si>
  <si>
    <t>TKT-01461</t>
  </si>
  <si>
    <t>TKT-02437</t>
  </si>
  <si>
    <t>TKT-01668</t>
  </si>
  <si>
    <t>TKT-03062</t>
  </si>
  <si>
    <t>TKT-00318</t>
  </si>
  <si>
    <t>TKT-01870</t>
  </si>
  <si>
    <t>TKT-00166</t>
  </si>
  <si>
    <t>TKT-00944</t>
  </si>
  <si>
    <t>TKT-00443</t>
  </si>
  <si>
    <t>TKT-02893</t>
  </si>
  <si>
    <t>TKT-00946</t>
  </si>
  <si>
    <t>TKT-00497</t>
  </si>
  <si>
    <t>TKT-02648</t>
  </si>
  <si>
    <t>TKT-02916</t>
  </si>
  <si>
    <t>TKT-00646</t>
  </si>
  <si>
    <t>TKT-01750</t>
  </si>
  <si>
    <t>TKT-01601</t>
  </si>
  <si>
    <t>TKT-00873</t>
  </si>
  <si>
    <t>TKT-03163</t>
  </si>
  <si>
    <t>TKT-01661</t>
  </si>
  <si>
    <t>TKT-03280</t>
  </si>
  <si>
    <t>TKT-02125</t>
  </si>
  <si>
    <t>TKT-00143</t>
  </si>
  <si>
    <t>TKT-02303</t>
  </si>
  <si>
    <t>TKT-03203</t>
  </si>
  <si>
    <t>TKT-01667</t>
  </si>
  <si>
    <t>TKT-03576</t>
  </si>
  <si>
    <t>TKT-02883</t>
  </si>
  <si>
    <t>TKT-03826</t>
  </si>
  <si>
    <t>TKT-00691</t>
  </si>
  <si>
    <t>TKT-03210</t>
  </si>
  <si>
    <t>TKT-03783</t>
  </si>
  <si>
    <t>TKT-03952</t>
  </si>
  <si>
    <t>TKT-02636</t>
  </si>
  <si>
    <t>TKT-00123</t>
  </si>
  <si>
    <t>TKT-01854</t>
  </si>
  <si>
    <t>TKT-02560</t>
  </si>
  <si>
    <t>TKT-00716</t>
  </si>
  <si>
    <t>TKT-03689</t>
  </si>
  <si>
    <t>TKT-03647</t>
  </si>
  <si>
    <t>TKT-02196</t>
  </si>
  <si>
    <t>TKT-01367</t>
  </si>
  <si>
    <t>TKT-01157</t>
  </si>
  <si>
    <t>TKT-03488</t>
  </si>
  <si>
    <t>TKT-03728</t>
  </si>
  <si>
    <t>TKT-00456</t>
  </si>
  <si>
    <t>TKT-02381</t>
  </si>
  <si>
    <t>TKT-00284</t>
  </si>
  <si>
    <t>TKT-01091</t>
  </si>
  <si>
    <t>TKT-03233</t>
  </si>
  <si>
    <t>TKT-02382</t>
  </si>
  <si>
    <t>TKT-02806</t>
  </si>
  <si>
    <t>TKT-00551</t>
  </si>
  <si>
    <t>TKT-01370</t>
  </si>
  <si>
    <t>TKT-00009</t>
  </si>
  <si>
    <t>TKT-01155</t>
  </si>
  <si>
    <t>TKT-02950</t>
  </si>
  <si>
    <t>TKT-00907</t>
  </si>
  <si>
    <t>TKT-02929</t>
  </si>
  <si>
    <t>TKT-00255</t>
  </si>
  <si>
    <t>TKT-01937</t>
  </si>
  <si>
    <t>TKT-01212</t>
  </si>
  <si>
    <t>TKT-00035</t>
  </si>
  <si>
    <t>TKT-03707</t>
  </si>
  <si>
    <t>TKT-03283</t>
  </si>
  <si>
    <t>TKT-02465</t>
  </si>
  <si>
    <t>TKT-02632</t>
  </si>
  <si>
    <t>TKT-01204</t>
  </si>
  <si>
    <t>TKT-02086</t>
  </si>
  <si>
    <t>TKT-02901</t>
  </si>
  <si>
    <t>TKT-02371</t>
  </si>
  <si>
    <t>TKT-00878</t>
  </si>
  <si>
    <t>TKT-01449</t>
  </si>
  <si>
    <t>TKT-02425</t>
  </si>
  <si>
    <t>TKT-00235</t>
  </si>
  <si>
    <t>TKT-02315</t>
  </si>
  <si>
    <t>TKT-01299</t>
  </si>
  <si>
    <t>TKT-01460</t>
  </si>
  <si>
    <t>TKT-03654</t>
  </si>
  <si>
    <t>TKT-03113</t>
  </si>
  <si>
    <t>TKT-02445</t>
  </si>
  <si>
    <t>TKT-01458</t>
  </si>
  <si>
    <t>TKT-01711</t>
  </si>
  <si>
    <t>TKT-01977</t>
  </si>
  <si>
    <t>TKT-00122</t>
  </si>
  <si>
    <t>TKT-02537</t>
  </si>
  <si>
    <t>TKT-01439</t>
  </si>
  <si>
    <t>TKT-02767</t>
  </si>
  <si>
    <t>TKT-02252</t>
  </si>
  <si>
    <t>TKT-03347</t>
  </si>
  <si>
    <t>TKT-00707</t>
  </si>
  <si>
    <t>TKT-01492</t>
  </si>
  <si>
    <t>TKT-00872</t>
  </si>
  <si>
    <t>TKT-00263</t>
  </si>
  <si>
    <t>TKT-02148</t>
  </si>
  <si>
    <t>TKT-02054</t>
  </si>
  <si>
    <t>TKT-02640</t>
  </si>
  <si>
    <t>TKT-01462</t>
  </si>
  <si>
    <t>TKT-01911</t>
  </si>
  <si>
    <t>TKT-01664</t>
  </si>
  <si>
    <t>TKT-03216</t>
  </si>
  <si>
    <t>TKT-00906</t>
  </si>
  <si>
    <t>TKT-00181</t>
  </si>
  <si>
    <t>TKT-01968</t>
  </si>
  <si>
    <t>TKT-02372</t>
  </si>
  <si>
    <t>TKT-01572</t>
  </si>
  <si>
    <t>TKT-03876</t>
  </si>
  <si>
    <t>TKT-00743</t>
  </si>
  <si>
    <t>TKT-03214</t>
  </si>
  <si>
    <t>TKT-00786</t>
  </si>
  <si>
    <t>TKT-02141</t>
  </si>
  <si>
    <t>TKT-01916</t>
  </si>
  <si>
    <t>TKT-02077</t>
  </si>
  <si>
    <t>TKT-02815</t>
  </si>
  <si>
    <t>TKT-02337</t>
  </si>
  <si>
    <t>TKT-02162</t>
  </si>
  <si>
    <t>TKT-00679</t>
  </si>
  <si>
    <t>TKT-00764</t>
  </si>
  <si>
    <t>TKT-00619</t>
  </si>
  <si>
    <t>TKT-02520</t>
  </si>
  <si>
    <t>TKT-03226</t>
  </si>
  <si>
    <t>TKT-02222</t>
  </si>
  <si>
    <t>TKT-01633</t>
  </si>
  <si>
    <t>TKT-03543</t>
  </si>
  <si>
    <t>TKT-03303</t>
  </si>
  <si>
    <t>TKT-00819</t>
  </si>
  <si>
    <t>TKT-03722</t>
  </si>
  <si>
    <t>TKT-03470</t>
  </si>
  <si>
    <t>TKT-03676</t>
  </si>
  <si>
    <t>TKT-03881</t>
  </si>
  <si>
    <t>TKT-02356</t>
  </si>
  <si>
    <t>TKT-01723</t>
  </si>
  <si>
    <t>TKT-01897</t>
  </si>
  <si>
    <t>TKT-00222</t>
  </si>
  <si>
    <t>TKT-03361</t>
  </si>
  <si>
    <t>TKT-00740</t>
  </si>
  <si>
    <t>TKT-01935</t>
  </si>
  <si>
    <t>TKT-03387</t>
  </si>
  <si>
    <t>TKT-01030</t>
  </si>
  <si>
    <t>TKT-02542</t>
  </si>
  <si>
    <t>TKT-03325</t>
  </si>
  <si>
    <t>TKT-00804</t>
  </si>
  <si>
    <t>TKT-02214</t>
  </si>
  <si>
    <t>TKT-00172</t>
  </si>
  <si>
    <t>TKT-01456</t>
  </si>
  <si>
    <t>TKT-01169</t>
  </si>
  <si>
    <t>TKT-03956</t>
  </si>
  <si>
    <t>TKT-02395</t>
  </si>
  <si>
    <t>TKT-02264</t>
  </si>
  <si>
    <t>TKT-02400</t>
  </si>
  <si>
    <t>TKT-00101</t>
  </si>
  <si>
    <t>TKT-03832</t>
  </si>
  <si>
    <t>TKT-03349</t>
  </si>
  <si>
    <t>TKT-02150</t>
  </si>
  <si>
    <t>TKT-03539</t>
  </si>
  <si>
    <t>TKT-01555</t>
  </si>
  <si>
    <t>TKT-01582</t>
  </si>
  <si>
    <t>TKT-02903</t>
  </si>
  <si>
    <t>TKT-01002</t>
  </si>
  <si>
    <t>TKT-01545</t>
  </si>
  <si>
    <t>TKT-03270</t>
  </si>
  <si>
    <t>TKT-02028</t>
  </si>
  <si>
    <t>TKT-00686</t>
  </si>
  <si>
    <t>TKT-01487</t>
  </si>
  <si>
    <t>TKT-00413</t>
  </si>
  <si>
    <t>TKT-01878</t>
  </si>
  <si>
    <t>TKT-01232</t>
  </si>
  <si>
    <t>TKT-03213</t>
  </si>
  <si>
    <t>TKT-00601</t>
  </si>
  <si>
    <t>TKT-02837</t>
  </si>
  <si>
    <t>TKT-02994</t>
  </si>
  <si>
    <t>TKT-00003</t>
  </si>
  <si>
    <t>TKT-01400</t>
  </si>
  <si>
    <t>TKT-02212</t>
  </si>
  <si>
    <t>TKT-00567</t>
  </si>
  <si>
    <t>TKT-03240</t>
  </si>
  <si>
    <t>TKT-00695</t>
  </si>
  <si>
    <t>TKT-01436</t>
  </si>
  <si>
    <t>TKT-02557</t>
  </si>
  <si>
    <t>TKT-03464</t>
  </si>
  <si>
    <t>TKT-00354</t>
  </si>
  <si>
    <t>TKT-00252</t>
  </si>
  <si>
    <t>TKT-00982</t>
  </si>
  <si>
    <t>TKT-00191</t>
  </si>
  <si>
    <t>TKT-00571</t>
  </si>
  <si>
    <t>TKT-02411</t>
  </si>
  <si>
    <t>TKT-00165</t>
  </si>
  <si>
    <t>TKT-01361</t>
  </si>
  <si>
    <t>TKT-01178</t>
  </si>
  <si>
    <t>TKT-03364</t>
  </si>
  <si>
    <t>TKT-00726</t>
  </si>
  <si>
    <t>TKT-01266</t>
  </si>
  <si>
    <t>TKT-02485</t>
  </si>
  <si>
    <t>TKT-03095</t>
  </si>
  <si>
    <t>TKT-03243</t>
  </si>
  <si>
    <t>TKT-01809</t>
  </si>
  <si>
    <t>TKT-03446</t>
  </si>
  <si>
    <t>TKT-02642</t>
  </si>
  <si>
    <t>TKT-00303</t>
  </si>
  <si>
    <t>TKT-01047</t>
  </si>
  <si>
    <t>TKT-00582</t>
  </si>
  <si>
    <t>TKT-00380</t>
  </si>
  <si>
    <t>TKT-01432</t>
  </si>
  <si>
    <t>TKT-01823</t>
  </si>
  <si>
    <t>TKT-02361</t>
  </si>
  <si>
    <t>TKT-00217</t>
  </si>
  <si>
    <t>TKT-01884</t>
  </si>
  <si>
    <t>TKT-01241</t>
  </si>
  <si>
    <t>TKT-00989</t>
  </si>
  <si>
    <t>TKT-03976</t>
  </si>
  <si>
    <t>TKT-02512</t>
  </si>
  <si>
    <t>TKT-01988</t>
  </si>
  <si>
    <t>TKT-01360</t>
  </si>
  <si>
    <t>TKT-02173</t>
  </si>
  <si>
    <t>TKT-01359</t>
  </si>
  <si>
    <t>TKT-00747</t>
  </si>
  <si>
    <t>TKT-01215</t>
  </si>
  <si>
    <t>TKT-03638</t>
  </si>
  <si>
    <t>TKT-03656</t>
  </si>
  <si>
    <t>TKT-00368</t>
  </si>
  <si>
    <t>TKT-02688</t>
  </si>
  <si>
    <t>TKT-01762</t>
  </si>
  <si>
    <t>TKT-02634</t>
  </si>
  <si>
    <t>TKT-02741</t>
  </si>
  <si>
    <t>TKT-03693</t>
  </si>
  <si>
    <t>TKT-02708</t>
  </si>
  <si>
    <t>TKT-01659</t>
  </si>
  <si>
    <t>TKT-03188</t>
  </si>
  <si>
    <t>TKT-01978</t>
  </si>
  <si>
    <t>TKT-03610</t>
  </si>
  <si>
    <t>TKT-03852</t>
  </si>
  <si>
    <t>TKT-03397</t>
  </si>
  <si>
    <t>TKT-03805</t>
  </si>
  <si>
    <t>TKT-03284</t>
  </si>
  <si>
    <t>TKT-02497</t>
  </si>
  <si>
    <t>TKT-03547</t>
  </si>
  <si>
    <t>TKT-03526</t>
  </si>
  <si>
    <t>TKT-01048</t>
  </si>
  <si>
    <t>TKT-01086</t>
  </si>
  <si>
    <t>TKT-03584</t>
  </si>
  <si>
    <t>TKT-02794</t>
  </si>
  <si>
    <t>TKT-02618</t>
  </si>
  <si>
    <t>TKT-01228</t>
  </si>
  <si>
    <t>TKT-03050</t>
  </si>
  <si>
    <t>TKT-03120</t>
  </si>
  <si>
    <t>TKT-01754</t>
  </si>
  <si>
    <t>TKT-02068</t>
  </si>
  <si>
    <t>TKT-00678</t>
  </si>
  <si>
    <t>TKT-01210</t>
  </si>
  <si>
    <t>TKT-03639</t>
  </si>
  <si>
    <t>TKT-01471</t>
  </si>
  <si>
    <t>TKT-01171</t>
  </si>
  <si>
    <t>TKT-03217</t>
  </si>
  <si>
    <t>TKT-00700</t>
  </si>
  <si>
    <t>TKT-00948</t>
  </si>
  <si>
    <t>TKT-02930</t>
  </si>
  <si>
    <t>TKT-00016</t>
  </si>
  <si>
    <t>TKT-02169</t>
  </si>
  <si>
    <t>TKT-02195</t>
  </si>
  <si>
    <t>TKT-02353</t>
  </si>
  <si>
    <t>TKT-03672</t>
  </si>
  <si>
    <t>TKT-03414</t>
  </si>
  <si>
    <t>TKT-03535</t>
  </si>
  <si>
    <t>TKT-00228</t>
  </si>
  <si>
    <t>TKT-02329</t>
  </si>
  <si>
    <t>TKT-03145</t>
  </si>
  <si>
    <t>TKT-00917</t>
  </si>
  <si>
    <t>TKT-03310</t>
  </si>
  <si>
    <t>TKT-02769</t>
  </si>
  <si>
    <t>TKT-02809</t>
  </si>
  <si>
    <t>TKT-00083</t>
  </si>
  <si>
    <t>TKT-00389</t>
  </si>
  <si>
    <t>TKT-03447</t>
  </si>
  <si>
    <t>TKT-02672</t>
  </si>
  <si>
    <t>TKT-02223</t>
  </si>
  <si>
    <t>TKT-03128</t>
  </si>
  <si>
    <t>TKT-01494</t>
  </si>
  <si>
    <t>TKT-01477</t>
  </si>
  <si>
    <t>TKT-00769</t>
  </si>
  <si>
    <t>TKT-00436</t>
  </si>
  <si>
    <t>TKT-02197</t>
  </si>
  <si>
    <t>TKT-02250</t>
  </si>
  <si>
    <t>TKT-03089</t>
  </si>
  <si>
    <t>TKT-00491</t>
  </si>
  <si>
    <t>TKT-00865</t>
  </si>
  <si>
    <t>TKT-00124</t>
  </si>
  <si>
    <t>TKT-02409</t>
  </si>
  <si>
    <t>TKT-00698</t>
  </si>
  <si>
    <t>TKT-03896</t>
  </si>
  <si>
    <t>TKT-02157</t>
  </si>
  <si>
    <t>TKT-00029</t>
  </si>
  <si>
    <t>TKT-02326</t>
  </si>
  <si>
    <t>TKT-00540</t>
  </si>
  <si>
    <t>TKT-01951</t>
  </si>
  <si>
    <t>TKT-00539</t>
  </si>
  <si>
    <t>TKT-02185</t>
  </si>
  <si>
    <t>TKT-02397</t>
  </si>
  <si>
    <t>TKT-00185</t>
  </si>
  <si>
    <t>TKT-01881</t>
  </si>
  <si>
    <t>TKT-01332</t>
  </si>
  <si>
    <t>TKT-03202</t>
  </si>
  <si>
    <t>TKT-03326</t>
  </si>
  <si>
    <t>TKT-02750</t>
  </si>
  <si>
    <t>TKT-00386</t>
  </si>
  <si>
    <t>TKT-01660</t>
  </si>
  <si>
    <t>TKT-01277</t>
  </si>
  <si>
    <t>TKT-00517</t>
  </si>
  <si>
    <t>TKT-00507</t>
  </si>
  <si>
    <t>TKT-02279</t>
  </si>
  <si>
    <t>TKT-01412</t>
  </si>
  <si>
    <t>TKT-01085</t>
  </si>
  <si>
    <t>TKT-01073</t>
  </si>
  <si>
    <t>TKT-02050</t>
  </si>
  <si>
    <t>TKT-02230</t>
  </si>
  <si>
    <t>TKT-01341</t>
  </si>
  <si>
    <t>TKT-00964</t>
  </si>
  <si>
    <t>TKT-03909</t>
  </si>
  <si>
    <t>TKT-03645</t>
  </si>
  <si>
    <t>TKT-03687</t>
  </si>
  <si>
    <t>TKT-03465</t>
  </si>
  <si>
    <t>TKT-01919</t>
  </si>
  <si>
    <t>TKT-01505</t>
  </si>
  <si>
    <t>TKT-00127</t>
  </si>
  <si>
    <t>TKT-02159</t>
  </si>
  <si>
    <t>TKT-01076</t>
  </si>
  <si>
    <t>TKT-00133</t>
  </si>
  <si>
    <t>TKT-03170</t>
  </si>
  <si>
    <t>TKT-01578</t>
  </si>
  <si>
    <t>TKT-02641</t>
  </si>
  <si>
    <t>TKT-00320</t>
  </si>
  <si>
    <t>TKT-02958</t>
  </si>
  <si>
    <t>TKT-01831</t>
  </si>
  <si>
    <t>TKT-02039</t>
  </si>
  <si>
    <t>TKT-03996</t>
  </si>
  <si>
    <t>TKT-01385</t>
  </si>
  <si>
    <t>TKT-02424</t>
  </si>
  <si>
    <t>TKT-03479</t>
  </si>
  <si>
    <t>TKT-02740</t>
  </si>
  <si>
    <t>TKT-03749</t>
  </si>
  <si>
    <t>TKT-03785</t>
  </si>
  <si>
    <t>TKT-02143</t>
  </si>
  <si>
    <t>TKT-03503</t>
  </si>
  <si>
    <t>TKT-03396</t>
  </si>
  <si>
    <t>TKT-00941</t>
  </si>
  <si>
    <t>TKT-01163</t>
  </si>
  <si>
    <t>TKT-02623</t>
  </si>
  <si>
    <t>TKT-02208</t>
  </si>
  <si>
    <t>TKT-01538</t>
  </si>
  <si>
    <t>TKT-00795</t>
  </si>
  <si>
    <t>TKT-00045</t>
  </si>
  <si>
    <t>TKT-00759</t>
  </si>
  <si>
    <t>TKT-00572</t>
  </si>
  <si>
    <t>TKT-01735</t>
  </si>
  <si>
    <t>TKT-00411</t>
  </si>
  <si>
    <t>TKT-02749</t>
  </si>
  <si>
    <t>TKT-01262</t>
  </si>
  <si>
    <t>TKT-01223</t>
  </si>
  <si>
    <t>TKT-03267</t>
  </si>
  <si>
    <t>TKT-01643</t>
  </si>
  <si>
    <t>TKT-02665</t>
  </si>
  <si>
    <t>TKT-03516</t>
  </si>
  <si>
    <t>TKT-00168</t>
  </si>
  <si>
    <t>TKT-01676</t>
  </si>
  <si>
    <t>TKT-00563</t>
  </si>
  <si>
    <t>TKT-03438</t>
  </si>
  <si>
    <t>TKT-01362</t>
  </si>
  <si>
    <t>TKT-00306</t>
  </si>
  <si>
    <t>TKT-00607</t>
  </si>
  <si>
    <t>TKT-03853</t>
  </si>
  <si>
    <t>TKT-02396</t>
  </si>
  <si>
    <t>TKT-01597</t>
  </si>
  <si>
    <t>TKT-03015</t>
  </si>
  <si>
    <t>TKT-03010</t>
  </si>
  <si>
    <t>TKT-00773</t>
  </si>
  <si>
    <t>TKT-01021</t>
  </si>
  <si>
    <t>TKT-03318</t>
  </si>
  <si>
    <t>TKT-02259</t>
  </si>
  <si>
    <t>TKT-02875</t>
  </si>
  <si>
    <t>TKT-00054</t>
  </si>
  <si>
    <t>TKT-01082</t>
  </si>
  <si>
    <t>TKT-02826</t>
  </si>
  <si>
    <t>TKT-02613</t>
  </si>
  <si>
    <t>TKT-03183</t>
  </si>
  <si>
    <t>TKT-00004</t>
  </si>
  <si>
    <t>TKT-02527</t>
  </si>
  <si>
    <t>TKT-01528</t>
  </si>
  <si>
    <t>TKT-00247</t>
  </si>
  <si>
    <t>TKT-01032</t>
  </si>
  <si>
    <t>TKT-01695</t>
  </si>
  <si>
    <t>TKT-03173</t>
  </si>
  <si>
    <t>TKT-02037</t>
  </si>
  <si>
    <t>TKT-01234</t>
  </si>
  <si>
    <t>TKT-03097</t>
  </si>
  <si>
    <t>TKT-01741</t>
  </si>
  <si>
    <t>TKT-00180</t>
  </si>
  <si>
    <t>TKT-02778</t>
  </si>
  <si>
    <t>TKT-02937</t>
  </si>
  <si>
    <t>TKT-02484</t>
  </si>
  <si>
    <t>TKT-03747</t>
  </si>
  <si>
    <t>TKT-01639</t>
  </si>
  <si>
    <t>TKT-01265</t>
  </si>
  <si>
    <t>TKT-03552</t>
  </si>
  <si>
    <t>TKT-03190</t>
  </si>
  <si>
    <t>TKT-03301</t>
  </si>
  <si>
    <t>TKT-01882</t>
  </si>
  <si>
    <t>TKT-00889</t>
  </si>
  <si>
    <t>TKT-02281</t>
  </si>
  <si>
    <t>TKT-03723</t>
  </si>
  <si>
    <t>TKT-01104</t>
  </si>
  <si>
    <t>TKT-01337</t>
  </si>
  <si>
    <t>TKT-00018</t>
  </si>
  <si>
    <t>TKT-00631</t>
  </si>
  <si>
    <t>TKT-03296</t>
  </si>
  <si>
    <t>TKT-02834</t>
  </si>
  <si>
    <t>TKT-03385</t>
  </si>
  <si>
    <t>TKT-01401</t>
  </si>
  <si>
    <t>TKT-01417</t>
  </si>
  <si>
    <t>TKT-01789</t>
  </si>
  <si>
    <t>TKT-03007</t>
  </si>
  <si>
    <t>TKT-02126</t>
  </si>
  <si>
    <t>TKT-03224</t>
  </si>
  <si>
    <t>TKT-01859</t>
  </si>
  <si>
    <t>TKT-01334</t>
  </si>
  <si>
    <t>TKT-00134</t>
  </si>
  <si>
    <t>TKT-02944</t>
  </si>
  <si>
    <t>TKT-02042</t>
  </si>
  <si>
    <t>TKT-00556</t>
  </si>
  <si>
    <t>TKT-01946</t>
  </si>
  <si>
    <t>TKT-01923</t>
  </si>
  <si>
    <t>TKT-01685</t>
  </si>
  <si>
    <t>TKT-02012</t>
  </si>
  <si>
    <t>TKT-03679</t>
  </si>
  <si>
    <t>TKT-00997</t>
  </si>
  <si>
    <t>TKT-00710</t>
  </si>
  <si>
    <t>TKT-00272</t>
  </si>
  <si>
    <t>TKT-02543</t>
  </si>
  <si>
    <t>TKT-02417</t>
  </si>
  <si>
    <t>TKT-02660</t>
  </si>
  <si>
    <t>TKT-00032</t>
  </si>
  <si>
    <t>TKT-03200</t>
  </si>
  <si>
    <t>TKT-00401</t>
  </si>
  <si>
    <t>TKT-01771</t>
  </si>
  <si>
    <t>TKT-02438</t>
  </si>
  <si>
    <t>TKT-01606</t>
  </si>
  <si>
    <t>TKT-01190</t>
  </si>
  <si>
    <t>TKT-03821</t>
  </si>
  <si>
    <t>TKT-01802</t>
  </si>
  <si>
    <t>TKT-02621</t>
  </si>
  <si>
    <t>TKT-03912</t>
  </si>
  <si>
    <t>TKT-02268</t>
  </si>
  <si>
    <t>TKT-02110</t>
  </si>
  <si>
    <t>H1 - Digital vs Offline Lead Source: Win Rate(Chi-Square Test)</t>
  </si>
  <si>
    <t xml:space="preserve">H0: Win rate is independent of channel type (digital vs offline). </t>
  </si>
  <si>
    <t>H1: Win rate differs by channel type.</t>
  </si>
  <si>
    <t xml:space="preserve">Digital = Google Ads, LinkedIn Campaign, Email Campaign.  </t>
  </si>
  <si>
    <t xml:space="preserve">Offline = Referral, Trade Show, Cold Outreach. </t>
  </si>
  <si>
    <t xml:space="preserve"> (Organic Search, Webinar, Unknown excluded — not named in either group by the brief.)</t>
  </si>
  <si>
    <t>Observed Contigency Table</t>
  </si>
  <si>
    <t>Digital</t>
  </si>
  <si>
    <t>Offline</t>
  </si>
  <si>
    <t>Total</t>
  </si>
  <si>
    <t>Expected Counts (if independent)</t>
  </si>
  <si>
    <t>Closed lost</t>
  </si>
  <si>
    <t>Test Results</t>
  </si>
  <si>
    <t>Chi-Square Statistic</t>
  </si>
  <si>
    <t>Degrees of Freedom</t>
  </si>
  <si>
    <t>p-Value</t>
  </si>
  <si>
    <t>Digital win rate</t>
  </si>
  <si>
    <t>Offline will rate</t>
  </si>
  <si>
    <t>Conclusion (Alpha=0.05)</t>
  </si>
  <si>
    <t>Recent 6 Months vs Previous 6 Months (T-Test)</t>
  </si>
  <si>
    <t xml:space="preserve">H2 — Deal Closure Time: </t>
  </si>
  <si>
    <t>Recomputed_Variance_INR</t>
  </si>
  <si>
    <t>Old_Variance_INR</t>
  </si>
  <si>
    <t>Data  Sync  Error</t>
  </si>
  <si>
    <t>Security  Alert</t>
  </si>
  <si>
    <t>Dashboard  Bug</t>
  </si>
  <si>
    <t>Access  Permission  Issue</t>
  </si>
  <si>
    <t>Report  Inaccuracy</t>
  </si>
  <si>
    <t>Performance  Lag</t>
  </si>
  <si>
    <t>Onboarding  Support</t>
  </si>
  <si>
    <t>Billing  Query</t>
  </si>
  <si>
    <t>Feature  Request</t>
  </si>
  <si>
    <t>Login  Issue</t>
  </si>
  <si>
    <t>Api  Integration  Failure</t>
  </si>
  <si>
    <t>Server  Downtime</t>
  </si>
  <si>
    <t>Variable</t>
  </si>
  <si>
    <t>Mean</t>
  </si>
  <si>
    <t>Median</t>
  </si>
  <si>
    <t>Std Dev</t>
  </si>
  <si>
    <t>Skewness</t>
  </si>
  <si>
    <t>Row No.</t>
  </si>
  <si>
    <t>Periods defined by Close_Date, relative to the dataset’s latest full quarter-end (2025-03-31). Recent = 2024-10-01 to 2025-03-31. Previous = 2024-04-01 to 2024-09-30.</t>
  </si>
  <si>
    <t>H0: Mean days-to-close is the same in both periods.</t>
  </si>
  <si>
    <t>H1: Mean days-to-close has increased in the recent period.</t>
  </si>
  <si>
    <t>Helper columns (Days_to_Close pulled into each period; blank if the deal falls outside it)</t>
  </si>
  <si>
    <t>Recent_6 _Months</t>
  </si>
  <si>
    <t>Previous_6_Months</t>
  </si>
  <si>
    <t>Periods by Close_Date: Recent = 2024-10-01 to 2025-03-31. Previous = 2024-04-01 to 2024-09-30.</t>
  </si>
  <si>
    <t>n</t>
  </si>
  <si>
    <t>Recent 6 Months</t>
  </si>
  <si>
    <t>Previous 6 Months</t>
  </si>
  <si>
    <t>Months</t>
  </si>
  <si>
    <t>Mean difference (Recent - Previous)</t>
  </si>
  <si>
    <t>t-statistic</t>
  </si>
  <si>
    <t>p-value (two-tailed)</t>
  </si>
  <si>
    <t>Conclusion</t>
  </si>
  <si>
    <t>H3 — Client Satisfaction Score vs. SLA Breach Count (Correlation)</t>
  </si>
  <si>
    <t>H0: No linear relationship between satisfaction score and SLA breach count.</t>
  </si>
  <si>
    <t>H1: A significant correlation exists.</t>
  </si>
  <si>
    <t>SLA_Breach_Count</t>
  </si>
  <si>
    <t>Pearson r</t>
  </si>
  <si>
    <t>Degrees of freedom</t>
  </si>
  <si>
    <t>p-value</t>
  </si>
  <si>
    <t>H4 — Quarterly Marketing Spend vs. Conversion Rate (Trend Analysis)</t>
  </si>
  <si>
    <t xml:space="preserve">H0: No linear trend over time. </t>
  </si>
  <si>
    <t>H1: Spend has increased while conversion rate has not.</t>
  </si>
  <si>
    <t>Period_Index</t>
  </si>
  <si>
    <t>Total_Spend (INR)</t>
  </si>
  <si>
    <t>Total_MQLs</t>
  </si>
  <si>
    <t>Total_Conversions</t>
  </si>
  <si>
    <t>Conversion_Rate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</si>
  <si>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</si>
  <si>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</si>
  <si>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</si>
  <si>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</si>
  <si>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</si>
  <si>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</si>
  <si>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</si>
  <si>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</si>
  <si>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</si>
  <si>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Slope</t>
  </si>
  <si>
    <t>Correlation with time</t>
  </si>
  <si>
    <t>Trend Test- Total Spend vs. Period Index</t>
  </si>
  <si>
    <t>Trend Test- Conversion Rate vs. Period Index</t>
  </si>
  <si>
    <t>Conclusion (alpha=0.05)</t>
  </si>
  <si>
    <t>Deal_Value_INR (Sales_Deals)</t>
  </si>
  <si>
    <t>Resolution_Hours (Support_Tickets)</t>
  </si>
  <si>
    <t>Budget_INR (Marketing_Campaigns)</t>
  </si>
  <si>
    <t>38- Descriptive Statistics</t>
  </si>
  <si>
    <t>39- Distribution Fit: Deal_Value_INR</t>
  </si>
  <si>
    <t>LN(Deal_Value_INR) helper</t>
  </si>
  <si>
    <t xml:space="preserve"> </t>
  </si>
  <si>
    <t>Kurtosis of  LN(Deal_Value_INR)</t>
  </si>
  <si>
    <t>Skew of LN(Deal_Value_INR)</t>
  </si>
  <si>
    <t>Bin Upper Bound</t>
  </si>
  <si>
    <t>Frequency</t>
  </si>
  <si>
    <t>40- One- Way ANOVA: Deal Value Across Products</t>
  </si>
  <si>
    <t>Grand Mean</t>
  </si>
  <si>
    <t>Total n</t>
  </si>
  <si>
    <t>SS Between</t>
  </si>
  <si>
    <t>SS Within</t>
  </si>
  <si>
    <t>df Between</t>
  </si>
  <si>
    <t>df Within</t>
  </si>
  <si>
    <t>MS Between</t>
  </si>
  <si>
    <t>MS Within</t>
  </si>
  <si>
    <t>F-statistic</t>
  </si>
  <si>
    <t xml:space="preserve">H0: Mean deal value is the same across all products. </t>
  </si>
  <si>
    <t>H1: At least one product’s mean deal value differs.</t>
  </si>
  <si>
    <t>Group Statistics</t>
  </si>
  <si>
    <t>ANOVA Table</t>
  </si>
  <si>
    <t>Histogram- Deal_Value_INR (bin width ₹50,000)</t>
  </si>
  <si>
    <t>Skewness reference: |skew| &lt; 0.5 roughly symmetric; 0.5-1 moderately skewed; &gt;1 highly skewed.</t>
  </si>
  <si>
    <t>Aggregated to one row per client. Breach Count = number of that client’s support tickets where SLA_Met = "No".</t>
  </si>
  <si>
    <r>
      <t xml:space="preserve">n </t>
    </r>
    <r>
      <rPr>
        <b/>
        <sz val="8"/>
        <color theme="1"/>
        <rFont val="Calibri"/>
        <family val="2"/>
        <scheme val="minor"/>
      </rPr>
      <t>(Clients with a satisfaction score)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</si>
</sst>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[$-14009]yyyy/mm/dd;@"/>
    <numFmt numFmtId="165" formatCode="yyyy/mm/dd"/>
    <numFmt numFmtId="166" formatCode="0.0000"/>
    <numFmt numFmtId="167" formatCode="0.0%"/>
    <numFmt numFmtId="168" formatCode="0.000"/>
    <numFmt numFmtId="169" formatCode="0.000000"/>
    <numFmt numFmtId="170" formatCode="_ * #,##0_ ;_ * \-#,##0_ ;_ * &quot;-&quot;??_ ;_ @_ "/>
    <numFmt numFmtId="171" formatCode="_ * #,##0.0000_ ;_ * \-#,##0.0000_ ;_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ndara Light"/>
      <family val="2"/>
    </font>
    <font>
      <sz val="10"/>
      <color theme="1"/>
      <name val="Calibri"/>
      <family val="2"/>
      <scheme val="minor"/>
    </font>
    <font>
      <i/>
      <sz val="10"/>
      <color theme="1"/>
      <name val="Candara Light"/>
      <family val="2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i/>
      <sz val="11"/>
      <color theme="1"/>
      <name val="Corbel Light"/>
      <family val="2"/>
    </font>
    <font>
      <i/>
      <sz val="10"/>
      <color theme="1"/>
      <name val="Calibri Light"/>
      <family val="2"/>
      <scheme val="maj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6" fillId="0" borderId="5" xfId="0" applyFont="1" applyBorder="1"/>
    <xf numFmtId="0" fontId="6" fillId="0" borderId="1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0" xfId="0" applyFill="1"/>
    <xf numFmtId="0" fontId="7" fillId="0" borderId="0" xfId="0" applyFont="1"/>
    <xf numFmtId="0" fontId="0" fillId="0" borderId="0" xfId="0" applyFont="1"/>
    <xf numFmtId="0" fontId="11" fillId="0" borderId="0" xfId="0" applyFont="1"/>
    <xf numFmtId="0" fontId="8" fillId="2" borderId="0" xfId="0" applyFont="1" applyFill="1"/>
    <xf numFmtId="168" fontId="0" fillId="0" borderId="0" xfId="0" applyNumberFormat="1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 vertical="center" inden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0" fillId="2" borderId="0" xfId="0" applyFont="1" applyFill="1"/>
    <xf numFmtId="0" fontId="9" fillId="0" borderId="0" xfId="0" applyFont="1"/>
    <xf numFmtId="0" fontId="9" fillId="3" borderId="0" xfId="0" applyFont="1" applyFill="1"/>
    <xf numFmtId="166" fontId="9" fillId="3" borderId="0" xfId="0" applyNumberFormat="1" applyFont="1" applyFill="1"/>
    <xf numFmtId="166" fontId="14" fillId="3" borderId="0" xfId="0" applyNumberFormat="1" applyFont="1" applyFill="1" applyAlignment="1"/>
    <xf numFmtId="2" fontId="9" fillId="3" borderId="0" xfId="0" applyNumberFormat="1" applyFont="1" applyFill="1"/>
    <xf numFmtId="167" fontId="9" fillId="3" borderId="0" xfId="1" applyNumberFormat="1" applyFont="1" applyFill="1"/>
    <xf numFmtId="0" fontId="0" fillId="0" borderId="1" xfId="0" applyBorder="1"/>
    <xf numFmtId="0" fontId="9" fillId="0" borderId="1" xfId="0" applyFont="1" applyBorder="1"/>
    <xf numFmtId="170" fontId="6" fillId="0" borderId="1" xfId="2" applyNumberFormat="1" applyFont="1" applyBorder="1"/>
    <xf numFmtId="0" fontId="3" fillId="0" borderId="0" xfId="0" applyFont="1" applyAlignment="1"/>
    <xf numFmtId="0" fontId="15" fillId="0" borderId="0" xfId="0" applyFont="1" applyFill="1" applyAlignment="1"/>
    <xf numFmtId="0" fontId="0" fillId="0" borderId="12" xfId="0" applyFont="1" applyFill="1" applyBorder="1"/>
    <xf numFmtId="166" fontId="0" fillId="0" borderId="13" xfId="0" applyNumberFormat="1" applyFont="1" applyFill="1" applyBorder="1"/>
    <xf numFmtId="0" fontId="6" fillId="0" borderId="12" xfId="0" applyFont="1" applyFill="1" applyBorder="1"/>
    <xf numFmtId="0" fontId="0" fillId="0" borderId="11" xfId="0" applyFont="1" applyFill="1" applyBorder="1"/>
    <xf numFmtId="166" fontId="0" fillId="0" borderId="10" xfId="0" applyNumberFormat="1" applyFont="1" applyFill="1" applyBorder="1"/>
    <xf numFmtId="0" fontId="8" fillId="2" borderId="12" xfId="0" applyFont="1" applyFill="1" applyBorder="1" applyAlignment="1">
      <alignment horizontal="right"/>
    </xf>
    <xf numFmtId="0" fontId="8" fillId="2" borderId="13" xfId="0" applyFont="1" applyFill="1" applyBorder="1" applyAlignment="1">
      <alignment horizontal="right"/>
    </xf>
    <xf numFmtId="0" fontId="8" fillId="2" borderId="12" xfId="0" applyFont="1" applyFill="1" applyBorder="1" applyAlignment="1">
      <alignment horizontal="left"/>
    </xf>
    <xf numFmtId="166" fontId="14" fillId="3" borderId="1" xfId="0" applyNumberFormat="1" applyFont="1" applyFill="1" applyBorder="1"/>
    <xf numFmtId="0" fontId="15" fillId="2" borderId="0" xfId="0" applyFont="1" applyFill="1" applyBorder="1" applyAlignment="1"/>
    <xf numFmtId="0" fontId="9" fillId="0" borderId="0" xfId="0" applyFont="1" applyBorder="1"/>
    <xf numFmtId="1" fontId="14" fillId="3" borderId="0" xfId="0" applyNumberFormat="1" applyFont="1" applyFill="1" applyBorder="1"/>
    <xf numFmtId="166" fontId="14" fillId="3" borderId="0" xfId="0" applyNumberFormat="1" applyFont="1" applyFill="1" applyBorder="1"/>
    <xf numFmtId="166" fontId="14" fillId="3" borderId="0" xfId="0" applyNumberFormat="1" applyFont="1" applyFill="1" applyBorder="1" applyAlignment="1">
      <alignment vertical="center"/>
    </xf>
    <xf numFmtId="169" fontId="14" fillId="3" borderId="0" xfId="0" applyNumberFormat="1" applyFont="1" applyFill="1" applyBorder="1"/>
    <xf numFmtId="0" fontId="9" fillId="0" borderId="0" xfId="0" applyFont="1" applyFill="1" applyBorder="1"/>
    <xf numFmtId="166" fontId="14" fillId="0" borderId="0" xfId="0" applyNumberFormat="1" applyFont="1" applyFill="1" applyBorder="1"/>
    <xf numFmtId="166" fontId="14" fillId="3" borderId="0" xfId="0" applyNumberFormat="1" applyFont="1" applyFill="1" applyBorder="1" applyAlignment="1"/>
    <xf numFmtId="0" fontId="8" fillId="2" borderId="1" xfId="0" applyFont="1" applyFill="1" applyBorder="1"/>
    <xf numFmtId="170" fontId="6" fillId="0" borderId="1" xfId="2" applyNumberFormat="1" applyFont="1" applyBorder="1" applyAlignment="1">
      <alignment vertical="center"/>
    </xf>
    <xf numFmtId="170" fontId="6" fillId="0" borderId="1" xfId="2" applyNumberFormat="1" applyFont="1" applyBorder="1" applyAlignment="1">
      <alignment horizontal="left" vertical="center" indent="1"/>
    </xf>
    <xf numFmtId="0" fontId="16" fillId="0" borderId="1" xfId="0" applyFont="1" applyBorder="1"/>
    <xf numFmtId="43" fontId="6" fillId="0" borderId="1" xfId="2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70" fontId="6" fillId="0" borderId="1" xfId="2" applyNumberFormat="1" applyFont="1" applyBorder="1" applyAlignment="1"/>
    <xf numFmtId="171" fontId="6" fillId="0" borderId="1" xfId="2" applyNumberFormat="1" applyFont="1" applyBorder="1" applyAlignment="1"/>
    <xf numFmtId="43" fontId="6" fillId="0" borderId="1" xfId="2" applyNumberFormat="1" applyFont="1" applyBorder="1" applyAlignment="1"/>
    <xf numFmtId="0" fontId="8" fillId="2" borderId="1" xfId="0" applyFont="1" applyFill="1" applyBorder="1" applyAlignment="1">
      <alignment horizontal="right"/>
    </xf>
    <xf numFmtId="168" fontId="0" fillId="0" borderId="0" xfId="2" applyNumberFormat="1" applyFont="1"/>
    <xf numFmtId="168" fontId="17" fillId="0" borderId="0" xfId="0" applyNumberFormat="1" applyFont="1" applyAlignment="1">
      <alignment wrapText="1"/>
    </xf>
    <xf numFmtId="0" fontId="14" fillId="0" borderId="1" xfId="0" applyFont="1" applyBorder="1"/>
    <xf numFmtId="166" fontId="9" fillId="3" borderId="1" xfId="0" applyNumberFormat="1" applyFont="1" applyFill="1" applyBorder="1"/>
    <xf numFmtId="170" fontId="0" fillId="0" borderId="1" xfId="2" applyNumberFormat="1" applyFont="1" applyBorder="1"/>
    <xf numFmtId="170" fontId="6" fillId="0" borderId="0" xfId="2" applyNumberFormat="1" applyFont="1" applyFill="1" applyAlignment="1">
      <alignment vertical="center"/>
    </xf>
    <xf numFmtId="170" fontId="14" fillId="3" borderId="0" xfId="2" applyNumberFormat="1" applyFont="1" applyFill="1"/>
    <xf numFmtId="170" fontId="14" fillId="3" borderId="0" xfId="2" applyNumberFormat="1" applyFont="1" applyFill="1" applyAlignment="1">
      <alignment vertical="center"/>
    </xf>
    <xf numFmtId="170" fontId="9" fillId="3" borderId="0" xfId="0" applyNumberFormat="1" applyFont="1" applyFill="1"/>
    <xf numFmtId="170" fontId="9" fillId="3" borderId="0" xfId="2" applyNumberFormat="1" applyFont="1" applyFill="1"/>
    <xf numFmtId="166" fontId="9" fillId="0" borderId="0" xfId="0" applyNumberFormat="1" applyFont="1" applyFill="1"/>
    <xf numFmtId="0" fontId="18" fillId="0" borderId="0" xfId="0" applyFont="1"/>
    <xf numFmtId="0" fontId="9" fillId="3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3" borderId="0" xfId="0" applyFont="1" applyFill="1" applyAlignment="1"/>
    <xf numFmtId="0" fontId="15" fillId="2" borderId="0" xfId="0" applyFont="1" applyFill="1" applyBorder="1" applyAlignment="1">
      <alignment horizontal="center"/>
    </xf>
    <xf numFmtId="0" fontId="9" fillId="3" borderId="0" xfId="0" applyFont="1" applyFill="1" applyAlignment="1">
      <alignment horizontal="left"/>
    </xf>
  </cellXfs>
  <cellStyles count="3">
    <cellStyle name="Comma" xfId="2" builtinId="3"/>
    <cellStyle name="Normal" xfId="0" builtinId="0"/>
    <cellStyle name="Percent" xfId="1" builtinId="5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>
        <bottom style="thin">
          <color indexed="64"/>
        </bottom>
      </border>
    </dxf>
    <dxf>
      <fill>
        <patternFill patternType="solid">
          <fgColor indexed="64"/>
          <bgColor theme="4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65" formatCode="yyyy/mm/dd"/>
    </dxf>
    <dxf>
      <numFmt numFmtId="165" formatCode="yyyy/mm/dd"/>
    </dxf>
    <dxf>
      <numFmt numFmtId="164" formatCode="[$-14009]yyyy/mm/dd;@"/>
    </dxf>
    <dxf>
      <numFmt numFmtId="164" formatCode="[$-14009]yyyy/mm/dd;@"/>
    </dxf>
    <dxf>
      <numFmt numFmtId="2" formatCode="0.00"/>
    </dxf>
    <dxf>
      <numFmt numFmtId="164" formatCode="[$-14009]yyyy/mm/dd;@"/>
    </dxf>
    <dxf>
      <numFmt numFmtId="164" formatCode="[$-14009]yyyy/mm/dd;@"/>
    </dxf>
    <dxf>
      <numFmt numFmtId="164" formatCode="[$-14009]yyyy/mm/dd;@"/>
    </dxf>
    <dxf>
      <numFmt numFmtId="0" formatCode="General"/>
    </dxf>
    <dxf>
      <numFmt numFmtId="164" formatCode="[$-14009]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Deal_Value_INR</a:t>
            </a:r>
            <a:r>
              <a:rPr lang="en-US" b="1" baseline="0"/>
              <a:t>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Q39_Distribution!$B$9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Q39_Distribution!$A$10:$A$33</c:f>
              <c:numCache>
                <c:formatCode>_ * #,##0_ ;_ * \-#,##0_ ;_ * "-"??_ ;_ @_ </c:formatCode>
                <c:ptCount val="24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  <c:pt idx="10">
                  <c:v>550000</c:v>
                </c:pt>
                <c:pt idx="11">
                  <c:v>600000</c:v>
                </c:pt>
                <c:pt idx="12">
                  <c:v>650000</c:v>
                </c:pt>
                <c:pt idx="13">
                  <c:v>700000</c:v>
                </c:pt>
                <c:pt idx="14">
                  <c:v>750000</c:v>
                </c:pt>
                <c:pt idx="15">
                  <c:v>800000</c:v>
                </c:pt>
                <c:pt idx="16">
                  <c:v>850000</c:v>
                </c:pt>
                <c:pt idx="17">
                  <c:v>900000</c:v>
                </c:pt>
                <c:pt idx="18">
                  <c:v>950000</c:v>
                </c:pt>
                <c:pt idx="19">
                  <c:v>1000000</c:v>
                </c:pt>
                <c:pt idx="20">
                  <c:v>1050000</c:v>
                </c:pt>
                <c:pt idx="21">
                  <c:v>1100000</c:v>
                </c:pt>
                <c:pt idx="22">
                  <c:v>1150000</c:v>
                </c:pt>
                <c:pt idx="23">
                  <c:v>1200000</c:v>
                </c:pt>
              </c:numCache>
            </c:numRef>
          </c:cat>
          <c:val>
            <c:numRef>
              <c:f>Q39_Distribution!$B$10:$B$33</c:f>
              <c:numCache>
                <c:formatCode>General</c:formatCode>
                <c:ptCount val="24"/>
                <c:pt idx="0">
                  <c:v>182</c:v>
                </c:pt>
                <c:pt idx="1">
                  <c:v>244</c:v>
                </c:pt>
                <c:pt idx="2">
                  <c:v>256</c:v>
                </c:pt>
                <c:pt idx="3">
                  <c:v>227</c:v>
                </c:pt>
                <c:pt idx="4">
                  <c:v>284</c:v>
                </c:pt>
                <c:pt idx="5">
                  <c:v>241</c:v>
                </c:pt>
                <c:pt idx="6">
                  <c:v>281</c:v>
                </c:pt>
                <c:pt idx="7">
                  <c:v>247</c:v>
                </c:pt>
                <c:pt idx="8">
                  <c:v>232</c:v>
                </c:pt>
                <c:pt idx="9">
                  <c:v>259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5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AC0-80CC-85F4233FF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666336991"/>
        <c:axId val="666338911"/>
      </c:barChart>
      <c:catAx>
        <c:axId val="666336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/>
                  <a:t>Deal</a:t>
                </a:r>
                <a:r>
                  <a:rPr lang="en-IN" sz="900" b="1" baseline="0"/>
                  <a:t> Value (INR, upper bin bound)</a:t>
                </a:r>
                <a:endParaRPr lang="en-IN" sz="9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38911"/>
        <c:crosses val="autoZero"/>
        <c:auto val="1"/>
        <c:lblAlgn val="ctr"/>
        <c:lblOffset val="100"/>
        <c:noMultiLvlLbl val="0"/>
      </c:catAx>
      <c:valAx>
        <c:axId val="6663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/>
                  <a:t>Number</a:t>
                </a:r>
                <a:r>
                  <a:rPr lang="en-IN" sz="900" b="1" baseline="0"/>
                  <a:t> of Deals</a:t>
                </a:r>
                <a:endParaRPr lang="en-IN" sz="9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36991"/>
        <c:crosses val="autoZero"/>
        <c:crossBetween val="between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8</xdr:row>
      <xdr:rowOff>9524</xdr:rowOff>
    </xdr:from>
    <xdr:to>
      <xdr:col>12</xdr:col>
      <xdr:colOff>577849</xdr:colOff>
      <xdr:row>27</xdr:row>
      <xdr:rowOff>141111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4C280B-88BA-B98A-C33E-E1A3BAE3A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86634-9E66-4765-A07D-6BBBAB02DC3D}" name="Table1" displayName="Table1" ref="A1:K301" totalsRowShown="0">
  <autoFilter ref="A1:K301" xr:uid="{6C086634-9E66-4765-A07D-6BBBAB02DC3D}"/>
  <tableColumns count="11">
    <tableColumn id="1" xr3:uid="{CA58F867-4A9A-4825-9F1A-604300FF7C21}" name="Client_ID"/>
    <tableColumn id="2" xr3:uid="{23F57EFA-3E50-4AAE-A05C-002C8220F7A0}" name="Company_Name"/>
    <tableColumn id="3" xr3:uid="{02B3A58C-60A9-4F88-AA7B-4670020B7A72}" name="Industry"/>
    <tableColumn id="4" xr3:uid="{97AF5068-7AE2-475B-89EF-1167E023211C}" name="Contract_Type"/>
    <tableColumn id="5" xr3:uid="{55F623FA-AE25-4D02-AF37-01544EE03D83}" name="Region"/>
    <tableColumn id="6" xr3:uid="{56FBC33C-416E-4C01-9456-C9A77280A05B}" name="City"/>
    <tableColumn id="7" xr3:uid="{767AAE87-9885-45A9-9B6D-01A2BD8A546E}" name="Onboarding_Date" dataDxfId="33"/>
    <tableColumn id="8" xr3:uid="{A2DEFB9F-E35E-48BC-929C-14E13882DE72}" name="Satisfaction_Score"/>
    <tableColumn id="9" xr3:uid="{E98293EC-1991-4B26-A4CC-3513AADC7BC1}" name="Tenure_Years"/>
    <tableColumn id="10" xr3:uid="{71A04737-6B37-4392-A778-4FD8AA31BEEA}" name="Annual_Contract_Value"/>
    <tableColumn id="11" xr3:uid="{F187D1B5-59B5-4C68-B34F-24AE7C7781A7}" name="Account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4FD590-450C-4966-8A73-8B83ABD8D1F7}" name="Table13" displayName="Table13" ref="A1:O1001" totalsRowShown="0">
  <autoFilter ref="A1:O1001" xr:uid="{A04FD590-450C-4966-8A73-8B83ABD8D1F7}"/>
  <tableColumns count="15">
    <tableColumn id="1" xr3:uid="{B245F88F-D301-4B91-9093-93FA12DF79CC}" name="Expense_ID"/>
    <tableColumn id="2" xr3:uid="{1B5A29F4-ECF0-4392-B239-77528030191B}" name="Department"/>
    <tableColumn id="3" xr3:uid="{901F325E-808A-48DE-94CB-7B3E463D2484}" name="Category"/>
    <tableColumn id="4" xr3:uid="{6E28DD78-755A-462F-B77A-58F3E3FF58AF}" name="Vendor"/>
    <tableColumn id="5" xr3:uid="{643C5688-A02D-4210-A4AA-444B1F9579D6}" name="Amount_INR"/>
    <tableColumn id="6" xr3:uid="{FC55A121-A991-41C8-AEF1-FFA771EBA18E}" name="Budget_Allocated_INR"/>
    <tableColumn id="15" xr3:uid="{1920FC0D-F7C0-4381-99DC-CD2D6EB9181A}" name="Recomputed_Variance_INR" dataDxfId="32">
      <calculatedColumnFormula>IF(Table13[[#This Row],[Budget_Allocated_INR]]="","",Table13[[#This Row],[Amount_INR]]-Table13[[#This Row],[Budget_Allocated_INR]])</calculatedColumnFormula>
    </tableColumn>
    <tableColumn id="7" xr3:uid="{BA7735A5-B471-4D62-B60D-C87D109EDD43}" name="Old_Variance_INR"/>
    <tableColumn id="8" xr3:uid="{4ECBF0E7-7C99-48CD-9526-CE50AA018755}" name="Expense_Date" dataDxfId="31"/>
    <tableColumn id="9" xr3:uid="{830BD610-BB2C-4EC4-89AB-BC73323F9827}" name="Approval_Status"/>
    <tableColumn id="10" xr3:uid="{EA4C1355-5641-4BFF-9DF0-B80206AB0AB3}" name="Payment_Mode"/>
    <tableColumn id="11" xr3:uid="{43B55831-47F9-40CE-A969-6C7041043A60}" name="Fiscal_Year"/>
    <tableColumn id="12" xr3:uid="{3FD8E48B-35B9-4A9C-B5FD-CCB292107E03}" name="Remarks"/>
    <tableColumn id="13" xr3:uid="{7FDFC479-6BAF-49A4-88B4-8F4A41BD0735}" name="Amount_Type_Flag"/>
    <tableColumn id="14" xr3:uid="{67366EAD-0596-4A55-9790-3BF1C86FF150}" name="High_Value_Pending_Rejected_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910783-A095-414D-B374-44FCC89CE318}" name="Table14" displayName="Table14" ref="A1:Q151" totalsRowShown="0">
  <autoFilter ref="A1:Q151" xr:uid="{3D910783-A095-414D-B374-44FCC89CE318}"/>
  <tableColumns count="17">
    <tableColumn id="1" xr3:uid="{9025D815-F738-4DF2-B9B9-2B286494BA16}" name="Campaign_ID"/>
    <tableColumn id="2" xr3:uid="{A416BDE0-E78F-4C4F-8D90-15287D5BE0D5}" name="Campaign_Name"/>
    <tableColumn id="3" xr3:uid="{DADF6AC0-0B6C-48BE-BF54-DD8BA6F6AA18}" name="Channel"/>
    <tableColumn id="4" xr3:uid="{9E88866F-7383-4002-B0CF-6796E5A9B155}" name="Campaign_Type"/>
    <tableColumn id="5" xr3:uid="{6B0AC1D0-7132-4E7F-A73E-5EF27F3E96DC}" name="Start_Date" dataDxfId="30"/>
    <tableColumn id="6" xr3:uid="{EC67AB9A-7037-4A9A-AE81-7AE1197DEC24}" name="End_Date" dataDxfId="29"/>
    <tableColumn id="7" xr3:uid="{C818F632-9B57-4689-9629-712CC1E2D707}" name="Budget_INR"/>
    <tableColumn id="8" xr3:uid="{3E6E9699-2CB3-4DE4-9DA1-741938E8E247}" name="Impressions"/>
    <tableColumn id="9" xr3:uid="{2318F4E2-2273-4D04-84D7-268C936EB3E9}" name="Clicks"/>
    <tableColumn id="10" xr3:uid="{A49BD949-64C3-47AA-B01A-51F50C28EFF4}" name="MQLs"/>
    <tableColumn id="11" xr3:uid="{0AB2CD0B-008D-4ABC-A844-58A3CF5CAFE6}" name="SQLs"/>
    <tableColumn id="12" xr3:uid="{5B88CD31-5F69-4679-AE90-212E85E441F4}" name="Conversions"/>
    <tableColumn id="13" xr3:uid="{5370ECBB-D469-45E8-B50A-4D701FEB28B4}" name="CTR_Percent" dataDxfId="28"/>
    <tableColumn id="14" xr3:uid="{C306197D-7E3C-476F-807E-DA3A502B43EE}" name="Cost_Per_Click"/>
    <tableColumn id="15" xr3:uid="{BCEDBDB2-8AA7-4FC6-BFFD-179D1515CA07}" name="Customer_Acquisition_Cost"/>
    <tableColumn id="16" xr3:uid="{49CF968F-D0D2-454A-A771-433AE7987EA3}" name="Target_Region"/>
    <tableColumn id="17" xr3:uid="{6C2BE118-1BD0-48B7-8F0D-8C5E87DFA32C}" name="Target_Indust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22C5AA-2E42-43D7-AD5B-806326EF4DA4}" name="Table2" displayName="Table2" ref="A1:N2501" totalsRowShown="0">
  <autoFilter ref="A1:N2501" xr:uid="{F622C5AA-2E42-43D7-AD5B-806326EF4DA4}"/>
  <tableColumns count="14">
    <tableColumn id="1" xr3:uid="{25584442-3110-46E8-9638-349DC50A887D}" name="Deal_ID"/>
    <tableColumn id="2" xr3:uid="{4223B64D-E27A-42B7-859A-776C69824C5F}" name="Sales_Rep"/>
    <tableColumn id="3" xr3:uid="{58DBFD7D-94A5-44D1-8D5F-509BC4F26505}" name="Client_ID"/>
    <tableColumn id="4" xr3:uid="{52443171-7F6C-4FA5-A63A-E7969DFE62F4}" name="Product"/>
    <tableColumn id="5" xr3:uid="{C96691BE-3B4F-446F-A726-76AD63355B50}" name="Lead_Source"/>
    <tableColumn id="6" xr3:uid="{7089A949-E72B-4B60-A460-898B1339C629}" name="Deal_Stage"/>
    <tableColumn id="7" xr3:uid="{8D70F740-E58F-4A4E-B0EC-104A9253B7EF}" name="Deal_Value_INR"/>
    <tableColumn id="8" xr3:uid="{45B7568C-F2BC-495A-9DA2-1989DF66E1E7}" name="Created_Date" dataDxfId="27"/>
    <tableColumn id="9" xr3:uid="{D55E7A02-490D-4756-A1F9-7EA3B8D88516}" name="Close_Date" dataDxfId="26"/>
    <tableColumn id="10" xr3:uid="{623952B4-BA99-4CEB-9972-3C8AF1C66A66}" name="Days_to_Close"/>
    <tableColumn id="11" xr3:uid="{65C0051C-135F-49EA-8D66-C3AED2593E64}" name="Discount_Percent"/>
    <tableColumn id="12" xr3:uid="{7B814AAA-A467-49A1-9BBE-0AECC30E2301}" name="Region"/>
    <tableColumn id="13" xr3:uid="{42E56ECB-6298-467E-8A31-960D5CC3E3EC}" name="Quarter"/>
    <tableColumn id="14" xr3:uid="{50409927-6829-4DD5-9BB4-85975381FE1A}" name="Outlier_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DBAFB2-324D-4E20-B35C-4D25880D47C1}" name="Table110" displayName="Table110" ref="A1:N4001" totalsRowShown="0">
  <autoFilter ref="A1:N4001" xr:uid="{03DBAFB2-324D-4E20-B35C-4D25880D47C1}"/>
  <tableColumns count="14">
    <tableColumn id="1" xr3:uid="{972F7CAA-E31E-4759-9368-8C6EE588158A}" name="Ticket_ID"/>
    <tableColumn id="2" xr3:uid="{4847DB67-0A4E-400D-9EDF-335099451E1B}" name="Client_ID"/>
    <tableColumn id="3" xr3:uid="{2A9A9F65-81A7-451E-97A5-480F4E5C3927}" name="Product"/>
    <tableColumn id="4" xr3:uid="{2365F56A-52AB-44B1-993D-CD21CEA2EFCD}" name="Issue_Type"/>
    <tableColumn id="5" xr3:uid="{AB77FA25-9846-4D74-B9EE-D8658764643D}" name="Priority"/>
    <tableColumn id="6" xr3:uid="{1C5E437F-A121-43E1-B30C-D89F2BE48BD3}" name="Created_Date" dataDxfId="25"/>
    <tableColumn id="7" xr3:uid="{01D3EE48-A7F6-40B1-B583-D1F4B716B328}" name="Resolved_Date" dataDxfId="24"/>
    <tableColumn id="8" xr3:uid="{5518B9BB-2665-4EF9-B03D-36C9DAEE8CA3}" name="Resolution_Hours" dataDxfId="23"/>
    <tableColumn id="9" xr3:uid="{332963E4-62E6-4C44-8D3A-E69D812A1E12}" name="SLA_Target_Hours"/>
    <tableColumn id="10" xr3:uid="{11778EAC-EE6F-4E6F-9920-3C2C1481E8CF}" name="SLA_Met"/>
    <tableColumn id="11" xr3:uid="{EEDCA849-D0F8-4173-9A3B-5BA017D9DD33}" name="Status"/>
    <tableColumn id="12" xr3:uid="{4487C0E8-DCA6-4C46-9902-E4D496C48634}" name="Assigned_Agent"/>
    <tableColumn id="13" xr3:uid="{04B9AFDB-FD4F-40B1-9487-6BFC7E6FB12A}" name="Contact_Channel"/>
    <tableColumn id="14" xr3:uid="{3CAA001D-A727-405F-8472-FA5CFA013EB5}" name="Customer_Satisfa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89177D-D4DA-426C-9F68-029E324509A7}" name="Table6" displayName="Table6" ref="A10:D13" totalsRowShown="0" headerRowDxfId="22" dataDxfId="20" headerRowBorderDxfId="21" tableBorderDxfId="19" totalsRowBorderDxfId="18">
  <autoFilter ref="A10:D13" xr:uid="{3089177D-D4DA-426C-9F68-029E324509A7}">
    <filterColumn colId="0" hiddenButton="1"/>
    <filterColumn colId="1" hiddenButton="1"/>
    <filterColumn colId="2" hiddenButton="1"/>
    <filterColumn colId="3" hiddenButton="1"/>
  </autoFilter>
  <tableColumns count="4">
    <tableColumn id="1" xr3:uid="{DC92150B-2114-4F04-B7B3-B9D1FA6FDC3C}" name="Channel" dataDxfId="17"/>
    <tableColumn id="2" xr3:uid="{09770F38-33ED-46F4-8230-1DCF2B0BE938}" name="Closed Won" dataDxfId="16"/>
    <tableColumn id="3" xr3:uid="{F0108F8D-52B8-4368-A484-5D26D16D110A}" name="Closed Lost" dataDxfId="15"/>
    <tableColumn id="4" xr3:uid="{6BDE7D80-21F3-4942-A9FB-EFBB3125247B}" name="Total" dataDxfId="14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ECCF217-404A-42F6-AE47-C621ED96EC9E}" name="Table8" displayName="Table8" ref="A16:C18" totalsRowShown="0" headerRowDxfId="13" dataDxfId="11" headerRowBorderDxfId="12" tableBorderDxfId="10" totalsRowBorderDxfId="9">
  <autoFilter ref="A16:C18" xr:uid="{CECCF217-404A-42F6-AE47-C621ED96EC9E}">
    <filterColumn colId="0" hiddenButton="1"/>
    <filterColumn colId="1" hiddenButton="1"/>
    <filterColumn colId="2" hiddenButton="1"/>
  </autoFilter>
  <tableColumns count="3">
    <tableColumn id="1" xr3:uid="{AD1063E8-BC9C-41A3-A92F-CECBEC3493A8}" name="Channel" dataDxfId="8"/>
    <tableColumn id="2" xr3:uid="{19088867-0459-4F21-BF20-A8EEC19F0202}" name="Closed Won" dataDxfId="7">
      <calculatedColumnFormula>$D11*B$13/$D$13</calculatedColumnFormula>
    </tableColumn>
    <tableColumn id="3" xr3:uid="{6A34AA51-234D-4429-88C6-094CFCA16AEF}" name="Closed lost" dataDxfId="6">
      <calculatedColumnFormula>$D11*C$13/$D$13</calculatedColumnFormula>
    </tableColumn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C8536C-8509-421B-A0B1-5039F09DDA2F}" name="Table5" displayName="Table5" ref="I11:L13" totalsRowShown="0">
  <autoFilter ref="I11:L13" xr:uid="{C2C8536C-8509-421B-A0B1-5039F09DDA2F}">
    <filterColumn colId="0" hiddenButton="1"/>
    <filterColumn colId="1" hiddenButton="1"/>
    <filterColumn colId="2" hiddenButton="1"/>
    <filterColumn colId="3" hiddenButton="1"/>
  </autoFilter>
  <tableColumns count="4">
    <tableColumn id="1" xr3:uid="{E954AF19-6AEF-4133-A3AD-6484E2E25E15}" name="Months"/>
    <tableColumn id="2" xr3:uid="{568E3699-BC05-4C13-8332-F3FF6E7A6BFF}" name="n">
      <calculatedColumnFormula>COUNT(C10:C2509)</calculatedColumnFormula>
    </tableColumn>
    <tableColumn id="3" xr3:uid="{57ED6141-58EC-421A-A8AE-EF5FE0063BC2}" name="Mean" dataDxfId="5">
      <calculatedColumnFormula>AVERAGE(C10:C2509)</calculatedColumnFormula>
    </tableColumn>
    <tableColumn id="4" xr3:uid="{5DA45EB7-2CB2-405A-99C3-69FF545B44F1}" name="Std Dev" dataDxfId="4">
      <calculatedColumnFormula>STDEV(C10:C2509)</calculatedColumnFormula>
    </tableColumn>
  </tableColumns>
  <tableStyleInfo name="TableStyleMedium2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610D4FB-CDEB-44B4-A389-8B1FCE163D26}" name="Table11" displayName="Table11" ref="A10:C2510" totalsRowShown="0" headerRowDxfId="3">
  <autoFilter ref="A10:C2510" xr:uid="{C610D4FB-CDEB-44B4-A389-8B1FCE163D26}">
    <filterColumn colId="0" hiddenButton="1"/>
    <filterColumn colId="1" hiddenButton="1"/>
    <filterColumn colId="2" hiddenButton="1"/>
  </autoFilter>
  <tableColumns count="3">
    <tableColumn id="1" xr3:uid="{F4D29CE7-28C0-44EB-A6D4-4CEB60A356BE}" name="Row No."/>
    <tableColumn id="2" xr3:uid="{5054F2FF-70E7-4E36-9247-DE7086025C63}" name="Recent_6 _Months">
      <calculatedColumnFormula>IF(Sales_Deals!I2&lt;&gt;"",IF(AND(Sales_Deals!I2&gt;DATE(2024,9,30),Sales_Deals!I2&lt;=DATE(2025,3,31)),Sales_Deals!J2,""),"")</calculatedColumnFormula>
    </tableColumn>
    <tableColumn id="3" xr3:uid="{746BF95C-76E5-4123-9A75-B3E7179BAD3B}" name="Previous_6_Months">
      <calculatedColumnFormula>IF(Sales_Deals!I2&lt;&gt;"",IF(AND(Sales_Deals!I2&gt;DATE(2024,3,31),Sales_Deals!I2&lt;=DATE(2024,9,30)),Sales_Deals!J2,""),"")</calculatedColumnFormula>
    </tableColumn>
  </tableColumns>
  <tableStyleInfo name="TableStyleLight15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30703F-7744-440C-AC24-59481C481F7A}" name="Table7" displayName="Table7" ref="A8:C308" totalsRowShown="0" headerRowDxfId="2">
  <autoFilter ref="A8:C308" xr:uid="{2830703F-7744-440C-AC24-59481C481F7A}">
    <filterColumn colId="0" hiddenButton="1"/>
    <filterColumn colId="1" hiddenButton="1"/>
    <filterColumn colId="2" hiddenButton="1"/>
  </autoFilter>
  <tableColumns count="3">
    <tableColumn id="1" xr3:uid="{8007D9AD-0B1E-4AEF-B363-FEBCCDA89DB1}" name="Client_ID" dataDxfId="1">
      <calculatedColumnFormula>Clients!A2</calculatedColumnFormula>
    </tableColumn>
    <tableColumn id="2" xr3:uid="{B91393BD-A9E6-481A-88E7-485BB3DD6922}" name="Satisfaction_Score">
      <calculatedColumnFormula>IF(Clients!H2="","",Clients!H2)</calculatedColumnFormula>
    </tableColumn>
    <tableColumn id="3" xr3:uid="{D6B3ABF2-EFD6-4CA3-91F6-9F565277F0DD}" name="SLA_Breach_Count" dataDxfId="0">
      <calculatedColumnFormula>COUNTIFS(Support_Tickets!$B$2:$B$4001,A9,Support_Tickets!$J$2:$J$4001,"No")</calculatedColumnFormula>
    </tableColumn>
  </tableColumns>
  <tableStyleInfo name="TableStyleLight20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DF1E25-9BD6-4783-9135-FDC32ACA35A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6f4d4d7-789a-4a1e-aefb-3e9f10e34e0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workbookViewId="0">
      <selection activeCell="P19" sqref="P19"/>
    </sheetView>
  </sheetViews>
  <sheetFormatPr defaultRowHeight="14.5" x14ac:dyDescent="0.35"/>
  <cols>
    <col min="1" max="1" width="10.90625" customWidth="1"/>
    <col min="2" max="2" width="23.1796875" bestFit="1" customWidth="1"/>
    <col min="3" max="3" width="13.36328125" bestFit="1" customWidth="1"/>
    <col min="4" max="4" width="16.08984375" bestFit="1" customWidth="1"/>
    <col min="5" max="5" width="8.90625" customWidth="1"/>
    <col min="6" max="6" width="12.6328125" bestFit="1" customWidth="1"/>
    <col min="7" max="7" width="17.7265625" style="1" customWidth="1"/>
    <col min="8" max="8" width="18.81640625" customWidth="1"/>
    <col min="9" max="9" width="14.453125" customWidth="1"/>
    <col min="10" max="10" width="22.6328125" customWidth="1"/>
    <col min="11" max="11" width="16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44281</v>
      </c>
      <c r="H2">
        <v>3.2</v>
      </c>
      <c r="I2">
        <v>4</v>
      </c>
      <c r="J2">
        <v>75000</v>
      </c>
      <c r="K2" t="s">
        <v>17</v>
      </c>
    </row>
    <row r="3" spans="1:11" x14ac:dyDescent="0.35">
      <c r="A3" t="s">
        <v>18</v>
      </c>
      <c r="B3" t="s">
        <v>19</v>
      </c>
      <c r="C3" t="s">
        <v>20</v>
      </c>
      <c r="D3" t="s">
        <v>14</v>
      </c>
      <c r="E3" t="s">
        <v>21</v>
      </c>
      <c r="F3" t="s">
        <v>22</v>
      </c>
      <c r="G3" s="1">
        <v>45171</v>
      </c>
      <c r="H3">
        <v>3.1</v>
      </c>
      <c r="I3">
        <v>1.6</v>
      </c>
      <c r="J3">
        <v>100000</v>
      </c>
      <c r="K3" t="s">
        <v>17</v>
      </c>
    </row>
    <row r="4" spans="1:11" x14ac:dyDescent="0.35">
      <c r="A4" t="s">
        <v>23</v>
      </c>
      <c r="B4" t="s">
        <v>24</v>
      </c>
      <c r="C4" t="s">
        <v>25</v>
      </c>
      <c r="D4" t="s">
        <v>26</v>
      </c>
      <c r="E4" t="s">
        <v>21</v>
      </c>
      <c r="F4" t="s">
        <v>22</v>
      </c>
      <c r="G4" s="1">
        <v>43835</v>
      </c>
      <c r="H4">
        <v>4.4000000000000004</v>
      </c>
      <c r="I4">
        <v>5.2</v>
      </c>
      <c r="J4">
        <v>300000</v>
      </c>
      <c r="K4" t="s">
        <v>17</v>
      </c>
    </row>
    <row r="5" spans="1:11" x14ac:dyDescent="0.35">
      <c r="A5" t="s">
        <v>27</v>
      </c>
      <c r="B5" t="s">
        <v>12</v>
      </c>
      <c r="C5" t="s">
        <v>28</v>
      </c>
      <c r="D5" t="s">
        <v>29</v>
      </c>
      <c r="E5" t="s">
        <v>30</v>
      </c>
      <c r="F5" t="s">
        <v>31</v>
      </c>
      <c r="G5" s="1">
        <v>44775</v>
      </c>
      <c r="H5">
        <v>4.9000000000000004</v>
      </c>
      <c r="I5">
        <v>2.7</v>
      </c>
      <c r="J5">
        <v>75000</v>
      </c>
      <c r="K5" t="s">
        <v>17</v>
      </c>
    </row>
    <row r="6" spans="1:11" x14ac:dyDescent="0.35">
      <c r="A6" t="s">
        <v>32</v>
      </c>
      <c r="B6" t="s">
        <v>33</v>
      </c>
      <c r="C6" t="s">
        <v>28</v>
      </c>
      <c r="D6" t="s">
        <v>29</v>
      </c>
      <c r="E6" t="s">
        <v>30</v>
      </c>
      <c r="F6" t="s">
        <v>31</v>
      </c>
      <c r="G6" s="1">
        <v>44538</v>
      </c>
      <c r="H6">
        <v>4.3</v>
      </c>
      <c r="I6">
        <v>3.3</v>
      </c>
      <c r="J6">
        <v>75000</v>
      </c>
      <c r="K6" t="s">
        <v>17</v>
      </c>
    </row>
    <row r="7" spans="1:11" x14ac:dyDescent="0.35">
      <c r="A7" t="s">
        <v>34</v>
      </c>
      <c r="B7" t="s">
        <v>35</v>
      </c>
      <c r="C7" t="s">
        <v>36</v>
      </c>
      <c r="D7" t="s">
        <v>29</v>
      </c>
      <c r="E7" t="s">
        <v>30</v>
      </c>
      <c r="F7" t="s">
        <v>37</v>
      </c>
      <c r="G7" s="1">
        <v>44170</v>
      </c>
      <c r="H7">
        <v>3.8</v>
      </c>
      <c r="I7">
        <v>4.3</v>
      </c>
      <c r="J7">
        <v>500000</v>
      </c>
      <c r="K7" t="s">
        <v>17</v>
      </c>
    </row>
    <row r="8" spans="1:11" x14ac:dyDescent="0.35">
      <c r="A8" t="s">
        <v>38</v>
      </c>
      <c r="B8" t="s">
        <v>39</v>
      </c>
      <c r="C8" t="s">
        <v>40</v>
      </c>
      <c r="D8" t="s">
        <v>26</v>
      </c>
      <c r="E8" t="s">
        <v>30</v>
      </c>
      <c r="F8" t="s">
        <v>37</v>
      </c>
      <c r="G8" s="1">
        <v>43682</v>
      </c>
      <c r="H8">
        <v>3.4</v>
      </c>
      <c r="I8">
        <v>5.7</v>
      </c>
      <c r="J8">
        <v>750000</v>
      </c>
      <c r="K8" t="s">
        <v>41</v>
      </c>
    </row>
    <row r="9" spans="1:11" x14ac:dyDescent="0.35">
      <c r="A9" t="s">
        <v>42</v>
      </c>
      <c r="B9" t="s">
        <v>43</v>
      </c>
      <c r="C9" t="s">
        <v>40</v>
      </c>
      <c r="D9" t="s">
        <v>44</v>
      </c>
      <c r="E9" t="s">
        <v>21</v>
      </c>
      <c r="F9" t="s">
        <v>22</v>
      </c>
      <c r="G9" s="1">
        <v>43510</v>
      </c>
      <c r="H9">
        <v>4.3</v>
      </c>
      <c r="I9">
        <v>6.1</v>
      </c>
      <c r="J9">
        <v>100000</v>
      </c>
      <c r="K9" t="s">
        <v>41</v>
      </c>
    </row>
    <row r="10" spans="1:11" x14ac:dyDescent="0.35">
      <c r="A10" t="s">
        <v>45</v>
      </c>
      <c r="B10" t="s">
        <v>46</v>
      </c>
      <c r="C10" t="s">
        <v>25</v>
      </c>
      <c r="D10" t="s">
        <v>29</v>
      </c>
      <c r="E10" t="s">
        <v>47</v>
      </c>
      <c r="F10" t="s">
        <v>48</v>
      </c>
      <c r="G10" s="1">
        <v>43494</v>
      </c>
      <c r="H10">
        <v>2.8</v>
      </c>
      <c r="I10">
        <v>6.2</v>
      </c>
      <c r="J10">
        <v>300000</v>
      </c>
      <c r="K10" t="s">
        <v>17</v>
      </c>
    </row>
    <row r="11" spans="1:11" x14ac:dyDescent="0.35">
      <c r="A11" t="s">
        <v>49</v>
      </c>
      <c r="B11" t="s">
        <v>50</v>
      </c>
      <c r="C11" t="s">
        <v>13</v>
      </c>
      <c r="D11" t="s">
        <v>14</v>
      </c>
      <c r="E11" t="s">
        <v>21</v>
      </c>
      <c r="F11" t="s">
        <v>51</v>
      </c>
      <c r="G11" s="1">
        <v>45209</v>
      </c>
      <c r="H11">
        <v>4.3</v>
      </c>
      <c r="I11">
        <v>1.5</v>
      </c>
      <c r="J11">
        <v>100000</v>
      </c>
      <c r="K11" t="s">
        <v>41</v>
      </c>
    </row>
    <row r="12" spans="1:11" x14ac:dyDescent="0.35">
      <c r="A12" t="s">
        <v>52</v>
      </c>
      <c r="B12" t="s">
        <v>53</v>
      </c>
      <c r="C12" t="s">
        <v>54</v>
      </c>
      <c r="D12" t="s">
        <v>55</v>
      </c>
      <c r="E12" t="s">
        <v>15</v>
      </c>
      <c r="F12" t="s">
        <v>56</v>
      </c>
      <c r="G12" s="1">
        <v>43474</v>
      </c>
      <c r="H12">
        <v>2.6</v>
      </c>
      <c r="I12">
        <v>6.2</v>
      </c>
      <c r="J12">
        <v>500000</v>
      </c>
      <c r="K12" t="s">
        <v>41</v>
      </c>
    </row>
    <row r="13" spans="1:11" x14ac:dyDescent="0.35">
      <c r="A13" t="s">
        <v>57</v>
      </c>
      <c r="B13" t="s">
        <v>58</v>
      </c>
      <c r="C13" t="s">
        <v>59</v>
      </c>
      <c r="D13" t="s">
        <v>14</v>
      </c>
      <c r="E13" t="s">
        <v>15</v>
      </c>
      <c r="F13" t="s">
        <v>56</v>
      </c>
      <c r="G13" s="1">
        <v>44094</v>
      </c>
      <c r="H13">
        <v>3.2</v>
      </c>
      <c r="I13">
        <v>4.5</v>
      </c>
      <c r="J13">
        <v>100000</v>
      </c>
      <c r="K13" t="s">
        <v>41</v>
      </c>
    </row>
    <row r="14" spans="1:11" x14ac:dyDescent="0.35">
      <c r="A14" t="s">
        <v>60</v>
      </c>
      <c r="B14" t="s">
        <v>61</v>
      </c>
      <c r="C14" t="s">
        <v>25</v>
      </c>
      <c r="D14" t="s">
        <v>55</v>
      </c>
      <c r="E14" t="s">
        <v>15</v>
      </c>
      <c r="F14" t="s">
        <v>16</v>
      </c>
      <c r="G14" s="1">
        <v>44885</v>
      </c>
      <c r="H14">
        <v>4.8</v>
      </c>
      <c r="I14">
        <v>2.4</v>
      </c>
      <c r="J14">
        <v>500000</v>
      </c>
      <c r="K14" t="s">
        <v>17</v>
      </c>
    </row>
    <row r="15" spans="1:11" x14ac:dyDescent="0.35">
      <c r="A15" t="s">
        <v>62</v>
      </c>
      <c r="B15" t="s">
        <v>63</v>
      </c>
      <c r="C15" t="s">
        <v>40</v>
      </c>
      <c r="D15" t="s">
        <v>26</v>
      </c>
      <c r="E15" t="s">
        <v>15</v>
      </c>
      <c r="F15" t="s">
        <v>64</v>
      </c>
      <c r="G15" s="1">
        <v>44015</v>
      </c>
      <c r="H15">
        <v>4</v>
      </c>
      <c r="I15">
        <v>4.7</v>
      </c>
      <c r="J15">
        <v>50000</v>
      </c>
      <c r="K15" t="s">
        <v>65</v>
      </c>
    </row>
    <row r="16" spans="1:11" x14ac:dyDescent="0.35">
      <c r="A16" t="s">
        <v>66</v>
      </c>
      <c r="B16" t="s">
        <v>67</v>
      </c>
      <c r="C16" t="s">
        <v>25</v>
      </c>
      <c r="D16" t="s">
        <v>14</v>
      </c>
      <c r="E16" t="s">
        <v>15</v>
      </c>
      <c r="F16" t="s">
        <v>56</v>
      </c>
      <c r="G16" s="1">
        <v>44604</v>
      </c>
      <c r="H16">
        <v>4.9000000000000004</v>
      </c>
      <c r="I16">
        <v>3.1</v>
      </c>
      <c r="J16">
        <v>500000</v>
      </c>
      <c r="K16" t="s">
        <v>41</v>
      </c>
    </row>
    <row r="17" spans="1:11" x14ac:dyDescent="0.35">
      <c r="A17" t="s">
        <v>68</v>
      </c>
      <c r="B17" t="s">
        <v>69</v>
      </c>
      <c r="C17" t="s">
        <v>54</v>
      </c>
      <c r="D17" t="s">
        <v>55</v>
      </c>
      <c r="E17" t="s">
        <v>47</v>
      </c>
      <c r="F17" t="s">
        <v>70</v>
      </c>
      <c r="G17" s="1">
        <v>44125</v>
      </c>
      <c r="H17">
        <v>2.7</v>
      </c>
      <c r="I17">
        <v>4.4000000000000004</v>
      </c>
      <c r="J17">
        <v>200000</v>
      </c>
      <c r="K17" t="s">
        <v>17</v>
      </c>
    </row>
    <row r="18" spans="1:11" x14ac:dyDescent="0.35">
      <c r="A18" t="s">
        <v>71</v>
      </c>
      <c r="B18" t="s">
        <v>72</v>
      </c>
      <c r="C18" t="s">
        <v>73</v>
      </c>
      <c r="D18" t="s">
        <v>55</v>
      </c>
      <c r="E18" t="s">
        <v>15</v>
      </c>
      <c r="F18" t="s">
        <v>64</v>
      </c>
      <c r="G18" s="1">
        <v>44046</v>
      </c>
      <c r="H18">
        <v>3.9</v>
      </c>
      <c r="I18">
        <v>4.7</v>
      </c>
      <c r="J18">
        <v>200000</v>
      </c>
      <c r="K18" t="s">
        <v>17</v>
      </c>
    </row>
    <row r="19" spans="1:11" x14ac:dyDescent="0.35">
      <c r="A19" t="s">
        <v>74</v>
      </c>
      <c r="B19" t="s">
        <v>75</v>
      </c>
      <c r="C19" t="s">
        <v>28</v>
      </c>
      <c r="D19" t="s">
        <v>29</v>
      </c>
      <c r="E19" t="s">
        <v>21</v>
      </c>
      <c r="F19" t="s">
        <v>76</v>
      </c>
      <c r="G19" s="1">
        <v>45166</v>
      </c>
      <c r="H19">
        <v>3.7</v>
      </c>
      <c r="I19">
        <v>1.6</v>
      </c>
      <c r="J19">
        <v>750000</v>
      </c>
      <c r="K19" t="s">
        <v>17</v>
      </c>
    </row>
    <row r="20" spans="1:11" x14ac:dyDescent="0.35">
      <c r="A20" t="s">
        <v>77</v>
      </c>
      <c r="B20" t="s">
        <v>78</v>
      </c>
      <c r="C20" t="s">
        <v>79</v>
      </c>
      <c r="D20" t="s">
        <v>44</v>
      </c>
      <c r="E20" t="s">
        <v>30</v>
      </c>
      <c r="F20" t="s">
        <v>37</v>
      </c>
      <c r="G20" s="1">
        <v>44214</v>
      </c>
      <c r="H20">
        <v>2.9</v>
      </c>
      <c r="I20">
        <v>4.2</v>
      </c>
      <c r="J20">
        <v>750000</v>
      </c>
      <c r="K20" t="s">
        <v>65</v>
      </c>
    </row>
    <row r="21" spans="1:11" x14ac:dyDescent="0.35">
      <c r="A21" t="s">
        <v>80</v>
      </c>
      <c r="B21" t="s">
        <v>81</v>
      </c>
      <c r="C21" t="s">
        <v>20</v>
      </c>
      <c r="D21" t="s">
        <v>14</v>
      </c>
      <c r="E21" t="s">
        <v>15</v>
      </c>
      <c r="F21" t="s">
        <v>56</v>
      </c>
      <c r="G21" s="1">
        <v>43685</v>
      </c>
      <c r="H21">
        <v>2.5</v>
      </c>
      <c r="I21">
        <v>5.6</v>
      </c>
      <c r="J21">
        <v>500000</v>
      </c>
      <c r="K21" t="s">
        <v>17</v>
      </c>
    </row>
    <row r="22" spans="1:11" x14ac:dyDescent="0.35">
      <c r="A22" t="s">
        <v>82</v>
      </c>
      <c r="B22" t="s">
        <v>83</v>
      </c>
      <c r="C22" t="s">
        <v>54</v>
      </c>
      <c r="D22" t="s">
        <v>44</v>
      </c>
      <c r="E22" t="s">
        <v>15</v>
      </c>
      <c r="F22" t="s">
        <v>84</v>
      </c>
      <c r="G22" s="1">
        <v>43783</v>
      </c>
      <c r="H22">
        <v>4.5999999999999996</v>
      </c>
      <c r="I22">
        <v>5.4</v>
      </c>
      <c r="J22">
        <v>75000</v>
      </c>
      <c r="K22" t="s">
        <v>17</v>
      </c>
    </row>
    <row r="23" spans="1:11" x14ac:dyDescent="0.35">
      <c r="A23" t="s">
        <v>85</v>
      </c>
      <c r="B23" t="s">
        <v>69</v>
      </c>
      <c r="C23" t="s">
        <v>59</v>
      </c>
      <c r="D23" t="s">
        <v>29</v>
      </c>
      <c r="E23" t="s">
        <v>47</v>
      </c>
      <c r="F23" t="s">
        <v>48</v>
      </c>
      <c r="G23" s="1">
        <v>44004</v>
      </c>
      <c r="H23">
        <v>4.5</v>
      </c>
      <c r="I23">
        <v>4.8</v>
      </c>
      <c r="J23">
        <v>750000</v>
      </c>
      <c r="K23" t="s">
        <v>65</v>
      </c>
    </row>
    <row r="24" spans="1:11" x14ac:dyDescent="0.35">
      <c r="A24" t="s">
        <v>86</v>
      </c>
      <c r="B24" t="s">
        <v>87</v>
      </c>
      <c r="C24" t="s">
        <v>73</v>
      </c>
      <c r="D24" t="s">
        <v>44</v>
      </c>
      <c r="E24" t="s">
        <v>15</v>
      </c>
      <c r="F24" t="s">
        <v>16</v>
      </c>
      <c r="G24" s="1">
        <v>43665</v>
      </c>
      <c r="H24">
        <v>4.4000000000000004</v>
      </c>
      <c r="I24">
        <v>5.7</v>
      </c>
      <c r="J24">
        <v>1000000</v>
      </c>
      <c r="K24" t="s">
        <v>41</v>
      </c>
    </row>
    <row r="25" spans="1:11" x14ac:dyDescent="0.35">
      <c r="A25" t="s">
        <v>88</v>
      </c>
      <c r="B25" t="s">
        <v>89</v>
      </c>
      <c r="C25" t="s">
        <v>79</v>
      </c>
      <c r="D25" t="s">
        <v>29</v>
      </c>
      <c r="E25" t="s">
        <v>30</v>
      </c>
      <c r="F25" t="s">
        <v>37</v>
      </c>
      <c r="G25" s="1">
        <v>43940</v>
      </c>
      <c r="H25">
        <v>4.0999999999999996</v>
      </c>
      <c r="I25">
        <v>4.9000000000000004</v>
      </c>
      <c r="J25">
        <v>100000</v>
      </c>
      <c r="K25" t="s">
        <v>17</v>
      </c>
    </row>
    <row r="26" spans="1:11" x14ac:dyDescent="0.35">
      <c r="A26" t="s">
        <v>90</v>
      </c>
      <c r="B26" t="s">
        <v>91</v>
      </c>
      <c r="C26" t="s">
        <v>59</v>
      </c>
      <c r="D26" t="s">
        <v>14</v>
      </c>
      <c r="E26" t="s">
        <v>15</v>
      </c>
      <c r="F26" t="s">
        <v>16</v>
      </c>
      <c r="G26" s="1">
        <v>44283</v>
      </c>
      <c r="H26">
        <v>4.0999999999999996</v>
      </c>
      <c r="I26">
        <v>4</v>
      </c>
      <c r="J26">
        <v>750000</v>
      </c>
      <c r="K26" t="s">
        <v>65</v>
      </c>
    </row>
    <row r="27" spans="1:11" x14ac:dyDescent="0.35">
      <c r="A27" t="s">
        <v>92</v>
      </c>
      <c r="B27" t="s">
        <v>93</v>
      </c>
      <c r="C27" t="s">
        <v>13</v>
      </c>
      <c r="D27" t="s">
        <v>26</v>
      </c>
      <c r="E27" t="s">
        <v>47</v>
      </c>
      <c r="F27" t="s">
        <v>48</v>
      </c>
      <c r="G27" s="1">
        <v>44242</v>
      </c>
      <c r="H27">
        <v>3.7</v>
      </c>
      <c r="I27">
        <v>4.0999999999999996</v>
      </c>
      <c r="J27">
        <v>50000</v>
      </c>
      <c r="K27" t="s">
        <v>41</v>
      </c>
    </row>
    <row r="28" spans="1:11" x14ac:dyDescent="0.35">
      <c r="A28" t="s">
        <v>94</v>
      </c>
      <c r="B28" t="s">
        <v>95</v>
      </c>
      <c r="C28" t="s">
        <v>28</v>
      </c>
      <c r="D28" t="s">
        <v>14</v>
      </c>
      <c r="E28" t="s">
        <v>21</v>
      </c>
      <c r="F28" t="s">
        <v>96</v>
      </c>
      <c r="G28" s="1">
        <v>44805</v>
      </c>
      <c r="H28">
        <v>3.4</v>
      </c>
      <c r="I28">
        <v>2.6</v>
      </c>
      <c r="J28">
        <v>150000</v>
      </c>
      <c r="K28" t="s">
        <v>65</v>
      </c>
    </row>
    <row r="29" spans="1:11" x14ac:dyDescent="0.35">
      <c r="A29" t="s">
        <v>97</v>
      </c>
      <c r="B29" t="s">
        <v>98</v>
      </c>
      <c r="C29" t="s">
        <v>13</v>
      </c>
      <c r="D29" t="s">
        <v>55</v>
      </c>
      <c r="E29" t="s">
        <v>21</v>
      </c>
      <c r="F29" t="s">
        <v>96</v>
      </c>
      <c r="G29" s="1">
        <v>43576</v>
      </c>
      <c r="H29">
        <v>2.9</v>
      </c>
      <c r="I29">
        <v>5.9</v>
      </c>
      <c r="J29">
        <v>150000</v>
      </c>
      <c r="K29" t="s">
        <v>17</v>
      </c>
    </row>
    <row r="30" spans="1:11" x14ac:dyDescent="0.35">
      <c r="A30" t="s">
        <v>99</v>
      </c>
      <c r="B30" t="s">
        <v>100</v>
      </c>
      <c r="C30" t="s">
        <v>36</v>
      </c>
      <c r="D30" t="s">
        <v>26</v>
      </c>
      <c r="E30" t="s">
        <v>21</v>
      </c>
      <c r="F30" t="s">
        <v>96</v>
      </c>
      <c r="G30" s="1">
        <v>44106</v>
      </c>
      <c r="H30">
        <v>3.4</v>
      </c>
      <c r="I30">
        <v>4.5</v>
      </c>
      <c r="J30">
        <v>100000</v>
      </c>
      <c r="K30" t="s">
        <v>17</v>
      </c>
    </row>
    <row r="31" spans="1:11" x14ac:dyDescent="0.35">
      <c r="A31" t="s">
        <v>101</v>
      </c>
      <c r="B31" t="s">
        <v>87</v>
      </c>
      <c r="C31" t="s">
        <v>20</v>
      </c>
      <c r="D31" t="s">
        <v>26</v>
      </c>
      <c r="E31" t="s">
        <v>30</v>
      </c>
      <c r="F31" t="s">
        <v>102</v>
      </c>
      <c r="G31" s="1">
        <v>45402</v>
      </c>
      <c r="H31">
        <v>4.3</v>
      </c>
      <c r="I31">
        <v>0.9</v>
      </c>
      <c r="J31">
        <v>1000000</v>
      </c>
      <c r="K31" t="s">
        <v>17</v>
      </c>
    </row>
    <row r="32" spans="1:11" x14ac:dyDescent="0.35">
      <c r="A32" t="s">
        <v>103</v>
      </c>
      <c r="B32" t="s">
        <v>104</v>
      </c>
      <c r="C32" t="s">
        <v>36</v>
      </c>
      <c r="D32" t="s">
        <v>26</v>
      </c>
      <c r="E32" t="s">
        <v>47</v>
      </c>
      <c r="F32" t="s">
        <v>105</v>
      </c>
      <c r="G32" s="1">
        <v>44228</v>
      </c>
      <c r="H32">
        <v>3.6</v>
      </c>
      <c r="I32">
        <v>4.2</v>
      </c>
      <c r="J32">
        <v>750000</v>
      </c>
      <c r="K32" t="s">
        <v>17</v>
      </c>
    </row>
    <row r="33" spans="1:11" x14ac:dyDescent="0.35">
      <c r="A33" t="s">
        <v>106</v>
      </c>
      <c r="B33" t="s">
        <v>107</v>
      </c>
      <c r="C33" t="s">
        <v>54</v>
      </c>
      <c r="D33" t="s">
        <v>44</v>
      </c>
      <c r="E33" t="s">
        <v>15</v>
      </c>
      <c r="F33" t="s">
        <v>16</v>
      </c>
      <c r="G33" s="1">
        <v>45443</v>
      </c>
      <c r="H33">
        <v>3.7</v>
      </c>
      <c r="I33">
        <v>0.8</v>
      </c>
      <c r="J33">
        <v>150000</v>
      </c>
      <c r="K33" t="s">
        <v>17</v>
      </c>
    </row>
    <row r="34" spans="1:11" x14ac:dyDescent="0.35">
      <c r="A34" t="s">
        <v>108</v>
      </c>
      <c r="B34" t="s">
        <v>109</v>
      </c>
      <c r="C34" t="s">
        <v>13</v>
      </c>
      <c r="D34" t="s">
        <v>26</v>
      </c>
      <c r="E34" t="s">
        <v>15</v>
      </c>
      <c r="F34" t="s">
        <v>64</v>
      </c>
      <c r="G34" s="1">
        <v>43801</v>
      </c>
      <c r="H34">
        <v>3.4</v>
      </c>
      <c r="I34">
        <v>5.3</v>
      </c>
      <c r="J34">
        <v>1000000</v>
      </c>
      <c r="K34" t="s">
        <v>41</v>
      </c>
    </row>
    <row r="35" spans="1:11" x14ac:dyDescent="0.35">
      <c r="A35" t="s">
        <v>110</v>
      </c>
      <c r="B35" t="s">
        <v>111</v>
      </c>
      <c r="C35" t="s">
        <v>13</v>
      </c>
      <c r="D35" t="s">
        <v>44</v>
      </c>
      <c r="E35" t="s">
        <v>21</v>
      </c>
      <c r="F35" t="s">
        <v>22</v>
      </c>
      <c r="G35" s="1">
        <v>44387</v>
      </c>
      <c r="H35">
        <v>3.8</v>
      </c>
      <c r="I35">
        <v>3.7</v>
      </c>
      <c r="J35">
        <v>100000</v>
      </c>
      <c r="K35" t="s">
        <v>65</v>
      </c>
    </row>
    <row r="36" spans="1:11" x14ac:dyDescent="0.35">
      <c r="A36" t="s">
        <v>112</v>
      </c>
      <c r="B36" t="s">
        <v>113</v>
      </c>
      <c r="C36" t="s">
        <v>73</v>
      </c>
      <c r="D36" t="s">
        <v>55</v>
      </c>
      <c r="E36" t="s">
        <v>21</v>
      </c>
      <c r="F36" t="s">
        <v>51</v>
      </c>
      <c r="G36" s="1">
        <v>43999</v>
      </c>
      <c r="H36">
        <v>3.7</v>
      </c>
      <c r="I36">
        <v>4.8</v>
      </c>
      <c r="J36">
        <v>75000</v>
      </c>
      <c r="K36" t="s">
        <v>17</v>
      </c>
    </row>
    <row r="37" spans="1:11" x14ac:dyDescent="0.35">
      <c r="A37" t="s">
        <v>114</v>
      </c>
      <c r="B37" t="s">
        <v>115</v>
      </c>
      <c r="C37" t="s">
        <v>36</v>
      </c>
      <c r="D37" t="s">
        <v>29</v>
      </c>
      <c r="E37" t="s">
        <v>47</v>
      </c>
      <c r="F37" t="s">
        <v>105</v>
      </c>
      <c r="G37" s="1">
        <v>43858</v>
      </c>
      <c r="H37">
        <v>3.6</v>
      </c>
      <c r="I37">
        <v>5.2</v>
      </c>
      <c r="J37">
        <v>500000</v>
      </c>
      <c r="K37" t="s">
        <v>17</v>
      </c>
    </row>
    <row r="38" spans="1:11" x14ac:dyDescent="0.35">
      <c r="A38" t="s">
        <v>116</v>
      </c>
      <c r="B38" t="s">
        <v>117</v>
      </c>
      <c r="C38" t="s">
        <v>13</v>
      </c>
      <c r="D38" t="s">
        <v>29</v>
      </c>
      <c r="E38" t="s">
        <v>21</v>
      </c>
      <c r="F38" t="s">
        <v>51</v>
      </c>
      <c r="G38" s="1">
        <v>43745</v>
      </c>
      <c r="H38">
        <v>4.3</v>
      </c>
      <c r="I38">
        <v>5.5</v>
      </c>
      <c r="J38">
        <v>500000</v>
      </c>
      <c r="K38" t="s">
        <v>41</v>
      </c>
    </row>
    <row r="39" spans="1:11" x14ac:dyDescent="0.35">
      <c r="A39" t="s">
        <v>118</v>
      </c>
      <c r="B39" t="s">
        <v>119</v>
      </c>
      <c r="C39" t="s">
        <v>54</v>
      </c>
      <c r="D39" t="s">
        <v>44</v>
      </c>
      <c r="E39" t="s">
        <v>21</v>
      </c>
      <c r="F39" t="s">
        <v>76</v>
      </c>
      <c r="G39" s="1">
        <v>43983</v>
      </c>
      <c r="H39">
        <v>4.3</v>
      </c>
      <c r="I39">
        <v>4.8</v>
      </c>
      <c r="J39">
        <v>500000</v>
      </c>
      <c r="K39" t="s">
        <v>17</v>
      </c>
    </row>
    <row r="40" spans="1:11" x14ac:dyDescent="0.35">
      <c r="A40" t="s">
        <v>120</v>
      </c>
      <c r="B40" t="s">
        <v>121</v>
      </c>
      <c r="C40" t="s">
        <v>20</v>
      </c>
      <c r="D40" t="s">
        <v>55</v>
      </c>
      <c r="E40" t="s">
        <v>15</v>
      </c>
      <c r="F40" t="s">
        <v>16</v>
      </c>
      <c r="G40" s="1">
        <v>45012</v>
      </c>
      <c r="H40">
        <v>4.3</v>
      </c>
      <c r="I40">
        <v>2</v>
      </c>
      <c r="J40">
        <v>150000</v>
      </c>
      <c r="K40" t="s">
        <v>41</v>
      </c>
    </row>
    <row r="41" spans="1:11" x14ac:dyDescent="0.35">
      <c r="A41" t="s">
        <v>122</v>
      </c>
      <c r="B41" t="s">
        <v>123</v>
      </c>
      <c r="C41" t="s">
        <v>40</v>
      </c>
      <c r="D41" t="s">
        <v>44</v>
      </c>
      <c r="E41" t="s">
        <v>21</v>
      </c>
      <c r="F41" t="s">
        <v>22</v>
      </c>
      <c r="G41" s="1">
        <v>44713</v>
      </c>
      <c r="H41">
        <v>3.8</v>
      </c>
      <c r="I41">
        <v>2.8</v>
      </c>
      <c r="J41">
        <v>150000</v>
      </c>
      <c r="K41" t="s">
        <v>17</v>
      </c>
    </row>
    <row r="42" spans="1:11" x14ac:dyDescent="0.35">
      <c r="A42" t="s">
        <v>124</v>
      </c>
      <c r="B42" t="s">
        <v>125</v>
      </c>
      <c r="C42" t="s">
        <v>36</v>
      </c>
      <c r="D42" t="s">
        <v>29</v>
      </c>
      <c r="E42" t="s">
        <v>30</v>
      </c>
      <c r="F42" t="s">
        <v>31</v>
      </c>
      <c r="G42" s="1">
        <v>43873</v>
      </c>
      <c r="H42">
        <v>4.5999999999999996</v>
      </c>
      <c r="I42">
        <v>5.0999999999999996</v>
      </c>
      <c r="J42">
        <v>75000</v>
      </c>
      <c r="K42" t="s">
        <v>17</v>
      </c>
    </row>
    <row r="43" spans="1:11" x14ac:dyDescent="0.35">
      <c r="A43" t="s">
        <v>126</v>
      </c>
      <c r="B43" t="s">
        <v>127</v>
      </c>
      <c r="C43" t="s">
        <v>25</v>
      </c>
      <c r="D43" t="s">
        <v>26</v>
      </c>
      <c r="E43" t="s">
        <v>47</v>
      </c>
      <c r="F43" t="s">
        <v>70</v>
      </c>
      <c r="G43" s="1">
        <v>44901</v>
      </c>
      <c r="H43">
        <v>3.4</v>
      </c>
      <c r="I43">
        <v>2.2999999999999998</v>
      </c>
      <c r="J43">
        <v>1000000</v>
      </c>
      <c r="K43" t="s">
        <v>17</v>
      </c>
    </row>
    <row r="44" spans="1:11" x14ac:dyDescent="0.35">
      <c r="A44" t="s">
        <v>128</v>
      </c>
      <c r="B44" t="s">
        <v>129</v>
      </c>
      <c r="C44" t="s">
        <v>28</v>
      </c>
      <c r="D44" t="s">
        <v>55</v>
      </c>
      <c r="E44" t="s">
        <v>21</v>
      </c>
      <c r="F44" t="s">
        <v>76</v>
      </c>
      <c r="G44" s="1">
        <v>44345</v>
      </c>
      <c r="H44">
        <v>4.3</v>
      </c>
      <c r="I44">
        <v>3.8</v>
      </c>
      <c r="J44">
        <v>50000</v>
      </c>
      <c r="K44" t="s">
        <v>17</v>
      </c>
    </row>
    <row r="45" spans="1:11" x14ac:dyDescent="0.35">
      <c r="A45" t="s">
        <v>130</v>
      </c>
      <c r="B45" t="s">
        <v>61</v>
      </c>
      <c r="C45" t="s">
        <v>20</v>
      </c>
      <c r="D45" t="s">
        <v>44</v>
      </c>
      <c r="E45" t="s">
        <v>15</v>
      </c>
      <c r="F45" t="s">
        <v>16</v>
      </c>
      <c r="G45" s="1">
        <v>45051</v>
      </c>
      <c r="H45">
        <v>4.8</v>
      </c>
      <c r="I45">
        <v>1.9</v>
      </c>
      <c r="J45">
        <v>50000</v>
      </c>
      <c r="K45" t="s">
        <v>17</v>
      </c>
    </row>
    <row r="46" spans="1:11" x14ac:dyDescent="0.35">
      <c r="A46" t="s">
        <v>131</v>
      </c>
      <c r="B46" t="s">
        <v>132</v>
      </c>
      <c r="C46" t="s">
        <v>73</v>
      </c>
      <c r="D46" t="s">
        <v>44</v>
      </c>
      <c r="E46" t="s">
        <v>21</v>
      </c>
      <c r="F46" t="s">
        <v>22</v>
      </c>
      <c r="G46" s="1">
        <v>43688</v>
      </c>
      <c r="H46">
        <v>3.4</v>
      </c>
      <c r="I46">
        <v>5.6</v>
      </c>
      <c r="J46">
        <v>300000</v>
      </c>
      <c r="K46" t="s">
        <v>17</v>
      </c>
    </row>
    <row r="47" spans="1:11" x14ac:dyDescent="0.35">
      <c r="A47" t="s">
        <v>133</v>
      </c>
      <c r="B47" t="s">
        <v>134</v>
      </c>
      <c r="C47" t="s">
        <v>54</v>
      </c>
      <c r="D47" t="s">
        <v>29</v>
      </c>
      <c r="E47" t="s">
        <v>47</v>
      </c>
      <c r="F47" t="s">
        <v>70</v>
      </c>
      <c r="G47" s="1">
        <v>44765</v>
      </c>
      <c r="H47">
        <v>3.2</v>
      </c>
      <c r="I47">
        <v>2.7</v>
      </c>
      <c r="J47">
        <v>50000</v>
      </c>
      <c r="K47" t="s">
        <v>17</v>
      </c>
    </row>
    <row r="48" spans="1:11" x14ac:dyDescent="0.35">
      <c r="A48" t="s">
        <v>135</v>
      </c>
      <c r="B48" t="s">
        <v>136</v>
      </c>
      <c r="C48" t="s">
        <v>25</v>
      </c>
      <c r="D48" t="s">
        <v>14</v>
      </c>
      <c r="E48" t="s">
        <v>30</v>
      </c>
      <c r="F48" t="s">
        <v>137</v>
      </c>
      <c r="G48" s="1">
        <v>45090</v>
      </c>
      <c r="H48">
        <v>4.5999999999999996</v>
      </c>
      <c r="I48">
        <v>1.8</v>
      </c>
      <c r="J48">
        <v>1000000</v>
      </c>
      <c r="K48" t="s">
        <v>41</v>
      </c>
    </row>
    <row r="49" spans="1:11" x14ac:dyDescent="0.35">
      <c r="A49" t="s">
        <v>138</v>
      </c>
      <c r="B49" t="s">
        <v>139</v>
      </c>
      <c r="C49" t="s">
        <v>36</v>
      </c>
      <c r="D49" t="s">
        <v>44</v>
      </c>
      <c r="E49" t="s">
        <v>15</v>
      </c>
      <c r="F49" t="s">
        <v>84</v>
      </c>
      <c r="G49" s="1">
        <v>45132</v>
      </c>
      <c r="H49">
        <v>2.6</v>
      </c>
      <c r="I49">
        <v>1.7</v>
      </c>
      <c r="J49">
        <v>300000</v>
      </c>
      <c r="K49" t="s">
        <v>17</v>
      </c>
    </row>
    <row r="50" spans="1:11" x14ac:dyDescent="0.35">
      <c r="A50" t="s">
        <v>140</v>
      </c>
      <c r="B50" t="s">
        <v>141</v>
      </c>
      <c r="C50" t="s">
        <v>59</v>
      </c>
      <c r="D50" t="s">
        <v>44</v>
      </c>
      <c r="E50" t="s">
        <v>21</v>
      </c>
      <c r="F50" t="s">
        <v>76</v>
      </c>
      <c r="G50" s="1">
        <v>44570</v>
      </c>
      <c r="H50">
        <v>4.8</v>
      </c>
      <c r="I50">
        <v>3.2</v>
      </c>
      <c r="J50">
        <v>50000</v>
      </c>
      <c r="K50" t="s">
        <v>17</v>
      </c>
    </row>
    <row r="51" spans="1:11" x14ac:dyDescent="0.35">
      <c r="A51" t="s">
        <v>142</v>
      </c>
      <c r="B51" t="s">
        <v>143</v>
      </c>
      <c r="C51" t="s">
        <v>40</v>
      </c>
      <c r="D51" t="s">
        <v>55</v>
      </c>
      <c r="E51" t="s">
        <v>15</v>
      </c>
      <c r="F51" t="s">
        <v>56</v>
      </c>
      <c r="G51" s="1">
        <v>44880</v>
      </c>
      <c r="H51">
        <v>3.8</v>
      </c>
      <c r="I51">
        <v>2.4</v>
      </c>
      <c r="J51">
        <v>750000</v>
      </c>
      <c r="K51" t="s">
        <v>65</v>
      </c>
    </row>
    <row r="52" spans="1:11" x14ac:dyDescent="0.35">
      <c r="A52" t="s">
        <v>144</v>
      </c>
      <c r="B52" t="s">
        <v>145</v>
      </c>
      <c r="C52" t="s">
        <v>25</v>
      </c>
      <c r="D52" t="s">
        <v>55</v>
      </c>
      <c r="E52" t="s">
        <v>30</v>
      </c>
      <c r="F52" t="s">
        <v>102</v>
      </c>
      <c r="G52" s="1">
        <v>44858</v>
      </c>
      <c r="H52">
        <v>3.5</v>
      </c>
      <c r="I52">
        <v>2.4</v>
      </c>
      <c r="J52">
        <v>200000</v>
      </c>
      <c r="K52" t="s">
        <v>41</v>
      </c>
    </row>
    <row r="53" spans="1:11" x14ac:dyDescent="0.35">
      <c r="A53" t="s">
        <v>146</v>
      </c>
      <c r="B53" t="s">
        <v>132</v>
      </c>
      <c r="C53" t="s">
        <v>40</v>
      </c>
      <c r="D53" t="s">
        <v>55</v>
      </c>
      <c r="E53" t="s">
        <v>15</v>
      </c>
      <c r="F53" t="s">
        <v>84</v>
      </c>
      <c r="G53" s="1">
        <v>45429</v>
      </c>
      <c r="I53">
        <v>0.9</v>
      </c>
      <c r="J53">
        <v>300000</v>
      </c>
      <c r="K53" t="s">
        <v>17</v>
      </c>
    </row>
    <row r="54" spans="1:11" x14ac:dyDescent="0.35">
      <c r="A54" t="s">
        <v>147</v>
      </c>
      <c r="B54" t="s">
        <v>148</v>
      </c>
      <c r="C54" t="s">
        <v>25</v>
      </c>
      <c r="D54" t="s">
        <v>26</v>
      </c>
      <c r="E54" t="s">
        <v>30</v>
      </c>
      <c r="F54" t="s">
        <v>137</v>
      </c>
      <c r="G54" s="1">
        <v>44343</v>
      </c>
      <c r="H54">
        <v>3.2</v>
      </c>
      <c r="I54">
        <v>3.8</v>
      </c>
      <c r="J54">
        <v>100000</v>
      </c>
      <c r="K54" t="s">
        <v>17</v>
      </c>
    </row>
    <row r="55" spans="1:11" x14ac:dyDescent="0.35">
      <c r="A55" t="s">
        <v>149</v>
      </c>
      <c r="B55" t="s">
        <v>150</v>
      </c>
      <c r="C55" t="s">
        <v>151</v>
      </c>
      <c r="D55" t="s">
        <v>29</v>
      </c>
      <c r="E55" t="s">
        <v>30</v>
      </c>
      <c r="F55" t="s">
        <v>102</v>
      </c>
      <c r="G55" s="1">
        <v>44012</v>
      </c>
      <c r="H55">
        <v>4.3</v>
      </c>
      <c r="I55">
        <v>4.8</v>
      </c>
      <c r="J55">
        <v>500000</v>
      </c>
      <c r="K55" t="s">
        <v>65</v>
      </c>
    </row>
    <row r="56" spans="1:11" x14ac:dyDescent="0.35">
      <c r="A56" t="s">
        <v>152</v>
      </c>
      <c r="B56" t="s">
        <v>153</v>
      </c>
      <c r="C56" t="s">
        <v>36</v>
      </c>
      <c r="D56" t="s">
        <v>44</v>
      </c>
      <c r="E56" t="s">
        <v>47</v>
      </c>
      <c r="F56" t="s">
        <v>105</v>
      </c>
      <c r="G56" s="1">
        <v>43674</v>
      </c>
      <c r="H56">
        <v>3.3</v>
      </c>
      <c r="I56">
        <v>5.7</v>
      </c>
      <c r="J56">
        <v>75000</v>
      </c>
      <c r="K56" t="s">
        <v>41</v>
      </c>
    </row>
    <row r="57" spans="1:11" x14ac:dyDescent="0.35">
      <c r="A57" t="s">
        <v>154</v>
      </c>
      <c r="B57" t="s">
        <v>155</v>
      </c>
      <c r="C57" t="s">
        <v>36</v>
      </c>
      <c r="D57" t="s">
        <v>29</v>
      </c>
      <c r="E57" t="s">
        <v>15</v>
      </c>
      <c r="F57" t="s">
        <v>79</v>
      </c>
      <c r="G57" s="1">
        <v>44327</v>
      </c>
      <c r="H57">
        <v>3.4</v>
      </c>
      <c r="I57">
        <v>3.9</v>
      </c>
      <c r="J57">
        <v>100000</v>
      </c>
      <c r="K57" t="s">
        <v>17</v>
      </c>
    </row>
    <row r="58" spans="1:11" x14ac:dyDescent="0.35">
      <c r="A58" t="s">
        <v>156</v>
      </c>
      <c r="B58" t="s">
        <v>157</v>
      </c>
      <c r="C58" t="s">
        <v>73</v>
      </c>
      <c r="D58" t="s">
        <v>26</v>
      </c>
      <c r="E58" t="s">
        <v>47</v>
      </c>
      <c r="F58" t="s">
        <v>105</v>
      </c>
      <c r="G58" s="1">
        <v>44561</v>
      </c>
      <c r="H58">
        <v>4.5999999999999996</v>
      </c>
      <c r="I58">
        <v>3.2</v>
      </c>
      <c r="J58">
        <v>50000</v>
      </c>
      <c r="K58" t="s">
        <v>65</v>
      </c>
    </row>
    <row r="59" spans="1:11" x14ac:dyDescent="0.35">
      <c r="A59" t="s">
        <v>158</v>
      </c>
      <c r="B59" t="s">
        <v>159</v>
      </c>
      <c r="C59" t="s">
        <v>20</v>
      </c>
      <c r="D59" t="s">
        <v>14</v>
      </c>
      <c r="E59" t="s">
        <v>47</v>
      </c>
      <c r="F59" t="s">
        <v>70</v>
      </c>
      <c r="G59" s="1">
        <v>45406</v>
      </c>
      <c r="H59">
        <v>4.0999999999999996</v>
      </c>
      <c r="I59">
        <v>0.9</v>
      </c>
      <c r="J59">
        <v>200000</v>
      </c>
      <c r="K59" t="s">
        <v>17</v>
      </c>
    </row>
    <row r="60" spans="1:11" x14ac:dyDescent="0.35">
      <c r="A60" t="s">
        <v>160</v>
      </c>
      <c r="B60" t="s">
        <v>161</v>
      </c>
      <c r="C60" t="s">
        <v>151</v>
      </c>
      <c r="D60" t="s">
        <v>26</v>
      </c>
      <c r="E60" t="s">
        <v>47</v>
      </c>
      <c r="F60" t="s">
        <v>48</v>
      </c>
      <c r="G60" s="1">
        <v>43914</v>
      </c>
      <c r="H60">
        <v>4.9000000000000004</v>
      </c>
      <c r="I60">
        <v>5</v>
      </c>
      <c r="J60">
        <v>1000000</v>
      </c>
      <c r="K60" t="s">
        <v>17</v>
      </c>
    </row>
    <row r="61" spans="1:11" x14ac:dyDescent="0.35">
      <c r="A61" t="s">
        <v>162</v>
      </c>
      <c r="B61" t="s">
        <v>163</v>
      </c>
      <c r="C61" t="s">
        <v>28</v>
      </c>
      <c r="D61" t="s">
        <v>44</v>
      </c>
      <c r="E61" t="s">
        <v>15</v>
      </c>
      <c r="F61" t="s">
        <v>56</v>
      </c>
      <c r="G61" s="1">
        <v>44021</v>
      </c>
      <c r="I61">
        <v>4.7</v>
      </c>
      <c r="J61">
        <v>75000</v>
      </c>
      <c r="K61" t="s">
        <v>17</v>
      </c>
    </row>
    <row r="62" spans="1:11" x14ac:dyDescent="0.35">
      <c r="A62" t="s">
        <v>164</v>
      </c>
      <c r="B62" t="s">
        <v>143</v>
      </c>
      <c r="C62" t="s">
        <v>40</v>
      </c>
      <c r="D62" t="s">
        <v>44</v>
      </c>
      <c r="E62" t="s">
        <v>30</v>
      </c>
      <c r="F62" t="s">
        <v>102</v>
      </c>
      <c r="G62" s="1">
        <v>44192</v>
      </c>
      <c r="H62">
        <v>3.4</v>
      </c>
      <c r="I62">
        <v>4.3</v>
      </c>
      <c r="J62">
        <v>200000</v>
      </c>
      <c r="K62" t="s">
        <v>17</v>
      </c>
    </row>
    <row r="63" spans="1:11" x14ac:dyDescent="0.35">
      <c r="A63" t="s">
        <v>165</v>
      </c>
      <c r="B63" t="s">
        <v>166</v>
      </c>
      <c r="C63" t="s">
        <v>13</v>
      </c>
      <c r="D63" t="s">
        <v>29</v>
      </c>
      <c r="E63" t="s">
        <v>30</v>
      </c>
      <c r="F63" t="s">
        <v>37</v>
      </c>
      <c r="G63" s="1">
        <v>44460</v>
      </c>
      <c r="H63">
        <v>3.5</v>
      </c>
      <c r="I63">
        <v>3.5</v>
      </c>
      <c r="J63">
        <v>150000</v>
      </c>
      <c r="K63" t="s">
        <v>41</v>
      </c>
    </row>
    <row r="64" spans="1:11" x14ac:dyDescent="0.35">
      <c r="A64" t="s">
        <v>167</v>
      </c>
      <c r="B64" t="s">
        <v>168</v>
      </c>
      <c r="C64" t="s">
        <v>54</v>
      </c>
      <c r="D64" t="s">
        <v>29</v>
      </c>
      <c r="E64" t="s">
        <v>30</v>
      </c>
      <c r="F64" t="s">
        <v>31</v>
      </c>
      <c r="G64" s="1">
        <v>44831</v>
      </c>
      <c r="I64">
        <v>2.5</v>
      </c>
      <c r="J64">
        <v>750000</v>
      </c>
      <c r="K64" t="s">
        <v>65</v>
      </c>
    </row>
    <row r="65" spans="1:11" x14ac:dyDescent="0.35">
      <c r="A65" t="s">
        <v>169</v>
      </c>
      <c r="B65" t="s">
        <v>170</v>
      </c>
      <c r="C65" t="s">
        <v>54</v>
      </c>
      <c r="D65" t="s">
        <v>26</v>
      </c>
      <c r="E65" t="s">
        <v>30</v>
      </c>
      <c r="F65" t="s">
        <v>31</v>
      </c>
      <c r="G65" s="1">
        <v>44835</v>
      </c>
      <c r="H65">
        <v>3.5</v>
      </c>
      <c r="I65">
        <v>2.5</v>
      </c>
      <c r="J65">
        <v>100000</v>
      </c>
      <c r="K65" t="s">
        <v>41</v>
      </c>
    </row>
    <row r="66" spans="1:11" x14ac:dyDescent="0.35">
      <c r="A66" t="s">
        <v>171</v>
      </c>
      <c r="B66" t="s">
        <v>172</v>
      </c>
      <c r="C66" t="s">
        <v>28</v>
      </c>
      <c r="D66" t="s">
        <v>29</v>
      </c>
      <c r="E66" t="s">
        <v>47</v>
      </c>
      <c r="F66" t="s">
        <v>70</v>
      </c>
      <c r="G66" s="1">
        <v>45040</v>
      </c>
      <c r="H66">
        <v>4.2</v>
      </c>
      <c r="I66">
        <v>1.9</v>
      </c>
      <c r="J66">
        <v>100000</v>
      </c>
      <c r="K66" t="s">
        <v>17</v>
      </c>
    </row>
    <row r="67" spans="1:11" x14ac:dyDescent="0.35">
      <c r="A67" t="s">
        <v>173</v>
      </c>
      <c r="B67" t="s">
        <v>174</v>
      </c>
      <c r="C67" t="s">
        <v>20</v>
      </c>
      <c r="D67" t="s">
        <v>55</v>
      </c>
      <c r="E67" t="s">
        <v>47</v>
      </c>
      <c r="F67" t="s">
        <v>105</v>
      </c>
      <c r="G67" s="1">
        <v>43603</v>
      </c>
      <c r="H67">
        <v>4.0999999999999996</v>
      </c>
      <c r="I67">
        <v>5.9</v>
      </c>
      <c r="J67">
        <v>300000</v>
      </c>
      <c r="K67" t="s">
        <v>17</v>
      </c>
    </row>
    <row r="68" spans="1:11" x14ac:dyDescent="0.35">
      <c r="A68" t="s">
        <v>175</v>
      </c>
      <c r="B68" t="s">
        <v>153</v>
      </c>
      <c r="C68" t="s">
        <v>36</v>
      </c>
      <c r="D68" t="s">
        <v>26</v>
      </c>
      <c r="E68" t="s">
        <v>15</v>
      </c>
      <c r="F68" t="s">
        <v>84</v>
      </c>
      <c r="G68" s="1">
        <v>44036</v>
      </c>
      <c r="H68">
        <v>4.5</v>
      </c>
      <c r="I68">
        <v>4.7</v>
      </c>
      <c r="J68">
        <v>75000</v>
      </c>
      <c r="K68" t="s">
        <v>17</v>
      </c>
    </row>
    <row r="69" spans="1:11" x14ac:dyDescent="0.35">
      <c r="A69" t="s">
        <v>176</v>
      </c>
      <c r="B69" t="s">
        <v>177</v>
      </c>
      <c r="C69" t="s">
        <v>28</v>
      </c>
      <c r="D69" t="s">
        <v>14</v>
      </c>
      <c r="E69" t="s">
        <v>47</v>
      </c>
      <c r="F69" t="s">
        <v>70</v>
      </c>
      <c r="G69" s="1">
        <v>45363</v>
      </c>
      <c r="H69">
        <v>3.1</v>
      </c>
      <c r="I69">
        <v>1.1000000000000001</v>
      </c>
      <c r="J69">
        <v>500000</v>
      </c>
      <c r="K69" t="s">
        <v>17</v>
      </c>
    </row>
    <row r="70" spans="1:11" x14ac:dyDescent="0.35">
      <c r="A70" t="s">
        <v>178</v>
      </c>
      <c r="B70" t="s">
        <v>179</v>
      </c>
      <c r="C70" t="s">
        <v>13</v>
      </c>
      <c r="D70" t="s">
        <v>14</v>
      </c>
      <c r="E70" t="s">
        <v>47</v>
      </c>
      <c r="F70" t="s">
        <v>105</v>
      </c>
      <c r="G70" s="1">
        <v>44983</v>
      </c>
      <c r="H70">
        <v>2.6</v>
      </c>
      <c r="I70">
        <v>2.1</v>
      </c>
      <c r="J70">
        <v>50000</v>
      </c>
      <c r="K70" t="s">
        <v>17</v>
      </c>
    </row>
    <row r="71" spans="1:11" x14ac:dyDescent="0.35">
      <c r="A71" t="s">
        <v>180</v>
      </c>
      <c r="B71" t="s">
        <v>181</v>
      </c>
      <c r="C71" t="s">
        <v>40</v>
      </c>
      <c r="D71" t="s">
        <v>29</v>
      </c>
      <c r="E71" t="s">
        <v>47</v>
      </c>
      <c r="F71" t="s">
        <v>105</v>
      </c>
      <c r="G71" s="1">
        <v>45385</v>
      </c>
      <c r="H71">
        <v>4.4000000000000004</v>
      </c>
      <c r="I71">
        <v>1</v>
      </c>
      <c r="J71">
        <v>750000</v>
      </c>
      <c r="K71" t="s">
        <v>65</v>
      </c>
    </row>
    <row r="72" spans="1:11" x14ac:dyDescent="0.35">
      <c r="A72" t="s">
        <v>182</v>
      </c>
      <c r="B72" t="s">
        <v>183</v>
      </c>
      <c r="C72" t="s">
        <v>151</v>
      </c>
      <c r="D72" t="s">
        <v>14</v>
      </c>
      <c r="E72" t="s">
        <v>15</v>
      </c>
      <c r="F72" t="s">
        <v>84</v>
      </c>
      <c r="G72" s="1">
        <v>44755</v>
      </c>
      <c r="H72">
        <v>4.7</v>
      </c>
      <c r="I72">
        <v>2.7</v>
      </c>
      <c r="J72">
        <v>100000</v>
      </c>
      <c r="K72" t="s">
        <v>17</v>
      </c>
    </row>
    <row r="73" spans="1:11" x14ac:dyDescent="0.35">
      <c r="A73" t="s">
        <v>184</v>
      </c>
      <c r="B73" t="s">
        <v>185</v>
      </c>
      <c r="C73" t="s">
        <v>59</v>
      </c>
      <c r="D73" t="s">
        <v>44</v>
      </c>
      <c r="E73" t="s">
        <v>30</v>
      </c>
      <c r="F73" t="s">
        <v>102</v>
      </c>
      <c r="G73" s="1">
        <v>45201</v>
      </c>
      <c r="H73">
        <v>4.5999999999999996</v>
      </c>
      <c r="I73">
        <v>1.5</v>
      </c>
      <c r="J73">
        <v>300000</v>
      </c>
      <c r="K73" t="s">
        <v>17</v>
      </c>
    </row>
    <row r="74" spans="1:11" x14ac:dyDescent="0.35">
      <c r="A74" t="s">
        <v>186</v>
      </c>
      <c r="B74" t="s">
        <v>187</v>
      </c>
      <c r="C74" t="s">
        <v>40</v>
      </c>
      <c r="D74" t="s">
        <v>29</v>
      </c>
      <c r="E74" t="s">
        <v>47</v>
      </c>
      <c r="F74" t="s">
        <v>70</v>
      </c>
      <c r="G74" s="1">
        <v>43476</v>
      </c>
      <c r="H74">
        <v>3.6</v>
      </c>
      <c r="I74">
        <v>6.2</v>
      </c>
      <c r="J74">
        <v>200000</v>
      </c>
      <c r="K74" t="s">
        <v>17</v>
      </c>
    </row>
    <row r="75" spans="1:11" x14ac:dyDescent="0.35">
      <c r="A75" t="s">
        <v>188</v>
      </c>
      <c r="B75" t="s">
        <v>189</v>
      </c>
      <c r="C75" t="s">
        <v>36</v>
      </c>
      <c r="D75" t="s">
        <v>26</v>
      </c>
      <c r="E75" t="s">
        <v>21</v>
      </c>
      <c r="F75" t="s">
        <v>76</v>
      </c>
      <c r="G75" s="1">
        <v>45275</v>
      </c>
      <c r="H75">
        <v>3.3</v>
      </c>
      <c r="I75">
        <v>1.3</v>
      </c>
      <c r="J75">
        <v>300000</v>
      </c>
      <c r="K75" t="s">
        <v>17</v>
      </c>
    </row>
    <row r="76" spans="1:11" x14ac:dyDescent="0.35">
      <c r="A76" t="s">
        <v>190</v>
      </c>
      <c r="B76" t="s">
        <v>115</v>
      </c>
      <c r="C76" t="s">
        <v>151</v>
      </c>
      <c r="D76" t="s">
        <v>26</v>
      </c>
      <c r="E76" t="s">
        <v>21</v>
      </c>
      <c r="F76" t="s">
        <v>76</v>
      </c>
      <c r="G76" s="1">
        <v>44671</v>
      </c>
      <c r="H76">
        <v>2.9</v>
      </c>
      <c r="I76">
        <v>2.9</v>
      </c>
      <c r="J76">
        <v>50000</v>
      </c>
      <c r="K76" t="s">
        <v>17</v>
      </c>
    </row>
    <row r="77" spans="1:11" x14ac:dyDescent="0.35">
      <c r="A77" t="s">
        <v>191</v>
      </c>
      <c r="B77" t="s">
        <v>192</v>
      </c>
      <c r="C77" t="s">
        <v>20</v>
      </c>
      <c r="D77" t="s">
        <v>26</v>
      </c>
      <c r="E77" t="s">
        <v>21</v>
      </c>
      <c r="F77" t="s">
        <v>96</v>
      </c>
      <c r="G77" s="1">
        <v>45083</v>
      </c>
      <c r="H77">
        <v>3.4</v>
      </c>
      <c r="I77">
        <v>1.8</v>
      </c>
      <c r="J77">
        <v>300000</v>
      </c>
      <c r="K77" t="s">
        <v>17</v>
      </c>
    </row>
    <row r="78" spans="1:11" x14ac:dyDescent="0.35">
      <c r="A78" t="s">
        <v>193</v>
      </c>
      <c r="B78" t="s">
        <v>121</v>
      </c>
      <c r="C78" t="s">
        <v>73</v>
      </c>
      <c r="D78" t="s">
        <v>14</v>
      </c>
      <c r="E78" t="s">
        <v>30</v>
      </c>
      <c r="F78" t="s">
        <v>102</v>
      </c>
      <c r="G78" s="1">
        <v>44028</v>
      </c>
      <c r="H78">
        <v>4.3</v>
      </c>
      <c r="I78">
        <v>4.7</v>
      </c>
      <c r="J78">
        <v>150000</v>
      </c>
      <c r="K78" t="s">
        <v>17</v>
      </c>
    </row>
    <row r="79" spans="1:11" x14ac:dyDescent="0.35">
      <c r="A79" t="s">
        <v>194</v>
      </c>
      <c r="B79" t="s">
        <v>195</v>
      </c>
      <c r="C79" t="s">
        <v>54</v>
      </c>
      <c r="D79" t="s">
        <v>55</v>
      </c>
      <c r="E79" t="s">
        <v>21</v>
      </c>
      <c r="F79" t="s">
        <v>51</v>
      </c>
      <c r="G79" s="1">
        <v>45210</v>
      </c>
      <c r="H79">
        <v>4.8</v>
      </c>
      <c r="I79">
        <v>1.5</v>
      </c>
      <c r="J79">
        <v>200000</v>
      </c>
      <c r="K79" t="s">
        <v>65</v>
      </c>
    </row>
    <row r="80" spans="1:11" x14ac:dyDescent="0.35">
      <c r="A80" t="s">
        <v>196</v>
      </c>
      <c r="B80" t="s">
        <v>197</v>
      </c>
      <c r="C80" t="s">
        <v>36</v>
      </c>
      <c r="D80" t="s">
        <v>29</v>
      </c>
      <c r="E80" t="s">
        <v>21</v>
      </c>
      <c r="F80" t="s">
        <v>76</v>
      </c>
      <c r="G80" s="1">
        <v>44857</v>
      </c>
      <c r="H80">
        <v>4.7</v>
      </c>
      <c r="I80">
        <v>2.4</v>
      </c>
      <c r="J80">
        <v>750000</v>
      </c>
      <c r="K80" t="s">
        <v>17</v>
      </c>
    </row>
    <row r="81" spans="1:11" x14ac:dyDescent="0.35">
      <c r="A81" t="s">
        <v>198</v>
      </c>
      <c r="B81" t="s">
        <v>199</v>
      </c>
      <c r="C81" t="s">
        <v>73</v>
      </c>
      <c r="D81" t="s">
        <v>26</v>
      </c>
      <c r="E81" t="s">
        <v>15</v>
      </c>
      <c r="F81" t="s">
        <v>56</v>
      </c>
      <c r="G81" s="1">
        <v>44693</v>
      </c>
      <c r="I81">
        <v>2.9</v>
      </c>
      <c r="J81">
        <v>150000</v>
      </c>
      <c r="K81" t="s">
        <v>17</v>
      </c>
    </row>
    <row r="82" spans="1:11" x14ac:dyDescent="0.35">
      <c r="A82" t="s">
        <v>200</v>
      </c>
      <c r="B82" t="s">
        <v>125</v>
      </c>
      <c r="C82" t="s">
        <v>59</v>
      </c>
      <c r="D82" t="s">
        <v>14</v>
      </c>
      <c r="E82" t="s">
        <v>30</v>
      </c>
      <c r="F82" t="s">
        <v>137</v>
      </c>
      <c r="G82" s="1">
        <v>44485</v>
      </c>
      <c r="H82">
        <v>3.9</v>
      </c>
      <c r="I82">
        <v>3.5</v>
      </c>
      <c r="J82">
        <v>200000</v>
      </c>
      <c r="K82" t="s">
        <v>17</v>
      </c>
    </row>
    <row r="83" spans="1:11" x14ac:dyDescent="0.35">
      <c r="A83" t="s">
        <v>201</v>
      </c>
      <c r="B83" t="s">
        <v>202</v>
      </c>
      <c r="C83" t="s">
        <v>36</v>
      </c>
      <c r="D83" t="s">
        <v>29</v>
      </c>
      <c r="E83" t="s">
        <v>15</v>
      </c>
      <c r="F83" t="s">
        <v>84</v>
      </c>
      <c r="G83" s="1">
        <v>43950</v>
      </c>
      <c r="H83">
        <v>4.5</v>
      </c>
      <c r="I83">
        <v>4.9000000000000004</v>
      </c>
      <c r="J83">
        <v>300000</v>
      </c>
      <c r="K83" t="s">
        <v>65</v>
      </c>
    </row>
    <row r="84" spans="1:11" x14ac:dyDescent="0.35">
      <c r="A84" t="s">
        <v>203</v>
      </c>
      <c r="B84" t="s">
        <v>204</v>
      </c>
      <c r="C84" t="s">
        <v>20</v>
      </c>
      <c r="D84" t="s">
        <v>55</v>
      </c>
      <c r="E84" t="s">
        <v>21</v>
      </c>
      <c r="F84" t="s">
        <v>96</v>
      </c>
      <c r="G84" s="1">
        <v>44110</v>
      </c>
      <c r="H84">
        <v>3.1</v>
      </c>
      <c r="I84">
        <v>4.5</v>
      </c>
      <c r="J84">
        <v>75000</v>
      </c>
      <c r="K84" t="s">
        <v>17</v>
      </c>
    </row>
    <row r="85" spans="1:11" x14ac:dyDescent="0.35">
      <c r="A85" t="s">
        <v>205</v>
      </c>
      <c r="B85" t="s">
        <v>206</v>
      </c>
      <c r="C85" t="s">
        <v>28</v>
      </c>
      <c r="D85" t="s">
        <v>26</v>
      </c>
      <c r="E85" t="s">
        <v>47</v>
      </c>
      <c r="F85" t="s">
        <v>79</v>
      </c>
      <c r="G85" s="1">
        <v>44375</v>
      </c>
      <c r="H85">
        <v>3.9</v>
      </c>
      <c r="I85">
        <v>3.8</v>
      </c>
      <c r="J85">
        <v>750000</v>
      </c>
      <c r="K85" t="s">
        <v>41</v>
      </c>
    </row>
    <row r="86" spans="1:11" x14ac:dyDescent="0.35">
      <c r="A86" t="s">
        <v>207</v>
      </c>
      <c r="B86" t="s">
        <v>78</v>
      </c>
      <c r="C86" t="s">
        <v>13</v>
      </c>
      <c r="D86" t="s">
        <v>55</v>
      </c>
      <c r="E86" t="s">
        <v>15</v>
      </c>
      <c r="F86" t="s">
        <v>56</v>
      </c>
      <c r="G86" s="1">
        <v>43611</v>
      </c>
      <c r="H86">
        <v>2.7</v>
      </c>
      <c r="I86">
        <v>5.8</v>
      </c>
      <c r="J86">
        <v>75000</v>
      </c>
      <c r="K86" t="s">
        <v>17</v>
      </c>
    </row>
    <row r="87" spans="1:11" x14ac:dyDescent="0.35">
      <c r="A87" t="s">
        <v>208</v>
      </c>
      <c r="B87" t="s">
        <v>209</v>
      </c>
      <c r="C87" t="s">
        <v>54</v>
      </c>
      <c r="D87" t="s">
        <v>29</v>
      </c>
      <c r="E87" t="s">
        <v>47</v>
      </c>
      <c r="F87" t="s">
        <v>105</v>
      </c>
      <c r="G87" s="1">
        <v>44056</v>
      </c>
      <c r="H87">
        <v>4.3</v>
      </c>
      <c r="I87">
        <v>4.5999999999999996</v>
      </c>
      <c r="J87">
        <v>750000</v>
      </c>
      <c r="K87" t="s">
        <v>17</v>
      </c>
    </row>
    <row r="88" spans="1:11" x14ac:dyDescent="0.35">
      <c r="A88" t="s">
        <v>210</v>
      </c>
      <c r="B88" t="s">
        <v>168</v>
      </c>
      <c r="C88" t="s">
        <v>25</v>
      </c>
      <c r="D88" t="s">
        <v>14</v>
      </c>
      <c r="E88" t="s">
        <v>21</v>
      </c>
      <c r="F88" t="s">
        <v>96</v>
      </c>
      <c r="G88" s="1">
        <v>45304</v>
      </c>
      <c r="H88">
        <v>3.4</v>
      </c>
      <c r="I88">
        <v>1.2</v>
      </c>
      <c r="J88">
        <v>100000</v>
      </c>
      <c r="K88" t="s">
        <v>17</v>
      </c>
    </row>
    <row r="89" spans="1:11" x14ac:dyDescent="0.35">
      <c r="A89" t="s">
        <v>211</v>
      </c>
      <c r="B89" t="s">
        <v>212</v>
      </c>
      <c r="C89" t="s">
        <v>36</v>
      </c>
      <c r="D89" t="s">
        <v>29</v>
      </c>
      <c r="E89" t="s">
        <v>47</v>
      </c>
      <c r="F89" t="s">
        <v>213</v>
      </c>
      <c r="G89" s="1">
        <v>43910</v>
      </c>
      <c r="H89">
        <v>4.9000000000000004</v>
      </c>
      <c r="I89">
        <v>5</v>
      </c>
      <c r="J89">
        <v>300000</v>
      </c>
      <c r="K89" t="s">
        <v>17</v>
      </c>
    </row>
    <row r="90" spans="1:11" x14ac:dyDescent="0.35">
      <c r="A90" t="s">
        <v>214</v>
      </c>
      <c r="B90" t="s">
        <v>215</v>
      </c>
      <c r="C90" t="s">
        <v>59</v>
      </c>
      <c r="D90" t="s">
        <v>14</v>
      </c>
      <c r="E90" t="s">
        <v>21</v>
      </c>
      <c r="F90" t="s">
        <v>96</v>
      </c>
      <c r="G90" s="1">
        <v>43875</v>
      </c>
      <c r="H90">
        <v>4.5999999999999996</v>
      </c>
      <c r="I90">
        <v>5.0999999999999996</v>
      </c>
      <c r="J90">
        <v>750000</v>
      </c>
      <c r="K90" t="s">
        <v>17</v>
      </c>
    </row>
    <row r="91" spans="1:11" x14ac:dyDescent="0.35">
      <c r="A91" t="s">
        <v>216</v>
      </c>
      <c r="B91" t="s">
        <v>217</v>
      </c>
      <c r="C91" t="s">
        <v>73</v>
      </c>
      <c r="D91" t="s">
        <v>29</v>
      </c>
      <c r="E91" t="s">
        <v>15</v>
      </c>
      <c r="F91" t="s">
        <v>56</v>
      </c>
      <c r="G91" s="1">
        <v>44109</v>
      </c>
      <c r="H91">
        <v>3.5</v>
      </c>
      <c r="I91">
        <v>4.5</v>
      </c>
      <c r="J91">
        <v>300000</v>
      </c>
      <c r="K91" t="s">
        <v>17</v>
      </c>
    </row>
    <row r="92" spans="1:11" x14ac:dyDescent="0.35">
      <c r="A92" t="s">
        <v>218</v>
      </c>
      <c r="B92" t="s">
        <v>159</v>
      </c>
      <c r="C92" t="s">
        <v>13</v>
      </c>
      <c r="D92" t="s">
        <v>55</v>
      </c>
      <c r="E92" t="s">
        <v>47</v>
      </c>
      <c r="F92" t="s">
        <v>70</v>
      </c>
      <c r="G92" s="1">
        <v>45415</v>
      </c>
      <c r="H92">
        <v>4.0999999999999996</v>
      </c>
      <c r="I92">
        <v>0.9</v>
      </c>
      <c r="J92">
        <v>50000</v>
      </c>
      <c r="K92" t="s">
        <v>41</v>
      </c>
    </row>
    <row r="93" spans="1:11" x14ac:dyDescent="0.35">
      <c r="A93" t="s">
        <v>219</v>
      </c>
      <c r="B93" t="s">
        <v>93</v>
      </c>
      <c r="C93" t="s">
        <v>79</v>
      </c>
      <c r="D93" t="s">
        <v>26</v>
      </c>
      <c r="E93" t="s">
        <v>30</v>
      </c>
      <c r="F93" t="s">
        <v>137</v>
      </c>
      <c r="G93" s="1">
        <v>45023</v>
      </c>
      <c r="H93">
        <v>4.7</v>
      </c>
      <c r="I93">
        <v>2</v>
      </c>
      <c r="J93">
        <v>750000</v>
      </c>
      <c r="K93" t="s">
        <v>17</v>
      </c>
    </row>
    <row r="94" spans="1:11" x14ac:dyDescent="0.35">
      <c r="A94" t="s">
        <v>220</v>
      </c>
      <c r="B94" t="s">
        <v>221</v>
      </c>
      <c r="C94" t="s">
        <v>36</v>
      </c>
      <c r="D94" t="s">
        <v>26</v>
      </c>
      <c r="E94" t="s">
        <v>15</v>
      </c>
      <c r="F94" t="s">
        <v>84</v>
      </c>
      <c r="G94" s="1">
        <v>43499</v>
      </c>
      <c r="H94">
        <v>4.8</v>
      </c>
      <c r="I94">
        <v>6.2</v>
      </c>
      <c r="J94">
        <v>500000</v>
      </c>
      <c r="K94" t="s">
        <v>17</v>
      </c>
    </row>
    <row r="95" spans="1:11" x14ac:dyDescent="0.35">
      <c r="A95" t="s">
        <v>222</v>
      </c>
      <c r="B95" t="s">
        <v>223</v>
      </c>
      <c r="C95" t="s">
        <v>73</v>
      </c>
      <c r="D95" t="s">
        <v>14</v>
      </c>
      <c r="E95" t="s">
        <v>47</v>
      </c>
      <c r="F95" t="s">
        <v>213</v>
      </c>
      <c r="G95" s="1">
        <v>44804</v>
      </c>
      <c r="H95">
        <v>3.1</v>
      </c>
      <c r="I95">
        <v>2.6</v>
      </c>
      <c r="J95">
        <v>75000</v>
      </c>
      <c r="K95" t="s">
        <v>17</v>
      </c>
    </row>
    <row r="96" spans="1:11" x14ac:dyDescent="0.35">
      <c r="A96" t="s">
        <v>224</v>
      </c>
      <c r="B96" t="s">
        <v>225</v>
      </c>
      <c r="C96" t="s">
        <v>151</v>
      </c>
      <c r="D96" t="s">
        <v>44</v>
      </c>
      <c r="E96" t="s">
        <v>30</v>
      </c>
      <c r="F96" t="s">
        <v>31</v>
      </c>
      <c r="G96" s="1">
        <v>45291</v>
      </c>
      <c r="H96">
        <v>4.7</v>
      </c>
      <c r="I96">
        <v>1.2</v>
      </c>
      <c r="J96">
        <v>500000</v>
      </c>
      <c r="K96" t="s">
        <v>17</v>
      </c>
    </row>
    <row r="97" spans="1:11" x14ac:dyDescent="0.35">
      <c r="A97" t="s">
        <v>226</v>
      </c>
      <c r="B97" t="s">
        <v>227</v>
      </c>
      <c r="C97" t="s">
        <v>36</v>
      </c>
      <c r="D97" t="s">
        <v>55</v>
      </c>
      <c r="E97" t="s">
        <v>21</v>
      </c>
      <c r="F97" t="s">
        <v>51</v>
      </c>
      <c r="G97" s="1">
        <v>44001</v>
      </c>
      <c r="H97">
        <v>4.7</v>
      </c>
      <c r="I97">
        <v>4.8</v>
      </c>
      <c r="J97">
        <v>750000</v>
      </c>
      <c r="K97" t="s">
        <v>17</v>
      </c>
    </row>
    <row r="98" spans="1:11" x14ac:dyDescent="0.35">
      <c r="A98" t="s">
        <v>228</v>
      </c>
      <c r="B98" t="s">
        <v>229</v>
      </c>
      <c r="C98" t="s">
        <v>20</v>
      </c>
      <c r="D98" t="s">
        <v>55</v>
      </c>
      <c r="E98" t="s">
        <v>30</v>
      </c>
      <c r="F98" t="s">
        <v>37</v>
      </c>
      <c r="G98" s="1">
        <v>44344</v>
      </c>
      <c r="H98">
        <v>3.5</v>
      </c>
      <c r="I98">
        <v>3.8</v>
      </c>
      <c r="J98">
        <v>50000</v>
      </c>
      <c r="K98" t="s">
        <v>17</v>
      </c>
    </row>
    <row r="99" spans="1:11" x14ac:dyDescent="0.35">
      <c r="A99" t="s">
        <v>230</v>
      </c>
      <c r="B99" t="s">
        <v>231</v>
      </c>
      <c r="C99" t="s">
        <v>40</v>
      </c>
      <c r="D99" t="s">
        <v>55</v>
      </c>
      <c r="E99" t="s">
        <v>47</v>
      </c>
      <c r="F99" t="s">
        <v>213</v>
      </c>
      <c r="G99" s="1">
        <v>44896</v>
      </c>
      <c r="H99">
        <v>4.9000000000000004</v>
      </c>
      <c r="I99">
        <v>2.2999999999999998</v>
      </c>
      <c r="J99">
        <v>150000</v>
      </c>
      <c r="K99" t="s">
        <v>17</v>
      </c>
    </row>
    <row r="100" spans="1:11" x14ac:dyDescent="0.35">
      <c r="A100" t="s">
        <v>232</v>
      </c>
      <c r="B100" t="s">
        <v>233</v>
      </c>
      <c r="C100" t="s">
        <v>73</v>
      </c>
      <c r="D100" t="s">
        <v>55</v>
      </c>
      <c r="E100" t="s">
        <v>30</v>
      </c>
      <c r="F100" t="s">
        <v>37</v>
      </c>
      <c r="G100" s="1">
        <v>43810</v>
      </c>
      <c r="H100">
        <v>3.4</v>
      </c>
      <c r="I100">
        <v>5.3</v>
      </c>
      <c r="J100">
        <v>100000</v>
      </c>
      <c r="K100" t="s">
        <v>41</v>
      </c>
    </row>
    <row r="101" spans="1:11" x14ac:dyDescent="0.35">
      <c r="A101" t="s">
        <v>234</v>
      </c>
      <c r="B101" t="s">
        <v>172</v>
      </c>
      <c r="C101" t="s">
        <v>28</v>
      </c>
      <c r="D101" t="s">
        <v>26</v>
      </c>
      <c r="E101" t="s">
        <v>47</v>
      </c>
      <c r="F101" t="s">
        <v>105</v>
      </c>
      <c r="G101" s="1">
        <v>44583</v>
      </c>
      <c r="I101">
        <v>3.2</v>
      </c>
      <c r="J101">
        <v>300000</v>
      </c>
      <c r="K101" t="s">
        <v>17</v>
      </c>
    </row>
    <row r="102" spans="1:11" x14ac:dyDescent="0.35">
      <c r="A102" t="s">
        <v>235</v>
      </c>
      <c r="B102" t="s">
        <v>46</v>
      </c>
      <c r="C102" t="s">
        <v>54</v>
      </c>
      <c r="D102" t="s">
        <v>44</v>
      </c>
      <c r="E102" t="s">
        <v>21</v>
      </c>
      <c r="F102" t="s">
        <v>96</v>
      </c>
      <c r="G102" s="1">
        <v>44234</v>
      </c>
      <c r="H102">
        <v>4.0999999999999996</v>
      </c>
      <c r="I102">
        <v>4.0999999999999996</v>
      </c>
      <c r="J102">
        <v>75000</v>
      </c>
      <c r="K102" t="s">
        <v>17</v>
      </c>
    </row>
    <row r="103" spans="1:11" x14ac:dyDescent="0.35">
      <c r="A103" t="s">
        <v>236</v>
      </c>
      <c r="B103" t="s">
        <v>237</v>
      </c>
      <c r="C103" t="s">
        <v>59</v>
      </c>
      <c r="D103" t="s">
        <v>14</v>
      </c>
      <c r="E103" t="s">
        <v>30</v>
      </c>
      <c r="F103" t="s">
        <v>137</v>
      </c>
      <c r="G103" s="1">
        <v>45306</v>
      </c>
      <c r="H103">
        <v>4.5</v>
      </c>
      <c r="I103">
        <v>1.2</v>
      </c>
      <c r="J103">
        <v>750000</v>
      </c>
      <c r="K103" t="s">
        <v>17</v>
      </c>
    </row>
    <row r="104" spans="1:11" x14ac:dyDescent="0.35">
      <c r="A104" t="s">
        <v>238</v>
      </c>
      <c r="B104" t="s">
        <v>239</v>
      </c>
      <c r="C104" t="s">
        <v>151</v>
      </c>
      <c r="D104" t="s">
        <v>14</v>
      </c>
      <c r="E104" t="s">
        <v>21</v>
      </c>
      <c r="F104" t="s">
        <v>76</v>
      </c>
      <c r="G104" s="1">
        <v>44775</v>
      </c>
      <c r="H104">
        <v>4.8</v>
      </c>
      <c r="I104">
        <v>2.7</v>
      </c>
      <c r="J104">
        <v>100000</v>
      </c>
      <c r="K104" t="s">
        <v>17</v>
      </c>
    </row>
    <row r="105" spans="1:11" x14ac:dyDescent="0.35">
      <c r="A105" t="s">
        <v>240</v>
      </c>
      <c r="B105" t="s">
        <v>241</v>
      </c>
      <c r="C105" t="s">
        <v>73</v>
      </c>
      <c r="D105" t="s">
        <v>29</v>
      </c>
      <c r="E105" t="s">
        <v>15</v>
      </c>
      <c r="F105" t="s">
        <v>16</v>
      </c>
      <c r="G105" s="1">
        <v>43632</v>
      </c>
      <c r="H105">
        <v>2.9</v>
      </c>
      <c r="I105">
        <v>5.8</v>
      </c>
      <c r="J105">
        <v>300000</v>
      </c>
      <c r="K105" t="s">
        <v>17</v>
      </c>
    </row>
    <row r="106" spans="1:11" x14ac:dyDescent="0.35">
      <c r="A106" t="s">
        <v>242</v>
      </c>
      <c r="B106" t="s">
        <v>100</v>
      </c>
      <c r="C106" t="s">
        <v>36</v>
      </c>
      <c r="D106" t="s">
        <v>26</v>
      </c>
      <c r="E106" t="s">
        <v>30</v>
      </c>
      <c r="F106" t="s">
        <v>102</v>
      </c>
      <c r="G106" s="1">
        <v>44558</v>
      </c>
      <c r="H106">
        <v>4.4000000000000004</v>
      </c>
      <c r="I106">
        <v>3.3</v>
      </c>
      <c r="J106">
        <v>1000000</v>
      </c>
      <c r="K106" t="s">
        <v>17</v>
      </c>
    </row>
    <row r="107" spans="1:11" x14ac:dyDescent="0.35">
      <c r="A107" t="s">
        <v>243</v>
      </c>
      <c r="B107" t="s">
        <v>244</v>
      </c>
      <c r="C107" t="s">
        <v>54</v>
      </c>
      <c r="D107" t="s">
        <v>44</v>
      </c>
      <c r="E107" t="s">
        <v>47</v>
      </c>
      <c r="F107" t="s">
        <v>105</v>
      </c>
      <c r="G107" s="1">
        <v>44507</v>
      </c>
      <c r="H107">
        <v>3.3</v>
      </c>
      <c r="I107">
        <v>3.4</v>
      </c>
      <c r="J107">
        <v>1000000</v>
      </c>
      <c r="K107" t="s">
        <v>17</v>
      </c>
    </row>
    <row r="108" spans="1:11" x14ac:dyDescent="0.35">
      <c r="A108" t="s">
        <v>245</v>
      </c>
      <c r="B108" t="s">
        <v>246</v>
      </c>
      <c r="C108" t="s">
        <v>151</v>
      </c>
      <c r="D108" t="s">
        <v>29</v>
      </c>
      <c r="E108" t="s">
        <v>47</v>
      </c>
      <c r="F108" t="s">
        <v>105</v>
      </c>
      <c r="G108" s="1">
        <v>44315</v>
      </c>
      <c r="H108">
        <v>4.3</v>
      </c>
      <c r="I108">
        <v>3.9</v>
      </c>
      <c r="J108">
        <v>750000</v>
      </c>
      <c r="K108" t="s">
        <v>17</v>
      </c>
    </row>
    <row r="109" spans="1:11" x14ac:dyDescent="0.35">
      <c r="A109" t="s">
        <v>247</v>
      </c>
      <c r="B109" t="s">
        <v>248</v>
      </c>
      <c r="C109" t="s">
        <v>36</v>
      </c>
      <c r="D109" t="s">
        <v>29</v>
      </c>
      <c r="E109" t="s">
        <v>21</v>
      </c>
      <c r="F109" t="s">
        <v>96</v>
      </c>
      <c r="G109" s="1">
        <v>45089</v>
      </c>
      <c r="H109">
        <v>4</v>
      </c>
      <c r="I109">
        <v>1.8</v>
      </c>
      <c r="J109">
        <v>1000000</v>
      </c>
      <c r="K109" t="s">
        <v>65</v>
      </c>
    </row>
    <row r="110" spans="1:11" x14ac:dyDescent="0.35">
      <c r="A110" t="s">
        <v>249</v>
      </c>
      <c r="B110" t="s">
        <v>33</v>
      </c>
      <c r="C110" t="s">
        <v>36</v>
      </c>
      <c r="D110" t="s">
        <v>26</v>
      </c>
      <c r="E110" t="s">
        <v>30</v>
      </c>
      <c r="F110" t="s">
        <v>102</v>
      </c>
      <c r="G110" s="1">
        <v>44583</v>
      </c>
      <c r="H110">
        <v>2.8</v>
      </c>
      <c r="I110">
        <v>3.2</v>
      </c>
      <c r="J110">
        <v>300000</v>
      </c>
      <c r="K110" t="s">
        <v>17</v>
      </c>
    </row>
    <row r="111" spans="1:11" x14ac:dyDescent="0.35">
      <c r="A111" t="s">
        <v>250</v>
      </c>
      <c r="B111" t="s">
        <v>251</v>
      </c>
      <c r="C111" t="s">
        <v>13</v>
      </c>
      <c r="D111" t="s">
        <v>14</v>
      </c>
      <c r="E111" t="s">
        <v>47</v>
      </c>
      <c r="F111" t="s">
        <v>70</v>
      </c>
      <c r="G111" s="1">
        <v>45318</v>
      </c>
      <c r="H111">
        <v>3.1</v>
      </c>
      <c r="I111">
        <v>1.2</v>
      </c>
      <c r="J111">
        <v>200000</v>
      </c>
      <c r="K111" t="s">
        <v>17</v>
      </c>
    </row>
    <row r="112" spans="1:11" x14ac:dyDescent="0.35">
      <c r="A112" t="s">
        <v>252</v>
      </c>
      <c r="B112" t="s">
        <v>253</v>
      </c>
      <c r="C112" t="s">
        <v>36</v>
      </c>
      <c r="D112" t="s">
        <v>44</v>
      </c>
      <c r="E112" t="s">
        <v>15</v>
      </c>
      <c r="F112" t="s">
        <v>16</v>
      </c>
      <c r="G112" s="1">
        <v>44082</v>
      </c>
      <c r="H112">
        <v>2.9</v>
      </c>
      <c r="I112">
        <v>4.5999999999999996</v>
      </c>
      <c r="J112">
        <v>100000</v>
      </c>
      <c r="K112" t="s">
        <v>17</v>
      </c>
    </row>
    <row r="113" spans="1:11" x14ac:dyDescent="0.35">
      <c r="A113" t="s">
        <v>254</v>
      </c>
      <c r="B113" t="s">
        <v>79</v>
      </c>
      <c r="C113" t="s">
        <v>28</v>
      </c>
      <c r="D113" t="s">
        <v>26</v>
      </c>
      <c r="E113" t="s">
        <v>47</v>
      </c>
      <c r="F113" t="s">
        <v>70</v>
      </c>
      <c r="G113" s="1">
        <v>44310</v>
      </c>
      <c r="H113">
        <v>4.0999999999999996</v>
      </c>
      <c r="I113">
        <v>3.9</v>
      </c>
      <c r="J113">
        <v>75000</v>
      </c>
      <c r="K113" t="s">
        <v>41</v>
      </c>
    </row>
    <row r="114" spans="1:11" x14ac:dyDescent="0.35">
      <c r="A114" t="s">
        <v>255</v>
      </c>
      <c r="B114" t="s">
        <v>256</v>
      </c>
      <c r="C114" t="s">
        <v>59</v>
      </c>
      <c r="D114" t="s">
        <v>14</v>
      </c>
      <c r="E114" t="s">
        <v>15</v>
      </c>
      <c r="F114" t="s">
        <v>56</v>
      </c>
      <c r="G114" s="1">
        <v>45368</v>
      </c>
      <c r="H114">
        <v>2.9</v>
      </c>
      <c r="I114">
        <v>1</v>
      </c>
      <c r="J114">
        <v>150000</v>
      </c>
      <c r="K114" t="s">
        <v>17</v>
      </c>
    </row>
    <row r="115" spans="1:11" x14ac:dyDescent="0.35">
      <c r="A115" t="s">
        <v>257</v>
      </c>
      <c r="B115" t="s">
        <v>168</v>
      </c>
      <c r="C115" t="s">
        <v>13</v>
      </c>
      <c r="D115" t="s">
        <v>55</v>
      </c>
      <c r="E115" t="s">
        <v>30</v>
      </c>
      <c r="F115" t="s">
        <v>79</v>
      </c>
      <c r="G115" s="1">
        <v>44577</v>
      </c>
      <c r="H115">
        <v>2.7</v>
      </c>
      <c r="I115">
        <v>3.2</v>
      </c>
      <c r="J115">
        <v>500000</v>
      </c>
      <c r="K115" t="s">
        <v>17</v>
      </c>
    </row>
    <row r="116" spans="1:11" x14ac:dyDescent="0.35">
      <c r="A116" t="s">
        <v>258</v>
      </c>
      <c r="B116" t="s">
        <v>259</v>
      </c>
      <c r="C116" t="s">
        <v>40</v>
      </c>
      <c r="D116" t="s">
        <v>55</v>
      </c>
      <c r="E116" t="s">
        <v>30</v>
      </c>
      <c r="F116" t="s">
        <v>31</v>
      </c>
      <c r="G116" s="1">
        <v>44728</v>
      </c>
      <c r="H116">
        <v>4.2</v>
      </c>
      <c r="I116">
        <v>2.8</v>
      </c>
      <c r="J116">
        <v>100000</v>
      </c>
      <c r="K116" t="s">
        <v>17</v>
      </c>
    </row>
    <row r="117" spans="1:11" x14ac:dyDescent="0.35">
      <c r="A117" t="s">
        <v>260</v>
      </c>
      <c r="B117" t="s">
        <v>61</v>
      </c>
      <c r="C117" t="s">
        <v>20</v>
      </c>
      <c r="D117" t="s">
        <v>44</v>
      </c>
      <c r="E117" t="s">
        <v>47</v>
      </c>
      <c r="F117" t="s">
        <v>70</v>
      </c>
      <c r="G117" s="1">
        <v>44915</v>
      </c>
      <c r="H117">
        <v>3.1</v>
      </c>
      <c r="I117">
        <v>2.2999999999999998</v>
      </c>
      <c r="J117">
        <v>50000</v>
      </c>
      <c r="K117" t="s">
        <v>65</v>
      </c>
    </row>
    <row r="118" spans="1:11" x14ac:dyDescent="0.35">
      <c r="A118" t="s">
        <v>261</v>
      </c>
      <c r="B118" t="s">
        <v>58</v>
      </c>
      <c r="C118" t="s">
        <v>59</v>
      </c>
      <c r="D118" t="s">
        <v>14</v>
      </c>
      <c r="E118" t="s">
        <v>30</v>
      </c>
      <c r="F118" t="s">
        <v>102</v>
      </c>
      <c r="G118" s="1">
        <v>44826</v>
      </c>
      <c r="H118">
        <v>3.8</v>
      </c>
      <c r="I118">
        <v>2.5</v>
      </c>
      <c r="J118">
        <v>300000</v>
      </c>
      <c r="K118" t="s">
        <v>17</v>
      </c>
    </row>
    <row r="119" spans="1:11" x14ac:dyDescent="0.35">
      <c r="A119" t="s">
        <v>262</v>
      </c>
      <c r="B119" t="s">
        <v>89</v>
      </c>
      <c r="C119" t="s">
        <v>54</v>
      </c>
      <c r="D119" t="s">
        <v>55</v>
      </c>
      <c r="E119" t="s">
        <v>15</v>
      </c>
      <c r="F119" t="s">
        <v>64</v>
      </c>
      <c r="G119" s="1">
        <v>45004</v>
      </c>
      <c r="H119">
        <v>3.1</v>
      </c>
      <c r="I119">
        <v>2</v>
      </c>
      <c r="J119">
        <v>200000</v>
      </c>
      <c r="K119" t="s">
        <v>17</v>
      </c>
    </row>
    <row r="120" spans="1:11" x14ac:dyDescent="0.35">
      <c r="A120" t="s">
        <v>263</v>
      </c>
      <c r="B120" t="s">
        <v>256</v>
      </c>
      <c r="C120" t="s">
        <v>13</v>
      </c>
      <c r="D120" t="s">
        <v>26</v>
      </c>
      <c r="E120" t="s">
        <v>47</v>
      </c>
      <c r="F120" t="s">
        <v>105</v>
      </c>
      <c r="G120" s="1">
        <v>45092</v>
      </c>
      <c r="H120">
        <v>2.7</v>
      </c>
      <c r="I120">
        <v>1.8</v>
      </c>
      <c r="J120">
        <v>150000</v>
      </c>
      <c r="K120" t="s">
        <v>65</v>
      </c>
    </row>
    <row r="121" spans="1:11" x14ac:dyDescent="0.35">
      <c r="A121" t="s">
        <v>264</v>
      </c>
      <c r="B121" t="s">
        <v>265</v>
      </c>
      <c r="C121" t="s">
        <v>59</v>
      </c>
      <c r="D121" t="s">
        <v>29</v>
      </c>
      <c r="E121" t="s">
        <v>15</v>
      </c>
      <c r="F121" t="s">
        <v>16</v>
      </c>
      <c r="G121" s="1">
        <v>44865</v>
      </c>
      <c r="H121">
        <v>4.5999999999999996</v>
      </c>
      <c r="I121">
        <v>2.4</v>
      </c>
      <c r="J121">
        <v>200000</v>
      </c>
      <c r="K121" t="s">
        <v>17</v>
      </c>
    </row>
    <row r="122" spans="1:11" x14ac:dyDescent="0.35">
      <c r="A122" t="s">
        <v>266</v>
      </c>
      <c r="B122" t="s">
        <v>267</v>
      </c>
      <c r="C122" t="s">
        <v>54</v>
      </c>
      <c r="D122" t="s">
        <v>29</v>
      </c>
      <c r="E122" t="s">
        <v>30</v>
      </c>
      <c r="F122" t="s">
        <v>37</v>
      </c>
      <c r="G122" s="1">
        <v>43783</v>
      </c>
      <c r="H122">
        <v>3</v>
      </c>
      <c r="I122">
        <v>5.4</v>
      </c>
      <c r="J122">
        <v>50000</v>
      </c>
      <c r="K122" t="s">
        <v>17</v>
      </c>
    </row>
    <row r="123" spans="1:11" x14ac:dyDescent="0.35">
      <c r="A123" t="s">
        <v>268</v>
      </c>
      <c r="B123" t="s">
        <v>24</v>
      </c>
      <c r="C123" t="s">
        <v>73</v>
      </c>
      <c r="D123" t="s">
        <v>14</v>
      </c>
      <c r="E123" t="s">
        <v>15</v>
      </c>
      <c r="F123" t="s">
        <v>56</v>
      </c>
      <c r="G123" s="1">
        <v>45412</v>
      </c>
      <c r="H123">
        <v>4.5999999999999996</v>
      </c>
      <c r="I123">
        <v>0.9</v>
      </c>
      <c r="J123">
        <v>150000</v>
      </c>
      <c r="K123" t="s">
        <v>41</v>
      </c>
    </row>
    <row r="124" spans="1:11" x14ac:dyDescent="0.35">
      <c r="A124" t="s">
        <v>269</v>
      </c>
      <c r="B124" t="s">
        <v>270</v>
      </c>
      <c r="C124" t="s">
        <v>54</v>
      </c>
      <c r="D124" t="s">
        <v>26</v>
      </c>
      <c r="E124" t="s">
        <v>21</v>
      </c>
      <c r="F124" t="s">
        <v>96</v>
      </c>
      <c r="G124" s="1">
        <v>44430</v>
      </c>
      <c r="H124">
        <v>4.2</v>
      </c>
      <c r="I124">
        <v>3.6</v>
      </c>
      <c r="J124">
        <v>75000</v>
      </c>
      <c r="K124" t="s">
        <v>17</v>
      </c>
    </row>
    <row r="125" spans="1:11" x14ac:dyDescent="0.35">
      <c r="A125" t="s">
        <v>271</v>
      </c>
      <c r="B125" t="s">
        <v>272</v>
      </c>
      <c r="C125" t="s">
        <v>73</v>
      </c>
      <c r="D125" t="s">
        <v>14</v>
      </c>
      <c r="E125" t="s">
        <v>21</v>
      </c>
      <c r="F125" t="s">
        <v>96</v>
      </c>
      <c r="G125" s="1">
        <v>45175</v>
      </c>
      <c r="H125">
        <v>3.7</v>
      </c>
      <c r="I125">
        <v>1.6</v>
      </c>
      <c r="J125">
        <v>750000</v>
      </c>
      <c r="K125" t="s">
        <v>17</v>
      </c>
    </row>
    <row r="126" spans="1:11" x14ac:dyDescent="0.35">
      <c r="A126" t="s">
        <v>273</v>
      </c>
      <c r="B126" t="s">
        <v>274</v>
      </c>
      <c r="C126" t="s">
        <v>36</v>
      </c>
      <c r="D126" t="s">
        <v>44</v>
      </c>
      <c r="E126" t="s">
        <v>47</v>
      </c>
      <c r="F126" t="s">
        <v>70</v>
      </c>
      <c r="G126" s="1">
        <v>44144</v>
      </c>
      <c r="H126">
        <v>3</v>
      </c>
      <c r="I126">
        <v>4.4000000000000004</v>
      </c>
      <c r="J126">
        <v>1000000</v>
      </c>
      <c r="K126" t="s">
        <v>41</v>
      </c>
    </row>
    <row r="127" spans="1:11" x14ac:dyDescent="0.35">
      <c r="A127" t="s">
        <v>275</v>
      </c>
      <c r="B127" t="s">
        <v>276</v>
      </c>
      <c r="C127" t="s">
        <v>54</v>
      </c>
      <c r="D127" t="s">
        <v>14</v>
      </c>
      <c r="E127" t="s">
        <v>47</v>
      </c>
      <c r="F127" t="s">
        <v>70</v>
      </c>
      <c r="G127" s="1">
        <v>44567</v>
      </c>
      <c r="H127">
        <v>3.2</v>
      </c>
      <c r="I127">
        <v>3.2</v>
      </c>
      <c r="J127">
        <v>300000</v>
      </c>
      <c r="K127" t="s">
        <v>65</v>
      </c>
    </row>
    <row r="128" spans="1:11" x14ac:dyDescent="0.35">
      <c r="A128" t="s">
        <v>277</v>
      </c>
      <c r="B128" t="s">
        <v>278</v>
      </c>
      <c r="C128" t="s">
        <v>151</v>
      </c>
      <c r="D128" t="s">
        <v>29</v>
      </c>
      <c r="E128" t="s">
        <v>47</v>
      </c>
      <c r="F128" t="s">
        <v>70</v>
      </c>
      <c r="G128" s="1">
        <v>44077</v>
      </c>
      <c r="H128">
        <v>2.8</v>
      </c>
      <c r="I128">
        <v>4.5999999999999996</v>
      </c>
      <c r="J128">
        <v>300000</v>
      </c>
      <c r="K128" t="s">
        <v>17</v>
      </c>
    </row>
    <row r="129" spans="1:11" x14ac:dyDescent="0.35">
      <c r="A129" t="s">
        <v>279</v>
      </c>
      <c r="B129" t="s">
        <v>109</v>
      </c>
      <c r="C129" t="s">
        <v>54</v>
      </c>
      <c r="D129" t="s">
        <v>14</v>
      </c>
      <c r="E129" t="s">
        <v>30</v>
      </c>
      <c r="F129" t="s">
        <v>137</v>
      </c>
      <c r="G129" s="1">
        <v>44638</v>
      </c>
      <c r="H129">
        <v>4.4000000000000004</v>
      </c>
      <c r="I129">
        <v>3</v>
      </c>
      <c r="J129">
        <v>300000</v>
      </c>
      <c r="K129" t="s">
        <v>17</v>
      </c>
    </row>
    <row r="130" spans="1:11" x14ac:dyDescent="0.35">
      <c r="A130" t="s">
        <v>280</v>
      </c>
      <c r="B130" t="s">
        <v>281</v>
      </c>
      <c r="C130" t="s">
        <v>28</v>
      </c>
      <c r="D130" t="s">
        <v>44</v>
      </c>
      <c r="E130" t="s">
        <v>47</v>
      </c>
      <c r="F130" t="s">
        <v>213</v>
      </c>
      <c r="G130" s="1">
        <v>45377</v>
      </c>
      <c r="H130">
        <v>3.5</v>
      </c>
      <c r="I130">
        <v>1</v>
      </c>
      <c r="J130">
        <v>1000000</v>
      </c>
      <c r="K130" t="s">
        <v>17</v>
      </c>
    </row>
    <row r="131" spans="1:11" x14ac:dyDescent="0.35">
      <c r="A131" t="s">
        <v>282</v>
      </c>
      <c r="B131" t="s">
        <v>79</v>
      </c>
      <c r="C131" t="s">
        <v>40</v>
      </c>
      <c r="D131" t="s">
        <v>55</v>
      </c>
      <c r="E131" t="s">
        <v>21</v>
      </c>
      <c r="F131" t="s">
        <v>76</v>
      </c>
      <c r="G131" s="1">
        <v>43546</v>
      </c>
      <c r="H131">
        <v>4.8</v>
      </c>
      <c r="I131">
        <v>6</v>
      </c>
      <c r="J131">
        <v>750000</v>
      </c>
      <c r="K131" t="s">
        <v>17</v>
      </c>
    </row>
    <row r="132" spans="1:11" x14ac:dyDescent="0.35">
      <c r="A132" t="s">
        <v>283</v>
      </c>
      <c r="B132" t="s">
        <v>115</v>
      </c>
      <c r="C132" t="s">
        <v>13</v>
      </c>
      <c r="D132" t="s">
        <v>29</v>
      </c>
      <c r="E132" t="s">
        <v>47</v>
      </c>
      <c r="F132" t="s">
        <v>213</v>
      </c>
      <c r="G132" s="1">
        <v>45234</v>
      </c>
      <c r="H132">
        <v>3.2</v>
      </c>
      <c r="I132">
        <v>1.4</v>
      </c>
      <c r="J132">
        <v>500000</v>
      </c>
      <c r="K132" t="s">
        <v>41</v>
      </c>
    </row>
    <row r="133" spans="1:11" x14ac:dyDescent="0.35">
      <c r="A133" t="s">
        <v>284</v>
      </c>
      <c r="B133" t="s">
        <v>132</v>
      </c>
      <c r="C133" t="s">
        <v>59</v>
      </c>
      <c r="D133" t="s">
        <v>44</v>
      </c>
      <c r="E133" t="s">
        <v>30</v>
      </c>
      <c r="F133" t="s">
        <v>137</v>
      </c>
      <c r="G133" s="1">
        <v>43887</v>
      </c>
      <c r="H133">
        <v>4.3</v>
      </c>
      <c r="I133">
        <v>5.0999999999999996</v>
      </c>
      <c r="J133">
        <v>500000</v>
      </c>
      <c r="K133" t="s">
        <v>17</v>
      </c>
    </row>
    <row r="134" spans="1:11" x14ac:dyDescent="0.35">
      <c r="A134" t="s">
        <v>285</v>
      </c>
      <c r="B134" t="s">
        <v>286</v>
      </c>
      <c r="C134" t="s">
        <v>36</v>
      </c>
      <c r="D134" t="s">
        <v>29</v>
      </c>
      <c r="E134" t="s">
        <v>47</v>
      </c>
      <c r="F134" t="s">
        <v>105</v>
      </c>
      <c r="G134" s="1">
        <v>44650</v>
      </c>
      <c r="H134">
        <v>3.6</v>
      </c>
      <c r="I134">
        <v>3</v>
      </c>
      <c r="J134">
        <v>75000</v>
      </c>
      <c r="K134" t="s">
        <v>17</v>
      </c>
    </row>
    <row r="135" spans="1:11" x14ac:dyDescent="0.35">
      <c r="A135" t="s">
        <v>287</v>
      </c>
      <c r="B135" t="s">
        <v>104</v>
      </c>
      <c r="C135" t="s">
        <v>25</v>
      </c>
      <c r="D135" t="s">
        <v>14</v>
      </c>
      <c r="E135" t="s">
        <v>15</v>
      </c>
      <c r="F135" t="s">
        <v>16</v>
      </c>
      <c r="G135" s="1">
        <v>44229</v>
      </c>
      <c r="H135">
        <v>3.5</v>
      </c>
      <c r="I135">
        <v>4.2</v>
      </c>
      <c r="J135">
        <v>300000</v>
      </c>
      <c r="K135" t="s">
        <v>17</v>
      </c>
    </row>
    <row r="136" spans="1:11" x14ac:dyDescent="0.35">
      <c r="A136" t="s">
        <v>288</v>
      </c>
      <c r="B136" t="s">
        <v>163</v>
      </c>
      <c r="C136" t="s">
        <v>73</v>
      </c>
      <c r="D136" t="s">
        <v>14</v>
      </c>
      <c r="E136" t="s">
        <v>15</v>
      </c>
      <c r="F136" t="s">
        <v>56</v>
      </c>
      <c r="G136" s="1">
        <v>45167</v>
      </c>
      <c r="H136">
        <v>3.8</v>
      </c>
      <c r="I136">
        <v>1.6</v>
      </c>
      <c r="J136">
        <v>75000</v>
      </c>
      <c r="K136" t="s">
        <v>17</v>
      </c>
    </row>
    <row r="137" spans="1:11" x14ac:dyDescent="0.35">
      <c r="A137" t="s">
        <v>289</v>
      </c>
      <c r="B137" t="s">
        <v>290</v>
      </c>
      <c r="C137" t="s">
        <v>54</v>
      </c>
      <c r="D137" t="s">
        <v>55</v>
      </c>
      <c r="E137" t="s">
        <v>30</v>
      </c>
      <c r="F137" t="s">
        <v>37</v>
      </c>
      <c r="G137" s="1">
        <v>43883</v>
      </c>
      <c r="H137">
        <v>2.9</v>
      </c>
      <c r="I137">
        <v>5.0999999999999996</v>
      </c>
      <c r="J137">
        <v>300000</v>
      </c>
      <c r="K137" t="s">
        <v>41</v>
      </c>
    </row>
    <row r="138" spans="1:11" x14ac:dyDescent="0.35">
      <c r="A138" t="s">
        <v>291</v>
      </c>
      <c r="B138" t="s">
        <v>24</v>
      </c>
      <c r="C138" t="s">
        <v>59</v>
      </c>
      <c r="D138" t="s">
        <v>29</v>
      </c>
      <c r="E138" t="s">
        <v>30</v>
      </c>
      <c r="F138" t="s">
        <v>37</v>
      </c>
      <c r="G138" s="1">
        <v>45273</v>
      </c>
      <c r="H138">
        <v>2.7</v>
      </c>
      <c r="I138">
        <v>1.3</v>
      </c>
      <c r="J138">
        <v>200000</v>
      </c>
      <c r="K138" t="s">
        <v>17</v>
      </c>
    </row>
    <row r="139" spans="1:11" x14ac:dyDescent="0.35">
      <c r="A139" t="s">
        <v>292</v>
      </c>
      <c r="B139" t="s">
        <v>78</v>
      </c>
      <c r="C139" t="s">
        <v>28</v>
      </c>
      <c r="D139" t="s">
        <v>55</v>
      </c>
      <c r="E139" t="s">
        <v>21</v>
      </c>
      <c r="F139" t="s">
        <v>22</v>
      </c>
      <c r="G139" s="1">
        <v>43886</v>
      </c>
      <c r="H139">
        <v>3.1</v>
      </c>
      <c r="I139">
        <v>5.0999999999999996</v>
      </c>
      <c r="J139">
        <v>750000</v>
      </c>
      <c r="K139" t="s">
        <v>65</v>
      </c>
    </row>
    <row r="140" spans="1:11" x14ac:dyDescent="0.35">
      <c r="A140" t="s">
        <v>293</v>
      </c>
      <c r="B140" t="s">
        <v>294</v>
      </c>
      <c r="C140" t="s">
        <v>36</v>
      </c>
      <c r="D140" t="s">
        <v>44</v>
      </c>
      <c r="E140" t="s">
        <v>21</v>
      </c>
      <c r="F140" t="s">
        <v>76</v>
      </c>
      <c r="G140" s="1">
        <v>44318</v>
      </c>
      <c r="H140">
        <v>3.3</v>
      </c>
      <c r="I140">
        <v>3.9</v>
      </c>
      <c r="J140">
        <v>75000</v>
      </c>
      <c r="K140" t="s">
        <v>17</v>
      </c>
    </row>
    <row r="141" spans="1:11" x14ac:dyDescent="0.35">
      <c r="A141" t="s">
        <v>295</v>
      </c>
      <c r="B141" t="s">
        <v>270</v>
      </c>
      <c r="C141" t="s">
        <v>73</v>
      </c>
      <c r="D141" t="s">
        <v>29</v>
      </c>
      <c r="E141" t="s">
        <v>15</v>
      </c>
      <c r="F141" t="s">
        <v>84</v>
      </c>
      <c r="G141" s="1">
        <v>45426</v>
      </c>
      <c r="H141">
        <v>2.9</v>
      </c>
      <c r="I141">
        <v>0.9</v>
      </c>
      <c r="J141">
        <v>300000</v>
      </c>
      <c r="K141" t="s">
        <v>17</v>
      </c>
    </row>
    <row r="142" spans="1:11" x14ac:dyDescent="0.35">
      <c r="A142" t="s">
        <v>296</v>
      </c>
      <c r="B142" t="s">
        <v>109</v>
      </c>
      <c r="C142" t="s">
        <v>54</v>
      </c>
      <c r="D142" t="s">
        <v>26</v>
      </c>
      <c r="E142" t="s">
        <v>47</v>
      </c>
      <c r="F142" t="s">
        <v>213</v>
      </c>
      <c r="G142" s="1">
        <v>44427</v>
      </c>
      <c r="H142">
        <v>3.4</v>
      </c>
      <c r="I142">
        <v>3.6</v>
      </c>
      <c r="J142">
        <v>50000</v>
      </c>
      <c r="K142" t="s">
        <v>17</v>
      </c>
    </row>
    <row r="143" spans="1:11" x14ac:dyDescent="0.35">
      <c r="A143" t="s">
        <v>297</v>
      </c>
      <c r="B143" t="s">
        <v>298</v>
      </c>
      <c r="C143" t="s">
        <v>28</v>
      </c>
      <c r="D143" t="s">
        <v>26</v>
      </c>
      <c r="E143" t="s">
        <v>15</v>
      </c>
      <c r="F143" t="s">
        <v>84</v>
      </c>
      <c r="G143" s="1">
        <v>44886</v>
      </c>
      <c r="H143">
        <v>3.3</v>
      </c>
      <c r="I143">
        <v>2.4</v>
      </c>
      <c r="J143">
        <v>75000</v>
      </c>
      <c r="K143" t="s">
        <v>17</v>
      </c>
    </row>
    <row r="144" spans="1:11" x14ac:dyDescent="0.35">
      <c r="A144" t="s">
        <v>299</v>
      </c>
      <c r="B144" t="s">
        <v>83</v>
      </c>
      <c r="C144" t="s">
        <v>20</v>
      </c>
      <c r="D144" t="s">
        <v>55</v>
      </c>
      <c r="E144" t="s">
        <v>15</v>
      </c>
      <c r="F144" t="s">
        <v>64</v>
      </c>
      <c r="G144" s="1">
        <v>44388</v>
      </c>
      <c r="H144">
        <v>4.7</v>
      </c>
      <c r="I144">
        <v>3.7</v>
      </c>
      <c r="J144">
        <v>300000</v>
      </c>
      <c r="K144" t="s">
        <v>65</v>
      </c>
    </row>
    <row r="145" spans="1:11" x14ac:dyDescent="0.35">
      <c r="A145" t="s">
        <v>300</v>
      </c>
      <c r="B145" t="s">
        <v>132</v>
      </c>
      <c r="C145" t="s">
        <v>25</v>
      </c>
      <c r="D145" t="s">
        <v>44</v>
      </c>
      <c r="E145" t="s">
        <v>30</v>
      </c>
      <c r="F145" t="s">
        <v>37</v>
      </c>
      <c r="G145" s="1">
        <v>44395</v>
      </c>
      <c r="H145">
        <v>3.4</v>
      </c>
      <c r="I145">
        <v>3.7</v>
      </c>
      <c r="J145">
        <v>300000</v>
      </c>
      <c r="K145" t="s">
        <v>41</v>
      </c>
    </row>
    <row r="146" spans="1:11" x14ac:dyDescent="0.35">
      <c r="A146" t="s">
        <v>301</v>
      </c>
      <c r="B146" t="s">
        <v>281</v>
      </c>
      <c r="C146" t="s">
        <v>59</v>
      </c>
      <c r="D146" t="s">
        <v>26</v>
      </c>
      <c r="E146" t="s">
        <v>15</v>
      </c>
      <c r="F146" t="s">
        <v>56</v>
      </c>
      <c r="G146" s="1">
        <v>44138</v>
      </c>
      <c r="H146">
        <v>2.7</v>
      </c>
      <c r="I146">
        <v>4.4000000000000004</v>
      </c>
      <c r="J146">
        <v>200000</v>
      </c>
      <c r="K146" t="s">
        <v>17</v>
      </c>
    </row>
    <row r="147" spans="1:11" x14ac:dyDescent="0.35">
      <c r="A147" t="s">
        <v>302</v>
      </c>
      <c r="B147" t="s">
        <v>290</v>
      </c>
      <c r="C147" t="s">
        <v>25</v>
      </c>
      <c r="D147" t="s">
        <v>29</v>
      </c>
      <c r="E147" t="s">
        <v>15</v>
      </c>
      <c r="F147" t="s">
        <v>16</v>
      </c>
      <c r="G147" s="1">
        <v>44648</v>
      </c>
      <c r="H147">
        <v>4.2</v>
      </c>
      <c r="I147">
        <v>3</v>
      </c>
      <c r="J147">
        <v>300000</v>
      </c>
      <c r="K147" t="s">
        <v>17</v>
      </c>
    </row>
    <row r="148" spans="1:11" x14ac:dyDescent="0.35">
      <c r="A148" t="s">
        <v>303</v>
      </c>
      <c r="B148" t="s">
        <v>304</v>
      </c>
      <c r="C148" t="s">
        <v>54</v>
      </c>
      <c r="D148" t="s">
        <v>29</v>
      </c>
      <c r="E148" t="s">
        <v>15</v>
      </c>
      <c r="F148" t="s">
        <v>16</v>
      </c>
      <c r="G148" s="1">
        <v>44765</v>
      </c>
      <c r="I148">
        <v>2.7</v>
      </c>
      <c r="J148">
        <v>750000</v>
      </c>
      <c r="K148" t="s">
        <v>17</v>
      </c>
    </row>
    <row r="149" spans="1:11" x14ac:dyDescent="0.35">
      <c r="A149" t="s">
        <v>305</v>
      </c>
      <c r="B149" t="s">
        <v>306</v>
      </c>
      <c r="C149" t="s">
        <v>28</v>
      </c>
      <c r="D149" t="s">
        <v>29</v>
      </c>
      <c r="E149" t="s">
        <v>47</v>
      </c>
      <c r="F149" t="s">
        <v>105</v>
      </c>
      <c r="G149" s="1">
        <v>44429</v>
      </c>
      <c r="H149">
        <v>3.6</v>
      </c>
      <c r="I149">
        <v>3.6</v>
      </c>
      <c r="J149">
        <v>200000</v>
      </c>
      <c r="K149" t="s">
        <v>17</v>
      </c>
    </row>
    <row r="150" spans="1:11" x14ac:dyDescent="0.35">
      <c r="A150" t="s">
        <v>307</v>
      </c>
      <c r="B150" t="s">
        <v>58</v>
      </c>
      <c r="C150" t="s">
        <v>20</v>
      </c>
      <c r="D150" t="s">
        <v>44</v>
      </c>
      <c r="E150" t="s">
        <v>47</v>
      </c>
      <c r="F150" t="s">
        <v>70</v>
      </c>
      <c r="G150" s="1">
        <v>44820</v>
      </c>
      <c r="H150">
        <v>3.2</v>
      </c>
      <c r="I150">
        <v>2.5</v>
      </c>
      <c r="J150">
        <v>75000</v>
      </c>
      <c r="K150" t="s">
        <v>65</v>
      </c>
    </row>
    <row r="151" spans="1:11" x14ac:dyDescent="0.35">
      <c r="A151" t="s">
        <v>308</v>
      </c>
      <c r="B151" t="s">
        <v>306</v>
      </c>
      <c r="C151" t="s">
        <v>54</v>
      </c>
      <c r="D151" t="s">
        <v>26</v>
      </c>
      <c r="E151" t="s">
        <v>15</v>
      </c>
      <c r="F151" t="s">
        <v>16</v>
      </c>
      <c r="G151" s="1">
        <v>44291</v>
      </c>
      <c r="H151">
        <v>4</v>
      </c>
      <c r="I151">
        <v>4</v>
      </c>
      <c r="J151">
        <v>500000</v>
      </c>
      <c r="K151" t="s">
        <v>17</v>
      </c>
    </row>
    <row r="152" spans="1:11" x14ac:dyDescent="0.35">
      <c r="A152" t="s">
        <v>309</v>
      </c>
      <c r="B152" t="s">
        <v>69</v>
      </c>
      <c r="C152" t="s">
        <v>36</v>
      </c>
      <c r="D152" t="s">
        <v>44</v>
      </c>
      <c r="E152" t="s">
        <v>15</v>
      </c>
      <c r="F152" t="s">
        <v>64</v>
      </c>
      <c r="G152" s="1">
        <v>45360</v>
      </c>
      <c r="H152">
        <v>4.4000000000000004</v>
      </c>
      <c r="I152">
        <v>1.1000000000000001</v>
      </c>
      <c r="J152">
        <v>200000</v>
      </c>
      <c r="K152" t="s">
        <v>65</v>
      </c>
    </row>
    <row r="153" spans="1:11" x14ac:dyDescent="0.35">
      <c r="A153" t="s">
        <v>310</v>
      </c>
      <c r="B153" t="s">
        <v>311</v>
      </c>
      <c r="C153" t="s">
        <v>20</v>
      </c>
      <c r="D153" t="s">
        <v>26</v>
      </c>
      <c r="E153" t="s">
        <v>47</v>
      </c>
      <c r="F153" t="s">
        <v>48</v>
      </c>
      <c r="G153" s="1">
        <v>44766</v>
      </c>
      <c r="H153">
        <v>3.4</v>
      </c>
      <c r="I153">
        <v>2.7</v>
      </c>
      <c r="J153">
        <v>75000</v>
      </c>
      <c r="K153" t="s">
        <v>41</v>
      </c>
    </row>
    <row r="154" spans="1:11" x14ac:dyDescent="0.35">
      <c r="A154" t="s">
        <v>312</v>
      </c>
      <c r="B154" t="s">
        <v>227</v>
      </c>
      <c r="C154" t="s">
        <v>36</v>
      </c>
      <c r="D154" t="s">
        <v>14</v>
      </c>
      <c r="E154" t="s">
        <v>47</v>
      </c>
      <c r="F154" t="s">
        <v>105</v>
      </c>
      <c r="G154" s="1">
        <v>44370</v>
      </c>
      <c r="H154">
        <v>4.5999999999999996</v>
      </c>
      <c r="I154">
        <v>3.8</v>
      </c>
      <c r="J154">
        <v>750000</v>
      </c>
      <c r="K154" t="s">
        <v>41</v>
      </c>
    </row>
    <row r="155" spans="1:11" x14ac:dyDescent="0.35">
      <c r="A155" t="s">
        <v>313</v>
      </c>
      <c r="B155" t="s">
        <v>306</v>
      </c>
      <c r="C155" t="s">
        <v>73</v>
      </c>
      <c r="D155" t="s">
        <v>26</v>
      </c>
      <c r="E155" t="s">
        <v>47</v>
      </c>
      <c r="F155" t="s">
        <v>70</v>
      </c>
      <c r="G155" s="1">
        <v>43870</v>
      </c>
      <c r="H155">
        <v>3.6</v>
      </c>
      <c r="I155">
        <v>5.0999999999999996</v>
      </c>
      <c r="J155">
        <v>100000</v>
      </c>
      <c r="K155" t="s">
        <v>17</v>
      </c>
    </row>
    <row r="156" spans="1:11" x14ac:dyDescent="0.35">
      <c r="A156" t="s">
        <v>314</v>
      </c>
      <c r="B156" t="s">
        <v>315</v>
      </c>
      <c r="C156" t="s">
        <v>13</v>
      </c>
      <c r="D156" t="s">
        <v>44</v>
      </c>
      <c r="E156" t="s">
        <v>30</v>
      </c>
      <c r="F156" t="s">
        <v>137</v>
      </c>
      <c r="G156" s="1">
        <v>45263</v>
      </c>
      <c r="H156">
        <v>3.8</v>
      </c>
      <c r="I156">
        <v>1.3</v>
      </c>
      <c r="J156">
        <v>75000</v>
      </c>
      <c r="K156" t="s">
        <v>17</v>
      </c>
    </row>
    <row r="157" spans="1:11" x14ac:dyDescent="0.35">
      <c r="A157" t="s">
        <v>316</v>
      </c>
      <c r="B157" t="s">
        <v>317</v>
      </c>
      <c r="C157" t="s">
        <v>13</v>
      </c>
      <c r="D157" t="s">
        <v>44</v>
      </c>
      <c r="E157" t="s">
        <v>21</v>
      </c>
      <c r="F157" t="s">
        <v>96</v>
      </c>
      <c r="G157" s="1">
        <v>45320</v>
      </c>
      <c r="H157">
        <v>4.5999999999999996</v>
      </c>
      <c r="I157">
        <v>1.2</v>
      </c>
      <c r="J157">
        <v>75000</v>
      </c>
      <c r="K157" t="s">
        <v>65</v>
      </c>
    </row>
    <row r="158" spans="1:11" x14ac:dyDescent="0.35">
      <c r="A158" t="s">
        <v>318</v>
      </c>
      <c r="B158" t="s">
        <v>69</v>
      </c>
      <c r="C158" t="s">
        <v>59</v>
      </c>
      <c r="D158" t="s">
        <v>55</v>
      </c>
      <c r="E158" t="s">
        <v>30</v>
      </c>
      <c r="F158" t="s">
        <v>137</v>
      </c>
      <c r="G158" s="1">
        <v>44276</v>
      </c>
      <c r="H158">
        <v>4.4000000000000004</v>
      </c>
      <c r="I158">
        <v>4</v>
      </c>
      <c r="J158">
        <v>150000</v>
      </c>
      <c r="K158" t="s">
        <v>17</v>
      </c>
    </row>
    <row r="159" spans="1:11" x14ac:dyDescent="0.35">
      <c r="A159" t="s">
        <v>319</v>
      </c>
      <c r="B159" t="s">
        <v>320</v>
      </c>
      <c r="C159" t="s">
        <v>40</v>
      </c>
      <c r="D159" t="s">
        <v>44</v>
      </c>
      <c r="E159" t="s">
        <v>30</v>
      </c>
      <c r="F159" t="s">
        <v>102</v>
      </c>
      <c r="G159" s="1">
        <v>44965</v>
      </c>
      <c r="H159">
        <v>4.9000000000000004</v>
      </c>
      <c r="I159">
        <v>2.1</v>
      </c>
      <c r="J159">
        <v>75000</v>
      </c>
      <c r="K159" t="s">
        <v>17</v>
      </c>
    </row>
    <row r="160" spans="1:11" x14ac:dyDescent="0.35">
      <c r="A160" t="s">
        <v>321</v>
      </c>
      <c r="B160" t="s">
        <v>322</v>
      </c>
      <c r="C160" t="s">
        <v>73</v>
      </c>
      <c r="D160" t="s">
        <v>55</v>
      </c>
      <c r="E160" t="s">
        <v>15</v>
      </c>
      <c r="F160" t="s">
        <v>56</v>
      </c>
      <c r="G160" s="1">
        <v>43472</v>
      </c>
      <c r="H160">
        <v>4.7</v>
      </c>
      <c r="I160">
        <v>6.2</v>
      </c>
      <c r="J160">
        <v>200000</v>
      </c>
      <c r="K160" t="s">
        <v>65</v>
      </c>
    </row>
    <row r="161" spans="1:11" x14ac:dyDescent="0.35">
      <c r="A161" t="s">
        <v>323</v>
      </c>
      <c r="B161" t="s">
        <v>161</v>
      </c>
      <c r="C161" t="s">
        <v>36</v>
      </c>
      <c r="D161" t="s">
        <v>14</v>
      </c>
      <c r="E161" t="s">
        <v>30</v>
      </c>
      <c r="F161" t="s">
        <v>102</v>
      </c>
      <c r="G161" s="1">
        <v>44224</v>
      </c>
      <c r="H161">
        <v>3.7</v>
      </c>
      <c r="I161">
        <v>4.2</v>
      </c>
      <c r="J161">
        <v>200000</v>
      </c>
      <c r="K161" t="s">
        <v>17</v>
      </c>
    </row>
    <row r="162" spans="1:11" x14ac:dyDescent="0.35">
      <c r="A162" t="s">
        <v>324</v>
      </c>
      <c r="B162" t="s">
        <v>325</v>
      </c>
      <c r="C162" t="s">
        <v>59</v>
      </c>
      <c r="D162" t="s">
        <v>29</v>
      </c>
      <c r="E162" t="s">
        <v>30</v>
      </c>
      <c r="F162" t="s">
        <v>31</v>
      </c>
      <c r="G162" s="1">
        <v>43684</v>
      </c>
      <c r="H162">
        <v>4.0999999999999996</v>
      </c>
      <c r="I162">
        <v>5.6</v>
      </c>
      <c r="J162">
        <v>200000</v>
      </c>
      <c r="K162" t="s">
        <v>17</v>
      </c>
    </row>
    <row r="163" spans="1:11" x14ac:dyDescent="0.35">
      <c r="A163" t="s">
        <v>326</v>
      </c>
      <c r="B163" t="s">
        <v>327</v>
      </c>
      <c r="C163" t="s">
        <v>73</v>
      </c>
      <c r="D163" t="s">
        <v>26</v>
      </c>
      <c r="E163" t="s">
        <v>21</v>
      </c>
      <c r="F163" t="s">
        <v>96</v>
      </c>
      <c r="G163" s="1">
        <v>45287</v>
      </c>
      <c r="H163">
        <v>3.6</v>
      </c>
      <c r="I163">
        <v>1.3</v>
      </c>
      <c r="J163">
        <v>500000</v>
      </c>
      <c r="K163" t="s">
        <v>17</v>
      </c>
    </row>
    <row r="164" spans="1:11" x14ac:dyDescent="0.35">
      <c r="A164" t="s">
        <v>328</v>
      </c>
      <c r="B164" t="s">
        <v>155</v>
      </c>
      <c r="C164" t="s">
        <v>54</v>
      </c>
      <c r="D164" t="s">
        <v>26</v>
      </c>
      <c r="E164" t="s">
        <v>15</v>
      </c>
      <c r="F164" t="s">
        <v>64</v>
      </c>
      <c r="G164" s="1">
        <v>45441</v>
      </c>
      <c r="H164">
        <v>4.8</v>
      </c>
      <c r="I164">
        <v>0.8</v>
      </c>
      <c r="J164">
        <v>500000</v>
      </c>
      <c r="K164" t="s">
        <v>17</v>
      </c>
    </row>
    <row r="165" spans="1:11" x14ac:dyDescent="0.35">
      <c r="A165" t="s">
        <v>329</v>
      </c>
      <c r="B165" t="s">
        <v>315</v>
      </c>
      <c r="C165" t="s">
        <v>20</v>
      </c>
      <c r="D165" t="s">
        <v>55</v>
      </c>
      <c r="E165" t="s">
        <v>15</v>
      </c>
      <c r="F165" t="s">
        <v>56</v>
      </c>
      <c r="G165" s="1">
        <v>45119</v>
      </c>
      <c r="H165">
        <v>2.7</v>
      </c>
      <c r="I165">
        <v>1.7</v>
      </c>
      <c r="J165">
        <v>500000</v>
      </c>
      <c r="K165" t="s">
        <v>17</v>
      </c>
    </row>
    <row r="166" spans="1:11" x14ac:dyDescent="0.35">
      <c r="A166" t="s">
        <v>330</v>
      </c>
      <c r="B166" t="s">
        <v>104</v>
      </c>
      <c r="C166" t="s">
        <v>25</v>
      </c>
      <c r="D166" t="s">
        <v>14</v>
      </c>
      <c r="E166" t="s">
        <v>21</v>
      </c>
      <c r="F166" t="s">
        <v>96</v>
      </c>
      <c r="G166" s="1">
        <v>44720</v>
      </c>
      <c r="H166">
        <v>4.7</v>
      </c>
      <c r="I166">
        <v>2.8</v>
      </c>
      <c r="J166">
        <v>500000</v>
      </c>
      <c r="K166" t="s">
        <v>41</v>
      </c>
    </row>
    <row r="167" spans="1:11" x14ac:dyDescent="0.35">
      <c r="A167" t="s">
        <v>331</v>
      </c>
      <c r="B167" t="s">
        <v>113</v>
      </c>
      <c r="C167" t="s">
        <v>36</v>
      </c>
      <c r="D167" t="s">
        <v>14</v>
      </c>
      <c r="E167" t="s">
        <v>15</v>
      </c>
      <c r="F167" t="s">
        <v>84</v>
      </c>
      <c r="G167" s="1">
        <v>43842</v>
      </c>
      <c r="H167">
        <v>4.5999999999999996</v>
      </c>
      <c r="I167">
        <v>5.2</v>
      </c>
      <c r="J167">
        <v>150000</v>
      </c>
      <c r="K167" t="s">
        <v>17</v>
      </c>
    </row>
    <row r="168" spans="1:11" x14ac:dyDescent="0.35">
      <c r="A168" t="s">
        <v>332</v>
      </c>
      <c r="B168" t="s">
        <v>333</v>
      </c>
      <c r="C168" t="s">
        <v>25</v>
      </c>
      <c r="D168" t="s">
        <v>29</v>
      </c>
      <c r="E168" t="s">
        <v>15</v>
      </c>
      <c r="F168" t="s">
        <v>56</v>
      </c>
      <c r="G168" s="1">
        <v>43633</v>
      </c>
      <c r="H168">
        <v>2.6</v>
      </c>
      <c r="I168">
        <v>5.8</v>
      </c>
      <c r="J168">
        <v>75000</v>
      </c>
      <c r="K168" t="s">
        <v>41</v>
      </c>
    </row>
    <row r="169" spans="1:11" x14ac:dyDescent="0.35">
      <c r="A169" t="s">
        <v>334</v>
      </c>
      <c r="B169" t="s">
        <v>320</v>
      </c>
      <c r="C169" t="s">
        <v>59</v>
      </c>
      <c r="D169" t="s">
        <v>14</v>
      </c>
      <c r="E169" t="s">
        <v>15</v>
      </c>
      <c r="F169" t="s">
        <v>56</v>
      </c>
      <c r="G169" s="1">
        <v>44395</v>
      </c>
      <c r="H169">
        <v>4.9000000000000004</v>
      </c>
      <c r="I169">
        <v>3.7</v>
      </c>
      <c r="J169">
        <v>1000000</v>
      </c>
      <c r="K169" t="s">
        <v>17</v>
      </c>
    </row>
    <row r="170" spans="1:11" x14ac:dyDescent="0.35">
      <c r="A170" t="s">
        <v>335</v>
      </c>
      <c r="B170" t="s">
        <v>336</v>
      </c>
      <c r="C170" t="s">
        <v>25</v>
      </c>
      <c r="D170" t="s">
        <v>55</v>
      </c>
      <c r="E170" t="s">
        <v>21</v>
      </c>
      <c r="F170" t="s">
        <v>76</v>
      </c>
      <c r="G170" s="1">
        <v>44407</v>
      </c>
      <c r="H170">
        <v>3.4</v>
      </c>
      <c r="I170">
        <v>3.7</v>
      </c>
      <c r="J170">
        <v>300000</v>
      </c>
      <c r="K170" t="s">
        <v>17</v>
      </c>
    </row>
    <row r="171" spans="1:11" x14ac:dyDescent="0.35">
      <c r="A171" t="s">
        <v>337</v>
      </c>
      <c r="B171" t="s">
        <v>338</v>
      </c>
      <c r="C171" t="s">
        <v>36</v>
      </c>
      <c r="D171" t="s">
        <v>29</v>
      </c>
      <c r="E171" t="s">
        <v>30</v>
      </c>
      <c r="F171" t="s">
        <v>137</v>
      </c>
      <c r="G171" s="1">
        <v>45163</v>
      </c>
      <c r="H171">
        <v>4.7</v>
      </c>
      <c r="I171">
        <v>1.6</v>
      </c>
      <c r="J171">
        <v>150000</v>
      </c>
      <c r="K171" t="s">
        <v>17</v>
      </c>
    </row>
    <row r="172" spans="1:11" x14ac:dyDescent="0.35">
      <c r="A172" t="s">
        <v>339</v>
      </c>
      <c r="B172" t="s">
        <v>340</v>
      </c>
      <c r="C172" t="s">
        <v>151</v>
      </c>
      <c r="D172" t="s">
        <v>26</v>
      </c>
      <c r="E172" t="s">
        <v>30</v>
      </c>
      <c r="F172" t="s">
        <v>31</v>
      </c>
      <c r="G172" s="1">
        <v>45093</v>
      </c>
      <c r="H172">
        <v>3.9</v>
      </c>
      <c r="I172">
        <v>1.8</v>
      </c>
      <c r="J172">
        <v>300000</v>
      </c>
      <c r="K172" t="s">
        <v>41</v>
      </c>
    </row>
    <row r="173" spans="1:11" x14ac:dyDescent="0.35">
      <c r="A173" t="s">
        <v>341</v>
      </c>
      <c r="B173" t="s">
        <v>244</v>
      </c>
      <c r="C173" t="s">
        <v>54</v>
      </c>
      <c r="D173" t="s">
        <v>26</v>
      </c>
      <c r="E173" t="s">
        <v>21</v>
      </c>
      <c r="F173" t="s">
        <v>76</v>
      </c>
      <c r="G173" s="1">
        <v>44792</v>
      </c>
      <c r="H173">
        <v>4.5999999999999996</v>
      </c>
      <c r="I173">
        <v>2.6</v>
      </c>
      <c r="J173">
        <v>200000</v>
      </c>
      <c r="K173" t="s">
        <v>17</v>
      </c>
    </row>
    <row r="174" spans="1:11" x14ac:dyDescent="0.35">
      <c r="A174" t="s">
        <v>342</v>
      </c>
      <c r="B174" t="s">
        <v>197</v>
      </c>
      <c r="C174" t="s">
        <v>13</v>
      </c>
      <c r="D174" t="s">
        <v>26</v>
      </c>
      <c r="E174" t="s">
        <v>47</v>
      </c>
      <c r="F174" t="s">
        <v>48</v>
      </c>
      <c r="G174" s="1">
        <v>44690</v>
      </c>
      <c r="H174">
        <v>4.7</v>
      </c>
      <c r="I174">
        <v>2.9</v>
      </c>
      <c r="J174">
        <v>150000</v>
      </c>
      <c r="K174" t="s">
        <v>41</v>
      </c>
    </row>
    <row r="175" spans="1:11" x14ac:dyDescent="0.35">
      <c r="A175" t="s">
        <v>343</v>
      </c>
      <c r="B175" t="s">
        <v>227</v>
      </c>
      <c r="C175" t="s">
        <v>40</v>
      </c>
      <c r="D175" t="s">
        <v>14</v>
      </c>
      <c r="E175" t="s">
        <v>15</v>
      </c>
      <c r="F175" t="s">
        <v>79</v>
      </c>
      <c r="G175" s="1">
        <v>45080</v>
      </c>
      <c r="H175">
        <v>4.2</v>
      </c>
      <c r="I175">
        <v>1.8</v>
      </c>
      <c r="J175">
        <v>50000</v>
      </c>
      <c r="K175" t="s">
        <v>17</v>
      </c>
    </row>
    <row r="176" spans="1:11" x14ac:dyDescent="0.35">
      <c r="A176" t="s">
        <v>344</v>
      </c>
      <c r="B176" t="s">
        <v>95</v>
      </c>
      <c r="C176" t="s">
        <v>54</v>
      </c>
      <c r="D176" t="s">
        <v>14</v>
      </c>
      <c r="E176" t="s">
        <v>21</v>
      </c>
      <c r="F176" t="s">
        <v>79</v>
      </c>
      <c r="G176" s="1">
        <v>44470</v>
      </c>
      <c r="I176">
        <v>3.5</v>
      </c>
      <c r="J176">
        <v>50000</v>
      </c>
      <c r="K176" t="s">
        <v>17</v>
      </c>
    </row>
    <row r="177" spans="1:11" x14ac:dyDescent="0.35">
      <c r="A177" t="s">
        <v>345</v>
      </c>
      <c r="B177" t="s">
        <v>265</v>
      </c>
      <c r="C177" t="s">
        <v>36</v>
      </c>
      <c r="D177" t="s">
        <v>14</v>
      </c>
      <c r="E177" t="s">
        <v>21</v>
      </c>
      <c r="F177" t="s">
        <v>96</v>
      </c>
      <c r="G177" s="1">
        <v>44333</v>
      </c>
      <c r="H177">
        <v>2.7</v>
      </c>
      <c r="I177">
        <v>3.9</v>
      </c>
      <c r="J177">
        <v>1000000</v>
      </c>
      <c r="K177" t="s">
        <v>17</v>
      </c>
    </row>
    <row r="178" spans="1:11" x14ac:dyDescent="0.35">
      <c r="A178" t="s">
        <v>346</v>
      </c>
      <c r="B178" t="s">
        <v>347</v>
      </c>
      <c r="C178" t="s">
        <v>25</v>
      </c>
      <c r="D178" t="s">
        <v>55</v>
      </c>
      <c r="E178" t="s">
        <v>21</v>
      </c>
      <c r="F178" t="s">
        <v>79</v>
      </c>
      <c r="G178" s="1">
        <v>44838</v>
      </c>
      <c r="H178">
        <v>4.9000000000000004</v>
      </c>
      <c r="I178">
        <v>2.5</v>
      </c>
      <c r="J178">
        <v>1000000</v>
      </c>
      <c r="K178" t="s">
        <v>17</v>
      </c>
    </row>
    <row r="179" spans="1:11" x14ac:dyDescent="0.35">
      <c r="A179" t="s">
        <v>348</v>
      </c>
      <c r="B179" t="s">
        <v>197</v>
      </c>
      <c r="C179" t="s">
        <v>151</v>
      </c>
      <c r="D179" t="s">
        <v>44</v>
      </c>
      <c r="E179" t="s">
        <v>47</v>
      </c>
      <c r="F179" t="s">
        <v>105</v>
      </c>
      <c r="G179" s="1">
        <v>43718</v>
      </c>
      <c r="H179">
        <v>4.0999999999999996</v>
      </c>
      <c r="I179">
        <v>5.6</v>
      </c>
      <c r="J179">
        <v>50000</v>
      </c>
      <c r="K179" t="s">
        <v>17</v>
      </c>
    </row>
    <row r="180" spans="1:11" x14ac:dyDescent="0.35">
      <c r="A180" t="s">
        <v>349</v>
      </c>
      <c r="B180" t="s">
        <v>281</v>
      </c>
      <c r="C180" t="s">
        <v>28</v>
      </c>
      <c r="D180" t="s">
        <v>44</v>
      </c>
      <c r="E180" t="s">
        <v>47</v>
      </c>
      <c r="F180" t="s">
        <v>70</v>
      </c>
      <c r="G180" s="1">
        <v>44964</v>
      </c>
      <c r="H180">
        <v>2.7</v>
      </c>
      <c r="I180">
        <v>2.1</v>
      </c>
      <c r="J180">
        <v>1000000</v>
      </c>
      <c r="K180" t="s">
        <v>41</v>
      </c>
    </row>
    <row r="181" spans="1:11" x14ac:dyDescent="0.35">
      <c r="A181" t="s">
        <v>350</v>
      </c>
      <c r="B181" t="s">
        <v>91</v>
      </c>
      <c r="C181" t="s">
        <v>79</v>
      </c>
      <c r="D181" t="s">
        <v>14</v>
      </c>
      <c r="E181" t="s">
        <v>21</v>
      </c>
      <c r="F181" t="s">
        <v>22</v>
      </c>
      <c r="G181" s="1">
        <v>44286</v>
      </c>
      <c r="H181">
        <v>3</v>
      </c>
      <c r="I181">
        <v>4</v>
      </c>
      <c r="J181">
        <v>100000</v>
      </c>
      <c r="K181" t="s">
        <v>17</v>
      </c>
    </row>
    <row r="182" spans="1:11" x14ac:dyDescent="0.35">
      <c r="A182" t="s">
        <v>351</v>
      </c>
      <c r="B182" t="s">
        <v>352</v>
      </c>
      <c r="C182" t="s">
        <v>59</v>
      </c>
      <c r="D182" t="s">
        <v>14</v>
      </c>
      <c r="E182" t="s">
        <v>30</v>
      </c>
      <c r="F182" t="s">
        <v>102</v>
      </c>
      <c r="G182" s="1">
        <v>44385</v>
      </c>
      <c r="H182">
        <v>4.5</v>
      </c>
      <c r="I182">
        <v>3.7</v>
      </c>
      <c r="J182">
        <v>50000</v>
      </c>
      <c r="K182" t="s">
        <v>41</v>
      </c>
    </row>
    <row r="183" spans="1:11" x14ac:dyDescent="0.35">
      <c r="A183" t="s">
        <v>353</v>
      </c>
      <c r="B183" t="s">
        <v>354</v>
      </c>
      <c r="C183" t="s">
        <v>54</v>
      </c>
      <c r="D183" t="s">
        <v>26</v>
      </c>
      <c r="E183" t="s">
        <v>47</v>
      </c>
      <c r="F183" t="s">
        <v>48</v>
      </c>
      <c r="G183" s="1">
        <v>43490</v>
      </c>
      <c r="I183">
        <v>6.2</v>
      </c>
      <c r="J183">
        <v>200000</v>
      </c>
      <c r="K183" t="s">
        <v>17</v>
      </c>
    </row>
    <row r="184" spans="1:11" x14ac:dyDescent="0.35">
      <c r="A184" t="s">
        <v>355</v>
      </c>
      <c r="B184" t="s">
        <v>192</v>
      </c>
      <c r="C184" t="s">
        <v>54</v>
      </c>
      <c r="D184" t="s">
        <v>14</v>
      </c>
      <c r="E184" t="s">
        <v>30</v>
      </c>
      <c r="F184" t="s">
        <v>102</v>
      </c>
      <c r="G184" s="1">
        <v>44707</v>
      </c>
      <c r="H184">
        <v>2.8</v>
      </c>
      <c r="I184">
        <v>2.8</v>
      </c>
      <c r="J184">
        <v>300000</v>
      </c>
      <c r="K184" t="s">
        <v>17</v>
      </c>
    </row>
    <row r="185" spans="1:11" x14ac:dyDescent="0.35">
      <c r="A185" t="s">
        <v>356</v>
      </c>
      <c r="B185" t="s">
        <v>267</v>
      </c>
      <c r="C185" t="s">
        <v>36</v>
      </c>
      <c r="D185" t="s">
        <v>29</v>
      </c>
      <c r="E185" t="s">
        <v>47</v>
      </c>
      <c r="F185" t="s">
        <v>105</v>
      </c>
      <c r="G185" s="1">
        <v>44678</v>
      </c>
      <c r="H185">
        <v>2.9</v>
      </c>
      <c r="I185">
        <v>2.9</v>
      </c>
      <c r="J185">
        <v>1000000</v>
      </c>
      <c r="K185" t="s">
        <v>17</v>
      </c>
    </row>
    <row r="186" spans="1:11" x14ac:dyDescent="0.35">
      <c r="A186" t="s">
        <v>357</v>
      </c>
      <c r="B186" t="s">
        <v>143</v>
      </c>
      <c r="C186" t="s">
        <v>73</v>
      </c>
      <c r="D186" t="s">
        <v>29</v>
      </c>
      <c r="E186" t="s">
        <v>30</v>
      </c>
      <c r="F186" t="s">
        <v>37</v>
      </c>
      <c r="G186" s="1">
        <v>44261</v>
      </c>
      <c r="H186">
        <v>4</v>
      </c>
      <c r="I186">
        <v>4.0999999999999996</v>
      </c>
      <c r="J186">
        <v>150000</v>
      </c>
      <c r="K186" t="s">
        <v>17</v>
      </c>
    </row>
    <row r="187" spans="1:11" x14ac:dyDescent="0.35">
      <c r="A187" t="s">
        <v>358</v>
      </c>
      <c r="B187" t="s">
        <v>359</v>
      </c>
      <c r="C187" t="s">
        <v>25</v>
      </c>
      <c r="D187" t="s">
        <v>26</v>
      </c>
      <c r="E187" t="s">
        <v>21</v>
      </c>
      <c r="F187" t="s">
        <v>22</v>
      </c>
      <c r="G187" s="1">
        <v>45388</v>
      </c>
      <c r="H187">
        <v>3.2</v>
      </c>
      <c r="I187">
        <v>1</v>
      </c>
      <c r="J187">
        <v>75000</v>
      </c>
      <c r="K187" t="s">
        <v>41</v>
      </c>
    </row>
    <row r="188" spans="1:11" x14ac:dyDescent="0.35">
      <c r="A188" t="s">
        <v>360</v>
      </c>
      <c r="B188" t="s">
        <v>93</v>
      </c>
      <c r="C188" t="s">
        <v>59</v>
      </c>
      <c r="D188" t="s">
        <v>44</v>
      </c>
      <c r="E188" t="s">
        <v>15</v>
      </c>
      <c r="F188" t="s">
        <v>64</v>
      </c>
      <c r="G188" s="1">
        <v>43560</v>
      </c>
      <c r="H188">
        <v>3.7</v>
      </c>
      <c r="I188">
        <v>6</v>
      </c>
      <c r="J188">
        <v>75000</v>
      </c>
      <c r="K188" t="s">
        <v>17</v>
      </c>
    </row>
    <row r="189" spans="1:11" x14ac:dyDescent="0.35">
      <c r="A189" t="s">
        <v>361</v>
      </c>
      <c r="B189" t="s">
        <v>333</v>
      </c>
      <c r="C189" t="s">
        <v>28</v>
      </c>
      <c r="D189" t="s">
        <v>14</v>
      </c>
      <c r="E189" t="s">
        <v>15</v>
      </c>
      <c r="F189" t="s">
        <v>16</v>
      </c>
      <c r="G189" s="1">
        <v>44349</v>
      </c>
      <c r="H189">
        <v>4.2</v>
      </c>
      <c r="I189">
        <v>3.8</v>
      </c>
      <c r="J189">
        <v>300000</v>
      </c>
      <c r="K189" t="s">
        <v>17</v>
      </c>
    </row>
    <row r="190" spans="1:11" x14ac:dyDescent="0.35">
      <c r="A190" t="s">
        <v>362</v>
      </c>
      <c r="B190" t="s">
        <v>272</v>
      </c>
      <c r="C190" t="s">
        <v>13</v>
      </c>
      <c r="D190" t="s">
        <v>14</v>
      </c>
      <c r="E190" t="s">
        <v>15</v>
      </c>
      <c r="F190" t="s">
        <v>56</v>
      </c>
      <c r="G190" s="1">
        <v>44898</v>
      </c>
      <c r="H190">
        <v>3.4</v>
      </c>
      <c r="I190">
        <v>2.2999999999999998</v>
      </c>
      <c r="J190">
        <v>75000</v>
      </c>
      <c r="K190" t="s">
        <v>41</v>
      </c>
    </row>
    <row r="191" spans="1:11" x14ac:dyDescent="0.35">
      <c r="A191" t="s">
        <v>363</v>
      </c>
      <c r="B191" t="s">
        <v>265</v>
      </c>
      <c r="C191" t="s">
        <v>40</v>
      </c>
      <c r="D191" t="s">
        <v>29</v>
      </c>
      <c r="E191" t="s">
        <v>47</v>
      </c>
      <c r="F191" t="s">
        <v>70</v>
      </c>
      <c r="G191" s="1">
        <v>44725</v>
      </c>
      <c r="H191">
        <v>3.5</v>
      </c>
      <c r="I191">
        <v>2.8</v>
      </c>
      <c r="J191">
        <v>1000000</v>
      </c>
      <c r="K191" t="s">
        <v>65</v>
      </c>
    </row>
    <row r="192" spans="1:11" x14ac:dyDescent="0.35">
      <c r="A192" t="s">
        <v>364</v>
      </c>
      <c r="B192" t="s">
        <v>304</v>
      </c>
      <c r="C192" t="s">
        <v>13</v>
      </c>
      <c r="D192" t="s">
        <v>14</v>
      </c>
      <c r="E192" t="s">
        <v>15</v>
      </c>
      <c r="F192" t="s">
        <v>84</v>
      </c>
      <c r="G192" s="1">
        <v>43859</v>
      </c>
      <c r="H192">
        <v>3.1</v>
      </c>
      <c r="I192">
        <v>5.2</v>
      </c>
      <c r="J192">
        <v>300000</v>
      </c>
      <c r="K192" t="s">
        <v>17</v>
      </c>
    </row>
    <row r="193" spans="1:11" x14ac:dyDescent="0.35">
      <c r="A193" t="s">
        <v>365</v>
      </c>
      <c r="B193" t="s">
        <v>35</v>
      </c>
      <c r="C193" t="s">
        <v>36</v>
      </c>
      <c r="D193" t="s">
        <v>14</v>
      </c>
      <c r="E193" t="s">
        <v>30</v>
      </c>
      <c r="F193" t="s">
        <v>37</v>
      </c>
      <c r="G193" s="1">
        <v>44638</v>
      </c>
      <c r="H193">
        <v>3.7</v>
      </c>
      <c r="I193">
        <v>3</v>
      </c>
      <c r="J193">
        <v>75000</v>
      </c>
      <c r="K193" t="s">
        <v>17</v>
      </c>
    </row>
    <row r="194" spans="1:11" x14ac:dyDescent="0.35">
      <c r="A194" t="s">
        <v>366</v>
      </c>
      <c r="B194" t="s">
        <v>143</v>
      </c>
      <c r="C194" t="s">
        <v>151</v>
      </c>
      <c r="D194" t="s">
        <v>44</v>
      </c>
      <c r="E194" t="s">
        <v>47</v>
      </c>
      <c r="F194" t="s">
        <v>105</v>
      </c>
      <c r="G194" s="1">
        <v>43982</v>
      </c>
      <c r="H194">
        <v>4.9000000000000004</v>
      </c>
      <c r="I194">
        <v>4.8</v>
      </c>
      <c r="J194">
        <v>200000</v>
      </c>
      <c r="K194" t="s">
        <v>17</v>
      </c>
    </row>
    <row r="195" spans="1:11" x14ac:dyDescent="0.35">
      <c r="A195" t="s">
        <v>367</v>
      </c>
      <c r="B195" t="s">
        <v>141</v>
      </c>
      <c r="C195" t="s">
        <v>36</v>
      </c>
      <c r="D195" t="s">
        <v>14</v>
      </c>
      <c r="E195" t="s">
        <v>47</v>
      </c>
      <c r="F195" t="s">
        <v>70</v>
      </c>
      <c r="G195" s="1">
        <v>44513</v>
      </c>
      <c r="H195">
        <v>4.9000000000000004</v>
      </c>
      <c r="I195">
        <v>3.4</v>
      </c>
      <c r="J195">
        <v>300000</v>
      </c>
      <c r="K195" t="s">
        <v>17</v>
      </c>
    </row>
    <row r="196" spans="1:11" x14ac:dyDescent="0.35">
      <c r="A196" t="s">
        <v>368</v>
      </c>
      <c r="B196" t="s">
        <v>369</v>
      </c>
      <c r="C196" t="s">
        <v>79</v>
      </c>
      <c r="D196" t="s">
        <v>55</v>
      </c>
      <c r="E196" t="s">
        <v>21</v>
      </c>
      <c r="F196" t="s">
        <v>96</v>
      </c>
      <c r="G196" s="1">
        <v>44362</v>
      </c>
      <c r="H196">
        <v>2.6</v>
      </c>
      <c r="I196">
        <v>3.8</v>
      </c>
      <c r="J196">
        <v>500000</v>
      </c>
      <c r="K196" t="s">
        <v>41</v>
      </c>
    </row>
    <row r="197" spans="1:11" x14ac:dyDescent="0.35">
      <c r="A197" t="s">
        <v>370</v>
      </c>
      <c r="B197" t="s">
        <v>306</v>
      </c>
      <c r="C197" t="s">
        <v>151</v>
      </c>
      <c r="D197" t="s">
        <v>26</v>
      </c>
      <c r="E197" t="s">
        <v>30</v>
      </c>
      <c r="F197" t="s">
        <v>102</v>
      </c>
      <c r="G197" s="1">
        <v>45409</v>
      </c>
      <c r="H197">
        <v>4.9000000000000004</v>
      </c>
      <c r="I197">
        <v>0.9</v>
      </c>
      <c r="J197">
        <v>150000</v>
      </c>
      <c r="K197" t="s">
        <v>17</v>
      </c>
    </row>
    <row r="198" spans="1:11" x14ac:dyDescent="0.35">
      <c r="A198" t="s">
        <v>371</v>
      </c>
      <c r="B198" t="s">
        <v>223</v>
      </c>
      <c r="C198" t="s">
        <v>20</v>
      </c>
      <c r="D198" t="s">
        <v>55</v>
      </c>
      <c r="E198" t="s">
        <v>47</v>
      </c>
      <c r="F198" t="s">
        <v>213</v>
      </c>
      <c r="G198" s="1">
        <v>45211</v>
      </c>
      <c r="H198">
        <v>3.8</v>
      </c>
      <c r="I198">
        <v>1.5</v>
      </c>
      <c r="J198">
        <v>300000</v>
      </c>
      <c r="K198" t="s">
        <v>17</v>
      </c>
    </row>
    <row r="199" spans="1:11" x14ac:dyDescent="0.35">
      <c r="A199" t="s">
        <v>372</v>
      </c>
      <c r="B199" t="s">
        <v>223</v>
      </c>
      <c r="C199" t="s">
        <v>36</v>
      </c>
      <c r="D199" t="s">
        <v>29</v>
      </c>
      <c r="E199" t="s">
        <v>21</v>
      </c>
      <c r="F199" t="s">
        <v>96</v>
      </c>
      <c r="G199" s="1">
        <v>44022</v>
      </c>
      <c r="H199">
        <v>4.9000000000000004</v>
      </c>
      <c r="I199">
        <v>4.7</v>
      </c>
      <c r="J199">
        <v>100000</v>
      </c>
      <c r="K199" t="s">
        <v>41</v>
      </c>
    </row>
    <row r="200" spans="1:11" x14ac:dyDescent="0.35">
      <c r="A200" t="s">
        <v>373</v>
      </c>
      <c r="B200" t="s">
        <v>272</v>
      </c>
      <c r="C200" t="s">
        <v>28</v>
      </c>
      <c r="D200" t="s">
        <v>44</v>
      </c>
      <c r="E200" t="s">
        <v>21</v>
      </c>
      <c r="F200" t="s">
        <v>22</v>
      </c>
      <c r="G200" s="1">
        <v>45256</v>
      </c>
      <c r="H200">
        <v>2.7</v>
      </c>
      <c r="I200">
        <v>1.3</v>
      </c>
      <c r="J200">
        <v>750000</v>
      </c>
      <c r="K200" t="s">
        <v>17</v>
      </c>
    </row>
    <row r="201" spans="1:11" x14ac:dyDescent="0.35">
      <c r="A201" t="s">
        <v>374</v>
      </c>
      <c r="B201" t="s">
        <v>375</v>
      </c>
      <c r="C201" t="s">
        <v>13</v>
      </c>
      <c r="D201" t="s">
        <v>14</v>
      </c>
      <c r="E201" t="s">
        <v>15</v>
      </c>
      <c r="F201" t="s">
        <v>84</v>
      </c>
      <c r="G201" s="1">
        <v>45326</v>
      </c>
      <c r="H201">
        <v>2.9</v>
      </c>
      <c r="I201">
        <v>1.2</v>
      </c>
      <c r="J201">
        <v>50000</v>
      </c>
      <c r="K201" t="s">
        <v>17</v>
      </c>
    </row>
    <row r="202" spans="1:11" x14ac:dyDescent="0.35">
      <c r="A202" t="s">
        <v>376</v>
      </c>
      <c r="B202" t="s">
        <v>377</v>
      </c>
      <c r="C202" t="s">
        <v>54</v>
      </c>
      <c r="D202" t="s">
        <v>26</v>
      </c>
      <c r="E202" t="s">
        <v>30</v>
      </c>
      <c r="F202" t="s">
        <v>102</v>
      </c>
      <c r="G202" s="1">
        <v>44876</v>
      </c>
      <c r="H202">
        <v>4.7</v>
      </c>
      <c r="I202">
        <v>2.4</v>
      </c>
      <c r="J202">
        <v>200000</v>
      </c>
      <c r="K202" t="s">
        <v>17</v>
      </c>
    </row>
    <row r="203" spans="1:11" x14ac:dyDescent="0.35">
      <c r="A203" t="s">
        <v>378</v>
      </c>
      <c r="B203" t="s">
        <v>379</v>
      </c>
      <c r="C203" t="s">
        <v>54</v>
      </c>
      <c r="D203" t="s">
        <v>14</v>
      </c>
      <c r="E203" t="s">
        <v>21</v>
      </c>
      <c r="F203" t="s">
        <v>96</v>
      </c>
      <c r="G203" s="1">
        <v>45136</v>
      </c>
      <c r="I203">
        <v>1.7</v>
      </c>
      <c r="J203">
        <v>300000</v>
      </c>
      <c r="K203" t="s">
        <v>17</v>
      </c>
    </row>
    <row r="204" spans="1:11" x14ac:dyDescent="0.35">
      <c r="A204" t="s">
        <v>380</v>
      </c>
      <c r="B204" t="s">
        <v>239</v>
      </c>
      <c r="C204" t="s">
        <v>151</v>
      </c>
      <c r="D204" t="s">
        <v>44</v>
      </c>
      <c r="E204" t="s">
        <v>21</v>
      </c>
      <c r="F204" t="s">
        <v>22</v>
      </c>
      <c r="G204" s="1">
        <v>43974</v>
      </c>
      <c r="H204">
        <v>4.4000000000000004</v>
      </c>
      <c r="I204">
        <v>4.9000000000000004</v>
      </c>
      <c r="J204">
        <v>150000</v>
      </c>
      <c r="K204" t="s">
        <v>41</v>
      </c>
    </row>
    <row r="205" spans="1:11" x14ac:dyDescent="0.35">
      <c r="A205" t="s">
        <v>381</v>
      </c>
      <c r="B205" t="s">
        <v>221</v>
      </c>
      <c r="C205" t="s">
        <v>151</v>
      </c>
      <c r="D205" t="s">
        <v>26</v>
      </c>
      <c r="E205" t="s">
        <v>30</v>
      </c>
      <c r="F205" t="s">
        <v>37</v>
      </c>
      <c r="G205" s="1">
        <v>45436</v>
      </c>
      <c r="H205">
        <v>4.5999999999999996</v>
      </c>
      <c r="I205">
        <v>0.9</v>
      </c>
      <c r="J205">
        <v>750000</v>
      </c>
      <c r="K205" t="s">
        <v>41</v>
      </c>
    </row>
    <row r="206" spans="1:11" x14ac:dyDescent="0.35">
      <c r="A206" t="s">
        <v>382</v>
      </c>
      <c r="B206" t="s">
        <v>347</v>
      </c>
      <c r="C206" t="s">
        <v>151</v>
      </c>
      <c r="D206" t="s">
        <v>14</v>
      </c>
      <c r="E206" t="s">
        <v>15</v>
      </c>
      <c r="F206" t="s">
        <v>16</v>
      </c>
      <c r="G206" s="1">
        <v>44968</v>
      </c>
      <c r="H206">
        <v>2.7</v>
      </c>
      <c r="I206">
        <v>2.1</v>
      </c>
      <c r="J206">
        <v>75000</v>
      </c>
      <c r="K206" t="s">
        <v>65</v>
      </c>
    </row>
    <row r="207" spans="1:11" x14ac:dyDescent="0.35">
      <c r="A207" t="s">
        <v>383</v>
      </c>
      <c r="B207" t="s">
        <v>87</v>
      </c>
      <c r="C207" t="s">
        <v>25</v>
      </c>
      <c r="D207" t="s">
        <v>29</v>
      </c>
      <c r="E207" t="s">
        <v>15</v>
      </c>
      <c r="F207" t="s">
        <v>16</v>
      </c>
      <c r="G207" s="1">
        <v>45337</v>
      </c>
      <c r="H207">
        <v>3.7</v>
      </c>
      <c r="I207">
        <v>1.1000000000000001</v>
      </c>
      <c r="J207">
        <v>200000</v>
      </c>
      <c r="K207" t="s">
        <v>41</v>
      </c>
    </row>
    <row r="208" spans="1:11" x14ac:dyDescent="0.35">
      <c r="A208" t="s">
        <v>384</v>
      </c>
      <c r="B208" t="s">
        <v>385</v>
      </c>
      <c r="C208" t="s">
        <v>28</v>
      </c>
      <c r="D208" t="s">
        <v>14</v>
      </c>
      <c r="E208" t="s">
        <v>30</v>
      </c>
      <c r="F208" t="s">
        <v>37</v>
      </c>
      <c r="G208" s="1">
        <v>43577</v>
      </c>
      <c r="H208">
        <v>3.4</v>
      </c>
      <c r="I208">
        <v>5.9</v>
      </c>
      <c r="J208">
        <v>750000</v>
      </c>
      <c r="K208" t="s">
        <v>17</v>
      </c>
    </row>
    <row r="209" spans="1:11" x14ac:dyDescent="0.35">
      <c r="A209" t="s">
        <v>386</v>
      </c>
      <c r="B209" t="s">
        <v>290</v>
      </c>
      <c r="C209" t="s">
        <v>13</v>
      </c>
      <c r="D209" t="s">
        <v>55</v>
      </c>
      <c r="E209" t="s">
        <v>30</v>
      </c>
      <c r="F209" t="s">
        <v>37</v>
      </c>
      <c r="G209" s="1">
        <v>43837</v>
      </c>
      <c r="H209">
        <v>4.4000000000000004</v>
      </c>
      <c r="I209">
        <v>5.2</v>
      </c>
      <c r="J209">
        <v>50000</v>
      </c>
      <c r="K209" t="s">
        <v>65</v>
      </c>
    </row>
    <row r="210" spans="1:11" x14ac:dyDescent="0.35">
      <c r="A210" t="s">
        <v>387</v>
      </c>
      <c r="B210" t="s">
        <v>347</v>
      </c>
      <c r="C210" t="s">
        <v>28</v>
      </c>
      <c r="D210" t="s">
        <v>55</v>
      </c>
      <c r="E210" t="s">
        <v>47</v>
      </c>
      <c r="F210" t="s">
        <v>105</v>
      </c>
      <c r="G210" s="1">
        <v>45214</v>
      </c>
      <c r="H210">
        <v>4.9000000000000004</v>
      </c>
      <c r="I210">
        <v>1.5</v>
      </c>
      <c r="J210">
        <v>150000</v>
      </c>
      <c r="K210" t="s">
        <v>17</v>
      </c>
    </row>
    <row r="211" spans="1:11" x14ac:dyDescent="0.35">
      <c r="A211" t="s">
        <v>388</v>
      </c>
      <c r="B211" t="s">
        <v>177</v>
      </c>
      <c r="C211" t="s">
        <v>40</v>
      </c>
      <c r="D211" t="s">
        <v>44</v>
      </c>
      <c r="E211" t="s">
        <v>30</v>
      </c>
      <c r="F211" t="s">
        <v>137</v>
      </c>
      <c r="G211" s="1">
        <v>44013</v>
      </c>
      <c r="H211">
        <v>2.9</v>
      </c>
      <c r="I211">
        <v>4.7</v>
      </c>
      <c r="J211">
        <v>50000</v>
      </c>
      <c r="K211" t="s">
        <v>17</v>
      </c>
    </row>
    <row r="212" spans="1:11" x14ac:dyDescent="0.35">
      <c r="A212" t="s">
        <v>389</v>
      </c>
      <c r="B212" t="s">
        <v>233</v>
      </c>
      <c r="C212" t="s">
        <v>40</v>
      </c>
      <c r="D212" t="s">
        <v>55</v>
      </c>
      <c r="E212" t="s">
        <v>21</v>
      </c>
      <c r="F212" t="s">
        <v>51</v>
      </c>
      <c r="G212" s="1">
        <v>43980</v>
      </c>
      <c r="H212">
        <v>4.3</v>
      </c>
      <c r="I212">
        <v>4.8</v>
      </c>
      <c r="J212">
        <v>300000</v>
      </c>
      <c r="K212" t="s">
        <v>17</v>
      </c>
    </row>
    <row r="213" spans="1:11" x14ac:dyDescent="0.35">
      <c r="A213" t="s">
        <v>390</v>
      </c>
      <c r="B213" t="s">
        <v>391</v>
      </c>
      <c r="C213" t="s">
        <v>25</v>
      </c>
      <c r="D213" t="s">
        <v>14</v>
      </c>
      <c r="E213" t="s">
        <v>15</v>
      </c>
      <c r="F213" t="s">
        <v>64</v>
      </c>
      <c r="G213" s="1">
        <v>43551</v>
      </c>
      <c r="I213">
        <v>6</v>
      </c>
      <c r="J213">
        <v>500000</v>
      </c>
      <c r="K213" t="s">
        <v>17</v>
      </c>
    </row>
    <row r="214" spans="1:11" x14ac:dyDescent="0.35">
      <c r="A214" t="s">
        <v>392</v>
      </c>
      <c r="B214" t="s">
        <v>393</v>
      </c>
      <c r="C214" t="s">
        <v>36</v>
      </c>
      <c r="D214" t="s">
        <v>14</v>
      </c>
      <c r="E214" t="s">
        <v>30</v>
      </c>
      <c r="F214" t="s">
        <v>37</v>
      </c>
      <c r="G214" s="1">
        <v>44058</v>
      </c>
      <c r="H214">
        <v>2.6</v>
      </c>
      <c r="I214">
        <v>4.5999999999999996</v>
      </c>
      <c r="J214">
        <v>300000</v>
      </c>
      <c r="K214" t="s">
        <v>17</v>
      </c>
    </row>
    <row r="215" spans="1:11" x14ac:dyDescent="0.35">
      <c r="A215" t="s">
        <v>394</v>
      </c>
      <c r="B215" t="s">
        <v>290</v>
      </c>
      <c r="C215" t="s">
        <v>20</v>
      </c>
      <c r="D215" t="s">
        <v>55</v>
      </c>
      <c r="E215" t="s">
        <v>30</v>
      </c>
      <c r="F215" t="s">
        <v>37</v>
      </c>
      <c r="G215" s="1">
        <v>43526</v>
      </c>
      <c r="H215">
        <v>3.6</v>
      </c>
      <c r="I215">
        <v>6.1</v>
      </c>
      <c r="J215">
        <v>300000</v>
      </c>
      <c r="K215" t="s">
        <v>17</v>
      </c>
    </row>
    <row r="216" spans="1:11" x14ac:dyDescent="0.35">
      <c r="A216" t="s">
        <v>395</v>
      </c>
      <c r="B216" t="s">
        <v>246</v>
      </c>
      <c r="C216" t="s">
        <v>13</v>
      </c>
      <c r="D216" t="s">
        <v>14</v>
      </c>
      <c r="E216" t="s">
        <v>47</v>
      </c>
      <c r="F216" t="s">
        <v>105</v>
      </c>
      <c r="G216" s="1">
        <v>44367</v>
      </c>
      <c r="H216">
        <v>3</v>
      </c>
      <c r="I216">
        <v>3.8</v>
      </c>
      <c r="J216">
        <v>100000</v>
      </c>
      <c r="K216" t="s">
        <v>65</v>
      </c>
    </row>
    <row r="217" spans="1:11" x14ac:dyDescent="0.35">
      <c r="A217" t="s">
        <v>396</v>
      </c>
      <c r="B217" t="s">
        <v>397</v>
      </c>
      <c r="C217" t="s">
        <v>13</v>
      </c>
      <c r="D217" t="s">
        <v>26</v>
      </c>
      <c r="E217" t="s">
        <v>47</v>
      </c>
      <c r="F217" t="s">
        <v>213</v>
      </c>
      <c r="G217" s="1">
        <v>43920</v>
      </c>
      <c r="H217">
        <v>3.8</v>
      </c>
      <c r="I217">
        <v>5</v>
      </c>
      <c r="J217">
        <v>150000</v>
      </c>
      <c r="K217" t="s">
        <v>17</v>
      </c>
    </row>
    <row r="218" spans="1:11" x14ac:dyDescent="0.35">
      <c r="A218" t="s">
        <v>398</v>
      </c>
      <c r="B218" t="s">
        <v>265</v>
      </c>
      <c r="C218" t="s">
        <v>40</v>
      </c>
      <c r="D218" t="s">
        <v>26</v>
      </c>
      <c r="E218" t="s">
        <v>21</v>
      </c>
      <c r="F218" t="s">
        <v>51</v>
      </c>
      <c r="G218" s="1">
        <v>44651</v>
      </c>
      <c r="H218">
        <v>2.9</v>
      </c>
      <c r="I218">
        <v>3</v>
      </c>
      <c r="J218">
        <v>500000</v>
      </c>
      <c r="K218" t="s">
        <v>17</v>
      </c>
    </row>
    <row r="219" spans="1:11" x14ac:dyDescent="0.35">
      <c r="A219" t="s">
        <v>399</v>
      </c>
      <c r="B219" t="s">
        <v>327</v>
      </c>
      <c r="C219" t="s">
        <v>59</v>
      </c>
      <c r="D219" t="s">
        <v>44</v>
      </c>
      <c r="E219" t="s">
        <v>47</v>
      </c>
      <c r="F219" t="s">
        <v>213</v>
      </c>
      <c r="G219" s="1">
        <v>45063</v>
      </c>
      <c r="H219">
        <v>4.7</v>
      </c>
      <c r="I219">
        <v>1.9</v>
      </c>
      <c r="J219">
        <v>100000</v>
      </c>
      <c r="K219" t="s">
        <v>65</v>
      </c>
    </row>
    <row r="220" spans="1:11" x14ac:dyDescent="0.35">
      <c r="A220" t="s">
        <v>400</v>
      </c>
      <c r="B220" t="s">
        <v>267</v>
      </c>
      <c r="C220" t="s">
        <v>59</v>
      </c>
      <c r="D220" t="s">
        <v>26</v>
      </c>
      <c r="E220" t="s">
        <v>30</v>
      </c>
      <c r="F220" t="s">
        <v>137</v>
      </c>
      <c r="G220" s="1">
        <v>44823</v>
      </c>
      <c r="H220">
        <v>4.0999999999999996</v>
      </c>
      <c r="I220">
        <v>2.5</v>
      </c>
      <c r="J220">
        <v>50000</v>
      </c>
      <c r="K220" t="s">
        <v>17</v>
      </c>
    </row>
    <row r="221" spans="1:11" x14ac:dyDescent="0.35">
      <c r="A221" t="s">
        <v>401</v>
      </c>
      <c r="B221" t="s">
        <v>221</v>
      </c>
      <c r="C221" t="s">
        <v>36</v>
      </c>
      <c r="D221" t="s">
        <v>44</v>
      </c>
      <c r="E221" t="s">
        <v>15</v>
      </c>
      <c r="F221" t="s">
        <v>56</v>
      </c>
      <c r="G221" s="1">
        <v>44625</v>
      </c>
      <c r="H221">
        <v>3</v>
      </c>
      <c r="I221">
        <v>3.1</v>
      </c>
      <c r="J221">
        <v>100000</v>
      </c>
      <c r="K221" t="s">
        <v>17</v>
      </c>
    </row>
    <row r="222" spans="1:11" x14ac:dyDescent="0.35">
      <c r="A222" t="s">
        <v>402</v>
      </c>
      <c r="B222" t="s">
        <v>204</v>
      </c>
      <c r="C222" t="s">
        <v>28</v>
      </c>
      <c r="D222" t="s">
        <v>29</v>
      </c>
      <c r="E222" t="s">
        <v>30</v>
      </c>
      <c r="F222" t="s">
        <v>137</v>
      </c>
      <c r="G222" s="1">
        <v>44652</v>
      </c>
      <c r="H222">
        <v>2.8</v>
      </c>
      <c r="I222">
        <v>3</v>
      </c>
      <c r="J222">
        <v>200000</v>
      </c>
      <c r="K222" t="s">
        <v>17</v>
      </c>
    </row>
    <row r="223" spans="1:11" x14ac:dyDescent="0.35">
      <c r="A223" t="s">
        <v>403</v>
      </c>
      <c r="B223" t="s">
        <v>67</v>
      </c>
      <c r="C223" t="s">
        <v>54</v>
      </c>
      <c r="D223" t="s">
        <v>14</v>
      </c>
      <c r="E223" t="s">
        <v>21</v>
      </c>
      <c r="F223" t="s">
        <v>76</v>
      </c>
      <c r="G223" s="1">
        <v>45460</v>
      </c>
      <c r="H223">
        <v>3.1</v>
      </c>
      <c r="I223">
        <v>0.8</v>
      </c>
      <c r="J223">
        <v>150000</v>
      </c>
      <c r="K223" t="s">
        <v>17</v>
      </c>
    </row>
    <row r="224" spans="1:11" x14ac:dyDescent="0.35">
      <c r="A224" t="s">
        <v>404</v>
      </c>
      <c r="B224" t="s">
        <v>227</v>
      </c>
      <c r="C224" t="s">
        <v>40</v>
      </c>
      <c r="D224" t="s">
        <v>29</v>
      </c>
      <c r="E224" t="s">
        <v>21</v>
      </c>
      <c r="F224" t="s">
        <v>51</v>
      </c>
      <c r="G224" s="1">
        <v>43851</v>
      </c>
      <c r="H224">
        <v>4.4000000000000004</v>
      </c>
      <c r="I224">
        <v>5.2</v>
      </c>
      <c r="J224">
        <v>50000</v>
      </c>
      <c r="K224" t="s">
        <v>41</v>
      </c>
    </row>
    <row r="225" spans="1:11" x14ac:dyDescent="0.35">
      <c r="A225" t="s">
        <v>405</v>
      </c>
      <c r="B225" t="s">
        <v>352</v>
      </c>
      <c r="C225" t="s">
        <v>40</v>
      </c>
      <c r="D225" t="s">
        <v>14</v>
      </c>
      <c r="E225" t="s">
        <v>30</v>
      </c>
      <c r="F225" t="s">
        <v>37</v>
      </c>
      <c r="G225" s="1">
        <v>43555</v>
      </c>
      <c r="H225">
        <v>4.0999999999999996</v>
      </c>
      <c r="I225">
        <v>6</v>
      </c>
      <c r="J225">
        <v>300000</v>
      </c>
      <c r="K225" t="s">
        <v>17</v>
      </c>
    </row>
    <row r="226" spans="1:11" x14ac:dyDescent="0.35">
      <c r="A226" t="s">
        <v>406</v>
      </c>
      <c r="B226" t="s">
        <v>407</v>
      </c>
      <c r="C226" t="s">
        <v>73</v>
      </c>
      <c r="D226" t="s">
        <v>44</v>
      </c>
      <c r="E226" t="s">
        <v>47</v>
      </c>
      <c r="F226" t="s">
        <v>213</v>
      </c>
      <c r="G226" s="1">
        <v>43798</v>
      </c>
      <c r="H226">
        <v>4.0999999999999996</v>
      </c>
      <c r="I226">
        <v>5.3</v>
      </c>
      <c r="J226">
        <v>100000</v>
      </c>
      <c r="K226" t="s">
        <v>17</v>
      </c>
    </row>
    <row r="227" spans="1:11" x14ac:dyDescent="0.35">
      <c r="A227" t="s">
        <v>408</v>
      </c>
      <c r="B227" t="s">
        <v>409</v>
      </c>
      <c r="C227" t="s">
        <v>13</v>
      </c>
      <c r="D227" t="s">
        <v>14</v>
      </c>
      <c r="E227" t="s">
        <v>30</v>
      </c>
      <c r="F227" t="s">
        <v>37</v>
      </c>
      <c r="G227" s="1">
        <v>45142</v>
      </c>
      <c r="H227">
        <v>4.4000000000000004</v>
      </c>
      <c r="I227">
        <v>1.7</v>
      </c>
      <c r="J227">
        <v>100000</v>
      </c>
      <c r="K227" t="s">
        <v>17</v>
      </c>
    </row>
    <row r="228" spans="1:11" x14ac:dyDescent="0.35">
      <c r="A228" t="s">
        <v>410</v>
      </c>
      <c r="B228" t="s">
        <v>209</v>
      </c>
      <c r="C228" t="s">
        <v>20</v>
      </c>
      <c r="D228" t="s">
        <v>29</v>
      </c>
      <c r="E228" t="s">
        <v>21</v>
      </c>
      <c r="F228" t="s">
        <v>76</v>
      </c>
      <c r="G228" s="1">
        <v>44366</v>
      </c>
      <c r="H228">
        <v>3.6</v>
      </c>
      <c r="I228">
        <v>3.8</v>
      </c>
      <c r="J228">
        <v>200000</v>
      </c>
      <c r="K228" t="s">
        <v>41</v>
      </c>
    </row>
    <row r="229" spans="1:11" x14ac:dyDescent="0.35">
      <c r="A229" t="s">
        <v>411</v>
      </c>
      <c r="B229" t="s">
        <v>278</v>
      </c>
      <c r="C229" t="s">
        <v>28</v>
      </c>
      <c r="D229" t="s">
        <v>55</v>
      </c>
      <c r="E229" t="s">
        <v>21</v>
      </c>
      <c r="F229" t="s">
        <v>51</v>
      </c>
      <c r="G229" s="1">
        <v>44996</v>
      </c>
      <c r="I229">
        <v>2.1</v>
      </c>
      <c r="J229">
        <v>75000</v>
      </c>
      <c r="K229" t="s">
        <v>17</v>
      </c>
    </row>
    <row r="230" spans="1:11" x14ac:dyDescent="0.35">
      <c r="A230" t="s">
        <v>412</v>
      </c>
      <c r="B230" t="s">
        <v>172</v>
      </c>
      <c r="C230" t="s">
        <v>36</v>
      </c>
      <c r="D230" t="s">
        <v>29</v>
      </c>
      <c r="E230" t="s">
        <v>47</v>
      </c>
      <c r="F230" t="s">
        <v>48</v>
      </c>
      <c r="G230" s="1">
        <v>43935</v>
      </c>
      <c r="H230">
        <v>3.7</v>
      </c>
      <c r="I230">
        <v>5</v>
      </c>
      <c r="J230">
        <v>500000</v>
      </c>
      <c r="K230" t="s">
        <v>17</v>
      </c>
    </row>
    <row r="231" spans="1:11" x14ac:dyDescent="0.35">
      <c r="A231" t="s">
        <v>413</v>
      </c>
      <c r="B231" t="s">
        <v>239</v>
      </c>
      <c r="C231" t="s">
        <v>73</v>
      </c>
      <c r="D231" t="s">
        <v>26</v>
      </c>
      <c r="E231" t="s">
        <v>15</v>
      </c>
      <c r="F231" t="s">
        <v>56</v>
      </c>
      <c r="G231" s="1">
        <v>44708</v>
      </c>
      <c r="H231">
        <v>4.7</v>
      </c>
      <c r="I231">
        <v>2.8</v>
      </c>
      <c r="J231">
        <v>100000</v>
      </c>
      <c r="K231" t="s">
        <v>17</v>
      </c>
    </row>
    <row r="232" spans="1:11" x14ac:dyDescent="0.35">
      <c r="A232" t="s">
        <v>414</v>
      </c>
      <c r="B232" t="s">
        <v>347</v>
      </c>
      <c r="C232" t="s">
        <v>36</v>
      </c>
      <c r="D232" t="s">
        <v>29</v>
      </c>
      <c r="E232" t="s">
        <v>21</v>
      </c>
      <c r="F232" t="s">
        <v>22</v>
      </c>
      <c r="G232" s="1">
        <v>44045</v>
      </c>
      <c r="H232">
        <v>4.5999999999999996</v>
      </c>
      <c r="I232">
        <v>4.7</v>
      </c>
      <c r="J232">
        <v>750000</v>
      </c>
      <c r="K232" t="s">
        <v>65</v>
      </c>
    </row>
    <row r="233" spans="1:11" x14ac:dyDescent="0.35">
      <c r="A233" t="s">
        <v>415</v>
      </c>
      <c r="B233" t="s">
        <v>416</v>
      </c>
      <c r="C233" t="s">
        <v>25</v>
      </c>
      <c r="D233" t="s">
        <v>44</v>
      </c>
      <c r="E233" t="s">
        <v>30</v>
      </c>
      <c r="F233" t="s">
        <v>31</v>
      </c>
      <c r="G233" s="1">
        <v>43753</v>
      </c>
      <c r="H233">
        <v>4.5999999999999996</v>
      </c>
      <c r="I233">
        <v>5.5</v>
      </c>
      <c r="J233">
        <v>50000</v>
      </c>
      <c r="K233" t="s">
        <v>65</v>
      </c>
    </row>
    <row r="234" spans="1:11" x14ac:dyDescent="0.35">
      <c r="A234" t="s">
        <v>417</v>
      </c>
      <c r="B234" t="s">
        <v>418</v>
      </c>
      <c r="C234" t="s">
        <v>36</v>
      </c>
      <c r="D234" t="s">
        <v>55</v>
      </c>
      <c r="E234" t="s">
        <v>47</v>
      </c>
      <c r="F234" t="s">
        <v>70</v>
      </c>
      <c r="G234" s="1">
        <v>44001</v>
      </c>
      <c r="H234">
        <v>2.5</v>
      </c>
      <c r="I234">
        <v>4.8</v>
      </c>
      <c r="J234">
        <v>1000000</v>
      </c>
      <c r="K234" t="s">
        <v>41</v>
      </c>
    </row>
    <row r="235" spans="1:11" x14ac:dyDescent="0.35">
      <c r="A235" t="s">
        <v>419</v>
      </c>
      <c r="B235" t="s">
        <v>420</v>
      </c>
      <c r="C235" t="s">
        <v>13</v>
      </c>
      <c r="D235" t="s">
        <v>26</v>
      </c>
      <c r="E235" t="s">
        <v>15</v>
      </c>
      <c r="F235" t="s">
        <v>84</v>
      </c>
      <c r="G235" s="1">
        <v>44102</v>
      </c>
      <c r="H235">
        <v>3.9</v>
      </c>
      <c r="I235">
        <v>4.5</v>
      </c>
      <c r="J235">
        <v>75000</v>
      </c>
      <c r="K235" t="s">
        <v>17</v>
      </c>
    </row>
    <row r="236" spans="1:11" x14ac:dyDescent="0.35">
      <c r="A236" t="s">
        <v>421</v>
      </c>
      <c r="B236" t="s">
        <v>422</v>
      </c>
      <c r="C236" t="s">
        <v>36</v>
      </c>
      <c r="D236" t="s">
        <v>26</v>
      </c>
      <c r="E236" t="s">
        <v>30</v>
      </c>
      <c r="F236" t="s">
        <v>31</v>
      </c>
      <c r="G236" s="1">
        <v>45050</v>
      </c>
      <c r="H236">
        <v>3.3</v>
      </c>
      <c r="I236">
        <v>1.9</v>
      </c>
      <c r="J236">
        <v>1000000</v>
      </c>
      <c r="K236" t="s">
        <v>17</v>
      </c>
    </row>
    <row r="237" spans="1:11" x14ac:dyDescent="0.35">
      <c r="A237" t="s">
        <v>423</v>
      </c>
      <c r="B237" t="s">
        <v>204</v>
      </c>
      <c r="C237" t="s">
        <v>25</v>
      </c>
      <c r="D237" t="s">
        <v>29</v>
      </c>
      <c r="E237" t="s">
        <v>47</v>
      </c>
      <c r="F237" t="s">
        <v>70</v>
      </c>
      <c r="G237" s="1">
        <v>44361</v>
      </c>
      <c r="H237">
        <v>2.7</v>
      </c>
      <c r="I237">
        <v>3.8</v>
      </c>
      <c r="J237">
        <v>500000</v>
      </c>
      <c r="K237" t="s">
        <v>65</v>
      </c>
    </row>
    <row r="238" spans="1:11" x14ac:dyDescent="0.35">
      <c r="A238" t="s">
        <v>424</v>
      </c>
      <c r="B238" t="s">
        <v>217</v>
      </c>
      <c r="C238" t="s">
        <v>20</v>
      </c>
      <c r="D238" t="s">
        <v>55</v>
      </c>
      <c r="E238" t="s">
        <v>15</v>
      </c>
      <c r="F238" t="s">
        <v>84</v>
      </c>
      <c r="G238" s="1">
        <v>43836</v>
      </c>
      <c r="H238">
        <v>4.4000000000000004</v>
      </c>
      <c r="I238">
        <v>5.2</v>
      </c>
      <c r="J238">
        <v>100000</v>
      </c>
      <c r="K238" t="s">
        <v>41</v>
      </c>
    </row>
    <row r="239" spans="1:11" x14ac:dyDescent="0.35">
      <c r="A239" t="s">
        <v>425</v>
      </c>
      <c r="B239" t="s">
        <v>267</v>
      </c>
      <c r="C239" t="s">
        <v>28</v>
      </c>
      <c r="D239" t="s">
        <v>14</v>
      </c>
      <c r="E239" t="s">
        <v>47</v>
      </c>
      <c r="F239" t="s">
        <v>48</v>
      </c>
      <c r="G239" s="1">
        <v>45171</v>
      </c>
      <c r="H239">
        <v>3.2</v>
      </c>
      <c r="I239">
        <v>1.6</v>
      </c>
      <c r="J239">
        <v>150000</v>
      </c>
      <c r="K239" t="s">
        <v>17</v>
      </c>
    </row>
    <row r="240" spans="1:11" x14ac:dyDescent="0.35">
      <c r="A240" t="s">
        <v>426</v>
      </c>
      <c r="B240" t="s">
        <v>233</v>
      </c>
      <c r="C240" t="s">
        <v>79</v>
      </c>
      <c r="D240" t="s">
        <v>29</v>
      </c>
      <c r="E240" t="s">
        <v>30</v>
      </c>
      <c r="F240" t="s">
        <v>37</v>
      </c>
      <c r="G240" s="1">
        <v>44846</v>
      </c>
      <c r="H240">
        <v>4.5999999999999996</v>
      </c>
      <c r="I240">
        <v>2.5</v>
      </c>
      <c r="J240">
        <v>200000</v>
      </c>
      <c r="K240" t="s">
        <v>65</v>
      </c>
    </row>
    <row r="241" spans="1:11" x14ac:dyDescent="0.35">
      <c r="A241" t="s">
        <v>427</v>
      </c>
      <c r="B241" t="s">
        <v>79</v>
      </c>
      <c r="C241" t="s">
        <v>28</v>
      </c>
      <c r="D241" t="s">
        <v>26</v>
      </c>
      <c r="E241" t="s">
        <v>21</v>
      </c>
      <c r="F241" t="s">
        <v>96</v>
      </c>
      <c r="G241" s="1">
        <v>44689</v>
      </c>
      <c r="H241">
        <v>4.0999999999999996</v>
      </c>
      <c r="I241">
        <v>2.9</v>
      </c>
      <c r="J241">
        <v>750000</v>
      </c>
      <c r="K241" t="s">
        <v>17</v>
      </c>
    </row>
    <row r="242" spans="1:11" x14ac:dyDescent="0.35">
      <c r="A242" t="s">
        <v>428</v>
      </c>
      <c r="B242" t="s">
        <v>119</v>
      </c>
      <c r="C242" t="s">
        <v>40</v>
      </c>
      <c r="D242" t="s">
        <v>14</v>
      </c>
      <c r="E242" t="s">
        <v>47</v>
      </c>
      <c r="F242" t="s">
        <v>105</v>
      </c>
      <c r="G242" s="1">
        <v>45202</v>
      </c>
      <c r="H242">
        <v>5</v>
      </c>
      <c r="I242">
        <v>1.5</v>
      </c>
      <c r="J242">
        <v>100000</v>
      </c>
      <c r="K242" t="s">
        <v>41</v>
      </c>
    </row>
    <row r="243" spans="1:11" x14ac:dyDescent="0.35">
      <c r="A243" t="s">
        <v>429</v>
      </c>
      <c r="B243" t="s">
        <v>430</v>
      </c>
      <c r="C243" t="s">
        <v>54</v>
      </c>
      <c r="D243" t="s">
        <v>26</v>
      </c>
      <c r="E243" t="s">
        <v>21</v>
      </c>
      <c r="F243" t="s">
        <v>76</v>
      </c>
      <c r="G243" s="1">
        <v>43977</v>
      </c>
      <c r="H243">
        <v>3.4</v>
      </c>
      <c r="I243">
        <v>4.8</v>
      </c>
      <c r="J243">
        <v>75000</v>
      </c>
      <c r="K243" t="s">
        <v>41</v>
      </c>
    </row>
    <row r="244" spans="1:11" x14ac:dyDescent="0.35">
      <c r="A244" t="s">
        <v>431</v>
      </c>
      <c r="B244" t="s">
        <v>315</v>
      </c>
      <c r="C244" t="s">
        <v>79</v>
      </c>
      <c r="D244" t="s">
        <v>29</v>
      </c>
      <c r="E244" t="s">
        <v>47</v>
      </c>
      <c r="F244" t="s">
        <v>70</v>
      </c>
      <c r="G244" s="1">
        <v>44260</v>
      </c>
      <c r="H244">
        <v>3.9</v>
      </c>
      <c r="I244">
        <v>4.0999999999999996</v>
      </c>
      <c r="J244">
        <v>200000</v>
      </c>
      <c r="K244" t="s">
        <v>17</v>
      </c>
    </row>
    <row r="245" spans="1:11" x14ac:dyDescent="0.35">
      <c r="A245" t="s">
        <v>432</v>
      </c>
      <c r="B245" t="s">
        <v>172</v>
      </c>
      <c r="C245" t="s">
        <v>28</v>
      </c>
      <c r="D245" t="s">
        <v>26</v>
      </c>
      <c r="E245" t="s">
        <v>15</v>
      </c>
      <c r="F245" t="s">
        <v>16</v>
      </c>
      <c r="G245" s="1">
        <v>43803</v>
      </c>
      <c r="H245">
        <v>4.8</v>
      </c>
      <c r="I245">
        <v>5.3</v>
      </c>
      <c r="J245">
        <v>150000</v>
      </c>
      <c r="K245" t="s">
        <v>17</v>
      </c>
    </row>
    <row r="246" spans="1:11" x14ac:dyDescent="0.35">
      <c r="A246" t="s">
        <v>433</v>
      </c>
      <c r="B246" t="s">
        <v>272</v>
      </c>
      <c r="C246" t="s">
        <v>40</v>
      </c>
      <c r="D246" t="s">
        <v>26</v>
      </c>
      <c r="E246" t="s">
        <v>15</v>
      </c>
      <c r="F246" t="s">
        <v>56</v>
      </c>
      <c r="G246" s="1">
        <v>43940</v>
      </c>
      <c r="H246">
        <v>3.4</v>
      </c>
      <c r="I246">
        <v>4.9000000000000004</v>
      </c>
      <c r="J246">
        <v>50000</v>
      </c>
      <c r="K246" t="s">
        <v>17</v>
      </c>
    </row>
    <row r="247" spans="1:11" x14ac:dyDescent="0.35">
      <c r="A247" t="s">
        <v>434</v>
      </c>
      <c r="B247" t="s">
        <v>435</v>
      </c>
      <c r="C247" t="s">
        <v>36</v>
      </c>
      <c r="D247" t="s">
        <v>44</v>
      </c>
      <c r="E247" t="s">
        <v>47</v>
      </c>
      <c r="F247" t="s">
        <v>105</v>
      </c>
      <c r="G247" s="1">
        <v>43860</v>
      </c>
      <c r="H247">
        <v>3</v>
      </c>
      <c r="I247">
        <v>5.2</v>
      </c>
      <c r="J247">
        <v>50000</v>
      </c>
      <c r="K247" t="s">
        <v>17</v>
      </c>
    </row>
    <row r="248" spans="1:11" x14ac:dyDescent="0.35">
      <c r="A248" t="s">
        <v>436</v>
      </c>
      <c r="B248" t="s">
        <v>391</v>
      </c>
      <c r="C248" t="s">
        <v>54</v>
      </c>
      <c r="D248" t="s">
        <v>26</v>
      </c>
      <c r="E248" t="s">
        <v>21</v>
      </c>
      <c r="F248" t="s">
        <v>96</v>
      </c>
      <c r="G248" s="1">
        <v>45351</v>
      </c>
      <c r="H248">
        <v>2.8</v>
      </c>
      <c r="I248">
        <v>1.1000000000000001</v>
      </c>
      <c r="J248">
        <v>100000</v>
      </c>
      <c r="K248" t="s">
        <v>17</v>
      </c>
    </row>
    <row r="249" spans="1:11" x14ac:dyDescent="0.35">
      <c r="A249" t="s">
        <v>437</v>
      </c>
      <c r="B249" t="s">
        <v>438</v>
      </c>
      <c r="C249" t="s">
        <v>40</v>
      </c>
      <c r="D249" t="s">
        <v>26</v>
      </c>
      <c r="E249" t="s">
        <v>30</v>
      </c>
      <c r="F249" t="s">
        <v>137</v>
      </c>
      <c r="G249" s="1">
        <v>44633</v>
      </c>
      <c r="H249">
        <v>3.4</v>
      </c>
      <c r="I249">
        <v>3</v>
      </c>
      <c r="J249">
        <v>200000</v>
      </c>
      <c r="K249" t="s">
        <v>17</v>
      </c>
    </row>
    <row r="250" spans="1:11" x14ac:dyDescent="0.35">
      <c r="A250" t="s">
        <v>439</v>
      </c>
      <c r="B250" t="s">
        <v>136</v>
      </c>
      <c r="C250" t="s">
        <v>25</v>
      </c>
      <c r="D250" t="s">
        <v>14</v>
      </c>
      <c r="E250" t="s">
        <v>21</v>
      </c>
      <c r="F250" t="s">
        <v>96</v>
      </c>
      <c r="G250" s="1">
        <v>45284</v>
      </c>
      <c r="H250">
        <v>2.8</v>
      </c>
      <c r="I250">
        <v>1.3</v>
      </c>
      <c r="J250">
        <v>750000</v>
      </c>
      <c r="K250" t="s">
        <v>17</v>
      </c>
    </row>
    <row r="251" spans="1:11" x14ac:dyDescent="0.35">
      <c r="A251" t="s">
        <v>440</v>
      </c>
      <c r="B251" t="s">
        <v>441</v>
      </c>
      <c r="C251" t="s">
        <v>59</v>
      </c>
      <c r="D251" t="s">
        <v>14</v>
      </c>
      <c r="E251" t="s">
        <v>15</v>
      </c>
      <c r="F251" t="s">
        <v>56</v>
      </c>
      <c r="G251" s="1">
        <v>44071</v>
      </c>
      <c r="H251">
        <v>4.5</v>
      </c>
      <c r="I251">
        <v>4.5999999999999996</v>
      </c>
      <c r="J251">
        <v>150000</v>
      </c>
      <c r="K251" t="s">
        <v>17</v>
      </c>
    </row>
    <row r="252" spans="1:11" x14ac:dyDescent="0.35">
      <c r="A252" t="s">
        <v>442</v>
      </c>
      <c r="B252" t="s">
        <v>443</v>
      </c>
      <c r="C252" t="s">
        <v>54</v>
      </c>
      <c r="D252" t="s">
        <v>55</v>
      </c>
      <c r="E252" t="s">
        <v>21</v>
      </c>
      <c r="F252" t="s">
        <v>76</v>
      </c>
      <c r="G252" s="1">
        <v>45180</v>
      </c>
      <c r="H252">
        <v>2.7</v>
      </c>
      <c r="I252">
        <v>1.6</v>
      </c>
      <c r="J252">
        <v>75000</v>
      </c>
      <c r="K252" t="s">
        <v>17</v>
      </c>
    </row>
    <row r="253" spans="1:11" x14ac:dyDescent="0.35">
      <c r="A253" t="s">
        <v>444</v>
      </c>
      <c r="B253" t="s">
        <v>445</v>
      </c>
      <c r="C253" t="s">
        <v>54</v>
      </c>
      <c r="D253" t="s">
        <v>29</v>
      </c>
      <c r="E253" t="s">
        <v>15</v>
      </c>
      <c r="F253" t="s">
        <v>64</v>
      </c>
      <c r="G253" s="1">
        <v>44661</v>
      </c>
      <c r="H253">
        <v>3.8</v>
      </c>
      <c r="I253">
        <v>3</v>
      </c>
      <c r="J253">
        <v>500000</v>
      </c>
      <c r="K253" t="s">
        <v>17</v>
      </c>
    </row>
    <row r="254" spans="1:11" x14ac:dyDescent="0.35">
      <c r="A254" t="s">
        <v>446</v>
      </c>
      <c r="B254" t="s">
        <v>181</v>
      </c>
      <c r="C254" t="s">
        <v>59</v>
      </c>
      <c r="D254" t="s">
        <v>29</v>
      </c>
      <c r="E254" t="s">
        <v>21</v>
      </c>
      <c r="F254" t="s">
        <v>76</v>
      </c>
      <c r="G254" s="1">
        <v>45394</v>
      </c>
      <c r="H254">
        <v>3.2</v>
      </c>
      <c r="I254">
        <v>1</v>
      </c>
      <c r="J254">
        <v>200000</v>
      </c>
      <c r="K254" t="s">
        <v>41</v>
      </c>
    </row>
    <row r="255" spans="1:11" x14ac:dyDescent="0.35">
      <c r="A255" t="s">
        <v>447</v>
      </c>
      <c r="B255" t="s">
        <v>69</v>
      </c>
      <c r="C255" t="s">
        <v>73</v>
      </c>
      <c r="D255" t="s">
        <v>14</v>
      </c>
      <c r="E255" t="s">
        <v>15</v>
      </c>
      <c r="F255" t="s">
        <v>84</v>
      </c>
      <c r="G255" s="1">
        <v>43713</v>
      </c>
      <c r="H255">
        <v>3.5</v>
      </c>
      <c r="I255">
        <v>5.6</v>
      </c>
      <c r="J255">
        <v>750000</v>
      </c>
      <c r="K255" t="s">
        <v>41</v>
      </c>
    </row>
    <row r="256" spans="1:11" x14ac:dyDescent="0.35">
      <c r="A256" t="s">
        <v>448</v>
      </c>
      <c r="B256" t="s">
        <v>278</v>
      </c>
      <c r="C256" t="s">
        <v>40</v>
      </c>
      <c r="D256" t="s">
        <v>44</v>
      </c>
      <c r="E256" t="s">
        <v>15</v>
      </c>
      <c r="F256" t="s">
        <v>56</v>
      </c>
      <c r="G256" s="1">
        <v>43944</v>
      </c>
      <c r="H256">
        <v>3.5</v>
      </c>
      <c r="I256">
        <v>4.9000000000000004</v>
      </c>
      <c r="J256">
        <v>300000</v>
      </c>
      <c r="K256" t="s">
        <v>41</v>
      </c>
    </row>
    <row r="257" spans="1:11" x14ac:dyDescent="0.35">
      <c r="A257" t="s">
        <v>449</v>
      </c>
      <c r="B257" t="s">
        <v>369</v>
      </c>
      <c r="C257" t="s">
        <v>54</v>
      </c>
      <c r="D257" t="s">
        <v>29</v>
      </c>
      <c r="E257" t="s">
        <v>47</v>
      </c>
      <c r="F257" t="s">
        <v>213</v>
      </c>
      <c r="G257" s="1">
        <v>43557</v>
      </c>
      <c r="H257">
        <v>2.8</v>
      </c>
      <c r="I257">
        <v>6</v>
      </c>
      <c r="J257">
        <v>300000</v>
      </c>
      <c r="K257" t="s">
        <v>17</v>
      </c>
    </row>
    <row r="258" spans="1:11" x14ac:dyDescent="0.35">
      <c r="A258" t="s">
        <v>450</v>
      </c>
      <c r="B258" t="s">
        <v>195</v>
      </c>
      <c r="C258" t="s">
        <v>59</v>
      </c>
      <c r="D258" t="s">
        <v>44</v>
      </c>
      <c r="E258" t="s">
        <v>21</v>
      </c>
      <c r="F258" t="s">
        <v>76</v>
      </c>
      <c r="G258" s="1">
        <v>45116</v>
      </c>
      <c r="H258">
        <v>2.6</v>
      </c>
      <c r="I258">
        <v>1.7</v>
      </c>
      <c r="J258">
        <v>500000</v>
      </c>
      <c r="K258" t="s">
        <v>65</v>
      </c>
    </row>
    <row r="259" spans="1:11" x14ac:dyDescent="0.35">
      <c r="A259" t="s">
        <v>451</v>
      </c>
      <c r="B259" t="s">
        <v>452</v>
      </c>
      <c r="C259" t="s">
        <v>25</v>
      </c>
      <c r="D259" t="s">
        <v>14</v>
      </c>
      <c r="E259" t="s">
        <v>47</v>
      </c>
      <c r="F259" t="s">
        <v>48</v>
      </c>
      <c r="G259" s="1">
        <v>44821</v>
      </c>
      <c r="H259">
        <v>3.7</v>
      </c>
      <c r="I259">
        <v>2.5</v>
      </c>
      <c r="J259">
        <v>500000</v>
      </c>
      <c r="K259" t="s">
        <v>17</v>
      </c>
    </row>
    <row r="260" spans="1:11" x14ac:dyDescent="0.35">
      <c r="A260" t="s">
        <v>453</v>
      </c>
      <c r="B260" t="s">
        <v>306</v>
      </c>
      <c r="C260" t="s">
        <v>28</v>
      </c>
      <c r="D260" t="s">
        <v>26</v>
      </c>
      <c r="E260" t="s">
        <v>30</v>
      </c>
      <c r="F260" t="s">
        <v>102</v>
      </c>
      <c r="G260" s="1">
        <v>45241</v>
      </c>
      <c r="H260">
        <v>2.6</v>
      </c>
      <c r="I260">
        <v>1.4</v>
      </c>
      <c r="J260">
        <v>500000</v>
      </c>
      <c r="K260" t="s">
        <v>17</v>
      </c>
    </row>
    <row r="261" spans="1:11" x14ac:dyDescent="0.35">
      <c r="A261" t="s">
        <v>454</v>
      </c>
      <c r="B261" t="s">
        <v>438</v>
      </c>
      <c r="C261" t="s">
        <v>40</v>
      </c>
      <c r="D261" t="s">
        <v>29</v>
      </c>
      <c r="E261" t="s">
        <v>47</v>
      </c>
      <c r="F261" t="s">
        <v>105</v>
      </c>
      <c r="G261" s="1">
        <v>44141</v>
      </c>
      <c r="H261">
        <v>3.7</v>
      </c>
      <c r="I261">
        <v>4.4000000000000004</v>
      </c>
      <c r="J261">
        <v>500000</v>
      </c>
      <c r="K261" t="s">
        <v>41</v>
      </c>
    </row>
    <row r="262" spans="1:11" x14ac:dyDescent="0.35">
      <c r="A262" t="s">
        <v>455</v>
      </c>
      <c r="B262" t="s">
        <v>420</v>
      </c>
      <c r="C262" t="s">
        <v>20</v>
      </c>
      <c r="D262" t="s">
        <v>55</v>
      </c>
      <c r="E262" t="s">
        <v>47</v>
      </c>
      <c r="F262" t="s">
        <v>79</v>
      </c>
      <c r="G262" s="1">
        <v>44381</v>
      </c>
      <c r="H262">
        <v>5</v>
      </c>
      <c r="I262">
        <v>3.7</v>
      </c>
      <c r="J262">
        <v>50000</v>
      </c>
      <c r="K262" t="s">
        <v>17</v>
      </c>
    </row>
    <row r="263" spans="1:11" x14ac:dyDescent="0.35">
      <c r="A263" t="s">
        <v>456</v>
      </c>
      <c r="B263" t="s">
        <v>61</v>
      </c>
      <c r="C263" t="s">
        <v>13</v>
      </c>
      <c r="D263" t="s">
        <v>55</v>
      </c>
      <c r="E263" t="s">
        <v>47</v>
      </c>
      <c r="F263" t="s">
        <v>105</v>
      </c>
      <c r="G263" s="1">
        <v>43714</v>
      </c>
      <c r="I263">
        <v>5.6</v>
      </c>
      <c r="J263">
        <v>150000</v>
      </c>
      <c r="K263" t="s">
        <v>17</v>
      </c>
    </row>
    <row r="264" spans="1:11" x14ac:dyDescent="0.35">
      <c r="A264" t="s">
        <v>457</v>
      </c>
      <c r="B264" t="s">
        <v>215</v>
      </c>
      <c r="C264" t="s">
        <v>59</v>
      </c>
      <c r="D264" t="s">
        <v>44</v>
      </c>
      <c r="E264" t="s">
        <v>21</v>
      </c>
      <c r="F264" t="s">
        <v>51</v>
      </c>
      <c r="G264" s="1">
        <v>43747</v>
      </c>
      <c r="H264">
        <v>4.4000000000000004</v>
      </c>
      <c r="I264">
        <v>5.5</v>
      </c>
      <c r="J264">
        <v>150000</v>
      </c>
      <c r="K264" t="s">
        <v>17</v>
      </c>
    </row>
    <row r="265" spans="1:11" x14ac:dyDescent="0.35">
      <c r="A265" t="s">
        <v>458</v>
      </c>
      <c r="B265" t="s">
        <v>322</v>
      </c>
      <c r="C265" t="s">
        <v>13</v>
      </c>
      <c r="D265" t="s">
        <v>55</v>
      </c>
      <c r="E265" t="s">
        <v>47</v>
      </c>
      <c r="F265" t="s">
        <v>213</v>
      </c>
      <c r="G265" s="1">
        <v>45201</v>
      </c>
      <c r="H265">
        <v>3.2</v>
      </c>
      <c r="I265">
        <v>1.5</v>
      </c>
      <c r="J265">
        <v>50000</v>
      </c>
      <c r="K265" t="s">
        <v>41</v>
      </c>
    </row>
    <row r="266" spans="1:11" x14ac:dyDescent="0.35">
      <c r="A266" t="s">
        <v>459</v>
      </c>
      <c r="B266" t="s">
        <v>69</v>
      </c>
      <c r="C266" t="s">
        <v>25</v>
      </c>
      <c r="D266" t="s">
        <v>29</v>
      </c>
      <c r="E266" t="s">
        <v>15</v>
      </c>
      <c r="F266" t="s">
        <v>56</v>
      </c>
      <c r="G266" s="1">
        <v>44097</v>
      </c>
      <c r="H266">
        <v>4.5999999999999996</v>
      </c>
      <c r="I266">
        <v>4.5</v>
      </c>
      <c r="J266">
        <v>75000</v>
      </c>
      <c r="K266" t="s">
        <v>17</v>
      </c>
    </row>
    <row r="267" spans="1:11" x14ac:dyDescent="0.35">
      <c r="A267" t="s">
        <v>460</v>
      </c>
      <c r="B267" t="s">
        <v>223</v>
      </c>
      <c r="C267" t="s">
        <v>28</v>
      </c>
      <c r="D267" t="s">
        <v>29</v>
      </c>
      <c r="E267" t="s">
        <v>21</v>
      </c>
      <c r="F267" t="s">
        <v>51</v>
      </c>
      <c r="G267" s="1">
        <v>44040</v>
      </c>
      <c r="H267">
        <v>4.5999999999999996</v>
      </c>
      <c r="I267">
        <v>4.7</v>
      </c>
      <c r="J267">
        <v>75000</v>
      </c>
      <c r="K267" t="s">
        <v>65</v>
      </c>
    </row>
    <row r="268" spans="1:11" x14ac:dyDescent="0.35">
      <c r="A268" t="s">
        <v>461</v>
      </c>
      <c r="B268" t="s">
        <v>197</v>
      </c>
      <c r="C268" t="s">
        <v>54</v>
      </c>
      <c r="D268" t="s">
        <v>29</v>
      </c>
      <c r="E268" t="s">
        <v>15</v>
      </c>
      <c r="F268" t="s">
        <v>16</v>
      </c>
      <c r="G268" s="1">
        <v>43852</v>
      </c>
      <c r="H268">
        <v>4.3</v>
      </c>
      <c r="I268">
        <v>5.2</v>
      </c>
      <c r="J268">
        <v>75000</v>
      </c>
      <c r="K268" t="s">
        <v>17</v>
      </c>
    </row>
    <row r="269" spans="1:11" x14ac:dyDescent="0.35">
      <c r="A269" t="s">
        <v>462</v>
      </c>
      <c r="B269" t="s">
        <v>463</v>
      </c>
      <c r="C269" t="s">
        <v>40</v>
      </c>
      <c r="D269" t="s">
        <v>14</v>
      </c>
      <c r="E269" t="s">
        <v>21</v>
      </c>
      <c r="F269" t="s">
        <v>96</v>
      </c>
      <c r="G269" s="1">
        <v>45111</v>
      </c>
      <c r="H269">
        <v>2.8</v>
      </c>
      <c r="I269">
        <v>1.7</v>
      </c>
      <c r="J269">
        <v>75000</v>
      </c>
      <c r="K269" t="s">
        <v>17</v>
      </c>
    </row>
    <row r="270" spans="1:11" x14ac:dyDescent="0.35">
      <c r="A270" t="s">
        <v>464</v>
      </c>
      <c r="B270" t="s">
        <v>79</v>
      </c>
      <c r="C270" t="s">
        <v>73</v>
      </c>
      <c r="D270" t="s">
        <v>44</v>
      </c>
      <c r="E270" t="s">
        <v>21</v>
      </c>
      <c r="F270" t="s">
        <v>96</v>
      </c>
      <c r="G270" s="1">
        <v>44687</v>
      </c>
      <c r="H270">
        <v>3.1</v>
      </c>
      <c r="I270">
        <v>2.9</v>
      </c>
      <c r="J270">
        <v>500000</v>
      </c>
      <c r="K270" t="s">
        <v>17</v>
      </c>
    </row>
    <row r="271" spans="1:11" x14ac:dyDescent="0.35">
      <c r="A271" t="s">
        <v>465</v>
      </c>
      <c r="B271" t="s">
        <v>317</v>
      </c>
      <c r="C271" t="s">
        <v>54</v>
      </c>
      <c r="D271" t="s">
        <v>14</v>
      </c>
      <c r="E271" t="s">
        <v>21</v>
      </c>
      <c r="F271" t="s">
        <v>96</v>
      </c>
      <c r="G271" s="1">
        <v>44717</v>
      </c>
      <c r="H271">
        <v>2.8</v>
      </c>
      <c r="I271">
        <v>2.8</v>
      </c>
      <c r="J271">
        <v>300000</v>
      </c>
      <c r="K271" t="s">
        <v>41</v>
      </c>
    </row>
    <row r="272" spans="1:11" x14ac:dyDescent="0.35">
      <c r="A272" t="s">
        <v>466</v>
      </c>
      <c r="B272" t="s">
        <v>24</v>
      </c>
      <c r="C272" t="s">
        <v>13</v>
      </c>
      <c r="D272" t="s">
        <v>44</v>
      </c>
      <c r="E272" t="s">
        <v>21</v>
      </c>
      <c r="F272" t="s">
        <v>22</v>
      </c>
      <c r="G272" s="1">
        <v>43954</v>
      </c>
      <c r="H272">
        <v>3</v>
      </c>
      <c r="I272">
        <v>4.9000000000000004</v>
      </c>
      <c r="J272">
        <v>100000</v>
      </c>
      <c r="K272" t="s">
        <v>17</v>
      </c>
    </row>
    <row r="273" spans="1:11" x14ac:dyDescent="0.35">
      <c r="A273" t="s">
        <v>467</v>
      </c>
      <c r="B273" t="s">
        <v>468</v>
      </c>
      <c r="C273" t="s">
        <v>151</v>
      </c>
      <c r="D273" t="s">
        <v>14</v>
      </c>
      <c r="E273" t="s">
        <v>30</v>
      </c>
      <c r="F273" t="s">
        <v>102</v>
      </c>
      <c r="G273" s="1">
        <v>44956</v>
      </c>
      <c r="H273">
        <v>4.5999999999999996</v>
      </c>
      <c r="I273">
        <v>2.2000000000000002</v>
      </c>
      <c r="J273">
        <v>50000</v>
      </c>
      <c r="K273" t="s">
        <v>65</v>
      </c>
    </row>
    <row r="274" spans="1:11" x14ac:dyDescent="0.35">
      <c r="A274" t="s">
        <v>469</v>
      </c>
      <c r="B274" t="s">
        <v>195</v>
      </c>
      <c r="C274" t="s">
        <v>25</v>
      </c>
      <c r="D274" t="s">
        <v>26</v>
      </c>
      <c r="E274" t="s">
        <v>21</v>
      </c>
      <c r="F274" t="s">
        <v>22</v>
      </c>
      <c r="G274" s="1">
        <v>43979</v>
      </c>
      <c r="H274">
        <v>4.3</v>
      </c>
      <c r="I274">
        <v>4.8</v>
      </c>
      <c r="J274">
        <v>750000</v>
      </c>
      <c r="K274" t="s">
        <v>65</v>
      </c>
    </row>
    <row r="275" spans="1:11" x14ac:dyDescent="0.35">
      <c r="A275" t="s">
        <v>470</v>
      </c>
      <c r="B275" t="s">
        <v>153</v>
      </c>
      <c r="C275" t="s">
        <v>54</v>
      </c>
      <c r="D275" t="s">
        <v>26</v>
      </c>
      <c r="E275" t="s">
        <v>21</v>
      </c>
      <c r="F275" t="s">
        <v>51</v>
      </c>
      <c r="G275" s="1">
        <v>45009</v>
      </c>
      <c r="H275">
        <v>4.7</v>
      </c>
      <c r="I275">
        <v>2</v>
      </c>
      <c r="J275">
        <v>500000</v>
      </c>
      <c r="K275" t="s">
        <v>17</v>
      </c>
    </row>
    <row r="276" spans="1:11" x14ac:dyDescent="0.35">
      <c r="A276" t="s">
        <v>471</v>
      </c>
      <c r="B276" t="s">
        <v>111</v>
      </c>
      <c r="C276" t="s">
        <v>13</v>
      </c>
      <c r="D276" t="s">
        <v>55</v>
      </c>
      <c r="E276" t="s">
        <v>30</v>
      </c>
      <c r="F276" t="s">
        <v>37</v>
      </c>
      <c r="G276" s="1">
        <v>44549</v>
      </c>
      <c r="H276">
        <v>3.9</v>
      </c>
      <c r="I276">
        <v>3.3</v>
      </c>
      <c r="J276">
        <v>50000</v>
      </c>
      <c r="K276" t="s">
        <v>17</v>
      </c>
    </row>
    <row r="277" spans="1:11" x14ac:dyDescent="0.35">
      <c r="A277" t="s">
        <v>472</v>
      </c>
      <c r="B277" t="s">
        <v>251</v>
      </c>
      <c r="C277" t="s">
        <v>54</v>
      </c>
      <c r="D277" t="s">
        <v>55</v>
      </c>
      <c r="E277" t="s">
        <v>47</v>
      </c>
      <c r="F277" t="s">
        <v>70</v>
      </c>
      <c r="G277" s="1">
        <v>43504</v>
      </c>
      <c r="H277">
        <v>4.5999999999999996</v>
      </c>
      <c r="I277">
        <v>6.1</v>
      </c>
      <c r="J277">
        <v>1000000</v>
      </c>
      <c r="K277" t="s">
        <v>65</v>
      </c>
    </row>
    <row r="278" spans="1:11" x14ac:dyDescent="0.35">
      <c r="A278" t="s">
        <v>473</v>
      </c>
      <c r="B278" t="s">
        <v>75</v>
      </c>
      <c r="C278" t="s">
        <v>13</v>
      </c>
      <c r="D278" t="s">
        <v>44</v>
      </c>
      <c r="E278" t="s">
        <v>21</v>
      </c>
      <c r="F278" t="s">
        <v>96</v>
      </c>
      <c r="G278" s="1">
        <v>44517</v>
      </c>
      <c r="I278">
        <v>3.4</v>
      </c>
      <c r="J278">
        <v>200000</v>
      </c>
      <c r="K278" t="s">
        <v>17</v>
      </c>
    </row>
    <row r="279" spans="1:11" x14ac:dyDescent="0.35">
      <c r="A279" t="s">
        <v>474</v>
      </c>
      <c r="B279" t="s">
        <v>81</v>
      </c>
      <c r="C279" t="s">
        <v>79</v>
      </c>
      <c r="D279" t="s">
        <v>14</v>
      </c>
      <c r="E279" t="s">
        <v>30</v>
      </c>
      <c r="F279" t="s">
        <v>102</v>
      </c>
      <c r="G279" s="1">
        <v>44966</v>
      </c>
      <c r="H279">
        <v>4.4000000000000004</v>
      </c>
      <c r="I279">
        <v>2.1</v>
      </c>
      <c r="J279">
        <v>150000</v>
      </c>
      <c r="K279" t="s">
        <v>17</v>
      </c>
    </row>
    <row r="280" spans="1:11" x14ac:dyDescent="0.35">
      <c r="A280" t="s">
        <v>475</v>
      </c>
      <c r="B280" t="s">
        <v>189</v>
      </c>
      <c r="C280" t="s">
        <v>54</v>
      </c>
      <c r="D280" t="s">
        <v>55</v>
      </c>
      <c r="E280" t="s">
        <v>30</v>
      </c>
      <c r="F280" t="s">
        <v>37</v>
      </c>
      <c r="G280" s="1">
        <v>44920</v>
      </c>
      <c r="H280">
        <v>3.7</v>
      </c>
      <c r="I280">
        <v>2.2999999999999998</v>
      </c>
      <c r="J280">
        <v>75000</v>
      </c>
      <c r="K280" t="s">
        <v>17</v>
      </c>
    </row>
    <row r="281" spans="1:11" x14ac:dyDescent="0.35">
      <c r="A281" t="s">
        <v>476</v>
      </c>
      <c r="B281" t="s">
        <v>248</v>
      </c>
      <c r="C281" t="s">
        <v>36</v>
      </c>
      <c r="D281" t="s">
        <v>29</v>
      </c>
      <c r="E281" t="s">
        <v>30</v>
      </c>
      <c r="F281" t="s">
        <v>137</v>
      </c>
      <c r="G281" s="1">
        <v>44655</v>
      </c>
      <c r="H281">
        <v>2.8</v>
      </c>
      <c r="I281">
        <v>3</v>
      </c>
      <c r="J281">
        <v>500000</v>
      </c>
      <c r="K281" t="s">
        <v>17</v>
      </c>
    </row>
    <row r="282" spans="1:11" x14ac:dyDescent="0.35">
      <c r="A282" t="s">
        <v>477</v>
      </c>
      <c r="B282" t="s">
        <v>478</v>
      </c>
      <c r="C282" t="s">
        <v>20</v>
      </c>
      <c r="D282" t="s">
        <v>26</v>
      </c>
      <c r="E282" t="s">
        <v>30</v>
      </c>
      <c r="F282" t="s">
        <v>31</v>
      </c>
      <c r="G282" s="1">
        <v>43625</v>
      </c>
      <c r="H282">
        <v>2.8</v>
      </c>
      <c r="I282">
        <v>5.8</v>
      </c>
      <c r="J282">
        <v>1000000</v>
      </c>
      <c r="K282" t="s">
        <v>65</v>
      </c>
    </row>
    <row r="283" spans="1:11" x14ac:dyDescent="0.35">
      <c r="A283" t="s">
        <v>479</v>
      </c>
      <c r="B283" t="s">
        <v>61</v>
      </c>
      <c r="C283" t="s">
        <v>54</v>
      </c>
      <c r="D283" t="s">
        <v>55</v>
      </c>
      <c r="E283" t="s">
        <v>30</v>
      </c>
      <c r="F283" t="s">
        <v>137</v>
      </c>
      <c r="G283" s="1">
        <v>43656</v>
      </c>
      <c r="H283">
        <v>3.5</v>
      </c>
      <c r="I283">
        <v>5.7</v>
      </c>
      <c r="J283">
        <v>150000</v>
      </c>
      <c r="K283" t="s">
        <v>17</v>
      </c>
    </row>
    <row r="284" spans="1:11" x14ac:dyDescent="0.35">
      <c r="A284" t="s">
        <v>480</v>
      </c>
      <c r="B284" t="s">
        <v>129</v>
      </c>
      <c r="C284" t="s">
        <v>25</v>
      </c>
      <c r="D284" t="s">
        <v>26</v>
      </c>
      <c r="E284" t="s">
        <v>21</v>
      </c>
      <c r="F284" t="s">
        <v>22</v>
      </c>
      <c r="G284" s="1">
        <v>44307</v>
      </c>
      <c r="H284">
        <v>4.2</v>
      </c>
      <c r="I284">
        <v>3.9</v>
      </c>
      <c r="J284">
        <v>500000</v>
      </c>
      <c r="K284" t="s">
        <v>65</v>
      </c>
    </row>
    <row r="285" spans="1:11" x14ac:dyDescent="0.35">
      <c r="A285" t="s">
        <v>481</v>
      </c>
      <c r="B285" t="s">
        <v>115</v>
      </c>
      <c r="C285" t="s">
        <v>79</v>
      </c>
      <c r="D285" t="s">
        <v>44</v>
      </c>
      <c r="E285" t="s">
        <v>15</v>
      </c>
      <c r="F285" t="s">
        <v>84</v>
      </c>
      <c r="G285" s="1">
        <v>44974</v>
      </c>
      <c r="H285">
        <v>4.4000000000000004</v>
      </c>
      <c r="I285">
        <v>2.1</v>
      </c>
      <c r="J285">
        <v>1000000</v>
      </c>
      <c r="K285" t="s">
        <v>17</v>
      </c>
    </row>
    <row r="286" spans="1:11" x14ac:dyDescent="0.35">
      <c r="A286" t="s">
        <v>482</v>
      </c>
      <c r="B286" t="s">
        <v>123</v>
      </c>
      <c r="C286" t="s">
        <v>20</v>
      </c>
      <c r="D286" t="s">
        <v>29</v>
      </c>
      <c r="E286" t="s">
        <v>15</v>
      </c>
      <c r="F286" t="s">
        <v>84</v>
      </c>
      <c r="G286" s="1">
        <v>44486</v>
      </c>
      <c r="H286">
        <v>3.7</v>
      </c>
      <c r="I286">
        <v>3.5</v>
      </c>
      <c r="J286">
        <v>200000</v>
      </c>
      <c r="K286" t="s">
        <v>17</v>
      </c>
    </row>
    <row r="287" spans="1:11" x14ac:dyDescent="0.35">
      <c r="A287" t="s">
        <v>483</v>
      </c>
      <c r="B287" t="s">
        <v>125</v>
      </c>
      <c r="C287" t="s">
        <v>25</v>
      </c>
      <c r="D287" t="s">
        <v>26</v>
      </c>
      <c r="E287" t="s">
        <v>15</v>
      </c>
      <c r="F287" t="s">
        <v>56</v>
      </c>
      <c r="G287" s="1">
        <v>45347</v>
      </c>
      <c r="I287">
        <v>1.1000000000000001</v>
      </c>
      <c r="J287">
        <v>200000</v>
      </c>
      <c r="K287" t="s">
        <v>65</v>
      </c>
    </row>
    <row r="288" spans="1:11" x14ac:dyDescent="0.35">
      <c r="A288" t="s">
        <v>484</v>
      </c>
      <c r="B288" t="s">
        <v>119</v>
      </c>
      <c r="C288" t="s">
        <v>20</v>
      </c>
      <c r="D288" t="s">
        <v>14</v>
      </c>
      <c r="E288" t="s">
        <v>21</v>
      </c>
      <c r="F288" t="s">
        <v>51</v>
      </c>
      <c r="G288" s="1">
        <v>43884</v>
      </c>
      <c r="H288">
        <v>3.3</v>
      </c>
      <c r="I288">
        <v>5.0999999999999996</v>
      </c>
      <c r="J288">
        <v>200000</v>
      </c>
      <c r="K288" t="s">
        <v>17</v>
      </c>
    </row>
    <row r="289" spans="1:11" x14ac:dyDescent="0.35">
      <c r="A289" t="s">
        <v>485</v>
      </c>
      <c r="B289" t="s">
        <v>143</v>
      </c>
      <c r="C289" t="s">
        <v>36</v>
      </c>
      <c r="D289" t="s">
        <v>44</v>
      </c>
      <c r="E289" t="s">
        <v>15</v>
      </c>
      <c r="F289" t="s">
        <v>79</v>
      </c>
      <c r="G289" s="1">
        <v>44556</v>
      </c>
      <c r="H289">
        <v>3.8</v>
      </c>
      <c r="I289">
        <v>3.3</v>
      </c>
      <c r="J289">
        <v>300000</v>
      </c>
      <c r="K289" t="s">
        <v>17</v>
      </c>
    </row>
    <row r="290" spans="1:11" x14ac:dyDescent="0.35">
      <c r="A290" t="s">
        <v>486</v>
      </c>
      <c r="B290" t="s">
        <v>487</v>
      </c>
      <c r="C290" t="s">
        <v>151</v>
      </c>
      <c r="D290" t="s">
        <v>29</v>
      </c>
      <c r="E290" t="s">
        <v>47</v>
      </c>
      <c r="F290" t="s">
        <v>105</v>
      </c>
      <c r="G290" s="1">
        <v>44678</v>
      </c>
      <c r="H290">
        <v>2.9</v>
      </c>
      <c r="I290">
        <v>2.9</v>
      </c>
      <c r="J290">
        <v>300000</v>
      </c>
      <c r="K290" t="s">
        <v>41</v>
      </c>
    </row>
    <row r="291" spans="1:11" x14ac:dyDescent="0.35">
      <c r="A291" t="s">
        <v>488</v>
      </c>
      <c r="B291" t="s">
        <v>489</v>
      </c>
      <c r="C291" t="s">
        <v>151</v>
      </c>
      <c r="D291" t="s">
        <v>26</v>
      </c>
      <c r="E291" t="s">
        <v>30</v>
      </c>
      <c r="F291" t="s">
        <v>31</v>
      </c>
      <c r="G291" s="1">
        <v>44498</v>
      </c>
      <c r="H291">
        <v>3.5</v>
      </c>
      <c r="I291">
        <v>3.4</v>
      </c>
      <c r="J291">
        <v>150000</v>
      </c>
      <c r="K291" t="s">
        <v>17</v>
      </c>
    </row>
    <row r="292" spans="1:11" x14ac:dyDescent="0.35">
      <c r="A292" t="s">
        <v>490</v>
      </c>
      <c r="B292" t="s">
        <v>12</v>
      </c>
      <c r="C292" t="s">
        <v>13</v>
      </c>
      <c r="D292" t="s">
        <v>26</v>
      </c>
      <c r="E292" t="s">
        <v>15</v>
      </c>
      <c r="F292" t="s">
        <v>64</v>
      </c>
      <c r="G292" s="1">
        <v>44165</v>
      </c>
      <c r="H292">
        <v>4.0999999999999996</v>
      </c>
      <c r="I292">
        <v>4.3</v>
      </c>
      <c r="J292">
        <v>200000</v>
      </c>
      <c r="K292" t="s">
        <v>17</v>
      </c>
    </row>
    <row r="293" spans="1:11" x14ac:dyDescent="0.35">
      <c r="A293" t="s">
        <v>491</v>
      </c>
      <c r="B293" t="s">
        <v>379</v>
      </c>
      <c r="C293" t="s">
        <v>151</v>
      </c>
      <c r="D293" t="s">
        <v>26</v>
      </c>
      <c r="E293" t="s">
        <v>47</v>
      </c>
      <c r="F293" t="s">
        <v>105</v>
      </c>
      <c r="G293" s="1">
        <v>43606</v>
      </c>
      <c r="H293">
        <v>4.2</v>
      </c>
      <c r="I293">
        <v>5.9</v>
      </c>
      <c r="J293">
        <v>150000</v>
      </c>
      <c r="K293" t="s">
        <v>17</v>
      </c>
    </row>
    <row r="294" spans="1:11" x14ac:dyDescent="0.35">
      <c r="A294" t="s">
        <v>492</v>
      </c>
      <c r="B294" t="s">
        <v>385</v>
      </c>
      <c r="C294" t="s">
        <v>25</v>
      </c>
      <c r="D294" t="s">
        <v>55</v>
      </c>
      <c r="E294" t="s">
        <v>15</v>
      </c>
      <c r="F294" t="s">
        <v>84</v>
      </c>
      <c r="G294" s="1">
        <v>45106</v>
      </c>
      <c r="H294">
        <v>4.7</v>
      </c>
      <c r="I294">
        <v>1.8</v>
      </c>
      <c r="J294">
        <v>50000</v>
      </c>
      <c r="K294" t="s">
        <v>17</v>
      </c>
    </row>
    <row r="295" spans="1:11" x14ac:dyDescent="0.35">
      <c r="A295" t="s">
        <v>493</v>
      </c>
      <c r="B295" t="s">
        <v>111</v>
      </c>
      <c r="C295" t="s">
        <v>25</v>
      </c>
      <c r="D295" t="s">
        <v>29</v>
      </c>
      <c r="E295" t="s">
        <v>21</v>
      </c>
      <c r="F295" t="s">
        <v>76</v>
      </c>
      <c r="G295" s="1">
        <v>43877</v>
      </c>
      <c r="H295">
        <v>4.3</v>
      </c>
      <c r="I295">
        <v>5.0999999999999996</v>
      </c>
      <c r="J295">
        <v>300000</v>
      </c>
      <c r="K295" t="s">
        <v>65</v>
      </c>
    </row>
    <row r="296" spans="1:11" x14ac:dyDescent="0.35">
      <c r="A296" t="s">
        <v>494</v>
      </c>
      <c r="B296" t="s">
        <v>115</v>
      </c>
      <c r="C296" t="s">
        <v>59</v>
      </c>
      <c r="D296" t="s">
        <v>55</v>
      </c>
      <c r="E296" t="s">
        <v>30</v>
      </c>
      <c r="F296" t="s">
        <v>137</v>
      </c>
      <c r="G296" s="1">
        <v>43693</v>
      </c>
      <c r="H296">
        <v>3.7</v>
      </c>
      <c r="I296">
        <v>5.6</v>
      </c>
      <c r="J296">
        <v>1000000</v>
      </c>
      <c r="K296" t="s">
        <v>17</v>
      </c>
    </row>
    <row r="297" spans="1:11" x14ac:dyDescent="0.35">
      <c r="A297" t="s">
        <v>495</v>
      </c>
      <c r="B297" t="s">
        <v>256</v>
      </c>
      <c r="C297" t="s">
        <v>59</v>
      </c>
      <c r="D297" t="s">
        <v>26</v>
      </c>
      <c r="E297" t="s">
        <v>21</v>
      </c>
      <c r="F297" t="s">
        <v>96</v>
      </c>
      <c r="G297" s="1">
        <v>44014</v>
      </c>
      <c r="H297">
        <v>4.8</v>
      </c>
      <c r="I297">
        <v>4.7</v>
      </c>
      <c r="J297">
        <v>300000</v>
      </c>
      <c r="K297" t="s">
        <v>17</v>
      </c>
    </row>
    <row r="298" spans="1:11" x14ac:dyDescent="0.35">
      <c r="A298" t="s">
        <v>496</v>
      </c>
      <c r="B298" t="s">
        <v>333</v>
      </c>
      <c r="C298" t="s">
        <v>20</v>
      </c>
      <c r="D298" t="s">
        <v>14</v>
      </c>
      <c r="E298" t="s">
        <v>30</v>
      </c>
      <c r="F298" t="s">
        <v>102</v>
      </c>
      <c r="G298" s="1">
        <v>43577</v>
      </c>
      <c r="H298">
        <v>3.6</v>
      </c>
      <c r="I298">
        <v>5.9</v>
      </c>
      <c r="J298">
        <v>200000</v>
      </c>
      <c r="K298" t="s">
        <v>41</v>
      </c>
    </row>
    <row r="299" spans="1:11" x14ac:dyDescent="0.35">
      <c r="A299" t="s">
        <v>497</v>
      </c>
      <c r="B299" t="s">
        <v>221</v>
      </c>
      <c r="C299" t="s">
        <v>36</v>
      </c>
      <c r="D299" t="s">
        <v>26</v>
      </c>
      <c r="E299" t="s">
        <v>47</v>
      </c>
      <c r="F299" t="s">
        <v>70</v>
      </c>
      <c r="G299" s="1">
        <v>43485</v>
      </c>
      <c r="H299">
        <v>4.2</v>
      </c>
      <c r="I299">
        <v>6.2</v>
      </c>
      <c r="J299">
        <v>100000</v>
      </c>
      <c r="K299" t="s">
        <v>17</v>
      </c>
    </row>
    <row r="300" spans="1:11" x14ac:dyDescent="0.35">
      <c r="A300" t="s">
        <v>498</v>
      </c>
      <c r="B300" t="s">
        <v>221</v>
      </c>
      <c r="C300" t="s">
        <v>151</v>
      </c>
      <c r="D300" t="s">
        <v>44</v>
      </c>
      <c r="E300" t="s">
        <v>47</v>
      </c>
      <c r="F300" t="s">
        <v>105</v>
      </c>
      <c r="G300" s="1">
        <v>43990</v>
      </c>
      <c r="H300">
        <v>4</v>
      </c>
      <c r="I300">
        <v>4.8</v>
      </c>
      <c r="J300">
        <v>75000</v>
      </c>
      <c r="K300" t="s">
        <v>17</v>
      </c>
    </row>
    <row r="301" spans="1:11" x14ac:dyDescent="0.35">
      <c r="A301" t="s">
        <v>499</v>
      </c>
      <c r="B301" t="s">
        <v>111</v>
      </c>
      <c r="C301" t="s">
        <v>20</v>
      </c>
      <c r="D301" t="s">
        <v>29</v>
      </c>
      <c r="E301" t="s">
        <v>30</v>
      </c>
      <c r="F301" t="s">
        <v>37</v>
      </c>
      <c r="G301" s="1">
        <v>44371</v>
      </c>
      <c r="H301">
        <v>3.8</v>
      </c>
      <c r="I301">
        <v>3.8</v>
      </c>
      <c r="J301">
        <v>100000</v>
      </c>
      <c r="K30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8E8F-EC0D-4400-AD92-5E63967C2620}">
  <dimension ref="A1:O1001"/>
  <sheetViews>
    <sheetView topLeftCell="B1" workbookViewId="0">
      <selection activeCell="P13" sqref="P13"/>
    </sheetView>
  </sheetViews>
  <sheetFormatPr defaultRowHeight="14.5" x14ac:dyDescent="0.35"/>
  <cols>
    <col min="1" max="1" width="13.08984375" bestFit="1" customWidth="1"/>
    <col min="2" max="2" width="13.453125" bestFit="1" customWidth="1"/>
    <col min="3" max="3" width="18.08984375" bestFit="1" customWidth="1"/>
    <col min="4" max="4" width="14.453125" bestFit="1" customWidth="1"/>
    <col min="5" max="5" width="14" bestFit="1" customWidth="1"/>
    <col min="6" max="6" width="22.453125" bestFit="1" customWidth="1"/>
    <col min="7" max="7" width="26.81640625" bestFit="1" customWidth="1"/>
    <col min="8" max="8" width="18.81640625" bestFit="1" customWidth="1"/>
    <col min="9" max="9" width="15.36328125" bestFit="1" customWidth="1"/>
    <col min="10" max="10" width="17.1796875" bestFit="1" customWidth="1"/>
    <col min="11" max="11" width="16.90625" bestFit="1" customWidth="1"/>
    <col min="12" max="12" width="12.6328125" bestFit="1" customWidth="1"/>
    <col min="13" max="13" width="14" bestFit="1" customWidth="1"/>
    <col min="14" max="14" width="19.7265625" bestFit="1" customWidth="1"/>
    <col min="15" max="15" width="34.36328125" bestFit="1" customWidth="1"/>
  </cols>
  <sheetData>
    <row r="1" spans="1:15" x14ac:dyDescent="0.35">
      <c r="A1" t="s">
        <v>500</v>
      </c>
      <c r="B1" t="s">
        <v>501</v>
      </c>
      <c r="C1" t="s">
        <v>502</v>
      </c>
      <c r="D1" t="s">
        <v>503</v>
      </c>
      <c r="E1" t="s">
        <v>504</v>
      </c>
      <c r="F1" t="s">
        <v>505</v>
      </c>
      <c r="G1" t="s">
        <v>8502</v>
      </c>
      <c r="H1" t="s">
        <v>8503</v>
      </c>
      <c r="I1" s="1" t="s">
        <v>506</v>
      </c>
      <c r="J1" t="s">
        <v>507</v>
      </c>
      <c r="K1" t="s">
        <v>508</v>
      </c>
      <c r="L1" t="s">
        <v>509</v>
      </c>
      <c r="M1" t="s">
        <v>510</v>
      </c>
      <c r="N1" t="s">
        <v>511</v>
      </c>
      <c r="O1" t="s">
        <v>512</v>
      </c>
    </row>
    <row r="2" spans="1:15" x14ac:dyDescent="0.35">
      <c r="A2" t="s">
        <v>513</v>
      </c>
      <c r="B2" t="s">
        <v>79</v>
      </c>
      <c r="C2" t="s">
        <v>514</v>
      </c>
      <c r="D2" t="s">
        <v>515</v>
      </c>
      <c r="E2">
        <v>209189</v>
      </c>
      <c r="F2">
        <v>170793.17</v>
      </c>
      <c r="G2">
        <f>IF(Table13[[#This Row],[Budget_Allocated_INR]]="","",Table13[[#This Row],[Amount_INR]]-Table13[[#This Row],[Budget_Allocated_INR]])</f>
        <v>38395.829999999987</v>
      </c>
      <c r="H2">
        <v>38395.83</v>
      </c>
      <c r="I2" s="1">
        <v>45126</v>
      </c>
      <c r="J2" t="s">
        <v>516</v>
      </c>
      <c r="K2" t="s">
        <v>517</v>
      </c>
      <c r="L2" t="s">
        <v>518</v>
      </c>
      <c r="M2" t="s">
        <v>519</v>
      </c>
      <c r="N2" t="s">
        <v>520</v>
      </c>
      <c r="O2" t="s">
        <v>521</v>
      </c>
    </row>
    <row r="3" spans="1:15" x14ac:dyDescent="0.35">
      <c r="A3" t="s">
        <v>522</v>
      </c>
      <c r="B3" t="s">
        <v>523</v>
      </c>
      <c r="C3" t="s">
        <v>524</v>
      </c>
      <c r="D3" t="s">
        <v>525</v>
      </c>
      <c r="E3">
        <v>6214</v>
      </c>
      <c r="F3">
        <v>7523.05</v>
      </c>
      <c r="G3">
        <f>IF(Table13[[#This Row],[Budget_Allocated_INR]]="","",Table13[[#This Row],[Amount_INR]]-Table13[[#This Row],[Budget_Allocated_INR]])</f>
        <v>-1309.0500000000002</v>
      </c>
      <c r="H3">
        <v>-1309.05</v>
      </c>
      <c r="I3" s="1">
        <v>45209</v>
      </c>
      <c r="J3" t="s">
        <v>526</v>
      </c>
      <c r="K3" t="s">
        <v>527</v>
      </c>
      <c r="L3" t="s">
        <v>518</v>
      </c>
      <c r="M3" t="s">
        <v>528</v>
      </c>
      <c r="N3" t="s">
        <v>520</v>
      </c>
    </row>
    <row r="4" spans="1:15" x14ac:dyDescent="0.35">
      <c r="A4" t="s">
        <v>529</v>
      </c>
      <c r="B4" t="s">
        <v>530</v>
      </c>
      <c r="C4" t="s">
        <v>531</v>
      </c>
      <c r="D4" t="s">
        <v>532</v>
      </c>
      <c r="E4">
        <v>499533</v>
      </c>
      <c r="F4">
        <v>550589.56000000006</v>
      </c>
      <c r="G4">
        <f>IF(Table13[[#This Row],[Budget_Allocated_INR]]="","",Table13[[#This Row],[Amount_INR]]-Table13[[#This Row],[Budget_Allocated_INR]])</f>
        <v>-51056.560000000056</v>
      </c>
      <c r="H4">
        <v>-51056.56</v>
      </c>
      <c r="I4" s="1">
        <v>45310</v>
      </c>
      <c r="J4" t="s">
        <v>526</v>
      </c>
      <c r="K4" t="s">
        <v>527</v>
      </c>
      <c r="L4" t="s">
        <v>518</v>
      </c>
      <c r="M4" t="s">
        <v>528</v>
      </c>
      <c r="N4" t="s">
        <v>520</v>
      </c>
    </row>
    <row r="5" spans="1:15" x14ac:dyDescent="0.35">
      <c r="A5" t="s">
        <v>533</v>
      </c>
      <c r="B5" t="s">
        <v>534</v>
      </c>
      <c r="C5" t="s">
        <v>524</v>
      </c>
      <c r="D5" t="s">
        <v>535</v>
      </c>
      <c r="E5">
        <v>403234</v>
      </c>
      <c r="F5">
        <v>426617.54</v>
      </c>
      <c r="G5">
        <f>IF(Table13[[#This Row],[Budget_Allocated_INR]]="","",Table13[[#This Row],[Amount_INR]]-Table13[[#This Row],[Budget_Allocated_INR]])</f>
        <v>-23383.539999999979</v>
      </c>
      <c r="H5">
        <v>-23383.54</v>
      </c>
      <c r="I5" s="1">
        <v>45732</v>
      </c>
      <c r="J5" t="s">
        <v>526</v>
      </c>
      <c r="K5" t="s">
        <v>527</v>
      </c>
      <c r="L5" t="s">
        <v>536</v>
      </c>
      <c r="M5" t="s">
        <v>537</v>
      </c>
      <c r="N5" t="s">
        <v>520</v>
      </c>
    </row>
    <row r="6" spans="1:15" x14ac:dyDescent="0.35">
      <c r="A6" t="s">
        <v>538</v>
      </c>
      <c r="B6" t="s">
        <v>79</v>
      </c>
      <c r="C6" t="s">
        <v>514</v>
      </c>
      <c r="D6" t="s">
        <v>539</v>
      </c>
      <c r="E6">
        <v>187461</v>
      </c>
      <c r="F6">
        <v>156297.94</v>
      </c>
      <c r="G6">
        <f>IF(Table13[[#This Row],[Budget_Allocated_INR]]="","",Table13[[#This Row],[Amount_INR]]-Table13[[#This Row],[Budget_Allocated_INR]])</f>
        <v>31163.059999999998</v>
      </c>
      <c r="H6">
        <v>31163.06</v>
      </c>
      <c r="I6" s="1">
        <v>44963</v>
      </c>
      <c r="J6" t="s">
        <v>526</v>
      </c>
      <c r="K6" t="s">
        <v>540</v>
      </c>
      <c r="L6" t="s">
        <v>541</v>
      </c>
      <c r="M6" t="s">
        <v>537</v>
      </c>
      <c r="N6" t="s">
        <v>520</v>
      </c>
    </row>
    <row r="7" spans="1:15" x14ac:dyDescent="0.35">
      <c r="A7" t="s">
        <v>542</v>
      </c>
      <c r="B7" t="s">
        <v>530</v>
      </c>
      <c r="C7" t="s">
        <v>543</v>
      </c>
      <c r="D7" t="s">
        <v>539</v>
      </c>
      <c r="E7">
        <v>352393</v>
      </c>
      <c r="F7">
        <v>449410.33</v>
      </c>
      <c r="G7">
        <f>IF(Table13[[#This Row],[Budget_Allocated_INR]]="","",Table13[[#This Row],[Amount_INR]]-Table13[[#This Row],[Budget_Allocated_INR]])</f>
        <v>-97017.330000000016</v>
      </c>
      <c r="H7">
        <v>-97017.33</v>
      </c>
      <c r="I7" s="1">
        <v>45365</v>
      </c>
      <c r="J7" t="s">
        <v>526</v>
      </c>
      <c r="K7" t="s">
        <v>527</v>
      </c>
      <c r="L7" t="s">
        <v>518</v>
      </c>
      <c r="M7" t="s">
        <v>537</v>
      </c>
      <c r="N7" t="s">
        <v>520</v>
      </c>
    </row>
    <row r="8" spans="1:15" x14ac:dyDescent="0.35">
      <c r="A8" t="s">
        <v>544</v>
      </c>
      <c r="B8" t="s">
        <v>545</v>
      </c>
      <c r="C8" t="s">
        <v>543</v>
      </c>
      <c r="D8" t="s">
        <v>515</v>
      </c>
      <c r="E8">
        <v>361946</v>
      </c>
      <c r="F8">
        <v>354476.37</v>
      </c>
      <c r="G8">
        <f>IF(Table13[[#This Row],[Budget_Allocated_INR]]="","",Table13[[#This Row],[Amount_INR]]-Table13[[#This Row],[Budget_Allocated_INR]])</f>
        <v>7469.6300000000047</v>
      </c>
      <c r="H8">
        <v>7469.63</v>
      </c>
      <c r="I8" s="1">
        <v>45152</v>
      </c>
      <c r="J8" t="s">
        <v>516</v>
      </c>
      <c r="K8" t="s">
        <v>517</v>
      </c>
      <c r="L8" t="s">
        <v>518</v>
      </c>
      <c r="M8" t="s">
        <v>546</v>
      </c>
      <c r="N8" t="s">
        <v>520</v>
      </c>
      <c r="O8" t="s">
        <v>521</v>
      </c>
    </row>
    <row r="9" spans="1:15" x14ac:dyDescent="0.35">
      <c r="A9" t="s">
        <v>547</v>
      </c>
      <c r="B9" t="s">
        <v>548</v>
      </c>
      <c r="C9" t="s">
        <v>549</v>
      </c>
      <c r="D9" t="s">
        <v>550</v>
      </c>
      <c r="E9">
        <v>398503</v>
      </c>
      <c r="F9">
        <v>438557.67</v>
      </c>
      <c r="G9">
        <f>IF(Table13[[#This Row],[Budget_Allocated_INR]]="","",Table13[[#This Row],[Amount_INR]]-Table13[[#This Row],[Budget_Allocated_INR]])</f>
        <v>-40054.669999999984</v>
      </c>
      <c r="H9">
        <v>-40054.67</v>
      </c>
      <c r="I9" s="1">
        <v>45145</v>
      </c>
      <c r="J9" t="s">
        <v>526</v>
      </c>
      <c r="K9" t="s">
        <v>540</v>
      </c>
      <c r="L9" t="s">
        <v>518</v>
      </c>
      <c r="M9" t="s">
        <v>537</v>
      </c>
      <c r="N9" t="s">
        <v>520</v>
      </c>
    </row>
    <row r="10" spans="1:15" x14ac:dyDescent="0.35">
      <c r="A10" t="s">
        <v>551</v>
      </c>
      <c r="B10" t="s">
        <v>548</v>
      </c>
      <c r="C10" t="s">
        <v>552</v>
      </c>
      <c r="D10" t="s">
        <v>553</v>
      </c>
      <c r="E10">
        <v>345565</v>
      </c>
      <c r="F10">
        <v>382355.25</v>
      </c>
      <c r="G10">
        <f>IF(Table13[[#This Row],[Budget_Allocated_INR]]="","",Table13[[#This Row],[Amount_INR]]-Table13[[#This Row],[Budget_Allocated_INR]])</f>
        <v>-36790.25</v>
      </c>
      <c r="H10">
        <v>-36790.25</v>
      </c>
      <c r="I10" s="1">
        <v>45437</v>
      </c>
      <c r="J10" t="s">
        <v>526</v>
      </c>
      <c r="K10" t="s">
        <v>517</v>
      </c>
      <c r="L10" t="s">
        <v>536</v>
      </c>
      <c r="M10" t="s">
        <v>554</v>
      </c>
      <c r="N10" t="s">
        <v>520</v>
      </c>
    </row>
    <row r="11" spans="1:15" x14ac:dyDescent="0.35">
      <c r="A11" t="s">
        <v>555</v>
      </c>
      <c r="B11" t="s">
        <v>545</v>
      </c>
      <c r="C11" t="s">
        <v>543</v>
      </c>
      <c r="D11" t="s">
        <v>525</v>
      </c>
      <c r="E11">
        <v>441930</v>
      </c>
      <c r="F11">
        <v>426169.24</v>
      </c>
      <c r="G11">
        <f>IF(Table13[[#This Row],[Budget_Allocated_INR]]="","",Table13[[#This Row],[Amount_INR]]-Table13[[#This Row],[Budget_Allocated_INR]])</f>
        <v>15760.760000000009</v>
      </c>
      <c r="H11">
        <v>15760.76</v>
      </c>
      <c r="I11" s="1">
        <v>45740</v>
      </c>
      <c r="J11" t="s">
        <v>526</v>
      </c>
      <c r="K11" t="s">
        <v>540</v>
      </c>
      <c r="L11" t="s">
        <v>536</v>
      </c>
      <c r="M11" t="s">
        <v>519</v>
      </c>
      <c r="N11" t="s">
        <v>520</v>
      </c>
    </row>
    <row r="12" spans="1:15" x14ac:dyDescent="0.35">
      <c r="A12" t="s">
        <v>556</v>
      </c>
      <c r="B12" t="s">
        <v>79</v>
      </c>
      <c r="C12" t="s">
        <v>549</v>
      </c>
      <c r="D12" t="s">
        <v>532</v>
      </c>
      <c r="E12">
        <v>304214</v>
      </c>
      <c r="F12">
        <v>345611.18</v>
      </c>
      <c r="G12">
        <f>IF(Table13[[#This Row],[Budget_Allocated_INR]]="","",Table13[[#This Row],[Amount_INR]]-Table13[[#This Row],[Budget_Allocated_INR]])</f>
        <v>-41397.179999999993</v>
      </c>
      <c r="H12">
        <v>-41397.18</v>
      </c>
      <c r="I12" s="1">
        <v>45689</v>
      </c>
      <c r="J12" t="s">
        <v>526</v>
      </c>
      <c r="K12" t="s">
        <v>527</v>
      </c>
      <c r="L12" t="s">
        <v>536</v>
      </c>
      <c r="M12" t="s">
        <v>528</v>
      </c>
      <c r="N12" t="s">
        <v>520</v>
      </c>
    </row>
    <row r="13" spans="1:15" x14ac:dyDescent="0.35">
      <c r="A13" t="s">
        <v>557</v>
      </c>
      <c r="B13" t="s">
        <v>548</v>
      </c>
      <c r="C13" t="s">
        <v>558</v>
      </c>
      <c r="D13" t="s">
        <v>559</v>
      </c>
      <c r="E13">
        <v>65791</v>
      </c>
      <c r="F13">
        <v>59739.7</v>
      </c>
      <c r="G13">
        <f>IF(Table13[[#This Row],[Budget_Allocated_INR]]="","",Table13[[#This Row],[Amount_INR]]-Table13[[#This Row],[Budget_Allocated_INR]])</f>
        <v>6051.3000000000029</v>
      </c>
      <c r="H13">
        <v>6051.3</v>
      </c>
      <c r="I13" s="1">
        <v>45346</v>
      </c>
      <c r="J13" t="s">
        <v>526</v>
      </c>
      <c r="K13" t="s">
        <v>560</v>
      </c>
      <c r="L13" t="s">
        <v>518</v>
      </c>
      <c r="M13" t="s">
        <v>519</v>
      </c>
      <c r="N13" t="s">
        <v>520</v>
      </c>
    </row>
    <row r="14" spans="1:15" x14ac:dyDescent="0.35">
      <c r="A14" t="s">
        <v>561</v>
      </c>
      <c r="B14" t="s">
        <v>545</v>
      </c>
      <c r="C14" t="s">
        <v>562</v>
      </c>
      <c r="D14" t="s">
        <v>563</v>
      </c>
      <c r="E14">
        <v>49237</v>
      </c>
      <c r="G14" t="str">
        <f>IF(Table13[[#This Row],[Budget_Allocated_INR]]="","",Table13[[#This Row],[Amount_INR]]-Table13[[#This Row],[Budget_Allocated_INR]])</f>
        <v/>
      </c>
      <c r="H14">
        <v>7036.11</v>
      </c>
      <c r="I14" s="1">
        <v>45457</v>
      </c>
      <c r="J14" t="s">
        <v>516</v>
      </c>
      <c r="K14" t="s">
        <v>560</v>
      </c>
      <c r="L14" t="s">
        <v>536</v>
      </c>
      <c r="M14" t="s">
        <v>554</v>
      </c>
      <c r="N14" t="s">
        <v>520</v>
      </c>
    </row>
    <row r="15" spans="1:15" x14ac:dyDescent="0.35">
      <c r="A15" t="s">
        <v>564</v>
      </c>
      <c r="B15" t="s">
        <v>565</v>
      </c>
      <c r="C15" t="s">
        <v>549</v>
      </c>
      <c r="D15" t="s">
        <v>539</v>
      </c>
      <c r="E15">
        <v>365283</v>
      </c>
      <c r="F15">
        <v>359381.54</v>
      </c>
      <c r="G15">
        <f>IF(Table13[[#This Row],[Budget_Allocated_INR]]="","",Table13[[#This Row],[Amount_INR]]-Table13[[#This Row],[Budget_Allocated_INR]])</f>
        <v>5901.460000000021</v>
      </c>
      <c r="H15">
        <v>5901.46</v>
      </c>
      <c r="I15" s="1">
        <v>45645</v>
      </c>
      <c r="J15" t="s">
        <v>526</v>
      </c>
      <c r="K15" t="s">
        <v>540</v>
      </c>
      <c r="L15" t="s">
        <v>536</v>
      </c>
      <c r="M15" t="s">
        <v>537</v>
      </c>
      <c r="N15" t="s">
        <v>520</v>
      </c>
    </row>
    <row r="16" spans="1:15" x14ac:dyDescent="0.35">
      <c r="A16" t="s">
        <v>566</v>
      </c>
      <c r="B16" t="s">
        <v>565</v>
      </c>
      <c r="C16" t="s">
        <v>552</v>
      </c>
      <c r="D16" t="s">
        <v>563</v>
      </c>
      <c r="E16">
        <v>201346</v>
      </c>
      <c r="F16">
        <v>197464.53</v>
      </c>
      <c r="G16">
        <f>IF(Table13[[#This Row],[Budget_Allocated_INR]]="","",Table13[[#This Row],[Amount_INR]]-Table13[[#This Row],[Budget_Allocated_INR]])</f>
        <v>3881.4700000000012</v>
      </c>
      <c r="I16" s="1">
        <v>45719</v>
      </c>
      <c r="J16" t="s">
        <v>516</v>
      </c>
      <c r="K16" t="s">
        <v>527</v>
      </c>
      <c r="L16" t="s">
        <v>536</v>
      </c>
      <c r="M16" t="s">
        <v>519</v>
      </c>
      <c r="N16" t="s">
        <v>520</v>
      </c>
      <c r="O16" t="s">
        <v>521</v>
      </c>
    </row>
    <row r="17" spans="1:15" x14ac:dyDescent="0.35">
      <c r="A17" t="s">
        <v>567</v>
      </c>
      <c r="B17" t="s">
        <v>530</v>
      </c>
      <c r="C17" t="s">
        <v>543</v>
      </c>
      <c r="D17" t="s">
        <v>525</v>
      </c>
      <c r="E17">
        <v>375484</v>
      </c>
      <c r="F17">
        <v>303740.88</v>
      </c>
      <c r="G17">
        <f>IF(Table13[[#This Row],[Budget_Allocated_INR]]="","",Table13[[#This Row],[Amount_INR]]-Table13[[#This Row],[Budget_Allocated_INR]])</f>
        <v>71743.12</v>
      </c>
      <c r="H17">
        <v>71743.12</v>
      </c>
      <c r="I17" s="1">
        <v>45454</v>
      </c>
      <c r="J17" t="s">
        <v>516</v>
      </c>
      <c r="K17" t="s">
        <v>527</v>
      </c>
      <c r="L17" t="s">
        <v>536</v>
      </c>
      <c r="M17" t="s">
        <v>568</v>
      </c>
      <c r="N17" t="s">
        <v>520</v>
      </c>
      <c r="O17" t="s">
        <v>521</v>
      </c>
    </row>
    <row r="18" spans="1:15" x14ac:dyDescent="0.35">
      <c r="A18" t="s">
        <v>569</v>
      </c>
      <c r="B18" t="s">
        <v>523</v>
      </c>
      <c r="C18" t="s">
        <v>514</v>
      </c>
      <c r="D18" t="s">
        <v>550</v>
      </c>
      <c r="E18">
        <v>91274</v>
      </c>
      <c r="F18">
        <v>117271.6</v>
      </c>
      <c r="G18">
        <f>IF(Table13[[#This Row],[Budget_Allocated_INR]]="","",Table13[[#This Row],[Amount_INR]]-Table13[[#This Row],[Budget_Allocated_INR]])</f>
        <v>-25997.600000000006</v>
      </c>
      <c r="H18">
        <v>-25997.599999999999</v>
      </c>
      <c r="I18" s="1">
        <v>45367</v>
      </c>
      <c r="J18" t="s">
        <v>526</v>
      </c>
      <c r="K18" t="s">
        <v>560</v>
      </c>
      <c r="L18" t="s">
        <v>518</v>
      </c>
      <c r="M18" t="s">
        <v>537</v>
      </c>
      <c r="N18" t="s">
        <v>520</v>
      </c>
    </row>
    <row r="19" spans="1:15" x14ac:dyDescent="0.35">
      <c r="A19" t="s">
        <v>570</v>
      </c>
      <c r="B19" t="s">
        <v>534</v>
      </c>
      <c r="C19" t="s">
        <v>543</v>
      </c>
      <c r="D19" t="s">
        <v>571</v>
      </c>
      <c r="E19">
        <v>58546</v>
      </c>
      <c r="F19">
        <v>54790.73</v>
      </c>
      <c r="G19">
        <f>IF(Table13[[#This Row],[Budget_Allocated_INR]]="","",Table13[[#This Row],[Amount_INR]]-Table13[[#This Row],[Budget_Allocated_INR]])</f>
        <v>3755.2699999999968</v>
      </c>
      <c r="H19">
        <v>3755.27</v>
      </c>
      <c r="I19" s="1">
        <v>45324</v>
      </c>
      <c r="J19" t="s">
        <v>526</v>
      </c>
      <c r="K19" t="s">
        <v>560</v>
      </c>
      <c r="L19" t="s">
        <v>518</v>
      </c>
      <c r="M19" t="s">
        <v>519</v>
      </c>
      <c r="N19" t="s">
        <v>520</v>
      </c>
    </row>
    <row r="20" spans="1:15" x14ac:dyDescent="0.35">
      <c r="A20" t="s">
        <v>572</v>
      </c>
      <c r="B20" t="s">
        <v>79</v>
      </c>
      <c r="C20" t="s">
        <v>531</v>
      </c>
      <c r="D20" t="s">
        <v>532</v>
      </c>
      <c r="E20">
        <v>10904</v>
      </c>
      <c r="F20">
        <v>13676.8</v>
      </c>
      <c r="G20">
        <f>IF(Table13[[#This Row],[Budget_Allocated_INR]]="","",Table13[[#This Row],[Amount_INR]]-Table13[[#This Row],[Budget_Allocated_INR]])</f>
        <v>-2772.7999999999993</v>
      </c>
      <c r="H20">
        <v>-2772.8</v>
      </c>
      <c r="I20" s="1">
        <v>44973</v>
      </c>
      <c r="J20" t="s">
        <v>526</v>
      </c>
      <c r="K20" t="s">
        <v>517</v>
      </c>
      <c r="L20" t="s">
        <v>541</v>
      </c>
      <c r="M20" t="s">
        <v>554</v>
      </c>
      <c r="N20" t="s">
        <v>520</v>
      </c>
    </row>
    <row r="21" spans="1:15" x14ac:dyDescent="0.35">
      <c r="A21" t="s">
        <v>573</v>
      </c>
      <c r="B21" t="s">
        <v>523</v>
      </c>
      <c r="C21" t="s">
        <v>524</v>
      </c>
      <c r="D21" t="s">
        <v>574</v>
      </c>
      <c r="E21">
        <v>65481</v>
      </c>
      <c r="F21">
        <v>81303.61</v>
      </c>
      <c r="G21">
        <f>IF(Table13[[#This Row],[Budget_Allocated_INR]]="","",Table13[[#This Row],[Amount_INR]]-Table13[[#This Row],[Budget_Allocated_INR]])</f>
        <v>-15822.61</v>
      </c>
      <c r="H21">
        <v>-15822.61</v>
      </c>
      <c r="I21" s="1">
        <v>44962</v>
      </c>
      <c r="J21" t="s">
        <v>516</v>
      </c>
      <c r="K21" t="s">
        <v>517</v>
      </c>
      <c r="L21" t="s">
        <v>541</v>
      </c>
      <c r="M21" t="s">
        <v>554</v>
      </c>
      <c r="N21" t="s">
        <v>520</v>
      </c>
    </row>
    <row r="22" spans="1:15" x14ac:dyDescent="0.35">
      <c r="A22" t="s">
        <v>575</v>
      </c>
      <c r="B22" t="s">
        <v>576</v>
      </c>
      <c r="C22" t="s">
        <v>531</v>
      </c>
      <c r="D22" t="s">
        <v>525</v>
      </c>
      <c r="E22">
        <v>66000</v>
      </c>
      <c r="F22">
        <v>78840.27</v>
      </c>
      <c r="G22">
        <f>IF(Table13[[#This Row],[Budget_Allocated_INR]]="","",Table13[[#This Row],[Amount_INR]]-Table13[[#This Row],[Budget_Allocated_INR]])</f>
        <v>-12840.270000000004</v>
      </c>
      <c r="H22">
        <v>-12840.27</v>
      </c>
      <c r="I22" s="1">
        <v>45341</v>
      </c>
      <c r="J22" t="s">
        <v>526</v>
      </c>
      <c r="K22" t="s">
        <v>540</v>
      </c>
      <c r="L22" t="s">
        <v>518</v>
      </c>
      <c r="M22" t="s">
        <v>519</v>
      </c>
      <c r="N22" t="s">
        <v>520</v>
      </c>
    </row>
    <row r="23" spans="1:15" x14ac:dyDescent="0.35">
      <c r="A23" t="s">
        <v>577</v>
      </c>
      <c r="B23" t="s">
        <v>534</v>
      </c>
      <c r="C23" t="s">
        <v>549</v>
      </c>
      <c r="D23" t="s">
        <v>515</v>
      </c>
      <c r="E23">
        <v>32147</v>
      </c>
      <c r="F23">
        <v>36235.03</v>
      </c>
      <c r="G23">
        <f>IF(Table13[[#This Row],[Budget_Allocated_INR]]="","",Table13[[#This Row],[Amount_INR]]-Table13[[#This Row],[Budget_Allocated_INR]])</f>
        <v>-4088.0299999999988</v>
      </c>
      <c r="H23">
        <v>-4088.03</v>
      </c>
      <c r="I23" s="1">
        <v>45247</v>
      </c>
      <c r="J23" t="s">
        <v>526</v>
      </c>
      <c r="K23" t="s">
        <v>540</v>
      </c>
      <c r="L23" t="s">
        <v>518</v>
      </c>
      <c r="M23" t="s">
        <v>537</v>
      </c>
      <c r="N23" t="s">
        <v>520</v>
      </c>
    </row>
    <row r="24" spans="1:15" x14ac:dyDescent="0.35">
      <c r="A24" t="s">
        <v>578</v>
      </c>
      <c r="B24" t="s">
        <v>79</v>
      </c>
      <c r="C24" t="s">
        <v>552</v>
      </c>
      <c r="D24" t="s">
        <v>550</v>
      </c>
      <c r="E24">
        <v>312310</v>
      </c>
      <c r="F24">
        <v>339411.41</v>
      </c>
      <c r="G24">
        <f>IF(Table13[[#This Row],[Budget_Allocated_INR]]="","",Table13[[#This Row],[Amount_INR]]-Table13[[#This Row],[Budget_Allocated_INR]])</f>
        <v>-27101.409999999974</v>
      </c>
      <c r="H24">
        <v>-27101.41</v>
      </c>
      <c r="I24" s="1">
        <v>45270</v>
      </c>
      <c r="J24" t="s">
        <v>516</v>
      </c>
      <c r="K24" t="s">
        <v>527</v>
      </c>
      <c r="L24" t="s">
        <v>518</v>
      </c>
      <c r="M24" t="s">
        <v>554</v>
      </c>
      <c r="N24" t="s">
        <v>520</v>
      </c>
      <c r="O24" t="s">
        <v>521</v>
      </c>
    </row>
    <row r="25" spans="1:15" x14ac:dyDescent="0.35">
      <c r="A25" t="s">
        <v>579</v>
      </c>
      <c r="B25" t="s">
        <v>565</v>
      </c>
      <c r="C25" t="s">
        <v>524</v>
      </c>
      <c r="D25" t="s">
        <v>535</v>
      </c>
      <c r="E25">
        <v>145866</v>
      </c>
      <c r="F25">
        <v>176369.11</v>
      </c>
      <c r="G25">
        <f>IF(Table13[[#This Row],[Budget_Allocated_INR]]="","",Table13[[#This Row],[Amount_INR]]-Table13[[#This Row],[Budget_Allocated_INR]])</f>
        <v>-30503.109999999986</v>
      </c>
      <c r="H25">
        <v>-30503.11</v>
      </c>
      <c r="I25" s="1">
        <v>45589</v>
      </c>
      <c r="J25" t="s">
        <v>526</v>
      </c>
      <c r="K25" t="s">
        <v>560</v>
      </c>
      <c r="L25" t="s">
        <v>536</v>
      </c>
      <c r="M25" t="s">
        <v>528</v>
      </c>
      <c r="N25" t="s">
        <v>520</v>
      </c>
    </row>
    <row r="26" spans="1:15" x14ac:dyDescent="0.35">
      <c r="A26" t="s">
        <v>580</v>
      </c>
      <c r="B26" t="s">
        <v>534</v>
      </c>
      <c r="C26" t="s">
        <v>581</v>
      </c>
      <c r="D26" t="s">
        <v>553</v>
      </c>
      <c r="E26">
        <v>-270391</v>
      </c>
      <c r="F26">
        <v>224861.48</v>
      </c>
      <c r="G26">
        <f>IF(Table13[[#This Row],[Budget_Allocated_INR]]="","",Table13[[#This Row],[Amount_INR]]-Table13[[#This Row],[Budget_Allocated_INR]])</f>
        <v>-495252.47999999998</v>
      </c>
      <c r="H26">
        <v>45529.52</v>
      </c>
      <c r="I26" s="1">
        <v>44992</v>
      </c>
      <c r="J26" t="s">
        <v>526</v>
      </c>
      <c r="K26" t="s">
        <v>540</v>
      </c>
      <c r="L26" t="s">
        <v>541</v>
      </c>
      <c r="M26" t="s">
        <v>554</v>
      </c>
      <c r="N26" t="s">
        <v>582</v>
      </c>
    </row>
    <row r="27" spans="1:15" x14ac:dyDescent="0.35">
      <c r="A27" t="s">
        <v>583</v>
      </c>
      <c r="B27" t="s">
        <v>565</v>
      </c>
      <c r="C27" t="s">
        <v>543</v>
      </c>
      <c r="D27" t="s">
        <v>584</v>
      </c>
      <c r="E27">
        <v>410046</v>
      </c>
      <c r="F27">
        <v>483620.72</v>
      </c>
      <c r="G27">
        <f>IF(Table13[[#This Row],[Budget_Allocated_INR]]="","",Table13[[#This Row],[Amount_INR]]-Table13[[#This Row],[Budget_Allocated_INR]])</f>
        <v>-73574.719999999972</v>
      </c>
      <c r="H27">
        <v>-73574.720000000001</v>
      </c>
      <c r="I27" s="1">
        <v>45456</v>
      </c>
      <c r="J27" t="s">
        <v>526</v>
      </c>
      <c r="K27" t="s">
        <v>560</v>
      </c>
      <c r="L27" t="s">
        <v>536</v>
      </c>
      <c r="M27" t="s">
        <v>537</v>
      </c>
      <c r="N27" t="s">
        <v>520</v>
      </c>
    </row>
    <row r="28" spans="1:15" x14ac:dyDescent="0.35">
      <c r="A28" t="s">
        <v>585</v>
      </c>
      <c r="B28" t="s">
        <v>530</v>
      </c>
      <c r="C28" t="s">
        <v>586</v>
      </c>
      <c r="D28" t="s">
        <v>553</v>
      </c>
      <c r="E28">
        <v>406494</v>
      </c>
      <c r="G28" t="str">
        <f>IF(Table13[[#This Row],[Budget_Allocated_INR]]="","",Table13[[#This Row],[Amount_INR]]-Table13[[#This Row],[Budget_Allocated_INR]])</f>
        <v/>
      </c>
      <c r="H28">
        <v>-13532</v>
      </c>
      <c r="I28" s="1">
        <v>45553</v>
      </c>
      <c r="J28" t="s">
        <v>526</v>
      </c>
      <c r="K28" t="s">
        <v>540</v>
      </c>
      <c r="L28" t="s">
        <v>536</v>
      </c>
      <c r="M28" t="s">
        <v>528</v>
      </c>
      <c r="N28" t="s">
        <v>520</v>
      </c>
    </row>
    <row r="29" spans="1:15" x14ac:dyDescent="0.35">
      <c r="A29" t="s">
        <v>587</v>
      </c>
      <c r="B29" t="s">
        <v>545</v>
      </c>
      <c r="C29" t="s">
        <v>558</v>
      </c>
      <c r="D29" t="s">
        <v>588</v>
      </c>
      <c r="E29">
        <v>66859</v>
      </c>
      <c r="F29">
        <v>75521.94</v>
      </c>
      <c r="G29">
        <f>IF(Table13[[#This Row],[Budget_Allocated_INR]]="","",Table13[[#This Row],[Amount_INR]]-Table13[[#This Row],[Budget_Allocated_INR]])</f>
        <v>-8662.9400000000023</v>
      </c>
      <c r="H29">
        <v>-8662.94</v>
      </c>
      <c r="I29" s="1">
        <v>45442</v>
      </c>
      <c r="J29" t="s">
        <v>526</v>
      </c>
      <c r="K29" t="s">
        <v>560</v>
      </c>
      <c r="L29" t="s">
        <v>536</v>
      </c>
      <c r="M29" t="s">
        <v>537</v>
      </c>
      <c r="N29" t="s">
        <v>520</v>
      </c>
    </row>
    <row r="30" spans="1:15" x14ac:dyDescent="0.35">
      <c r="A30" t="s">
        <v>589</v>
      </c>
      <c r="B30" t="s">
        <v>548</v>
      </c>
      <c r="C30" t="s">
        <v>552</v>
      </c>
      <c r="D30" t="s">
        <v>553</v>
      </c>
      <c r="E30">
        <v>389612</v>
      </c>
      <c r="F30">
        <v>356713.15</v>
      </c>
      <c r="G30">
        <f>IF(Table13[[#This Row],[Budget_Allocated_INR]]="","",Table13[[#This Row],[Amount_INR]]-Table13[[#This Row],[Budget_Allocated_INR]])</f>
        <v>32898.849999999977</v>
      </c>
      <c r="H30">
        <v>32898.85</v>
      </c>
      <c r="I30" s="1">
        <v>45486</v>
      </c>
      <c r="J30" t="s">
        <v>516</v>
      </c>
      <c r="K30" t="s">
        <v>560</v>
      </c>
      <c r="L30" t="s">
        <v>536</v>
      </c>
      <c r="M30" t="s">
        <v>537</v>
      </c>
      <c r="N30" t="s">
        <v>520</v>
      </c>
      <c r="O30" t="s">
        <v>521</v>
      </c>
    </row>
    <row r="31" spans="1:15" x14ac:dyDescent="0.35">
      <c r="A31" t="s">
        <v>590</v>
      </c>
      <c r="B31" t="s">
        <v>530</v>
      </c>
      <c r="C31" t="s">
        <v>586</v>
      </c>
      <c r="D31" t="s">
        <v>539</v>
      </c>
      <c r="E31">
        <v>397643</v>
      </c>
      <c r="F31">
        <v>366588.32</v>
      </c>
      <c r="G31">
        <f>IF(Table13[[#This Row],[Budget_Allocated_INR]]="","",Table13[[#This Row],[Amount_INR]]-Table13[[#This Row],[Budget_Allocated_INR]])</f>
        <v>31054.679999999993</v>
      </c>
      <c r="I31" s="1">
        <v>45309</v>
      </c>
      <c r="J31" t="s">
        <v>516</v>
      </c>
      <c r="K31" t="s">
        <v>560</v>
      </c>
      <c r="L31" t="s">
        <v>518</v>
      </c>
      <c r="M31" t="s">
        <v>537</v>
      </c>
      <c r="N31" t="s">
        <v>520</v>
      </c>
      <c r="O31" t="s">
        <v>521</v>
      </c>
    </row>
    <row r="32" spans="1:15" x14ac:dyDescent="0.35">
      <c r="A32" t="s">
        <v>591</v>
      </c>
      <c r="B32" t="s">
        <v>530</v>
      </c>
      <c r="C32" t="s">
        <v>562</v>
      </c>
      <c r="D32" t="s">
        <v>563</v>
      </c>
      <c r="E32">
        <v>367122</v>
      </c>
      <c r="F32">
        <v>465065.53</v>
      </c>
      <c r="G32">
        <f>IF(Table13[[#This Row],[Budget_Allocated_INR]]="","",Table13[[#This Row],[Amount_INR]]-Table13[[#This Row],[Budget_Allocated_INR]])</f>
        <v>-97943.530000000028</v>
      </c>
      <c r="H32">
        <v>-97943.53</v>
      </c>
      <c r="I32" s="1">
        <v>45084</v>
      </c>
      <c r="J32" t="s">
        <v>516</v>
      </c>
      <c r="K32" t="s">
        <v>540</v>
      </c>
      <c r="L32" t="s">
        <v>518</v>
      </c>
      <c r="M32" t="s">
        <v>568</v>
      </c>
      <c r="N32" t="s">
        <v>520</v>
      </c>
      <c r="O32" t="s">
        <v>521</v>
      </c>
    </row>
    <row r="33" spans="1:15" x14ac:dyDescent="0.35">
      <c r="A33" t="s">
        <v>592</v>
      </c>
      <c r="B33" t="s">
        <v>576</v>
      </c>
      <c r="C33" t="s">
        <v>558</v>
      </c>
      <c r="D33" t="s">
        <v>593</v>
      </c>
      <c r="E33">
        <v>65667</v>
      </c>
      <c r="F33">
        <v>72499.12</v>
      </c>
      <c r="G33">
        <f>IF(Table13[[#This Row],[Budget_Allocated_INR]]="","",Table13[[#This Row],[Amount_INR]]-Table13[[#This Row],[Budget_Allocated_INR]])</f>
        <v>-6832.1199999999953</v>
      </c>
      <c r="H33">
        <v>-6832.12</v>
      </c>
      <c r="I33" s="1">
        <v>45077</v>
      </c>
      <c r="J33" t="s">
        <v>526</v>
      </c>
      <c r="K33" t="s">
        <v>560</v>
      </c>
      <c r="L33" t="s">
        <v>518</v>
      </c>
      <c r="M33" t="s">
        <v>537</v>
      </c>
      <c r="N33" t="s">
        <v>520</v>
      </c>
    </row>
    <row r="34" spans="1:15" x14ac:dyDescent="0.35">
      <c r="A34" t="s">
        <v>594</v>
      </c>
      <c r="B34" t="s">
        <v>79</v>
      </c>
      <c r="C34" t="s">
        <v>586</v>
      </c>
      <c r="D34" t="s">
        <v>550</v>
      </c>
      <c r="E34">
        <v>350446</v>
      </c>
      <c r="F34">
        <v>293167.5</v>
      </c>
      <c r="G34">
        <f>IF(Table13[[#This Row],[Budget_Allocated_INR]]="","",Table13[[#This Row],[Amount_INR]]-Table13[[#This Row],[Budget_Allocated_INR]])</f>
        <v>57278.5</v>
      </c>
      <c r="H34">
        <v>57278.5</v>
      </c>
      <c r="I34" s="1">
        <v>45395</v>
      </c>
      <c r="J34" t="s">
        <v>526</v>
      </c>
      <c r="K34" t="s">
        <v>517</v>
      </c>
      <c r="L34" t="s">
        <v>536</v>
      </c>
      <c r="M34" t="s">
        <v>537</v>
      </c>
      <c r="N34" t="s">
        <v>520</v>
      </c>
    </row>
    <row r="35" spans="1:15" x14ac:dyDescent="0.35">
      <c r="A35" t="s">
        <v>595</v>
      </c>
      <c r="B35" t="s">
        <v>548</v>
      </c>
      <c r="C35" t="s">
        <v>596</v>
      </c>
      <c r="D35" t="s">
        <v>550</v>
      </c>
      <c r="E35">
        <v>215496</v>
      </c>
      <c r="F35">
        <v>269360.68</v>
      </c>
      <c r="G35">
        <f>IF(Table13[[#This Row],[Budget_Allocated_INR]]="","",Table13[[#This Row],[Amount_INR]]-Table13[[#This Row],[Budget_Allocated_INR]])</f>
        <v>-53864.679999999993</v>
      </c>
      <c r="I35" s="1">
        <v>45427</v>
      </c>
      <c r="J35" t="s">
        <v>597</v>
      </c>
      <c r="K35" t="s">
        <v>560</v>
      </c>
      <c r="L35" t="s">
        <v>536</v>
      </c>
      <c r="M35" t="s">
        <v>554</v>
      </c>
      <c r="N35" t="s">
        <v>520</v>
      </c>
      <c r="O35" t="s">
        <v>521</v>
      </c>
    </row>
    <row r="36" spans="1:15" x14ac:dyDescent="0.35">
      <c r="A36" t="s">
        <v>598</v>
      </c>
      <c r="B36" t="s">
        <v>530</v>
      </c>
      <c r="C36" t="s">
        <v>599</v>
      </c>
      <c r="D36" t="s">
        <v>559</v>
      </c>
      <c r="E36">
        <v>7227</v>
      </c>
      <c r="F36">
        <v>9023.9</v>
      </c>
      <c r="G36">
        <f>IF(Table13[[#This Row],[Budget_Allocated_INR]]="","",Table13[[#This Row],[Amount_INR]]-Table13[[#This Row],[Budget_Allocated_INR]])</f>
        <v>-1796.8999999999996</v>
      </c>
      <c r="H36">
        <v>-1796.9</v>
      </c>
      <c r="I36" s="1">
        <v>45131</v>
      </c>
      <c r="J36" t="s">
        <v>526</v>
      </c>
      <c r="K36" t="s">
        <v>517</v>
      </c>
      <c r="L36" t="s">
        <v>518</v>
      </c>
      <c r="M36" t="s">
        <v>537</v>
      </c>
      <c r="N36" t="s">
        <v>520</v>
      </c>
    </row>
    <row r="37" spans="1:15" x14ac:dyDescent="0.35">
      <c r="A37" t="s">
        <v>600</v>
      </c>
      <c r="B37" t="s">
        <v>523</v>
      </c>
      <c r="C37" t="s">
        <v>558</v>
      </c>
      <c r="D37" t="s">
        <v>574</v>
      </c>
      <c r="E37">
        <v>481644</v>
      </c>
      <c r="F37">
        <v>431586.58</v>
      </c>
      <c r="G37">
        <f>IF(Table13[[#This Row],[Budget_Allocated_INR]]="","",Table13[[#This Row],[Amount_INR]]-Table13[[#This Row],[Budget_Allocated_INR]])</f>
        <v>50057.419999999984</v>
      </c>
      <c r="H37">
        <v>50057.42</v>
      </c>
      <c r="I37" s="1">
        <v>45338</v>
      </c>
      <c r="J37" t="s">
        <v>526</v>
      </c>
      <c r="K37" t="s">
        <v>517</v>
      </c>
      <c r="L37" t="s">
        <v>518</v>
      </c>
      <c r="M37" t="s">
        <v>546</v>
      </c>
      <c r="N37" t="s">
        <v>520</v>
      </c>
    </row>
    <row r="38" spans="1:15" x14ac:dyDescent="0.35">
      <c r="A38" t="s">
        <v>601</v>
      </c>
      <c r="B38" t="s">
        <v>530</v>
      </c>
      <c r="C38" t="s">
        <v>599</v>
      </c>
      <c r="D38" t="s">
        <v>574</v>
      </c>
      <c r="E38">
        <v>-214583</v>
      </c>
      <c r="F38">
        <v>220195.61</v>
      </c>
      <c r="G38">
        <f>IF(Table13[[#This Row],[Budget_Allocated_INR]]="","",Table13[[#This Row],[Amount_INR]]-Table13[[#This Row],[Budget_Allocated_INR]])</f>
        <v>-434778.61</v>
      </c>
      <c r="H38">
        <v>-5612.61</v>
      </c>
      <c r="I38" s="1">
        <v>45157</v>
      </c>
      <c r="J38" t="s">
        <v>526</v>
      </c>
      <c r="K38" t="s">
        <v>560</v>
      </c>
      <c r="L38" t="s">
        <v>518</v>
      </c>
      <c r="M38" t="s">
        <v>537</v>
      </c>
      <c r="N38" t="s">
        <v>582</v>
      </c>
    </row>
    <row r="39" spans="1:15" x14ac:dyDescent="0.35">
      <c r="A39" t="s">
        <v>602</v>
      </c>
      <c r="B39" t="s">
        <v>530</v>
      </c>
      <c r="C39" t="s">
        <v>524</v>
      </c>
      <c r="D39" t="s">
        <v>525</v>
      </c>
      <c r="E39">
        <v>71717</v>
      </c>
      <c r="F39">
        <v>89231.77</v>
      </c>
      <c r="G39">
        <f>IF(Table13[[#This Row],[Budget_Allocated_INR]]="","",Table13[[#This Row],[Amount_INR]]-Table13[[#This Row],[Budget_Allocated_INR]])</f>
        <v>-17514.770000000004</v>
      </c>
      <c r="H39">
        <v>-17514.77</v>
      </c>
      <c r="I39" s="1">
        <v>45573</v>
      </c>
      <c r="J39" t="s">
        <v>526</v>
      </c>
      <c r="K39" t="s">
        <v>540</v>
      </c>
      <c r="L39" t="s">
        <v>536</v>
      </c>
      <c r="M39" t="s">
        <v>546</v>
      </c>
      <c r="N39" t="s">
        <v>520</v>
      </c>
    </row>
    <row r="40" spans="1:15" x14ac:dyDescent="0.35">
      <c r="A40" t="s">
        <v>603</v>
      </c>
      <c r="B40" t="s">
        <v>545</v>
      </c>
      <c r="C40" t="s">
        <v>581</v>
      </c>
      <c r="D40" t="s">
        <v>535</v>
      </c>
      <c r="E40">
        <v>352092</v>
      </c>
      <c r="F40">
        <v>424330.22</v>
      </c>
      <c r="G40">
        <f>IF(Table13[[#This Row],[Budget_Allocated_INR]]="","",Table13[[#This Row],[Amount_INR]]-Table13[[#This Row],[Budget_Allocated_INR]])</f>
        <v>-72238.219999999972</v>
      </c>
      <c r="H40">
        <v>-72238.22</v>
      </c>
      <c r="I40" s="1">
        <v>45540</v>
      </c>
      <c r="J40" t="s">
        <v>526</v>
      </c>
      <c r="K40" t="s">
        <v>527</v>
      </c>
      <c r="L40" t="s">
        <v>536</v>
      </c>
      <c r="M40" t="s">
        <v>568</v>
      </c>
      <c r="N40" t="s">
        <v>520</v>
      </c>
    </row>
    <row r="41" spans="1:15" x14ac:dyDescent="0.35">
      <c r="A41" t="s">
        <v>604</v>
      </c>
      <c r="B41" t="s">
        <v>565</v>
      </c>
      <c r="C41" t="s">
        <v>549</v>
      </c>
      <c r="D41" t="s">
        <v>605</v>
      </c>
      <c r="E41">
        <v>3606815</v>
      </c>
      <c r="F41">
        <v>3411626.72</v>
      </c>
      <c r="G41">
        <f>IF(Table13[[#This Row],[Budget_Allocated_INR]]="","",Table13[[#This Row],[Amount_INR]]-Table13[[#This Row],[Budget_Allocated_INR]])</f>
        <v>195188.2799999998</v>
      </c>
      <c r="H41">
        <v>195188.28</v>
      </c>
      <c r="I41" s="1">
        <v>45464</v>
      </c>
      <c r="J41" t="s">
        <v>516</v>
      </c>
      <c r="K41" t="s">
        <v>527</v>
      </c>
      <c r="L41" t="s">
        <v>536</v>
      </c>
      <c r="M41" t="s">
        <v>528</v>
      </c>
      <c r="N41" t="s">
        <v>520</v>
      </c>
      <c r="O41" t="s">
        <v>521</v>
      </c>
    </row>
    <row r="42" spans="1:15" x14ac:dyDescent="0.35">
      <c r="A42" t="s">
        <v>606</v>
      </c>
      <c r="B42" t="s">
        <v>530</v>
      </c>
      <c r="C42" t="s">
        <v>514</v>
      </c>
      <c r="D42" t="s">
        <v>550</v>
      </c>
      <c r="E42">
        <v>128850</v>
      </c>
      <c r="F42">
        <v>118183.64</v>
      </c>
      <c r="G42">
        <f>IF(Table13[[#This Row],[Budget_Allocated_INR]]="","",Table13[[#This Row],[Amount_INR]]-Table13[[#This Row],[Budget_Allocated_INR]])</f>
        <v>10666.36</v>
      </c>
      <c r="H42">
        <v>10666.36</v>
      </c>
      <c r="I42" s="1">
        <v>45143</v>
      </c>
      <c r="J42" t="s">
        <v>526</v>
      </c>
      <c r="K42" t="s">
        <v>517</v>
      </c>
      <c r="L42" t="s">
        <v>518</v>
      </c>
      <c r="M42" t="s">
        <v>537</v>
      </c>
      <c r="N42" t="s">
        <v>520</v>
      </c>
    </row>
    <row r="43" spans="1:15" x14ac:dyDescent="0.35">
      <c r="A43" t="s">
        <v>607</v>
      </c>
      <c r="B43" t="s">
        <v>523</v>
      </c>
      <c r="C43" t="s">
        <v>524</v>
      </c>
      <c r="D43" t="s">
        <v>532</v>
      </c>
      <c r="E43">
        <v>166769</v>
      </c>
      <c r="F43">
        <v>196065.31</v>
      </c>
      <c r="G43">
        <f>IF(Table13[[#This Row],[Budget_Allocated_INR]]="","",Table13[[#This Row],[Amount_INR]]-Table13[[#This Row],[Budget_Allocated_INR]])</f>
        <v>-29296.309999999998</v>
      </c>
      <c r="H43">
        <v>-29296.31</v>
      </c>
      <c r="I43" s="1">
        <v>45175</v>
      </c>
      <c r="J43" t="s">
        <v>526</v>
      </c>
      <c r="K43" t="s">
        <v>540</v>
      </c>
      <c r="L43" t="s">
        <v>518</v>
      </c>
      <c r="M43" t="s">
        <v>528</v>
      </c>
      <c r="N43" t="s">
        <v>520</v>
      </c>
    </row>
    <row r="44" spans="1:15" x14ac:dyDescent="0.35">
      <c r="A44" t="s">
        <v>608</v>
      </c>
      <c r="B44" t="s">
        <v>548</v>
      </c>
      <c r="C44" t="s">
        <v>562</v>
      </c>
      <c r="D44" t="s">
        <v>593</v>
      </c>
      <c r="E44">
        <v>454117</v>
      </c>
      <c r="G44" t="str">
        <f>IF(Table13[[#This Row],[Budget_Allocated_INR]]="","",Table13[[#This Row],[Amount_INR]]-Table13[[#This Row],[Budget_Allocated_INR]])</f>
        <v/>
      </c>
      <c r="H44">
        <v>-112004.76</v>
      </c>
      <c r="I44" s="1">
        <v>45077</v>
      </c>
      <c r="J44" t="s">
        <v>526</v>
      </c>
      <c r="K44" t="s">
        <v>517</v>
      </c>
      <c r="L44" t="s">
        <v>518</v>
      </c>
      <c r="M44" t="s">
        <v>519</v>
      </c>
      <c r="N44" t="s">
        <v>520</v>
      </c>
    </row>
    <row r="45" spans="1:15" x14ac:dyDescent="0.35">
      <c r="A45" t="s">
        <v>609</v>
      </c>
      <c r="B45" t="s">
        <v>530</v>
      </c>
      <c r="C45" t="s">
        <v>599</v>
      </c>
      <c r="D45" t="s">
        <v>563</v>
      </c>
      <c r="E45">
        <v>225901</v>
      </c>
      <c r="F45">
        <v>254208.33</v>
      </c>
      <c r="G45">
        <f>IF(Table13[[#This Row],[Budget_Allocated_INR]]="","",Table13[[#This Row],[Amount_INR]]-Table13[[#This Row],[Budget_Allocated_INR]])</f>
        <v>-28307.329999999987</v>
      </c>
      <c r="H45">
        <v>-28307.33</v>
      </c>
      <c r="I45" s="1">
        <v>45520</v>
      </c>
      <c r="J45" t="s">
        <v>526</v>
      </c>
      <c r="K45" t="s">
        <v>560</v>
      </c>
      <c r="L45" t="s">
        <v>536</v>
      </c>
      <c r="M45" t="s">
        <v>528</v>
      </c>
      <c r="N45" t="s">
        <v>520</v>
      </c>
    </row>
    <row r="46" spans="1:15" x14ac:dyDescent="0.35">
      <c r="A46" t="s">
        <v>610</v>
      </c>
      <c r="B46" t="s">
        <v>545</v>
      </c>
      <c r="C46" t="s">
        <v>581</v>
      </c>
      <c r="D46" t="s">
        <v>574</v>
      </c>
      <c r="E46">
        <v>173047</v>
      </c>
      <c r="F46">
        <v>149662.31</v>
      </c>
      <c r="G46">
        <f>IF(Table13[[#This Row],[Budget_Allocated_INR]]="","",Table13[[#This Row],[Amount_INR]]-Table13[[#This Row],[Budget_Allocated_INR]])</f>
        <v>23384.690000000002</v>
      </c>
      <c r="I46" s="1">
        <v>45249</v>
      </c>
      <c r="J46" t="s">
        <v>526</v>
      </c>
      <c r="K46" t="s">
        <v>517</v>
      </c>
      <c r="L46" t="s">
        <v>518</v>
      </c>
      <c r="M46" t="s">
        <v>519</v>
      </c>
      <c r="N46" t="s">
        <v>520</v>
      </c>
    </row>
    <row r="47" spans="1:15" x14ac:dyDescent="0.35">
      <c r="A47" t="s">
        <v>611</v>
      </c>
      <c r="B47" t="s">
        <v>534</v>
      </c>
      <c r="C47" t="s">
        <v>596</v>
      </c>
      <c r="D47" t="s">
        <v>535</v>
      </c>
      <c r="E47">
        <v>247370</v>
      </c>
      <c r="F47">
        <v>268703.57</v>
      </c>
      <c r="G47">
        <f>IF(Table13[[#This Row],[Budget_Allocated_INR]]="","",Table13[[#This Row],[Amount_INR]]-Table13[[#This Row],[Budget_Allocated_INR]])</f>
        <v>-21333.570000000007</v>
      </c>
      <c r="H47">
        <v>-21333.57</v>
      </c>
      <c r="I47" s="1">
        <v>45554</v>
      </c>
      <c r="J47" t="s">
        <v>526</v>
      </c>
      <c r="K47" t="s">
        <v>527</v>
      </c>
      <c r="L47" t="s">
        <v>536</v>
      </c>
      <c r="M47" t="s">
        <v>537</v>
      </c>
      <c r="N47" t="s">
        <v>520</v>
      </c>
    </row>
    <row r="48" spans="1:15" x14ac:dyDescent="0.35">
      <c r="A48" t="s">
        <v>612</v>
      </c>
      <c r="B48" t="s">
        <v>545</v>
      </c>
      <c r="C48" t="s">
        <v>531</v>
      </c>
      <c r="D48" t="s">
        <v>550</v>
      </c>
      <c r="E48">
        <v>295595</v>
      </c>
      <c r="F48">
        <v>333028.71000000002</v>
      </c>
      <c r="G48">
        <f>IF(Table13[[#This Row],[Budget_Allocated_INR]]="","",Table13[[#This Row],[Amount_INR]]-Table13[[#This Row],[Budget_Allocated_INR]])</f>
        <v>-37433.710000000021</v>
      </c>
      <c r="H48">
        <v>-37433.71</v>
      </c>
      <c r="I48" s="1">
        <v>45555</v>
      </c>
      <c r="J48" t="s">
        <v>516</v>
      </c>
      <c r="K48" t="s">
        <v>517</v>
      </c>
      <c r="L48" t="s">
        <v>536</v>
      </c>
      <c r="M48" t="s">
        <v>546</v>
      </c>
      <c r="N48" t="s">
        <v>520</v>
      </c>
      <c r="O48" t="s">
        <v>521</v>
      </c>
    </row>
    <row r="49" spans="1:15" x14ac:dyDescent="0.35">
      <c r="A49" t="s">
        <v>613</v>
      </c>
      <c r="B49" t="s">
        <v>534</v>
      </c>
      <c r="C49" t="s">
        <v>581</v>
      </c>
      <c r="D49" t="s">
        <v>525</v>
      </c>
      <c r="E49">
        <v>344780</v>
      </c>
      <c r="F49">
        <v>378391.66</v>
      </c>
      <c r="G49">
        <f>IF(Table13[[#This Row],[Budget_Allocated_INR]]="","",Table13[[#This Row],[Amount_INR]]-Table13[[#This Row],[Budget_Allocated_INR]])</f>
        <v>-33611.659999999974</v>
      </c>
      <c r="H49">
        <v>-33611.660000000003</v>
      </c>
      <c r="I49" s="1">
        <v>44976</v>
      </c>
      <c r="J49" t="s">
        <v>526</v>
      </c>
      <c r="K49" t="s">
        <v>527</v>
      </c>
      <c r="L49" t="s">
        <v>541</v>
      </c>
      <c r="M49" t="s">
        <v>537</v>
      </c>
      <c r="N49" t="s">
        <v>520</v>
      </c>
    </row>
    <row r="50" spans="1:15" x14ac:dyDescent="0.35">
      <c r="A50" t="s">
        <v>614</v>
      </c>
      <c r="B50" t="s">
        <v>534</v>
      </c>
      <c r="C50" t="s">
        <v>581</v>
      </c>
      <c r="D50" t="s">
        <v>515</v>
      </c>
      <c r="E50">
        <v>228003</v>
      </c>
      <c r="F50">
        <v>192790.08</v>
      </c>
      <c r="G50">
        <f>IF(Table13[[#This Row],[Budget_Allocated_INR]]="","",Table13[[#This Row],[Amount_INR]]-Table13[[#This Row],[Budget_Allocated_INR]])</f>
        <v>35212.920000000013</v>
      </c>
      <c r="H50">
        <v>35212.92</v>
      </c>
      <c r="I50" s="1">
        <v>45366</v>
      </c>
      <c r="J50" t="s">
        <v>526</v>
      </c>
      <c r="K50" t="s">
        <v>540</v>
      </c>
      <c r="L50" t="s">
        <v>518</v>
      </c>
      <c r="M50" t="s">
        <v>519</v>
      </c>
      <c r="N50" t="s">
        <v>520</v>
      </c>
    </row>
    <row r="51" spans="1:15" x14ac:dyDescent="0.35">
      <c r="A51" t="s">
        <v>615</v>
      </c>
      <c r="B51" t="s">
        <v>548</v>
      </c>
      <c r="C51" t="s">
        <v>581</v>
      </c>
      <c r="D51" t="s">
        <v>605</v>
      </c>
      <c r="E51">
        <v>205500</v>
      </c>
      <c r="F51">
        <v>166546.9</v>
      </c>
      <c r="G51">
        <f>IF(Table13[[#This Row],[Budget_Allocated_INR]]="","",Table13[[#This Row],[Amount_INR]]-Table13[[#This Row],[Budget_Allocated_INR]])</f>
        <v>38953.100000000006</v>
      </c>
      <c r="H51">
        <v>38953.1</v>
      </c>
      <c r="I51" s="1">
        <v>45180</v>
      </c>
      <c r="J51" t="s">
        <v>526</v>
      </c>
      <c r="K51" t="s">
        <v>517</v>
      </c>
      <c r="L51" t="s">
        <v>518</v>
      </c>
      <c r="M51" t="s">
        <v>554</v>
      </c>
      <c r="N51" t="s">
        <v>520</v>
      </c>
    </row>
    <row r="52" spans="1:15" x14ac:dyDescent="0.35">
      <c r="A52" t="s">
        <v>616</v>
      </c>
      <c r="B52" t="s">
        <v>530</v>
      </c>
      <c r="C52" t="s">
        <v>524</v>
      </c>
      <c r="D52" t="s">
        <v>593</v>
      </c>
      <c r="E52">
        <v>336583</v>
      </c>
      <c r="F52">
        <v>372109.92</v>
      </c>
      <c r="G52">
        <f>IF(Table13[[#This Row],[Budget_Allocated_INR]]="","",Table13[[#This Row],[Amount_INR]]-Table13[[#This Row],[Budget_Allocated_INR]])</f>
        <v>-35526.919999999984</v>
      </c>
      <c r="H52">
        <v>-35526.92</v>
      </c>
      <c r="I52" s="1">
        <v>44983</v>
      </c>
      <c r="J52" t="s">
        <v>526</v>
      </c>
      <c r="K52" t="s">
        <v>540</v>
      </c>
      <c r="L52" t="s">
        <v>541</v>
      </c>
      <c r="M52" t="s">
        <v>519</v>
      </c>
      <c r="N52" t="s">
        <v>520</v>
      </c>
    </row>
    <row r="53" spans="1:15" x14ac:dyDescent="0.35">
      <c r="A53" t="s">
        <v>617</v>
      </c>
      <c r="B53" t="s">
        <v>548</v>
      </c>
      <c r="C53" t="s">
        <v>599</v>
      </c>
      <c r="D53" t="s">
        <v>571</v>
      </c>
      <c r="E53">
        <v>76037</v>
      </c>
      <c r="F53">
        <v>88996.479999999996</v>
      </c>
      <c r="G53">
        <f>IF(Table13[[#This Row],[Budget_Allocated_INR]]="","",Table13[[#This Row],[Amount_INR]]-Table13[[#This Row],[Budget_Allocated_INR]])</f>
        <v>-12959.479999999996</v>
      </c>
      <c r="H53">
        <v>-12959.48</v>
      </c>
      <c r="I53" s="1">
        <v>45229</v>
      </c>
      <c r="J53" t="s">
        <v>526</v>
      </c>
      <c r="K53" t="s">
        <v>527</v>
      </c>
      <c r="L53" t="s">
        <v>518</v>
      </c>
      <c r="M53" t="s">
        <v>537</v>
      </c>
      <c r="N53" t="s">
        <v>520</v>
      </c>
    </row>
    <row r="54" spans="1:15" x14ac:dyDescent="0.35">
      <c r="A54" t="s">
        <v>618</v>
      </c>
      <c r="B54" t="s">
        <v>548</v>
      </c>
      <c r="C54" t="s">
        <v>543</v>
      </c>
      <c r="D54" t="s">
        <v>605</v>
      </c>
      <c r="E54">
        <v>51292</v>
      </c>
      <c r="F54">
        <v>52199.26</v>
      </c>
      <c r="G54">
        <f>IF(Table13[[#This Row],[Budget_Allocated_INR]]="","",Table13[[#This Row],[Amount_INR]]-Table13[[#This Row],[Budget_Allocated_INR]])</f>
        <v>-907.26000000000204</v>
      </c>
      <c r="H54">
        <v>-907.26</v>
      </c>
      <c r="I54" s="1">
        <v>45250</v>
      </c>
      <c r="J54" t="s">
        <v>526</v>
      </c>
      <c r="K54" t="s">
        <v>560</v>
      </c>
      <c r="L54" t="s">
        <v>518</v>
      </c>
      <c r="M54" t="s">
        <v>546</v>
      </c>
      <c r="N54" t="s">
        <v>520</v>
      </c>
    </row>
    <row r="55" spans="1:15" x14ac:dyDescent="0.35">
      <c r="A55" t="s">
        <v>619</v>
      </c>
      <c r="B55" t="s">
        <v>548</v>
      </c>
      <c r="C55" t="s">
        <v>581</v>
      </c>
      <c r="D55" t="s">
        <v>525</v>
      </c>
      <c r="E55">
        <v>-307191</v>
      </c>
      <c r="F55">
        <v>328740.27</v>
      </c>
      <c r="G55">
        <f>IF(Table13[[#This Row],[Budget_Allocated_INR]]="","",Table13[[#This Row],[Amount_INR]]-Table13[[#This Row],[Budget_Allocated_INR]])</f>
        <v>-635931.27</v>
      </c>
      <c r="H55">
        <v>-21549.27</v>
      </c>
      <c r="I55" s="1">
        <v>45684</v>
      </c>
      <c r="J55" t="s">
        <v>526</v>
      </c>
      <c r="K55" t="s">
        <v>527</v>
      </c>
      <c r="L55" t="s">
        <v>536</v>
      </c>
      <c r="M55" t="s">
        <v>519</v>
      </c>
      <c r="N55" t="s">
        <v>582</v>
      </c>
    </row>
    <row r="56" spans="1:15" x14ac:dyDescent="0.35">
      <c r="A56" t="s">
        <v>620</v>
      </c>
      <c r="B56" t="s">
        <v>523</v>
      </c>
      <c r="C56" t="s">
        <v>531</v>
      </c>
      <c r="D56" t="s">
        <v>535</v>
      </c>
      <c r="E56">
        <v>333909</v>
      </c>
      <c r="F56">
        <v>401580.86</v>
      </c>
      <c r="G56">
        <f>IF(Table13[[#This Row],[Budget_Allocated_INR]]="","",Table13[[#This Row],[Amount_INR]]-Table13[[#This Row],[Budget_Allocated_INR]])</f>
        <v>-67671.859999999986</v>
      </c>
      <c r="H56">
        <v>-67671.86</v>
      </c>
      <c r="I56" s="1">
        <v>45317</v>
      </c>
      <c r="J56" t="s">
        <v>597</v>
      </c>
      <c r="K56" t="s">
        <v>527</v>
      </c>
      <c r="L56" t="s">
        <v>518</v>
      </c>
      <c r="M56" t="s">
        <v>528</v>
      </c>
      <c r="N56" t="s">
        <v>520</v>
      </c>
      <c r="O56" t="s">
        <v>521</v>
      </c>
    </row>
    <row r="57" spans="1:15" x14ac:dyDescent="0.35">
      <c r="A57" t="s">
        <v>621</v>
      </c>
      <c r="B57" t="s">
        <v>534</v>
      </c>
      <c r="C57" t="s">
        <v>581</v>
      </c>
      <c r="D57" t="s">
        <v>532</v>
      </c>
      <c r="E57">
        <v>325449</v>
      </c>
      <c r="F57">
        <v>392529.63</v>
      </c>
      <c r="G57">
        <f>IF(Table13[[#This Row],[Budget_Allocated_INR]]="","",Table13[[#This Row],[Amount_INR]]-Table13[[#This Row],[Budget_Allocated_INR]])</f>
        <v>-67080.63</v>
      </c>
      <c r="H57">
        <v>-67080.63</v>
      </c>
      <c r="I57" s="1">
        <v>45709</v>
      </c>
      <c r="J57" t="s">
        <v>526</v>
      </c>
      <c r="K57" t="s">
        <v>527</v>
      </c>
      <c r="L57" t="s">
        <v>536</v>
      </c>
      <c r="M57" t="s">
        <v>546</v>
      </c>
      <c r="N57" t="s">
        <v>520</v>
      </c>
    </row>
    <row r="58" spans="1:15" x14ac:dyDescent="0.35">
      <c r="A58" t="s">
        <v>622</v>
      </c>
      <c r="B58" t="s">
        <v>523</v>
      </c>
      <c r="C58" t="s">
        <v>552</v>
      </c>
      <c r="D58" t="s">
        <v>550</v>
      </c>
      <c r="E58">
        <v>10526</v>
      </c>
      <c r="F58">
        <v>9003.5300000000007</v>
      </c>
      <c r="G58">
        <f>IF(Table13[[#This Row],[Budget_Allocated_INR]]="","",Table13[[#This Row],[Amount_INR]]-Table13[[#This Row],[Budget_Allocated_INR]])</f>
        <v>1522.4699999999993</v>
      </c>
      <c r="H58">
        <v>1522.47</v>
      </c>
      <c r="I58" s="1">
        <v>45217</v>
      </c>
      <c r="J58" t="s">
        <v>526</v>
      </c>
      <c r="K58" t="s">
        <v>527</v>
      </c>
      <c r="L58" t="s">
        <v>518</v>
      </c>
      <c r="M58" t="s">
        <v>519</v>
      </c>
      <c r="N58" t="s">
        <v>520</v>
      </c>
    </row>
    <row r="59" spans="1:15" x14ac:dyDescent="0.35">
      <c r="A59" t="s">
        <v>623</v>
      </c>
      <c r="B59" t="s">
        <v>530</v>
      </c>
      <c r="C59" t="s">
        <v>624</v>
      </c>
      <c r="D59" t="s">
        <v>532</v>
      </c>
      <c r="E59">
        <v>464884</v>
      </c>
      <c r="F59">
        <v>581075.86</v>
      </c>
      <c r="G59">
        <f>IF(Table13[[#This Row],[Budget_Allocated_INR]]="","",Table13[[#This Row],[Amount_INR]]-Table13[[#This Row],[Budget_Allocated_INR]])</f>
        <v>-116191.85999999999</v>
      </c>
      <c r="H59">
        <v>-116191.86</v>
      </c>
      <c r="I59" s="1">
        <v>45636</v>
      </c>
      <c r="J59" t="s">
        <v>597</v>
      </c>
      <c r="K59" t="s">
        <v>517</v>
      </c>
      <c r="L59" t="s">
        <v>536</v>
      </c>
      <c r="M59" t="s">
        <v>554</v>
      </c>
      <c r="N59" t="s">
        <v>520</v>
      </c>
      <c r="O59" t="s">
        <v>521</v>
      </c>
    </row>
    <row r="60" spans="1:15" x14ac:dyDescent="0.35">
      <c r="A60" t="s">
        <v>625</v>
      </c>
      <c r="B60" t="s">
        <v>530</v>
      </c>
      <c r="C60" t="s">
        <v>599</v>
      </c>
      <c r="D60" t="s">
        <v>593</v>
      </c>
      <c r="E60">
        <v>265649</v>
      </c>
      <c r="F60">
        <v>235191.89</v>
      </c>
      <c r="G60">
        <f>IF(Table13[[#This Row],[Budget_Allocated_INR]]="","",Table13[[#This Row],[Amount_INR]]-Table13[[#This Row],[Budget_Allocated_INR]])</f>
        <v>30457.109999999986</v>
      </c>
      <c r="H60">
        <v>30457.11</v>
      </c>
      <c r="I60" s="1">
        <v>45298</v>
      </c>
      <c r="J60" t="s">
        <v>526</v>
      </c>
      <c r="K60" t="s">
        <v>540</v>
      </c>
      <c r="L60" t="s">
        <v>518</v>
      </c>
      <c r="M60" t="s">
        <v>537</v>
      </c>
      <c r="N60" t="s">
        <v>520</v>
      </c>
    </row>
    <row r="61" spans="1:15" x14ac:dyDescent="0.35">
      <c r="A61" t="s">
        <v>626</v>
      </c>
      <c r="B61" t="s">
        <v>534</v>
      </c>
      <c r="C61" t="s">
        <v>558</v>
      </c>
      <c r="D61" t="s">
        <v>593</v>
      </c>
      <c r="E61">
        <v>32268</v>
      </c>
      <c r="F61">
        <v>26832.63</v>
      </c>
      <c r="G61">
        <f>IF(Table13[[#This Row],[Budget_Allocated_INR]]="","",Table13[[#This Row],[Amount_INR]]-Table13[[#This Row],[Budget_Allocated_INR]])</f>
        <v>5435.369999999999</v>
      </c>
      <c r="H61">
        <v>5435.37</v>
      </c>
      <c r="I61" s="1">
        <v>45157</v>
      </c>
      <c r="J61" t="s">
        <v>526</v>
      </c>
      <c r="K61" t="s">
        <v>540</v>
      </c>
      <c r="L61" t="s">
        <v>518</v>
      </c>
      <c r="M61" t="s">
        <v>519</v>
      </c>
      <c r="N61" t="s">
        <v>520</v>
      </c>
    </row>
    <row r="62" spans="1:15" x14ac:dyDescent="0.35">
      <c r="A62" t="s">
        <v>627</v>
      </c>
      <c r="B62" t="s">
        <v>534</v>
      </c>
      <c r="C62" t="s">
        <v>543</v>
      </c>
      <c r="D62" t="s">
        <v>550</v>
      </c>
      <c r="E62">
        <v>79555</v>
      </c>
      <c r="F62">
        <v>101962.75</v>
      </c>
      <c r="G62">
        <f>IF(Table13[[#This Row],[Budget_Allocated_INR]]="","",Table13[[#This Row],[Amount_INR]]-Table13[[#This Row],[Budget_Allocated_INR]])</f>
        <v>-22407.75</v>
      </c>
      <c r="H62">
        <v>-22407.75</v>
      </c>
      <c r="I62" s="1">
        <v>44958</v>
      </c>
      <c r="J62" t="s">
        <v>526</v>
      </c>
      <c r="K62" t="s">
        <v>527</v>
      </c>
      <c r="L62" t="s">
        <v>541</v>
      </c>
      <c r="M62" t="s">
        <v>537</v>
      </c>
      <c r="N62" t="s">
        <v>520</v>
      </c>
    </row>
    <row r="63" spans="1:15" x14ac:dyDescent="0.35">
      <c r="A63" t="s">
        <v>628</v>
      </c>
      <c r="B63" t="s">
        <v>530</v>
      </c>
      <c r="C63" t="s">
        <v>524</v>
      </c>
      <c r="D63" t="s">
        <v>588</v>
      </c>
      <c r="E63">
        <v>411030</v>
      </c>
      <c r="F63">
        <v>392369.5</v>
      </c>
      <c r="G63">
        <f>IF(Table13[[#This Row],[Budget_Allocated_INR]]="","",Table13[[#This Row],[Amount_INR]]-Table13[[#This Row],[Budget_Allocated_INR]])</f>
        <v>18660.5</v>
      </c>
      <c r="H63">
        <v>18660.5</v>
      </c>
      <c r="I63" s="1">
        <v>44966</v>
      </c>
      <c r="J63" t="s">
        <v>526</v>
      </c>
      <c r="K63" t="s">
        <v>517</v>
      </c>
      <c r="L63" t="s">
        <v>541</v>
      </c>
      <c r="M63" t="s">
        <v>537</v>
      </c>
      <c r="N63" t="s">
        <v>520</v>
      </c>
    </row>
    <row r="64" spans="1:15" x14ac:dyDescent="0.35">
      <c r="A64" t="s">
        <v>629</v>
      </c>
      <c r="B64" t="s">
        <v>534</v>
      </c>
      <c r="C64" t="s">
        <v>514</v>
      </c>
      <c r="D64" t="s">
        <v>525</v>
      </c>
      <c r="E64">
        <v>2583687</v>
      </c>
      <c r="F64">
        <v>2695007.68</v>
      </c>
      <c r="G64">
        <f>IF(Table13[[#This Row],[Budget_Allocated_INR]]="","",Table13[[#This Row],[Amount_INR]]-Table13[[#This Row],[Budget_Allocated_INR]])</f>
        <v>-111320.68000000017</v>
      </c>
      <c r="H64">
        <v>-111320.68</v>
      </c>
      <c r="I64" s="1">
        <v>45655</v>
      </c>
      <c r="J64" t="s">
        <v>516</v>
      </c>
      <c r="K64" t="s">
        <v>517</v>
      </c>
      <c r="L64" t="s">
        <v>536</v>
      </c>
      <c r="M64" t="s">
        <v>537</v>
      </c>
      <c r="N64" t="s">
        <v>520</v>
      </c>
      <c r="O64" t="s">
        <v>521</v>
      </c>
    </row>
    <row r="65" spans="1:15" x14ac:dyDescent="0.35">
      <c r="A65" t="s">
        <v>630</v>
      </c>
      <c r="B65" t="s">
        <v>530</v>
      </c>
      <c r="C65" t="s">
        <v>558</v>
      </c>
      <c r="D65" t="s">
        <v>588</v>
      </c>
      <c r="E65">
        <v>99203</v>
      </c>
      <c r="F65">
        <v>111995.57</v>
      </c>
      <c r="G65">
        <f>IF(Table13[[#This Row],[Budget_Allocated_INR]]="","",Table13[[#This Row],[Amount_INR]]-Table13[[#This Row],[Budget_Allocated_INR]])</f>
        <v>-12792.570000000007</v>
      </c>
      <c r="H65">
        <v>-12792.57</v>
      </c>
      <c r="I65" s="1">
        <v>45616</v>
      </c>
      <c r="J65" t="s">
        <v>526</v>
      </c>
      <c r="K65" t="s">
        <v>527</v>
      </c>
      <c r="L65" t="s">
        <v>536</v>
      </c>
      <c r="M65" t="s">
        <v>537</v>
      </c>
      <c r="N65" t="s">
        <v>520</v>
      </c>
    </row>
    <row r="66" spans="1:15" x14ac:dyDescent="0.35">
      <c r="A66" t="s">
        <v>631</v>
      </c>
      <c r="B66" t="s">
        <v>548</v>
      </c>
      <c r="C66" t="s">
        <v>581</v>
      </c>
      <c r="D66" t="s">
        <v>593</v>
      </c>
      <c r="E66">
        <v>413818</v>
      </c>
      <c r="F66">
        <v>475823.4</v>
      </c>
      <c r="G66">
        <f>IF(Table13[[#This Row],[Budget_Allocated_INR]]="","",Table13[[#This Row],[Amount_INR]]-Table13[[#This Row],[Budget_Allocated_INR]])</f>
        <v>-62005.400000000023</v>
      </c>
      <c r="H66">
        <v>-62005.4</v>
      </c>
      <c r="I66" s="1">
        <v>45461</v>
      </c>
      <c r="J66" t="s">
        <v>516</v>
      </c>
      <c r="K66" t="s">
        <v>540</v>
      </c>
      <c r="L66" t="s">
        <v>536</v>
      </c>
      <c r="M66" t="s">
        <v>537</v>
      </c>
      <c r="N66" t="s">
        <v>520</v>
      </c>
      <c r="O66" t="s">
        <v>521</v>
      </c>
    </row>
    <row r="67" spans="1:15" x14ac:dyDescent="0.35">
      <c r="A67" t="s">
        <v>632</v>
      </c>
      <c r="B67" t="s">
        <v>565</v>
      </c>
      <c r="C67" t="s">
        <v>524</v>
      </c>
      <c r="D67" t="s">
        <v>605</v>
      </c>
      <c r="E67">
        <v>277583</v>
      </c>
      <c r="F67">
        <v>262488.11</v>
      </c>
      <c r="G67">
        <f>IF(Table13[[#This Row],[Budget_Allocated_INR]]="","",Table13[[#This Row],[Amount_INR]]-Table13[[#This Row],[Budget_Allocated_INR]])</f>
        <v>15094.890000000014</v>
      </c>
      <c r="H67">
        <v>15094.89</v>
      </c>
      <c r="I67" s="1">
        <v>45270</v>
      </c>
      <c r="J67" t="s">
        <v>516</v>
      </c>
      <c r="K67" t="s">
        <v>540</v>
      </c>
      <c r="L67" t="s">
        <v>518</v>
      </c>
      <c r="M67" t="s">
        <v>546</v>
      </c>
      <c r="N67" t="s">
        <v>520</v>
      </c>
      <c r="O67" t="s">
        <v>521</v>
      </c>
    </row>
    <row r="68" spans="1:15" x14ac:dyDescent="0.35">
      <c r="A68" t="s">
        <v>633</v>
      </c>
      <c r="B68" t="s">
        <v>530</v>
      </c>
      <c r="C68" t="s">
        <v>581</v>
      </c>
      <c r="D68" t="s">
        <v>634</v>
      </c>
      <c r="E68">
        <v>457651</v>
      </c>
      <c r="F68">
        <v>467629.28</v>
      </c>
      <c r="G68">
        <f>IF(Table13[[#This Row],[Budget_Allocated_INR]]="","",Table13[[#This Row],[Amount_INR]]-Table13[[#This Row],[Budget_Allocated_INR]])</f>
        <v>-9978.2800000000279</v>
      </c>
      <c r="H68">
        <v>-9978.2800000000007</v>
      </c>
      <c r="I68" s="1">
        <v>45307</v>
      </c>
      <c r="J68" t="s">
        <v>526</v>
      </c>
      <c r="K68" t="s">
        <v>517</v>
      </c>
      <c r="L68" t="s">
        <v>518</v>
      </c>
      <c r="M68" t="s">
        <v>546</v>
      </c>
      <c r="N68" t="s">
        <v>520</v>
      </c>
    </row>
    <row r="69" spans="1:15" x14ac:dyDescent="0.35">
      <c r="A69" t="s">
        <v>635</v>
      </c>
      <c r="B69" t="s">
        <v>548</v>
      </c>
      <c r="C69" t="s">
        <v>586</v>
      </c>
      <c r="D69" t="s">
        <v>563</v>
      </c>
      <c r="E69">
        <v>62205</v>
      </c>
      <c r="F69">
        <v>68491.3</v>
      </c>
      <c r="G69">
        <f>IF(Table13[[#This Row],[Budget_Allocated_INR]]="","",Table13[[#This Row],[Amount_INR]]-Table13[[#This Row],[Budget_Allocated_INR]])</f>
        <v>-6286.3000000000029</v>
      </c>
      <c r="I69" s="1">
        <v>45306</v>
      </c>
      <c r="J69" t="s">
        <v>526</v>
      </c>
      <c r="K69" t="s">
        <v>560</v>
      </c>
      <c r="L69" t="s">
        <v>518</v>
      </c>
      <c r="M69" t="s">
        <v>528</v>
      </c>
      <c r="N69" t="s">
        <v>520</v>
      </c>
    </row>
    <row r="70" spans="1:15" x14ac:dyDescent="0.35">
      <c r="A70" t="s">
        <v>636</v>
      </c>
      <c r="B70" t="s">
        <v>548</v>
      </c>
      <c r="C70" t="s">
        <v>524</v>
      </c>
      <c r="D70" t="s">
        <v>525</v>
      </c>
      <c r="E70">
        <v>395114</v>
      </c>
      <c r="F70">
        <v>453184.31</v>
      </c>
      <c r="G70">
        <f>IF(Table13[[#This Row],[Budget_Allocated_INR]]="","",Table13[[#This Row],[Amount_INR]]-Table13[[#This Row],[Budget_Allocated_INR]])</f>
        <v>-58070.31</v>
      </c>
      <c r="H70">
        <v>-58070.31</v>
      </c>
      <c r="I70" s="1">
        <v>44998</v>
      </c>
      <c r="J70" t="s">
        <v>516</v>
      </c>
      <c r="K70" t="s">
        <v>560</v>
      </c>
      <c r="L70" t="s">
        <v>541</v>
      </c>
      <c r="M70" t="s">
        <v>546</v>
      </c>
      <c r="N70" t="s">
        <v>520</v>
      </c>
      <c r="O70" t="s">
        <v>521</v>
      </c>
    </row>
    <row r="71" spans="1:15" x14ac:dyDescent="0.35">
      <c r="A71" t="s">
        <v>637</v>
      </c>
      <c r="B71" t="s">
        <v>530</v>
      </c>
      <c r="C71" t="s">
        <v>549</v>
      </c>
      <c r="D71" t="s">
        <v>584</v>
      </c>
      <c r="E71">
        <v>97690</v>
      </c>
      <c r="F71">
        <v>91260.03</v>
      </c>
      <c r="G71">
        <f>IF(Table13[[#This Row],[Budget_Allocated_INR]]="","",Table13[[#This Row],[Amount_INR]]-Table13[[#This Row],[Budget_Allocated_INR]])</f>
        <v>6429.9700000000012</v>
      </c>
      <c r="H71">
        <v>6429.97</v>
      </c>
      <c r="I71" s="1">
        <v>45440</v>
      </c>
      <c r="J71" t="s">
        <v>526</v>
      </c>
      <c r="K71" t="s">
        <v>560</v>
      </c>
      <c r="L71" t="s">
        <v>536</v>
      </c>
      <c r="M71" t="s">
        <v>537</v>
      </c>
      <c r="N71" t="s">
        <v>520</v>
      </c>
    </row>
    <row r="72" spans="1:15" x14ac:dyDescent="0.35">
      <c r="A72" t="s">
        <v>638</v>
      </c>
      <c r="B72" t="s">
        <v>523</v>
      </c>
      <c r="C72" t="s">
        <v>599</v>
      </c>
      <c r="D72" t="s">
        <v>588</v>
      </c>
      <c r="E72">
        <v>491563</v>
      </c>
      <c r="F72">
        <v>637066.96</v>
      </c>
      <c r="G72">
        <f>IF(Table13[[#This Row],[Budget_Allocated_INR]]="","",Table13[[#This Row],[Amount_INR]]-Table13[[#This Row],[Budget_Allocated_INR]])</f>
        <v>-145503.95999999996</v>
      </c>
      <c r="H72">
        <v>-145503.96</v>
      </c>
      <c r="I72" s="1">
        <v>44937</v>
      </c>
      <c r="J72" t="s">
        <v>526</v>
      </c>
      <c r="K72" t="s">
        <v>517</v>
      </c>
      <c r="L72" t="s">
        <v>541</v>
      </c>
      <c r="M72" t="s">
        <v>528</v>
      </c>
      <c r="N72" t="s">
        <v>520</v>
      </c>
    </row>
    <row r="73" spans="1:15" x14ac:dyDescent="0.35">
      <c r="A73" t="s">
        <v>639</v>
      </c>
      <c r="B73" t="s">
        <v>548</v>
      </c>
      <c r="C73" t="s">
        <v>596</v>
      </c>
      <c r="D73" t="s">
        <v>553</v>
      </c>
      <c r="E73">
        <v>417255</v>
      </c>
      <c r="F73">
        <v>398887.4</v>
      </c>
      <c r="G73">
        <f>IF(Table13[[#This Row],[Budget_Allocated_INR]]="","",Table13[[#This Row],[Amount_INR]]-Table13[[#This Row],[Budget_Allocated_INR]])</f>
        <v>18367.599999999977</v>
      </c>
      <c r="H73">
        <v>18367.599999999999</v>
      </c>
      <c r="I73" s="1">
        <v>45228</v>
      </c>
      <c r="J73" t="s">
        <v>526</v>
      </c>
      <c r="K73" t="s">
        <v>517</v>
      </c>
      <c r="L73" t="s">
        <v>518</v>
      </c>
      <c r="M73" t="s">
        <v>554</v>
      </c>
      <c r="N73" t="s">
        <v>520</v>
      </c>
    </row>
    <row r="74" spans="1:15" x14ac:dyDescent="0.35">
      <c r="A74" t="s">
        <v>640</v>
      </c>
      <c r="B74" t="s">
        <v>545</v>
      </c>
      <c r="C74" t="s">
        <v>524</v>
      </c>
      <c r="D74" t="s">
        <v>525</v>
      </c>
      <c r="E74">
        <v>388564</v>
      </c>
      <c r="F74">
        <v>433099.82</v>
      </c>
      <c r="G74">
        <f>IF(Table13[[#This Row],[Budget_Allocated_INR]]="","",Table13[[#This Row],[Amount_INR]]-Table13[[#This Row],[Budget_Allocated_INR]])</f>
        <v>-44535.820000000007</v>
      </c>
      <c r="H74">
        <v>-44535.82</v>
      </c>
      <c r="I74" s="1">
        <v>45302</v>
      </c>
      <c r="J74" t="s">
        <v>526</v>
      </c>
      <c r="K74" t="s">
        <v>540</v>
      </c>
      <c r="L74" t="s">
        <v>518</v>
      </c>
      <c r="M74" t="s">
        <v>546</v>
      </c>
      <c r="N74" t="s">
        <v>520</v>
      </c>
    </row>
    <row r="75" spans="1:15" x14ac:dyDescent="0.35">
      <c r="A75" t="s">
        <v>641</v>
      </c>
      <c r="B75" t="s">
        <v>530</v>
      </c>
      <c r="C75" t="s">
        <v>624</v>
      </c>
      <c r="D75" t="s">
        <v>634</v>
      </c>
      <c r="E75">
        <v>476675</v>
      </c>
      <c r="F75">
        <v>601228.87</v>
      </c>
      <c r="G75">
        <f>IF(Table13[[#This Row],[Budget_Allocated_INR]]="","",Table13[[#This Row],[Amount_INR]]-Table13[[#This Row],[Budget_Allocated_INR]])</f>
        <v>-124553.87</v>
      </c>
      <c r="H75">
        <v>-124553.87</v>
      </c>
      <c r="I75" s="1">
        <v>45426</v>
      </c>
      <c r="J75" t="s">
        <v>526</v>
      </c>
      <c r="K75" t="s">
        <v>517</v>
      </c>
      <c r="L75" t="s">
        <v>536</v>
      </c>
      <c r="M75" t="s">
        <v>554</v>
      </c>
      <c r="N75" t="s">
        <v>520</v>
      </c>
    </row>
    <row r="76" spans="1:15" x14ac:dyDescent="0.35">
      <c r="A76" t="s">
        <v>642</v>
      </c>
      <c r="B76" t="s">
        <v>530</v>
      </c>
      <c r="C76" t="s">
        <v>562</v>
      </c>
      <c r="D76" t="s">
        <v>525</v>
      </c>
      <c r="E76">
        <v>118973</v>
      </c>
      <c r="F76">
        <v>134000.41</v>
      </c>
      <c r="G76">
        <f>IF(Table13[[#This Row],[Budget_Allocated_INR]]="","",Table13[[#This Row],[Amount_INR]]-Table13[[#This Row],[Budget_Allocated_INR]])</f>
        <v>-15027.410000000003</v>
      </c>
      <c r="H76">
        <v>-15027.41</v>
      </c>
      <c r="I76" s="1">
        <v>45671</v>
      </c>
      <c r="J76" t="s">
        <v>526</v>
      </c>
      <c r="K76" t="s">
        <v>517</v>
      </c>
      <c r="L76" t="s">
        <v>536</v>
      </c>
      <c r="M76" t="s">
        <v>537</v>
      </c>
      <c r="N76" t="s">
        <v>520</v>
      </c>
    </row>
    <row r="77" spans="1:15" x14ac:dyDescent="0.35">
      <c r="A77" t="s">
        <v>643</v>
      </c>
      <c r="B77" t="s">
        <v>548</v>
      </c>
      <c r="C77" t="s">
        <v>596</v>
      </c>
      <c r="D77" t="s">
        <v>532</v>
      </c>
      <c r="E77">
        <v>22538</v>
      </c>
      <c r="F77">
        <v>19899.53</v>
      </c>
      <c r="G77">
        <f>IF(Table13[[#This Row],[Budget_Allocated_INR]]="","",Table13[[#This Row],[Amount_INR]]-Table13[[#This Row],[Budget_Allocated_INR]])</f>
        <v>2638.4700000000012</v>
      </c>
      <c r="H77">
        <v>2638.47</v>
      </c>
      <c r="I77" s="1">
        <v>45425</v>
      </c>
      <c r="J77" t="s">
        <v>526</v>
      </c>
      <c r="K77" t="s">
        <v>517</v>
      </c>
      <c r="L77" t="s">
        <v>536</v>
      </c>
      <c r="M77" t="s">
        <v>537</v>
      </c>
      <c r="N77" t="s">
        <v>520</v>
      </c>
    </row>
    <row r="78" spans="1:15" x14ac:dyDescent="0.35">
      <c r="A78" t="s">
        <v>644</v>
      </c>
      <c r="B78" t="s">
        <v>534</v>
      </c>
      <c r="C78" t="s">
        <v>549</v>
      </c>
      <c r="D78" t="s">
        <v>588</v>
      </c>
      <c r="E78">
        <v>443662</v>
      </c>
      <c r="G78" t="str">
        <f>IF(Table13[[#This Row],[Budget_Allocated_INR]]="","",Table13[[#This Row],[Amount_INR]]-Table13[[#This Row],[Budget_Allocated_INR]])</f>
        <v/>
      </c>
      <c r="H78">
        <v>85569.69</v>
      </c>
      <c r="I78" s="1">
        <v>45673</v>
      </c>
      <c r="J78" t="s">
        <v>516</v>
      </c>
      <c r="K78" t="s">
        <v>517</v>
      </c>
      <c r="L78" t="s">
        <v>536</v>
      </c>
      <c r="M78" t="s">
        <v>568</v>
      </c>
      <c r="N78" t="s">
        <v>520</v>
      </c>
      <c r="O78" t="s">
        <v>521</v>
      </c>
    </row>
    <row r="79" spans="1:15" x14ac:dyDescent="0.35">
      <c r="A79" t="s">
        <v>645</v>
      </c>
      <c r="B79" t="s">
        <v>548</v>
      </c>
      <c r="C79" t="s">
        <v>558</v>
      </c>
      <c r="D79" t="s">
        <v>515</v>
      </c>
      <c r="E79">
        <v>353333</v>
      </c>
      <c r="F79">
        <v>458964.2</v>
      </c>
      <c r="G79">
        <f>IF(Table13[[#This Row],[Budget_Allocated_INR]]="","",Table13[[#This Row],[Amount_INR]]-Table13[[#This Row],[Budget_Allocated_INR]])</f>
        <v>-105631.20000000001</v>
      </c>
      <c r="H79">
        <v>-105631.2</v>
      </c>
      <c r="I79" s="1">
        <v>45702</v>
      </c>
      <c r="J79" t="s">
        <v>526</v>
      </c>
      <c r="K79" t="s">
        <v>540</v>
      </c>
      <c r="L79" t="s">
        <v>536</v>
      </c>
      <c r="M79" t="s">
        <v>546</v>
      </c>
      <c r="N79" t="s">
        <v>520</v>
      </c>
    </row>
    <row r="80" spans="1:15" x14ac:dyDescent="0.35">
      <c r="A80" t="s">
        <v>646</v>
      </c>
      <c r="B80" t="s">
        <v>576</v>
      </c>
      <c r="C80" t="s">
        <v>599</v>
      </c>
      <c r="D80" t="s">
        <v>553</v>
      </c>
      <c r="E80">
        <v>290249</v>
      </c>
      <c r="F80">
        <v>369613.63</v>
      </c>
      <c r="G80">
        <f>IF(Table13[[#This Row],[Budget_Allocated_INR]]="","",Table13[[#This Row],[Amount_INR]]-Table13[[#This Row],[Budget_Allocated_INR]])</f>
        <v>-79364.63</v>
      </c>
      <c r="H80">
        <v>-79364.63</v>
      </c>
      <c r="I80" s="1">
        <v>45299</v>
      </c>
      <c r="J80" t="s">
        <v>526</v>
      </c>
      <c r="K80" t="s">
        <v>560</v>
      </c>
      <c r="L80" t="s">
        <v>518</v>
      </c>
      <c r="M80" t="s">
        <v>519</v>
      </c>
      <c r="N80" t="s">
        <v>520</v>
      </c>
    </row>
    <row r="81" spans="1:15" x14ac:dyDescent="0.35">
      <c r="A81" t="s">
        <v>647</v>
      </c>
      <c r="B81" t="s">
        <v>534</v>
      </c>
      <c r="C81" t="s">
        <v>558</v>
      </c>
      <c r="D81" t="s">
        <v>525</v>
      </c>
      <c r="E81">
        <v>309034</v>
      </c>
      <c r="F81">
        <v>273262.53000000003</v>
      </c>
      <c r="G81">
        <f>IF(Table13[[#This Row],[Budget_Allocated_INR]]="","",Table13[[#This Row],[Amount_INR]]-Table13[[#This Row],[Budget_Allocated_INR]])</f>
        <v>35771.469999999972</v>
      </c>
      <c r="H81">
        <v>35771.47</v>
      </c>
      <c r="I81" s="1">
        <v>45384</v>
      </c>
      <c r="J81" t="s">
        <v>516</v>
      </c>
      <c r="K81" t="s">
        <v>560</v>
      </c>
      <c r="L81" t="s">
        <v>536</v>
      </c>
      <c r="M81" t="s">
        <v>528</v>
      </c>
      <c r="N81" t="s">
        <v>520</v>
      </c>
      <c r="O81" t="s">
        <v>521</v>
      </c>
    </row>
    <row r="82" spans="1:15" x14ac:dyDescent="0.35">
      <c r="A82" t="s">
        <v>648</v>
      </c>
      <c r="B82" t="s">
        <v>545</v>
      </c>
      <c r="C82" t="s">
        <v>558</v>
      </c>
      <c r="D82" t="s">
        <v>584</v>
      </c>
      <c r="E82">
        <v>106902</v>
      </c>
      <c r="F82">
        <v>123641.31</v>
      </c>
      <c r="G82">
        <f>IF(Table13[[#This Row],[Budget_Allocated_INR]]="","",Table13[[#This Row],[Amount_INR]]-Table13[[#This Row],[Budget_Allocated_INR]])</f>
        <v>-16739.309999999998</v>
      </c>
      <c r="H82">
        <v>-16739.310000000001</v>
      </c>
      <c r="I82" s="1">
        <v>45022</v>
      </c>
      <c r="J82" t="s">
        <v>516</v>
      </c>
      <c r="K82" t="s">
        <v>540</v>
      </c>
      <c r="L82" t="s">
        <v>518</v>
      </c>
      <c r="M82" t="s">
        <v>537</v>
      </c>
      <c r="N82" t="s">
        <v>520</v>
      </c>
    </row>
    <row r="83" spans="1:15" x14ac:dyDescent="0.35">
      <c r="A83" t="s">
        <v>649</v>
      </c>
      <c r="B83" t="s">
        <v>523</v>
      </c>
      <c r="C83" t="s">
        <v>558</v>
      </c>
      <c r="D83" t="s">
        <v>559</v>
      </c>
      <c r="E83">
        <v>429973</v>
      </c>
      <c r="F83">
        <v>376365.53</v>
      </c>
      <c r="G83">
        <f>IF(Table13[[#This Row],[Budget_Allocated_INR]]="","",Table13[[#This Row],[Amount_INR]]-Table13[[#This Row],[Budget_Allocated_INR]])</f>
        <v>53607.469999999972</v>
      </c>
      <c r="H83">
        <v>53607.47</v>
      </c>
      <c r="I83" s="1">
        <v>45230</v>
      </c>
      <c r="J83" t="s">
        <v>516</v>
      </c>
      <c r="K83" t="s">
        <v>517</v>
      </c>
      <c r="L83" t="s">
        <v>518</v>
      </c>
      <c r="M83" t="s">
        <v>537</v>
      </c>
      <c r="N83" t="s">
        <v>520</v>
      </c>
      <c r="O83" t="s">
        <v>521</v>
      </c>
    </row>
    <row r="84" spans="1:15" x14ac:dyDescent="0.35">
      <c r="A84" t="s">
        <v>650</v>
      </c>
      <c r="B84" t="s">
        <v>523</v>
      </c>
      <c r="C84" t="s">
        <v>549</v>
      </c>
      <c r="D84" t="s">
        <v>574</v>
      </c>
      <c r="E84">
        <v>206116</v>
      </c>
      <c r="F84">
        <v>229625.18</v>
      </c>
      <c r="G84">
        <f>IF(Table13[[#This Row],[Budget_Allocated_INR]]="","",Table13[[#This Row],[Amount_INR]]-Table13[[#This Row],[Budget_Allocated_INR]])</f>
        <v>-23509.179999999993</v>
      </c>
      <c r="H84">
        <v>-23509.18</v>
      </c>
      <c r="I84" s="1">
        <v>45699</v>
      </c>
      <c r="J84" t="s">
        <v>516</v>
      </c>
      <c r="K84" t="s">
        <v>517</v>
      </c>
      <c r="L84" t="s">
        <v>536</v>
      </c>
      <c r="M84" t="s">
        <v>537</v>
      </c>
      <c r="N84" t="s">
        <v>520</v>
      </c>
      <c r="O84" t="s">
        <v>521</v>
      </c>
    </row>
    <row r="85" spans="1:15" x14ac:dyDescent="0.35">
      <c r="A85" t="s">
        <v>651</v>
      </c>
      <c r="B85" t="s">
        <v>79</v>
      </c>
      <c r="C85" t="s">
        <v>558</v>
      </c>
      <c r="D85" t="s">
        <v>584</v>
      </c>
      <c r="E85">
        <v>1422304</v>
      </c>
      <c r="F85">
        <v>1675743.07</v>
      </c>
      <c r="G85">
        <f>IF(Table13[[#This Row],[Budget_Allocated_INR]]="","",Table13[[#This Row],[Amount_INR]]-Table13[[#This Row],[Budget_Allocated_INR]])</f>
        <v>-253439.07000000007</v>
      </c>
      <c r="H85">
        <v>-253439.07</v>
      </c>
      <c r="I85" s="1">
        <v>45310</v>
      </c>
      <c r="J85" t="s">
        <v>526</v>
      </c>
      <c r="K85" t="s">
        <v>527</v>
      </c>
      <c r="L85" t="s">
        <v>518</v>
      </c>
      <c r="M85" t="s">
        <v>528</v>
      </c>
      <c r="N85" t="s">
        <v>520</v>
      </c>
    </row>
    <row r="86" spans="1:15" x14ac:dyDescent="0.35">
      <c r="A86" t="s">
        <v>652</v>
      </c>
      <c r="B86" t="s">
        <v>523</v>
      </c>
      <c r="C86" t="s">
        <v>562</v>
      </c>
      <c r="D86" t="s">
        <v>593</v>
      </c>
      <c r="E86">
        <v>495376</v>
      </c>
      <c r="F86">
        <v>532148.51</v>
      </c>
      <c r="G86">
        <f>IF(Table13[[#This Row],[Budget_Allocated_INR]]="","",Table13[[#This Row],[Amount_INR]]-Table13[[#This Row],[Budget_Allocated_INR]])</f>
        <v>-36772.510000000009</v>
      </c>
      <c r="H86">
        <v>-36772.51</v>
      </c>
      <c r="I86" s="1">
        <v>45728</v>
      </c>
      <c r="J86" t="s">
        <v>516</v>
      </c>
      <c r="K86" t="s">
        <v>560</v>
      </c>
      <c r="L86" t="s">
        <v>536</v>
      </c>
      <c r="M86" t="s">
        <v>528</v>
      </c>
      <c r="N86" t="s">
        <v>520</v>
      </c>
      <c r="O86" t="s">
        <v>521</v>
      </c>
    </row>
    <row r="87" spans="1:15" x14ac:dyDescent="0.35">
      <c r="A87" t="s">
        <v>653</v>
      </c>
      <c r="B87" t="s">
        <v>565</v>
      </c>
      <c r="C87" t="s">
        <v>514</v>
      </c>
      <c r="D87" t="s">
        <v>588</v>
      </c>
      <c r="E87">
        <v>374421</v>
      </c>
      <c r="F87">
        <v>472252.91</v>
      </c>
      <c r="G87">
        <f>IF(Table13[[#This Row],[Budget_Allocated_INR]]="","",Table13[[#This Row],[Amount_INR]]-Table13[[#This Row],[Budget_Allocated_INR]])</f>
        <v>-97831.909999999974</v>
      </c>
      <c r="H87">
        <v>-97831.91</v>
      </c>
      <c r="I87" s="1">
        <v>45125</v>
      </c>
      <c r="J87" t="s">
        <v>526</v>
      </c>
      <c r="K87" t="s">
        <v>540</v>
      </c>
      <c r="L87" t="s">
        <v>518</v>
      </c>
      <c r="M87" t="s">
        <v>537</v>
      </c>
      <c r="N87" t="s">
        <v>520</v>
      </c>
    </row>
    <row r="88" spans="1:15" x14ac:dyDescent="0.35">
      <c r="A88" t="s">
        <v>654</v>
      </c>
      <c r="B88" t="s">
        <v>565</v>
      </c>
      <c r="C88" t="s">
        <v>549</v>
      </c>
      <c r="D88" t="s">
        <v>515</v>
      </c>
      <c r="E88">
        <v>277952</v>
      </c>
      <c r="F88">
        <v>236373.9</v>
      </c>
      <c r="G88">
        <f>IF(Table13[[#This Row],[Budget_Allocated_INR]]="","",Table13[[#This Row],[Amount_INR]]-Table13[[#This Row],[Budget_Allocated_INR]])</f>
        <v>41578.100000000006</v>
      </c>
      <c r="H88">
        <v>41578.1</v>
      </c>
      <c r="I88" s="1">
        <v>45665</v>
      </c>
      <c r="J88" t="s">
        <v>597</v>
      </c>
      <c r="K88" t="s">
        <v>540</v>
      </c>
      <c r="L88" t="s">
        <v>536</v>
      </c>
      <c r="M88" t="s">
        <v>537</v>
      </c>
      <c r="N88" t="s">
        <v>520</v>
      </c>
      <c r="O88" t="s">
        <v>521</v>
      </c>
    </row>
    <row r="89" spans="1:15" x14ac:dyDescent="0.35">
      <c r="A89" t="s">
        <v>655</v>
      </c>
      <c r="B89" t="s">
        <v>534</v>
      </c>
      <c r="C89" t="s">
        <v>596</v>
      </c>
      <c r="D89" t="s">
        <v>634</v>
      </c>
      <c r="E89">
        <v>314597</v>
      </c>
      <c r="F89">
        <v>405247.51</v>
      </c>
      <c r="G89">
        <f>IF(Table13[[#This Row],[Budget_Allocated_INR]]="","",Table13[[#This Row],[Amount_INR]]-Table13[[#This Row],[Budget_Allocated_INR]])</f>
        <v>-90650.510000000009</v>
      </c>
      <c r="H89">
        <v>-90650.51</v>
      </c>
      <c r="I89" s="1">
        <v>45576</v>
      </c>
      <c r="J89" t="s">
        <v>516</v>
      </c>
      <c r="K89" t="s">
        <v>527</v>
      </c>
      <c r="L89" t="s">
        <v>536</v>
      </c>
      <c r="M89" t="s">
        <v>528</v>
      </c>
      <c r="N89" t="s">
        <v>520</v>
      </c>
      <c r="O89" t="s">
        <v>521</v>
      </c>
    </row>
    <row r="90" spans="1:15" x14ac:dyDescent="0.35">
      <c r="A90" t="s">
        <v>656</v>
      </c>
      <c r="B90" t="s">
        <v>548</v>
      </c>
      <c r="C90" t="s">
        <v>562</v>
      </c>
      <c r="D90" t="s">
        <v>605</v>
      </c>
      <c r="E90">
        <v>109346</v>
      </c>
      <c r="F90">
        <v>139986.84</v>
      </c>
      <c r="G90">
        <f>IF(Table13[[#This Row],[Budget_Allocated_INR]]="","",Table13[[#This Row],[Amount_INR]]-Table13[[#This Row],[Budget_Allocated_INR]])</f>
        <v>-30640.839999999997</v>
      </c>
      <c r="H90">
        <v>-30640.84</v>
      </c>
      <c r="I90" s="1">
        <v>45178</v>
      </c>
      <c r="J90" t="s">
        <v>516</v>
      </c>
      <c r="K90" t="s">
        <v>540</v>
      </c>
      <c r="L90" t="s">
        <v>518</v>
      </c>
      <c r="M90" t="s">
        <v>528</v>
      </c>
      <c r="N90" t="s">
        <v>520</v>
      </c>
    </row>
    <row r="91" spans="1:15" x14ac:dyDescent="0.35">
      <c r="A91" t="s">
        <v>657</v>
      </c>
      <c r="B91" t="s">
        <v>530</v>
      </c>
      <c r="C91" t="s">
        <v>549</v>
      </c>
      <c r="D91" t="s">
        <v>559</v>
      </c>
      <c r="E91">
        <v>-57182</v>
      </c>
      <c r="F91">
        <v>60104.14</v>
      </c>
      <c r="G91">
        <f>IF(Table13[[#This Row],[Budget_Allocated_INR]]="","",Table13[[#This Row],[Amount_INR]]-Table13[[#This Row],[Budget_Allocated_INR]])</f>
        <v>-117286.14</v>
      </c>
      <c r="I91" s="1">
        <v>45051</v>
      </c>
      <c r="J91" t="s">
        <v>526</v>
      </c>
      <c r="K91" t="s">
        <v>527</v>
      </c>
      <c r="L91" t="s">
        <v>518</v>
      </c>
      <c r="M91" t="s">
        <v>537</v>
      </c>
      <c r="N91" t="s">
        <v>582</v>
      </c>
    </row>
    <row r="92" spans="1:15" x14ac:dyDescent="0.35">
      <c r="A92" t="s">
        <v>658</v>
      </c>
      <c r="B92" t="s">
        <v>565</v>
      </c>
      <c r="C92" t="s">
        <v>549</v>
      </c>
      <c r="D92" t="s">
        <v>532</v>
      </c>
      <c r="E92">
        <v>429501</v>
      </c>
      <c r="F92">
        <v>466352.17</v>
      </c>
      <c r="G92">
        <f>IF(Table13[[#This Row],[Budget_Allocated_INR]]="","",Table13[[#This Row],[Amount_INR]]-Table13[[#This Row],[Budget_Allocated_INR]])</f>
        <v>-36851.169999999984</v>
      </c>
      <c r="H92">
        <v>-36851.17</v>
      </c>
      <c r="I92" s="1">
        <v>45638</v>
      </c>
      <c r="J92" t="s">
        <v>516</v>
      </c>
      <c r="K92" t="s">
        <v>540</v>
      </c>
      <c r="L92" t="s">
        <v>536</v>
      </c>
      <c r="M92" t="s">
        <v>528</v>
      </c>
      <c r="N92" t="s">
        <v>520</v>
      </c>
      <c r="O92" t="s">
        <v>521</v>
      </c>
    </row>
    <row r="93" spans="1:15" x14ac:dyDescent="0.35">
      <c r="A93" t="s">
        <v>659</v>
      </c>
      <c r="B93" t="s">
        <v>530</v>
      </c>
      <c r="C93" t="s">
        <v>558</v>
      </c>
      <c r="D93" t="s">
        <v>634</v>
      </c>
      <c r="E93">
        <v>478753</v>
      </c>
      <c r="F93">
        <v>566440.71</v>
      </c>
      <c r="G93">
        <f>IF(Table13[[#This Row],[Budget_Allocated_INR]]="","",Table13[[#This Row],[Amount_INR]]-Table13[[#This Row],[Budget_Allocated_INR]])</f>
        <v>-87687.709999999963</v>
      </c>
      <c r="H93">
        <v>-87687.71</v>
      </c>
      <c r="I93" s="1">
        <v>45164</v>
      </c>
      <c r="J93" t="s">
        <v>516</v>
      </c>
      <c r="K93" t="s">
        <v>527</v>
      </c>
      <c r="L93" t="s">
        <v>518</v>
      </c>
      <c r="M93" t="s">
        <v>528</v>
      </c>
      <c r="N93" t="s">
        <v>520</v>
      </c>
      <c r="O93" t="s">
        <v>521</v>
      </c>
    </row>
    <row r="94" spans="1:15" x14ac:dyDescent="0.35">
      <c r="A94" t="s">
        <v>660</v>
      </c>
      <c r="B94" t="s">
        <v>530</v>
      </c>
      <c r="C94" t="s">
        <v>581</v>
      </c>
      <c r="D94" t="s">
        <v>515</v>
      </c>
      <c r="E94">
        <v>62031</v>
      </c>
      <c r="F94">
        <v>62498.04</v>
      </c>
      <c r="G94">
        <f>IF(Table13[[#This Row],[Budget_Allocated_INR]]="","",Table13[[#This Row],[Amount_INR]]-Table13[[#This Row],[Budget_Allocated_INR]])</f>
        <v>-467.04000000000087</v>
      </c>
      <c r="H94">
        <v>-467.04</v>
      </c>
      <c r="I94" s="1">
        <v>45178</v>
      </c>
      <c r="J94" t="s">
        <v>597</v>
      </c>
      <c r="K94" t="s">
        <v>527</v>
      </c>
      <c r="L94" t="s">
        <v>518</v>
      </c>
      <c r="M94" t="s">
        <v>537</v>
      </c>
      <c r="N94" t="s">
        <v>520</v>
      </c>
    </row>
    <row r="95" spans="1:15" x14ac:dyDescent="0.35">
      <c r="A95" t="s">
        <v>661</v>
      </c>
      <c r="B95" t="s">
        <v>576</v>
      </c>
      <c r="C95" t="s">
        <v>531</v>
      </c>
      <c r="D95" t="s">
        <v>515</v>
      </c>
      <c r="E95">
        <v>288581</v>
      </c>
      <c r="F95">
        <v>353638.16</v>
      </c>
      <c r="G95">
        <f>IF(Table13[[#This Row],[Budget_Allocated_INR]]="","",Table13[[#This Row],[Amount_INR]]-Table13[[#This Row],[Budget_Allocated_INR]])</f>
        <v>-65057.159999999974</v>
      </c>
      <c r="H95">
        <v>-65057.16</v>
      </c>
      <c r="I95" s="1">
        <v>45602</v>
      </c>
      <c r="J95" t="s">
        <v>526</v>
      </c>
      <c r="K95" t="s">
        <v>527</v>
      </c>
      <c r="L95" t="s">
        <v>536</v>
      </c>
      <c r="M95" t="s">
        <v>554</v>
      </c>
      <c r="N95" t="s">
        <v>520</v>
      </c>
    </row>
    <row r="96" spans="1:15" x14ac:dyDescent="0.35">
      <c r="A96" t="s">
        <v>662</v>
      </c>
      <c r="B96" t="s">
        <v>576</v>
      </c>
      <c r="C96" t="s">
        <v>524</v>
      </c>
      <c r="D96" t="s">
        <v>553</v>
      </c>
      <c r="E96">
        <v>123062</v>
      </c>
      <c r="F96">
        <v>152975.35</v>
      </c>
      <c r="G96">
        <f>IF(Table13[[#This Row],[Budget_Allocated_INR]]="","",Table13[[#This Row],[Amount_INR]]-Table13[[#This Row],[Budget_Allocated_INR]])</f>
        <v>-29913.350000000006</v>
      </c>
      <c r="H96">
        <v>-29913.35</v>
      </c>
      <c r="I96" s="1">
        <v>45200</v>
      </c>
      <c r="J96" t="s">
        <v>516</v>
      </c>
      <c r="K96" t="s">
        <v>517</v>
      </c>
      <c r="L96" t="s">
        <v>518</v>
      </c>
      <c r="M96" t="s">
        <v>554</v>
      </c>
      <c r="N96" t="s">
        <v>520</v>
      </c>
    </row>
    <row r="97" spans="1:15" x14ac:dyDescent="0.35">
      <c r="A97" t="s">
        <v>663</v>
      </c>
      <c r="B97" t="s">
        <v>576</v>
      </c>
      <c r="C97" t="s">
        <v>552</v>
      </c>
      <c r="D97" t="s">
        <v>563</v>
      </c>
      <c r="E97">
        <v>481569</v>
      </c>
      <c r="F97">
        <v>451100.97</v>
      </c>
      <c r="G97">
        <f>IF(Table13[[#This Row],[Budget_Allocated_INR]]="","",Table13[[#This Row],[Amount_INR]]-Table13[[#This Row],[Budget_Allocated_INR]])</f>
        <v>30468.030000000028</v>
      </c>
      <c r="H97">
        <v>30468.03</v>
      </c>
      <c r="I97" s="1">
        <v>45078</v>
      </c>
      <c r="J97" t="s">
        <v>526</v>
      </c>
      <c r="K97" t="s">
        <v>560</v>
      </c>
      <c r="L97" t="s">
        <v>518</v>
      </c>
      <c r="M97" t="s">
        <v>537</v>
      </c>
      <c r="N97" t="s">
        <v>520</v>
      </c>
    </row>
    <row r="98" spans="1:15" x14ac:dyDescent="0.35">
      <c r="A98" t="s">
        <v>664</v>
      </c>
      <c r="B98" t="s">
        <v>530</v>
      </c>
      <c r="C98" t="s">
        <v>552</v>
      </c>
      <c r="D98" t="s">
        <v>634</v>
      </c>
      <c r="E98">
        <v>163410</v>
      </c>
      <c r="F98">
        <v>200577.85</v>
      </c>
      <c r="G98">
        <f>IF(Table13[[#This Row],[Budget_Allocated_INR]]="","",Table13[[#This Row],[Amount_INR]]-Table13[[#This Row],[Budget_Allocated_INR]])</f>
        <v>-37167.850000000006</v>
      </c>
      <c r="I98" s="1">
        <v>45458</v>
      </c>
      <c r="J98" t="s">
        <v>526</v>
      </c>
      <c r="K98" t="s">
        <v>527</v>
      </c>
      <c r="L98" t="s">
        <v>536</v>
      </c>
      <c r="M98" t="s">
        <v>546</v>
      </c>
      <c r="N98" t="s">
        <v>520</v>
      </c>
    </row>
    <row r="99" spans="1:15" x14ac:dyDescent="0.35">
      <c r="A99" t="s">
        <v>665</v>
      </c>
      <c r="B99" t="s">
        <v>565</v>
      </c>
      <c r="C99" t="s">
        <v>558</v>
      </c>
      <c r="D99" t="s">
        <v>539</v>
      </c>
      <c r="E99">
        <v>377326</v>
      </c>
      <c r="F99">
        <v>461081.99</v>
      </c>
      <c r="G99">
        <f>IF(Table13[[#This Row],[Budget_Allocated_INR]]="","",Table13[[#This Row],[Amount_INR]]-Table13[[#This Row],[Budget_Allocated_INR]])</f>
        <v>-83755.989999999991</v>
      </c>
      <c r="H99">
        <v>-83755.990000000005</v>
      </c>
      <c r="I99" s="1">
        <v>45255</v>
      </c>
      <c r="J99" t="s">
        <v>526</v>
      </c>
      <c r="K99" t="s">
        <v>517</v>
      </c>
      <c r="L99" t="s">
        <v>518</v>
      </c>
      <c r="M99" t="s">
        <v>537</v>
      </c>
      <c r="N99" t="s">
        <v>520</v>
      </c>
    </row>
    <row r="100" spans="1:15" x14ac:dyDescent="0.35">
      <c r="A100" t="s">
        <v>666</v>
      </c>
      <c r="B100" t="s">
        <v>523</v>
      </c>
      <c r="C100" t="s">
        <v>531</v>
      </c>
      <c r="D100" t="s">
        <v>539</v>
      </c>
      <c r="E100">
        <v>79297</v>
      </c>
      <c r="F100">
        <v>66599.44</v>
      </c>
      <c r="G100">
        <f>IF(Table13[[#This Row],[Budget_Allocated_INR]]="","",Table13[[#This Row],[Amount_INR]]-Table13[[#This Row],[Budget_Allocated_INR]])</f>
        <v>12697.559999999998</v>
      </c>
      <c r="H100">
        <v>12697.56</v>
      </c>
      <c r="I100" s="1">
        <v>45023</v>
      </c>
      <c r="J100" t="s">
        <v>526</v>
      </c>
      <c r="K100" t="s">
        <v>560</v>
      </c>
      <c r="L100" t="s">
        <v>518</v>
      </c>
      <c r="M100" t="s">
        <v>519</v>
      </c>
      <c r="N100" t="s">
        <v>520</v>
      </c>
    </row>
    <row r="101" spans="1:15" x14ac:dyDescent="0.35">
      <c r="A101" t="s">
        <v>667</v>
      </c>
      <c r="B101" t="s">
        <v>534</v>
      </c>
      <c r="C101" t="s">
        <v>543</v>
      </c>
      <c r="D101" t="s">
        <v>634</v>
      </c>
      <c r="E101">
        <v>487901</v>
      </c>
      <c r="F101">
        <v>465035.01</v>
      </c>
      <c r="G101">
        <f>IF(Table13[[#This Row],[Budget_Allocated_INR]]="","",Table13[[#This Row],[Amount_INR]]-Table13[[#This Row],[Budget_Allocated_INR]])</f>
        <v>22865.989999999991</v>
      </c>
      <c r="H101">
        <v>22865.99</v>
      </c>
      <c r="I101" s="1">
        <v>45391</v>
      </c>
      <c r="J101" t="s">
        <v>526</v>
      </c>
      <c r="K101" t="s">
        <v>540</v>
      </c>
      <c r="L101" t="s">
        <v>536</v>
      </c>
      <c r="M101" t="s">
        <v>537</v>
      </c>
      <c r="N101" t="s">
        <v>520</v>
      </c>
    </row>
    <row r="102" spans="1:15" x14ac:dyDescent="0.35">
      <c r="A102" t="s">
        <v>668</v>
      </c>
      <c r="B102" t="s">
        <v>548</v>
      </c>
      <c r="C102" t="s">
        <v>531</v>
      </c>
      <c r="D102" t="s">
        <v>539</v>
      </c>
      <c r="E102">
        <v>369434</v>
      </c>
      <c r="F102">
        <v>401049.67</v>
      </c>
      <c r="G102">
        <f>IF(Table13[[#This Row],[Budget_Allocated_INR]]="","",Table13[[#This Row],[Amount_INR]]-Table13[[#This Row],[Budget_Allocated_INR]])</f>
        <v>-31615.669999999984</v>
      </c>
      <c r="H102">
        <v>-31615.67</v>
      </c>
      <c r="I102" s="1">
        <v>45242</v>
      </c>
      <c r="J102" t="s">
        <v>526</v>
      </c>
      <c r="K102" t="s">
        <v>517</v>
      </c>
      <c r="L102" t="s">
        <v>518</v>
      </c>
      <c r="M102" t="s">
        <v>537</v>
      </c>
      <c r="N102" t="s">
        <v>520</v>
      </c>
    </row>
    <row r="103" spans="1:15" x14ac:dyDescent="0.35">
      <c r="A103" t="s">
        <v>669</v>
      </c>
      <c r="B103" t="s">
        <v>534</v>
      </c>
      <c r="C103" t="s">
        <v>552</v>
      </c>
      <c r="D103" t="s">
        <v>593</v>
      </c>
      <c r="E103">
        <v>132717</v>
      </c>
      <c r="F103">
        <v>125986.01</v>
      </c>
      <c r="G103">
        <f>IF(Table13[[#This Row],[Budget_Allocated_INR]]="","",Table13[[#This Row],[Amount_INR]]-Table13[[#This Row],[Budget_Allocated_INR]])</f>
        <v>6730.9900000000052</v>
      </c>
      <c r="H103">
        <v>6730.99</v>
      </c>
      <c r="I103" s="1">
        <v>45229</v>
      </c>
      <c r="J103" t="s">
        <v>526</v>
      </c>
      <c r="K103" t="s">
        <v>517</v>
      </c>
      <c r="L103" t="s">
        <v>518</v>
      </c>
      <c r="M103" t="s">
        <v>519</v>
      </c>
      <c r="N103" t="s">
        <v>520</v>
      </c>
    </row>
    <row r="104" spans="1:15" x14ac:dyDescent="0.35">
      <c r="A104" t="s">
        <v>670</v>
      </c>
      <c r="B104" t="s">
        <v>545</v>
      </c>
      <c r="C104" t="s">
        <v>581</v>
      </c>
      <c r="D104" t="s">
        <v>525</v>
      </c>
      <c r="E104">
        <v>367110</v>
      </c>
      <c r="F104">
        <v>473125.19</v>
      </c>
      <c r="G104">
        <f>IF(Table13[[#This Row],[Budget_Allocated_INR]]="","",Table13[[#This Row],[Amount_INR]]-Table13[[#This Row],[Budget_Allocated_INR]])</f>
        <v>-106015.19</v>
      </c>
      <c r="H104">
        <v>-106015.19</v>
      </c>
      <c r="I104" s="1">
        <v>45022</v>
      </c>
      <c r="J104" t="s">
        <v>526</v>
      </c>
      <c r="K104" t="s">
        <v>517</v>
      </c>
      <c r="L104" t="s">
        <v>518</v>
      </c>
      <c r="M104" t="s">
        <v>568</v>
      </c>
      <c r="N104" t="s">
        <v>520</v>
      </c>
    </row>
    <row r="105" spans="1:15" x14ac:dyDescent="0.35">
      <c r="A105" t="s">
        <v>671</v>
      </c>
      <c r="B105" t="s">
        <v>545</v>
      </c>
      <c r="C105" t="s">
        <v>562</v>
      </c>
      <c r="D105" t="s">
        <v>593</v>
      </c>
      <c r="E105">
        <v>308360</v>
      </c>
      <c r="F105">
        <v>252679.46</v>
      </c>
      <c r="G105">
        <f>IF(Table13[[#This Row],[Budget_Allocated_INR]]="","",Table13[[#This Row],[Amount_INR]]-Table13[[#This Row],[Budget_Allocated_INR]])</f>
        <v>55680.540000000008</v>
      </c>
      <c r="H105">
        <v>55680.54</v>
      </c>
      <c r="I105" s="1">
        <v>45736</v>
      </c>
      <c r="J105" t="s">
        <v>516</v>
      </c>
      <c r="K105" t="s">
        <v>540</v>
      </c>
      <c r="L105" t="s">
        <v>536</v>
      </c>
      <c r="M105" t="s">
        <v>519</v>
      </c>
      <c r="N105" t="s">
        <v>520</v>
      </c>
      <c r="O105" t="s">
        <v>521</v>
      </c>
    </row>
    <row r="106" spans="1:15" x14ac:dyDescent="0.35">
      <c r="A106" t="s">
        <v>672</v>
      </c>
      <c r="B106" t="s">
        <v>530</v>
      </c>
      <c r="C106" t="s">
        <v>543</v>
      </c>
      <c r="D106" t="s">
        <v>553</v>
      </c>
      <c r="E106">
        <v>224677</v>
      </c>
      <c r="F106">
        <v>281998.19</v>
      </c>
      <c r="G106">
        <f>IF(Table13[[#This Row],[Budget_Allocated_INR]]="","",Table13[[#This Row],[Amount_INR]]-Table13[[#This Row],[Budget_Allocated_INR]])</f>
        <v>-57321.19</v>
      </c>
      <c r="H106">
        <v>-57321.19</v>
      </c>
      <c r="I106" s="1">
        <v>45189</v>
      </c>
      <c r="J106" t="s">
        <v>526</v>
      </c>
      <c r="K106" t="s">
        <v>540</v>
      </c>
      <c r="L106" t="s">
        <v>518</v>
      </c>
      <c r="M106" t="s">
        <v>528</v>
      </c>
      <c r="N106" t="s">
        <v>520</v>
      </c>
    </row>
    <row r="107" spans="1:15" x14ac:dyDescent="0.35">
      <c r="A107" t="s">
        <v>673</v>
      </c>
      <c r="B107" t="s">
        <v>523</v>
      </c>
      <c r="C107" t="s">
        <v>524</v>
      </c>
      <c r="D107" t="s">
        <v>571</v>
      </c>
      <c r="E107">
        <v>494166</v>
      </c>
      <c r="F107">
        <v>404213.86</v>
      </c>
      <c r="G107">
        <f>IF(Table13[[#This Row],[Budget_Allocated_INR]]="","",Table13[[#This Row],[Amount_INR]]-Table13[[#This Row],[Budget_Allocated_INR]])</f>
        <v>89952.140000000014</v>
      </c>
      <c r="H107">
        <v>89952.14</v>
      </c>
      <c r="I107" s="1">
        <v>45203</v>
      </c>
      <c r="J107" t="s">
        <v>526</v>
      </c>
      <c r="K107" t="s">
        <v>560</v>
      </c>
      <c r="L107" t="s">
        <v>518</v>
      </c>
      <c r="M107" t="s">
        <v>519</v>
      </c>
      <c r="N107" t="s">
        <v>520</v>
      </c>
    </row>
    <row r="108" spans="1:15" x14ac:dyDescent="0.35">
      <c r="A108" t="s">
        <v>674</v>
      </c>
      <c r="B108" t="s">
        <v>565</v>
      </c>
      <c r="C108" t="s">
        <v>549</v>
      </c>
      <c r="D108" t="s">
        <v>584</v>
      </c>
      <c r="E108">
        <v>195900</v>
      </c>
      <c r="F108">
        <v>190971.73</v>
      </c>
      <c r="G108">
        <f>IF(Table13[[#This Row],[Budget_Allocated_INR]]="","",Table13[[#This Row],[Amount_INR]]-Table13[[#This Row],[Budget_Allocated_INR]])</f>
        <v>4928.2699999999895</v>
      </c>
      <c r="H108">
        <v>4928.2700000000004</v>
      </c>
      <c r="I108" s="1">
        <v>45721</v>
      </c>
      <c r="J108" t="s">
        <v>526</v>
      </c>
      <c r="K108" t="s">
        <v>540</v>
      </c>
      <c r="L108" t="s">
        <v>536</v>
      </c>
      <c r="M108" t="s">
        <v>537</v>
      </c>
      <c r="N108" t="s">
        <v>520</v>
      </c>
    </row>
    <row r="109" spans="1:15" x14ac:dyDescent="0.35">
      <c r="A109" t="s">
        <v>675</v>
      </c>
      <c r="B109" t="s">
        <v>530</v>
      </c>
      <c r="C109" t="s">
        <v>514</v>
      </c>
      <c r="D109" t="s">
        <v>593</v>
      </c>
      <c r="E109">
        <v>335390</v>
      </c>
      <c r="F109">
        <v>302933.23</v>
      </c>
      <c r="G109">
        <f>IF(Table13[[#This Row],[Budget_Allocated_INR]]="","",Table13[[#This Row],[Amount_INR]]-Table13[[#This Row],[Budget_Allocated_INR]])</f>
        <v>32456.770000000019</v>
      </c>
      <c r="H109">
        <v>32456.77</v>
      </c>
      <c r="I109" s="1">
        <v>45698</v>
      </c>
      <c r="J109" t="s">
        <v>526</v>
      </c>
      <c r="K109" t="s">
        <v>560</v>
      </c>
      <c r="L109" t="s">
        <v>536</v>
      </c>
      <c r="M109" t="s">
        <v>568</v>
      </c>
      <c r="N109" t="s">
        <v>520</v>
      </c>
    </row>
    <row r="110" spans="1:15" x14ac:dyDescent="0.35">
      <c r="A110" t="s">
        <v>676</v>
      </c>
      <c r="B110" t="s">
        <v>545</v>
      </c>
      <c r="C110" t="s">
        <v>586</v>
      </c>
      <c r="D110" t="s">
        <v>634</v>
      </c>
      <c r="E110">
        <v>177021</v>
      </c>
      <c r="F110">
        <v>158438.09</v>
      </c>
      <c r="G110">
        <f>IF(Table13[[#This Row],[Budget_Allocated_INR]]="","",Table13[[#This Row],[Amount_INR]]-Table13[[#This Row],[Budget_Allocated_INR]])</f>
        <v>18582.910000000003</v>
      </c>
      <c r="H110">
        <v>18582.91</v>
      </c>
      <c r="I110" s="1">
        <v>45500</v>
      </c>
      <c r="J110" t="s">
        <v>516</v>
      </c>
      <c r="K110" t="s">
        <v>527</v>
      </c>
      <c r="L110" t="s">
        <v>536</v>
      </c>
      <c r="M110" t="s">
        <v>537</v>
      </c>
      <c r="N110" t="s">
        <v>520</v>
      </c>
    </row>
    <row r="111" spans="1:15" x14ac:dyDescent="0.35">
      <c r="A111" t="s">
        <v>677</v>
      </c>
      <c r="B111" t="s">
        <v>565</v>
      </c>
      <c r="C111" t="s">
        <v>552</v>
      </c>
      <c r="D111" t="s">
        <v>584</v>
      </c>
      <c r="E111">
        <v>314105</v>
      </c>
      <c r="F111">
        <v>386778.37</v>
      </c>
      <c r="G111">
        <f>IF(Table13[[#This Row],[Budget_Allocated_INR]]="","",Table13[[#This Row],[Amount_INR]]-Table13[[#This Row],[Budget_Allocated_INR]])</f>
        <v>-72673.37</v>
      </c>
      <c r="H111">
        <v>-72673.37</v>
      </c>
      <c r="I111" s="1">
        <v>45137</v>
      </c>
      <c r="J111" t="s">
        <v>597</v>
      </c>
      <c r="K111" t="s">
        <v>540</v>
      </c>
      <c r="L111" t="s">
        <v>518</v>
      </c>
      <c r="M111" t="s">
        <v>537</v>
      </c>
      <c r="N111" t="s">
        <v>520</v>
      </c>
      <c r="O111" t="s">
        <v>521</v>
      </c>
    </row>
    <row r="112" spans="1:15" x14ac:dyDescent="0.35">
      <c r="A112" t="s">
        <v>678</v>
      </c>
      <c r="B112" t="s">
        <v>523</v>
      </c>
      <c r="C112" t="s">
        <v>599</v>
      </c>
      <c r="D112" t="s">
        <v>550</v>
      </c>
      <c r="E112">
        <v>3110100</v>
      </c>
      <c r="F112">
        <v>2633787.69</v>
      </c>
      <c r="G112">
        <f>IF(Table13[[#This Row],[Budget_Allocated_INR]]="","",Table13[[#This Row],[Amount_INR]]-Table13[[#This Row],[Budget_Allocated_INR]])</f>
        <v>476312.31000000006</v>
      </c>
      <c r="H112">
        <v>476312.31</v>
      </c>
      <c r="I112" s="1">
        <v>45154</v>
      </c>
      <c r="J112" t="s">
        <v>516</v>
      </c>
      <c r="K112" t="s">
        <v>540</v>
      </c>
      <c r="L112" t="s">
        <v>518</v>
      </c>
      <c r="M112" t="s">
        <v>537</v>
      </c>
      <c r="N112" t="s">
        <v>520</v>
      </c>
      <c r="O112" t="s">
        <v>521</v>
      </c>
    </row>
    <row r="113" spans="1:15" x14ac:dyDescent="0.35">
      <c r="A113" t="s">
        <v>679</v>
      </c>
      <c r="B113" t="s">
        <v>530</v>
      </c>
      <c r="C113" t="s">
        <v>552</v>
      </c>
      <c r="D113" t="s">
        <v>563</v>
      </c>
      <c r="E113">
        <v>262104</v>
      </c>
      <c r="F113">
        <v>215755.98</v>
      </c>
      <c r="G113">
        <f>IF(Table13[[#This Row],[Budget_Allocated_INR]]="","",Table13[[#This Row],[Amount_INR]]-Table13[[#This Row],[Budget_Allocated_INR]])</f>
        <v>46348.01999999999</v>
      </c>
      <c r="H113">
        <v>46348.02</v>
      </c>
      <c r="I113" s="1">
        <v>44949</v>
      </c>
      <c r="J113" t="s">
        <v>526</v>
      </c>
      <c r="K113" t="s">
        <v>527</v>
      </c>
      <c r="L113" t="s">
        <v>541</v>
      </c>
      <c r="M113" t="s">
        <v>528</v>
      </c>
      <c r="N113" t="s">
        <v>520</v>
      </c>
    </row>
    <row r="114" spans="1:15" x14ac:dyDescent="0.35">
      <c r="A114" t="s">
        <v>680</v>
      </c>
      <c r="B114" t="s">
        <v>576</v>
      </c>
      <c r="C114" t="s">
        <v>581</v>
      </c>
      <c r="D114" t="s">
        <v>584</v>
      </c>
      <c r="E114">
        <v>298624</v>
      </c>
      <c r="F114">
        <v>355869.66</v>
      </c>
      <c r="G114">
        <f>IF(Table13[[#This Row],[Budget_Allocated_INR]]="","",Table13[[#This Row],[Amount_INR]]-Table13[[#This Row],[Budget_Allocated_INR]])</f>
        <v>-57245.659999999974</v>
      </c>
      <c r="H114">
        <v>-57245.66</v>
      </c>
      <c r="I114" s="1">
        <v>45729</v>
      </c>
      <c r="J114" t="s">
        <v>526</v>
      </c>
      <c r="K114" t="s">
        <v>527</v>
      </c>
      <c r="L114" t="s">
        <v>536</v>
      </c>
      <c r="M114" t="s">
        <v>537</v>
      </c>
      <c r="N114" t="s">
        <v>520</v>
      </c>
    </row>
    <row r="115" spans="1:15" x14ac:dyDescent="0.35">
      <c r="A115" t="s">
        <v>681</v>
      </c>
      <c r="B115" t="s">
        <v>523</v>
      </c>
      <c r="C115" t="s">
        <v>599</v>
      </c>
      <c r="D115" t="s">
        <v>559</v>
      </c>
      <c r="E115">
        <v>244479</v>
      </c>
      <c r="F115">
        <v>229972.17</v>
      </c>
      <c r="G115">
        <f>IF(Table13[[#This Row],[Budget_Allocated_INR]]="","",Table13[[#This Row],[Amount_INR]]-Table13[[#This Row],[Budget_Allocated_INR]])</f>
        <v>14506.829999999987</v>
      </c>
      <c r="H115">
        <v>14506.83</v>
      </c>
      <c r="I115" s="1">
        <v>45092</v>
      </c>
      <c r="J115" t="s">
        <v>526</v>
      </c>
      <c r="K115" t="s">
        <v>560</v>
      </c>
      <c r="L115" t="s">
        <v>518</v>
      </c>
      <c r="M115" t="s">
        <v>568</v>
      </c>
      <c r="N115" t="s">
        <v>520</v>
      </c>
    </row>
    <row r="116" spans="1:15" x14ac:dyDescent="0.35">
      <c r="A116" t="s">
        <v>682</v>
      </c>
      <c r="B116" t="s">
        <v>530</v>
      </c>
      <c r="C116" t="s">
        <v>558</v>
      </c>
      <c r="D116" t="s">
        <v>525</v>
      </c>
      <c r="E116">
        <v>458092</v>
      </c>
      <c r="F116">
        <v>415250.85</v>
      </c>
      <c r="G116">
        <f>IF(Table13[[#This Row],[Budget_Allocated_INR]]="","",Table13[[#This Row],[Amount_INR]]-Table13[[#This Row],[Budget_Allocated_INR]])</f>
        <v>42841.150000000023</v>
      </c>
      <c r="H116">
        <v>42841.15</v>
      </c>
      <c r="I116" s="1">
        <v>45172</v>
      </c>
      <c r="J116" t="s">
        <v>526</v>
      </c>
      <c r="K116" t="s">
        <v>517</v>
      </c>
      <c r="L116" t="s">
        <v>518</v>
      </c>
      <c r="M116" t="s">
        <v>546</v>
      </c>
      <c r="N116" t="s">
        <v>520</v>
      </c>
    </row>
    <row r="117" spans="1:15" x14ac:dyDescent="0.35">
      <c r="A117" t="s">
        <v>683</v>
      </c>
      <c r="B117" t="s">
        <v>565</v>
      </c>
      <c r="C117" t="s">
        <v>531</v>
      </c>
      <c r="D117" t="s">
        <v>553</v>
      </c>
      <c r="E117">
        <v>216848</v>
      </c>
      <c r="F117">
        <v>187274.9</v>
      </c>
      <c r="G117">
        <f>IF(Table13[[#This Row],[Budget_Allocated_INR]]="","",Table13[[#This Row],[Amount_INR]]-Table13[[#This Row],[Budget_Allocated_INR]])</f>
        <v>29573.100000000006</v>
      </c>
      <c r="I117" s="1">
        <v>45718</v>
      </c>
      <c r="J117" t="s">
        <v>526</v>
      </c>
      <c r="K117" t="s">
        <v>540</v>
      </c>
      <c r="L117" t="s">
        <v>536</v>
      </c>
      <c r="M117" t="s">
        <v>537</v>
      </c>
      <c r="N117" t="s">
        <v>520</v>
      </c>
    </row>
    <row r="118" spans="1:15" x14ac:dyDescent="0.35">
      <c r="A118" t="s">
        <v>684</v>
      </c>
      <c r="B118" t="s">
        <v>545</v>
      </c>
      <c r="C118" t="s">
        <v>581</v>
      </c>
      <c r="D118" t="s">
        <v>539</v>
      </c>
      <c r="E118">
        <v>369273</v>
      </c>
      <c r="F118">
        <v>394727.13</v>
      </c>
      <c r="G118">
        <f>IF(Table13[[#This Row],[Budget_Allocated_INR]]="","",Table13[[#This Row],[Amount_INR]]-Table13[[#This Row],[Budget_Allocated_INR]])</f>
        <v>-25454.130000000005</v>
      </c>
      <c r="H118">
        <v>-25454.13</v>
      </c>
      <c r="I118" s="1">
        <v>45064</v>
      </c>
      <c r="J118" t="s">
        <v>526</v>
      </c>
      <c r="K118" t="s">
        <v>560</v>
      </c>
      <c r="L118" t="s">
        <v>518</v>
      </c>
      <c r="M118" t="s">
        <v>537</v>
      </c>
      <c r="N118" t="s">
        <v>520</v>
      </c>
    </row>
    <row r="119" spans="1:15" x14ac:dyDescent="0.35">
      <c r="A119" t="s">
        <v>685</v>
      </c>
      <c r="B119" t="s">
        <v>545</v>
      </c>
      <c r="C119" t="s">
        <v>581</v>
      </c>
      <c r="D119" t="s">
        <v>550</v>
      </c>
      <c r="E119">
        <v>482284</v>
      </c>
      <c r="F119">
        <v>386418.85</v>
      </c>
      <c r="G119">
        <f>IF(Table13[[#This Row],[Budget_Allocated_INR]]="","",Table13[[#This Row],[Amount_INR]]-Table13[[#This Row],[Budget_Allocated_INR]])</f>
        <v>95865.150000000023</v>
      </c>
      <c r="H119">
        <v>95865.15</v>
      </c>
      <c r="I119" s="1">
        <v>45141</v>
      </c>
      <c r="J119" t="s">
        <v>526</v>
      </c>
      <c r="K119" t="s">
        <v>560</v>
      </c>
      <c r="L119" t="s">
        <v>518</v>
      </c>
      <c r="M119" t="s">
        <v>537</v>
      </c>
      <c r="N119" t="s">
        <v>520</v>
      </c>
    </row>
    <row r="120" spans="1:15" x14ac:dyDescent="0.35">
      <c r="A120" t="s">
        <v>686</v>
      </c>
      <c r="B120" t="s">
        <v>565</v>
      </c>
      <c r="C120" t="s">
        <v>558</v>
      </c>
      <c r="D120" t="s">
        <v>588</v>
      </c>
      <c r="E120">
        <v>114547</v>
      </c>
      <c r="F120">
        <v>143027.81</v>
      </c>
      <c r="G120">
        <f>IF(Table13[[#This Row],[Budget_Allocated_INR]]="","",Table13[[#This Row],[Amount_INR]]-Table13[[#This Row],[Budget_Allocated_INR]])</f>
        <v>-28480.809999999998</v>
      </c>
      <c r="H120">
        <v>-28480.81</v>
      </c>
      <c r="I120" s="1">
        <v>44948</v>
      </c>
      <c r="J120" t="s">
        <v>526</v>
      </c>
      <c r="K120" t="s">
        <v>517</v>
      </c>
      <c r="L120" t="s">
        <v>541</v>
      </c>
      <c r="M120" t="s">
        <v>519</v>
      </c>
      <c r="N120" t="s">
        <v>520</v>
      </c>
    </row>
    <row r="121" spans="1:15" x14ac:dyDescent="0.35">
      <c r="A121" t="s">
        <v>687</v>
      </c>
      <c r="B121" t="s">
        <v>548</v>
      </c>
      <c r="C121" t="s">
        <v>599</v>
      </c>
      <c r="D121" t="s">
        <v>535</v>
      </c>
      <c r="E121">
        <v>334243</v>
      </c>
      <c r="F121">
        <v>335560.21</v>
      </c>
      <c r="G121">
        <f>IF(Table13[[#This Row],[Budget_Allocated_INR]]="","",Table13[[#This Row],[Amount_INR]]-Table13[[#This Row],[Budget_Allocated_INR]])</f>
        <v>-1317.210000000021</v>
      </c>
      <c r="H121">
        <v>-1317.21</v>
      </c>
      <c r="I121" s="1">
        <v>45487</v>
      </c>
      <c r="J121" t="s">
        <v>526</v>
      </c>
      <c r="K121" t="s">
        <v>527</v>
      </c>
      <c r="L121" t="s">
        <v>536</v>
      </c>
      <c r="M121" t="s">
        <v>537</v>
      </c>
      <c r="N121" t="s">
        <v>520</v>
      </c>
    </row>
    <row r="122" spans="1:15" x14ac:dyDescent="0.35">
      <c r="A122" t="s">
        <v>688</v>
      </c>
      <c r="B122" t="s">
        <v>534</v>
      </c>
      <c r="C122" t="s">
        <v>586</v>
      </c>
      <c r="D122" t="s">
        <v>574</v>
      </c>
      <c r="E122">
        <v>47119</v>
      </c>
      <c r="F122">
        <v>38820.36</v>
      </c>
      <c r="G122">
        <f>IF(Table13[[#This Row],[Budget_Allocated_INR]]="","",Table13[[#This Row],[Amount_INR]]-Table13[[#This Row],[Budget_Allocated_INR]])</f>
        <v>8298.64</v>
      </c>
      <c r="H122">
        <v>8298.64</v>
      </c>
      <c r="I122" s="1">
        <v>45258</v>
      </c>
      <c r="J122" t="s">
        <v>597</v>
      </c>
      <c r="K122" t="s">
        <v>527</v>
      </c>
      <c r="L122" t="s">
        <v>518</v>
      </c>
      <c r="M122" t="s">
        <v>537</v>
      </c>
      <c r="N122" t="s">
        <v>520</v>
      </c>
    </row>
    <row r="123" spans="1:15" x14ac:dyDescent="0.35">
      <c r="A123" t="s">
        <v>689</v>
      </c>
      <c r="B123" t="s">
        <v>565</v>
      </c>
      <c r="C123" t="s">
        <v>558</v>
      </c>
      <c r="D123" t="s">
        <v>584</v>
      </c>
      <c r="E123">
        <v>364029</v>
      </c>
      <c r="F123">
        <v>317442.38</v>
      </c>
      <c r="G123">
        <f>IF(Table13[[#This Row],[Budget_Allocated_INR]]="","",Table13[[#This Row],[Amount_INR]]-Table13[[#This Row],[Budget_Allocated_INR]])</f>
        <v>46586.619999999995</v>
      </c>
      <c r="H123">
        <v>46586.62</v>
      </c>
      <c r="I123" s="1">
        <v>45514</v>
      </c>
      <c r="J123" t="s">
        <v>526</v>
      </c>
      <c r="K123" t="s">
        <v>560</v>
      </c>
      <c r="L123" t="s">
        <v>536</v>
      </c>
      <c r="M123" t="s">
        <v>519</v>
      </c>
      <c r="N123" t="s">
        <v>520</v>
      </c>
    </row>
    <row r="124" spans="1:15" x14ac:dyDescent="0.35">
      <c r="A124" t="s">
        <v>690</v>
      </c>
      <c r="B124" t="s">
        <v>523</v>
      </c>
      <c r="C124" t="s">
        <v>558</v>
      </c>
      <c r="D124" t="s">
        <v>571</v>
      </c>
      <c r="E124">
        <v>169355</v>
      </c>
      <c r="F124">
        <v>195933.87</v>
      </c>
      <c r="G124">
        <f>IF(Table13[[#This Row],[Budget_Allocated_INR]]="","",Table13[[#This Row],[Amount_INR]]-Table13[[#This Row],[Budget_Allocated_INR]])</f>
        <v>-26578.869999999995</v>
      </c>
      <c r="H124">
        <v>-26578.87</v>
      </c>
      <c r="I124" s="1">
        <v>45014</v>
      </c>
      <c r="J124" t="s">
        <v>526</v>
      </c>
      <c r="K124" t="s">
        <v>527</v>
      </c>
      <c r="L124" t="s">
        <v>541</v>
      </c>
      <c r="M124" t="s">
        <v>528</v>
      </c>
      <c r="N124" t="s">
        <v>520</v>
      </c>
    </row>
    <row r="125" spans="1:15" x14ac:dyDescent="0.35">
      <c r="A125" t="s">
        <v>691</v>
      </c>
      <c r="B125" t="s">
        <v>545</v>
      </c>
      <c r="C125" t="s">
        <v>524</v>
      </c>
      <c r="D125" t="s">
        <v>525</v>
      </c>
      <c r="E125">
        <v>137124</v>
      </c>
      <c r="F125">
        <v>141448.92000000001</v>
      </c>
      <c r="G125">
        <f>IF(Table13[[#This Row],[Budget_Allocated_INR]]="","",Table13[[#This Row],[Amount_INR]]-Table13[[#This Row],[Budget_Allocated_INR]])</f>
        <v>-4324.9200000000128</v>
      </c>
      <c r="H125">
        <v>-4324.92</v>
      </c>
      <c r="I125" s="1">
        <v>45391</v>
      </c>
      <c r="J125" t="s">
        <v>516</v>
      </c>
      <c r="K125" t="s">
        <v>527</v>
      </c>
      <c r="L125" t="s">
        <v>536</v>
      </c>
      <c r="M125" t="s">
        <v>537</v>
      </c>
      <c r="N125" t="s">
        <v>520</v>
      </c>
    </row>
    <row r="126" spans="1:15" x14ac:dyDescent="0.35">
      <c r="A126" t="s">
        <v>692</v>
      </c>
      <c r="B126" t="s">
        <v>576</v>
      </c>
      <c r="C126" t="s">
        <v>624</v>
      </c>
      <c r="D126" t="s">
        <v>574</v>
      </c>
      <c r="E126">
        <v>326044</v>
      </c>
      <c r="F126">
        <v>276349.53999999998</v>
      </c>
      <c r="G126">
        <f>IF(Table13[[#This Row],[Budget_Allocated_INR]]="","",Table13[[#This Row],[Amount_INR]]-Table13[[#This Row],[Budget_Allocated_INR]])</f>
        <v>49694.460000000021</v>
      </c>
      <c r="H126">
        <v>49694.46</v>
      </c>
      <c r="I126" s="1">
        <v>45200</v>
      </c>
      <c r="J126" t="s">
        <v>526</v>
      </c>
      <c r="K126" t="s">
        <v>517</v>
      </c>
      <c r="L126" t="s">
        <v>518</v>
      </c>
      <c r="M126" t="s">
        <v>537</v>
      </c>
      <c r="N126" t="s">
        <v>520</v>
      </c>
    </row>
    <row r="127" spans="1:15" x14ac:dyDescent="0.35">
      <c r="A127" t="s">
        <v>693</v>
      </c>
      <c r="B127" t="s">
        <v>534</v>
      </c>
      <c r="C127" t="s">
        <v>599</v>
      </c>
      <c r="D127" t="s">
        <v>535</v>
      </c>
      <c r="E127">
        <v>488286</v>
      </c>
      <c r="F127">
        <v>445059.53</v>
      </c>
      <c r="G127">
        <f>IF(Table13[[#This Row],[Budget_Allocated_INR]]="","",Table13[[#This Row],[Amount_INR]]-Table13[[#This Row],[Budget_Allocated_INR]])</f>
        <v>43226.469999999972</v>
      </c>
      <c r="H127">
        <v>43226.47</v>
      </c>
      <c r="I127" s="1">
        <v>44979</v>
      </c>
      <c r="J127" t="s">
        <v>516</v>
      </c>
      <c r="K127" t="s">
        <v>540</v>
      </c>
      <c r="L127" t="s">
        <v>541</v>
      </c>
      <c r="M127" t="s">
        <v>554</v>
      </c>
      <c r="N127" t="s">
        <v>520</v>
      </c>
      <c r="O127" t="s">
        <v>521</v>
      </c>
    </row>
    <row r="128" spans="1:15" x14ac:dyDescent="0.35">
      <c r="A128" t="s">
        <v>694</v>
      </c>
      <c r="B128" t="s">
        <v>530</v>
      </c>
      <c r="C128" t="s">
        <v>543</v>
      </c>
      <c r="D128" t="s">
        <v>515</v>
      </c>
      <c r="E128">
        <v>249928</v>
      </c>
      <c r="F128">
        <v>252956.29</v>
      </c>
      <c r="G128">
        <f>IF(Table13[[#This Row],[Budget_Allocated_INR]]="","",Table13[[#This Row],[Amount_INR]]-Table13[[#This Row],[Budget_Allocated_INR]])</f>
        <v>-3028.2900000000081</v>
      </c>
      <c r="H128">
        <v>-3028.29</v>
      </c>
      <c r="I128" s="1">
        <v>45577</v>
      </c>
      <c r="J128" t="s">
        <v>526</v>
      </c>
      <c r="K128" t="s">
        <v>560</v>
      </c>
      <c r="L128" t="s">
        <v>536</v>
      </c>
      <c r="M128" t="s">
        <v>537</v>
      </c>
      <c r="N128" t="s">
        <v>520</v>
      </c>
    </row>
    <row r="129" spans="1:15" x14ac:dyDescent="0.35">
      <c r="A129" t="s">
        <v>695</v>
      </c>
      <c r="B129" t="s">
        <v>534</v>
      </c>
      <c r="C129" t="s">
        <v>552</v>
      </c>
      <c r="D129" t="s">
        <v>515</v>
      </c>
      <c r="E129">
        <v>380262</v>
      </c>
      <c r="F129">
        <v>429276.79</v>
      </c>
      <c r="G129">
        <f>IF(Table13[[#This Row],[Budget_Allocated_INR]]="","",Table13[[#This Row],[Amount_INR]]-Table13[[#This Row],[Budget_Allocated_INR]])</f>
        <v>-49014.789999999979</v>
      </c>
      <c r="H129">
        <v>-49014.79</v>
      </c>
      <c r="I129" s="1">
        <v>45520</v>
      </c>
      <c r="J129" t="s">
        <v>526</v>
      </c>
      <c r="K129" t="s">
        <v>540</v>
      </c>
      <c r="L129" t="s">
        <v>536</v>
      </c>
      <c r="M129" t="s">
        <v>537</v>
      </c>
      <c r="N129" t="s">
        <v>520</v>
      </c>
    </row>
    <row r="130" spans="1:15" x14ac:dyDescent="0.35">
      <c r="A130" t="s">
        <v>696</v>
      </c>
      <c r="B130" t="s">
        <v>79</v>
      </c>
      <c r="C130" t="s">
        <v>514</v>
      </c>
      <c r="D130" t="s">
        <v>525</v>
      </c>
      <c r="E130">
        <v>497608</v>
      </c>
      <c r="F130">
        <v>610444.68999999994</v>
      </c>
      <c r="G130">
        <f>IF(Table13[[#This Row],[Budget_Allocated_INR]]="","",Table13[[#This Row],[Amount_INR]]-Table13[[#This Row],[Budget_Allocated_INR]])</f>
        <v>-112836.68999999994</v>
      </c>
      <c r="H130">
        <v>-112836.69</v>
      </c>
      <c r="I130" s="1">
        <v>45541</v>
      </c>
      <c r="J130" t="s">
        <v>597</v>
      </c>
      <c r="K130" t="s">
        <v>517</v>
      </c>
      <c r="L130" t="s">
        <v>536</v>
      </c>
      <c r="M130" t="s">
        <v>537</v>
      </c>
      <c r="N130" t="s">
        <v>520</v>
      </c>
      <c r="O130" t="s">
        <v>521</v>
      </c>
    </row>
    <row r="131" spans="1:15" x14ac:dyDescent="0.35">
      <c r="A131" t="s">
        <v>697</v>
      </c>
      <c r="B131" t="s">
        <v>576</v>
      </c>
      <c r="C131" t="s">
        <v>558</v>
      </c>
      <c r="D131" t="s">
        <v>605</v>
      </c>
      <c r="E131">
        <v>132369</v>
      </c>
      <c r="F131">
        <v>155770.21</v>
      </c>
      <c r="G131">
        <f>IF(Table13[[#This Row],[Budget_Allocated_INR]]="","",Table13[[#This Row],[Amount_INR]]-Table13[[#This Row],[Budget_Allocated_INR]])</f>
        <v>-23401.209999999992</v>
      </c>
      <c r="H131">
        <v>-23401.21</v>
      </c>
      <c r="I131" s="1">
        <v>45599</v>
      </c>
      <c r="J131" t="s">
        <v>526</v>
      </c>
      <c r="K131" t="s">
        <v>517</v>
      </c>
      <c r="L131" t="s">
        <v>536</v>
      </c>
      <c r="M131" t="s">
        <v>568</v>
      </c>
      <c r="N131" t="s">
        <v>520</v>
      </c>
    </row>
    <row r="132" spans="1:15" x14ac:dyDescent="0.35">
      <c r="A132" t="s">
        <v>698</v>
      </c>
      <c r="B132" t="s">
        <v>523</v>
      </c>
      <c r="C132" t="s">
        <v>514</v>
      </c>
      <c r="D132" t="s">
        <v>515</v>
      </c>
      <c r="E132">
        <v>113120</v>
      </c>
      <c r="F132">
        <v>128850.06</v>
      </c>
      <c r="G132">
        <f>IF(Table13[[#This Row],[Budget_Allocated_INR]]="","",Table13[[#This Row],[Amount_INR]]-Table13[[#This Row],[Budget_Allocated_INR]])</f>
        <v>-15730.059999999998</v>
      </c>
      <c r="H132">
        <v>-15730.06</v>
      </c>
      <c r="I132" s="1">
        <v>45409</v>
      </c>
      <c r="J132" t="s">
        <v>526</v>
      </c>
      <c r="K132" t="s">
        <v>540</v>
      </c>
      <c r="L132" t="s">
        <v>536</v>
      </c>
      <c r="M132" t="s">
        <v>537</v>
      </c>
      <c r="N132" t="s">
        <v>520</v>
      </c>
    </row>
    <row r="133" spans="1:15" x14ac:dyDescent="0.35">
      <c r="A133" t="s">
        <v>699</v>
      </c>
      <c r="B133" t="s">
        <v>534</v>
      </c>
      <c r="C133" t="s">
        <v>581</v>
      </c>
      <c r="D133" t="s">
        <v>605</v>
      </c>
      <c r="E133">
        <v>339860</v>
      </c>
      <c r="F133">
        <v>388536.49</v>
      </c>
      <c r="G133">
        <f>IF(Table13[[#This Row],[Budget_Allocated_INR]]="","",Table13[[#This Row],[Amount_INR]]-Table13[[#This Row],[Budget_Allocated_INR]])</f>
        <v>-48676.489999999991</v>
      </c>
      <c r="H133">
        <v>-48676.49</v>
      </c>
      <c r="I133" s="1">
        <v>45680</v>
      </c>
      <c r="J133" t="s">
        <v>526</v>
      </c>
      <c r="K133" t="s">
        <v>517</v>
      </c>
      <c r="L133" t="s">
        <v>536</v>
      </c>
      <c r="M133" t="s">
        <v>537</v>
      </c>
      <c r="N133" t="s">
        <v>520</v>
      </c>
    </row>
    <row r="134" spans="1:15" x14ac:dyDescent="0.35">
      <c r="A134" t="s">
        <v>700</v>
      </c>
      <c r="B134" t="s">
        <v>548</v>
      </c>
      <c r="C134" t="s">
        <v>596</v>
      </c>
      <c r="D134" t="s">
        <v>634</v>
      </c>
      <c r="E134">
        <v>51429</v>
      </c>
      <c r="F134">
        <v>53477.37</v>
      </c>
      <c r="G134">
        <f>IF(Table13[[#This Row],[Budget_Allocated_INR]]="","",Table13[[#This Row],[Amount_INR]]-Table13[[#This Row],[Budget_Allocated_INR]])</f>
        <v>-2048.3700000000026</v>
      </c>
      <c r="H134">
        <v>-2048.37</v>
      </c>
      <c r="I134" s="1">
        <v>45657</v>
      </c>
      <c r="J134" t="s">
        <v>526</v>
      </c>
      <c r="K134" t="s">
        <v>527</v>
      </c>
      <c r="L134" t="s">
        <v>536</v>
      </c>
      <c r="M134" t="s">
        <v>568</v>
      </c>
      <c r="N134" t="s">
        <v>520</v>
      </c>
    </row>
    <row r="135" spans="1:15" x14ac:dyDescent="0.35">
      <c r="A135" t="s">
        <v>701</v>
      </c>
      <c r="B135" t="s">
        <v>534</v>
      </c>
      <c r="C135" t="s">
        <v>531</v>
      </c>
      <c r="D135" t="s">
        <v>588</v>
      </c>
      <c r="E135">
        <v>115872</v>
      </c>
      <c r="F135">
        <v>115147.65</v>
      </c>
      <c r="G135">
        <f>IF(Table13[[#This Row],[Budget_Allocated_INR]]="","",Table13[[#This Row],[Amount_INR]]-Table13[[#This Row],[Budget_Allocated_INR]])</f>
        <v>724.35000000000582</v>
      </c>
      <c r="H135">
        <v>724.35</v>
      </c>
      <c r="I135" s="1">
        <v>45656</v>
      </c>
      <c r="J135" t="s">
        <v>526</v>
      </c>
      <c r="K135" t="s">
        <v>560</v>
      </c>
      <c r="L135" t="s">
        <v>536</v>
      </c>
      <c r="M135" t="s">
        <v>537</v>
      </c>
      <c r="N135" t="s">
        <v>520</v>
      </c>
    </row>
    <row r="136" spans="1:15" x14ac:dyDescent="0.35">
      <c r="A136" t="s">
        <v>702</v>
      </c>
      <c r="B136" t="s">
        <v>530</v>
      </c>
      <c r="C136" t="s">
        <v>524</v>
      </c>
      <c r="D136" t="s">
        <v>634</v>
      </c>
      <c r="E136">
        <v>365187</v>
      </c>
      <c r="F136">
        <v>331945.39</v>
      </c>
      <c r="G136">
        <f>IF(Table13[[#This Row],[Budget_Allocated_INR]]="","",Table13[[#This Row],[Amount_INR]]-Table13[[#This Row],[Budget_Allocated_INR]])</f>
        <v>33241.609999999986</v>
      </c>
      <c r="H136">
        <v>33241.61</v>
      </c>
      <c r="I136" s="1">
        <v>45404</v>
      </c>
      <c r="J136" t="s">
        <v>526</v>
      </c>
      <c r="K136" t="s">
        <v>527</v>
      </c>
      <c r="L136" t="s">
        <v>536</v>
      </c>
      <c r="M136" t="s">
        <v>528</v>
      </c>
      <c r="N136" t="s">
        <v>520</v>
      </c>
    </row>
    <row r="137" spans="1:15" x14ac:dyDescent="0.35">
      <c r="A137" t="s">
        <v>703</v>
      </c>
      <c r="B137" t="s">
        <v>576</v>
      </c>
      <c r="C137" t="s">
        <v>558</v>
      </c>
      <c r="D137" t="s">
        <v>515</v>
      </c>
      <c r="E137">
        <v>171763</v>
      </c>
      <c r="F137">
        <v>214301.63</v>
      </c>
      <c r="G137">
        <f>IF(Table13[[#This Row],[Budget_Allocated_INR]]="","",Table13[[#This Row],[Amount_INR]]-Table13[[#This Row],[Budget_Allocated_INR]])</f>
        <v>-42538.630000000005</v>
      </c>
      <c r="H137">
        <v>-42538.63</v>
      </c>
      <c r="I137" s="1">
        <v>45707</v>
      </c>
      <c r="J137" t="s">
        <v>526</v>
      </c>
      <c r="K137" t="s">
        <v>560</v>
      </c>
      <c r="L137" t="s">
        <v>536</v>
      </c>
      <c r="M137" t="s">
        <v>546</v>
      </c>
      <c r="N137" t="s">
        <v>520</v>
      </c>
    </row>
    <row r="138" spans="1:15" x14ac:dyDescent="0.35">
      <c r="A138" t="s">
        <v>704</v>
      </c>
      <c r="B138" t="s">
        <v>534</v>
      </c>
      <c r="C138" t="s">
        <v>558</v>
      </c>
      <c r="D138" t="s">
        <v>539</v>
      </c>
      <c r="E138">
        <v>348146</v>
      </c>
      <c r="F138">
        <v>280719.95</v>
      </c>
      <c r="G138">
        <f>IF(Table13[[#This Row],[Budget_Allocated_INR]]="","",Table13[[#This Row],[Amount_INR]]-Table13[[#This Row],[Budget_Allocated_INR]])</f>
        <v>67426.049999999988</v>
      </c>
      <c r="H138">
        <v>67426.05</v>
      </c>
      <c r="I138" s="1">
        <v>45111</v>
      </c>
      <c r="J138" t="s">
        <v>526</v>
      </c>
      <c r="K138" t="s">
        <v>517</v>
      </c>
      <c r="L138" t="s">
        <v>518</v>
      </c>
      <c r="M138" t="s">
        <v>537</v>
      </c>
      <c r="N138" t="s">
        <v>520</v>
      </c>
    </row>
    <row r="139" spans="1:15" x14ac:dyDescent="0.35">
      <c r="A139" t="s">
        <v>705</v>
      </c>
      <c r="B139" t="s">
        <v>548</v>
      </c>
      <c r="C139" t="s">
        <v>586</v>
      </c>
      <c r="D139" t="s">
        <v>539</v>
      </c>
      <c r="E139">
        <v>480801</v>
      </c>
      <c r="F139">
        <v>468031.05</v>
      </c>
      <c r="G139">
        <f>IF(Table13[[#This Row],[Budget_Allocated_INR]]="","",Table13[[#This Row],[Amount_INR]]-Table13[[#This Row],[Budget_Allocated_INR]])</f>
        <v>12769.950000000012</v>
      </c>
      <c r="H139">
        <v>12769.95</v>
      </c>
      <c r="I139" s="1">
        <v>45265</v>
      </c>
      <c r="J139" t="s">
        <v>526</v>
      </c>
      <c r="K139" t="s">
        <v>540</v>
      </c>
      <c r="L139" t="s">
        <v>518</v>
      </c>
      <c r="M139" t="s">
        <v>537</v>
      </c>
      <c r="N139" t="s">
        <v>520</v>
      </c>
    </row>
    <row r="140" spans="1:15" x14ac:dyDescent="0.35">
      <c r="A140" t="s">
        <v>706</v>
      </c>
      <c r="B140" t="s">
        <v>576</v>
      </c>
      <c r="C140" t="s">
        <v>524</v>
      </c>
      <c r="D140" t="s">
        <v>539</v>
      </c>
      <c r="E140">
        <v>428532</v>
      </c>
      <c r="F140">
        <v>371172.94</v>
      </c>
      <c r="G140">
        <f>IF(Table13[[#This Row],[Budget_Allocated_INR]]="","",Table13[[#This Row],[Amount_INR]]-Table13[[#This Row],[Budget_Allocated_INR]])</f>
        <v>57359.06</v>
      </c>
      <c r="H140">
        <v>57359.06</v>
      </c>
      <c r="I140" s="1">
        <v>45626</v>
      </c>
      <c r="J140" t="s">
        <v>526</v>
      </c>
      <c r="K140" t="s">
        <v>560</v>
      </c>
      <c r="L140" t="s">
        <v>536</v>
      </c>
      <c r="M140" t="s">
        <v>554</v>
      </c>
      <c r="N140" t="s">
        <v>520</v>
      </c>
    </row>
    <row r="141" spans="1:15" x14ac:dyDescent="0.35">
      <c r="A141" t="s">
        <v>707</v>
      </c>
      <c r="B141" t="s">
        <v>534</v>
      </c>
      <c r="C141" t="s">
        <v>558</v>
      </c>
      <c r="D141" t="s">
        <v>539</v>
      </c>
      <c r="E141">
        <v>27222</v>
      </c>
      <c r="F141">
        <v>29959.3</v>
      </c>
      <c r="G141">
        <f>IF(Table13[[#This Row],[Budget_Allocated_INR]]="","",Table13[[#This Row],[Amount_INR]]-Table13[[#This Row],[Budget_Allocated_INR]])</f>
        <v>-2737.2999999999993</v>
      </c>
      <c r="H141">
        <v>-2737.3</v>
      </c>
      <c r="I141" s="1">
        <v>45694</v>
      </c>
      <c r="J141" t="s">
        <v>516</v>
      </c>
      <c r="K141" t="s">
        <v>540</v>
      </c>
      <c r="L141" t="s">
        <v>536</v>
      </c>
      <c r="M141" t="s">
        <v>537</v>
      </c>
      <c r="N141" t="s">
        <v>520</v>
      </c>
    </row>
    <row r="142" spans="1:15" x14ac:dyDescent="0.35">
      <c r="A142" t="s">
        <v>708</v>
      </c>
      <c r="B142" t="s">
        <v>79</v>
      </c>
      <c r="C142" t="s">
        <v>596</v>
      </c>
      <c r="D142" t="s">
        <v>571</v>
      </c>
      <c r="E142">
        <v>242230</v>
      </c>
      <c r="F142">
        <v>281806.86</v>
      </c>
      <c r="G142">
        <f>IF(Table13[[#This Row],[Budget_Allocated_INR]]="","",Table13[[#This Row],[Amount_INR]]-Table13[[#This Row],[Budget_Allocated_INR]])</f>
        <v>-39576.859999999986</v>
      </c>
      <c r="H142">
        <v>-39576.86</v>
      </c>
      <c r="I142" s="1">
        <v>45303</v>
      </c>
      <c r="J142" t="s">
        <v>526</v>
      </c>
      <c r="K142" t="s">
        <v>560</v>
      </c>
      <c r="L142" t="s">
        <v>518</v>
      </c>
      <c r="M142" t="s">
        <v>537</v>
      </c>
      <c r="N142" t="s">
        <v>520</v>
      </c>
    </row>
    <row r="143" spans="1:15" x14ac:dyDescent="0.35">
      <c r="A143" t="s">
        <v>709</v>
      </c>
      <c r="B143" t="s">
        <v>534</v>
      </c>
      <c r="C143" t="s">
        <v>558</v>
      </c>
      <c r="D143" t="s">
        <v>539</v>
      </c>
      <c r="E143">
        <v>392038</v>
      </c>
      <c r="F143">
        <v>455114.05</v>
      </c>
      <c r="G143">
        <f>IF(Table13[[#This Row],[Budget_Allocated_INR]]="","",Table13[[#This Row],[Amount_INR]]-Table13[[#This Row],[Budget_Allocated_INR]])</f>
        <v>-63076.049999999988</v>
      </c>
      <c r="H143">
        <v>-63076.05</v>
      </c>
      <c r="I143" s="1">
        <v>45282</v>
      </c>
      <c r="J143" t="s">
        <v>516</v>
      </c>
      <c r="K143" t="s">
        <v>560</v>
      </c>
      <c r="L143" t="s">
        <v>518</v>
      </c>
      <c r="M143" t="s">
        <v>519</v>
      </c>
      <c r="N143" t="s">
        <v>520</v>
      </c>
      <c r="O143" t="s">
        <v>521</v>
      </c>
    </row>
    <row r="144" spans="1:15" x14ac:dyDescent="0.35">
      <c r="A144" t="s">
        <v>710</v>
      </c>
      <c r="B144" t="s">
        <v>523</v>
      </c>
      <c r="C144" t="s">
        <v>531</v>
      </c>
      <c r="D144" t="s">
        <v>574</v>
      </c>
      <c r="E144">
        <v>410556</v>
      </c>
      <c r="F144">
        <v>369988.01</v>
      </c>
      <c r="G144">
        <f>IF(Table13[[#This Row],[Budget_Allocated_INR]]="","",Table13[[#This Row],[Amount_INR]]-Table13[[#This Row],[Budget_Allocated_INR]])</f>
        <v>40567.989999999991</v>
      </c>
      <c r="H144">
        <v>40567.99</v>
      </c>
      <c r="I144" s="1">
        <v>45432</v>
      </c>
      <c r="J144" t="s">
        <v>526</v>
      </c>
      <c r="K144" t="s">
        <v>560</v>
      </c>
      <c r="L144" t="s">
        <v>536</v>
      </c>
      <c r="M144" t="s">
        <v>537</v>
      </c>
      <c r="N144" t="s">
        <v>520</v>
      </c>
    </row>
    <row r="145" spans="1:14" x14ac:dyDescent="0.35">
      <c r="A145" t="s">
        <v>711</v>
      </c>
      <c r="B145" t="s">
        <v>565</v>
      </c>
      <c r="C145" t="s">
        <v>531</v>
      </c>
      <c r="D145" t="s">
        <v>525</v>
      </c>
      <c r="E145">
        <v>316670</v>
      </c>
      <c r="F145">
        <v>330471.40999999997</v>
      </c>
      <c r="G145">
        <f>IF(Table13[[#This Row],[Budget_Allocated_INR]]="","",Table13[[#This Row],[Amount_INR]]-Table13[[#This Row],[Budget_Allocated_INR]])</f>
        <v>-13801.409999999974</v>
      </c>
      <c r="H145">
        <v>-13801.41</v>
      </c>
      <c r="I145" s="1">
        <v>45711</v>
      </c>
      <c r="J145" t="s">
        <v>526</v>
      </c>
      <c r="K145" t="s">
        <v>540</v>
      </c>
      <c r="L145" t="s">
        <v>536</v>
      </c>
      <c r="M145" t="s">
        <v>528</v>
      </c>
      <c r="N145" t="s">
        <v>520</v>
      </c>
    </row>
    <row r="146" spans="1:14" x14ac:dyDescent="0.35">
      <c r="A146" t="s">
        <v>712</v>
      </c>
      <c r="B146" t="s">
        <v>576</v>
      </c>
      <c r="C146" t="s">
        <v>599</v>
      </c>
      <c r="D146" t="s">
        <v>559</v>
      </c>
      <c r="E146">
        <v>160486</v>
      </c>
      <c r="F146">
        <v>139737.38</v>
      </c>
      <c r="G146">
        <f>IF(Table13[[#This Row],[Budget_Allocated_INR]]="","",Table13[[#This Row],[Amount_INR]]-Table13[[#This Row],[Budget_Allocated_INR]])</f>
        <v>20748.619999999995</v>
      </c>
      <c r="H146">
        <v>20748.62</v>
      </c>
      <c r="I146" s="1">
        <v>45327</v>
      </c>
      <c r="J146" t="s">
        <v>516</v>
      </c>
      <c r="K146" t="s">
        <v>517</v>
      </c>
      <c r="L146" t="s">
        <v>518</v>
      </c>
      <c r="M146" t="s">
        <v>537</v>
      </c>
      <c r="N146" t="s">
        <v>520</v>
      </c>
    </row>
    <row r="147" spans="1:14" x14ac:dyDescent="0.35">
      <c r="A147" t="s">
        <v>713</v>
      </c>
      <c r="B147" t="s">
        <v>565</v>
      </c>
      <c r="C147" t="s">
        <v>531</v>
      </c>
      <c r="D147" t="s">
        <v>634</v>
      </c>
      <c r="E147">
        <v>109864</v>
      </c>
      <c r="F147">
        <v>96347.03</v>
      </c>
      <c r="G147">
        <f>IF(Table13[[#This Row],[Budget_Allocated_INR]]="","",Table13[[#This Row],[Amount_INR]]-Table13[[#This Row],[Budget_Allocated_INR]])</f>
        <v>13516.970000000001</v>
      </c>
      <c r="H147">
        <v>13516.97</v>
      </c>
      <c r="I147" s="1">
        <v>45560</v>
      </c>
      <c r="J147" t="s">
        <v>526</v>
      </c>
      <c r="K147" t="s">
        <v>527</v>
      </c>
      <c r="L147" t="s">
        <v>536</v>
      </c>
      <c r="M147" t="s">
        <v>537</v>
      </c>
      <c r="N147" t="s">
        <v>520</v>
      </c>
    </row>
    <row r="148" spans="1:14" x14ac:dyDescent="0.35">
      <c r="A148" t="s">
        <v>714</v>
      </c>
      <c r="B148" t="s">
        <v>565</v>
      </c>
      <c r="C148" t="s">
        <v>558</v>
      </c>
      <c r="D148" t="s">
        <v>515</v>
      </c>
      <c r="E148">
        <v>61031</v>
      </c>
      <c r="F148">
        <v>71993.47</v>
      </c>
      <c r="G148">
        <f>IF(Table13[[#This Row],[Budget_Allocated_INR]]="","",Table13[[#This Row],[Amount_INR]]-Table13[[#This Row],[Budget_Allocated_INR]])</f>
        <v>-10962.470000000001</v>
      </c>
      <c r="H148">
        <v>-10962.47</v>
      </c>
      <c r="I148" s="1">
        <v>45339</v>
      </c>
      <c r="J148" t="s">
        <v>526</v>
      </c>
      <c r="K148" t="s">
        <v>540</v>
      </c>
      <c r="L148" t="s">
        <v>518</v>
      </c>
      <c r="M148" t="s">
        <v>554</v>
      </c>
      <c r="N148" t="s">
        <v>520</v>
      </c>
    </row>
    <row r="149" spans="1:14" x14ac:dyDescent="0.35">
      <c r="A149" t="s">
        <v>715</v>
      </c>
      <c r="B149" t="s">
        <v>530</v>
      </c>
      <c r="C149" t="s">
        <v>581</v>
      </c>
      <c r="D149" t="s">
        <v>535</v>
      </c>
      <c r="E149">
        <v>464497</v>
      </c>
      <c r="F149">
        <v>444903.98</v>
      </c>
      <c r="G149">
        <f>IF(Table13[[#This Row],[Budget_Allocated_INR]]="","",Table13[[#This Row],[Amount_INR]]-Table13[[#This Row],[Budget_Allocated_INR]])</f>
        <v>19593.020000000019</v>
      </c>
      <c r="H149">
        <v>19593.02</v>
      </c>
      <c r="I149" s="1">
        <v>45107</v>
      </c>
      <c r="J149" t="s">
        <v>526</v>
      </c>
      <c r="K149" t="s">
        <v>517</v>
      </c>
      <c r="L149" t="s">
        <v>518</v>
      </c>
      <c r="M149" t="s">
        <v>537</v>
      </c>
      <c r="N149" t="s">
        <v>520</v>
      </c>
    </row>
    <row r="150" spans="1:14" x14ac:dyDescent="0.35">
      <c r="A150" t="s">
        <v>716</v>
      </c>
      <c r="B150" t="s">
        <v>545</v>
      </c>
      <c r="C150" t="s">
        <v>543</v>
      </c>
      <c r="D150" t="s">
        <v>593</v>
      </c>
      <c r="E150">
        <v>422084</v>
      </c>
      <c r="G150" t="str">
        <f>IF(Table13[[#This Row],[Budget_Allocated_INR]]="","",Table13[[#This Row],[Amount_INR]]-Table13[[#This Row],[Budget_Allocated_INR]])</f>
        <v/>
      </c>
      <c r="H150">
        <v>-106956.09</v>
      </c>
      <c r="I150" s="1">
        <v>45310</v>
      </c>
      <c r="J150" t="s">
        <v>526</v>
      </c>
      <c r="K150" t="s">
        <v>560</v>
      </c>
      <c r="L150" t="s">
        <v>518</v>
      </c>
      <c r="M150" t="s">
        <v>537</v>
      </c>
      <c r="N150" t="s">
        <v>520</v>
      </c>
    </row>
    <row r="151" spans="1:14" x14ac:dyDescent="0.35">
      <c r="A151" t="s">
        <v>717</v>
      </c>
      <c r="B151" t="s">
        <v>548</v>
      </c>
      <c r="C151" t="s">
        <v>558</v>
      </c>
      <c r="D151" t="s">
        <v>571</v>
      </c>
      <c r="E151">
        <v>477890</v>
      </c>
      <c r="F151">
        <v>544686.32999999996</v>
      </c>
      <c r="G151">
        <f>IF(Table13[[#This Row],[Budget_Allocated_INR]]="","",Table13[[#This Row],[Amount_INR]]-Table13[[#This Row],[Budget_Allocated_INR]])</f>
        <v>-66796.329999999958</v>
      </c>
      <c r="H151">
        <v>-66796.33</v>
      </c>
      <c r="I151" s="1">
        <v>45631</v>
      </c>
      <c r="J151" t="s">
        <v>526</v>
      </c>
      <c r="K151" t="s">
        <v>560</v>
      </c>
      <c r="L151" t="s">
        <v>536</v>
      </c>
      <c r="M151" t="s">
        <v>568</v>
      </c>
      <c r="N151" t="s">
        <v>520</v>
      </c>
    </row>
    <row r="152" spans="1:14" x14ac:dyDescent="0.35">
      <c r="A152" t="s">
        <v>718</v>
      </c>
      <c r="B152" t="s">
        <v>79</v>
      </c>
      <c r="C152" t="s">
        <v>586</v>
      </c>
      <c r="D152" t="s">
        <v>634</v>
      </c>
      <c r="E152">
        <v>337982</v>
      </c>
      <c r="F152">
        <v>423284.97</v>
      </c>
      <c r="G152">
        <f>IF(Table13[[#This Row],[Budget_Allocated_INR]]="","",Table13[[#This Row],[Amount_INR]]-Table13[[#This Row],[Budget_Allocated_INR]])</f>
        <v>-85302.969999999972</v>
      </c>
      <c r="H152">
        <v>-85302.97</v>
      </c>
      <c r="I152" s="1">
        <v>45734</v>
      </c>
      <c r="J152" t="s">
        <v>526</v>
      </c>
      <c r="K152" t="s">
        <v>560</v>
      </c>
      <c r="L152" t="s">
        <v>536</v>
      </c>
      <c r="M152" t="s">
        <v>537</v>
      </c>
      <c r="N152" t="s">
        <v>520</v>
      </c>
    </row>
    <row r="153" spans="1:14" x14ac:dyDescent="0.35">
      <c r="A153" t="s">
        <v>719</v>
      </c>
      <c r="B153" t="s">
        <v>565</v>
      </c>
      <c r="C153" t="s">
        <v>624</v>
      </c>
      <c r="D153" t="s">
        <v>559</v>
      </c>
      <c r="E153">
        <v>454577</v>
      </c>
      <c r="F153">
        <v>580311.71</v>
      </c>
      <c r="G153">
        <f>IF(Table13[[#This Row],[Budget_Allocated_INR]]="","",Table13[[#This Row],[Amount_INR]]-Table13[[#This Row],[Budget_Allocated_INR]])</f>
        <v>-125734.70999999996</v>
      </c>
      <c r="H153">
        <v>-125734.71</v>
      </c>
      <c r="I153" s="1">
        <v>45018</v>
      </c>
      <c r="J153" t="s">
        <v>526</v>
      </c>
      <c r="K153" t="s">
        <v>560</v>
      </c>
      <c r="L153" t="s">
        <v>518</v>
      </c>
      <c r="M153" t="s">
        <v>537</v>
      </c>
      <c r="N153" t="s">
        <v>520</v>
      </c>
    </row>
    <row r="154" spans="1:14" x14ac:dyDescent="0.35">
      <c r="A154" t="s">
        <v>720</v>
      </c>
      <c r="B154" t="s">
        <v>79</v>
      </c>
      <c r="C154" t="s">
        <v>558</v>
      </c>
      <c r="D154" t="s">
        <v>593</v>
      </c>
      <c r="E154">
        <v>226756</v>
      </c>
      <c r="F154">
        <v>211964.68</v>
      </c>
      <c r="G154">
        <f>IF(Table13[[#This Row],[Budget_Allocated_INR]]="","",Table13[[#This Row],[Amount_INR]]-Table13[[#This Row],[Budget_Allocated_INR]])</f>
        <v>14791.320000000007</v>
      </c>
      <c r="H154">
        <v>14791.32</v>
      </c>
      <c r="I154" s="1">
        <v>45415</v>
      </c>
      <c r="J154" t="s">
        <v>526</v>
      </c>
      <c r="K154" t="s">
        <v>540</v>
      </c>
      <c r="L154" t="s">
        <v>536</v>
      </c>
      <c r="M154" t="s">
        <v>537</v>
      </c>
      <c r="N154" t="s">
        <v>520</v>
      </c>
    </row>
    <row r="155" spans="1:14" x14ac:dyDescent="0.35">
      <c r="A155" t="s">
        <v>721</v>
      </c>
      <c r="B155" t="s">
        <v>576</v>
      </c>
      <c r="C155" t="s">
        <v>531</v>
      </c>
      <c r="D155" t="s">
        <v>563</v>
      </c>
      <c r="E155">
        <v>244563</v>
      </c>
      <c r="F155">
        <v>224303.12</v>
      </c>
      <c r="G155">
        <f>IF(Table13[[#This Row],[Budget_Allocated_INR]]="","",Table13[[#This Row],[Amount_INR]]-Table13[[#This Row],[Budget_Allocated_INR]])</f>
        <v>20259.880000000005</v>
      </c>
      <c r="H155">
        <v>20259.88</v>
      </c>
      <c r="I155" s="1">
        <v>45247</v>
      </c>
      <c r="J155" t="s">
        <v>526</v>
      </c>
      <c r="K155" t="s">
        <v>560</v>
      </c>
      <c r="L155" t="s">
        <v>518</v>
      </c>
      <c r="M155" t="s">
        <v>554</v>
      </c>
      <c r="N155" t="s">
        <v>520</v>
      </c>
    </row>
    <row r="156" spans="1:14" x14ac:dyDescent="0.35">
      <c r="A156" t="s">
        <v>722</v>
      </c>
      <c r="B156" t="s">
        <v>523</v>
      </c>
      <c r="C156" t="s">
        <v>562</v>
      </c>
      <c r="D156" t="s">
        <v>559</v>
      </c>
      <c r="E156">
        <v>349024</v>
      </c>
      <c r="F156">
        <v>295827.33</v>
      </c>
      <c r="G156">
        <f>IF(Table13[[#This Row],[Budget_Allocated_INR]]="","",Table13[[#This Row],[Amount_INR]]-Table13[[#This Row],[Budget_Allocated_INR]])</f>
        <v>53196.669999999984</v>
      </c>
      <c r="H156">
        <v>53196.67</v>
      </c>
      <c r="I156" s="1">
        <v>45414</v>
      </c>
      <c r="J156" t="s">
        <v>526</v>
      </c>
      <c r="K156" t="s">
        <v>560</v>
      </c>
      <c r="L156" t="s">
        <v>536</v>
      </c>
      <c r="M156" t="s">
        <v>554</v>
      </c>
      <c r="N156" t="s">
        <v>520</v>
      </c>
    </row>
    <row r="157" spans="1:14" x14ac:dyDescent="0.35">
      <c r="A157" t="s">
        <v>723</v>
      </c>
      <c r="B157" t="s">
        <v>545</v>
      </c>
      <c r="C157" t="s">
        <v>514</v>
      </c>
      <c r="D157" t="s">
        <v>605</v>
      </c>
      <c r="E157">
        <v>39030</v>
      </c>
      <c r="F157">
        <v>46367.88</v>
      </c>
      <c r="G157">
        <f>IF(Table13[[#This Row],[Budget_Allocated_INR]]="","",Table13[[#This Row],[Amount_INR]]-Table13[[#This Row],[Budget_Allocated_INR]])</f>
        <v>-7337.8799999999974</v>
      </c>
      <c r="H157">
        <v>-7337.88</v>
      </c>
      <c r="I157" s="1">
        <v>45350</v>
      </c>
      <c r="J157" t="s">
        <v>526</v>
      </c>
      <c r="K157" t="s">
        <v>540</v>
      </c>
      <c r="L157" t="s">
        <v>518</v>
      </c>
      <c r="M157" t="s">
        <v>568</v>
      </c>
      <c r="N157" t="s">
        <v>520</v>
      </c>
    </row>
    <row r="158" spans="1:14" x14ac:dyDescent="0.35">
      <c r="A158" t="s">
        <v>724</v>
      </c>
      <c r="B158" t="s">
        <v>545</v>
      </c>
      <c r="C158" t="s">
        <v>543</v>
      </c>
      <c r="D158" t="s">
        <v>525</v>
      </c>
      <c r="E158">
        <v>42427</v>
      </c>
      <c r="F158">
        <v>43196.66</v>
      </c>
      <c r="G158">
        <f>IF(Table13[[#This Row],[Budget_Allocated_INR]]="","",Table13[[#This Row],[Amount_INR]]-Table13[[#This Row],[Budget_Allocated_INR]])</f>
        <v>-769.66000000000349</v>
      </c>
      <c r="H158">
        <v>-769.66</v>
      </c>
      <c r="I158" s="1">
        <v>45135</v>
      </c>
      <c r="J158" t="s">
        <v>597</v>
      </c>
      <c r="K158" t="s">
        <v>540</v>
      </c>
      <c r="L158" t="s">
        <v>518</v>
      </c>
      <c r="M158" t="s">
        <v>537</v>
      </c>
      <c r="N158" t="s">
        <v>520</v>
      </c>
    </row>
    <row r="159" spans="1:14" x14ac:dyDescent="0.35">
      <c r="A159" t="s">
        <v>725</v>
      </c>
      <c r="B159" t="s">
        <v>534</v>
      </c>
      <c r="C159" t="s">
        <v>581</v>
      </c>
      <c r="D159" t="s">
        <v>515</v>
      </c>
      <c r="E159">
        <v>176689</v>
      </c>
      <c r="F159">
        <v>163052.01999999999</v>
      </c>
      <c r="G159">
        <f>IF(Table13[[#This Row],[Budget_Allocated_INR]]="","",Table13[[#This Row],[Amount_INR]]-Table13[[#This Row],[Budget_Allocated_INR]])</f>
        <v>13636.98000000001</v>
      </c>
      <c r="H159">
        <v>13636.98</v>
      </c>
      <c r="I159" s="1">
        <v>45398</v>
      </c>
      <c r="J159" t="s">
        <v>526</v>
      </c>
      <c r="K159" t="s">
        <v>560</v>
      </c>
      <c r="L159" t="s">
        <v>536</v>
      </c>
      <c r="M159" t="s">
        <v>528</v>
      </c>
      <c r="N159" t="s">
        <v>520</v>
      </c>
    </row>
    <row r="160" spans="1:14" x14ac:dyDescent="0.35">
      <c r="A160" t="s">
        <v>726</v>
      </c>
      <c r="B160" t="s">
        <v>565</v>
      </c>
      <c r="C160" t="s">
        <v>586</v>
      </c>
      <c r="D160" t="s">
        <v>525</v>
      </c>
      <c r="E160">
        <v>83678</v>
      </c>
      <c r="F160">
        <v>69242.31</v>
      </c>
      <c r="G160">
        <f>IF(Table13[[#This Row],[Budget_Allocated_INR]]="","",Table13[[#This Row],[Amount_INR]]-Table13[[#This Row],[Budget_Allocated_INR]])</f>
        <v>14435.690000000002</v>
      </c>
      <c r="H160">
        <v>14435.69</v>
      </c>
      <c r="I160" s="1">
        <v>44939</v>
      </c>
      <c r="J160" t="s">
        <v>526</v>
      </c>
      <c r="K160" t="s">
        <v>540</v>
      </c>
      <c r="L160" t="s">
        <v>541</v>
      </c>
      <c r="M160" t="s">
        <v>537</v>
      </c>
      <c r="N160" t="s">
        <v>520</v>
      </c>
    </row>
    <row r="161" spans="1:15" x14ac:dyDescent="0.35">
      <c r="A161" t="s">
        <v>727</v>
      </c>
      <c r="B161" t="s">
        <v>545</v>
      </c>
      <c r="C161" t="s">
        <v>581</v>
      </c>
      <c r="D161" t="s">
        <v>532</v>
      </c>
      <c r="E161">
        <v>-457910</v>
      </c>
      <c r="F161">
        <v>396108.52</v>
      </c>
      <c r="G161">
        <f>IF(Table13[[#This Row],[Budget_Allocated_INR]]="","",Table13[[#This Row],[Amount_INR]]-Table13[[#This Row],[Budget_Allocated_INR]])</f>
        <v>-854018.52</v>
      </c>
      <c r="H161">
        <v>61801.48</v>
      </c>
      <c r="I161" s="1">
        <v>45562</v>
      </c>
      <c r="J161" t="s">
        <v>516</v>
      </c>
      <c r="K161" t="s">
        <v>560</v>
      </c>
      <c r="L161" t="s">
        <v>536</v>
      </c>
      <c r="M161" t="s">
        <v>537</v>
      </c>
      <c r="N161" t="s">
        <v>582</v>
      </c>
    </row>
    <row r="162" spans="1:15" x14ac:dyDescent="0.35">
      <c r="A162" t="s">
        <v>728</v>
      </c>
      <c r="B162" t="s">
        <v>576</v>
      </c>
      <c r="C162" t="s">
        <v>596</v>
      </c>
      <c r="D162" t="s">
        <v>553</v>
      </c>
      <c r="E162">
        <v>153180</v>
      </c>
      <c r="F162">
        <v>192658</v>
      </c>
      <c r="G162">
        <f>IF(Table13[[#This Row],[Budget_Allocated_INR]]="","",Table13[[#This Row],[Amount_INR]]-Table13[[#This Row],[Budget_Allocated_INR]])</f>
        <v>-39478</v>
      </c>
      <c r="H162">
        <v>-39478</v>
      </c>
      <c r="I162" s="1">
        <v>45084</v>
      </c>
      <c r="J162" t="s">
        <v>597</v>
      </c>
      <c r="K162" t="s">
        <v>517</v>
      </c>
      <c r="L162" t="s">
        <v>518</v>
      </c>
      <c r="M162" t="s">
        <v>546</v>
      </c>
      <c r="N162" t="s">
        <v>520</v>
      </c>
    </row>
    <row r="163" spans="1:15" x14ac:dyDescent="0.35">
      <c r="A163" t="s">
        <v>729</v>
      </c>
      <c r="B163" t="s">
        <v>523</v>
      </c>
      <c r="C163" t="s">
        <v>562</v>
      </c>
      <c r="D163" t="s">
        <v>515</v>
      </c>
      <c r="E163">
        <v>488021</v>
      </c>
      <c r="F163">
        <v>444651.21</v>
      </c>
      <c r="G163">
        <f>IF(Table13[[#This Row],[Budget_Allocated_INR]]="","",Table13[[#This Row],[Amount_INR]]-Table13[[#This Row],[Budget_Allocated_INR]])</f>
        <v>43369.789999999979</v>
      </c>
      <c r="H163">
        <v>43369.79</v>
      </c>
      <c r="I163" s="1">
        <v>45161</v>
      </c>
      <c r="J163" t="s">
        <v>526</v>
      </c>
      <c r="K163" t="s">
        <v>527</v>
      </c>
      <c r="L163" t="s">
        <v>518</v>
      </c>
      <c r="M163" t="s">
        <v>554</v>
      </c>
      <c r="N163" t="s">
        <v>520</v>
      </c>
    </row>
    <row r="164" spans="1:15" x14ac:dyDescent="0.35">
      <c r="A164" t="s">
        <v>730</v>
      </c>
      <c r="B164" t="s">
        <v>523</v>
      </c>
      <c r="C164" t="s">
        <v>514</v>
      </c>
      <c r="D164" t="s">
        <v>574</v>
      </c>
      <c r="E164">
        <v>-200949</v>
      </c>
      <c r="F164">
        <v>190209.9</v>
      </c>
      <c r="G164">
        <f>IF(Table13[[#This Row],[Budget_Allocated_INR]]="","",Table13[[#This Row],[Amount_INR]]-Table13[[#This Row],[Budget_Allocated_INR]])</f>
        <v>-391158.9</v>
      </c>
      <c r="H164">
        <v>10739.1</v>
      </c>
      <c r="I164" s="1">
        <v>45380</v>
      </c>
      <c r="J164" t="s">
        <v>526</v>
      </c>
      <c r="K164" t="s">
        <v>527</v>
      </c>
      <c r="L164" t="s">
        <v>518</v>
      </c>
      <c r="M164" t="s">
        <v>519</v>
      </c>
      <c r="N164" t="s">
        <v>582</v>
      </c>
    </row>
    <row r="165" spans="1:15" x14ac:dyDescent="0.35">
      <c r="A165" t="s">
        <v>731</v>
      </c>
      <c r="B165" t="s">
        <v>576</v>
      </c>
      <c r="C165" t="s">
        <v>562</v>
      </c>
      <c r="D165" t="s">
        <v>563</v>
      </c>
      <c r="E165">
        <v>145470</v>
      </c>
      <c r="F165">
        <v>180539.45</v>
      </c>
      <c r="G165">
        <f>IF(Table13[[#This Row],[Budget_Allocated_INR]]="","",Table13[[#This Row],[Amount_INR]]-Table13[[#This Row],[Budget_Allocated_INR]])</f>
        <v>-35069.450000000012</v>
      </c>
      <c r="H165">
        <v>-35069.449999999997</v>
      </c>
      <c r="I165" s="1">
        <v>45569</v>
      </c>
      <c r="J165" t="s">
        <v>597</v>
      </c>
      <c r="K165" t="s">
        <v>527</v>
      </c>
      <c r="L165" t="s">
        <v>536</v>
      </c>
      <c r="M165" t="s">
        <v>537</v>
      </c>
      <c r="N165" t="s">
        <v>520</v>
      </c>
    </row>
    <row r="166" spans="1:15" x14ac:dyDescent="0.35">
      <c r="A166" t="s">
        <v>732</v>
      </c>
      <c r="B166" t="s">
        <v>79</v>
      </c>
      <c r="C166" t="s">
        <v>599</v>
      </c>
      <c r="D166" t="s">
        <v>559</v>
      </c>
      <c r="E166">
        <v>240723</v>
      </c>
      <c r="F166">
        <v>257329.16</v>
      </c>
      <c r="G166">
        <f>IF(Table13[[#This Row],[Budget_Allocated_INR]]="","",Table13[[#This Row],[Amount_INR]]-Table13[[#This Row],[Budget_Allocated_INR]])</f>
        <v>-16606.160000000003</v>
      </c>
      <c r="H166">
        <v>-16606.16</v>
      </c>
      <c r="I166" s="1">
        <v>45573</v>
      </c>
      <c r="J166" t="s">
        <v>526</v>
      </c>
      <c r="K166" t="s">
        <v>540</v>
      </c>
      <c r="L166" t="s">
        <v>536</v>
      </c>
      <c r="M166" t="s">
        <v>537</v>
      </c>
      <c r="N166" t="s">
        <v>520</v>
      </c>
    </row>
    <row r="167" spans="1:15" x14ac:dyDescent="0.35">
      <c r="A167" t="s">
        <v>733</v>
      </c>
      <c r="B167" t="s">
        <v>530</v>
      </c>
      <c r="C167" t="s">
        <v>599</v>
      </c>
      <c r="D167" t="s">
        <v>563</v>
      </c>
      <c r="E167">
        <v>446250</v>
      </c>
      <c r="F167">
        <v>566865.56000000006</v>
      </c>
      <c r="G167">
        <f>IF(Table13[[#This Row],[Budget_Allocated_INR]]="","",Table13[[#This Row],[Amount_INR]]-Table13[[#This Row],[Budget_Allocated_INR]])</f>
        <v>-120615.56000000006</v>
      </c>
      <c r="H167">
        <v>-120615.56</v>
      </c>
      <c r="I167" s="1">
        <v>45668</v>
      </c>
      <c r="J167" t="s">
        <v>597</v>
      </c>
      <c r="K167" t="s">
        <v>527</v>
      </c>
      <c r="L167" t="s">
        <v>536</v>
      </c>
      <c r="M167" t="s">
        <v>537</v>
      </c>
      <c r="N167" t="s">
        <v>520</v>
      </c>
      <c r="O167" t="s">
        <v>521</v>
      </c>
    </row>
    <row r="168" spans="1:15" x14ac:dyDescent="0.35">
      <c r="A168" t="s">
        <v>734</v>
      </c>
      <c r="B168" t="s">
        <v>530</v>
      </c>
      <c r="C168" t="s">
        <v>514</v>
      </c>
      <c r="D168" t="s">
        <v>605</v>
      </c>
      <c r="E168">
        <v>166850</v>
      </c>
      <c r="F168">
        <v>169233.68</v>
      </c>
      <c r="G168">
        <f>IF(Table13[[#This Row],[Budget_Allocated_INR]]="","",Table13[[#This Row],[Amount_INR]]-Table13[[#This Row],[Budget_Allocated_INR]])</f>
        <v>-2383.679999999993</v>
      </c>
      <c r="H168">
        <v>-2383.6799999999998</v>
      </c>
      <c r="I168" s="1">
        <v>45594</v>
      </c>
      <c r="J168" t="s">
        <v>526</v>
      </c>
      <c r="K168" t="s">
        <v>540</v>
      </c>
      <c r="L168" t="s">
        <v>536</v>
      </c>
      <c r="M168" t="s">
        <v>568</v>
      </c>
      <c r="N168" t="s">
        <v>520</v>
      </c>
    </row>
    <row r="169" spans="1:15" x14ac:dyDescent="0.35">
      <c r="A169" t="s">
        <v>735</v>
      </c>
      <c r="B169" t="s">
        <v>530</v>
      </c>
      <c r="C169" t="s">
        <v>549</v>
      </c>
      <c r="D169" t="s">
        <v>532</v>
      </c>
      <c r="E169">
        <v>196494</v>
      </c>
      <c r="F169">
        <v>177665.33</v>
      </c>
      <c r="G169">
        <f>IF(Table13[[#This Row],[Budget_Allocated_INR]]="","",Table13[[#This Row],[Amount_INR]]-Table13[[#This Row],[Budget_Allocated_INR]])</f>
        <v>18828.670000000013</v>
      </c>
      <c r="H169">
        <v>18828.669999999998</v>
      </c>
      <c r="I169" s="1">
        <v>45655</v>
      </c>
      <c r="J169" t="s">
        <v>516</v>
      </c>
      <c r="K169" t="s">
        <v>560</v>
      </c>
      <c r="L169" t="s">
        <v>536</v>
      </c>
      <c r="M169" t="s">
        <v>554</v>
      </c>
      <c r="N169" t="s">
        <v>520</v>
      </c>
    </row>
    <row r="170" spans="1:15" x14ac:dyDescent="0.35">
      <c r="A170" t="s">
        <v>736</v>
      </c>
      <c r="B170" t="s">
        <v>576</v>
      </c>
      <c r="C170" t="s">
        <v>558</v>
      </c>
      <c r="D170" t="s">
        <v>574</v>
      </c>
      <c r="E170">
        <v>408520</v>
      </c>
      <c r="F170">
        <v>396403.55</v>
      </c>
      <c r="G170">
        <f>IF(Table13[[#This Row],[Budget_Allocated_INR]]="","",Table13[[#This Row],[Amount_INR]]-Table13[[#This Row],[Budget_Allocated_INR]])</f>
        <v>12116.450000000012</v>
      </c>
      <c r="H170">
        <v>12116.45</v>
      </c>
      <c r="I170" s="1">
        <v>45083</v>
      </c>
      <c r="J170" t="s">
        <v>516</v>
      </c>
      <c r="K170" t="s">
        <v>540</v>
      </c>
      <c r="L170" t="s">
        <v>518</v>
      </c>
      <c r="M170" t="s">
        <v>568</v>
      </c>
      <c r="N170" t="s">
        <v>520</v>
      </c>
      <c r="O170" t="s">
        <v>521</v>
      </c>
    </row>
    <row r="171" spans="1:15" x14ac:dyDescent="0.35">
      <c r="A171" t="s">
        <v>737</v>
      </c>
      <c r="B171" t="s">
        <v>530</v>
      </c>
      <c r="C171" t="s">
        <v>552</v>
      </c>
      <c r="D171" t="s">
        <v>574</v>
      </c>
      <c r="E171">
        <v>421940</v>
      </c>
      <c r="F171">
        <v>481074.03</v>
      </c>
      <c r="G171">
        <f>IF(Table13[[#This Row],[Budget_Allocated_INR]]="","",Table13[[#This Row],[Amount_INR]]-Table13[[#This Row],[Budget_Allocated_INR]])</f>
        <v>-59134.030000000028</v>
      </c>
      <c r="H171">
        <v>-59134.03</v>
      </c>
      <c r="I171" s="1">
        <v>45255</v>
      </c>
      <c r="J171" t="s">
        <v>526</v>
      </c>
      <c r="K171" t="s">
        <v>517</v>
      </c>
      <c r="L171" t="s">
        <v>518</v>
      </c>
      <c r="M171" t="s">
        <v>528</v>
      </c>
      <c r="N171" t="s">
        <v>520</v>
      </c>
    </row>
    <row r="172" spans="1:15" x14ac:dyDescent="0.35">
      <c r="A172" t="s">
        <v>738</v>
      </c>
      <c r="B172" t="s">
        <v>530</v>
      </c>
      <c r="C172" t="s">
        <v>562</v>
      </c>
      <c r="D172" t="s">
        <v>515</v>
      </c>
      <c r="E172">
        <v>216958</v>
      </c>
      <c r="F172">
        <v>200250.56</v>
      </c>
      <c r="G172">
        <f>IF(Table13[[#This Row],[Budget_Allocated_INR]]="","",Table13[[#This Row],[Amount_INR]]-Table13[[#This Row],[Budget_Allocated_INR]])</f>
        <v>16707.440000000002</v>
      </c>
      <c r="H172">
        <v>16707.439999999999</v>
      </c>
      <c r="I172" s="1">
        <v>44929</v>
      </c>
      <c r="J172" t="s">
        <v>597</v>
      </c>
      <c r="K172" t="s">
        <v>527</v>
      </c>
      <c r="L172" t="s">
        <v>541</v>
      </c>
      <c r="M172" t="s">
        <v>537</v>
      </c>
      <c r="N172" t="s">
        <v>520</v>
      </c>
      <c r="O172" t="s">
        <v>521</v>
      </c>
    </row>
    <row r="173" spans="1:15" x14ac:dyDescent="0.35">
      <c r="A173" t="s">
        <v>739</v>
      </c>
      <c r="B173" t="s">
        <v>576</v>
      </c>
      <c r="C173" t="s">
        <v>543</v>
      </c>
      <c r="D173" t="s">
        <v>535</v>
      </c>
      <c r="E173">
        <v>-415686</v>
      </c>
      <c r="G173" t="str">
        <f>IF(Table13[[#This Row],[Budget_Allocated_INR]]="","",Table13[[#This Row],[Amount_INR]]-Table13[[#This Row],[Budget_Allocated_INR]])</f>
        <v/>
      </c>
      <c r="H173">
        <v>-120435.6</v>
      </c>
      <c r="I173" s="1">
        <v>45065</v>
      </c>
      <c r="J173" t="s">
        <v>526</v>
      </c>
      <c r="K173" t="s">
        <v>560</v>
      </c>
      <c r="L173" t="s">
        <v>518</v>
      </c>
      <c r="M173" t="s">
        <v>554</v>
      </c>
      <c r="N173" t="s">
        <v>582</v>
      </c>
    </row>
    <row r="174" spans="1:15" x14ac:dyDescent="0.35">
      <c r="A174" t="s">
        <v>740</v>
      </c>
      <c r="B174" t="s">
        <v>548</v>
      </c>
      <c r="C174" t="s">
        <v>531</v>
      </c>
      <c r="D174" t="s">
        <v>588</v>
      </c>
      <c r="E174">
        <v>184393</v>
      </c>
      <c r="F174">
        <v>177852.39</v>
      </c>
      <c r="G174">
        <f>IF(Table13[[#This Row],[Budget_Allocated_INR]]="","",Table13[[#This Row],[Amount_INR]]-Table13[[#This Row],[Budget_Allocated_INR]])</f>
        <v>6540.609999999986</v>
      </c>
      <c r="H174">
        <v>6540.61</v>
      </c>
      <c r="I174" s="1">
        <v>45123</v>
      </c>
      <c r="J174" t="s">
        <v>597</v>
      </c>
      <c r="K174" t="s">
        <v>560</v>
      </c>
      <c r="L174" t="s">
        <v>518</v>
      </c>
      <c r="M174" t="s">
        <v>546</v>
      </c>
      <c r="N174" t="s">
        <v>520</v>
      </c>
    </row>
    <row r="175" spans="1:15" x14ac:dyDescent="0.35">
      <c r="A175" t="s">
        <v>741</v>
      </c>
      <c r="B175" t="s">
        <v>565</v>
      </c>
      <c r="C175" t="s">
        <v>596</v>
      </c>
      <c r="D175" t="s">
        <v>571</v>
      </c>
      <c r="E175">
        <v>179590</v>
      </c>
      <c r="F175">
        <v>150858.98000000001</v>
      </c>
      <c r="G175">
        <f>IF(Table13[[#This Row],[Budget_Allocated_INR]]="","",Table13[[#This Row],[Amount_INR]]-Table13[[#This Row],[Budget_Allocated_INR]])</f>
        <v>28731.01999999999</v>
      </c>
      <c r="H175">
        <v>28731.02</v>
      </c>
      <c r="I175" s="1">
        <v>45093</v>
      </c>
      <c r="J175" t="s">
        <v>526</v>
      </c>
      <c r="K175" t="s">
        <v>527</v>
      </c>
      <c r="L175" t="s">
        <v>518</v>
      </c>
      <c r="M175" t="s">
        <v>519</v>
      </c>
      <c r="N175" t="s">
        <v>520</v>
      </c>
    </row>
    <row r="176" spans="1:15" x14ac:dyDescent="0.35">
      <c r="A176" t="s">
        <v>742</v>
      </c>
      <c r="B176" t="s">
        <v>530</v>
      </c>
      <c r="C176" t="s">
        <v>531</v>
      </c>
      <c r="D176" t="s">
        <v>584</v>
      </c>
      <c r="E176">
        <v>273756</v>
      </c>
      <c r="F176">
        <v>346697.43</v>
      </c>
      <c r="G176">
        <f>IF(Table13[[#This Row],[Budget_Allocated_INR]]="","",Table13[[#This Row],[Amount_INR]]-Table13[[#This Row],[Budget_Allocated_INR]])</f>
        <v>-72941.429999999993</v>
      </c>
      <c r="H176">
        <v>-72941.429999999993</v>
      </c>
      <c r="I176" s="1">
        <v>44982</v>
      </c>
      <c r="J176" t="s">
        <v>526</v>
      </c>
      <c r="K176" t="s">
        <v>527</v>
      </c>
      <c r="L176" t="s">
        <v>541</v>
      </c>
      <c r="M176" t="s">
        <v>554</v>
      </c>
      <c r="N176" t="s">
        <v>520</v>
      </c>
    </row>
    <row r="177" spans="1:14" x14ac:dyDescent="0.35">
      <c r="A177" t="s">
        <v>743</v>
      </c>
      <c r="B177" t="s">
        <v>523</v>
      </c>
      <c r="C177" t="s">
        <v>599</v>
      </c>
      <c r="D177" t="s">
        <v>535</v>
      </c>
      <c r="E177">
        <v>198526</v>
      </c>
      <c r="G177" t="str">
        <f>IF(Table13[[#This Row],[Budget_Allocated_INR]]="","",Table13[[#This Row],[Amount_INR]]-Table13[[#This Row],[Budget_Allocated_INR]])</f>
        <v/>
      </c>
      <c r="H177">
        <v>-637.71</v>
      </c>
      <c r="I177" s="1">
        <v>45295</v>
      </c>
      <c r="J177" t="s">
        <v>526</v>
      </c>
      <c r="K177" t="s">
        <v>560</v>
      </c>
      <c r="L177" t="s">
        <v>518</v>
      </c>
      <c r="M177" t="s">
        <v>554</v>
      </c>
      <c r="N177" t="s">
        <v>520</v>
      </c>
    </row>
    <row r="178" spans="1:14" x14ac:dyDescent="0.35">
      <c r="A178" t="s">
        <v>744</v>
      </c>
      <c r="B178" t="s">
        <v>545</v>
      </c>
      <c r="C178" t="s">
        <v>586</v>
      </c>
      <c r="D178" t="s">
        <v>593</v>
      </c>
      <c r="E178">
        <v>122121</v>
      </c>
      <c r="F178">
        <v>133734.62</v>
      </c>
      <c r="G178">
        <f>IF(Table13[[#This Row],[Budget_Allocated_INR]]="","",Table13[[#This Row],[Amount_INR]]-Table13[[#This Row],[Budget_Allocated_INR]])</f>
        <v>-11613.619999999995</v>
      </c>
      <c r="H178">
        <v>-11613.62</v>
      </c>
      <c r="I178" s="1">
        <v>45586</v>
      </c>
      <c r="J178" t="s">
        <v>526</v>
      </c>
      <c r="K178" t="s">
        <v>540</v>
      </c>
      <c r="L178" t="s">
        <v>536</v>
      </c>
      <c r="M178" t="s">
        <v>568</v>
      </c>
      <c r="N178" t="s">
        <v>520</v>
      </c>
    </row>
    <row r="179" spans="1:14" x14ac:dyDescent="0.35">
      <c r="A179" t="s">
        <v>745</v>
      </c>
      <c r="B179" t="s">
        <v>565</v>
      </c>
      <c r="C179" t="s">
        <v>599</v>
      </c>
      <c r="D179" t="s">
        <v>559</v>
      </c>
      <c r="E179">
        <v>269682</v>
      </c>
      <c r="F179">
        <v>285890.94</v>
      </c>
      <c r="G179">
        <f>IF(Table13[[#This Row],[Budget_Allocated_INR]]="","",Table13[[#This Row],[Amount_INR]]-Table13[[#This Row],[Budget_Allocated_INR]])</f>
        <v>-16208.940000000002</v>
      </c>
      <c r="H179">
        <v>-16208.94</v>
      </c>
      <c r="I179" s="1">
        <v>45078</v>
      </c>
      <c r="J179" t="s">
        <v>526</v>
      </c>
      <c r="K179" t="s">
        <v>527</v>
      </c>
      <c r="L179" t="s">
        <v>518</v>
      </c>
      <c r="M179" t="s">
        <v>537</v>
      </c>
      <c r="N179" t="s">
        <v>520</v>
      </c>
    </row>
    <row r="180" spans="1:14" x14ac:dyDescent="0.35">
      <c r="A180" t="s">
        <v>746</v>
      </c>
      <c r="B180" t="s">
        <v>534</v>
      </c>
      <c r="C180" t="s">
        <v>581</v>
      </c>
      <c r="D180" t="s">
        <v>539</v>
      </c>
      <c r="E180">
        <v>231321</v>
      </c>
      <c r="F180">
        <v>266216.59000000003</v>
      </c>
      <c r="G180">
        <f>IF(Table13[[#This Row],[Budget_Allocated_INR]]="","",Table13[[#This Row],[Amount_INR]]-Table13[[#This Row],[Budget_Allocated_INR]])</f>
        <v>-34895.590000000026</v>
      </c>
      <c r="H180">
        <v>-34895.589999999997</v>
      </c>
      <c r="I180" s="1">
        <v>45034</v>
      </c>
      <c r="J180" t="s">
        <v>526</v>
      </c>
      <c r="K180" t="s">
        <v>517</v>
      </c>
      <c r="L180" t="s">
        <v>518</v>
      </c>
      <c r="M180" t="s">
        <v>537</v>
      </c>
      <c r="N180" t="s">
        <v>520</v>
      </c>
    </row>
    <row r="181" spans="1:14" x14ac:dyDescent="0.35">
      <c r="A181" t="s">
        <v>747</v>
      </c>
      <c r="B181" t="s">
        <v>545</v>
      </c>
      <c r="C181" t="s">
        <v>552</v>
      </c>
      <c r="D181" t="s">
        <v>515</v>
      </c>
      <c r="E181">
        <v>140762</v>
      </c>
      <c r="F181">
        <v>149735.54999999999</v>
      </c>
      <c r="G181">
        <f>IF(Table13[[#This Row],[Budget_Allocated_INR]]="","",Table13[[#This Row],[Amount_INR]]-Table13[[#This Row],[Budget_Allocated_INR]])</f>
        <v>-8973.5499999999884</v>
      </c>
      <c r="H181">
        <v>-8973.5499999999993</v>
      </c>
      <c r="I181" s="1">
        <v>45638</v>
      </c>
      <c r="J181" t="s">
        <v>516</v>
      </c>
      <c r="K181" t="s">
        <v>517</v>
      </c>
      <c r="L181" t="s">
        <v>536</v>
      </c>
      <c r="M181" t="s">
        <v>537</v>
      </c>
      <c r="N181" t="s">
        <v>520</v>
      </c>
    </row>
    <row r="182" spans="1:14" x14ac:dyDescent="0.35">
      <c r="A182" t="s">
        <v>748</v>
      </c>
      <c r="B182" t="s">
        <v>530</v>
      </c>
      <c r="C182" t="s">
        <v>549</v>
      </c>
      <c r="D182" t="s">
        <v>515</v>
      </c>
      <c r="E182">
        <v>28743</v>
      </c>
      <c r="F182">
        <v>37250.660000000003</v>
      </c>
      <c r="G182">
        <f>IF(Table13[[#This Row],[Budget_Allocated_INR]]="","",Table13[[#This Row],[Amount_INR]]-Table13[[#This Row],[Budget_Allocated_INR]])</f>
        <v>-8507.6600000000035</v>
      </c>
      <c r="H182">
        <v>-8507.66</v>
      </c>
      <c r="I182" s="1">
        <v>45164</v>
      </c>
      <c r="J182" t="s">
        <v>597</v>
      </c>
      <c r="K182" t="s">
        <v>560</v>
      </c>
      <c r="L182" t="s">
        <v>518</v>
      </c>
      <c r="M182" t="s">
        <v>519</v>
      </c>
      <c r="N182" t="s">
        <v>520</v>
      </c>
    </row>
    <row r="183" spans="1:14" x14ac:dyDescent="0.35">
      <c r="A183" t="s">
        <v>749</v>
      </c>
      <c r="B183" t="s">
        <v>530</v>
      </c>
      <c r="C183" t="s">
        <v>562</v>
      </c>
      <c r="D183" t="s">
        <v>605</v>
      </c>
      <c r="E183">
        <v>100219</v>
      </c>
      <c r="F183">
        <v>105905.2</v>
      </c>
      <c r="G183">
        <f>IF(Table13[[#This Row],[Budget_Allocated_INR]]="","",Table13[[#This Row],[Amount_INR]]-Table13[[#This Row],[Budget_Allocated_INR]])</f>
        <v>-5686.1999999999971</v>
      </c>
      <c r="H183">
        <v>-5686.2</v>
      </c>
      <c r="I183" s="1">
        <v>45072</v>
      </c>
      <c r="J183" t="s">
        <v>526</v>
      </c>
      <c r="K183" t="s">
        <v>540</v>
      </c>
      <c r="L183" t="s">
        <v>518</v>
      </c>
      <c r="M183" t="s">
        <v>519</v>
      </c>
      <c r="N183" t="s">
        <v>520</v>
      </c>
    </row>
    <row r="184" spans="1:14" x14ac:dyDescent="0.35">
      <c r="A184" t="s">
        <v>750</v>
      </c>
      <c r="B184" t="s">
        <v>545</v>
      </c>
      <c r="C184" t="s">
        <v>543</v>
      </c>
      <c r="D184" t="s">
        <v>584</v>
      </c>
      <c r="E184">
        <v>84007</v>
      </c>
      <c r="F184">
        <v>85989.72</v>
      </c>
      <c r="G184">
        <f>IF(Table13[[#This Row],[Budget_Allocated_INR]]="","",Table13[[#This Row],[Amount_INR]]-Table13[[#This Row],[Budget_Allocated_INR]])</f>
        <v>-1982.7200000000012</v>
      </c>
      <c r="H184">
        <v>-1982.72</v>
      </c>
      <c r="I184" s="1">
        <v>45060</v>
      </c>
      <c r="J184" t="s">
        <v>526</v>
      </c>
      <c r="K184" t="s">
        <v>517</v>
      </c>
      <c r="L184" t="s">
        <v>518</v>
      </c>
      <c r="M184" t="s">
        <v>537</v>
      </c>
      <c r="N184" t="s">
        <v>520</v>
      </c>
    </row>
    <row r="185" spans="1:14" x14ac:dyDescent="0.35">
      <c r="A185" t="s">
        <v>751</v>
      </c>
      <c r="B185" t="s">
        <v>523</v>
      </c>
      <c r="C185" t="s">
        <v>558</v>
      </c>
      <c r="D185" t="s">
        <v>584</v>
      </c>
      <c r="E185">
        <v>154564</v>
      </c>
      <c r="F185">
        <v>152945.44</v>
      </c>
      <c r="G185">
        <f>IF(Table13[[#This Row],[Budget_Allocated_INR]]="","",Table13[[#This Row],[Amount_INR]]-Table13[[#This Row],[Budget_Allocated_INR]])</f>
        <v>1618.5599999999977</v>
      </c>
      <c r="H185">
        <v>1618.56</v>
      </c>
      <c r="I185" s="1">
        <v>45295</v>
      </c>
      <c r="J185" t="s">
        <v>597</v>
      </c>
      <c r="K185" t="s">
        <v>527</v>
      </c>
      <c r="L185" t="s">
        <v>518</v>
      </c>
      <c r="M185" t="s">
        <v>537</v>
      </c>
      <c r="N185" t="s">
        <v>520</v>
      </c>
    </row>
    <row r="186" spans="1:14" x14ac:dyDescent="0.35">
      <c r="A186" t="s">
        <v>752</v>
      </c>
      <c r="B186" t="s">
        <v>576</v>
      </c>
      <c r="C186" t="s">
        <v>599</v>
      </c>
      <c r="D186" t="s">
        <v>532</v>
      </c>
      <c r="E186">
        <v>263639</v>
      </c>
      <c r="F186">
        <v>307345.42</v>
      </c>
      <c r="G186">
        <f>IF(Table13[[#This Row],[Budget_Allocated_INR]]="","",Table13[[#This Row],[Amount_INR]]-Table13[[#This Row],[Budget_Allocated_INR]])</f>
        <v>-43706.419999999984</v>
      </c>
      <c r="H186">
        <v>-43706.42</v>
      </c>
      <c r="I186" s="1">
        <v>45467</v>
      </c>
      <c r="J186" t="s">
        <v>526</v>
      </c>
      <c r="K186" t="s">
        <v>540</v>
      </c>
      <c r="L186" t="s">
        <v>536</v>
      </c>
      <c r="M186" t="s">
        <v>537</v>
      </c>
      <c r="N186" t="s">
        <v>520</v>
      </c>
    </row>
    <row r="187" spans="1:14" x14ac:dyDescent="0.35">
      <c r="A187" t="s">
        <v>753</v>
      </c>
      <c r="B187" t="s">
        <v>534</v>
      </c>
      <c r="C187" t="s">
        <v>558</v>
      </c>
      <c r="D187" t="s">
        <v>525</v>
      </c>
      <c r="E187">
        <v>179272</v>
      </c>
      <c r="F187">
        <v>163363.64000000001</v>
      </c>
      <c r="G187">
        <f>IF(Table13[[#This Row],[Budget_Allocated_INR]]="","",Table13[[#This Row],[Amount_INR]]-Table13[[#This Row],[Budget_Allocated_INR]])</f>
        <v>15908.359999999986</v>
      </c>
      <c r="H187">
        <v>15908.36</v>
      </c>
      <c r="I187" s="1">
        <v>45685</v>
      </c>
      <c r="J187" t="s">
        <v>526</v>
      </c>
      <c r="K187" t="s">
        <v>517</v>
      </c>
      <c r="L187" t="s">
        <v>536</v>
      </c>
      <c r="M187" t="s">
        <v>519</v>
      </c>
      <c r="N187" t="s">
        <v>520</v>
      </c>
    </row>
    <row r="188" spans="1:14" x14ac:dyDescent="0.35">
      <c r="A188" t="s">
        <v>754</v>
      </c>
      <c r="B188" t="s">
        <v>534</v>
      </c>
      <c r="C188" t="s">
        <v>558</v>
      </c>
      <c r="D188" t="s">
        <v>584</v>
      </c>
      <c r="E188">
        <v>163804</v>
      </c>
      <c r="F188">
        <v>169256.65</v>
      </c>
      <c r="G188">
        <f>IF(Table13[[#This Row],[Budget_Allocated_INR]]="","",Table13[[#This Row],[Amount_INR]]-Table13[[#This Row],[Budget_Allocated_INR]])</f>
        <v>-5452.6499999999942</v>
      </c>
      <c r="H188">
        <v>-5452.65</v>
      </c>
      <c r="I188" s="1">
        <v>45340</v>
      </c>
      <c r="J188" t="s">
        <v>516</v>
      </c>
      <c r="K188" t="s">
        <v>540</v>
      </c>
      <c r="L188" t="s">
        <v>518</v>
      </c>
      <c r="M188" t="s">
        <v>546</v>
      </c>
      <c r="N188" t="s">
        <v>520</v>
      </c>
    </row>
    <row r="189" spans="1:14" x14ac:dyDescent="0.35">
      <c r="A189" t="s">
        <v>755</v>
      </c>
      <c r="B189" t="s">
        <v>565</v>
      </c>
      <c r="C189" t="s">
        <v>543</v>
      </c>
      <c r="D189" t="s">
        <v>588</v>
      </c>
      <c r="E189">
        <v>464663</v>
      </c>
      <c r="F189">
        <v>446327.43</v>
      </c>
      <c r="G189">
        <f>IF(Table13[[#This Row],[Budget_Allocated_INR]]="","",Table13[[#This Row],[Amount_INR]]-Table13[[#This Row],[Budget_Allocated_INR]])</f>
        <v>18335.570000000007</v>
      </c>
      <c r="H189">
        <v>18335.57</v>
      </c>
      <c r="I189" s="1">
        <v>45348</v>
      </c>
      <c r="J189" t="s">
        <v>526</v>
      </c>
      <c r="K189" t="s">
        <v>560</v>
      </c>
      <c r="L189" t="s">
        <v>518</v>
      </c>
      <c r="M189" t="s">
        <v>537</v>
      </c>
      <c r="N189" t="s">
        <v>520</v>
      </c>
    </row>
    <row r="190" spans="1:14" x14ac:dyDescent="0.35">
      <c r="A190" t="s">
        <v>756</v>
      </c>
      <c r="B190" t="s">
        <v>523</v>
      </c>
      <c r="C190" t="s">
        <v>543</v>
      </c>
      <c r="D190" t="s">
        <v>535</v>
      </c>
      <c r="E190">
        <v>108818</v>
      </c>
      <c r="F190">
        <v>96064.58</v>
      </c>
      <c r="G190">
        <f>IF(Table13[[#This Row],[Budget_Allocated_INR]]="","",Table13[[#This Row],[Amount_INR]]-Table13[[#This Row],[Budget_Allocated_INR]])</f>
        <v>12753.419999999998</v>
      </c>
      <c r="H190">
        <v>12753.42</v>
      </c>
      <c r="I190" s="1">
        <v>45130</v>
      </c>
      <c r="J190" t="s">
        <v>526</v>
      </c>
      <c r="K190" t="s">
        <v>527</v>
      </c>
      <c r="L190" t="s">
        <v>518</v>
      </c>
      <c r="M190" t="s">
        <v>537</v>
      </c>
      <c r="N190" t="s">
        <v>520</v>
      </c>
    </row>
    <row r="191" spans="1:14" x14ac:dyDescent="0.35">
      <c r="A191" t="s">
        <v>757</v>
      </c>
      <c r="B191" t="s">
        <v>523</v>
      </c>
      <c r="C191" t="s">
        <v>531</v>
      </c>
      <c r="D191" t="s">
        <v>550</v>
      </c>
      <c r="E191">
        <v>209841</v>
      </c>
      <c r="F191">
        <v>267667.65000000002</v>
      </c>
      <c r="G191">
        <f>IF(Table13[[#This Row],[Budget_Allocated_INR]]="","",Table13[[#This Row],[Amount_INR]]-Table13[[#This Row],[Budget_Allocated_INR]])</f>
        <v>-57826.650000000023</v>
      </c>
      <c r="H191">
        <v>-57826.65</v>
      </c>
      <c r="I191" s="1">
        <v>45566</v>
      </c>
      <c r="J191" t="s">
        <v>526</v>
      </c>
      <c r="K191" t="s">
        <v>540</v>
      </c>
      <c r="L191" t="s">
        <v>536</v>
      </c>
      <c r="M191" t="s">
        <v>568</v>
      </c>
      <c r="N191" t="s">
        <v>520</v>
      </c>
    </row>
    <row r="192" spans="1:14" x14ac:dyDescent="0.35">
      <c r="A192" t="s">
        <v>758</v>
      </c>
      <c r="B192" t="s">
        <v>565</v>
      </c>
      <c r="C192" t="s">
        <v>596</v>
      </c>
      <c r="D192" t="s">
        <v>550</v>
      </c>
      <c r="E192">
        <v>403040</v>
      </c>
      <c r="F192">
        <v>409228.69</v>
      </c>
      <c r="G192">
        <f>IF(Table13[[#This Row],[Budget_Allocated_INR]]="","",Table13[[#This Row],[Amount_INR]]-Table13[[#This Row],[Budget_Allocated_INR]])</f>
        <v>-6188.6900000000023</v>
      </c>
      <c r="H192">
        <v>-6188.69</v>
      </c>
      <c r="I192" s="1">
        <v>45018</v>
      </c>
      <c r="J192" t="s">
        <v>526</v>
      </c>
      <c r="K192" t="s">
        <v>517</v>
      </c>
      <c r="L192" t="s">
        <v>518</v>
      </c>
      <c r="M192" t="s">
        <v>537</v>
      </c>
      <c r="N192" t="s">
        <v>520</v>
      </c>
    </row>
    <row r="193" spans="1:15" x14ac:dyDescent="0.35">
      <c r="A193" t="s">
        <v>759</v>
      </c>
      <c r="B193" t="s">
        <v>530</v>
      </c>
      <c r="C193" t="s">
        <v>596</v>
      </c>
      <c r="D193" t="s">
        <v>525</v>
      </c>
      <c r="E193">
        <v>391100</v>
      </c>
      <c r="F193">
        <v>435730.43</v>
      </c>
      <c r="G193">
        <f>IF(Table13[[#This Row],[Budget_Allocated_INR]]="","",Table13[[#This Row],[Amount_INR]]-Table13[[#This Row],[Budget_Allocated_INR]])</f>
        <v>-44630.429999999993</v>
      </c>
      <c r="H193">
        <v>-44630.43</v>
      </c>
      <c r="I193" s="1">
        <v>45659</v>
      </c>
      <c r="J193" t="s">
        <v>516</v>
      </c>
      <c r="K193" t="s">
        <v>560</v>
      </c>
      <c r="L193" t="s">
        <v>536</v>
      </c>
      <c r="M193" t="s">
        <v>546</v>
      </c>
      <c r="N193" t="s">
        <v>520</v>
      </c>
      <c r="O193" t="s">
        <v>521</v>
      </c>
    </row>
    <row r="194" spans="1:15" x14ac:dyDescent="0.35">
      <c r="A194" t="s">
        <v>760</v>
      </c>
      <c r="B194" t="s">
        <v>534</v>
      </c>
      <c r="C194" t="s">
        <v>586</v>
      </c>
      <c r="D194" t="s">
        <v>574</v>
      </c>
      <c r="E194">
        <v>218566</v>
      </c>
      <c r="F194">
        <v>184113.08</v>
      </c>
      <c r="G194">
        <f>IF(Table13[[#This Row],[Budget_Allocated_INR]]="","",Table13[[#This Row],[Amount_INR]]-Table13[[#This Row],[Budget_Allocated_INR]])</f>
        <v>34452.920000000013</v>
      </c>
      <c r="H194">
        <v>34452.92</v>
      </c>
      <c r="I194" s="1">
        <v>45441</v>
      </c>
      <c r="J194" t="s">
        <v>516</v>
      </c>
      <c r="K194" t="s">
        <v>527</v>
      </c>
      <c r="L194" t="s">
        <v>536</v>
      </c>
      <c r="M194" t="s">
        <v>554</v>
      </c>
      <c r="N194" t="s">
        <v>520</v>
      </c>
      <c r="O194" t="s">
        <v>521</v>
      </c>
    </row>
    <row r="195" spans="1:15" x14ac:dyDescent="0.35">
      <c r="A195" t="s">
        <v>761</v>
      </c>
      <c r="B195" t="s">
        <v>523</v>
      </c>
      <c r="C195" t="s">
        <v>599</v>
      </c>
      <c r="D195" t="s">
        <v>515</v>
      </c>
      <c r="E195">
        <v>256504</v>
      </c>
      <c r="F195">
        <v>211732.84</v>
      </c>
      <c r="G195">
        <f>IF(Table13[[#This Row],[Budget_Allocated_INR]]="","",Table13[[#This Row],[Amount_INR]]-Table13[[#This Row],[Budget_Allocated_INR]])</f>
        <v>44771.16</v>
      </c>
      <c r="H195">
        <v>44771.16</v>
      </c>
      <c r="I195" s="1">
        <v>45398</v>
      </c>
      <c r="J195" t="s">
        <v>526</v>
      </c>
      <c r="K195" t="s">
        <v>540</v>
      </c>
      <c r="L195" t="s">
        <v>536</v>
      </c>
      <c r="M195" t="s">
        <v>568</v>
      </c>
      <c r="N195" t="s">
        <v>520</v>
      </c>
    </row>
    <row r="196" spans="1:15" x14ac:dyDescent="0.35">
      <c r="A196" t="s">
        <v>762</v>
      </c>
      <c r="B196" t="s">
        <v>545</v>
      </c>
      <c r="C196" t="s">
        <v>543</v>
      </c>
      <c r="D196" t="s">
        <v>553</v>
      </c>
      <c r="E196">
        <v>62023</v>
      </c>
      <c r="F196">
        <v>63121.35</v>
      </c>
      <c r="G196">
        <f>IF(Table13[[#This Row],[Budget_Allocated_INR]]="","",Table13[[#This Row],[Amount_INR]]-Table13[[#This Row],[Budget_Allocated_INR]])</f>
        <v>-1098.3499999999985</v>
      </c>
      <c r="H196">
        <v>-1098.3499999999999</v>
      </c>
      <c r="I196" s="1">
        <v>45616</v>
      </c>
      <c r="J196" t="s">
        <v>516</v>
      </c>
      <c r="K196" t="s">
        <v>560</v>
      </c>
      <c r="L196" t="s">
        <v>536</v>
      </c>
      <c r="M196" t="s">
        <v>537</v>
      </c>
      <c r="N196" t="s">
        <v>520</v>
      </c>
    </row>
    <row r="197" spans="1:15" x14ac:dyDescent="0.35">
      <c r="A197" t="s">
        <v>763</v>
      </c>
      <c r="B197" t="s">
        <v>530</v>
      </c>
      <c r="C197" t="s">
        <v>531</v>
      </c>
      <c r="D197" t="s">
        <v>571</v>
      </c>
      <c r="E197">
        <v>402315</v>
      </c>
      <c r="F197">
        <v>503453.96</v>
      </c>
      <c r="G197">
        <f>IF(Table13[[#This Row],[Budget_Allocated_INR]]="","",Table13[[#This Row],[Amount_INR]]-Table13[[#This Row],[Budget_Allocated_INR]])</f>
        <v>-101138.96000000002</v>
      </c>
      <c r="H197">
        <v>-101138.96</v>
      </c>
      <c r="I197" s="1">
        <v>45003</v>
      </c>
      <c r="J197" t="s">
        <v>526</v>
      </c>
      <c r="K197" t="s">
        <v>517</v>
      </c>
      <c r="L197" t="s">
        <v>541</v>
      </c>
      <c r="M197" t="s">
        <v>537</v>
      </c>
      <c r="N197" t="s">
        <v>520</v>
      </c>
    </row>
    <row r="198" spans="1:15" x14ac:dyDescent="0.35">
      <c r="A198" t="s">
        <v>764</v>
      </c>
      <c r="B198" t="s">
        <v>545</v>
      </c>
      <c r="C198" t="s">
        <v>596</v>
      </c>
      <c r="D198" t="s">
        <v>584</v>
      </c>
      <c r="E198">
        <v>190234</v>
      </c>
      <c r="F198">
        <v>195022.49</v>
      </c>
      <c r="G198">
        <f>IF(Table13[[#This Row],[Budget_Allocated_INR]]="","",Table13[[#This Row],[Amount_INR]]-Table13[[#This Row],[Budget_Allocated_INR]])</f>
        <v>-4788.4899999999907</v>
      </c>
      <c r="H198">
        <v>-4788.49</v>
      </c>
      <c r="I198" s="1">
        <v>45323</v>
      </c>
      <c r="J198" t="s">
        <v>526</v>
      </c>
      <c r="K198" t="s">
        <v>517</v>
      </c>
      <c r="L198" t="s">
        <v>518</v>
      </c>
      <c r="M198" t="s">
        <v>568</v>
      </c>
      <c r="N198" t="s">
        <v>520</v>
      </c>
    </row>
    <row r="199" spans="1:15" x14ac:dyDescent="0.35">
      <c r="A199" t="s">
        <v>765</v>
      </c>
      <c r="B199" t="s">
        <v>548</v>
      </c>
      <c r="C199" t="s">
        <v>558</v>
      </c>
      <c r="D199" t="s">
        <v>571</v>
      </c>
      <c r="E199">
        <v>430666</v>
      </c>
      <c r="F199">
        <v>491719.94</v>
      </c>
      <c r="G199">
        <f>IF(Table13[[#This Row],[Budget_Allocated_INR]]="","",Table13[[#This Row],[Amount_INR]]-Table13[[#This Row],[Budget_Allocated_INR]])</f>
        <v>-61053.94</v>
      </c>
      <c r="H199">
        <v>-61053.94</v>
      </c>
      <c r="I199" s="1">
        <v>45125</v>
      </c>
      <c r="J199" t="s">
        <v>526</v>
      </c>
      <c r="K199" t="s">
        <v>527</v>
      </c>
      <c r="L199" t="s">
        <v>518</v>
      </c>
      <c r="M199" t="s">
        <v>528</v>
      </c>
      <c r="N199" t="s">
        <v>520</v>
      </c>
    </row>
    <row r="200" spans="1:15" x14ac:dyDescent="0.35">
      <c r="A200" t="s">
        <v>766</v>
      </c>
      <c r="B200" t="s">
        <v>534</v>
      </c>
      <c r="C200" t="s">
        <v>543</v>
      </c>
      <c r="D200" t="s">
        <v>532</v>
      </c>
      <c r="E200">
        <v>426807</v>
      </c>
      <c r="F200">
        <v>517878.65</v>
      </c>
      <c r="G200">
        <f>IF(Table13[[#This Row],[Budget_Allocated_INR]]="","",Table13[[#This Row],[Amount_INR]]-Table13[[#This Row],[Budget_Allocated_INR]])</f>
        <v>-91071.650000000023</v>
      </c>
      <c r="H200">
        <v>-91071.65</v>
      </c>
      <c r="I200" s="1">
        <v>45082</v>
      </c>
      <c r="J200" t="s">
        <v>526</v>
      </c>
      <c r="K200" t="s">
        <v>560</v>
      </c>
      <c r="L200" t="s">
        <v>518</v>
      </c>
      <c r="M200" t="s">
        <v>528</v>
      </c>
      <c r="N200" t="s">
        <v>520</v>
      </c>
    </row>
    <row r="201" spans="1:15" x14ac:dyDescent="0.35">
      <c r="A201" t="s">
        <v>767</v>
      </c>
      <c r="B201" t="s">
        <v>545</v>
      </c>
      <c r="C201" t="s">
        <v>549</v>
      </c>
      <c r="D201" t="s">
        <v>574</v>
      </c>
      <c r="E201">
        <v>81607</v>
      </c>
      <c r="F201">
        <v>88342.07</v>
      </c>
      <c r="G201">
        <f>IF(Table13[[#This Row],[Budget_Allocated_INR]]="","",Table13[[#This Row],[Amount_INR]]-Table13[[#This Row],[Budget_Allocated_INR]])</f>
        <v>-6735.070000000007</v>
      </c>
      <c r="H201">
        <v>-6735.07</v>
      </c>
      <c r="I201" s="1">
        <v>45152</v>
      </c>
      <c r="J201" t="s">
        <v>526</v>
      </c>
      <c r="K201" t="s">
        <v>527</v>
      </c>
      <c r="L201" t="s">
        <v>518</v>
      </c>
      <c r="M201" t="s">
        <v>528</v>
      </c>
      <c r="N201" t="s">
        <v>520</v>
      </c>
    </row>
    <row r="202" spans="1:15" x14ac:dyDescent="0.35">
      <c r="A202" t="s">
        <v>768</v>
      </c>
      <c r="B202" t="s">
        <v>545</v>
      </c>
      <c r="C202" t="s">
        <v>531</v>
      </c>
      <c r="D202" t="s">
        <v>559</v>
      </c>
      <c r="E202">
        <v>-1506386</v>
      </c>
      <c r="F202">
        <v>1551861.49</v>
      </c>
      <c r="G202">
        <f>IF(Table13[[#This Row],[Budget_Allocated_INR]]="","",Table13[[#This Row],[Amount_INR]]-Table13[[#This Row],[Budget_Allocated_INR]])</f>
        <v>-3058247.49</v>
      </c>
      <c r="H202">
        <v>-45475.49</v>
      </c>
      <c r="I202" s="1">
        <v>45704</v>
      </c>
      <c r="J202" t="s">
        <v>516</v>
      </c>
      <c r="K202" t="s">
        <v>540</v>
      </c>
      <c r="L202" t="s">
        <v>536</v>
      </c>
      <c r="M202" t="s">
        <v>568</v>
      </c>
      <c r="N202" t="s">
        <v>582</v>
      </c>
    </row>
    <row r="203" spans="1:15" x14ac:dyDescent="0.35">
      <c r="A203" t="s">
        <v>769</v>
      </c>
      <c r="B203" t="s">
        <v>576</v>
      </c>
      <c r="C203" t="s">
        <v>581</v>
      </c>
      <c r="D203" t="s">
        <v>574</v>
      </c>
      <c r="E203">
        <v>163855</v>
      </c>
      <c r="F203">
        <v>132397.54</v>
      </c>
      <c r="G203">
        <f>IF(Table13[[#This Row],[Budget_Allocated_INR]]="","",Table13[[#This Row],[Amount_INR]]-Table13[[#This Row],[Budget_Allocated_INR]])</f>
        <v>31457.459999999992</v>
      </c>
      <c r="H203">
        <v>31457.46</v>
      </c>
      <c r="I203" s="1">
        <v>45487</v>
      </c>
      <c r="J203" t="s">
        <v>526</v>
      </c>
      <c r="K203" t="s">
        <v>540</v>
      </c>
      <c r="L203" t="s">
        <v>536</v>
      </c>
      <c r="M203" t="s">
        <v>537</v>
      </c>
      <c r="N203" t="s">
        <v>520</v>
      </c>
    </row>
    <row r="204" spans="1:15" x14ac:dyDescent="0.35">
      <c r="A204" t="s">
        <v>770</v>
      </c>
      <c r="B204" t="s">
        <v>576</v>
      </c>
      <c r="C204" t="s">
        <v>514</v>
      </c>
      <c r="D204" t="s">
        <v>553</v>
      </c>
      <c r="E204">
        <v>369117</v>
      </c>
      <c r="F204">
        <v>446534.05</v>
      </c>
      <c r="G204">
        <f>IF(Table13[[#This Row],[Budget_Allocated_INR]]="","",Table13[[#This Row],[Amount_INR]]-Table13[[#This Row],[Budget_Allocated_INR]])</f>
        <v>-77417.049999999988</v>
      </c>
      <c r="H204">
        <v>-77417.05</v>
      </c>
      <c r="I204" s="1">
        <v>45127</v>
      </c>
      <c r="J204" t="s">
        <v>526</v>
      </c>
      <c r="K204" t="s">
        <v>560</v>
      </c>
      <c r="L204" t="s">
        <v>518</v>
      </c>
      <c r="M204" t="s">
        <v>519</v>
      </c>
      <c r="N204" t="s">
        <v>520</v>
      </c>
    </row>
    <row r="205" spans="1:15" x14ac:dyDescent="0.35">
      <c r="A205" t="s">
        <v>771</v>
      </c>
      <c r="B205" t="s">
        <v>534</v>
      </c>
      <c r="C205" t="s">
        <v>562</v>
      </c>
      <c r="D205" t="s">
        <v>563</v>
      </c>
      <c r="E205">
        <v>7963</v>
      </c>
      <c r="F205">
        <v>7018.02</v>
      </c>
      <c r="G205">
        <f>IF(Table13[[#This Row],[Budget_Allocated_INR]]="","",Table13[[#This Row],[Amount_INR]]-Table13[[#This Row],[Budget_Allocated_INR]])</f>
        <v>944.97999999999956</v>
      </c>
      <c r="H205">
        <v>944.98</v>
      </c>
      <c r="I205" s="1">
        <v>44949</v>
      </c>
      <c r="J205" t="s">
        <v>526</v>
      </c>
      <c r="K205" t="s">
        <v>527</v>
      </c>
      <c r="L205" t="s">
        <v>541</v>
      </c>
      <c r="M205" t="s">
        <v>568</v>
      </c>
      <c r="N205" t="s">
        <v>520</v>
      </c>
    </row>
    <row r="206" spans="1:15" x14ac:dyDescent="0.35">
      <c r="A206" t="s">
        <v>772</v>
      </c>
      <c r="B206" t="s">
        <v>545</v>
      </c>
      <c r="C206" t="s">
        <v>549</v>
      </c>
      <c r="D206" t="s">
        <v>593</v>
      </c>
      <c r="E206">
        <v>188886</v>
      </c>
      <c r="F206">
        <v>226410.36</v>
      </c>
      <c r="G206">
        <f>IF(Table13[[#This Row],[Budget_Allocated_INR]]="","",Table13[[#This Row],[Amount_INR]]-Table13[[#This Row],[Budget_Allocated_INR]])</f>
        <v>-37524.359999999986</v>
      </c>
      <c r="H206">
        <v>-37524.36</v>
      </c>
      <c r="I206" s="1">
        <v>45024</v>
      </c>
      <c r="J206" t="s">
        <v>526</v>
      </c>
      <c r="K206" t="s">
        <v>517</v>
      </c>
      <c r="L206" t="s">
        <v>518</v>
      </c>
      <c r="M206" t="s">
        <v>519</v>
      </c>
      <c r="N206" t="s">
        <v>520</v>
      </c>
    </row>
    <row r="207" spans="1:15" x14ac:dyDescent="0.35">
      <c r="A207" t="s">
        <v>773</v>
      </c>
      <c r="B207" t="s">
        <v>530</v>
      </c>
      <c r="C207" t="s">
        <v>549</v>
      </c>
      <c r="D207" t="s">
        <v>535</v>
      </c>
      <c r="E207">
        <v>276595</v>
      </c>
      <c r="F207">
        <v>268972.81</v>
      </c>
      <c r="G207">
        <f>IF(Table13[[#This Row],[Budget_Allocated_INR]]="","",Table13[[#This Row],[Amount_INR]]-Table13[[#This Row],[Budget_Allocated_INR]])</f>
        <v>7622.1900000000023</v>
      </c>
      <c r="H207">
        <v>7622.19</v>
      </c>
      <c r="I207" s="1">
        <v>45497</v>
      </c>
      <c r="J207" t="s">
        <v>526</v>
      </c>
      <c r="K207" t="s">
        <v>517</v>
      </c>
      <c r="L207" t="s">
        <v>536</v>
      </c>
      <c r="M207" t="s">
        <v>537</v>
      </c>
      <c r="N207" t="s">
        <v>520</v>
      </c>
    </row>
    <row r="208" spans="1:15" x14ac:dyDescent="0.35">
      <c r="A208" t="s">
        <v>774</v>
      </c>
      <c r="B208" t="s">
        <v>530</v>
      </c>
      <c r="C208" t="s">
        <v>531</v>
      </c>
      <c r="D208" t="s">
        <v>571</v>
      </c>
      <c r="E208">
        <v>44240</v>
      </c>
      <c r="F208">
        <v>52340.94</v>
      </c>
      <c r="G208">
        <f>IF(Table13[[#This Row],[Budget_Allocated_INR]]="","",Table13[[#This Row],[Amount_INR]]-Table13[[#This Row],[Budget_Allocated_INR]])</f>
        <v>-8100.9400000000023</v>
      </c>
      <c r="H208">
        <v>-8100.94</v>
      </c>
      <c r="I208" s="1">
        <v>45056</v>
      </c>
      <c r="J208" t="s">
        <v>526</v>
      </c>
      <c r="K208" t="s">
        <v>527</v>
      </c>
      <c r="L208" t="s">
        <v>518</v>
      </c>
      <c r="M208" t="s">
        <v>546</v>
      </c>
      <c r="N208" t="s">
        <v>520</v>
      </c>
    </row>
    <row r="209" spans="1:15" x14ac:dyDescent="0.35">
      <c r="A209" t="s">
        <v>775</v>
      </c>
      <c r="B209" t="s">
        <v>565</v>
      </c>
      <c r="C209" t="s">
        <v>514</v>
      </c>
      <c r="D209" t="s">
        <v>593</v>
      </c>
      <c r="E209">
        <v>143366</v>
      </c>
      <c r="F209">
        <v>181407.49</v>
      </c>
      <c r="G209">
        <f>IF(Table13[[#This Row],[Budget_Allocated_INR]]="","",Table13[[#This Row],[Amount_INR]]-Table13[[#This Row],[Budget_Allocated_INR]])</f>
        <v>-38041.489999999991</v>
      </c>
      <c r="H209">
        <v>-38041.49</v>
      </c>
      <c r="I209" s="1">
        <v>45428</v>
      </c>
      <c r="J209" t="s">
        <v>526</v>
      </c>
      <c r="K209" t="s">
        <v>527</v>
      </c>
      <c r="L209" t="s">
        <v>536</v>
      </c>
      <c r="M209" t="s">
        <v>554</v>
      </c>
      <c r="N209" t="s">
        <v>520</v>
      </c>
    </row>
    <row r="210" spans="1:15" x14ac:dyDescent="0.35">
      <c r="A210" t="s">
        <v>776</v>
      </c>
      <c r="B210" t="s">
        <v>565</v>
      </c>
      <c r="C210" t="s">
        <v>549</v>
      </c>
      <c r="D210" t="s">
        <v>584</v>
      </c>
      <c r="E210">
        <v>258034</v>
      </c>
      <c r="F210">
        <v>224063.19</v>
      </c>
      <c r="G210">
        <f>IF(Table13[[#This Row],[Budget_Allocated_INR]]="","",Table13[[#This Row],[Amount_INR]]-Table13[[#This Row],[Budget_Allocated_INR]])</f>
        <v>33970.81</v>
      </c>
      <c r="H210">
        <v>33970.81</v>
      </c>
      <c r="I210" s="1">
        <v>45242</v>
      </c>
      <c r="J210" t="s">
        <v>526</v>
      </c>
      <c r="K210" t="s">
        <v>560</v>
      </c>
      <c r="L210" t="s">
        <v>518</v>
      </c>
      <c r="M210" t="s">
        <v>546</v>
      </c>
      <c r="N210" t="s">
        <v>520</v>
      </c>
    </row>
    <row r="211" spans="1:15" x14ac:dyDescent="0.35">
      <c r="A211" t="s">
        <v>777</v>
      </c>
      <c r="B211" t="s">
        <v>548</v>
      </c>
      <c r="C211" t="s">
        <v>558</v>
      </c>
      <c r="D211" t="s">
        <v>515</v>
      </c>
      <c r="E211">
        <v>281507</v>
      </c>
      <c r="F211">
        <v>318929.33</v>
      </c>
      <c r="G211">
        <f>IF(Table13[[#This Row],[Budget_Allocated_INR]]="","",Table13[[#This Row],[Amount_INR]]-Table13[[#This Row],[Budget_Allocated_INR]])</f>
        <v>-37422.330000000016</v>
      </c>
      <c r="H211">
        <v>-37422.33</v>
      </c>
      <c r="I211" s="1">
        <v>45588</v>
      </c>
      <c r="J211" t="s">
        <v>526</v>
      </c>
      <c r="K211" t="s">
        <v>527</v>
      </c>
      <c r="L211" t="s">
        <v>536</v>
      </c>
      <c r="M211" t="s">
        <v>546</v>
      </c>
      <c r="N211" t="s">
        <v>520</v>
      </c>
    </row>
    <row r="212" spans="1:15" x14ac:dyDescent="0.35">
      <c r="A212" t="s">
        <v>778</v>
      </c>
      <c r="B212" t="s">
        <v>523</v>
      </c>
      <c r="C212" t="s">
        <v>552</v>
      </c>
      <c r="D212" t="s">
        <v>535</v>
      </c>
      <c r="E212">
        <v>-39522</v>
      </c>
      <c r="F212">
        <v>49554.94</v>
      </c>
      <c r="G212">
        <f>IF(Table13[[#This Row],[Budget_Allocated_INR]]="","",Table13[[#This Row],[Amount_INR]]-Table13[[#This Row],[Budget_Allocated_INR]])</f>
        <v>-89076.94</v>
      </c>
      <c r="H212">
        <v>-10032.94</v>
      </c>
      <c r="I212" s="1">
        <v>45191</v>
      </c>
      <c r="J212" t="s">
        <v>526</v>
      </c>
      <c r="K212" t="s">
        <v>527</v>
      </c>
      <c r="L212" t="s">
        <v>518</v>
      </c>
      <c r="M212" t="s">
        <v>519</v>
      </c>
      <c r="N212" t="s">
        <v>582</v>
      </c>
    </row>
    <row r="213" spans="1:15" x14ac:dyDescent="0.35">
      <c r="A213" t="s">
        <v>779</v>
      </c>
      <c r="B213" t="s">
        <v>523</v>
      </c>
      <c r="C213" t="s">
        <v>558</v>
      </c>
      <c r="D213" t="s">
        <v>515</v>
      </c>
      <c r="E213">
        <v>331249</v>
      </c>
      <c r="F213">
        <v>422562.5</v>
      </c>
      <c r="G213">
        <f>IF(Table13[[#This Row],[Budget_Allocated_INR]]="","",Table13[[#This Row],[Amount_INR]]-Table13[[#This Row],[Budget_Allocated_INR]])</f>
        <v>-91313.5</v>
      </c>
      <c r="I213" s="1">
        <v>45496</v>
      </c>
      <c r="J213" t="s">
        <v>526</v>
      </c>
      <c r="K213" t="s">
        <v>527</v>
      </c>
      <c r="L213" t="s">
        <v>536</v>
      </c>
      <c r="M213" t="s">
        <v>568</v>
      </c>
      <c r="N213" t="s">
        <v>520</v>
      </c>
    </row>
    <row r="214" spans="1:15" x14ac:dyDescent="0.35">
      <c r="A214" t="s">
        <v>780</v>
      </c>
      <c r="B214" t="s">
        <v>565</v>
      </c>
      <c r="C214" t="s">
        <v>543</v>
      </c>
      <c r="D214" t="s">
        <v>550</v>
      </c>
      <c r="E214">
        <v>393018</v>
      </c>
      <c r="F214">
        <v>315468.99</v>
      </c>
      <c r="G214">
        <f>IF(Table13[[#This Row],[Budget_Allocated_INR]]="","",Table13[[#This Row],[Amount_INR]]-Table13[[#This Row],[Budget_Allocated_INR]])</f>
        <v>77549.010000000009</v>
      </c>
      <c r="H214">
        <v>77549.009999999995</v>
      </c>
      <c r="I214" s="1">
        <v>45652</v>
      </c>
      <c r="J214" t="s">
        <v>597</v>
      </c>
      <c r="K214" t="s">
        <v>527</v>
      </c>
      <c r="L214" t="s">
        <v>536</v>
      </c>
      <c r="M214" t="s">
        <v>528</v>
      </c>
      <c r="N214" t="s">
        <v>520</v>
      </c>
      <c r="O214" t="s">
        <v>521</v>
      </c>
    </row>
    <row r="215" spans="1:15" x14ac:dyDescent="0.35">
      <c r="A215" t="s">
        <v>781</v>
      </c>
      <c r="B215" t="s">
        <v>576</v>
      </c>
      <c r="C215" t="s">
        <v>581</v>
      </c>
      <c r="D215" t="s">
        <v>605</v>
      </c>
      <c r="E215">
        <v>340412</v>
      </c>
      <c r="F215">
        <v>417538.8</v>
      </c>
      <c r="G215">
        <f>IF(Table13[[#This Row],[Budget_Allocated_INR]]="","",Table13[[#This Row],[Amount_INR]]-Table13[[#This Row],[Budget_Allocated_INR]])</f>
        <v>-77126.799999999988</v>
      </c>
      <c r="H215">
        <v>-77126.8</v>
      </c>
      <c r="I215" s="1">
        <v>45212</v>
      </c>
      <c r="J215" t="s">
        <v>526</v>
      </c>
      <c r="K215" t="s">
        <v>517</v>
      </c>
      <c r="L215" t="s">
        <v>518</v>
      </c>
      <c r="M215" t="s">
        <v>537</v>
      </c>
      <c r="N215" t="s">
        <v>520</v>
      </c>
    </row>
    <row r="216" spans="1:15" x14ac:dyDescent="0.35">
      <c r="A216" t="s">
        <v>782</v>
      </c>
      <c r="B216" t="s">
        <v>548</v>
      </c>
      <c r="C216" t="s">
        <v>514</v>
      </c>
      <c r="D216" t="s">
        <v>539</v>
      </c>
      <c r="E216">
        <v>81882</v>
      </c>
      <c r="F216">
        <v>87003.26</v>
      </c>
      <c r="G216">
        <f>IF(Table13[[#This Row],[Budget_Allocated_INR]]="","",Table13[[#This Row],[Amount_INR]]-Table13[[#This Row],[Budget_Allocated_INR]])</f>
        <v>-5121.2599999999948</v>
      </c>
      <c r="H216">
        <v>-5121.26</v>
      </c>
      <c r="I216" s="1">
        <v>45377</v>
      </c>
      <c r="J216" t="s">
        <v>516</v>
      </c>
      <c r="K216" t="s">
        <v>527</v>
      </c>
      <c r="L216" t="s">
        <v>518</v>
      </c>
      <c r="M216" t="s">
        <v>528</v>
      </c>
      <c r="N216" t="s">
        <v>520</v>
      </c>
    </row>
    <row r="217" spans="1:15" x14ac:dyDescent="0.35">
      <c r="A217" t="s">
        <v>783</v>
      </c>
      <c r="B217" t="s">
        <v>565</v>
      </c>
      <c r="C217" t="s">
        <v>562</v>
      </c>
      <c r="D217" t="s">
        <v>559</v>
      </c>
      <c r="E217">
        <v>37534</v>
      </c>
      <c r="F217">
        <v>31854.25</v>
      </c>
      <c r="G217">
        <f>IF(Table13[[#This Row],[Budget_Allocated_INR]]="","",Table13[[#This Row],[Amount_INR]]-Table13[[#This Row],[Budget_Allocated_INR]])</f>
        <v>5679.75</v>
      </c>
      <c r="H217">
        <v>5679.75</v>
      </c>
      <c r="I217" s="1">
        <v>45565</v>
      </c>
      <c r="J217" t="s">
        <v>526</v>
      </c>
      <c r="K217" t="s">
        <v>527</v>
      </c>
      <c r="L217" t="s">
        <v>536</v>
      </c>
      <c r="M217" t="s">
        <v>537</v>
      </c>
      <c r="N217" t="s">
        <v>520</v>
      </c>
    </row>
    <row r="218" spans="1:15" x14ac:dyDescent="0.35">
      <c r="A218" t="s">
        <v>784</v>
      </c>
      <c r="B218" t="s">
        <v>576</v>
      </c>
      <c r="C218" t="s">
        <v>562</v>
      </c>
      <c r="D218" t="s">
        <v>532</v>
      </c>
      <c r="E218">
        <v>340834</v>
      </c>
      <c r="F218">
        <v>280310.48</v>
      </c>
      <c r="G218">
        <f>IF(Table13[[#This Row],[Budget_Allocated_INR]]="","",Table13[[#This Row],[Amount_INR]]-Table13[[#This Row],[Budget_Allocated_INR]])</f>
        <v>60523.520000000019</v>
      </c>
      <c r="H218">
        <v>60523.519999999997</v>
      </c>
      <c r="I218" s="1">
        <v>45234</v>
      </c>
      <c r="J218" t="s">
        <v>526</v>
      </c>
      <c r="K218" t="s">
        <v>560</v>
      </c>
      <c r="L218" t="s">
        <v>518</v>
      </c>
      <c r="M218" t="s">
        <v>554</v>
      </c>
      <c r="N218" t="s">
        <v>520</v>
      </c>
    </row>
    <row r="219" spans="1:15" x14ac:dyDescent="0.35">
      <c r="A219" t="s">
        <v>785</v>
      </c>
      <c r="B219" t="s">
        <v>523</v>
      </c>
      <c r="C219" t="s">
        <v>596</v>
      </c>
      <c r="D219" t="s">
        <v>539</v>
      </c>
      <c r="E219">
        <v>392114</v>
      </c>
      <c r="F219">
        <v>347030.43</v>
      </c>
      <c r="G219">
        <f>IF(Table13[[#This Row],[Budget_Allocated_INR]]="","",Table13[[#This Row],[Amount_INR]]-Table13[[#This Row],[Budget_Allocated_INR]])</f>
        <v>45083.570000000007</v>
      </c>
      <c r="H219">
        <v>45083.57</v>
      </c>
      <c r="I219" s="1">
        <v>45111</v>
      </c>
      <c r="J219" t="s">
        <v>526</v>
      </c>
      <c r="K219" t="s">
        <v>527</v>
      </c>
      <c r="L219" t="s">
        <v>518</v>
      </c>
      <c r="M219" t="s">
        <v>519</v>
      </c>
      <c r="N219" t="s">
        <v>520</v>
      </c>
    </row>
    <row r="220" spans="1:15" x14ac:dyDescent="0.35">
      <c r="A220" t="s">
        <v>786</v>
      </c>
      <c r="B220" t="s">
        <v>523</v>
      </c>
      <c r="C220" t="s">
        <v>596</v>
      </c>
      <c r="D220" t="s">
        <v>535</v>
      </c>
      <c r="E220">
        <v>386213</v>
      </c>
      <c r="F220">
        <v>442191.91</v>
      </c>
      <c r="G220">
        <f>IF(Table13[[#This Row],[Budget_Allocated_INR]]="","",Table13[[#This Row],[Amount_INR]]-Table13[[#This Row],[Budget_Allocated_INR]])</f>
        <v>-55978.909999999974</v>
      </c>
      <c r="H220">
        <v>-55978.91</v>
      </c>
      <c r="I220" s="1">
        <v>45660</v>
      </c>
      <c r="J220" t="s">
        <v>526</v>
      </c>
      <c r="K220" t="s">
        <v>517</v>
      </c>
      <c r="L220" t="s">
        <v>536</v>
      </c>
      <c r="M220" t="s">
        <v>537</v>
      </c>
      <c r="N220" t="s">
        <v>520</v>
      </c>
    </row>
    <row r="221" spans="1:15" x14ac:dyDescent="0.35">
      <c r="A221" t="s">
        <v>787</v>
      </c>
      <c r="B221" t="s">
        <v>565</v>
      </c>
      <c r="C221" t="s">
        <v>531</v>
      </c>
      <c r="D221" t="s">
        <v>571</v>
      </c>
      <c r="E221">
        <v>27258</v>
      </c>
      <c r="F221">
        <v>33695.97</v>
      </c>
      <c r="G221">
        <f>IF(Table13[[#This Row],[Budget_Allocated_INR]]="","",Table13[[#This Row],[Amount_INR]]-Table13[[#This Row],[Budget_Allocated_INR]])</f>
        <v>-6437.9700000000012</v>
      </c>
      <c r="H221">
        <v>-6437.97</v>
      </c>
      <c r="I221" s="1">
        <v>45662</v>
      </c>
      <c r="J221" t="s">
        <v>526</v>
      </c>
      <c r="K221" t="s">
        <v>527</v>
      </c>
      <c r="L221" t="s">
        <v>536</v>
      </c>
      <c r="M221" t="s">
        <v>546</v>
      </c>
      <c r="N221" t="s">
        <v>520</v>
      </c>
    </row>
    <row r="222" spans="1:15" x14ac:dyDescent="0.35">
      <c r="A222" t="s">
        <v>788</v>
      </c>
      <c r="B222" t="s">
        <v>545</v>
      </c>
      <c r="C222" t="s">
        <v>543</v>
      </c>
      <c r="D222" t="s">
        <v>571</v>
      </c>
      <c r="E222">
        <v>-248623</v>
      </c>
      <c r="G222" t="str">
        <f>IF(Table13[[#This Row],[Budget_Allocated_INR]]="","",Table13[[#This Row],[Amount_INR]]-Table13[[#This Row],[Budget_Allocated_INR]])</f>
        <v/>
      </c>
      <c r="H222">
        <v>16498.91</v>
      </c>
      <c r="I222" s="1">
        <v>45460</v>
      </c>
      <c r="J222" t="s">
        <v>516</v>
      </c>
      <c r="K222" t="s">
        <v>560</v>
      </c>
      <c r="L222" t="s">
        <v>536</v>
      </c>
      <c r="M222" t="s">
        <v>537</v>
      </c>
      <c r="N222" t="s">
        <v>582</v>
      </c>
    </row>
    <row r="223" spans="1:15" x14ac:dyDescent="0.35">
      <c r="A223" t="s">
        <v>789</v>
      </c>
      <c r="B223" t="s">
        <v>565</v>
      </c>
      <c r="C223" t="s">
        <v>514</v>
      </c>
      <c r="D223" t="s">
        <v>553</v>
      </c>
      <c r="E223">
        <v>234765</v>
      </c>
      <c r="F223">
        <v>294259</v>
      </c>
      <c r="G223">
        <f>IF(Table13[[#This Row],[Budget_Allocated_INR]]="","",Table13[[#This Row],[Amount_INR]]-Table13[[#This Row],[Budget_Allocated_INR]])</f>
        <v>-59494</v>
      </c>
      <c r="H223">
        <v>-59494</v>
      </c>
      <c r="I223" s="1">
        <v>45208</v>
      </c>
      <c r="J223" t="s">
        <v>526</v>
      </c>
      <c r="K223" t="s">
        <v>527</v>
      </c>
      <c r="L223" t="s">
        <v>518</v>
      </c>
      <c r="M223" t="s">
        <v>537</v>
      </c>
      <c r="N223" t="s">
        <v>520</v>
      </c>
    </row>
    <row r="224" spans="1:15" x14ac:dyDescent="0.35">
      <c r="A224" t="s">
        <v>790</v>
      </c>
      <c r="B224" t="s">
        <v>548</v>
      </c>
      <c r="C224" t="s">
        <v>552</v>
      </c>
      <c r="D224" t="s">
        <v>550</v>
      </c>
      <c r="E224">
        <v>5961</v>
      </c>
      <c r="F224">
        <v>7373.15</v>
      </c>
      <c r="G224">
        <f>IF(Table13[[#This Row],[Budget_Allocated_INR]]="","",Table13[[#This Row],[Amount_INR]]-Table13[[#This Row],[Budget_Allocated_INR]])</f>
        <v>-1412.1499999999996</v>
      </c>
      <c r="H224">
        <v>-1412.15</v>
      </c>
      <c r="I224" s="1">
        <v>45354</v>
      </c>
      <c r="J224" t="s">
        <v>526</v>
      </c>
      <c r="K224" t="s">
        <v>540</v>
      </c>
      <c r="L224" t="s">
        <v>518</v>
      </c>
      <c r="M224" t="s">
        <v>546</v>
      </c>
      <c r="N224" t="s">
        <v>520</v>
      </c>
    </row>
    <row r="225" spans="1:15" x14ac:dyDescent="0.35">
      <c r="A225" t="s">
        <v>791</v>
      </c>
      <c r="B225" t="s">
        <v>523</v>
      </c>
      <c r="C225" t="s">
        <v>586</v>
      </c>
      <c r="D225" t="s">
        <v>584</v>
      </c>
      <c r="E225">
        <v>18083</v>
      </c>
      <c r="F225">
        <v>22154.68</v>
      </c>
      <c r="G225">
        <f>IF(Table13[[#This Row],[Budget_Allocated_INR]]="","",Table13[[#This Row],[Amount_INR]]-Table13[[#This Row],[Budget_Allocated_INR]])</f>
        <v>-4071.6800000000003</v>
      </c>
      <c r="H225">
        <v>-4071.68</v>
      </c>
      <c r="I225" s="1">
        <v>44965</v>
      </c>
      <c r="J225" t="s">
        <v>526</v>
      </c>
      <c r="K225" t="s">
        <v>527</v>
      </c>
      <c r="L225" t="s">
        <v>541</v>
      </c>
      <c r="M225" t="s">
        <v>519</v>
      </c>
      <c r="N225" t="s">
        <v>520</v>
      </c>
    </row>
    <row r="226" spans="1:15" x14ac:dyDescent="0.35">
      <c r="A226" t="s">
        <v>792</v>
      </c>
      <c r="B226" t="s">
        <v>545</v>
      </c>
      <c r="C226" t="s">
        <v>586</v>
      </c>
      <c r="D226" t="s">
        <v>559</v>
      </c>
      <c r="E226">
        <v>4846353</v>
      </c>
      <c r="F226">
        <v>6043271.75</v>
      </c>
      <c r="G226">
        <f>IF(Table13[[#This Row],[Budget_Allocated_INR]]="","",Table13[[#This Row],[Amount_INR]]-Table13[[#This Row],[Budget_Allocated_INR]])</f>
        <v>-1196918.75</v>
      </c>
      <c r="H226">
        <v>-1196918.75</v>
      </c>
      <c r="I226" s="1">
        <v>45105</v>
      </c>
      <c r="J226" t="s">
        <v>516</v>
      </c>
      <c r="K226" t="s">
        <v>517</v>
      </c>
      <c r="L226" t="s">
        <v>518</v>
      </c>
      <c r="M226" t="s">
        <v>519</v>
      </c>
      <c r="N226" t="s">
        <v>520</v>
      </c>
      <c r="O226" t="s">
        <v>521</v>
      </c>
    </row>
    <row r="227" spans="1:15" x14ac:dyDescent="0.35">
      <c r="A227" t="s">
        <v>793</v>
      </c>
      <c r="B227" t="s">
        <v>534</v>
      </c>
      <c r="C227" t="s">
        <v>549</v>
      </c>
      <c r="D227" t="s">
        <v>559</v>
      </c>
      <c r="E227">
        <v>223641</v>
      </c>
      <c r="F227">
        <v>216619.3</v>
      </c>
      <c r="G227">
        <f>IF(Table13[[#This Row],[Budget_Allocated_INR]]="","",Table13[[#This Row],[Amount_INR]]-Table13[[#This Row],[Budget_Allocated_INR]])</f>
        <v>7021.7000000000116</v>
      </c>
      <c r="H227">
        <v>7021.7</v>
      </c>
      <c r="I227" s="1">
        <v>45397</v>
      </c>
      <c r="J227" t="s">
        <v>526</v>
      </c>
      <c r="K227" t="s">
        <v>540</v>
      </c>
      <c r="L227" t="s">
        <v>536</v>
      </c>
      <c r="M227" t="s">
        <v>537</v>
      </c>
      <c r="N227" t="s">
        <v>520</v>
      </c>
    </row>
    <row r="228" spans="1:15" x14ac:dyDescent="0.35">
      <c r="A228" t="s">
        <v>794</v>
      </c>
      <c r="B228" t="s">
        <v>545</v>
      </c>
      <c r="C228" t="s">
        <v>558</v>
      </c>
      <c r="D228" t="s">
        <v>539</v>
      </c>
      <c r="E228">
        <v>2943906</v>
      </c>
      <c r="F228">
        <v>2847629.21</v>
      </c>
      <c r="G228">
        <f>IF(Table13[[#This Row],[Budget_Allocated_INR]]="","",Table13[[#This Row],[Amount_INR]]-Table13[[#This Row],[Budget_Allocated_INR]])</f>
        <v>96276.790000000037</v>
      </c>
      <c r="I228" s="1">
        <v>45726</v>
      </c>
      <c r="J228" t="s">
        <v>526</v>
      </c>
      <c r="K228" t="s">
        <v>560</v>
      </c>
      <c r="L228" t="s">
        <v>536</v>
      </c>
      <c r="M228" t="s">
        <v>537</v>
      </c>
      <c r="N228" t="s">
        <v>520</v>
      </c>
    </row>
    <row r="229" spans="1:15" x14ac:dyDescent="0.35">
      <c r="A229" t="s">
        <v>795</v>
      </c>
      <c r="B229" t="s">
        <v>530</v>
      </c>
      <c r="C229" t="s">
        <v>586</v>
      </c>
      <c r="D229" t="s">
        <v>550</v>
      </c>
      <c r="E229">
        <v>31886</v>
      </c>
      <c r="F229">
        <v>37984.400000000001</v>
      </c>
      <c r="G229">
        <f>IF(Table13[[#This Row],[Budget_Allocated_INR]]="","",Table13[[#This Row],[Amount_INR]]-Table13[[#This Row],[Budget_Allocated_INR]])</f>
        <v>-6098.4000000000015</v>
      </c>
      <c r="H229">
        <v>-6098.4</v>
      </c>
      <c r="I229" s="1">
        <v>45456</v>
      </c>
      <c r="J229" t="s">
        <v>526</v>
      </c>
      <c r="K229" t="s">
        <v>540</v>
      </c>
      <c r="L229" t="s">
        <v>536</v>
      </c>
      <c r="M229" t="s">
        <v>528</v>
      </c>
      <c r="N229" t="s">
        <v>520</v>
      </c>
    </row>
    <row r="230" spans="1:15" x14ac:dyDescent="0.35">
      <c r="A230" t="s">
        <v>796</v>
      </c>
      <c r="B230" t="s">
        <v>534</v>
      </c>
      <c r="C230" t="s">
        <v>562</v>
      </c>
      <c r="D230" t="s">
        <v>539</v>
      </c>
      <c r="E230">
        <v>110565</v>
      </c>
      <c r="F230">
        <v>101797.79</v>
      </c>
      <c r="G230">
        <f>IF(Table13[[#This Row],[Budget_Allocated_INR]]="","",Table13[[#This Row],[Amount_INR]]-Table13[[#This Row],[Budget_Allocated_INR]])</f>
        <v>8767.2100000000064</v>
      </c>
      <c r="H230">
        <v>8767.2099999999991</v>
      </c>
      <c r="I230" s="1">
        <v>45192</v>
      </c>
      <c r="J230" t="s">
        <v>516</v>
      </c>
      <c r="K230" t="s">
        <v>540</v>
      </c>
      <c r="L230" t="s">
        <v>518</v>
      </c>
      <c r="M230" t="s">
        <v>537</v>
      </c>
      <c r="N230" t="s">
        <v>520</v>
      </c>
    </row>
    <row r="231" spans="1:15" x14ac:dyDescent="0.35">
      <c r="A231" t="s">
        <v>797</v>
      </c>
      <c r="B231" t="s">
        <v>545</v>
      </c>
      <c r="C231" t="s">
        <v>596</v>
      </c>
      <c r="D231" t="s">
        <v>559</v>
      </c>
      <c r="E231">
        <v>288172</v>
      </c>
      <c r="F231">
        <v>300418.28999999998</v>
      </c>
      <c r="G231">
        <f>IF(Table13[[#This Row],[Budget_Allocated_INR]]="","",Table13[[#This Row],[Amount_INR]]-Table13[[#This Row],[Budget_Allocated_INR]])</f>
        <v>-12246.289999999979</v>
      </c>
      <c r="H231">
        <v>-12246.29</v>
      </c>
      <c r="I231" s="1">
        <v>45451</v>
      </c>
      <c r="J231" t="s">
        <v>597</v>
      </c>
      <c r="K231" t="s">
        <v>517</v>
      </c>
      <c r="L231" t="s">
        <v>536</v>
      </c>
      <c r="M231" t="s">
        <v>537</v>
      </c>
      <c r="N231" t="s">
        <v>520</v>
      </c>
      <c r="O231" t="s">
        <v>521</v>
      </c>
    </row>
    <row r="232" spans="1:15" x14ac:dyDescent="0.35">
      <c r="A232" t="s">
        <v>798</v>
      </c>
      <c r="B232" t="s">
        <v>534</v>
      </c>
      <c r="C232" t="s">
        <v>514</v>
      </c>
      <c r="D232" t="s">
        <v>515</v>
      </c>
      <c r="E232">
        <v>223300</v>
      </c>
      <c r="F232">
        <v>227664.62</v>
      </c>
      <c r="G232">
        <f>IF(Table13[[#This Row],[Budget_Allocated_INR]]="","",Table13[[#This Row],[Amount_INR]]-Table13[[#This Row],[Budget_Allocated_INR]])</f>
        <v>-4364.6199999999953</v>
      </c>
      <c r="H232">
        <v>-4364.62</v>
      </c>
      <c r="I232" s="1">
        <v>45728</v>
      </c>
      <c r="J232" t="s">
        <v>516</v>
      </c>
      <c r="K232" t="s">
        <v>517</v>
      </c>
      <c r="L232" t="s">
        <v>536</v>
      </c>
      <c r="M232" t="s">
        <v>568</v>
      </c>
      <c r="N232" t="s">
        <v>520</v>
      </c>
      <c r="O232" t="s">
        <v>521</v>
      </c>
    </row>
    <row r="233" spans="1:15" x14ac:dyDescent="0.35">
      <c r="A233" t="s">
        <v>799</v>
      </c>
      <c r="B233" t="s">
        <v>530</v>
      </c>
      <c r="C233" t="s">
        <v>558</v>
      </c>
      <c r="D233" t="s">
        <v>571</v>
      </c>
      <c r="E233">
        <v>275337</v>
      </c>
      <c r="F233">
        <v>306563.01</v>
      </c>
      <c r="G233">
        <f>IF(Table13[[#This Row],[Budget_Allocated_INR]]="","",Table13[[#This Row],[Amount_INR]]-Table13[[#This Row],[Budget_Allocated_INR]])</f>
        <v>-31226.010000000009</v>
      </c>
      <c r="H233">
        <v>-31226.01</v>
      </c>
      <c r="I233" s="1">
        <v>45680</v>
      </c>
      <c r="J233" t="s">
        <v>516</v>
      </c>
      <c r="K233" t="s">
        <v>560</v>
      </c>
      <c r="L233" t="s">
        <v>536</v>
      </c>
      <c r="M233" t="s">
        <v>537</v>
      </c>
      <c r="N233" t="s">
        <v>520</v>
      </c>
      <c r="O233" t="s">
        <v>521</v>
      </c>
    </row>
    <row r="234" spans="1:15" x14ac:dyDescent="0.35">
      <c r="A234" t="s">
        <v>800</v>
      </c>
      <c r="B234" t="s">
        <v>530</v>
      </c>
      <c r="C234" t="s">
        <v>552</v>
      </c>
      <c r="D234" t="s">
        <v>532</v>
      </c>
      <c r="E234">
        <v>142075</v>
      </c>
      <c r="F234">
        <v>149959.41</v>
      </c>
      <c r="G234">
        <f>IF(Table13[[#This Row],[Budget_Allocated_INR]]="","",Table13[[#This Row],[Amount_INR]]-Table13[[#This Row],[Budget_Allocated_INR]])</f>
        <v>-7884.4100000000035</v>
      </c>
      <c r="H234">
        <v>-7884.41</v>
      </c>
      <c r="I234" s="1">
        <v>45165</v>
      </c>
      <c r="J234" t="s">
        <v>526</v>
      </c>
      <c r="K234" t="s">
        <v>540</v>
      </c>
      <c r="L234" t="s">
        <v>518</v>
      </c>
      <c r="M234" t="s">
        <v>519</v>
      </c>
      <c r="N234" t="s">
        <v>520</v>
      </c>
    </row>
    <row r="235" spans="1:15" x14ac:dyDescent="0.35">
      <c r="A235" t="s">
        <v>801</v>
      </c>
      <c r="B235" t="s">
        <v>548</v>
      </c>
      <c r="C235" t="s">
        <v>562</v>
      </c>
      <c r="D235" t="s">
        <v>584</v>
      </c>
      <c r="E235">
        <v>7472</v>
      </c>
      <c r="F235">
        <v>6179.9</v>
      </c>
      <c r="G235">
        <f>IF(Table13[[#This Row],[Budget_Allocated_INR]]="","",Table13[[#This Row],[Amount_INR]]-Table13[[#This Row],[Budget_Allocated_INR]])</f>
        <v>1292.1000000000004</v>
      </c>
      <c r="H235">
        <v>1292.0999999999999</v>
      </c>
      <c r="I235" s="1">
        <v>44985</v>
      </c>
      <c r="J235" t="s">
        <v>526</v>
      </c>
      <c r="K235" t="s">
        <v>517</v>
      </c>
      <c r="L235" t="s">
        <v>541</v>
      </c>
      <c r="M235" t="s">
        <v>537</v>
      </c>
      <c r="N235" t="s">
        <v>520</v>
      </c>
    </row>
    <row r="236" spans="1:15" x14ac:dyDescent="0.35">
      <c r="A236" t="s">
        <v>802</v>
      </c>
      <c r="B236" t="s">
        <v>545</v>
      </c>
      <c r="C236" t="s">
        <v>531</v>
      </c>
      <c r="D236" t="s">
        <v>525</v>
      </c>
      <c r="E236">
        <v>289678</v>
      </c>
      <c r="F236">
        <v>371350.89</v>
      </c>
      <c r="G236">
        <f>IF(Table13[[#This Row],[Budget_Allocated_INR]]="","",Table13[[#This Row],[Amount_INR]]-Table13[[#This Row],[Budget_Allocated_INR]])</f>
        <v>-81672.890000000014</v>
      </c>
      <c r="H236">
        <v>-81672.89</v>
      </c>
      <c r="I236" s="1">
        <v>44948</v>
      </c>
      <c r="J236" t="s">
        <v>526</v>
      </c>
      <c r="K236" t="s">
        <v>560</v>
      </c>
      <c r="L236" t="s">
        <v>541</v>
      </c>
      <c r="M236" t="s">
        <v>546</v>
      </c>
      <c r="N236" t="s">
        <v>520</v>
      </c>
    </row>
    <row r="237" spans="1:15" x14ac:dyDescent="0.35">
      <c r="A237" t="s">
        <v>803</v>
      </c>
      <c r="B237" t="s">
        <v>576</v>
      </c>
      <c r="C237" t="s">
        <v>531</v>
      </c>
      <c r="D237" t="s">
        <v>574</v>
      </c>
      <c r="E237">
        <v>54775</v>
      </c>
      <c r="F237">
        <v>66998.53</v>
      </c>
      <c r="G237">
        <f>IF(Table13[[#This Row],[Budget_Allocated_INR]]="","",Table13[[#This Row],[Amount_INR]]-Table13[[#This Row],[Budget_Allocated_INR]])</f>
        <v>-12223.529999999999</v>
      </c>
      <c r="H237">
        <v>-12223.53</v>
      </c>
      <c r="I237" s="1">
        <v>45048</v>
      </c>
      <c r="J237" t="s">
        <v>526</v>
      </c>
      <c r="K237" t="s">
        <v>517</v>
      </c>
      <c r="L237" t="s">
        <v>518</v>
      </c>
      <c r="M237" t="s">
        <v>554</v>
      </c>
      <c r="N237" t="s">
        <v>520</v>
      </c>
    </row>
    <row r="238" spans="1:15" x14ac:dyDescent="0.35">
      <c r="A238" t="s">
        <v>804</v>
      </c>
      <c r="B238" t="s">
        <v>565</v>
      </c>
      <c r="C238" t="s">
        <v>543</v>
      </c>
      <c r="D238" t="s">
        <v>532</v>
      </c>
      <c r="E238">
        <v>76843</v>
      </c>
      <c r="F238">
        <v>97279.89</v>
      </c>
      <c r="G238">
        <f>IF(Table13[[#This Row],[Budget_Allocated_INR]]="","",Table13[[#This Row],[Amount_INR]]-Table13[[#This Row],[Budget_Allocated_INR]])</f>
        <v>-20436.89</v>
      </c>
      <c r="H238">
        <v>-20436.89</v>
      </c>
      <c r="I238" s="1">
        <v>45063</v>
      </c>
      <c r="J238" t="s">
        <v>526</v>
      </c>
      <c r="K238" t="s">
        <v>517</v>
      </c>
      <c r="L238" t="s">
        <v>518</v>
      </c>
      <c r="M238" t="s">
        <v>537</v>
      </c>
      <c r="N238" t="s">
        <v>520</v>
      </c>
    </row>
    <row r="239" spans="1:15" x14ac:dyDescent="0.35">
      <c r="A239" t="s">
        <v>805</v>
      </c>
      <c r="B239" t="s">
        <v>548</v>
      </c>
      <c r="C239" t="s">
        <v>524</v>
      </c>
      <c r="D239" t="s">
        <v>515</v>
      </c>
      <c r="E239">
        <v>357334</v>
      </c>
      <c r="F239">
        <v>307538.07</v>
      </c>
      <c r="G239">
        <f>IF(Table13[[#This Row],[Budget_Allocated_INR]]="","",Table13[[#This Row],[Amount_INR]]-Table13[[#This Row],[Budget_Allocated_INR]])</f>
        <v>49795.929999999993</v>
      </c>
      <c r="H239">
        <v>49795.93</v>
      </c>
      <c r="I239" s="1">
        <v>45291</v>
      </c>
      <c r="J239" t="s">
        <v>597</v>
      </c>
      <c r="K239" t="s">
        <v>517</v>
      </c>
      <c r="L239" t="s">
        <v>518</v>
      </c>
      <c r="M239" t="s">
        <v>528</v>
      </c>
      <c r="N239" t="s">
        <v>520</v>
      </c>
      <c r="O239" t="s">
        <v>521</v>
      </c>
    </row>
    <row r="240" spans="1:15" x14ac:dyDescent="0.35">
      <c r="A240" t="s">
        <v>806</v>
      </c>
      <c r="B240" t="s">
        <v>565</v>
      </c>
      <c r="C240" t="s">
        <v>531</v>
      </c>
      <c r="D240" t="s">
        <v>550</v>
      </c>
      <c r="E240">
        <v>187885</v>
      </c>
      <c r="F240">
        <v>161463.51999999999</v>
      </c>
      <c r="G240">
        <f>IF(Table13[[#This Row],[Budget_Allocated_INR]]="","",Table13[[#This Row],[Amount_INR]]-Table13[[#This Row],[Budget_Allocated_INR]])</f>
        <v>26421.48000000001</v>
      </c>
      <c r="H240">
        <v>26421.48</v>
      </c>
      <c r="I240" s="1">
        <v>45107</v>
      </c>
      <c r="J240" t="s">
        <v>516</v>
      </c>
      <c r="K240" t="s">
        <v>527</v>
      </c>
      <c r="L240" t="s">
        <v>518</v>
      </c>
      <c r="M240" t="s">
        <v>554</v>
      </c>
      <c r="N240" t="s">
        <v>520</v>
      </c>
    </row>
    <row r="241" spans="1:15" x14ac:dyDescent="0.35">
      <c r="A241" t="s">
        <v>807</v>
      </c>
      <c r="B241" t="s">
        <v>545</v>
      </c>
      <c r="C241" t="s">
        <v>543</v>
      </c>
      <c r="D241" t="s">
        <v>515</v>
      </c>
      <c r="E241">
        <v>382790</v>
      </c>
      <c r="F241">
        <v>448577.44</v>
      </c>
      <c r="G241">
        <f>IF(Table13[[#This Row],[Budget_Allocated_INR]]="","",Table13[[#This Row],[Amount_INR]]-Table13[[#This Row],[Budget_Allocated_INR]])</f>
        <v>-65787.44</v>
      </c>
      <c r="H241">
        <v>-65787.44</v>
      </c>
      <c r="I241" s="1">
        <v>45303</v>
      </c>
      <c r="J241" t="s">
        <v>526</v>
      </c>
      <c r="K241" t="s">
        <v>540</v>
      </c>
      <c r="L241" t="s">
        <v>518</v>
      </c>
      <c r="M241" t="s">
        <v>554</v>
      </c>
      <c r="N241" t="s">
        <v>520</v>
      </c>
    </row>
    <row r="242" spans="1:15" x14ac:dyDescent="0.35">
      <c r="A242" t="s">
        <v>808</v>
      </c>
      <c r="B242" t="s">
        <v>534</v>
      </c>
      <c r="C242" t="s">
        <v>558</v>
      </c>
      <c r="D242" t="s">
        <v>605</v>
      </c>
      <c r="E242">
        <v>76592</v>
      </c>
      <c r="G242" t="str">
        <f>IF(Table13[[#This Row],[Budget_Allocated_INR]]="","",Table13[[#This Row],[Amount_INR]]-Table13[[#This Row],[Budget_Allocated_INR]])</f>
        <v/>
      </c>
      <c r="H242">
        <v>-21705.62</v>
      </c>
      <c r="I242" s="1">
        <v>45315</v>
      </c>
      <c r="J242" t="s">
        <v>526</v>
      </c>
      <c r="K242" t="s">
        <v>560</v>
      </c>
      <c r="L242" t="s">
        <v>518</v>
      </c>
      <c r="M242" t="s">
        <v>537</v>
      </c>
      <c r="N242" t="s">
        <v>520</v>
      </c>
    </row>
    <row r="243" spans="1:15" x14ac:dyDescent="0.35">
      <c r="A243" t="s">
        <v>809</v>
      </c>
      <c r="B243" t="s">
        <v>548</v>
      </c>
      <c r="C243" t="s">
        <v>514</v>
      </c>
      <c r="D243" t="s">
        <v>588</v>
      </c>
      <c r="E243">
        <v>172736</v>
      </c>
      <c r="F243">
        <v>212951.33</v>
      </c>
      <c r="G243">
        <f>IF(Table13[[#This Row],[Budget_Allocated_INR]]="","",Table13[[#This Row],[Amount_INR]]-Table13[[#This Row],[Budget_Allocated_INR]])</f>
        <v>-40215.329999999987</v>
      </c>
      <c r="H243">
        <v>-40215.33</v>
      </c>
      <c r="I243" s="1">
        <v>45264</v>
      </c>
      <c r="J243" t="s">
        <v>526</v>
      </c>
      <c r="K243" t="s">
        <v>540</v>
      </c>
      <c r="L243" t="s">
        <v>518</v>
      </c>
      <c r="M243" t="s">
        <v>537</v>
      </c>
      <c r="N243" t="s">
        <v>520</v>
      </c>
    </row>
    <row r="244" spans="1:15" x14ac:dyDescent="0.35">
      <c r="A244" t="s">
        <v>810</v>
      </c>
      <c r="B244" t="s">
        <v>576</v>
      </c>
      <c r="C244" t="s">
        <v>524</v>
      </c>
      <c r="D244" t="s">
        <v>634</v>
      </c>
      <c r="E244">
        <v>66115</v>
      </c>
      <c r="F244">
        <v>70988.100000000006</v>
      </c>
      <c r="G244">
        <f>IF(Table13[[#This Row],[Budget_Allocated_INR]]="","",Table13[[#This Row],[Amount_INR]]-Table13[[#This Row],[Budget_Allocated_INR]])</f>
        <v>-4873.1000000000058</v>
      </c>
      <c r="H244">
        <v>-4873.1000000000004</v>
      </c>
      <c r="I244" s="1">
        <v>45509</v>
      </c>
      <c r="J244" t="s">
        <v>516</v>
      </c>
      <c r="K244" t="s">
        <v>560</v>
      </c>
      <c r="L244" t="s">
        <v>536</v>
      </c>
      <c r="M244" t="s">
        <v>519</v>
      </c>
      <c r="N244" t="s">
        <v>520</v>
      </c>
    </row>
    <row r="245" spans="1:15" x14ac:dyDescent="0.35">
      <c r="A245" t="s">
        <v>811</v>
      </c>
      <c r="B245" t="s">
        <v>548</v>
      </c>
      <c r="C245" t="s">
        <v>552</v>
      </c>
      <c r="D245" t="s">
        <v>535</v>
      </c>
      <c r="E245">
        <v>151632</v>
      </c>
      <c r="F245">
        <v>160166.51999999999</v>
      </c>
      <c r="G245">
        <f>IF(Table13[[#This Row],[Budget_Allocated_INR]]="","",Table13[[#This Row],[Amount_INR]]-Table13[[#This Row],[Budget_Allocated_INR]])</f>
        <v>-8534.5199999999895</v>
      </c>
      <c r="H245">
        <v>-8534.52</v>
      </c>
      <c r="I245" s="1">
        <v>45315</v>
      </c>
      <c r="J245" t="s">
        <v>526</v>
      </c>
      <c r="K245" t="s">
        <v>527</v>
      </c>
      <c r="L245" t="s">
        <v>518</v>
      </c>
      <c r="M245" t="s">
        <v>537</v>
      </c>
      <c r="N245" t="s">
        <v>520</v>
      </c>
    </row>
    <row r="246" spans="1:15" x14ac:dyDescent="0.35">
      <c r="A246" t="s">
        <v>812</v>
      </c>
      <c r="B246" t="s">
        <v>545</v>
      </c>
      <c r="C246" t="s">
        <v>514</v>
      </c>
      <c r="D246" t="s">
        <v>584</v>
      </c>
      <c r="E246">
        <v>412198</v>
      </c>
      <c r="F246">
        <v>508251.82</v>
      </c>
      <c r="G246">
        <f>IF(Table13[[#This Row],[Budget_Allocated_INR]]="","",Table13[[#This Row],[Amount_INR]]-Table13[[#This Row],[Budget_Allocated_INR]])</f>
        <v>-96053.82</v>
      </c>
      <c r="H246">
        <v>-96053.82</v>
      </c>
      <c r="I246" s="1">
        <v>44931</v>
      </c>
      <c r="J246" t="s">
        <v>526</v>
      </c>
      <c r="K246" t="s">
        <v>560</v>
      </c>
      <c r="L246" t="s">
        <v>541</v>
      </c>
      <c r="M246" t="s">
        <v>537</v>
      </c>
      <c r="N246" t="s">
        <v>520</v>
      </c>
    </row>
    <row r="247" spans="1:15" x14ac:dyDescent="0.35">
      <c r="A247" t="s">
        <v>813</v>
      </c>
      <c r="B247" t="s">
        <v>576</v>
      </c>
      <c r="C247" t="s">
        <v>558</v>
      </c>
      <c r="D247" t="s">
        <v>588</v>
      </c>
      <c r="E247">
        <v>52195</v>
      </c>
      <c r="F247">
        <v>57318.27</v>
      </c>
      <c r="G247">
        <f>IF(Table13[[#This Row],[Budget_Allocated_INR]]="","",Table13[[#This Row],[Amount_INR]]-Table13[[#This Row],[Budget_Allocated_INR]])</f>
        <v>-5123.2699999999968</v>
      </c>
      <c r="H247">
        <v>-5123.2700000000004</v>
      </c>
      <c r="I247" s="1">
        <v>45675</v>
      </c>
      <c r="J247" t="s">
        <v>526</v>
      </c>
      <c r="K247" t="s">
        <v>527</v>
      </c>
      <c r="L247" t="s">
        <v>536</v>
      </c>
      <c r="M247" t="s">
        <v>519</v>
      </c>
      <c r="N247" t="s">
        <v>520</v>
      </c>
    </row>
    <row r="248" spans="1:15" x14ac:dyDescent="0.35">
      <c r="A248" t="s">
        <v>814</v>
      </c>
      <c r="B248" t="s">
        <v>534</v>
      </c>
      <c r="C248" t="s">
        <v>586</v>
      </c>
      <c r="D248" t="s">
        <v>539</v>
      </c>
      <c r="E248">
        <v>48152</v>
      </c>
      <c r="F248">
        <v>48056.14</v>
      </c>
      <c r="G248">
        <f>IF(Table13[[#This Row],[Budget_Allocated_INR]]="","",Table13[[#This Row],[Amount_INR]]-Table13[[#This Row],[Budget_Allocated_INR]])</f>
        <v>95.860000000000582</v>
      </c>
      <c r="H248">
        <v>95.86</v>
      </c>
      <c r="I248" s="1">
        <v>45674</v>
      </c>
      <c r="J248" t="s">
        <v>516</v>
      </c>
      <c r="K248" t="s">
        <v>517</v>
      </c>
      <c r="L248" t="s">
        <v>536</v>
      </c>
      <c r="M248" t="s">
        <v>519</v>
      </c>
      <c r="N248" t="s">
        <v>520</v>
      </c>
    </row>
    <row r="249" spans="1:15" x14ac:dyDescent="0.35">
      <c r="A249" t="s">
        <v>815</v>
      </c>
      <c r="B249" t="s">
        <v>548</v>
      </c>
      <c r="C249" t="s">
        <v>543</v>
      </c>
      <c r="D249" t="s">
        <v>593</v>
      </c>
      <c r="E249">
        <v>16799</v>
      </c>
      <c r="F249">
        <v>19123.79</v>
      </c>
      <c r="G249">
        <f>IF(Table13[[#This Row],[Budget_Allocated_INR]]="","",Table13[[#This Row],[Amount_INR]]-Table13[[#This Row],[Budget_Allocated_INR]])</f>
        <v>-2324.7900000000009</v>
      </c>
      <c r="H249">
        <v>-2324.79</v>
      </c>
      <c r="I249" s="1">
        <v>45702</v>
      </c>
      <c r="J249" t="s">
        <v>526</v>
      </c>
      <c r="K249" t="s">
        <v>517</v>
      </c>
      <c r="L249" t="s">
        <v>536</v>
      </c>
      <c r="M249" t="s">
        <v>537</v>
      </c>
      <c r="N249" t="s">
        <v>520</v>
      </c>
    </row>
    <row r="250" spans="1:15" x14ac:dyDescent="0.35">
      <c r="A250" t="s">
        <v>816</v>
      </c>
      <c r="B250" t="s">
        <v>565</v>
      </c>
      <c r="C250" t="s">
        <v>543</v>
      </c>
      <c r="D250" t="s">
        <v>539</v>
      </c>
      <c r="E250">
        <v>498331</v>
      </c>
      <c r="F250">
        <v>590530.18999999994</v>
      </c>
      <c r="G250">
        <f>IF(Table13[[#This Row],[Budget_Allocated_INR]]="","",Table13[[#This Row],[Amount_INR]]-Table13[[#This Row],[Budget_Allocated_INR]])</f>
        <v>-92199.189999999944</v>
      </c>
      <c r="H250">
        <v>-92199.19</v>
      </c>
      <c r="I250" s="1">
        <v>45361</v>
      </c>
      <c r="J250" t="s">
        <v>516</v>
      </c>
      <c r="K250" t="s">
        <v>517</v>
      </c>
      <c r="L250" t="s">
        <v>518</v>
      </c>
      <c r="M250" t="s">
        <v>568</v>
      </c>
      <c r="N250" t="s">
        <v>520</v>
      </c>
      <c r="O250" t="s">
        <v>521</v>
      </c>
    </row>
    <row r="251" spans="1:15" x14ac:dyDescent="0.35">
      <c r="A251" t="s">
        <v>817</v>
      </c>
      <c r="B251" t="s">
        <v>565</v>
      </c>
      <c r="C251" t="s">
        <v>581</v>
      </c>
      <c r="D251" t="s">
        <v>532</v>
      </c>
      <c r="E251">
        <v>331933</v>
      </c>
      <c r="F251">
        <v>269005.58</v>
      </c>
      <c r="G251">
        <f>IF(Table13[[#This Row],[Budget_Allocated_INR]]="","",Table13[[#This Row],[Amount_INR]]-Table13[[#This Row],[Budget_Allocated_INR]])</f>
        <v>62927.419999999984</v>
      </c>
      <c r="H251">
        <v>62927.42</v>
      </c>
      <c r="I251" s="1">
        <v>45099</v>
      </c>
      <c r="J251" t="s">
        <v>597</v>
      </c>
      <c r="K251" t="s">
        <v>527</v>
      </c>
      <c r="L251" t="s">
        <v>518</v>
      </c>
      <c r="M251" t="s">
        <v>554</v>
      </c>
      <c r="N251" t="s">
        <v>520</v>
      </c>
      <c r="O251" t="s">
        <v>521</v>
      </c>
    </row>
    <row r="252" spans="1:15" x14ac:dyDescent="0.35">
      <c r="A252" t="s">
        <v>818</v>
      </c>
      <c r="B252" t="s">
        <v>79</v>
      </c>
      <c r="C252" t="s">
        <v>552</v>
      </c>
      <c r="D252" t="s">
        <v>634</v>
      </c>
      <c r="E252">
        <v>334513</v>
      </c>
      <c r="F252">
        <v>429654.62</v>
      </c>
      <c r="G252">
        <f>IF(Table13[[#This Row],[Budget_Allocated_INR]]="","",Table13[[#This Row],[Amount_INR]]-Table13[[#This Row],[Budget_Allocated_INR]])</f>
        <v>-95141.62</v>
      </c>
      <c r="H252">
        <v>-95141.62</v>
      </c>
      <c r="I252" s="1">
        <v>45016</v>
      </c>
      <c r="J252" t="s">
        <v>526</v>
      </c>
      <c r="K252" t="s">
        <v>517</v>
      </c>
      <c r="L252" t="s">
        <v>541</v>
      </c>
      <c r="M252" t="s">
        <v>537</v>
      </c>
      <c r="N252" t="s">
        <v>520</v>
      </c>
    </row>
    <row r="253" spans="1:15" x14ac:dyDescent="0.35">
      <c r="A253" t="s">
        <v>819</v>
      </c>
      <c r="B253" t="s">
        <v>545</v>
      </c>
      <c r="C253" t="s">
        <v>524</v>
      </c>
      <c r="D253" t="s">
        <v>539</v>
      </c>
      <c r="E253">
        <v>267847</v>
      </c>
      <c r="F253">
        <v>224402.4</v>
      </c>
      <c r="G253">
        <f>IF(Table13[[#This Row],[Budget_Allocated_INR]]="","",Table13[[#This Row],[Amount_INR]]-Table13[[#This Row],[Budget_Allocated_INR]])</f>
        <v>43444.600000000006</v>
      </c>
      <c r="H253">
        <v>43444.6</v>
      </c>
      <c r="I253" s="1">
        <v>45710</v>
      </c>
      <c r="J253" t="s">
        <v>516</v>
      </c>
      <c r="K253" t="s">
        <v>560</v>
      </c>
      <c r="L253" t="s">
        <v>536</v>
      </c>
      <c r="M253" t="s">
        <v>528</v>
      </c>
      <c r="N253" t="s">
        <v>520</v>
      </c>
      <c r="O253" t="s">
        <v>521</v>
      </c>
    </row>
    <row r="254" spans="1:15" x14ac:dyDescent="0.35">
      <c r="A254" t="s">
        <v>820</v>
      </c>
      <c r="B254" t="s">
        <v>565</v>
      </c>
      <c r="C254" t="s">
        <v>586</v>
      </c>
      <c r="D254" t="s">
        <v>584</v>
      </c>
      <c r="E254">
        <v>60387</v>
      </c>
      <c r="F254">
        <v>77599.47</v>
      </c>
      <c r="G254">
        <f>IF(Table13[[#This Row],[Budget_Allocated_INR]]="","",Table13[[#This Row],[Amount_INR]]-Table13[[#This Row],[Budget_Allocated_INR]])</f>
        <v>-17212.47</v>
      </c>
      <c r="H254">
        <v>-17212.47</v>
      </c>
      <c r="I254" s="1">
        <v>44986</v>
      </c>
      <c r="J254" t="s">
        <v>526</v>
      </c>
      <c r="K254" t="s">
        <v>517</v>
      </c>
      <c r="L254" t="s">
        <v>541</v>
      </c>
      <c r="M254" t="s">
        <v>546</v>
      </c>
      <c r="N254" t="s">
        <v>520</v>
      </c>
    </row>
    <row r="255" spans="1:15" x14ac:dyDescent="0.35">
      <c r="A255" t="s">
        <v>821</v>
      </c>
      <c r="B255" t="s">
        <v>545</v>
      </c>
      <c r="C255" t="s">
        <v>624</v>
      </c>
      <c r="D255" t="s">
        <v>525</v>
      </c>
      <c r="E255">
        <v>175225</v>
      </c>
      <c r="F255">
        <v>180530</v>
      </c>
      <c r="G255">
        <f>IF(Table13[[#This Row],[Budget_Allocated_INR]]="","",Table13[[#This Row],[Amount_INR]]-Table13[[#This Row],[Budget_Allocated_INR]])</f>
        <v>-5305</v>
      </c>
      <c r="H255">
        <v>-5305</v>
      </c>
      <c r="I255" s="1">
        <v>45509</v>
      </c>
      <c r="J255" t="s">
        <v>526</v>
      </c>
      <c r="K255" t="s">
        <v>517</v>
      </c>
      <c r="L255" t="s">
        <v>536</v>
      </c>
      <c r="M255" t="s">
        <v>568</v>
      </c>
      <c r="N255" t="s">
        <v>520</v>
      </c>
    </row>
    <row r="256" spans="1:15" x14ac:dyDescent="0.35">
      <c r="A256" t="s">
        <v>822</v>
      </c>
      <c r="B256" t="s">
        <v>530</v>
      </c>
      <c r="C256" t="s">
        <v>586</v>
      </c>
      <c r="D256" t="s">
        <v>553</v>
      </c>
      <c r="E256">
        <v>341861</v>
      </c>
      <c r="F256">
        <v>313537.26</v>
      </c>
      <c r="G256">
        <f>IF(Table13[[#This Row],[Budget_Allocated_INR]]="","",Table13[[#This Row],[Amount_INR]]-Table13[[#This Row],[Budget_Allocated_INR]])</f>
        <v>28323.739999999991</v>
      </c>
      <c r="H256">
        <v>28323.74</v>
      </c>
      <c r="I256" s="1">
        <v>45236</v>
      </c>
      <c r="J256" t="s">
        <v>516</v>
      </c>
      <c r="K256" t="s">
        <v>540</v>
      </c>
      <c r="L256" t="s">
        <v>518</v>
      </c>
      <c r="M256" t="s">
        <v>528</v>
      </c>
      <c r="N256" t="s">
        <v>520</v>
      </c>
      <c r="O256" t="s">
        <v>521</v>
      </c>
    </row>
    <row r="257" spans="1:15" x14ac:dyDescent="0.35">
      <c r="A257" t="s">
        <v>823</v>
      </c>
      <c r="B257" t="s">
        <v>576</v>
      </c>
      <c r="C257" t="s">
        <v>524</v>
      </c>
      <c r="D257" t="s">
        <v>535</v>
      </c>
      <c r="E257">
        <v>39407</v>
      </c>
      <c r="F257">
        <v>45445.79</v>
      </c>
      <c r="G257">
        <f>IF(Table13[[#This Row],[Budget_Allocated_INR]]="","",Table13[[#This Row],[Amount_INR]]-Table13[[#This Row],[Budget_Allocated_INR]])</f>
        <v>-6038.7900000000009</v>
      </c>
      <c r="I257" s="1">
        <v>45016</v>
      </c>
      <c r="J257" t="s">
        <v>516</v>
      </c>
      <c r="K257" t="s">
        <v>560</v>
      </c>
      <c r="L257" t="s">
        <v>541</v>
      </c>
      <c r="M257" t="s">
        <v>537</v>
      </c>
      <c r="N257" t="s">
        <v>520</v>
      </c>
    </row>
    <row r="258" spans="1:15" x14ac:dyDescent="0.35">
      <c r="A258" t="s">
        <v>824</v>
      </c>
      <c r="B258" t="s">
        <v>523</v>
      </c>
      <c r="C258" t="s">
        <v>558</v>
      </c>
      <c r="D258" t="s">
        <v>574</v>
      </c>
      <c r="E258">
        <v>89432</v>
      </c>
      <c r="F258">
        <v>106809.32</v>
      </c>
      <c r="G258">
        <f>IF(Table13[[#This Row],[Budget_Allocated_INR]]="","",Table13[[#This Row],[Amount_INR]]-Table13[[#This Row],[Budget_Allocated_INR]])</f>
        <v>-17377.320000000007</v>
      </c>
      <c r="H258">
        <v>-17377.32</v>
      </c>
      <c r="I258" s="1">
        <v>45098</v>
      </c>
      <c r="J258" t="s">
        <v>526</v>
      </c>
      <c r="K258" t="s">
        <v>560</v>
      </c>
      <c r="L258" t="s">
        <v>518</v>
      </c>
      <c r="M258" t="s">
        <v>537</v>
      </c>
      <c r="N258" t="s">
        <v>520</v>
      </c>
    </row>
    <row r="259" spans="1:15" x14ac:dyDescent="0.35">
      <c r="A259" t="s">
        <v>825</v>
      </c>
      <c r="B259" t="s">
        <v>534</v>
      </c>
      <c r="C259" t="s">
        <v>624</v>
      </c>
      <c r="D259" t="s">
        <v>563</v>
      </c>
      <c r="E259">
        <v>263512</v>
      </c>
      <c r="F259">
        <v>324627.93</v>
      </c>
      <c r="G259">
        <f>IF(Table13[[#This Row],[Budget_Allocated_INR]]="","",Table13[[#This Row],[Amount_INR]]-Table13[[#This Row],[Budget_Allocated_INR]])</f>
        <v>-61115.929999999993</v>
      </c>
      <c r="H259">
        <v>-61115.93</v>
      </c>
      <c r="I259" s="1">
        <v>45300</v>
      </c>
      <c r="J259" t="s">
        <v>597</v>
      </c>
      <c r="K259" t="s">
        <v>540</v>
      </c>
      <c r="L259" t="s">
        <v>518</v>
      </c>
      <c r="M259" t="s">
        <v>537</v>
      </c>
      <c r="N259" t="s">
        <v>520</v>
      </c>
      <c r="O259" t="s">
        <v>521</v>
      </c>
    </row>
    <row r="260" spans="1:15" x14ac:dyDescent="0.35">
      <c r="A260" t="s">
        <v>826</v>
      </c>
      <c r="B260" t="s">
        <v>530</v>
      </c>
      <c r="C260" t="s">
        <v>552</v>
      </c>
      <c r="D260" t="s">
        <v>571</v>
      </c>
      <c r="E260">
        <v>199679</v>
      </c>
      <c r="F260">
        <v>200742.29</v>
      </c>
      <c r="G260">
        <f>IF(Table13[[#This Row],[Budget_Allocated_INR]]="","",Table13[[#This Row],[Amount_INR]]-Table13[[#This Row],[Budget_Allocated_INR]])</f>
        <v>-1063.2900000000081</v>
      </c>
      <c r="H260">
        <v>-1063.29</v>
      </c>
      <c r="I260" s="1">
        <v>45675</v>
      </c>
      <c r="J260" t="s">
        <v>526</v>
      </c>
      <c r="K260" t="s">
        <v>560</v>
      </c>
      <c r="L260" t="s">
        <v>536</v>
      </c>
      <c r="M260" t="s">
        <v>537</v>
      </c>
      <c r="N260" t="s">
        <v>520</v>
      </c>
    </row>
    <row r="261" spans="1:15" x14ac:dyDescent="0.35">
      <c r="A261" t="s">
        <v>827</v>
      </c>
      <c r="B261" t="s">
        <v>530</v>
      </c>
      <c r="C261" t="s">
        <v>549</v>
      </c>
      <c r="D261" t="s">
        <v>525</v>
      </c>
      <c r="E261">
        <v>375444</v>
      </c>
      <c r="G261" t="str">
        <f>IF(Table13[[#This Row],[Budget_Allocated_INR]]="","",Table13[[#This Row],[Amount_INR]]-Table13[[#This Row],[Budget_Allocated_INR]])</f>
        <v/>
      </c>
      <c r="H261">
        <v>42263.75</v>
      </c>
      <c r="I261" s="1">
        <v>45458</v>
      </c>
      <c r="J261" t="s">
        <v>597</v>
      </c>
      <c r="K261" t="s">
        <v>560</v>
      </c>
      <c r="L261" t="s">
        <v>536</v>
      </c>
      <c r="M261" t="s">
        <v>537</v>
      </c>
      <c r="N261" t="s">
        <v>520</v>
      </c>
      <c r="O261" t="s">
        <v>521</v>
      </c>
    </row>
    <row r="262" spans="1:15" x14ac:dyDescent="0.35">
      <c r="A262" t="s">
        <v>828</v>
      </c>
      <c r="B262" t="s">
        <v>523</v>
      </c>
      <c r="C262" t="s">
        <v>581</v>
      </c>
      <c r="D262" t="s">
        <v>605</v>
      </c>
      <c r="E262">
        <v>225874</v>
      </c>
      <c r="F262">
        <v>240659.78</v>
      </c>
      <c r="G262">
        <f>IF(Table13[[#This Row],[Budget_Allocated_INR]]="","",Table13[[#This Row],[Amount_INR]]-Table13[[#This Row],[Budget_Allocated_INR]])</f>
        <v>-14785.779999999999</v>
      </c>
      <c r="H262">
        <v>-14785.78</v>
      </c>
      <c r="I262" s="1">
        <v>44946</v>
      </c>
      <c r="J262" t="s">
        <v>526</v>
      </c>
      <c r="K262" t="s">
        <v>527</v>
      </c>
      <c r="L262" t="s">
        <v>541</v>
      </c>
      <c r="M262" t="s">
        <v>519</v>
      </c>
      <c r="N262" t="s">
        <v>520</v>
      </c>
    </row>
    <row r="263" spans="1:15" x14ac:dyDescent="0.35">
      <c r="A263" t="s">
        <v>829</v>
      </c>
      <c r="B263" t="s">
        <v>523</v>
      </c>
      <c r="C263" t="s">
        <v>543</v>
      </c>
      <c r="D263" t="s">
        <v>574</v>
      </c>
      <c r="E263">
        <v>415441</v>
      </c>
      <c r="F263">
        <v>402243.02</v>
      </c>
      <c r="G263">
        <f>IF(Table13[[#This Row],[Budget_Allocated_INR]]="","",Table13[[#This Row],[Amount_INR]]-Table13[[#This Row],[Budget_Allocated_INR]])</f>
        <v>13197.979999999981</v>
      </c>
      <c r="H263">
        <v>13197.98</v>
      </c>
      <c r="I263" s="1">
        <v>44966</v>
      </c>
      <c r="J263" t="s">
        <v>526</v>
      </c>
      <c r="K263" t="s">
        <v>560</v>
      </c>
      <c r="L263" t="s">
        <v>541</v>
      </c>
      <c r="M263" t="s">
        <v>554</v>
      </c>
      <c r="N263" t="s">
        <v>520</v>
      </c>
    </row>
    <row r="264" spans="1:15" x14ac:dyDescent="0.35">
      <c r="A264" t="s">
        <v>830</v>
      </c>
      <c r="B264" t="s">
        <v>545</v>
      </c>
      <c r="C264" t="s">
        <v>581</v>
      </c>
      <c r="D264" t="s">
        <v>588</v>
      </c>
      <c r="E264">
        <v>169992</v>
      </c>
      <c r="F264">
        <v>217401.98</v>
      </c>
      <c r="G264">
        <f>IF(Table13[[#This Row],[Budget_Allocated_INR]]="","",Table13[[#This Row],[Amount_INR]]-Table13[[#This Row],[Budget_Allocated_INR]])</f>
        <v>-47409.98000000001</v>
      </c>
      <c r="H264">
        <v>-47409.98</v>
      </c>
      <c r="I264" s="1">
        <v>45653</v>
      </c>
      <c r="J264" t="s">
        <v>526</v>
      </c>
      <c r="K264" t="s">
        <v>527</v>
      </c>
      <c r="L264" t="s">
        <v>536</v>
      </c>
      <c r="M264" t="s">
        <v>554</v>
      </c>
      <c r="N264" t="s">
        <v>520</v>
      </c>
    </row>
    <row r="265" spans="1:15" x14ac:dyDescent="0.35">
      <c r="A265" t="s">
        <v>831</v>
      </c>
      <c r="B265" t="s">
        <v>565</v>
      </c>
      <c r="C265" t="s">
        <v>581</v>
      </c>
      <c r="D265" t="s">
        <v>532</v>
      </c>
      <c r="E265">
        <v>276210</v>
      </c>
      <c r="F265">
        <v>336215.59</v>
      </c>
      <c r="G265">
        <f>IF(Table13[[#This Row],[Budget_Allocated_INR]]="","",Table13[[#This Row],[Amount_INR]]-Table13[[#This Row],[Budget_Allocated_INR]])</f>
        <v>-60005.590000000026</v>
      </c>
      <c r="H265">
        <v>-60005.59</v>
      </c>
      <c r="I265" s="1">
        <v>45705</v>
      </c>
      <c r="J265" t="s">
        <v>526</v>
      </c>
      <c r="K265" t="s">
        <v>540</v>
      </c>
      <c r="L265" t="s">
        <v>536</v>
      </c>
      <c r="M265" t="s">
        <v>546</v>
      </c>
      <c r="N265" t="s">
        <v>520</v>
      </c>
    </row>
    <row r="266" spans="1:15" x14ac:dyDescent="0.35">
      <c r="A266" t="s">
        <v>832</v>
      </c>
      <c r="B266" t="s">
        <v>548</v>
      </c>
      <c r="C266" t="s">
        <v>543</v>
      </c>
      <c r="D266" t="s">
        <v>525</v>
      </c>
      <c r="E266">
        <v>8467</v>
      </c>
      <c r="F266">
        <v>6825.29</v>
      </c>
      <c r="G266">
        <f>IF(Table13[[#This Row],[Budget_Allocated_INR]]="","",Table13[[#This Row],[Amount_INR]]-Table13[[#This Row],[Budget_Allocated_INR]])</f>
        <v>1641.71</v>
      </c>
      <c r="H266">
        <v>1641.71</v>
      </c>
      <c r="I266" s="1">
        <v>45430</v>
      </c>
      <c r="J266" t="s">
        <v>526</v>
      </c>
      <c r="K266" t="s">
        <v>517</v>
      </c>
      <c r="L266" t="s">
        <v>536</v>
      </c>
      <c r="M266" t="s">
        <v>546</v>
      </c>
      <c r="N266" t="s">
        <v>520</v>
      </c>
    </row>
    <row r="267" spans="1:15" x14ac:dyDescent="0.35">
      <c r="A267" t="s">
        <v>833</v>
      </c>
      <c r="B267" t="s">
        <v>545</v>
      </c>
      <c r="C267" t="s">
        <v>599</v>
      </c>
      <c r="D267" t="s">
        <v>584</v>
      </c>
      <c r="E267">
        <v>433961</v>
      </c>
      <c r="F267">
        <v>489742.12</v>
      </c>
      <c r="G267">
        <f>IF(Table13[[#This Row],[Budget_Allocated_INR]]="","",Table13[[#This Row],[Amount_INR]]-Table13[[#This Row],[Budget_Allocated_INR]])</f>
        <v>-55781.119999999995</v>
      </c>
      <c r="H267">
        <v>-55781.120000000003</v>
      </c>
      <c r="I267" s="1">
        <v>45034</v>
      </c>
      <c r="J267" t="s">
        <v>526</v>
      </c>
      <c r="K267" t="s">
        <v>540</v>
      </c>
      <c r="L267" t="s">
        <v>518</v>
      </c>
      <c r="M267" t="s">
        <v>546</v>
      </c>
      <c r="N267" t="s">
        <v>520</v>
      </c>
    </row>
    <row r="268" spans="1:15" x14ac:dyDescent="0.35">
      <c r="A268" t="s">
        <v>834</v>
      </c>
      <c r="B268" t="s">
        <v>79</v>
      </c>
      <c r="C268" t="s">
        <v>581</v>
      </c>
      <c r="D268" t="s">
        <v>563</v>
      </c>
      <c r="E268">
        <v>253473</v>
      </c>
      <c r="F268">
        <v>209229.23</v>
      </c>
      <c r="G268">
        <f>IF(Table13[[#This Row],[Budget_Allocated_INR]]="","",Table13[[#This Row],[Amount_INR]]-Table13[[#This Row],[Budget_Allocated_INR]])</f>
        <v>44243.76999999999</v>
      </c>
      <c r="H268">
        <v>44243.77</v>
      </c>
      <c r="I268" s="1">
        <v>45046</v>
      </c>
      <c r="J268" t="s">
        <v>526</v>
      </c>
      <c r="K268" t="s">
        <v>560</v>
      </c>
      <c r="L268" t="s">
        <v>518</v>
      </c>
      <c r="M268" t="s">
        <v>537</v>
      </c>
      <c r="N268" t="s">
        <v>520</v>
      </c>
    </row>
    <row r="269" spans="1:15" x14ac:dyDescent="0.35">
      <c r="A269" t="s">
        <v>835</v>
      </c>
      <c r="B269" t="s">
        <v>545</v>
      </c>
      <c r="C269" t="s">
        <v>596</v>
      </c>
      <c r="D269" t="s">
        <v>588</v>
      </c>
      <c r="E269">
        <v>283088</v>
      </c>
      <c r="F269">
        <v>273645.90999999997</v>
      </c>
      <c r="G269">
        <f>IF(Table13[[#This Row],[Budget_Allocated_INR]]="","",Table13[[#This Row],[Amount_INR]]-Table13[[#This Row],[Budget_Allocated_INR]])</f>
        <v>9442.0900000000256</v>
      </c>
      <c r="H269">
        <v>9442.09</v>
      </c>
      <c r="I269" s="1">
        <v>45245</v>
      </c>
      <c r="J269" t="s">
        <v>516</v>
      </c>
      <c r="K269" t="s">
        <v>517</v>
      </c>
      <c r="L269" t="s">
        <v>518</v>
      </c>
      <c r="M269" t="s">
        <v>537</v>
      </c>
      <c r="N269" t="s">
        <v>520</v>
      </c>
      <c r="O269" t="s">
        <v>521</v>
      </c>
    </row>
    <row r="270" spans="1:15" x14ac:dyDescent="0.35">
      <c r="A270" t="s">
        <v>836</v>
      </c>
      <c r="B270" t="s">
        <v>523</v>
      </c>
      <c r="C270" t="s">
        <v>514</v>
      </c>
      <c r="D270" t="s">
        <v>574</v>
      </c>
      <c r="E270">
        <v>36809</v>
      </c>
      <c r="F270">
        <v>31242.97</v>
      </c>
      <c r="G270">
        <f>IF(Table13[[#This Row],[Budget_Allocated_INR]]="","",Table13[[#This Row],[Amount_INR]]-Table13[[#This Row],[Budget_Allocated_INR]])</f>
        <v>5566.0299999999988</v>
      </c>
      <c r="H270">
        <v>5566.03</v>
      </c>
      <c r="I270" s="1">
        <v>45226</v>
      </c>
      <c r="J270" t="s">
        <v>597</v>
      </c>
      <c r="K270" t="s">
        <v>560</v>
      </c>
      <c r="L270" t="s">
        <v>518</v>
      </c>
      <c r="M270" t="s">
        <v>554</v>
      </c>
      <c r="N270" t="s">
        <v>520</v>
      </c>
    </row>
    <row r="271" spans="1:15" x14ac:dyDescent="0.35">
      <c r="A271" t="s">
        <v>837</v>
      </c>
      <c r="B271" t="s">
        <v>545</v>
      </c>
      <c r="C271" t="s">
        <v>624</v>
      </c>
      <c r="D271" t="s">
        <v>515</v>
      </c>
      <c r="E271">
        <v>176240</v>
      </c>
      <c r="F271">
        <v>162052.35</v>
      </c>
      <c r="G271">
        <f>IF(Table13[[#This Row],[Budget_Allocated_INR]]="","",Table13[[#This Row],[Amount_INR]]-Table13[[#This Row],[Budget_Allocated_INR]])</f>
        <v>14187.649999999994</v>
      </c>
      <c r="H271">
        <v>14187.65</v>
      </c>
      <c r="I271" s="1">
        <v>45605</v>
      </c>
      <c r="J271" t="s">
        <v>526</v>
      </c>
      <c r="K271" t="s">
        <v>527</v>
      </c>
      <c r="L271" t="s">
        <v>536</v>
      </c>
      <c r="M271" t="s">
        <v>568</v>
      </c>
      <c r="N271" t="s">
        <v>520</v>
      </c>
    </row>
    <row r="272" spans="1:15" x14ac:dyDescent="0.35">
      <c r="A272" t="s">
        <v>838</v>
      </c>
      <c r="B272" t="s">
        <v>523</v>
      </c>
      <c r="C272" t="s">
        <v>581</v>
      </c>
      <c r="D272" t="s">
        <v>559</v>
      </c>
      <c r="E272">
        <v>287836</v>
      </c>
      <c r="F272">
        <v>288895.81</v>
      </c>
      <c r="G272">
        <f>IF(Table13[[#This Row],[Budget_Allocated_INR]]="","",Table13[[#This Row],[Amount_INR]]-Table13[[#This Row],[Budget_Allocated_INR]])</f>
        <v>-1059.8099999999977</v>
      </c>
      <c r="H272">
        <v>-1059.81</v>
      </c>
      <c r="I272" s="1">
        <v>45386</v>
      </c>
      <c r="J272" t="s">
        <v>597</v>
      </c>
      <c r="K272" t="s">
        <v>560</v>
      </c>
      <c r="L272" t="s">
        <v>536</v>
      </c>
      <c r="M272" t="s">
        <v>537</v>
      </c>
      <c r="N272" t="s">
        <v>520</v>
      </c>
      <c r="O272" t="s">
        <v>521</v>
      </c>
    </row>
    <row r="273" spans="1:15" x14ac:dyDescent="0.35">
      <c r="A273" t="s">
        <v>839</v>
      </c>
      <c r="B273" t="s">
        <v>576</v>
      </c>
      <c r="C273" t="s">
        <v>581</v>
      </c>
      <c r="D273" t="s">
        <v>539</v>
      </c>
      <c r="E273">
        <v>62129</v>
      </c>
      <c r="F273">
        <v>69505.89</v>
      </c>
      <c r="G273">
        <f>IF(Table13[[#This Row],[Budget_Allocated_INR]]="","",Table13[[#This Row],[Amount_INR]]-Table13[[#This Row],[Budget_Allocated_INR]])</f>
        <v>-7376.8899999999994</v>
      </c>
      <c r="H273">
        <v>-7376.89</v>
      </c>
      <c r="I273" s="1">
        <v>45161</v>
      </c>
      <c r="J273" t="s">
        <v>526</v>
      </c>
      <c r="K273" t="s">
        <v>527</v>
      </c>
      <c r="L273" t="s">
        <v>518</v>
      </c>
      <c r="M273" t="s">
        <v>519</v>
      </c>
      <c r="N273" t="s">
        <v>520</v>
      </c>
    </row>
    <row r="274" spans="1:15" x14ac:dyDescent="0.35">
      <c r="A274" t="s">
        <v>840</v>
      </c>
      <c r="B274" t="s">
        <v>545</v>
      </c>
      <c r="C274" t="s">
        <v>531</v>
      </c>
      <c r="D274" t="s">
        <v>571</v>
      </c>
      <c r="E274">
        <v>39600</v>
      </c>
      <c r="F274">
        <v>49734.57</v>
      </c>
      <c r="G274">
        <f>IF(Table13[[#This Row],[Budget_Allocated_INR]]="","",Table13[[#This Row],[Amount_INR]]-Table13[[#This Row],[Budget_Allocated_INR]])</f>
        <v>-10134.57</v>
      </c>
      <c r="H274">
        <v>-10134.57</v>
      </c>
      <c r="I274" s="1">
        <v>45669</v>
      </c>
      <c r="J274" t="s">
        <v>516</v>
      </c>
      <c r="K274" t="s">
        <v>560</v>
      </c>
      <c r="L274" t="s">
        <v>536</v>
      </c>
      <c r="M274" t="s">
        <v>519</v>
      </c>
      <c r="N274" t="s">
        <v>520</v>
      </c>
    </row>
    <row r="275" spans="1:15" x14ac:dyDescent="0.35">
      <c r="A275" t="s">
        <v>841</v>
      </c>
      <c r="B275" t="s">
        <v>576</v>
      </c>
      <c r="C275" t="s">
        <v>596</v>
      </c>
      <c r="D275" t="s">
        <v>571</v>
      </c>
      <c r="E275">
        <v>233554</v>
      </c>
      <c r="F275">
        <v>252983.66</v>
      </c>
      <c r="G275">
        <f>IF(Table13[[#This Row],[Budget_Allocated_INR]]="","",Table13[[#This Row],[Amount_INR]]-Table13[[#This Row],[Budget_Allocated_INR]])</f>
        <v>-19429.660000000003</v>
      </c>
      <c r="H275">
        <v>-19429.66</v>
      </c>
      <c r="I275" s="1">
        <v>45085</v>
      </c>
      <c r="J275" t="s">
        <v>526</v>
      </c>
      <c r="K275" t="s">
        <v>527</v>
      </c>
      <c r="L275" t="s">
        <v>518</v>
      </c>
      <c r="M275" t="s">
        <v>537</v>
      </c>
      <c r="N275" t="s">
        <v>520</v>
      </c>
    </row>
    <row r="276" spans="1:15" x14ac:dyDescent="0.35">
      <c r="A276" t="s">
        <v>842</v>
      </c>
      <c r="B276" t="s">
        <v>523</v>
      </c>
      <c r="C276" t="s">
        <v>531</v>
      </c>
      <c r="D276" t="s">
        <v>553</v>
      </c>
      <c r="E276">
        <v>184967</v>
      </c>
      <c r="G276" t="str">
        <f>IF(Table13[[#This Row],[Budget_Allocated_INR]]="","",Table13[[#This Row],[Amount_INR]]-Table13[[#This Row],[Budget_Allocated_INR]])</f>
        <v/>
      </c>
      <c r="H276">
        <v>35452.879999999997</v>
      </c>
      <c r="I276" s="1">
        <v>45119</v>
      </c>
      <c r="J276" t="s">
        <v>516</v>
      </c>
      <c r="K276" t="s">
        <v>560</v>
      </c>
      <c r="L276" t="s">
        <v>518</v>
      </c>
      <c r="M276" t="s">
        <v>537</v>
      </c>
      <c r="N276" t="s">
        <v>520</v>
      </c>
    </row>
    <row r="277" spans="1:15" x14ac:dyDescent="0.35">
      <c r="A277" t="s">
        <v>843</v>
      </c>
      <c r="B277" t="s">
        <v>545</v>
      </c>
      <c r="C277" t="s">
        <v>531</v>
      </c>
      <c r="D277" t="s">
        <v>563</v>
      </c>
      <c r="E277">
        <v>451511</v>
      </c>
      <c r="F277">
        <v>378996.91</v>
      </c>
      <c r="G277">
        <f>IF(Table13[[#This Row],[Budget_Allocated_INR]]="","",Table13[[#This Row],[Amount_INR]]-Table13[[#This Row],[Budget_Allocated_INR]])</f>
        <v>72514.090000000026</v>
      </c>
      <c r="H277">
        <v>72514.09</v>
      </c>
      <c r="I277" s="1">
        <v>45168</v>
      </c>
      <c r="J277" t="s">
        <v>516</v>
      </c>
      <c r="K277" t="s">
        <v>517</v>
      </c>
      <c r="L277" t="s">
        <v>518</v>
      </c>
      <c r="M277" t="s">
        <v>528</v>
      </c>
      <c r="N277" t="s">
        <v>520</v>
      </c>
      <c r="O277" t="s">
        <v>521</v>
      </c>
    </row>
    <row r="278" spans="1:15" x14ac:dyDescent="0.35">
      <c r="A278" t="s">
        <v>844</v>
      </c>
      <c r="B278" t="s">
        <v>576</v>
      </c>
      <c r="C278" t="s">
        <v>624</v>
      </c>
      <c r="D278" t="s">
        <v>550</v>
      </c>
      <c r="E278">
        <v>90672</v>
      </c>
      <c r="F278">
        <v>115291.34</v>
      </c>
      <c r="G278">
        <f>IF(Table13[[#This Row],[Budget_Allocated_INR]]="","",Table13[[#This Row],[Amount_INR]]-Table13[[#This Row],[Budget_Allocated_INR]])</f>
        <v>-24619.339999999997</v>
      </c>
      <c r="H278">
        <v>-24619.34</v>
      </c>
      <c r="I278" s="1">
        <v>45531</v>
      </c>
      <c r="J278" t="s">
        <v>526</v>
      </c>
      <c r="K278" t="s">
        <v>540</v>
      </c>
      <c r="L278" t="s">
        <v>536</v>
      </c>
      <c r="M278" t="s">
        <v>537</v>
      </c>
      <c r="N278" t="s">
        <v>520</v>
      </c>
    </row>
    <row r="279" spans="1:15" x14ac:dyDescent="0.35">
      <c r="A279" t="s">
        <v>845</v>
      </c>
      <c r="B279" t="s">
        <v>565</v>
      </c>
      <c r="C279" t="s">
        <v>581</v>
      </c>
      <c r="D279" t="s">
        <v>593</v>
      </c>
      <c r="E279">
        <v>117298</v>
      </c>
      <c r="F279">
        <v>149508.38</v>
      </c>
      <c r="G279">
        <f>IF(Table13[[#This Row],[Budget_Allocated_INR]]="","",Table13[[#This Row],[Amount_INR]]-Table13[[#This Row],[Budget_Allocated_INR]])</f>
        <v>-32210.380000000005</v>
      </c>
      <c r="H279">
        <v>-32210.38</v>
      </c>
      <c r="I279" s="1">
        <v>45659</v>
      </c>
      <c r="J279" t="s">
        <v>597</v>
      </c>
      <c r="K279" t="s">
        <v>517</v>
      </c>
      <c r="L279" t="s">
        <v>536</v>
      </c>
      <c r="M279" t="s">
        <v>568</v>
      </c>
      <c r="N279" t="s">
        <v>520</v>
      </c>
    </row>
    <row r="280" spans="1:15" x14ac:dyDescent="0.35">
      <c r="A280" t="s">
        <v>846</v>
      </c>
      <c r="B280" t="s">
        <v>565</v>
      </c>
      <c r="C280" t="s">
        <v>514</v>
      </c>
      <c r="D280" t="s">
        <v>539</v>
      </c>
      <c r="E280">
        <v>102465</v>
      </c>
      <c r="F280">
        <v>119023.91</v>
      </c>
      <c r="G280">
        <f>IF(Table13[[#This Row],[Budget_Allocated_INR]]="","",Table13[[#This Row],[Amount_INR]]-Table13[[#This Row],[Budget_Allocated_INR]])</f>
        <v>-16558.910000000003</v>
      </c>
      <c r="I280" s="1">
        <v>45658</v>
      </c>
      <c r="J280" t="s">
        <v>516</v>
      </c>
      <c r="K280" t="s">
        <v>560</v>
      </c>
      <c r="L280" t="s">
        <v>536</v>
      </c>
      <c r="M280" t="s">
        <v>537</v>
      </c>
      <c r="N280" t="s">
        <v>520</v>
      </c>
    </row>
    <row r="281" spans="1:15" x14ac:dyDescent="0.35">
      <c r="A281" t="s">
        <v>847</v>
      </c>
      <c r="B281" t="s">
        <v>576</v>
      </c>
      <c r="C281" t="s">
        <v>531</v>
      </c>
      <c r="D281" t="s">
        <v>605</v>
      </c>
      <c r="E281">
        <v>161058</v>
      </c>
      <c r="F281">
        <v>169436.08</v>
      </c>
      <c r="G281">
        <f>IF(Table13[[#This Row],[Budget_Allocated_INR]]="","",Table13[[#This Row],[Amount_INR]]-Table13[[#This Row],[Budget_Allocated_INR]])</f>
        <v>-8378.0799999999872</v>
      </c>
      <c r="H281">
        <v>-8378.08</v>
      </c>
      <c r="I281" s="1">
        <v>45560</v>
      </c>
      <c r="J281" t="s">
        <v>526</v>
      </c>
      <c r="K281" t="s">
        <v>517</v>
      </c>
      <c r="L281" t="s">
        <v>536</v>
      </c>
      <c r="M281" t="s">
        <v>537</v>
      </c>
      <c r="N281" t="s">
        <v>520</v>
      </c>
    </row>
    <row r="282" spans="1:15" x14ac:dyDescent="0.35">
      <c r="A282" t="s">
        <v>848</v>
      </c>
      <c r="B282" t="s">
        <v>530</v>
      </c>
      <c r="C282" t="s">
        <v>586</v>
      </c>
      <c r="D282" t="s">
        <v>553</v>
      </c>
      <c r="E282">
        <v>310200</v>
      </c>
      <c r="F282">
        <v>318474.48</v>
      </c>
      <c r="G282">
        <f>IF(Table13[[#This Row],[Budget_Allocated_INR]]="","",Table13[[#This Row],[Amount_INR]]-Table13[[#This Row],[Budget_Allocated_INR]])</f>
        <v>-8274.4799999999814</v>
      </c>
      <c r="H282">
        <v>-8274.48</v>
      </c>
      <c r="I282" s="1">
        <v>45375</v>
      </c>
      <c r="J282" t="s">
        <v>526</v>
      </c>
      <c r="K282" t="s">
        <v>527</v>
      </c>
      <c r="L282" t="s">
        <v>518</v>
      </c>
      <c r="M282" t="s">
        <v>537</v>
      </c>
      <c r="N282" t="s">
        <v>520</v>
      </c>
    </row>
    <row r="283" spans="1:15" x14ac:dyDescent="0.35">
      <c r="A283" t="s">
        <v>849</v>
      </c>
      <c r="B283" t="s">
        <v>565</v>
      </c>
      <c r="C283" t="s">
        <v>586</v>
      </c>
      <c r="D283" t="s">
        <v>574</v>
      </c>
      <c r="E283">
        <v>415834</v>
      </c>
      <c r="F283">
        <v>414415.59</v>
      </c>
      <c r="G283">
        <f>IF(Table13[[#This Row],[Budget_Allocated_INR]]="","",Table13[[#This Row],[Amount_INR]]-Table13[[#This Row],[Budget_Allocated_INR]])</f>
        <v>1418.4099999999744</v>
      </c>
      <c r="H283">
        <v>1418.41</v>
      </c>
      <c r="I283" s="1">
        <v>45199</v>
      </c>
      <c r="J283" t="s">
        <v>516</v>
      </c>
      <c r="K283" t="s">
        <v>540</v>
      </c>
      <c r="L283" t="s">
        <v>518</v>
      </c>
      <c r="M283" t="s">
        <v>546</v>
      </c>
      <c r="N283" t="s">
        <v>520</v>
      </c>
      <c r="O283" t="s">
        <v>521</v>
      </c>
    </row>
    <row r="284" spans="1:15" x14ac:dyDescent="0.35">
      <c r="A284" t="s">
        <v>850</v>
      </c>
      <c r="B284" t="s">
        <v>523</v>
      </c>
      <c r="C284" t="s">
        <v>581</v>
      </c>
      <c r="D284" t="s">
        <v>550</v>
      </c>
      <c r="E284">
        <v>106700</v>
      </c>
      <c r="F284">
        <v>135158.73000000001</v>
      </c>
      <c r="G284">
        <f>IF(Table13[[#This Row],[Budget_Allocated_INR]]="","",Table13[[#This Row],[Amount_INR]]-Table13[[#This Row],[Budget_Allocated_INR]])</f>
        <v>-28458.73000000001</v>
      </c>
      <c r="H284">
        <v>-28458.73</v>
      </c>
      <c r="I284" s="1">
        <v>45258</v>
      </c>
      <c r="J284" t="s">
        <v>526</v>
      </c>
      <c r="K284" t="s">
        <v>517</v>
      </c>
      <c r="L284" t="s">
        <v>518</v>
      </c>
      <c r="M284" t="s">
        <v>546</v>
      </c>
      <c r="N284" t="s">
        <v>520</v>
      </c>
    </row>
    <row r="285" spans="1:15" x14ac:dyDescent="0.35">
      <c r="A285" t="s">
        <v>851</v>
      </c>
      <c r="B285" t="s">
        <v>523</v>
      </c>
      <c r="C285" t="s">
        <v>524</v>
      </c>
      <c r="D285" t="s">
        <v>584</v>
      </c>
      <c r="E285">
        <v>372555</v>
      </c>
      <c r="F285">
        <v>361375</v>
      </c>
      <c r="G285">
        <f>IF(Table13[[#This Row],[Budget_Allocated_INR]]="","",Table13[[#This Row],[Amount_INR]]-Table13[[#This Row],[Budget_Allocated_INR]])</f>
        <v>11180</v>
      </c>
      <c r="H285">
        <v>11180</v>
      </c>
      <c r="I285" s="1">
        <v>45389</v>
      </c>
      <c r="J285" t="s">
        <v>526</v>
      </c>
      <c r="K285" t="s">
        <v>560</v>
      </c>
      <c r="L285" t="s">
        <v>536</v>
      </c>
      <c r="M285" t="s">
        <v>554</v>
      </c>
      <c r="N285" t="s">
        <v>520</v>
      </c>
    </row>
    <row r="286" spans="1:15" x14ac:dyDescent="0.35">
      <c r="A286" t="s">
        <v>852</v>
      </c>
      <c r="B286" t="s">
        <v>523</v>
      </c>
      <c r="C286" t="s">
        <v>562</v>
      </c>
      <c r="D286" t="s">
        <v>571</v>
      </c>
      <c r="E286">
        <v>-295644</v>
      </c>
      <c r="F286">
        <v>375294.28</v>
      </c>
      <c r="G286">
        <f>IF(Table13[[#This Row],[Budget_Allocated_INR]]="","",Table13[[#This Row],[Amount_INR]]-Table13[[#This Row],[Budget_Allocated_INR]])</f>
        <v>-670938.28</v>
      </c>
      <c r="H286">
        <v>-79650.28</v>
      </c>
      <c r="I286" s="1">
        <v>45474</v>
      </c>
      <c r="J286" t="s">
        <v>526</v>
      </c>
      <c r="K286" t="s">
        <v>517</v>
      </c>
      <c r="L286" t="s">
        <v>536</v>
      </c>
      <c r="M286" t="s">
        <v>568</v>
      </c>
      <c r="N286" t="s">
        <v>582</v>
      </c>
    </row>
    <row r="287" spans="1:15" x14ac:dyDescent="0.35">
      <c r="A287" t="s">
        <v>853</v>
      </c>
      <c r="B287" t="s">
        <v>576</v>
      </c>
      <c r="C287" t="s">
        <v>543</v>
      </c>
      <c r="D287" t="s">
        <v>559</v>
      </c>
      <c r="E287">
        <v>341728</v>
      </c>
      <c r="F287">
        <v>431392.19</v>
      </c>
      <c r="G287">
        <f>IF(Table13[[#This Row],[Budget_Allocated_INR]]="","",Table13[[#This Row],[Amount_INR]]-Table13[[#This Row],[Budget_Allocated_INR]])</f>
        <v>-89664.19</v>
      </c>
      <c r="H287">
        <v>-89664.19</v>
      </c>
      <c r="I287" s="1">
        <v>45456</v>
      </c>
      <c r="J287" t="s">
        <v>516</v>
      </c>
      <c r="K287" t="s">
        <v>517</v>
      </c>
      <c r="L287" t="s">
        <v>536</v>
      </c>
      <c r="M287" t="s">
        <v>537</v>
      </c>
      <c r="N287" t="s">
        <v>520</v>
      </c>
      <c r="O287" t="s">
        <v>521</v>
      </c>
    </row>
    <row r="288" spans="1:15" x14ac:dyDescent="0.35">
      <c r="A288" t="s">
        <v>854</v>
      </c>
      <c r="B288" t="s">
        <v>79</v>
      </c>
      <c r="C288" t="s">
        <v>543</v>
      </c>
      <c r="D288" t="s">
        <v>605</v>
      </c>
      <c r="E288">
        <v>346055</v>
      </c>
      <c r="F288">
        <v>292280</v>
      </c>
      <c r="G288">
        <f>IF(Table13[[#This Row],[Budget_Allocated_INR]]="","",Table13[[#This Row],[Amount_INR]]-Table13[[#This Row],[Budget_Allocated_INR]])</f>
        <v>53775</v>
      </c>
      <c r="H288">
        <v>53775</v>
      </c>
      <c r="I288" s="1">
        <v>44983</v>
      </c>
      <c r="J288" t="s">
        <v>526</v>
      </c>
      <c r="K288" t="s">
        <v>527</v>
      </c>
      <c r="L288" t="s">
        <v>541</v>
      </c>
      <c r="M288" t="s">
        <v>546</v>
      </c>
      <c r="N288" t="s">
        <v>520</v>
      </c>
    </row>
    <row r="289" spans="1:15" x14ac:dyDescent="0.35">
      <c r="A289" t="s">
        <v>855</v>
      </c>
      <c r="B289" t="s">
        <v>576</v>
      </c>
      <c r="C289" t="s">
        <v>586</v>
      </c>
      <c r="D289" t="s">
        <v>532</v>
      </c>
      <c r="E289">
        <v>370801</v>
      </c>
      <c r="F289">
        <v>399115.32</v>
      </c>
      <c r="G289">
        <f>IF(Table13[[#This Row],[Budget_Allocated_INR]]="","",Table13[[#This Row],[Amount_INR]]-Table13[[#This Row],[Budget_Allocated_INR]])</f>
        <v>-28314.320000000007</v>
      </c>
      <c r="H289">
        <v>-28314.32</v>
      </c>
      <c r="I289" s="1">
        <v>45414</v>
      </c>
      <c r="J289" t="s">
        <v>526</v>
      </c>
      <c r="K289" t="s">
        <v>540</v>
      </c>
      <c r="L289" t="s">
        <v>536</v>
      </c>
      <c r="M289" t="s">
        <v>528</v>
      </c>
      <c r="N289" t="s">
        <v>520</v>
      </c>
    </row>
    <row r="290" spans="1:15" x14ac:dyDescent="0.35">
      <c r="A290" t="s">
        <v>856</v>
      </c>
      <c r="B290" t="s">
        <v>530</v>
      </c>
      <c r="C290" t="s">
        <v>581</v>
      </c>
      <c r="D290" t="s">
        <v>563</v>
      </c>
      <c r="E290">
        <v>150199</v>
      </c>
      <c r="F290">
        <v>192054.12</v>
      </c>
      <c r="G290">
        <f>IF(Table13[[#This Row],[Budget_Allocated_INR]]="","",Table13[[#This Row],[Amount_INR]]-Table13[[#This Row],[Budget_Allocated_INR]])</f>
        <v>-41855.119999999995</v>
      </c>
      <c r="H290">
        <v>-41855.120000000003</v>
      </c>
      <c r="I290" s="1">
        <v>45305</v>
      </c>
      <c r="J290" t="s">
        <v>526</v>
      </c>
      <c r="K290" t="s">
        <v>517</v>
      </c>
      <c r="L290" t="s">
        <v>518</v>
      </c>
      <c r="M290" t="s">
        <v>519</v>
      </c>
      <c r="N290" t="s">
        <v>520</v>
      </c>
    </row>
    <row r="291" spans="1:15" x14ac:dyDescent="0.35">
      <c r="A291" t="s">
        <v>857</v>
      </c>
      <c r="B291" t="s">
        <v>530</v>
      </c>
      <c r="C291" t="s">
        <v>549</v>
      </c>
      <c r="D291" t="s">
        <v>550</v>
      </c>
      <c r="E291">
        <v>291041</v>
      </c>
      <c r="F291">
        <v>358620.07</v>
      </c>
      <c r="G291">
        <f>IF(Table13[[#This Row],[Budget_Allocated_INR]]="","",Table13[[#This Row],[Amount_INR]]-Table13[[#This Row],[Budget_Allocated_INR]])</f>
        <v>-67579.070000000007</v>
      </c>
      <c r="H291">
        <v>-67579.070000000007</v>
      </c>
      <c r="I291" s="1">
        <v>45082</v>
      </c>
      <c r="J291" t="s">
        <v>526</v>
      </c>
      <c r="K291" t="s">
        <v>540</v>
      </c>
      <c r="L291" t="s">
        <v>518</v>
      </c>
      <c r="M291" t="s">
        <v>568</v>
      </c>
      <c r="N291" t="s">
        <v>520</v>
      </c>
    </row>
    <row r="292" spans="1:15" x14ac:dyDescent="0.35">
      <c r="A292" t="s">
        <v>858</v>
      </c>
      <c r="B292" t="s">
        <v>565</v>
      </c>
      <c r="C292" t="s">
        <v>599</v>
      </c>
      <c r="D292" t="s">
        <v>563</v>
      </c>
      <c r="E292">
        <v>211857</v>
      </c>
      <c r="F292">
        <v>256056.27</v>
      </c>
      <c r="G292">
        <f>IF(Table13[[#This Row],[Budget_Allocated_INR]]="","",Table13[[#This Row],[Amount_INR]]-Table13[[#This Row],[Budget_Allocated_INR]])</f>
        <v>-44199.26999999999</v>
      </c>
      <c r="H292">
        <v>-44199.27</v>
      </c>
      <c r="I292" s="1">
        <v>45533</v>
      </c>
      <c r="J292" t="s">
        <v>526</v>
      </c>
      <c r="K292" t="s">
        <v>517</v>
      </c>
      <c r="L292" t="s">
        <v>536</v>
      </c>
      <c r="M292" t="s">
        <v>554</v>
      </c>
      <c r="N292" t="s">
        <v>520</v>
      </c>
    </row>
    <row r="293" spans="1:15" x14ac:dyDescent="0.35">
      <c r="A293" t="s">
        <v>859</v>
      </c>
      <c r="B293" t="s">
        <v>530</v>
      </c>
      <c r="C293" t="s">
        <v>581</v>
      </c>
      <c r="D293" t="s">
        <v>584</v>
      </c>
      <c r="E293">
        <v>251802</v>
      </c>
      <c r="F293">
        <v>303026.15000000002</v>
      </c>
      <c r="G293">
        <f>IF(Table13[[#This Row],[Budget_Allocated_INR]]="","",Table13[[#This Row],[Amount_INR]]-Table13[[#This Row],[Budget_Allocated_INR]])</f>
        <v>-51224.150000000023</v>
      </c>
      <c r="H293">
        <v>-51224.15</v>
      </c>
      <c r="I293" s="1">
        <v>45446</v>
      </c>
      <c r="J293" t="s">
        <v>526</v>
      </c>
      <c r="K293" t="s">
        <v>540</v>
      </c>
      <c r="L293" t="s">
        <v>536</v>
      </c>
      <c r="M293" t="s">
        <v>528</v>
      </c>
      <c r="N293" t="s">
        <v>520</v>
      </c>
    </row>
    <row r="294" spans="1:15" x14ac:dyDescent="0.35">
      <c r="A294" t="s">
        <v>860</v>
      </c>
      <c r="B294" t="s">
        <v>576</v>
      </c>
      <c r="C294" t="s">
        <v>581</v>
      </c>
      <c r="D294" t="s">
        <v>588</v>
      </c>
      <c r="E294">
        <v>76656</v>
      </c>
      <c r="F294">
        <v>71437.11</v>
      </c>
      <c r="G294">
        <f>IF(Table13[[#This Row],[Budget_Allocated_INR]]="","",Table13[[#This Row],[Amount_INR]]-Table13[[#This Row],[Budget_Allocated_INR]])</f>
        <v>5218.8899999999994</v>
      </c>
      <c r="H294">
        <v>5218.8900000000003</v>
      </c>
      <c r="I294" s="1">
        <v>45348</v>
      </c>
      <c r="J294" t="s">
        <v>526</v>
      </c>
      <c r="K294" t="s">
        <v>517</v>
      </c>
      <c r="L294" t="s">
        <v>518</v>
      </c>
      <c r="M294" t="s">
        <v>537</v>
      </c>
      <c r="N294" t="s">
        <v>520</v>
      </c>
    </row>
    <row r="295" spans="1:15" x14ac:dyDescent="0.35">
      <c r="A295" t="s">
        <v>861</v>
      </c>
      <c r="B295" t="s">
        <v>534</v>
      </c>
      <c r="C295" t="s">
        <v>562</v>
      </c>
      <c r="D295" t="s">
        <v>553</v>
      </c>
      <c r="E295">
        <v>362710</v>
      </c>
      <c r="F295">
        <v>366215.27</v>
      </c>
      <c r="G295">
        <f>IF(Table13[[#This Row],[Budget_Allocated_INR]]="","",Table13[[#This Row],[Amount_INR]]-Table13[[#This Row],[Budget_Allocated_INR]])</f>
        <v>-3505.2700000000186</v>
      </c>
      <c r="H295">
        <v>-3505.27</v>
      </c>
      <c r="I295" s="1">
        <v>45567</v>
      </c>
      <c r="J295" t="s">
        <v>526</v>
      </c>
      <c r="K295" t="s">
        <v>560</v>
      </c>
      <c r="L295" t="s">
        <v>536</v>
      </c>
      <c r="M295" t="s">
        <v>554</v>
      </c>
      <c r="N295" t="s">
        <v>520</v>
      </c>
    </row>
    <row r="296" spans="1:15" x14ac:dyDescent="0.35">
      <c r="A296" t="s">
        <v>862</v>
      </c>
      <c r="B296" t="s">
        <v>548</v>
      </c>
      <c r="C296" t="s">
        <v>514</v>
      </c>
      <c r="D296" t="s">
        <v>539</v>
      </c>
      <c r="E296">
        <v>10572</v>
      </c>
      <c r="F296">
        <v>9878.34</v>
      </c>
      <c r="G296">
        <f>IF(Table13[[#This Row],[Budget_Allocated_INR]]="","",Table13[[#This Row],[Amount_INR]]-Table13[[#This Row],[Budget_Allocated_INR]])</f>
        <v>693.65999999999985</v>
      </c>
      <c r="H296">
        <v>693.66</v>
      </c>
      <c r="I296" s="1">
        <v>45165</v>
      </c>
      <c r="J296" t="s">
        <v>526</v>
      </c>
      <c r="K296" t="s">
        <v>527</v>
      </c>
      <c r="L296" t="s">
        <v>518</v>
      </c>
      <c r="M296" t="s">
        <v>537</v>
      </c>
      <c r="N296" t="s">
        <v>520</v>
      </c>
    </row>
    <row r="297" spans="1:15" x14ac:dyDescent="0.35">
      <c r="A297" t="s">
        <v>863</v>
      </c>
      <c r="B297" t="s">
        <v>545</v>
      </c>
      <c r="C297" t="s">
        <v>552</v>
      </c>
      <c r="D297" t="s">
        <v>593</v>
      </c>
      <c r="E297">
        <v>16215</v>
      </c>
      <c r="F297">
        <v>15546.6</v>
      </c>
      <c r="G297">
        <f>IF(Table13[[#This Row],[Budget_Allocated_INR]]="","",Table13[[#This Row],[Amount_INR]]-Table13[[#This Row],[Budget_Allocated_INR]])</f>
        <v>668.39999999999964</v>
      </c>
      <c r="H297">
        <v>668.4</v>
      </c>
      <c r="I297" s="1">
        <v>45459</v>
      </c>
      <c r="J297" t="s">
        <v>597</v>
      </c>
      <c r="K297" t="s">
        <v>517</v>
      </c>
      <c r="L297" t="s">
        <v>536</v>
      </c>
      <c r="M297" t="s">
        <v>568</v>
      </c>
      <c r="N297" t="s">
        <v>520</v>
      </c>
    </row>
    <row r="298" spans="1:15" x14ac:dyDescent="0.35">
      <c r="A298" t="s">
        <v>864</v>
      </c>
      <c r="B298" t="s">
        <v>534</v>
      </c>
      <c r="C298" t="s">
        <v>531</v>
      </c>
      <c r="D298" t="s">
        <v>584</v>
      </c>
      <c r="E298">
        <v>415913</v>
      </c>
      <c r="F298">
        <v>384867.42</v>
      </c>
      <c r="G298">
        <f>IF(Table13[[#This Row],[Budget_Allocated_INR]]="","",Table13[[#This Row],[Amount_INR]]-Table13[[#This Row],[Budget_Allocated_INR]])</f>
        <v>31045.580000000016</v>
      </c>
      <c r="H298">
        <v>31045.58</v>
      </c>
      <c r="I298" s="1">
        <v>45712</v>
      </c>
      <c r="J298" t="s">
        <v>526</v>
      </c>
      <c r="K298" t="s">
        <v>540</v>
      </c>
      <c r="L298" t="s">
        <v>536</v>
      </c>
      <c r="M298" t="s">
        <v>554</v>
      </c>
      <c r="N298" t="s">
        <v>520</v>
      </c>
    </row>
    <row r="299" spans="1:15" x14ac:dyDescent="0.35">
      <c r="A299" t="s">
        <v>865</v>
      </c>
      <c r="B299" t="s">
        <v>565</v>
      </c>
      <c r="C299" t="s">
        <v>562</v>
      </c>
      <c r="D299" t="s">
        <v>605</v>
      </c>
      <c r="E299">
        <v>459471</v>
      </c>
      <c r="F299">
        <v>437328.44</v>
      </c>
      <c r="G299">
        <f>IF(Table13[[#This Row],[Budget_Allocated_INR]]="","",Table13[[#This Row],[Amount_INR]]-Table13[[#This Row],[Budget_Allocated_INR]])</f>
        <v>22142.559999999998</v>
      </c>
      <c r="H299">
        <v>22142.560000000001</v>
      </c>
      <c r="I299" s="1">
        <v>45105</v>
      </c>
      <c r="J299" t="s">
        <v>516</v>
      </c>
      <c r="K299" t="s">
        <v>540</v>
      </c>
      <c r="L299" t="s">
        <v>518</v>
      </c>
      <c r="M299" t="s">
        <v>546</v>
      </c>
      <c r="N299" t="s">
        <v>520</v>
      </c>
      <c r="O299" t="s">
        <v>521</v>
      </c>
    </row>
    <row r="300" spans="1:15" x14ac:dyDescent="0.35">
      <c r="A300" t="s">
        <v>866</v>
      </c>
      <c r="B300" t="s">
        <v>565</v>
      </c>
      <c r="C300" t="s">
        <v>599</v>
      </c>
      <c r="D300" t="s">
        <v>525</v>
      </c>
      <c r="E300">
        <v>356518</v>
      </c>
      <c r="F300">
        <v>384593.26</v>
      </c>
      <c r="G300">
        <f>IF(Table13[[#This Row],[Budget_Allocated_INR]]="","",Table13[[#This Row],[Amount_INR]]-Table13[[#This Row],[Budget_Allocated_INR]])</f>
        <v>-28075.260000000009</v>
      </c>
      <c r="H300">
        <v>-28075.26</v>
      </c>
      <c r="I300" s="1">
        <v>45210</v>
      </c>
      <c r="J300" t="s">
        <v>526</v>
      </c>
      <c r="K300" t="s">
        <v>540</v>
      </c>
      <c r="L300" t="s">
        <v>518</v>
      </c>
      <c r="M300" t="s">
        <v>554</v>
      </c>
      <c r="N300" t="s">
        <v>520</v>
      </c>
    </row>
    <row r="301" spans="1:15" x14ac:dyDescent="0.35">
      <c r="A301" t="s">
        <v>867</v>
      </c>
      <c r="B301" t="s">
        <v>548</v>
      </c>
      <c r="C301" t="s">
        <v>514</v>
      </c>
      <c r="D301" t="s">
        <v>535</v>
      </c>
      <c r="E301">
        <v>29243</v>
      </c>
      <c r="F301">
        <v>28194.98</v>
      </c>
      <c r="G301">
        <f>IF(Table13[[#This Row],[Budget_Allocated_INR]]="","",Table13[[#This Row],[Amount_INR]]-Table13[[#This Row],[Budget_Allocated_INR]])</f>
        <v>1048.0200000000004</v>
      </c>
      <c r="H301">
        <v>1048.02</v>
      </c>
      <c r="I301" s="1">
        <v>45379</v>
      </c>
      <c r="J301" t="s">
        <v>526</v>
      </c>
      <c r="K301" t="s">
        <v>540</v>
      </c>
      <c r="L301" t="s">
        <v>518</v>
      </c>
      <c r="M301" t="s">
        <v>554</v>
      </c>
      <c r="N301" t="s">
        <v>520</v>
      </c>
    </row>
    <row r="302" spans="1:15" x14ac:dyDescent="0.35">
      <c r="A302" t="s">
        <v>868</v>
      </c>
      <c r="B302" t="s">
        <v>545</v>
      </c>
      <c r="C302" t="s">
        <v>543</v>
      </c>
      <c r="D302" t="s">
        <v>515</v>
      </c>
      <c r="E302">
        <v>141275</v>
      </c>
      <c r="F302">
        <v>149514.95000000001</v>
      </c>
      <c r="G302">
        <f>IF(Table13[[#This Row],[Budget_Allocated_INR]]="","",Table13[[#This Row],[Amount_INR]]-Table13[[#This Row],[Budget_Allocated_INR]])</f>
        <v>-8239.9500000000116</v>
      </c>
      <c r="H302">
        <v>-8239.9500000000007</v>
      </c>
      <c r="I302" s="1">
        <v>45131</v>
      </c>
      <c r="J302" t="s">
        <v>526</v>
      </c>
      <c r="K302" t="s">
        <v>560</v>
      </c>
      <c r="L302" t="s">
        <v>518</v>
      </c>
      <c r="M302" t="s">
        <v>568</v>
      </c>
      <c r="N302" t="s">
        <v>520</v>
      </c>
    </row>
    <row r="303" spans="1:15" x14ac:dyDescent="0.35">
      <c r="A303" t="s">
        <v>869</v>
      </c>
      <c r="B303" t="s">
        <v>523</v>
      </c>
      <c r="C303" t="s">
        <v>558</v>
      </c>
      <c r="D303" t="s">
        <v>571</v>
      </c>
      <c r="E303">
        <v>419574</v>
      </c>
      <c r="F303">
        <v>390433.1</v>
      </c>
      <c r="G303">
        <f>IF(Table13[[#This Row],[Budget_Allocated_INR]]="","",Table13[[#This Row],[Amount_INR]]-Table13[[#This Row],[Budget_Allocated_INR]])</f>
        <v>29140.900000000023</v>
      </c>
      <c r="H303">
        <v>29140.9</v>
      </c>
      <c r="I303" s="1">
        <v>44989</v>
      </c>
      <c r="J303" t="s">
        <v>526</v>
      </c>
      <c r="K303" t="s">
        <v>517</v>
      </c>
      <c r="L303" t="s">
        <v>541</v>
      </c>
      <c r="M303" t="s">
        <v>537</v>
      </c>
      <c r="N303" t="s">
        <v>520</v>
      </c>
    </row>
    <row r="304" spans="1:15" x14ac:dyDescent="0.35">
      <c r="A304" t="s">
        <v>870</v>
      </c>
      <c r="B304" t="s">
        <v>565</v>
      </c>
      <c r="C304" t="s">
        <v>531</v>
      </c>
      <c r="D304" t="s">
        <v>559</v>
      </c>
      <c r="E304">
        <v>163344</v>
      </c>
      <c r="F304">
        <v>206602.59</v>
      </c>
      <c r="G304">
        <f>IF(Table13[[#This Row],[Budget_Allocated_INR]]="","",Table13[[#This Row],[Amount_INR]]-Table13[[#This Row],[Budget_Allocated_INR]])</f>
        <v>-43258.59</v>
      </c>
      <c r="H304">
        <v>-43258.59</v>
      </c>
      <c r="I304" s="1">
        <v>45159</v>
      </c>
      <c r="J304" t="s">
        <v>516</v>
      </c>
      <c r="K304" t="s">
        <v>517</v>
      </c>
      <c r="L304" t="s">
        <v>518</v>
      </c>
      <c r="M304" t="s">
        <v>554</v>
      </c>
      <c r="N304" t="s">
        <v>520</v>
      </c>
    </row>
    <row r="305" spans="1:15" x14ac:dyDescent="0.35">
      <c r="A305" t="s">
        <v>871</v>
      </c>
      <c r="B305" t="s">
        <v>565</v>
      </c>
      <c r="C305" t="s">
        <v>514</v>
      </c>
      <c r="D305" t="s">
        <v>634</v>
      </c>
      <c r="E305">
        <v>384800</v>
      </c>
      <c r="F305">
        <v>444252.73</v>
      </c>
      <c r="G305">
        <f>IF(Table13[[#This Row],[Budget_Allocated_INR]]="","",Table13[[#This Row],[Amount_INR]]-Table13[[#This Row],[Budget_Allocated_INR]])</f>
        <v>-59452.729999999981</v>
      </c>
      <c r="H305">
        <v>-59452.73</v>
      </c>
      <c r="I305" s="1">
        <v>45231</v>
      </c>
      <c r="J305" t="s">
        <v>526</v>
      </c>
      <c r="K305" t="s">
        <v>540</v>
      </c>
      <c r="L305" t="s">
        <v>518</v>
      </c>
      <c r="M305" t="s">
        <v>537</v>
      </c>
      <c r="N305" t="s">
        <v>520</v>
      </c>
    </row>
    <row r="306" spans="1:15" x14ac:dyDescent="0.35">
      <c r="A306" t="s">
        <v>872</v>
      </c>
      <c r="B306" t="s">
        <v>79</v>
      </c>
      <c r="C306" t="s">
        <v>586</v>
      </c>
      <c r="D306" t="s">
        <v>574</v>
      </c>
      <c r="E306">
        <v>363889</v>
      </c>
      <c r="F306">
        <v>336570.16</v>
      </c>
      <c r="G306">
        <f>IF(Table13[[#This Row],[Budget_Allocated_INR]]="","",Table13[[#This Row],[Amount_INR]]-Table13[[#This Row],[Budget_Allocated_INR]])</f>
        <v>27318.840000000026</v>
      </c>
      <c r="H306">
        <v>27318.84</v>
      </c>
      <c r="I306" s="1">
        <v>45506</v>
      </c>
      <c r="J306" t="s">
        <v>516</v>
      </c>
      <c r="K306" t="s">
        <v>560</v>
      </c>
      <c r="L306" t="s">
        <v>536</v>
      </c>
      <c r="M306" t="s">
        <v>528</v>
      </c>
      <c r="N306" t="s">
        <v>520</v>
      </c>
      <c r="O306" t="s">
        <v>521</v>
      </c>
    </row>
    <row r="307" spans="1:15" x14ac:dyDescent="0.35">
      <c r="A307" t="s">
        <v>873</v>
      </c>
      <c r="B307" t="s">
        <v>523</v>
      </c>
      <c r="C307" t="s">
        <v>586</v>
      </c>
      <c r="D307" t="s">
        <v>605</v>
      </c>
      <c r="E307">
        <v>268970</v>
      </c>
      <c r="F307">
        <v>257710.55</v>
      </c>
      <c r="G307">
        <f>IF(Table13[[#This Row],[Budget_Allocated_INR]]="","",Table13[[#This Row],[Amount_INR]]-Table13[[#This Row],[Budget_Allocated_INR]])</f>
        <v>11259.450000000012</v>
      </c>
      <c r="H307">
        <v>11259.45</v>
      </c>
      <c r="I307" s="1">
        <v>45369</v>
      </c>
      <c r="J307" t="s">
        <v>597</v>
      </c>
      <c r="K307" t="s">
        <v>560</v>
      </c>
      <c r="L307" t="s">
        <v>518</v>
      </c>
      <c r="M307" t="s">
        <v>537</v>
      </c>
      <c r="N307" t="s">
        <v>520</v>
      </c>
      <c r="O307" t="s">
        <v>521</v>
      </c>
    </row>
    <row r="308" spans="1:15" x14ac:dyDescent="0.35">
      <c r="A308" t="s">
        <v>874</v>
      </c>
      <c r="B308" t="s">
        <v>576</v>
      </c>
      <c r="C308" t="s">
        <v>552</v>
      </c>
      <c r="D308" t="s">
        <v>553</v>
      </c>
      <c r="E308">
        <v>346860</v>
      </c>
      <c r="F308">
        <v>288543.01</v>
      </c>
      <c r="G308">
        <f>IF(Table13[[#This Row],[Budget_Allocated_INR]]="","",Table13[[#This Row],[Amount_INR]]-Table13[[#This Row],[Budget_Allocated_INR]])</f>
        <v>58316.989999999991</v>
      </c>
      <c r="H308">
        <v>58316.99</v>
      </c>
      <c r="I308" s="1">
        <v>45421</v>
      </c>
      <c r="J308" t="s">
        <v>526</v>
      </c>
      <c r="K308" t="s">
        <v>517</v>
      </c>
      <c r="L308" t="s">
        <v>536</v>
      </c>
      <c r="M308" t="s">
        <v>537</v>
      </c>
      <c r="N308" t="s">
        <v>520</v>
      </c>
    </row>
    <row r="309" spans="1:15" x14ac:dyDescent="0.35">
      <c r="A309" t="s">
        <v>875</v>
      </c>
      <c r="B309" t="s">
        <v>523</v>
      </c>
      <c r="C309" t="s">
        <v>562</v>
      </c>
      <c r="D309" t="s">
        <v>515</v>
      </c>
      <c r="E309">
        <v>240676</v>
      </c>
      <c r="F309">
        <v>225254.53</v>
      </c>
      <c r="G309">
        <f>IF(Table13[[#This Row],[Budget_Allocated_INR]]="","",Table13[[#This Row],[Amount_INR]]-Table13[[#This Row],[Budget_Allocated_INR]])</f>
        <v>15421.470000000001</v>
      </c>
      <c r="H309">
        <v>15421.47</v>
      </c>
      <c r="I309" s="1">
        <v>45530</v>
      </c>
      <c r="J309" t="s">
        <v>526</v>
      </c>
      <c r="K309" t="s">
        <v>517</v>
      </c>
      <c r="L309" t="s">
        <v>536</v>
      </c>
      <c r="M309" t="s">
        <v>568</v>
      </c>
      <c r="N309" t="s">
        <v>520</v>
      </c>
    </row>
    <row r="310" spans="1:15" x14ac:dyDescent="0.35">
      <c r="A310" t="s">
        <v>876</v>
      </c>
      <c r="B310" t="s">
        <v>79</v>
      </c>
      <c r="C310" t="s">
        <v>562</v>
      </c>
      <c r="D310" t="s">
        <v>574</v>
      </c>
      <c r="E310">
        <v>229898</v>
      </c>
      <c r="F310">
        <v>203605.91</v>
      </c>
      <c r="G310">
        <f>IF(Table13[[#This Row],[Budget_Allocated_INR]]="","",Table13[[#This Row],[Amount_INR]]-Table13[[#This Row],[Budget_Allocated_INR]])</f>
        <v>26292.089999999997</v>
      </c>
      <c r="H310">
        <v>26292.09</v>
      </c>
      <c r="I310" s="1">
        <v>45618</v>
      </c>
      <c r="J310" t="s">
        <v>526</v>
      </c>
      <c r="K310" t="s">
        <v>540</v>
      </c>
      <c r="L310" t="s">
        <v>536</v>
      </c>
      <c r="M310" t="s">
        <v>537</v>
      </c>
      <c r="N310" t="s">
        <v>520</v>
      </c>
    </row>
    <row r="311" spans="1:15" x14ac:dyDescent="0.35">
      <c r="A311" t="s">
        <v>877</v>
      </c>
      <c r="B311" t="s">
        <v>545</v>
      </c>
      <c r="C311" t="s">
        <v>552</v>
      </c>
      <c r="D311" t="s">
        <v>584</v>
      </c>
      <c r="E311">
        <v>132424</v>
      </c>
      <c r="F311">
        <v>109111.86</v>
      </c>
      <c r="G311">
        <f>IF(Table13[[#This Row],[Budget_Allocated_INR]]="","",Table13[[#This Row],[Amount_INR]]-Table13[[#This Row],[Budget_Allocated_INR]])</f>
        <v>23312.14</v>
      </c>
      <c r="H311">
        <v>23312.14</v>
      </c>
      <c r="I311" s="1">
        <v>45028</v>
      </c>
      <c r="J311" t="s">
        <v>516</v>
      </c>
      <c r="K311" t="s">
        <v>560</v>
      </c>
      <c r="L311" t="s">
        <v>518</v>
      </c>
      <c r="M311" t="s">
        <v>537</v>
      </c>
      <c r="N311" t="s">
        <v>520</v>
      </c>
    </row>
    <row r="312" spans="1:15" x14ac:dyDescent="0.35">
      <c r="A312" t="s">
        <v>878</v>
      </c>
      <c r="B312" t="s">
        <v>534</v>
      </c>
      <c r="C312" t="s">
        <v>599</v>
      </c>
      <c r="D312" t="s">
        <v>588</v>
      </c>
      <c r="E312">
        <v>100845</v>
      </c>
      <c r="F312">
        <v>120316.66</v>
      </c>
      <c r="G312">
        <f>IF(Table13[[#This Row],[Budget_Allocated_INR]]="","",Table13[[#This Row],[Amount_INR]]-Table13[[#This Row],[Budget_Allocated_INR]])</f>
        <v>-19471.660000000003</v>
      </c>
      <c r="H312">
        <v>-19471.66</v>
      </c>
      <c r="I312" s="1">
        <v>45720</v>
      </c>
      <c r="J312" t="s">
        <v>526</v>
      </c>
      <c r="K312" t="s">
        <v>527</v>
      </c>
      <c r="L312" t="s">
        <v>536</v>
      </c>
      <c r="M312" t="s">
        <v>537</v>
      </c>
      <c r="N312" t="s">
        <v>520</v>
      </c>
    </row>
    <row r="313" spans="1:15" x14ac:dyDescent="0.35">
      <c r="A313" t="s">
        <v>879</v>
      </c>
      <c r="B313" t="s">
        <v>565</v>
      </c>
      <c r="C313" t="s">
        <v>552</v>
      </c>
      <c r="D313" t="s">
        <v>563</v>
      </c>
      <c r="E313">
        <v>3599626</v>
      </c>
      <c r="F313">
        <v>3224517.74</v>
      </c>
      <c r="G313">
        <f>IF(Table13[[#This Row],[Budget_Allocated_INR]]="","",Table13[[#This Row],[Amount_INR]]-Table13[[#This Row],[Budget_Allocated_INR]])</f>
        <v>375108.25999999978</v>
      </c>
      <c r="H313">
        <v>375108.26</v>
      </c>
      <c r="I313" s="1">
        <v>45407</v>
      </c>
      <c r="J313" t="s">
        <v>526</v>
      </c>
      <c r="K313" t="s">
        <v>527</v>
      </c>
      <c r="L313" t="s">
        <v>536</v>
      </c>
      <c r="M313" t="s">
        <v>546</v>
      </c>
      <c r="N313" t="s">
        <v>520</v>
      </c>
    </row>
    <row r="314" spans="1:15" x14ac:dyDescent="0.35">
      <c r="A314" t="s">
        <v>880</v>
      </c>
      <c r="B314" t="s">
        <v>576</v>
      </c>
      <c r="C314" t="s">
        <v>596</v>
      </c>
      <c r="D314" t="s">
        <v>574</v>
      </c>
      <c r="E314">
        <v>78374</v>
      </c>
      <c r="F314">
        <v>77099.360000000001</v>
      </c>
      <c r="G314">
        <f>IF(Table13[[#This Row],[Budget_Allocated_INR]]="","",Table13[[#This Row],[Amount_INR]]-Table13[[#This Row],[Budget_Allocated_INR]])</f>
        <v>1274.6399999999994</v>
      </c>
      <c r="H314">
        <v>1274.6400000000001</v>
      </c>
      <c r="I314" s="1">
        <v>45178</v>
      </c>
      <c r="J314" t="s">
        <v>526</v>
      </c>
      <c r="K314" t="s">
        <v>540</v>
      </c>
      <c r="L314" t="s">
        <v>518</v>
      </c>
      <c r="M314" t="s">
        <v>537</v>
      </c>
      <c r="N314" t="s">
        <v>520</v>
      </c>
    </row>
    <row r="315" spans="1:15" x14ac:dyDescent="0.35">
      <c r="A315" t="s">
        <v>881</v>
      </c>
      <c r="B315" t="s">
        <v>534</v>
      </c>
      <c r="C315" t="s">
        <v>543</v>
      </c>
      <c r="D315" t="s">
        <v>605</v>
      </c>
      <c r="E315">
        <v>476567</v>
      </c>
      <c r="F315">
        <v>513028.09</v>
      </c>
      <c r="G315">
        <f>IF(Table13[[#This Row],[Budget_Allocated_INR]]="","",Table13[[#This Row],[Amount_INR]]-Table13[[#This Row],[Budget_Allocated_INR]])</f>
        <v>-36461.090000000026</v>
      </c>
      <c r="H315">
        <v>-36461.089999999997</v>
      </c>
      <c r="I315" s="1">
        <v>45048</v>
      </c>
      <c r="J315" t="s">
        <v>526</v>
      </c>
      <c r="K315" t="s">
        <v>527</v>
      </c>
      <c r="L315" t="s">
        <v>518</v>
      </c>
      <c r="M315" t="s">
        <v>537</v>
      </c>
      <c r="N315" t="s">
        <v>520</v>
      </c>
    </row>
    <row r="316" spans="1:15" x14ac:dyDescent="0.35">
      <c r="A316" t="s">
        <v>882</v>
      </c>
      <c r="B316" t="s">
        <v>576</v>
      </c>
      <c r="C316" t="s">
        <v>558</v>
      </c>
      <c r="D316" t="s">
        <v>553</v>
      </c>
      <c r="E316">
        <v>139446</v>
      </c>
      <c r="F316">
        <v>169737.73</v>
      </c>
      <c r="G316">
        <f>IF(Table13[[#This Row],[Budget_Allocated_INR]]="","",Table13[[#This Row],[Amount_INR]]-Table13[[#This Row],[Budget_Allocated_INR]])</f>
        <v>-30291.73000000001</v>
      </c>
      <c r="H316">
        <v>-30291.73</v>
      </c>
      <c r="I316" s="1">
        <v>45516</v>
      </c>
      <c r="J316" t="s">
        <v>526</v>
      </c>
      <c r="K316" t="s">
        <v>560</v>
      </c>
      <c r="L316" t="s">
        <v>536</v>
      </c>
      <c r="M316" t="s">
        <v>568</v>
      </c>
      <c r="N316" t="s">
        <v>520</v>
      </c>
    </row>
    <row r="317" spans="1:15" x14ac:dyDescent="0.35">
      <c r="A317" t="s">
        <v>883</v>
      </c>
      <c r="B317" t="s">
        <v>545</v>
      </c>
      <c r="C317" t="s">
        <v>552</v>
      </c>
      <c r="D317" t="s">
        <v>563</v>
      </c>
      <c r="E317">
        <v>136563</v>
      </c>
      <c r="F317">
        <v>162916.26</v>
      </c>
      <c r="G317">
        <f>IF(Table13[[#This Row],[Budget_Allocated_INR]]="","",Table13[[#This Row],[Amount_INR]]-Table13[[#This Row],[Budget_Allocated_INR]])</f>
        <v>-26353.260000000009</v>
      </c>
      <c r="I317" s="1">
        <v>45207</v>
      </c>
      <c r="J317" t="s">
        <v>526</v>
      </c>
      <c r="K317" t="s">
        <v>517</v>
      </c>
      <c r="L317" t="s">
        <v>518</v>
      </c>
      <c r="M317" t="s">
        <v>537</v>
      </c>
      <c r="N317" t="s">
        <v>520</v>
      </c>
    </row>
    <row r="318" spans="1:15" x14ac:dyDescent="0.35">
      <c r="A318" t="s">
        <v>884</v>
      </c>
      <c r="B318" t="s">
        <v>79</v>
      </c>
      <c r="C318" t="s">
        <v>552</v>
      </c>
      <c r="D318" t="s">
        <v>593</v>
      </c>
      <c r="E318">
        <v>22382</v>
      </c>
      <c r="F318">
        <v>18042.599999999999</v>
      </c>
      <c r="G318">
        <f>IF(Table13[[#This Row],[Budget_Allocated_INR]]="","",Table13[[#This Row],[Amount_INR]]-Table13[[#This Row],[Budget_Allocated_INR]])</f>
        <v>4339.4000000000015</v>
      </c>
      <c r="H318">
        <v>4339.3999999999996</v>
      </c>
      <c r="I318" s="1">
        <v>45184</v>
      </c>
      <c r="J318" t="s">
        <v>516</v>
      </c>
      <c r="K318" t="s">
        <v>560</v>
      </c>
      <c r="L318" t="s">
        <v>518</v>
      </c>
      <c r="M318" t="s">
        <v>537</v>
      </c>
      <c r="N318" t="s">
        <v>520</v>
      </c>
    </row>
    <row r="319" spans="1:15" x14ac:dyDescent="0.35">
      <c r="A319" t="s">
        <v>885</v>
      </c>
      <c r="B319" t="s">
        <v>545</v>
      </c>
      <c r="C319" t="s">
        <v>558</v>
      </c>
      <c r="D319" t="s">
        <v>559</v>
      </c>
      <c r="E319">
        <v>155451</v>
      </c>
      <c r="F319">
        <v>144377.19</v>
      </c>
      <c r="G319">
        <f>IF(Table13[[#This Row],[Budget_Allocated_INR]]="","",Table13[[#This Row],[Amount_INR]]-Table13[[#This Row],[Budget_Allocated_INR]])</f>
        <v>11073.809999999998</v>
      </c>
      <c r="H319">
        <v>11073.81</v>
      </c>
      <c r="I319" s="1">
        <v>45394</v>
      </c>
      <c r="J319" t="s">
        <v>526</v>
      </c>
      <c r="K319" t="s">
        <v>540</v>
      </c>
      <c r="L319" t="s">
        <v>536</v>
      </c>
      <c r="M319" t="s">
        <v>537</v>
      </c>
      <c r="N319" t="s">
        <v>520</v>
      </c>
    </row>
    <row r="320" spans="1:15" x14ac:dyDescent="0.35">
      <c r="A320" t="s">
        <v>886</v>
      </c>
      <c r="B320" t="s">
        <v>545</v>
      </c>
      <c r="C320" t="s">
        <v>562</v>
      </c>
      <c r="D320" t="s">
        <v>559</v>
      </c>
      <c r="E320">
        <v>269249</v>
      </c>
      <c r="F320">
        <v>308734.33</v>
      </c>
      <c r="G320">
        <f>IF(Table13[[#This Row],[Budget_Allocated_INR]]="","",Table13[[#This Row],[Amount_INR]]-Table13[[#This Row],[Budget_Allocated_INR]])</f>
        <v>-39485.330000000016</v>
      </c>
      <c r="I320" s="1">
        <v>45069</v>
      </c>
      <c r="J320" t="s">
        <v>526</v>
      </c>
      <c r="K320" t="s">
        <v>527</v>
      </c>
      <c r="L320" t="s">
        <v>518</v>
      </c>
      <c r="M320" t="s">
        <v>546</v>
      </c>
      <c r="N320" t="s">
        <v>520</v>
      </c>
    </row>
    <row r="321" spans="1:15" x14ac:dyDescent="0.35">
      <c r="A321" t="s">
        <v>887</v>
      </c>
      <c r="B321" t="s">
        <v>530</v>
      </c>
      <c r="C321" t="s">
        <v>558</v>
      </c>
      <c r="D321" t="s">
        <v>605</v>
      </c>
      <c r="E321">
        <v>435004</v>
      </c>
      <c r="F321">
        <v>504598.66</v>
      </c>
      <c r="G321">
        <f>IF(Table13[[#This Row],[Budget_Allocated_INR]]="","",Table13[[#This Row],[Amount_INR]]-Table13[[#This Row],[Budget_Allocated_INR]])</f>
        <v>-69594.659999999974</v>
      </c>
      <c r="H321">
        <v>-69594.66</v>
      </c>
      <c r="I321" s="1">
        <v>44980</v>
      </c>
      <c r="J321" t="s">
        <v>516</v>
      </c>
      <c r="K321" t="s">
        <v>527</v>
      </c>
      <c r="L321" t="s">
        <v>541</v>
      </c>
      <c r="M321" t="s">
        <v>554</v>
      </c>
      <c r="N321" t="s">
        <v>520</v>
      </c>
      <c r="O321" t="s">
        <v>521</v>
      </c>
    </row>
    <row r="322" spans="1:15" x14ac:dyDescent="0.35">
      <c r="A322" t="s">
        <v>888</v>
      </c>
      <c r="B322" t="s">
        <v>523</v>
      </c>
      <c r="C322" t="s">
        <v>596</v>
      </c>
      <c r="D322" t="s">
        <v>574</v>
      </c>
      <c r="E322">
        <v>424596</v>
      </c>
      <c r="F322">
        <v>339971.4</v>
      </c>
      <c r="G322">
        <f>IF(Table13[[#This Row],[Budget_Allocated_INR]]="","",Table13[[#This Row],[Amount_INR]]-Table13[[#This Row],[Budget_Allocated_INR]])</f>
        <v>84624.599999999977</v>
      </c>
      <c r="H322">
        <v>84624.6</v>
      </c>
      <c r="I322" s="1">
        <v>45569</v>
      </c>
      <c r="J322" t="s">
        <v>516</v>
      </c>
      <c r="K322" t="s">
        <v>517</v>
      </c>
      <c r="L322" t="s">
        <v>536</v>
      </c>
      <c r="M322" t="s">
        <v>528</v>
      </c>
      <c r="N322" t="s">
        <v>520</v>
      </c>
      <c r="O322" t="s">
        <v>521</v>
      </c>
    </row>
    <row r="323" spans="1:15" x14ac:dyDescent="0.35">
      <c r="A323" t="s">
        <v>889</v>
      </c>
      <c r="B323" t="s">
        <v>523</v>
      </c>
      <c r="C323" t="s">
        <v>531</v>
      </c>
      <c r="D323" t="s">
        <v>584</v>
      </c>
      <c r="E323">
        <v>458771</v>
      </c>
      <c r="F323">
        <v>375638.71</v>
      </c>
      <c r="G323">
        <f>IF(Table13[[#This Row],[Budget_Allocated_INR]]="","",Table13[[#This Row],[Amount_INR]]-Table13[[#This Row],[Budget_Allocated_INR]])</f>
        <v>83132.289999999979</v>
      </c>
      <c r="H323">
        <v>83132.289999999994</v>
      </c>
      <c r="I323" s="1">
        <v>45011</v>
      </c>
      <c r="J323" t="s">
        <v>526</v>
      </c>
      <c r="K323" t="s">
        <v>517</v>
      </c>
      <c r="L323" t="s">
        <v>541</v>
      </c>
      <c r="M323" t="s">
        <v>528</v>
      </c>
      <c r="N323" t="s">
        <v>520</v>
      </c>
    </row>
    <row r="324" spans="1:15" x14ac:dyDescent="0.35">
      <c r="A324" t="s">
        <v>890</v>
      </c>
      <c r="B324" t="s">
        <v>534</v>
      </c>
      <c r="C324" t="s">
        <v>558</v>
      </c>
      <c r="D324" t="s">
        <v>550</v>
      </c>
      <c r="E324">
        <v>377822</v>
      </c>
      <c r="F324">
        <v>320802.62</v>
      </c>
      <c r="G324">
        <f>IF(Table13[[#This Row],[Budget_Allocated_INR]]="","",Table13[[#This Row],[Amount_INR]]-Table13[[#This Row],[Budget_Allocated_INR]])</f>
        <v>57019.380000000005</v>
      </c>
      <c r="H324">
        <v>57019.38</v>
      </c>
      <c r="I324" s="1">
        <v>45329</v>
      </c>
      <c r="J324" t="s">
        <v>526</v>
      </c>
      <c r="K324" t="s">
        <v>517</v>
      </c>
      <c r="L324" t="s">
        <v>518</v>
      </c>
      <c r="M324" t="s">
        <v>528</v>
      </c>
      <c r="N324" t="s">
        <v>520</v>
      </c>
    </row>
    <row r="325" spans="1:15" x14ac:dyDescent="0.35">
      <c r="A325" t="s">
        <v>891</v>
      </c>
      <c r="B325" t="s">
        <v>565</v>
      </c>
      <c r="C325" t="s">
        <v>524</v>
      </c>
      <c r="D325" t="s">
        <v>593</v>
      </c>
      <c r="E325">
        <v>26148</v>
      </c>
      <c r="F325">
        <v>25412.61</v>
      </c>
      <c r="G325">
        <f>IF(Table13[[#This Row],[Budget_Allocated_INR]]="","",Table13[[#This Row],[Amount_INR]]-Table13[[#This Row],[Budget_Allocated_INR]])</f>
        <v>735.38999999999942</v>
      </c>
      <c r="H325">
        <v>735.39</v>
      </c>
      <c r="I325" s="1">
        <v>45092</v>
      </c>
      <c r="J325" t="s">
        <v>526</v>
      </c>
      <c r="K325" t="s">
        <v>560</v>
      </c>
      <c r="L325" t="s">
        <v>518</v>
      </c>
      <c r="M325" t="s">
        <v>519</v>
      </c>
      <c r="N325" t="s">
        <v>520</v>
      </c>
    </row>
    <row r="326" spans="1:15" x14ac:dyDescent="0.35">
      <c r="A326" t="s">
        <v>892</v>
      </c>
      <c r="B326" t="s">
        <v>548</v>
      </c>
      <c r="C326" t="s">
        <v>596</v>
      </c>
      <c r="D326" t="s">
        <v>605</v>
      </c>
      <c r="E326">
        <v>64993</v>
      </c>
      <c r="F326">
        <v>57540.42</v>
      </c>
      <c r="G326">
        <f>IF(Table13[[#This Row],[Budget_Allocated_INR]]="","",Table13[[#This Row],[Amount_INR]]-Table13[[#This Row],[Budget_Allocated_INR]])</f>
        <v>7452.5800000000017</v>
      </c>
      <c r="H326">
        <v>7452.58</v>
      </c>
      <c r="I326" s="1">
        <v>45564</v>
      </c>
      <c r="J326" t="s">
        <v>526</v>
      </c>
      <c r="K326" t="s">
        <v>517</v>
      </c>
      <c r="L326" t="s">
        <v>536</v>
      </c>
      <c r="M326" t="s">
        <v>537</v>
      </c>
      <c r="N326" t="s">
        <v>520</v>
      </c>
    </row>
    <row r="327" spans="1:15" x14ac:dyDescent="0.35">
      <c r="A327" t="s">
        <v>893</v>
      </c>
      <c r="B327" t="s">
        <v>548</v>
      </c>
      <c r="C327" t="s">
        <v>581</v>
      </c>
      <c r="D327" t="s">
        <v>539</v>
      </c>
      <c r="E327">
        <v>482501</v>
      </c>
      <c r="F327">
        <v>544564.68999999994</v>
      </c>
      <c r="G327">
        <f>IF(Table13[[#This Row],[Budget_Allocated_INR]]="","",Table13[[#This Row],[Amount_INR]]-Table13[[#This Row],[Budget_Allocated_INR]])</f>
        <v>-62063.689999999944</v>
      </c>
      <c r="H327">
        <v>-62063.69</v>
      </c>
      <c r="I327" s="1">
        <v>44980</v>
      </c>
      <c r="J327" t="s">
        <v>516</v>
      </c>
      <c r="K327" t="s">
        <v>517</v>
      </c>
      <c r="L327" t="s">
        <v>541</v>
      </c>
      <c r="M327" t="s">
        <v>568</v>
      </c>
      <c r="N327" t="s">
        <v>520</v>
      </c>
      <c r="O327" t="s">
        <v>521</v>
      </c>
    </row>
    <row r="328" spans="1:15" x14ac:dyDescent="0.35">
      <c r="A328" t="s">
        <v>894</v>
      </c>
      <c r="B328" t="s">
        <v>576</v>
      </c>
      <c r="C328" t="s">
        <v>558</v>
      </c>
      <c r="D328" t="s">
        <v>559</v>
      </c>
      <c r="E328">
        <v>493276</v>
      </c>
      <c r="F328">
        <v>610985.74</v>
      </c>
      <c r="G328">
        <f>IF(Table13[[#This Row],[Budget_Allocated_INR]]="","",Table13[[#This Row],[Amount_INR]]-Table13[[#This Row],[Budget_Allocated_INR]])</f>
        <v>-117709.73999999999</v>
      </c>
      <c r="H328">
        <v>-117709.74</v>
      </c>
      <c r="I328" s="1">
        <v>45234</v>
      </c>
      <c r="J328" t="s">
        <v>526</v>
      </c>
      <c r="K328" t="s">
        <v>517</v>
      </c>
      <c r="L328" t="s">
        <v>518</v>
      </c>
      <c r="M328" t="s">
        <v>537</v>
      </c>
      <c r="N328" t="s">
        <v>520</v>
      </c>
    </row>
    <row r="329" spans="1:15" x14ac:dyDescent="0.35">
      <c r="A329" t="s">
        <v>895</v>
      </c>
      <c r="B329" t="s">
        <v>545</v>
      </c>
      <c r="C329" t="s">
        <v>562</v>
      </c>
      <c r="D329" t="s">
        <v>550</v>
      </c>
      <c r="E329">
        <v>86033</v>
      </c>
      <c r="F329">
        <v>80709.67</v>
      </c>
      <c r="G329">
        <f>IF(Table13[[#This Row],[Budget_Allocated_INR]]="","",Table13[[#This Row],[Amount_INR]]-Table13[[#This Row],[Budget_Allocated_INR]])</f>
        <v>5323.3300000000017</v>
      </c>
      <c r="H329">
        <v>5323.33</v>
      </c>
      <c r="I329" s="1">
        <v>44927</v>
      </c>
      <c r="J329" t="s">
        <v>516</v>
      </c>
      <c r="K329" t="s">
        <v>517</v>
      </c>
      <c r="L329" t="s">
        <v>541</v>
      </c>
      <c r="M329" t="s">
        <v>537</v>
      </c>
      <c r="N329" t="s">
        <v>520</v>
      </c>
    </row>
    <row r="330" spans="1:15" x14ac:dyDescent="0.35">
      <c r="A330" t="s">
        <v>896</v>
      </c>
      <c r="B330" t="s">
        <v>545</v>
      </c>
      <c r="C330" t="s">
        <v>562</v>
      </c>
      <c r="D330" t="s">
        <v>535</v>
      </c>
      <c r="E330">
        <v>-279029</v>
      </c>
      <c r="G330" t="str">
        <f>IF(Table13[[#This Row],[Budget_Allocated_INR]]="","",Table13[[#This Row],[Amount_INR]]-Table13[[#This Row],[Budget_Allocated_INR]])</f>
        <v/>
      </c>
      <c r="H330">
        <v>-38873.03</v>
      </c>
      <c r="I330" s="1">
        <v>45155</v>
      </c>
      <c r="J330" t="s">
        <v>526</v>
      </c>
      <c r="K330" t="s">
        <v>517</v>
      </c>
      <c r="L330" t="s">
        <v>518</v>
      </c>
      <c r="M330" t="s">
        <v>519</v>
      </c>
      <c r="N330" t="s">
        <v>582</v>
      </c>
    </row>
    <row r="331" spans="1:15" x14ac:dyDescent="0.35">
      <c r="A331" t="s">
        <v>897</v>
      </c>
      <c r="B331" t="s">
        <v>565</v>
      </c>
      <c r="C331" t="s">
        <v>562</v>
      </c>
      <c r="D331" t="s">
        <v>525</v>
      </c>
      <c r="E331">
        <v>383752</v>
      </c>
      <c r="F331">
        <v>410378.48</v>
      </c>
      <c r="G331">
        <f>IF(Table13[[#This Row],[Budget_Allocated_INR]]="","",Table13[[#This Row],[Amount_INR]]-Table13[[#This Row],[Budget_Allocated_INR]])</f>
        <v>-26626.479999999981</v>
      </c>
      <c r="H331">
        <v>-26626.48</v>
      </c>
      <c r="I331" s="1">
        <v>45530</v>
      </c>
      <c r="J331" t="s">
        <v>516</v>
      </c>
      <c r="K331" t="s">
        <v>540</v>
      </c>
      <c r="L331" t="s">
        <v>536</v>
      </c>
      <c r="M331" t="s">
        <v>537</v>
      </c>
      <c r="N331" t="s">
        <v>520</v>
      </c>
      <c r="O331" t="s">
        <v>521</v>
      </c>
    </row>
    <row r="332" spans="1:15" x14ac:dyDescent="0.35">
      <c r="A332" t="s">
        <v>898</v>
      </c>
      <c r="B332" t="s">
        <v>576</v>
      </c>
      <c r="C332" t="s">
        <v>552</v>
      </c>
      <c r="D332" t="s">
        <v>563</v>
      </c>
      <c r="E332">
        <v>59701</v>
      </c>
      <c r="G332" t="str">
        <f>IF(Table13[[#This Row],[Budget_Allocated_INR]]="","",Table13[[#This Row],[Amount_INR]]-Table13[[#This Row],[Budget_Allocated_INR]])</f>
        <v/>
      </c>
      <c r="H332">
        <v>-1952.11</v>
      </c>
      <c r="I332" s="1">
        <v>45569</v>
      </c>
      <c r="J332" t="s">
        <v>526</v>
      </c>
      <c r="K332" t="s">
        <v>560</v>
      </c>
      <c r="L332" t="s">
        <v>536</v>
      </c>
      <c r="M332" t="s">
        <v>519</v>
      </c>
      <c r="N332" t="s">
        <v>520</v>
      </c>
    </row>
    <row r="333" spans="1:15" x14ac:dyDescent="0.35">
      <c r="A333" t="s">
        <v>899</v>
      </c>
      <c r="B333" t="s">
        <v>545</v>
      </c>
      <c r="C333" t="s">
        <v>581</v>
      </c>
      <c r="D333" t="s">
        <v>574</v>
      </c>
      <c r="E333">
        <v>87470</v>
      </c>
      <c r="F333">
        <v>98521.95</v>
      </c>
      <c r="G333">
        <f>IF(Table13[[#This Row],[Budget_Allocated_INR]]="","",Table13[[#This Row],[Amount_INR]]-Table13[[#This Row],[Budget_Allocated_INR]])</f>
        <v>-11051.949999999997</v>
      </c>
      <c r="H333">
        <v>-11051.95</v>
      </c>
      <c r="I333" s="1">
        <v>45440</v>
      </c>
      <c r="J333" t="s">
        <v>526</v>
      </c>
      <c r="K333" t="s">
        <v>560</v>
      </c>
      <c r="L333" t="s">
        <v>536</v>
      </c>
      <c r="M333" t="s">
        <v>519</v>
      </c>
      <c r="N333" t="s">
        <v>520</v>
      </c>
    </row>
    <row r="334" spans="1:15" x14ac:dyDescent="0.35">
      <c r="A334" t="s">
        <v>900</v>
      </c>
      <c r="B334" t="s">
        <v>530</v>
      </c>
      <c r="C334" t="s">
        <v>596</v>
      </c>
      <c r="D334" t="s">
        <v>588</v>
      </c>
      <c r="E334">
        <v>37014</v>
      </c>
      <c r="F334">
        <v>35509.760000000002</v>
      </c>
      <c r="G334">
        <f>IF(Table13[[#This Row],[Budget_Allocated_INR]]="","",Table13[[#This Row],[Amount_INR]]-Table13[[#This Row],[Budget_Allocated_INR]])</f>
        <v>1504.239999999998</v>
      </c>
      <c r="H334">
        <v>1504.24</v>
      </c>
      <c r="I334" s="1">
        <v>45088</v>
      </c>
      <c r="J334" t="s">
        <v>516</v>
      </c>
      <c r="K334" t="s">
        <v>560</v>
      </c>
      <c r="L334" t="s">
        <v>518</v>
      </c>
      <c r="M334" t="s">
        <v>537</v>
      </c>
      <c r="N334" t="s">
        <v>520</v>
      </c>
    </row>
    <row r="335" spans="1:15" x14ac:dyDescent="0.35">
      <c r="A335" t="s">
        <v>901</v>
      </c>
      <c r="B335" t="s">
        <v>534</v>
      </c>
      <c r="C335" t="s">
        <v>514</v>
      </c>
      <c r="D335" t="s">
        <v>550</v>
      </c>
      <c r="E335">
        <v>307446</v>
      </c>
      <c r="F335">
        <v>286117.08</v>
      </c>
      <c r="G335">
        <f>IF(Table13[[#This Row],[Budget_Allocated_INR]]="","",Table13[[#This Row],[Amount_INR]]-Table13[[#This Row],[Budget_Allocated_INR]])</f>
        <v>21328.919999999984</v>
      </c>
      <c r="H335">
        <v>21328.92</v>
      </c>
      <c r="I335" s="1">
        <v>45210</v>
      </c>
      <c r="J335" t="s">
        <v>526</v>
      </c>
      <c r="K335" t="s">
        <v>540</v>
      </c>
      <c r="L335" t="s">
        <v>518</v>
      </c>
      <c r="M335" t="s">
        <v>537</v>
      </c>
      <c r="N335" t="s">
        <v>520</v>
      </c>
    </row>
    <row r="336" spans="1:15" x14ac:dyDescent="0.35">
      <c r="A336" t="s">
        <v>902</v>
      </c>
      <c r="B336" t="s">
        <v>576</v>
      </c>
      <c r="C336" t="s">
        <v>562</v>
      </c>
      <c r="D336" t="s">
        <v>634</v>
      </c>
      <c r="E336">
        <v>-4033752</v>
      </c>
      <c r="F336">
        <v>3329796.67</v>
      </c>
      <c r="G336">
        <f>IF(Table13[[#This Row],[Budget_Allocated_INR]]="","",Table13[[#This Row],[Amount_INR]]-Table13[[#This Row],[Budget_Allocated_INR]])</f>
        <v>-7363548.6699999999</v>
      </c>
      <c r="H336">
        <v>703955.33</v>
      </c>
      <c r="I336" s="1">
        <v>45408</v>
      </c>
      <c r="J336" t="s">
        <v>526</v>
      </c>
      <c r="K336" t="s">
        <v>560</v>
      </c>
      <c r="L336" t="s">
        <v>536</v>
      </c>
      <c r="M336" t="s">
        <v>537</v>
      </c>
      <c r="N336" t="s">
        <v>582</v>
      </c>
    </row>
    <row r="337" spans="1:15" x14ac:dyDescent="0.35">
      <c r="A337" t="s">
        <v>903</v>
      </c>
      <c r="B337" t="s">
        <v>576</v>
      </c>
      <c r="C337" t="s">
        <v>543</v>
      </c>
      <c r="D337" t="s">
        <v>550</v>
      </c>
      <c r="E337">
        <v>126773</v>
      </c>
      <c r="F337">
        <v>141296.37</v>
      </c>
      <c r="G337">
        <f>IF(Table13[[#This Row],[Budget_Allocated_INR]]="","",Table13[[#This Row],[Amount_INR]]-Table13[[#This Row],[Budget_Allocated_INR]])</f>
        <v>-14523.369999999995</v>
      </c>
      <c r="H337">
        <v>-14523.37</v>
      </c>
      <c r="I337" s="1">
        <v>45352</v>
      </c>
      <c r="J337" t="s">
        <v>526</v>
      </c>
      <c r="K337" t="s">
        <v>560</v>
      </c>
      <c r="L337" t="s">
        <v>518</v>
      </c>
      <c r="M337" t="s">
        <v>519</v>
      </c>
      <c r="N337" t="s">
        <v>520</v>
      </c>
    </row>
    <row r="338" spans="1:15" x14ac:dyDescent="0.35">
      <c r="A338" t="s">
        <v>904</v>
      </c>
      <c r="B338" t="s">
        <v>576</v>
      </c>
      <c r="C338" t="s">
        <v>562</v>
      </c>
      <c r="D338" t="s">
        <v>574</v>
      </c>
      <c r="E338">
        <v>404431</v>
      </c>
      <c r="F338">
        <v>452206.81</v>
      </c>
      <c r="G338">
        <f>IF(Table13[[#This Row],[Budget_Allocated_INR]]="","",Table13[[#This Row],[Amount_INR]]-Table13[[#This Row],[Budget_Allocated_INR]])</f>
        <v>-47775.81</v>
      </c>
      <c r="I338" s="1">
        <v>45680</v>
      </c>
      <c r="J338" t="s">
        <v>597</v>
      </c>
      <c r="K338" t="s">
        <v>540</v>
      </c>
      <c r="L338" t="s">
        <v>536</v>
      </c>
      <c r="M338" t="s">
        <v>528</v>
      </c>
      <c r="N338" t="s">
        <v>520</v>
      </c>
      <c r="O338" t="s">
        <v>521</v>
      </c>
    </row>
    <row r="339" spans="1:15" x14ac:dyDescent="0.35">
      <c r="A339" t="s">
        <v>905</v>
      </c>
      <c r="B339" t="s">
        <v>576</v>
      </c>
      <c r="C339" t="s">
        <v>596</v>
      </c>
      <c r="D339" t="s">
        <v>605</v>
      </c>
      <c r="E339">
        <v>52012</v>
      </c>
      <c r="F339">
        <v>43876.37</v>
      </c>
      <c r="G339">
        <f>IF(Table13[[#This Row],[Budget_Allocated_INR]]="","",Table13[[#This Row],[Amount_INR]]-Table13[[#This Row],[Budget_Allocated_INR]])</f>
        <v>8135.6299999999974</v>
      </c>
      <c r="H339">
        <v>8135.63</v>
      </c>
      <c r="I339" s="1">
        <v>45417</v>
      </c>
      <c r="J339" t="s">
        <v>526</v>
      </c>
      <c r="K339" t="s">
        <v>560</v>
      </c>
      <c r="L339" t="s">
        <v>536</v>
      </c>
      <c r="M339" t="s">
        <v>568</v>
      </c>
      <c r="N339" t="s">
        <v>520</v>
      </c>
    </row>
    <row r="340" spans="1:15" x14ac:dyDescent="0.35">
      <c r="A340" t="s">
        <v>906</v>
      </c>
      <c r="B340" t="s">
        <v>530</v>
      </c>
      <c r="C340" t="s">
        <v>549</v>
      </c>
      <c r="D340" t="s">
        <v>553</v>
      </c>
      <c r="E340">
        <v>-254726</v>
      </c>
      <c r="F340">
        <v>252659.65</v>
      </c>
      <c r="G340">
        <f>IF(Table13[[#This Row],[Budget_Allocated_INR]]="","",Table13[[#This Row],[Amount_INR]]-Table13[[#This Row],[Budget_Allocated_INR]])</f>
        <v>-507385.65</v>
      </c>
      <c r="H340">
        <v>2066.35</v>
      </c>
      <c r="I340" s="1">
        <v>45316</v>
      </c>
      <c r="J340" t="s">
        <v>526</v>
      </c>
      <c r="K340" t="s">
        <v>517</v>
      </c>
      <c r="L340" t="s">
        <v>518</v>
      </c>
      <c r="M340" t="s">
        <v>519</v>
      </c>
      <c r="N340" t="s">
        <v>582</v>
      </c>
    </row>
    <row r="341" spans="1:15" x14ac:dyDescent="0.35">
      <c r="A341" t="s">
        <v>907</v>
      </c>
      <c r="B341" t="s">
        <v>523</v>
      </c>
      <c r="C341" t="s">
        <v>581</v>
      </c>
      <c r="D341" t="s">
        <v>559</v>
      </c>
      <c r="E341">
        <v>336844</v>
      </c>
      <c r="F341">
        <v>367169.25</v>
      </c>
      <c r="G341">
        <f>IF(Table13[[#This Row],[Budget_Allocated_INR]]="","",Table13[[#This Row],[Amount_INR]]-Table13[[#This Row],[Budget_Allocated_INR]])</f>
        <v>-30325.25</v>
      </c>
      <c r="H341">
        <v>-30325.25</v>
      </c>
      <c r="I341" s="1">
        <v>45707</v>
      </c>
      <c r="J341" t="s">
        <v>526</v>
      </c>
      <c r="K341" t="s">
        <v>540</v>
      </c>
      <c r="L341" t="s">
        <v>536</v>
      </c>
      <c r="M341" t="s">
        <v>537</v>
      </c>
      <c r="N341" t="s">
        <v>520</v>
      </c>
    </row>
    <row r="342" spans="1:15" x14ac:dyDescent="0.35">
      <c r="A342" t="s">
        <v>908</v>
      </c>
      <c r="B342" t="s">
        <v>545</v>
      </c>
      <c r="C342" t="s">
        <v>624</v>
      </c>
      <c r="D342" t="s">
        <v>539</v>
      </c>
      <c r="E342">
        <v>474095</v>
      </c>
      <c r="F342">
        <v>385102.35</v>
      </c>
      <c r="G342">
        <f>IF(Table13[[#This Row],[Budget_Allocated_INR]]="","",Table13[[#This Row],[Amount_INR]]-Table13[[#This Row],[Budget_Allocated_INR]])</f>
        <v>88992.650000000023</v>
      </c>
      <c r="H342">
        <v>88992.65</v>
      </c>
      <c r="I342" s="1">
        <v>45226</v>
      </c>
      <c r="J342" t="s">
        <v>597</v>
      </c>
      <c r="K342" t="s">
        <v>517</v>
      </c>
      <c r="L342" t="s">
        <v>518</v>
      </c>
      <c r="M342" t="s">
        <v>528</v>
      </c>
      <c r="N342" t="s">
        <v>520</v>
      </c>
      <c r="O342" t="s">
        <v>521</v>
      </c>
    </row>
    <row r="343" spans="1:15" x14ac:dyDescent="0.35">
      <c r="A343" t="s">
        <v>909</v>
      </c>
      <c r="B343" t="s">
        <v>523</v>
      </c>
      <c r="C343" t="s">
        <v>558</v>
      </c>
      <c r="D343" t="s">
        <v>588</v>
      </c>
      <c r="E343">
        <v>251199</v>
      </c>
      <c r="F343">
        <v>290685.15000000002</v>
      </c>
      <c r="G343">
        <f>IF(Table13[[#This Row],[Budget_Allocated_INR]]="","",Table13[[#This Row],[Amount_INR]]-Table13[[#This Row],[Budget_Allocated_INR]])</f>
        <v>-39486.150000000023</v>
      </c>
      <c r="H343">
        <v>-39486.15</v>
      </c>
      <c r="I343" s="1">
        <v>45685</v>
      </c>
      <c r="J343" t="s">
        <v>516</v>
      </c>
      <c r="K343" t="s">
        <v>540</v>
      </c>
      <c r="L343" t="s">
        <v>536</v>
      </c>
      <c r="M343" t="s">
        <v>568</v>
      </c>
      <c r="N343" t="s">
        <v>520</v>
      </c>
      <c r="O343" t="s">
        <v>521</v>
      </c>
    </row>
    <row r="344" spans="1:15" x14ac:dyDescent="0.35">
      <c r="A344" t="s">
        <v>910</v>
      </c>
      <c r="B344" t="s">
        <v>523</v>
      </c>
      <c r="C344" t="s">
        <v>581</v>
      </c>
      <c r="D344" t="s">
        <v>563</v>
      </c>
      <c r="E344">
        <v>428567</v>
      </c>
      <c r="F344">
        <v>471952.98</v>
      </c>
      <c r="G344">
        <f>IF(Table13[[#This Row],[Budget_Allocated_INR]]="","",Table13[[#This Row],[Amount_INR]]-Table13[[#This Row],[Budget_Allocated_INR]])</f>
        <v>-43385.979999999981</v>
      </c>
      <c r="H344">
        <v>-43385.98</v>
      </c>
      <c r="I344" s="1">
        <v>45420</v>
      </c>
      <c r="J344" t="s">
        <v>526</v>
      </c>
      <c r="K344" t="s">
        <v>560</v>
      </c>
      <c r="L344" t="s">
        <v>536</v>
      </c>
      <c r="M344" t="s">
        <v>554</v>
      </c>
      <c r="N344" t="s">
        <v>520</v>
      </c>
    </row>
    <row r="345" spans="1:15" x14ac:dyDescent="0.35">
      <c r="A345" t="s">
        <v>911</v>
      </c>
      <c r="B345" t="s">
        <v>530</v>
      </c>
      <c r="C345" t="s">
        <v>581</v>
      </c>
      <c r="D345" t="s">
        <v>588</v>
      </c>
      <c r="E345">
        <v>483664</v>
      </c>
      <c r="F345">
        <v>529402.16</v>
      </c>
      <c r="G345">
        <f>IF(Table13[[#This Row],[Budget_Allocated_INR]]="","",Table13[[#This Row],[Amount_INR]]-Table13[[#This Row],[Budget_Allocated_INR]])</f>
        <v>-45738.160000000033</v>
      </c>
      <c r="H345">
        <v>-45738.16</v>
      </c>
      <c r="I345" s="1">
        <v>45466</v>
      </c>
      <c r="J345" t="s">
        <v>526</v>
      </c>
      <c r="K345" t="s">
        <v>560</v>
      </c>
      <c r="L345" t="s">
        <v>536</v>
      </c>
      <c r="M345" t="s">
        <v>528</v>
      </c>
      <c r="N345" t="s">
        <v>520</v>
      </c>
    </row>
    <row r="346" spans="1:15" x14ac:dyDescent="0.35">
      <c r="A346" t="s">
        <v>912</v>
      </c>
      <c r="B346" t="s">
        <v>548</v>
      </c>
      <c r="C346" t="s">
        <v>514</v>
      </c>
      <c r="D346" t="s">
        <v>593</v>
      </c>
      <c r="E346">
        <v>391654</v>
      </c>
      <c r="G346" t="str">
        <f>IF(Table13[[#This Row],[Budget_Allocated_INR]]="","",Table13[[#This Row],[Amount_INR]]-Table13[[#This Row],[Budget_Allocated_INR]])</f>
        <v/>
      </c>
      <c r="H346">
        <v>65597.63</v>
      </c>
      <c r="I346" s="1">
        <v>45409</v>
      </c>
      <c r="J346" t="s">
        <v>526</v>
      </c>
      <c r="K346" t="s">
        <v>540</v>
      </c>
      <c r="L346" t="s">
        <v>536</v>
      </c>
      <c r="M346" t="s">
        <v>568</v>
      </c>
      <c r="N346" t="s">
        <v>520</v>
      </c>
    </row>
    <row r="347" spans="1:15" x14ac:dyDescent="0.35">
      <c r="A347" t="s">
        <v>913</v>
      </c>
      <c r="B347" t="s">
        <v>565</v>
      </c>
      <c r="C347" t="s">
        <v>586</v>
      </c>
      <c r="D347" t="s">
        <v>574</v>
      </c>
      <c r="E347">
        <v>295989</v>
      </c>
      <c r="F347">
        <v>314647.3</v>
      </c>
      <c r="G347">
        <f>IF(Table13[[#This Row],[Budget_Allocated_INR]]="","",Table13[[#This Row],[Amount_INR]]-Table13[[#This Row],[Budget_Allocated_INR]])</f>
        <v>-18658.299999999988</v>
      </c>
      <c r="H347">
        <v>-18658.3</v>
      </c>
      <c r="I347" s="1">
        <v>45135</v>
      </c>
      <c r="J347" t="s">
        <v>516</v>
      </c>
      <c r="K347" t="s">
        <v>540</v>
      </c>
      <c r="L347" t="s">
        <v>518</v>
      </c>
      <c r="M347" t="s">
        <v>528</v>
      </c>
      <c r="N347" t="s">
        <v>520</v>
      </c>
      <c r="O347" t="s">
        <v>521</v>
      </c>
    </row>
    <row r="348" spans="1:15" x14ac:dyDescent="0.35">
      <c r="A348" t="s">
        <v>914</v>
      </c>
      <c r="B348" t="s">
        <v>79</v>
      </c>
      <c r="C348" t="s">
        <v>558</v>
      </c>
      <c r="D348" t="s">
        <v>550</v>
      </c>
      <c r="E348">
        <v>305798</v>
      </c>
      <c r="F348">
        <v>247167.65</v>
      </c>
      <c r="G348">
        <f>IF(Table13[[#This Row],[Budget_Allocated_INR]]="","",Table13[[#This Row],[Amount_INR]]-Table13[[#This Row],[Budget_Allocated_INR]])</f>
        <v>58630.350000000006</v>
      </c>
      <c r="H348">
        <v>58630.35</v>
      </c>
      <c r="I348" s="1">
        <v>45267</v>
      </c>
      <c r="J348" t="s">
        <v>526</v>
      </c>
      <c r="K348" t="s">
        <v>517</v>
      </c>
      <c r="L348" t="s">
        <v>518</v>
      </c>
      <c r="M348" t="s">
        <v>519</v>
      </c>
      <c r="N348" t="s">
        <v>520</v>
      </c>
    </row>
    <row r="349" spans="1:15" x14ac:dyDescent="0.35">
      <c r="A349" t="s">
        <v>915</v>
      </c>
      <c r="B349" t="s">
        <v>545</v>
      </c>
      <c r="C349" t="s">
        <v>514</v>
      </c>
      <c r="D349" t="s">
        <v>539</v>
      </c>
      <c r="E349">
        <v>4265591</v>
      </c>
      <c r="F349">
        <v>4106997.2</v>
      </c>
      <c r="G349">
        <f>IF(Table13[[#This Row],[Budget_Allocated_INR]]="","",Table13[[#This Row],[Amount_INR]]-Table13[[#This Row],[Budget_Allocated_INR]])</f>
        <v>158593.79999999981</v>
      </c>
      <c r="H349">
        <v>158593.79999999999</v>
      </c>
      <c r="I349" s="1">
        <v>45320</v>
      </c>
      <c r="J349" t="s">
        <v>526</v>
      </c>
      <c r="K349" t="s">
        <v>560</v>
      </c>
      <c r="L349" t="s">
        <v>518</v>
      </c>
      <c r="M349" t="s">
        <v>537</v>
      </c>
      <c r="N349" t="s">
        <v>520</v>
      </c>
    </row>
    <row r="350" spans="1:15" x14ac:dyDescent="0.35">
      <c r="A350" t="s">
        <v>916</v>
      </c>
      <c r="B350" t="s">
        <v>523</v>
      </c>
      <c r="C350" t="s">
        <v>552</v>
      </c>
      <c r="D350" t="s">
        <v>515</v>
      </c>
      <c r="E350">
        <v>30067</v>
      </c>
      <c r="F350">
        <v>32152.35</v>
      </c>
      <c r="G350">
        <f>IF(Table13[[#This Row],[Budget_Allocated_INR]]="","",Table13[[#This Row],[Amount_INR]]-Table13[[#This Row],[Budget_Allocated_INR]])</f>
        <v>-2085.3499999999985</v>
      </c>
      <c r="H350">
        <v>-2085.35</v>
      </c>
      <c r="I350" s="1">
        <v>45164</v>
      </c>
      <c r="J350" t="s">
        <v>526</v>
      </c>
      <c r="K350" t="s">
        <v>560</v>
      </c>
      <c r="L350" t="s">
        <v>518</v>
      </c>
      <c r="M350" t="s">
        <v>519</v>
      </c>
      <c r="N350" t="s">
        <v>520</v>
      </c>
    </row>
    <row r="351" spans="1:15" x14ac:dyDescent="0.35">
      <c r="A351" t="s">
        <v>917</v>
      </c>
      <c r="B351" t="s">
        <v>545</v>
      </c>
      <c r="C351" t="s">
        <v>581</v>
      </c>
      <c r="D351" t="s">
        <v>571</v>
      </c>
      <c r="E351">
        <v>439322</v>
      </c>
      <c r="F351">
        <v>512559.35</v>
      </c>
      <c r="G351">
        <f>IF(Table13[[#This Row],[Budget_Allocated_INR]]="","",Table13[[#This Row],[Amount_INR]]-Table13[[#This Row],[Budget_Allocated_INR]])</f>
        <v>-73237.349999999977</v>
      </c>
      <c r="H351">
        <v>-73237.350000000006</v>
      </c>
      <c r="I351" s="1">
        <v>45684</v>
      </c>
      <c r="J351" t="s">
        <v>526</v>
      </c>
      <c r="K351" t="s">
        <v>527</v>
      </c>
      <c r="L351" t="s">
        <v>536</v>
      </c>
      <c r="M351" t="s">
        <v>537</v>
      </c>
      <c r="N351" t="s">
        <v>520</v>
      </c>
    </row>
    <row r="352" spans="1:15" x14ac:dyDescent="0.35">
      <c r="A352" t="s">
        <v>918</v>
      </c>
      <c r="B352" t="s">
        <v>565</v>
      </c>
      <c r="C352" t="s">
        <v>549</v>
      </c>
      <c r="D352" t="s">
        <v>588</v>
      </c>
      <c r="E352">
        <v>276241</v>
      </c>
      <c r="F352">
        <v>260577.09</v>
      </c>
      <c r="G352">
        <f>IF(Table13[[#This Row],[Budget_Allocated_INR]]="","",Table13[[#This Row],[Amount_INR]]-Table13[[#This Row],[Budget_Allocated_INR]])</f>
        <v>15663.910000000003</v>
      </c>
      <c r="H352">
        <v>15663.91</v>
      </c>
      <c r="I352" s="1">
        <v>45034</v>
      </c>
      <c r="J352" t="s">
        <v>526</v>
      </c>
      <c r="K352" t="s">
        <v>527</v>
      </c>
      <c r="L352" t="s">
        <v>518</v>
      </c>
      <c r="M352" t="s">
        <v>537</v>
      </c>
      <c r="N352" t="s">
        <v>520</v>
      </c>
    </row>
    <row r="353" spans="1:15" x14ac:dyDescent="0.35">
      <c r="A353" t="s">
        <v>919</v>
      </c>
      <c r="B353" t="s">
        <v>548</v>
      </c>
      <c r="C353" t="s">
        <v>552</v>
      </c>
      <c r="D353" t="s">
        <v>584</v>
      </c>
      <c r="E353">
        <v>55208</v>
      </c>
      <c r="F353">
        <v>70125.36</v>
      </c>
      <c r="G353">
        <f>IF(Table13[[#This Row],[Budget_Allocated_INR]]="","",Table13[[#This Row],[Amount_INR]]-Table13[[#This Row],[Budget_Allocated_INR]])</f>
        <v>-14917.36</v>
      </c>
      <c r="H353">
        <v>-14917.36</v>
      </c>
      <c r="I353" s="1">
        <v>45486</v>
      </c>
      <c r="J353" t="s">
        <v>526</v>
      </c>
      <c r="K353" t="s">
        <v>517</v>
      </c>
      <c r="L353" t="s">
        <v>536</v>
      </c>
      <c r="M353" t="s">
        <v>537</v>
      </c>
      <c r="N353" t="s">
        <v>520</v>
      </c>
    </row>
    <row r="354" spans="1:15" x14ac:dyDescent="0.35">
      <c r="A354" t="s">
        <v>920</v>
      </c>
      <c r="B354" t="s">
        <v>548</v>
      </c>
      <c r="C354" t="s">
        <v>524</v>
      </c>
      <c r="D354" t="s">
        <v>550</v>
      </c>
      <c r="E354">
        <v>239291</v>
      </c>
      <c r="F354">
        <v>294400.19</v>
      </c>
      <c r="G354">
        <f>IF(Table13[[#This Row],[Budget_Allocated_INR]]="","",Table13[[#This Row],[Amount_INR]]-Table13[[#This Row],[Budget_Allocated_INR]])</f>
        <v>-55109.19</v>
      </c>
      <c r="H354">
        <v>-55109.19</v>
      </c>
      <c r="I354" s="1">
        <v>45093</v>
      </c>
      <c r="J354" t="s">
        <v>526</v>
      </c>
      <c r="K354" t="s">
        <v>540</v>
      </c>
      <c r="L354" t="s">
        <v>518</v>
      </c>
      <c r="M354" t="s">
        <v>554</v>
      </c>
      <c r="N354" t="s">
        <v>520</v>
      </c>
    </row>
    <row r="355" spans="1:15" x14ac:dyDescent="0.35">
      <c r="A355" t="s">
        <v>921</v>
      </c>
      <c r="B355" t="s">
        <v>576</v>
      </c>
      <c r="C355" t="s">
        <v>549</v>
      </c>
      <c r="D355" t="s">
        <v>553</v>
      </c>
      <c r="E355">
        <v>156023</v>
      </c>
      <c r="F355">
        <v>144831.13</v>
      </c>
      <c r="G355">
        <f>IF(Table13[[#This Row],[Budget_Allocated_INR]]="","",Table13[[#This Row],[Amount_INR]]-Table13[[#This Row],[Budget_Allocated_INR]])</f>
        <v>11191.869999999995</v>
      </c>
      <c r="H355">
        <v>11191.87</v>
      </c>
      <c r="I355" s="1">
        <v>45329</v>
      </c>
      <c r="J355" t="s">
        <v>597</v>
      </c>
      <c r="K355" t="s">
        <v>527</v>
      </c>
      <c r="L355" t="s">
        <v>518</v>
      </c>
      <c r="M355" t="s">
        <v>528</v>
      </c>
      <c r="N355" t="s">
        <v>520</v>
      </c>
    </row>
    <row r="356" spans="1:15" x14ac:dyDescent="0.35">
      <c r="A356" t="s">
        <v>922</v>
      </c>
      <c r="B356" t="s">
        <v>545</v>
      </c>
      <c r="C356" t="s">
        <v>543</v>
      </c>
      <c r="D356" t="s">
        <v>605</v>
      </c>
      <c r="E356">
        <v>486643</v>
      </c>
      <c r="F356">
        <v>494228.82</v>
      </c>
      <c r="G356">
        <f>IF(Table13[[#This Row],[Budget_Allocated_INR]]="","",Table13[[#This Row],[Amount_INR]]-Table13[[#This Row],[Budget_Allocated_INR]])</f>
        <v>-7585.820000000007</v>
      </c>
      <c r="H356">
        <v>-7585.82</v>
      </c>
      <c r="I356" s="1">
        <v>45151</v>
      </c>
      <c r="J356" t="s">
        <v>597</v>
      </c>
      <c r="K356" t="s">
        <v>540</v>
      </c>
      <c r="L356" t="s">
        <v>518</v>
      </c>
      <c r="M356" t="s">
        <v>528</v>
      </c>
      <c r="N356" t="s">
        <v>520</v>
      </c>
      <c r="O356" t="s">
        <v>521</v>
      </c>
    </row>
    <row r="357" spans="1:15" x14ac:dyDescent="0.35">
      <c r="A357" t="s">
        <v>923</v>
      </c>
      <c r="B357" t="s">
        <v>576</v>
      </c>
      <c r="C357" t="s">
        <v>596</v>
      </c>
      <c r="D357" t="s">
        <v>605</v>
      </c>
      <c r="E357">
        <v>194539</v>
      </c>
      <c r="F357">
        <v>192336.4</v>
      </c>
      <c r="G357">
        <f>IF(Table13[[#This Row],[Budget_Allocated_INR]]="","",Table13[[#This Row],[Amount_INR]]-Table13[[#This Row],[Budget_Allocated_INR]])</f>
        <v>2202.6000000000058</v>
      </c>
      <c r="H357">
        <v>2202.6</v>
      </c>
      <c r="I357" s="1">
        <v>45151</v>
      </c>
      <c r="J357" t="s">
        <v>516</v>
      </c>
      <c r="K357" t="s">
        <v>517</v>
      </c>
      <c r="L357" t="s">
        <v>518</v>
      </c>
      <c r="M357" t="s">
        <v>546</v>
      </c>
      <c r="N357" t="s">
        <v>520</v>
      </c>
    </row>
    <row r="358" spans="1:15" x14ac:dyDescent="0.35">
      <c r="A358" t="s">
        <v>924</v>
      </c>
      <c r="B358" t="s">
        <v>565</v>
      </c>
      <c r="C358" t="s">
        <v>524</v>
      </c>
      <c r="D358" t="s">
        <v>584</v>
      </c>
      <c r="E358">
        <v>117521</v>
      </c>
      <c r="F358">
        <v>147338.94</v>
      </c>
      <c r="G358">
        <f>IF(Table13[[#This Row],[Budget_Allocated_INR]]="","",Table13[[#This Row],[Amount_INR]]-Table13[[#This Row],[Budget_Allocated_INR]])</f>
        <v>-29817.940000000002</v>
      </c>
      <c r="H358">
        <v>-29817.94</v>
      </c>
      <c r="I358" s="1">
        <v>45415</v>
      </c>
      <c r="J358" t="s">
        <v>526</v>
      </c>
      <c r="K358" t="s">
        <v>560</v>
      </c>
      <c r="L358" t="s">
        <v>536</v>
      </c>
      <c r="M358" t="s">
        <v>554</v>
      </c>
      <c r="N358" t="s">
        <v>520</v>
      </c>
    </row>
    <row r="359" spans="1:15" x14ac:dyDescent="0.35">
      <c r="A359" t="s">
        <v>925</v>
      </c>
      <c r="B359" t="s">
        <v>523</v>
      </c>
      <c r="C359" t="s">
        <v>524</v>
      </c>
      <c r="D359" t="s">
        <v>574</v>
      </c>
      <c r="E359">
        <v>253850</v>
      </c>
      <c r="F359">
        <v>223021.17</v>
      </c>
      <c r="G359">
        <f>IF(Table13[[#This Row],[Budget_Allocated_INR]]="","",Table13[[#This Row],[Amount_INR]]-Table13[[#This Row],[Budget_Allocated_INR]])</f>
        <v>30828.829999999987</v>
      </c>
      <c r="H359">
        <v>30828.83</v>
      </c>
      <c r="I359" s="1">
        <v>45037</v>
      </c>
      <c r="J359" t="s">
        <v>526</v>
      </c>
      <c r="K359" t="s">
        <v>527</v>
      </c>
      <c r="L359" t="s">
        <v>518</v>
      </c>
      <c r="M359" t="s">
        <v>554</v>
      </c>
      <c r="N359" t="s">
        <v>520</v>
      </c>
    </row>
    <row r="360" spans="1:15" x14ac:dyDescent="0.35">
      <c r="A360" t="s">
        <v>926</v>
      </c>
      <c r="B360" t="s">
        <v>576</v>
      </c>
      <c r="C360" t="s">
        <v>599</v>
      </c>
      <c r="D360" t="s">
        <v>525</v>
      </c>
      <c r="E360">
        <v>221390</v>
      </c>
      <c r="F360">
        <v>203658.51</v>
      </c>
      <c r="G360">
        <f>IF(Table13[[#This Row],[Budget_Allocated_INR]]="","",Table13[[#This Row],[Amount_INR]]-Table13[[#This Row],[Budget_Allocated_INR]])</f>
        <v>17731.489999999991</v>
      </c>
      <c r="H360">
        <v>17731.490000000002</v>
      </c>
      <c r="I360" s="1">
        <v>45432</v>
      </c>
      <c r="J360" t="s">
        <v>526</v>
      </c>
      <c r="K360" t="s">
        <v>540</v>
      </c>
      <c r="L360" t="s">
        <v>536</v>
      </c>
      <c r="M360" t="s">
        <v>546</v>
      </c>
      <c r="N360" t="s">
        <v>520</v>
      </c>
    </row>
    <row r="361" spans="1:15" x14ac:dyDescent="0.35">
      <c r="A361" t="s">
        <v>927</v>
      </c>
      <c r="B361" t="s">
        <v>576</v>
      </c>
      <c r="C361" t="s">
        <v>549</v>
      </c>
      <c r="D361" t="s">
        <v>550</v>
      </c>
      <c r="E361">
        <v>164975</v>
      </c>
      <c r="F361">
        <v>167893.96</v>
      </c>
      <c r="G361">
        <f>IF(Table13[[#This Row],[Budget_Allocated_INR]]="","",Table13[[#This Row],[Amount_INR]]-Table13[[#This Row],[Budget_Allocated_INR]])</f>
        <v>-2918.9599999999919</v>
      </c>
      <c r="H361">
        <v>-2918.96</v>
      </c>
      <c r="I361" s="1">
        <v>45693</v>
      </c>
      <c r="J361" t="s">
        <v>516</v>
      </c>
      <c r="K361" t="s">
        <v>560</v>
      </c>
      <c r="L361" t="s">
        <v>536</v>
      </c>
      <c r="M361" t="s">
        <v>537</v>
      </c>
      <c r="N361" t="s">
        <v>520</v>
      </c>
    </row>
    <row r="362" spans="1:15" x14ac:dyDescent="0.35">
      <c r="A362" t="s">
        <v>928</v>
      </c>
      <c r="B362" t="s">
        <v>576</v>
      </c>
      <c r="C362" t="s">
        <v>596</v>
      </c>
      <c r="D362" t="s">
        <v>539</v>
      </c>
      <c r="E362">
        <v>486312</v>
      </c>
      <c r="F362">
        <v>493117.33</v>
      </c>
      <c r="G362">
        <f>IF(Table13[[#This Row],[Budget_Allocated_INR]]="","",Table13[[#This Row],[Amount_INR]]-Table13[[#This Row],[Budget_Allocated_INR]])</f>
        <v>-6805.3300000000163</v>
      </c>
      <c r="H362">
        <v>-6805.33</v>
      </c>
      <c r="I362" s="1">
        <v>45490</v>
      </c>
      <c r="J362" t="s">
        <v>526</v>
      </c>
      <c r="K362" t="s">
        <v>517</v>
      </c>
      <c r="L362" t="s">
        <v>536</v>
      </c>
      <c r="M362" t="s">
        <v>519</v>
      </c>
      <c r="N362" t="s">
        <v>520</v>
      </c>
    </row>
    <row r="363" spans="1:15" x14ac:dyDescent="0.35">
      <c r="A363" t="s">
        <v>929</v>
      </c>
      <c r="B363" t="s">
        <v>545</v>
      </c>
      <c r="C363" t="s">
        <v>543</v>
      </c>
      <c r="D363" t="s">
        <v>584</v>
      </c>
      <c r="E363">
        <v>460670</v>
      </c>
      <c r="F363">
        <v>595790.31000000006</v>
      </c>
      <c r="G363">
        <f>IF(Table13[[#This Row],[Budget_Allocated_INR]]="","",Table13[[#This Row],[Amount_INR]]-Table13[[#This Row],[Budget_Allocated_INR]])</f>
        <v>-135120.31000000006</v>
      </c>
      <c r="H363">
        <v>-135120.31</v>
      </c>
      <c r="I363" s="1">
        <v>45068</v>
      </c>
      <c r="J363" t="s">
        <v>526</v>
      </c>
      <c r="K363" t="s">
        <v>560</v>
      </c>
      <c r="L363" t="s">
        <v>518</v>
      </c>
      <c r="M363" t="s">
        <v>537</v>
      </c>
      <c r="N363" t="s">
        <v>520</v>
      </c>
    </row>
    <row r="364" spans="1:15" x14ac:dyDescent="0.35">
      <c r="A364" t="s">
        <v>930</v>
      </c>
      <c r="B364" t="s">
        <v>565</v>
      </c>
      <c r="C364" t="s">
        <v>514</v>
      </c>
      <c r="D364" t="s">
        <v>574</v>
      </c>
      <c r="E364">
        <v>239146</v>
      </c>
      <c r="F364">
        <v>238892.64</v>
      </c>
      <c r="G364">
        <f>IF(Table13[[#This Row],[Budget_Allocated_INR]]="","",Table13[[#This Row],[Amount_INR]]-Table13[[#This Row],[Budget_Allocated_INR]])</f>
        <v>253.35999999998603</v>
      </c>
      <c r="H364">
        <v>253.36</v>
      </c>
      <c r="I364" s="1">
        <v>45687</v>
      </c>
      <c r="J364" t="s">
        <v>526</v>
      </c>
      <c r="K364" t="s">
        <v>527</v>
      </c>
      <c r="L364" t="s">
        <v>536</v>
      </c>
      <c r="M364" t="s">
        <v>537</v>
      </c>
      <c r="N364" t="s">
        <v>520</v>
      </c>
    </row>
    <row r="365" spans="1:15" x14ac:dyDescent="0.35">
      <c r="A365" t="s">
        <v>931</v>
      </c>
      <c r="B365" t="s">
        <v>548</v>
      </c>
      <c r="C365" t="s">
        <v>599</v>
      </c>
      <c r="D365" t="s">
        <v>563</v>
      </c>
      <c r="E365">
        <v>403214</v>
      </c>
      <c r="F365">
        <v>419622.61</v>
      </c>
      <c r="G365">
        <f>IF(Table13[[#This Row],[Budget_Allocated_INR]]="","",Table13[[#This Row],[Amount_INR]]-Table13[[#This Row],[Budget_Allocated_INR]])</f>
        <v>-16408.609999999986</v>
      </c>
      <c r="I365" s="1">
        <v>45398</v>
      </c>
      <c r="J365" t="s">
        <v>516</v>
      </c>
      <c r="K365" t="s">
        <v>527</v>
      </c>
      <c r="L365" t="s">
        <v>536</v>
      </c>
      <c r="M365" t="s">
        <v>537</v>
      </c>
      <c r="N365" t="s">
        <v>520</v>
      </c>
      <c r="O365" t="s">
        <v>521</v>
      </c>
    </row>
    <row r="366" spans="1:15" x14ac:dyDescent="0.35">
      <c r="A366" t="s">
        <v>932</v>
      </c>
      <c r="B366" t="s">
        <v>534</v>
      </c>
      <c r="C366" t="s">
        <v>596</v>
      </c>
      <c r="D366" t="s">
        <v>593</v>
      </c>
      <c r="E366">
        <v>225603</v>
      </c>
      <c r="F366">
        <v>214916.56</v>
      </c>
      <c r="G366">
        <f>IF(Table13[[#This Row],[Budget_Allocated_INR]]="","",Table13[[#This Row],[Amount_INR]]-Table13[[#This Row],[Budget_Allocated_INR]])</f>
        <v>10686.440000000002</v>
      </c>
      <c r="H366">
        <v>10686.44</v>
      </c>
      <c r="I366" s="1">
        <v>45314</v>
      </c>
      <c r="J366" t="s">
        <v>516</v>
      </c>
      <c r="K366" t="s">
        <v>527</v>
      </c>
      <c r="L366" t="s">
        <v>518</v>
      </c>
      <c r="M366" t="s">
        <v>537</v>
      </c>
      <c r="N366" t="s">
        <v>520</v>
      </c>
      <c r="O366" t="s">
        <v>521</v>
      </c>
    </row>
    <row r="367" spans="1:15" x14ac:dyDescent="0.35">
      <c r="A367" t="s">
        <v>933</v>
      </c>
      <c r="B367" t="s">
        <v>534</v>
      </c>
      <c r="C367" t="s">
        <v>531</v>
      </c>
      <c r="D367" t="s">
        <v>525</v>
      </c>
      <c r="E367">
        <v>429569</v>
      </c>
      <c r="F367">
        <v>352146.36</v>
      </c>
      <c r="G367">
        <f>IF(Table13[[#This Row],[Budget_Allocated_INR]]="","",Table13[[#This Row],[Amount_INR]]-Table13[[#This Row],[Budget_Allocated_INR]])</f>
        <v>77422.640000000014</v>
      </c>
      <c r="H367">
        <v>77422.64</v>
      </c>
      <c r="I367" s="1">
        <v>45727</v>
      </c>
      <c r="J367" t="s">
        <v>597</v>
      </c>
      <c r="K367" t="s">
        <v>527</v>
      </c>
      <c r="L367" t="s">
        <v>536</v>
      </c>
      <c r="M367" t="s">
        <v>537</v>
      </c>
      <c r="N367" t="s">
        <v>520</v>
      </c>
      <c r="O367" t="s">
        <v>521</v>
      </c>
    </row>
    <row r="368" spans="1:15" x14ac:dyDescent="0.35">
      <c r="A368" t="s">
        <v>934</v>
      </c>
      <c r="B368" t="s">
        <v>79</v>
      </c>
      <c r="C368" t="s">
        <v>552</v>
      </c>
      <c r="D368" t="s">
        <v>605</v>
      </c>
      <c r="E368">
        <v>-391336</v>
      </c>
      <c r="F368">
        <v>431860.77</v>
      </c>
      <c r="G368">
        <f>IF(Table13[[#This Row],[Budget_Allocated_INR]]="","",Table13[[#This Row],[Amount_INR]]-Table13[[#This Row],[Budget_Allocated_INR]])</f>
        <v>-823196.77</v>
      </c>
      <c r="I368" s="1">
        <v>45010</v>
      </c>
      <c r="J368" t="s">
        <v>526</v>
      </c>
      <c r="K368" t="s">
        <v>517</v>
      </c>
      <c r="L368" t="s">
        <v>541</v>
      </c>
      <c r="M368" t="s">
        <v>537</v>
      </c>
      <c r="N368" t="s">
        <v>582</v>
      </c>
    </row>
    <row r="369" spans="1:15" x14ac:dyDescent="0.35">
      <c r="A369" t="s">
        <v>935</v>
      </c>
      <c r="B369" t="s">
        <v>548</v>
      </c>
      <c r="C369" t="s">
        <v>549</v>
      </c>
      <c r="D369" t="s">
        <v>532</v>
      </c>
      <c r="E369">
        <v>242792</v>
      </c>
      <c r="F369">
        <v>266048.5</v>
      </c>
      <c r="G369">
        <f>IF(Table13[[#This Row],[Budget_Allocated_INR]]="","",Table13[[#This Row],[Amount_INR]]-Table13[[#This Row],[Budget_Allocated_INR]])</f>
        <v>-23256.5</v>
      </c>
      <c r="I369" s="1">
        <v>45401</v>
      </c>
      <c r="J369" t="s">
        <v>526</v>
      </c>
      <c r="K369" t="s">
        <v>560</v>
      </c>
      <c r="L369" t="s">
        <v>536</v>
      </c>
      <c r="M369" t="s">
        <v>537</v>
      </c>
      <c r="N369" t="s">
        <v>520</v>
      </c>
    </row>
    <row r="370" spans="1:15" x14ac:dyDescent="0.35">
      <c r="A370" t="s">
        <v>936</v>
      </c>
      <c r="B370" t="s">
        <v>545</v>
      </c>
      <c r="C370" t="s">
        <v>586</v>
      </c>
      <c r="D370" t="s">
        <v>559</v>
      </c>
      <c r="E370">
        <v>208403</v>
      </c>
      <c r="F370">
        <v>262175.05</v>
      </c>
      <c r="G370">
        <f>IF(Table13[[#This Row],[Budget_Allocated_INR]]="","",Table13[[#This Row],[Amount_INR]]-Table13[[#This Row],[Budget_Allocated_INR]])</f>
        <v>-53772.049999999988</v>
      </c>
      <c r="H370">
        <v>-53772.05</v>
      </c>
      <c r="I370" s="1">
        <v>45511</v>
      </c>
      <c r="J370" t="s">
        <v>526</v>
      </c>
      <c r="K370" t="s">
        <v>540</v>
      </c>
      <c r="L370" t="s">
        <v>536</v>
      </c>
      <c r="M370" t="s">
        <v>537</v>
      </c>
      <c r="N370" t="s">
        <v>520</v>
      </c>
    </row>
    <row r="371" spans="1:15" x14ac:dyDescent="0.35">
      <c r="A371" t="s">
        <v>937</v>
      </c>
      <c r="B371" t="s">
        <v>565</v>
      </c>
      <c r="C371" t="s">
        <v>549</v>
      </c>
      <c r="D371" t="s">
        <v>535</v>
      </c>
      <c r="E371">
        <v>489646</v>
      </c>
      <c r="F371">
        <v>571822.06999999995</v>
      </c>
      <c r="G371">
        <f>IF(Table13[[#This Row],[Budget_Allocated_INR]]="","",Table13[[#This Row],[Amount_INR]]-Table13[[#This Row],[Budget_Allocated_INR]])</f>
        <v>-82176.069999999949</v>
      </c>
      <c r="H371">
        <v>-82176.070000000007</v>
      </c>
      <c r="I371" s="1">
        <v>45360</v>
      </c>
      <c r="J371" t="s">
        <v>526</v>
      </c>
      <c r="K371" t="s">
        <v>527</v>
      </c>
      <c r="L371" t="s">
        <v>518</v>
      </c>
      <c r="M371" t="s">
        <v>554</v>
      </c>
      <c r="N371" t="s">
        <v>520</v>
      </c>
    </row>
    <row r="372" spans="1:15" x14ac:dyDescent="0.35">
      <c r="A372" t="s">
        <v>938</v>
      </c>
      <c r="B372" t="s">
        <v>534</v>
      </c>
      <c r="C372" t="s">
        <v>549</v>
      </c>
      <c r="D372" t="s">
        <v>563</v>
      </c>
      <c r="E372">
        <v>411870</v>
      </c>
      <c r="F372">
        <v>511379.26</v>
      </c>
      <c r="G372">
        <f>IF(Table13[[#This Row],[Budget_Allocated_INR]]="","",Table13[[#This Row],[Amount_INR]]-Table13[[#This Row],[Budget_Allocated_INR]])</f>
        <v>-99509.260000000009</v>
      </c>
      <c r="H372">
        <v>-99509.26</v>
      </c>
      <c r="I372" s="1">
        <v>45490</v>
      </c>
      <c r="J372" t="s">
        <v>526</v>
      </c>
      <c r="K372" t="s">
        <v>517</v>
      </c>
      <c r="L372" t="s">
        <v>536</v>
      </c>
      <c r="M372" t="s">
        <v>546</v>
      </c>
      <c r="N372" t="s">
        <v>520</v>
      </c>
    </row>
    <row r="373" spans="1:15" x14ac:dyDescent="0.35">
      <c r="A373" t="s">
        <v>939</v>
      </c>
      <c r="B373" t="s">
        <v>565</v>
      </c>
      <c r="C373" t="s">
        <v>558</v>
      </c>
      <c r="D373" t="s">
        <v>634</v>
      </c>
      <c r="E373">
        <v>108453</v>
      </c>
      <c r="F373">
        <v>93266.07</v>
      </c>
      <c r="G373">
        <f>IF(Table13[[#This Row],[Budget_Allocated_INR]]="","",Table13[[#This Row],[Amount_INR]]-Table13[[#This Row],[Budget_Allocated_INR]])</f>
        <v>15186.929999999993</v>
      </c>
      <c r="H373">
        <v>15186.93</v>
      </c>
      <c r="I373" s="1">
        <v>45601</v>
      </c>
      <c r="J373" t="s">
        <v>526</v>
      </c>
      <c r="K373" t="s">
        <v>517</v>
      </c>
      <c r="L373" t="s">
        <v>536</v>
      </c>
      <c r="M373" t="s">
        <v>537</v>
      </c>
      <c r="N373" t="s">
        <v>520</v>
      </c>
    </row>
    <row r="374" spans="1:15" x14ac:dyDescent="0.35">
      <c r="A374" t="s">
        <v>940</v>
      </c>
      <c r="B374" t="s">
        <v>534</v>
      </c>
      <c r="C374" t="s">
        <v>558</v>
      </c>
      <c r="D374" t="s">
        <v>605</v>
      </c>
      <c r="E374">
        <v>138343</v>
      </c>
      <c r="F374">
        <v>112386.6</v>
      </c>
      <c r="G374">
        <f>IF(Table13[[#This Row],[Budget_Allocated_INR]]="","",Table13[[#This Row],[Amount_INR]]-Table13[[#This Row],[Budget_Allocated_INR]])</f>
        <v>25956.399999999994</v>
      </c>
      <c r="H374">
        <v>25956.400000000001</v>
      </c>
      <c r="I374" s="1">
        <v>45253</v>
      </c>
      <c r="J374" t="s">
        <v>516</v>
      </c>
      <c r="K374" t="s">
        <v>517</v>
      </c>
      <c r="L374" t="s">
        <v>518</v>
      </c>
      <c r="M374" t="s">
        <v>537</v>
      </c>
      <c r="N374" t="s">
        <v>520</v>
      </c>
    </row>
    <row r="375" spans="1:15" x14ac:dyDescent="0.35">
      <c r="A375" t="s">
        <v>941</v>
      </c>
      <c r="B375" t="s">
        <v>576</v>
      </c>
      <c r="C375" t="s">
        <v>552</v>
      </c>
      <c r="D375" t="s">
        <v>588</v>
      </c>
      <c r="E375">
        <v>253357</v>
      </c>
      <c r="F375">
        <v>237003.61</v>
      </c>
      <c r="G375">
        <f>IF(Table13[[#This Row],[Budget_Allocated_INR]]="","",Table13[[#This Row],[Amount_INR]]-Table13[[#This Row],[Budget_Allocated_INR]])</f>
        <v>16353.390000000014</v>
      </c>
      <c r="H375">
        <v>16353.39</v>
      </c>
      <c r="I375" s="1">
        <v>45391</v>
      </c>
      <c r="J375" t="s">
        <v>526</v>
      </c>
      <c r="K375" t="s">
        <v>560</v>
      </c>
      <c r="L375" t="s">
        <v>536</v>
      </c>
      <c r="M375" t="s">
        <v>519</v>
      </c>
      <c r="N375" t="s">
        <v>520</v>
      </c>
    </row>
    <row r="376" spans="1:15" x14ac:dyDescent="0.35">
      <c r="A376" t="s">
        <v>942</v>
      </c>
      <c r="B376" t="s">
        <v>534</v>
      </c>
      <c r="C376" t="s">
        <v>524</v>
      </c>
      <c r="D376" t="s">
        <v>559</v>
      </c>
      <c r="E376">
        <v>422348</v>
      </c>
      <c r="F376">
        <v>373973.55</v>
      </c>
      <c r="G376">
        <f>IF(Table13[[#This Row],[Budget_Allocated_INR]]="","",Table13[[#This Row],[Amount_INR]]-Table13[[#This Row],[Budget_Allocated_INR]])</f>
        <v>48374.450000000012</v>
      </c>
      <c r="H376">
        <v>48374.45</v>
      </c>
      <c r="I376" s="1">
        <v>45510</v>
      </c>
      <c r="J376" t="s">
        <v>516</v>
      </c>
      <c r="K376" t="s">
        <v>527</v>
      </c>
      <c r="L376" t="s">
        <v>536</v>
      </c>
      <c r="M376" t="s">
        <v>537</v>
      </c>
      <c r="N376" t="s">
        <v>520</v>
      </c>
      <c r="O376" t="s">
        <v>521</v>
      </c>
    </row>
    <row r="377" spans="1:15" x14ac:dyDescent="0.35">
      <c r="A377" t="s">
        <v>943</v>
      </c>
      <c r="B377" t="s">
        <v>545</v>
      </c>
      <c r="C377" t="s">
        <v>562</v>
      </c>
      <c r="D377" t="s">
        <v>634</v>
      </c>
      <c r="E377">
        <v>420845</v>
      </c>
      <c r="F377">
        <v>401109.66</v>
      </c>
      <c r="G377">
        <f>IF(Table13[[#This Row],[Budget_Allocated_INR]]="","",Table13[[#This Row],[Amount_INR]]-Table13[[#This Row],[Budget_Allocated_INR]])</f>
        <v>19735.340000000026</v>
      </c>
      <c r="H377">
        <v>19735.34</v>
      </c>
      <c r="I377" s="1">
        <v>44952</v>
      </c>
      <c r="J377" t="s">
        <v>526</v>
      </c>
      <c r="K377" t="s">
        <v>560</v>
      </c>
      <c r="L377" t="s">
        <v>541</v>
      </c>
      <c r="M377" t="s">
        <v>537</v>
      </c>
      <c r="N377" t="s">
        <v>520</v>
      </c>
    </row>
    <row r="378" spans="1:15" x14ac:dyDescent="0.35">
      <c r="A378" t="s">
        <v>944</v>
      </c>
      <c r="B378" t="s">
        <v>576</v>
      </c>
      <c r="C378" t="s">
        <v>596</v>
      </c>
      <c r="D378" t="s">
        <v>539</v>
      </c>
      <c r="E378">
        <v>332522</v>
      </c>
      <c r="F378">
        <v>273875.71000000002</v>
      </c>
      <c r="G378">
        <f>IF(Table13[[#This Row],[Budget_Allocated_INR]]="","",Table13[[#This Row],[Amount_INR]]-Table13[[#This Row],[Budget_Allocated_INR]])</f>
        <v>58646.289999999979</v>
      </c>
      <c r="H378">
        <v>58646.29</v>
      </c>
      <c r="I378" s="1">
        <v>45088</v>
      </c>
      <c r="J378" t="s">
        <v>526</v>
      </c>
      <c r="K378" t="s">
        <v>527</v>
      </c>
      <c r="L378" t="s">
        <v>518</v>
      </c>
      <c r="M378" t="s">
        <v>537</v>
      </c>
      <c r="N378" t="s">
        <v>520</v>
      </c>
    </row>
    <row r="379" spans="1:15" x14ac:dyDescent="0.35">
      <c r="A379" t="s">
        <v>945</v>
      </c>
      <c r="B379" t="s">
        <v>545</v>
      </c>
      <c r="C379" t="s">
        <v>552</v>
      </c>
      <c r="D379" t="s">
        <v>593</v>
      </c>
      <c r="E379">
        <v>-268398</v>
      </c>
      <c r="F379">
        <v>235037.82</v>
      </c>
      <c r="G379">
        <f>IF(Table13[[#This Row],[Budget_Allocated_INR]]="","",Table13[[#This Row],[Amount_INR]]-Table13[[#This Row],[Budget_Allocated_INR]])</f>
        <v>-503435.82</v>
      </c>
      <c r="H379">
        <v>33360.18</v>
      </c>
      <c r="I379" s="1">
        <v>45413</v>
      </c>
      <c r="J379" t="s">
        <v>516</v>
      </c>
      <c r="K379" t="s">
        <v>540</v>
      </c>
      <c r="L379" t="s">
        <v>536</v>
      </c>
      <c r="M379" t="s">
        <v>537</v>
      </c>
      <c r="N379" t="s">
        <v>582</v>
      </c>
    </row>
    <row r="380" spans="1:15" x14ac:dyDescent="0.35">
      <c r="A380" t="s">
        <v>946</v>
      </c>
      <c r="B380" t="s">
        <v>548</v>
      </c>
      <c r="C380" t="s">
        <v>562</v>
      </c>
      <c r="D380" t="s">
        <v>539</v>
      </c>
      <c r="E380">
        <v>166104</v>
      </c>
      <c r="F380">
        <v>164704.53</v>
      </c>
      <c r="G380">
        <f>IF(Table13[[#This Row],[Budget_Allocated_INR]]="","",Table13[[#This Row],[Amount_INR]]-Table13[[#This Row],[Budget_Allocated_INR]])</f>
        <v>1399.4700000000012</v>
      </c>
      <c r="H380">
        <v>1399.47</v>
      </c>
      <c r="I380" s="1">
        <v>45390</v>
      </c>
      <c r="J380" t="s">
        <v>526</v>
      </c>
      <c r="K380" t="s">
        <v>527</v>
      </c>
      <c r="L380" t="s">
        <v>536</v>
      </c>
      <c r="M380" t="s">
        <v>528</v>
      </c>
      <c r="N380" t="s">
        <v>520</v>
      </c>
    </row>
    <row r="381" spans="1:15" x14ac:dyDescent="0.35">
      <c r="A381" t="s">
        <v>947</v>
      </c>
      <c r="B381" t="s">
        <v>523</v>
      </c>
      <c r="C381" t="s">
        <v>586</v>
      </c>
      <c r="D381" t="s">
        <v>550</v>
      </c>
      <c r="E381">
        <v>12538</v>
      </c>
      <c r="F381">
        <v>10350.469999999999</v>
      </c>
      <c r="G381">
        <f>IF(Table13[[#This Row],[Budget_Allocated_INR]]="","",Table13[[#This Row],[Amount_INR]]-Table13[[#This Row],[Budget_Allocated_INR]])</f>
        <v>2187.5300000000007</v>
      </c>
      <c r="I381" s="1">
        <v>45136</v>
      </c>
      <c r="J381" t="s">
        <v>526</v>
      </c>
      <c r="K381" t="s">
        <v>560</v>
      </c>
      <c r="L381" t="s">
        <v>518</v>
      </c>
      <c r="M381" t="s">
        <v>568</v>
      </c>
      <c r="N381" t="s">
        <v>520</v>
      </c>
    </row>
    <row r="382" spans="1:15" x14ac:dyDescent="0.35">
      <c r="A382" t="s">
        <v>948</v>
      </c>
      <c r="B382" t="s">
        <v>79</v>
      </c>
      <c r="C382" t="s">
        <v>586</v>
      </c>
      <c r="D382" t="s">
        <v>605</v>
      </c>
      <c r="E382">
        <v>223136</v>
      </c>
      <c r="F382">
        <v>272052.57</v>
      </c>
      <c r="G382">
        <f>IF(Table13[[#This Row],[Budget_Allocated_INR]]="","",Table13[[#This Row],[Amount_INR]]-Table13[[#This Row],[Budget_Allocated_INR]])</f>
        <v>-48916.570000000007</v>
      </c>
      <c r="H382">
        <v>-48916.57</v>
      </c>
      <c r="I382" s="1">
        <v>45720</v>
      </c>
      <c r="J382" t="s">
        <v>526</v>
      </c>
      <c r="K382" t="s">
        <v>540</v>
      </c>
      <c r="L382" t="s">
        <v>536</v>
      </c>
      <c r="M382" t="s">
        <v>546</v>
      </c>
      <c r="N382" t="s">
        <v>520</v>
      </c>
    </row>
    <row r="383" spans="1:15" x14ac:dyDescent="0.35">
      <c r="A383" t="s">
        <v>949</v>
      </c>
      <c r="B383" t="s">
        <v>576</v>
      </c>
      <c r="C383" t="s">
        <v>562</v>
      </c>
      <c r="D383" t="s">
        <v>515</v>
      </c>
      <c r="E383">
        <v>182620</v>
      </c>
      <c r="F383">
        <v>193942.24</v>
      </c>
      <c r="G383">
        <f>IF(Table13[[#This Row],[Budget_Allocated_INR]]="","",Table13[[#This Row],[Amount_INR]]-Table13[[#This Row],[Budget_Allocated_INR]])</f>
        <v>-11322.239999999991</v>
      </c>
      <c r="H383">
        <v>-11322.24</v>
      </c>
      <c r="I383" s="1">
        <v>45574</v>
      </c>
      <c r="J383" t="s">
        <v>526</v>
      </c>
      <c r="K383" t="s">
        <v>517</v>
      </c>
      <c r="L383" t="s">
        <v>536</v>
      </c>
      <c r="M383" t="s">
        <v>537</v>
      </c>
      <c r="N383" t="s">
        <v>520</v>
      </c>
    </row>
    <row r="384" spans="1:15" x14ac:dyDescent="0.35">
      <c r="A384" t="s">
        <v>950</v>
      </c>
      <c r="B384" t="s">
        <v>523</v>
      </c>
      <c r="C384" t="s">
        <v>586</v>
      </c>
      <c r="D384" t="s">
        <v>574</v>
      </c>
      <c r="E384">
        <v>323325</v>
      </c>
      <c r="F384">
        <v>281804.53000000003</v>
      </c>
      <c r="G384">
        <f>IF(Table13[[#This Row],[Budget_Allocated_INR]]="","",Table13[[#This Row],[Amount_INR]]-Table13[[#This Row],[Budget_Allocated_INR]])</f>
        <v>41520.469999999972</v>
      </c>
      <c r="H384">
        <v>41520.47</v>
      </c>
      <c r="I384" s="1">
        <v>45447</v>
      </c>
      <c r="J384" t="s">
        <v>526</v>
      </c>
      <c r="K384" t="s">
        <v>517</v>
      </c>
      <c r="L384" t="s">
        <v>536</v>
      </c>
      <c r="M384" t="s">
        <v>554</v>
      </c>
      <c r="N384" t="s">
        <v>520</v>
      </c>
    </row>
    <row r="385" spans="1:15" x14ac:dyDescent="0.35">
      <c r="A385" t="s">
        <v>951</v>
      </c>
      <c r="B385" t="s">
        <v>565</v>
      </c>
      <c r="C385" t="s">
        <v>531</v>
      </c>
      <c r="D385" t="s">
        <v>559</v>
      </c>
      <c r="E385">
        <v>327303</v>
      </c>
      <c r="F385">
        <v>396053.98</v>
      </c>
      <c r="G385">
        <f>IF(Table13[[#This Row],[Budget_Allocated_INR]]="","",Table13[[#This Row],[Amount_INR]]-Table13[[#This Row],[Budget_Allocated_INR]])</f>
        <v>-68750.979999999981</v>
      </c>
      <c r="H385">
        <v>-68750.98</v>
      </c>
      <c r="I385" s="1">
        <v>45583</v>
      </c>
      <c r="J385" t="s">
        <v>597</v>
      </c>
      <c r="K385" t="s">
        <v>560</v>
      </c>
      <c r="L385" t="s">
        <v>536</v>
      </c>
      <c r="M385" t="s">
        <v>528</v>
      </c>
      <c r="N385" t="s">
        <v>520</v>
      </c>
      <c r="O385" t="s">
        <v>521</v>
      </c>
    </row>
    <row r="386" spans="1:15" x14ac:dyDescent="0.35">
      <c r="A386" t="s">
        <v>952</v>
      </c>
      <c r="B386" t="s">
        <v>548</v>
      </c>
      <c r="C386" t="s">
        <v>531</v>
      </c>
      <c r="D386" t="s">
        <v>535</v>
      </c>
      <c r="E386">
        <v>111860</v>
      </c>
      <c r="F386">
        <v>100608.75</v>
      </c>
      <c r="G386">
        <f>IF(Table13[[#This Row],[Budget_Allocated_INR]]="","",Table13[[#This Row],[Amount_INR]]-Table13[[#This Row],[Budget_Allocated_INR]])</f>
        <v>11251.25</v>
      </c>
      <c r="H386">
        <v>11251.25</v>
      </c>
      <c r="I386" s="1">
        <v>45028</v>
      </c>
      <c r="J386" t="s">
        <v>526</v>
      </c>
      <c r="K386" t="s">
        <v>527</v>
      </c>
      <c r="L386" t="s">
        <v>518</v>
      </c>
      <c r="M386" t="s">
        <v>568</v>
      </c>
      <c r="N386" t="s">
        <v>520</v>
      </c>
    </row>
    <row r="387" spans="1:15" x14ac:dyDescent="0.35">
      <c r="A387" t="s">
        <v>953</v>
      </c>
      <c r="B387" t="s">
        <v>548</v>
      </c>
      <c r="C387" t="s">
        <v>586</v>
      </c>
      <c r="D387" t="s">
        <v>605</v>
      </c>
      <c r="E387">
        <v>358246</v>
      </c>
      <c r="F387">
        <v>293348.11</v>
      </c>
      <c r="G387">
        <f>IF(Table13[[#This Row],[Budget_Allocated_INR]]="","",Table13[[#This Row],[Amount_INR]]-Table13[[#This Row],[Budget_Allocated_INR]])</f>
        <v>64897.890000000014</v>
      </c>
      <c r="H387">
        <v>64897.89</v>
      </c>
      <c r="I387" s="1">
        <v>45406</v>
      </c>
      <c r="J387" t="s">
        <v>526</v>
      </c>
      <c r="K387" t="s">
        <v>527</v>
      </c>
      <c r="L387" t="s">
        <v>536</v>
      </c>
      <c r="M387" t="s">
        <v>537</v>
      </c>
      <c r="N387" t="s">
        <v>520</v>
      </c>
    </row>
    <row r="388" spans="1:15" x14ac:dyDescent="0.35">
      <c r="A388" t="s">
        <v>954</v>
      </c>
      <c r="B388" t="s">
        <v>565</v>
      </c>
      <c r="C388" t="s">
        <v>581</v>
      </c>
      <c r="D388" t="s">
        <v>515</v>
      </c>
      <c r="E388">
        <v>12064</v>
      </c>
      <c r="F388">
        <v>10549.18</v>
      </c>
      <c r="G388">
        <f>IF(Table13[[#This Row],[Budget_Allocated_INR]]="","",Table13[[#This Row],[Amount_INR]]-Table13[[#This Row],[Budget_Allocated_INR]])</f>
        <v>1514.8199999999997</v>
      </c>
      <c r="H388">
        <v>1514.82</v>
      </c>
      <c r="I388" s="1">
        <v>45090</v>
      </c>
      <c r="J388" t="s">
        <v>526</v>
      </c>
      <c r="K388" t="s">
        <v>560</v>
      </c>
      <c r="L388" t="s">
        <v>518</v>
      </c>
      <c r="M388" t="s">
        <v>537</v>
      </c>
      <c r="N388" t="s">
        <v>520</v>
      </c>
    </row>
    <row r="389" spans="1:15" x14ac:dyDescent="0.35">
      <c r="A389" t="s">
        <v>955</v>
      </c>
      <c r="B389" t="s">
        <v>534</v>
      </c>
      <c r="C389" t="s">
        <v>596</v>
      </c>
      <c r="D389" t="s">
        <v>605</v>
      </c>
      <c r="E389">
        <v>296061</v>
      </c>
      <c r="F389">
        <v>300001.24</v>
      </c>
      <c r="G389">
        <f>IF(Table13[[#This Row],[Budget_Allocated_INR]]="","",Table13[[#This Row],[Amount_INR]]-Table13[[#This Row],[Budget_Allocated_INR]])</f>
        <v>-3940.2399999999907</v>
      </c>
      <c r="H389">
        <v>-3940.24</v>
      </c>
      <c r="I389" s="1">
        <v>45115</v>
      </c>
      <c r="J389" t="s">
        <v>516</v>
      </c>
      <c r="K389" t="s">
        <v>540</v>
      </c>
      <c r="L389" t="s">
        <v>518</v>
      </c>
      <c r="M389" t="s">
        <v>568</v>
      </c>
      <c r="N389" t="s">
        <v>520</v>
      </c>
      <c r="O389" t="s">
        <v>521</v>
      </c>
    </row>
    <row r="390" spans="1:15" x14ac:dyDescent="0.35">
      <c r="A390" t="s">
        <v>956</v>
      </c>
      <c r="B390" t="s">
        <v>523</v>
      </c>
      <c r="C390" t="s">
        <v>514</v>
      </c>
      <c r="D390" t="s">
        <v>525</v>
      </c>
      <c r="E390">
        <v>30949</v>
      </c>
      <c r="F390">
        <v>25412.68</v>
      </c>
      <c r="G390">
        <f>IF(Table13[[#This Row],[Budget_Allocated_INR]]="","",Table13[[#This Row],[Amount_INR]]-Table13[[#This Row],[Budget_Allocated_INR]])</f>
        <v>5536.32</v>
      </c>
      <c r="I390" s="1">
        <v>45043</v>
      </c>
      <c r="J390" t="s">
        <v>526</v>
      </c>
      <c r="K390" t="s">
        <v>517</v>
      </c>
      <c r="L390" t="s">
        <v>518</v>
      </c>
      <c r="M390" t="s">
        <v>537</v>
      </c>
      <c r="N390" t="s">
        <v>520</v>
      </c>
    </row>
    <row r="391" spans="1:15" x14ac:dyDescent="0.35">
      <c r="A391" t="s">
        <v>957</v>
      </c>
      <c r="B391" t="s">
        <v>523</v>
      </c>
      <c r="C391" t="s">
        <v>531</v>
      </c>
      <c r="D391" t="s">
        <v>588</v>
      </c>
      <c r="E391">
        <v>372466</v>
      </c>
      <c r="F391">
        <v>447228.52</v>
      </c>
      <c r="G391">
        <f>IF(Table13[[#This Row],[Budget_Allocated_INR]]="","",Table13[[#This Row],[Amount_INR]]-Table13[[#This Row],[Budget_Allocated_INR]])</f>
        <v>-74762.520000000019</v>
      </c>
      <c r="H391">
        <v>-74762.52</v>
      </c>
      <c r="I391" s="1">
        <v>45328</v>
      </c>
      <c r="J391" t="s">
        <v>516</v>
      </c>
      <c r="K391" t="s">
        <v>560</v>
      </c>
      <c r="L391" t="s">
        <v>518</v>
      </c>
      <c r="M391" t="s">
        <v>537</v>
      </c>
      <c r="N391" t="s">
        <v>520</v>
      </c>
      <c r="O391" t="s">
        <v>521</v>
      </c>
    </row>
    <row r="392" spans="1:15" x14ac:dyDescent="0.35">
      <c r="A392" t="s">
        <v>958</v>
      </c>
      <c r="B392" t="s">
        <v>545</v>
      </c>
      <c r="C392" t="s">
        <v>581</v>
      </c>
      <c r="D392" t="s">
        <v>634</v>
      </c>
      <c r="E392">
        <v>244642</v>
      </c>
      <c r="F392">
        <v>282609.32</v>
      </c>
      <c r="G392">
        <f>IF(Table13[[#This Row],[Budget_Allocated_INR]]="","",Table13[[#This Row],[Amount_INR]]-Table13[[#This Row],[Budget_Allocated_INR]])</f>
        <v>-37967.320000000007</v>
      </c>
      <c r="H392">
        <v>-37967.32</v>
      </c>
      <c r="I392" s="1">
        <v>45602</v>
      </c>
      <c r="J392" t="s">
        <v>526</v>
      </c>
      <c r="K392" t="s">
        <v>540</v>
      </c>
      <c r="L392" t="s">
        <v>536</v>
      </c>
      <c r="M392" t="s">
        <v>528</v>
      </c>
      <c r="N392" t="s">
        <v>520</v>
      </c>
    </row>
    <row r="393" spans="1:15" x14ac:dyDescent="0.35">
      <c r="A393" t="s">
        <v>959</v>
      </c>
      <c r="B393" t="s">
        <v>530</v>
      </c>
      <c r="C393" t="s">
        <v>599</v>
      </c>
      <c r="D393" t="s">
        <v>588</v>
      </c>
      <c r="E393">
        <v>258459</v>
      </c>
      <c r="F393">
        <v>255111.38</v>
      </c>
      <c r="G393">
        <f>IF(Table13[[#This Row],[Budget_Allocated_INR]]="","",Table13[[#This Row],[Amount_INR]]-Table13[[#This Row],[Budget_Allocated_INR]])</f>
        <v>3347.6199999999953</v>
      </c>
      <c r="H393">
        <v>3347.62</v>
      </c>
      <c r="I393" s="1">
        <v>45197</v>
      </c>
      <c r="J393" t="s">
        <v>526</v>
      </c>
      <c r="K393" t="s">
        <v>560</v>
      </c>
      <c r="L393" t="s">
        <v>518</v>
      </c>
      <c r="M393" t="s">
        <v>546</v>
      </c>
      <c r="N393" t="s">
        <v>520</v>
      </c>
    </row>
    <row r="394" spans="1:15" x14ac:dyDescent="0.35">
      <c r="A394" t="s">
        <v>960</v>
      </c>
      <c r="B394" t="s">
        <v>545</v>
      </c>
      <c r="C394" t="s">
        <v>514</v>
      </c>
      <c r="D394" t="s">
        <v>559</v>
      </c>
      <c r="E394">
        <v>202077</v>
      </c>
      <c r="F394">
        <v>207699.46</v>
      </c>
      <c r="G394">
        <f>IF(Table13[[#This Row],[Budget_Allocated_INR]]="","",Table13[[#This Row],[Amount_INR]]-Table13[[#This Row],[Budget_Allocated_INR]])</f>
        <v>-5622.4599999999919</v>
      </c>
      <c r="H394">
        <v>-5622.46</v>
      </c>
      <c r="I394" s="1">
        <v>45387</v>
      </c>
      <c r="J394" t="s">
        <v>597</v>
      </c>
      <c r="K394" t="s">
        <v>540</v>
      </c>
      <c r="L394" t="s">
        <v>536</v>
      </c>
      <c r="M394" t="s">
        <v>537</v>
      </c>
      <c r="N394" t="s">
        <v>520</v>
      </c>
      <c r="O394" t="s">
        <v>521</v>
      </c>
    </row>
    <row r="395" spans="1:15" x14ac:dyDescent="0.35">
      <c r="A395" t="s">
        <v>961</v>
      </c>
      <c r="B395" t="s">
        <v>523</v>
      </c>
      <c r="C395" t="s">
        <v>531</v>
      </c>
      <c r="D395" t="s">
        <v>588</v>
      </c>
      <c r="E395">
        <v>451509</v>
      </c>
      <c r="F395">
        <v>530679.26</v>
      </c>
      <c r="G395">
        <f>IF(Table13[[#This Row],[Budget_Allocated_INR]]="","",Table13[[#This Row],[Amount_INR]]-Table13[[#This Row],[Budget_Allocated_INR]])</f>
        <v>-79170.260000000009</v>
      </c>
      <c r="H395">
        <v>-79170.259999999995</v>
      </c>
      <c r="I395" s="1">
        <v>45224</v>
      </c>
      <c r="J395" t="s">
        <v>526</v>
      </c>
      <c r="K395" t="s">
        <v>540</v>
      </c>
      <c r="L395" t="s">
        <v>518</v>
      </c>
      <c r="M395" t="s">
        <v>537</v>
      </c>
      <c r="N395" t="s">
        <v>520</v>
      </c>
    </row>
    <row r="396" spans="1:15" x14ac:dyDescent="0.35">
      <c r="A396" t="s">
        <v>962</v>
      </c>
      <c r="B396" t="s">
        <v>576</v>
      </c>
      <c r="C396" t="s">
        <v>624</v>
      </c>
      <c r="D396" t="s">
        <v>584</v>
      </c>
      <c r="E396">
        <v>163925</v>
      </c>
      <c r="F396">
        <v>157330.82</v>
      </c>
      <c r="G396">
        <f>IF(Table13[[#This Row],[Budget_Allocated_INR]]="","",Table13[[#This Row],[Amount_INR]]-Table13[[#This Row],[Budget_Allocated_INR]])</f>
        <v>6594.179999999993</v>
      </c>
      <c r="H396">
        <v>6594.18</v>
      </c>
      <c r="I396" s="1">
        <v>45222</v>
      </c>
      <c r="J396" t="s">
        <v>526</v>
      </c>
      <c r="K396" t="s">
        <v>527</v>
      </c>
      <c r="L396" t="s">
        <v>518</v>
      </c>
      <c r="M396" t="s">
        <v>528</v>
      </c>
      <c r="N396" t="s">
        <v>520</v>
      </c>
    </row>
    <row r="397" spans="1:15" x14ac:dyDescent="0.35">
      <c r="A397" t="s">
        <v>963</v>
      </c>
      <c r="B397" t="s">
        <v>534</v>
      </c>
      <c r="C397" t="s">
        <v>586</v>
      </c>
      <c r="D397" t="s">
        <v>563</v>
      </c>
      <c r="E397">
        <v>355503</v>
      </c>
      <c r="F397">
        <v>400742.71</v>
      </c>
      <c r="G397">
        <f>IF(Table13[[#This Row],[Budget_Allocated_INR]]="","",Table13[[#This Row],[Amount_INR]]-Table13[[#This Row],[Budget_Allocated_INR]])</f>
        <v>-45239.710000000021</v>
      </c>
      <c r="H397">
        <v>-45239.71</v>
      </c>
      <c r="I397" s="1">
        <v>45236</v>
      </c>
      <c r="J397" t="s">
        <v>526</v>
      </c>
      <c r="K397" t="s">
        <v>517</v>
      </c>
      <c r="L397" t="s">
        <v>518</v>
      </c>
      <c r="M397" t="s">
        <v>554</v>
      </c>
      <c r="N397" t="s">
        <v>520</v>
      </c>
    </row>
    <row r="398" spans="1:15" x14ac:dyDescent="0.35">
      <c r="A398" t="s">
        <v>964</v>
      </c>
      <c r="B398" t="s">
        <v>530</v>
      </c>
      <c r="C398" t="s">
        <v>549</v>
      </c>
      <c r="D398" t="s">
        <v>571</v>
      </c>
      <c r="E398">
        <v>317282</v>
      </c>
      <c r="F398">
        <v>354047.57</v>
      </c>
      <c r="G398">
        <f>IF(Table13[[#This Row],[Budget_Allocated_INR]]="","",Table13[[#This Row],[Amount_INR]]-Table13[[#This Row],[Budget_Allocated_INR]])</f>
        <v>-36765.570000000007</v>
      </c>
      <c r="H398">
        <v>-36765.57</v>
      </c>
      <c r="I398" s="1">
        <v>44959</v>
      </c>
      <c r="J398" t="s">
        <v>526</v>
      </c>
      <c r="K398" t="s">
        <v>527</v>
      </c>
      <c r="L398" t="s">
        <v>541</v>
      </c>
      <c r="M398" t="s">
        <v>537</v>
      </c>
      <c r="N398" t="s">
        <v>520</v>
      </c>
    </row>
    <row r="399" spans="1:15" x14ac:dyDescent="0.35">
      <c r="A399" t="s">
        <v>965</v>
      </c>
      <c r="B399" t="s">
        <v>534</v>
      </c>
      <c r="C399" t="s">
        <v>586</v>
      </c>
      <c r="D399" t="s">
        <v>550</v>
      </c>
      <c r="E399">
        <v>29791</v>
      </c>
      <c r="F399">
        <v>32121.77</v>
      </c>
      <c r="G399">
        <f>IF(Table13[[#This Row],[Budget_Allocated_INR]]="","",Table13[[#This Row],[Amount_INR]]-Table13[[#This Row],[Budget_Allocated_INR]])</f>
        <v>-2330.7700000000004</v>
      </c>
      <c r="H399">
        <v>-2330.77</v>
      </c>
      <c r="I399" s="1">
        <v>44997</v>
      </c>
      <c r="J399" t="s">
        <v>526</v>
      </c>
      <c r="K399" t="s">
        <v>540</v>
      </c>
      <c r="L399" t="s">
        <v>541</v>
      </c>
      <c r="M399" t="s">
        <v>537</v>
      </c>
      <c r="N399" t="s">
        <v>520</v>
      </c>
    </row>
    <row r="400" spans="1:15" x14ac:dyDescent="0.35">
      <c r="A400" t="s">
        <v>966</v>
      </c>
      <c r="B400" t="s">
        <v>530</v>
      </c>
      <c r="C400" t="s">
        <v>531</v>
      </c>
      <c r="D400" t="s">
        <v>563</v>
      </c>
      <c r="E400">
        <v>260298</v>
      </c>
      <c r="F400">
        <v>302710.19</v>
      </c>
      <c r="G400">
        <f>IF(Table13[[#This Row],[Budget_Allocated_INR]]="","",Table13[[#This Row],[Amount_INR]]-Table13[[#This Row],[Budget_Allocated_INR]])</f>
        <v>-42412.19</v>
      </c>
      <c r="H400">
        <v>-42412.19</v>
      </c>
      <c r="I400" s="1">
        <v>45018</v>
      </c>
      <c r="J400" t="s">
        <v>526</v>
      </c>
      <c r="K400" t="s">
        <v>560</v>
      </c>
      <c r="L400" t="s">
        <v>518</v>
      </c>
      <c r="M400" t="s">
        <v>537</v>
      </c>
      <c r="N400" t="s">
        <v>520</v>
      </c>
    </row>
    <row r="401" spans="1:15" x14ac:dyDescent="0.35">
      <c r="A401" t="s">
        <v>967</v>
      </c>
      <c r="B401" t="s">
        <v>530</v>
      </c>
      <c r="C401" t="s">
        <v>552</v>
      </c>
      <c r="D401" t="s">
        <v>532</v>
      </c>
      <c r="E401">
        <v>170062</v>
      </c>
      <c r="F401">
        <v>201142.77</v>
      </c>
      <c r="G401">
        <f>IF(Table13[[#This Row],[Budget_Allocated_INR]]="","",Table13[[#This Row],[Amount_INR]]-Table13[[#This Row],[Budget_Allocated_INR]])</f>
        <v>-31080.76999999999</v>
      </c>
      <c r="H401">
        <v>-31080.77</v>
      </c>
      <c r="I401" s="1">
        <v>45721</v>
      </c>
      <c r="J401" t="s">
        <v>526</v>
      </c>
      <c r="K401" t="s">
        <v>527</v>
      </c>
      <c r="L401" t="s">
        <v>536</v>
      </c>
      <c r="M401" t="s">
        <v>528</v>
      </c>
      <c r="N401" t="s">
        <v>520</v>
      </c>
    </row>
    <row r="402" spans="1:15" x14ac:dyDescent="0.35">
      <c r="A402" t="s">
        <v>968</v>
      </c>
      <c r="B402" t="s">
        <v>530</v>
      </c>
      <c r="C402" t="s">
        <v>531</v>
      </c>
      <c r="D402" t="s">
        <v>525</v>
      </c>
      <c r="E402">
        <v>493046</v>
      </c>
      <c r="F402">
        <v>516759.34</v>
      </c>
      <c r="G402">
        <f>IF(Table13[[#This Row],[Budget_Allocated_INR]]="","",Table13[[#This Row],[Amount_INR]]-Table13[[#This Row],[Budget_Allocated_INR]])</f>
        <v>-23713.340000000026</v>
      </c>
      <c r="H402">
        <v>-23713.34</v>
      </c>
      <c r="I402" s="1">
        <v>45268</v>
      </c>
      <c r="J402" t="s">
        <v>526</v>
      </c>
      <c r="K402" t="s">
        <v>517</v>
      </c>
      <c r="L402" t="s">
        <v>518</v>
      </c>
      <c r="M402" t="s">
        <v>537</v>
      </c>
      <c r="N402" t="s">
        <v>520</v>
      </c>
    </row>
    <row r="403" spans="1:15" x14ac:dyDescent="0.35">
      <c r="A403" t="s">
        <v>969</v>
      </c>
      <c r="B403" t="s">
        <v>548</v>
      </c>
      <c r="C403" t="s">
        <v>581</v>
      </c>
      <c r="D403" t="s">
        <v>593</v>
      </c>
      <c r="E403">
        <v>272783</v>
      </c>
      <c r="F403">
        <v>232960.38</v>
      </c>
      <c r="G403">
        <f>IF(Table13[[#This Row],[Budget_Allocated_INR]]="","",Table13[[#This Row],[Amount_INR]]-Table13[[#This Row],[Budget_Allocated_INR]])</f>
        <v>39822.619999999995</v>
      </c>
      <c r="H403">
        <v>39822.620000000003</v>
      </c>
      <c r="I403" s="1">
        <v>45195</v>
      </c>
      <c r="J403" t="s">
        <v>526</v>
      </c>
      <c r="K403" t="s">
        <v>527</v>
      </c>
      <c r="L403" t="s">
        <v>518</v>
      </c>
      <c r="M403" t="s">
        <v>519</v>
      </c>
      <c r="N403" t="s">
        <v>520</v>
      </c>
    </row>
    <row r="404" spans="1:15" x14ac:dyDescent="0.35">
      <c r="A404" t="s">
        <v>970</v>
      </c>
      <c r="B404" t="s">
        <v>79</v>
      </c>
      <c r="C404" t="s">
        <v>581</v>
      </c>
      <c r="D404" t="s">
        <v>553</v>
      </c>
      <c r="E404">
        <v>4688784</v>
      </c>
      <c r="F404">
        <v>3938191.01</v>
      </c>
      <c r="G404">
        <f>IF(Table13[[#This Row],[Budget_Allocated_INR]]="","",Table13[[#This Row],[Amount_INR]]-Table13[[#This Row],[Budget_Allocated_INR]])</f>
        <v>750592.99000000022</v>
      </c>
      <c r="H404">
        <v>750592.99</v>
      </c>
      <c r="I404" s="1">
        <v>45012</v>
      </c>
      <c r="J404" t="s">
        <v>597</v>
      </c>
      <c r="K404" t="s">
        <v>540</v>
      </c>
      <c r="L404" t="s">
        <v>541</v>
      </c>
      <c r="M404" t="s">
        <v>537</v>
      </c>
      <c r="N404" t="s">
        <v>520</v>
      </c>
      <c r="O404" t="s">
        <v>521</v>
      </c>
    </row>
    <row r="405" spans="1:15" x14ac:dyDescent="0.35">
      <c r="A405" t="s">
        <v>971</v>
      </c>
      <c r="B405" t="s">
        <v>576</v>
      </c>
      <c r="C405" t="s">
        <v>531</v>
      </c>
      <c r="D405" t="s">
        <v>571</v>
      </c>
      <c r="E405">
        <v>160016</v>
      </c>
      <c r="F405">
        <v>189994.81</v>
      </c>
      <c r="G405">
        <f>IF(Table13[[#This Row],[Budget_Allocated_INR]]="","",Table13[[#This Row],[Amount_INR]]-Table13[[#This Row],[Budget_Allocated_INR]])</f>
        <v>-29978.809999999998</v>
      </c>
      <c r="H405">
        <v>-29978.81</v>
      </c>
      <c r="I405" s="1">
        <v>45348</v>
      </c>
      <c r="J405" t="s">
        <v>526</v>
      </c>
      <c r="K405" t="s">
        <v>527</v>
      </c>
      <c r="L405" t="s">
        <v>518</v>
      </c>
      <c r="M405" t="s">
        <v>546</v>
      </c>
      <c r="N405" t="s">
        <v>520</v>
      </c>
    </row>
    <row r="406" spans="1:15" x14ac:dyDescent="0.35">
      <c r="A406" t="s">
        <v>972</v>
      </c>
      <c r="B406" t="s">
        <v>545</v>
      </c>
      <c r="C406" t="s">
        <v>552</v>
      </c>
      <c r="D406" t="s">
        <v>593</v>
      </c>
      <c r="E406">
        <v>-30156</v>
      </c>
      <c r="F406">
        <v>30446.67</v>
      </c>
      <c r="G406">
        <f>IF(Table13[[#This Row],[Budget_Allocated_INR]]="","",Table13[[#This Row],[Amount_INR]]-Table13[[#This Row],[Budget_Allocated_INR]])</f>
        <v>-60602.67</v>
      </c>
      <c r="H406">
        <v>-290.67</v>
      </c>
      <c r="I406" s="1">
        <v>45153</v>
      </c>
      <c r="J406" t="s">
        <v>526</v>
      </c>
      <c r="K406" t="s">
        <v>560</v>
      </c>
      <c r="L406" t="s">
        <v>518</v>
      </c>
      <c r="M406" t="s">
        <v>537</v>
      </c>
      <c r="N406" t="s">
        <v>582</v>
      </c>
    </row>
    <row r="407" spans="1:15" x14ac:dyDescent="0.35">
      <c r="A407" t="s">
        <v>973</v>
      </c>
      <c r="B407" t="s">
        <v>576</v>
      </c>
      <c r="C407" t="s">
        <v>543</v>
      </c>
      <c r="D407" t="s">
        <v>532</v>
      </c>
      <c r="E407">
        <v>498758</v>
      </c>
      <c r="F407">
        <v>486607.94</v>
      </c>
      <c r="G407">
        <f>IF(Table13[[#This Row],[Budget_Allocated_INR]]="","",Table13[[#This Row],[Amount_INR]]-Table13[[#This Row],[Budget_Allocated_INR]])</f>
        <v>12150.059999999998</v>
      </c>
      <c r="H407">
        <v>12150.06</v>
      </c>
      <c r="I407" s="1">
        <v>45585</v>
      </c>
      <c r="J407" t="s">
        <v>516</v>
      </c>
      <c r="K407" t="s">
        <v>517</v>
      </c>
      <c r="L407" t="s">
        <v>536</v>
      </c>
      <c r="M407" t="s">
        <v>537</v>
      </c>
      <c r="N407" t="s">
        <v>520</v>
      </c>
      <c r="O407" t="s">
        <v>521</v>
      </c>
    </row>
    <row r="408" spans="1:15" x14ac:dyDescent="0.35">
      <c r="A408" t="s">
        <v>974</v>
      </c>
      <c r="B408" t="s">
        <v>530</v>
      </c>
      <c r="C408" t="s">
        <v>586</v>
      </c>
      <c r="D408" t="s">
        <v>550</v>
      </c>
      <c r="E408">
        <v>390496</v>
      </c>
      <c r="F408">
        <v>406666.97</v>
      </c>
      <c r="G408">
        <f>IF(Table13[[#This Row],[Budget_Allocated_INR]]="","",Table13[[#This Row],[Amount_INR]]-Table13[[#This Row],[Budget_Allocated_INR]])</f>
        <v>-16170.969999999972</v>
      </c>
      <c r="H408">
        <v>-16170.97</v>
      </c>
      <c r="I408" s="1">
        <v>45132</v>
      </c>
      <c r="J408" t="s">
        <v>597</v>
      </c>
      <c r="K408" t="s">
        <v>560</v>
      </c>
      <c r="L408" t="s">
        <v>518</v>
      </c>
      <c r="M408" t="s">
        <v>537</v>
      </c>
      <c r="N408" t="s">
        <v>520</v>
      </c>
      <c r="O408" t="s">
        <v>521</v>
      </c>
    </row>
    <row r="409" spans="1:15" x14ac:dyDescent="0.35">
      <c r="A409" t="s">
        <v>975</v>
      </c>
      <c r="B409" t="s">
        <v>565</v>
      </c>
      <c r="C409" t="s">
        <v>558</v>
      </c>
      <c r="D409" t="s">
        <v>553</v>
      </c>
      <c r="E409">
        <v>379186</v>
      </c>
      <c r="F409">
        <v>388036.42</v>
      </c>
      <c r="G409">
        <f>IF(Table13[[#This Row],[Budget_Allocated_INR]]="","",Table13[[#This Row],[Amount_INR]]-Table13[[#This Row],[Budget_Allocated_INR]])</f>
        <v>-8850.4199999999837</v>
      </c>
      <c r="H409">
        <v>-8850.42</v>
      </c>
      <c r="I409" s="1">
        <v>44935</v>
      </c>
      <c r="J409" t="s">
        <v>526</v>
      </c>
      <c r="K409" t="s">
        <v>517</v>
      </c>
      <c r="L409" t="s">
        <v>541</v>
      </c>
      <c r="M409" t="s">
        <v>537</v>
      </c>
      <c r="N409" t="s">
        <v>520</v>
      </c>
    </row>
    <row r="410" spans="1:15" x14ac:dyDescent="0.35">
      <c r="A410" t="s">
        <v>976</v>
      </c>
      <c r="B410" t="s">
        <v>565</v>
      </c>
      <c r="C410" t="s">
        <v>524</v>
      </c>
      <c r="D410" t="s">
        <v>571</v>
      </c>
      <c r="E410">
        <v>474316</v>
      </c>
      <c r="F410">
        <v>519064.02</v>
      </c>
      <c r="G410">
        <f>IF(Table13[[#This Row],[Budget_Allocated_INR]]="","",Table13[[#This Row],[Amount_INR]]-Table13[[#This Row],[Budget_Allocated_INR]])</f>
        <v>-44748.020000000019</v>
      </c>
      <c r="H410">
        <v>-44748.02</v>
      </c>
      <c r="I410" s="1">
        <v>45674</v>
      </c>
      <c r="J410" t="s">
        <v>597</v>
      </c>
      <c r="K410" t="s">
        <v>517</v>
      </c>
      <c r="L410" t="s">
        <v>536</v>
      </c>
      <c r="M410" t="s">
        <v>537</v>
      </c>
      <c r="N410" t="s">
        <v>520</v>
      </c>
      <c r="O410" t="s">
        <v>521</v>
      </c>
    </row>
    <row r="411" spans="1:15" x14ac:dyDescent="0.35">
      <c r="A411" t="s">
        <v>977</v>
      </c>
      <c r="B411" t="s">
        <v>548</v>
      </c>
      <c r="C411" t="s">
        <v>599</v>
      </c>
      <c r="D411" t="s">
        <v>584</v>
      </c>
      <c r="E411">
        <v>-118413</v>
      </c>
      <c r="F411">
        <v>108123.08</v>
      </c>
      <c r="G411">
        <f>IF(Table13[[#This Row],[Budget_Allocated_INR]]="","",Table13[[#This Row],[Amount_INR]]-Table13[[#This Row],[Budget_Allocated_INR]])</f>
        <v>-226536.08000000002</v>
      </c>
      <c r="H411">
        <v>10289.92</v>
      </c>
      <c r="I411" s="1">
        <v>45395</v>
      </c>
      <c r="J411" t="s">
        <v>526</v>
      </c>
      <c r="K411" t="s">
        <v>517</v>
      </c>
      <c r="L411" t="s">
        <v>536</v>
      </c>
      <c r="M411" t="s">
        <v>519</v>
      </c>
      <c r="N411" t="s">
        <v>582</v>
      </c>
    </row>
    <row r="412" spans="1:15" x14ac:dyDescent="0.35">
      <c r="A412" t="s">
        <v>978</v>
      </c>
      <c r="B412" t="s">
        <v>565</v>
      </c>
      <c r="C412" t="s">
        <v>514</v>
      </c>
      <c r="D412" t="s">
        <v>574</v>
      </c>
      <c r="E412">
        <v>495983</v>
      </c>
      <c r="F412">
        <v>486156.54</v>
      </c>
      <c r="G412">
        <f>IF(Table13[[#This Row],[Budget_Allocated_INR]]="","",Table13[[#This Row],[Amount_INR]]-Table13[[#This Row],[Budget_Allocated_INR]])</f>
        <v>9826.460000000021</v>
      </c>
      <c r="H412">
        <v>9826.4599999999991</v>
      </c>
      <c r="I412" s="1">
        <v>45194</v>
      </c>
      <c r="J412" t="s">
        <v>526</v>
      </c>
      <c r="K412" t="s">
        <v>527</v>
      </c>
      <c r="L412" t="s">
        <v>518</v>
      </c>
      <c r="M412" t="s">
        <v>519</v>
      </c>
      <c r="N412" t="s">
        <v>520</v>
      </c>
    </row>
    <row r="413" spans="1:15" x14ac:dyDescent="0.35">
      <c r="A413" t="s">
        <v>979</v>
      </c>
      <c r="B413" t="s">
        <v>548</v>
      </c>
      <c r="C413" t="s">
        <v>581</v>
      </c>
      <c r="D413" t="s">
        <v>532</v>
      </c>
      <c r="E413">
        <v>186645</v>
      </c>
      <c r="G413" t="str">
        <f>IF(Table13[[#This Row],[Budget_Allocated_INR]]="","",Table13[[#This Row],[Amount_INR]]-Table13[[#This Row],[Budget_Allocated_INR]])</f>
        <v/>
      </c>
      <c r="H413">
        <v>12334.99</v>
      </c>
      <c r="I413" s="1">
        <v>45140</v>
      </c>
      <c r="J413" t="s">
        <v>516</v>
      </c>
      <c r="K413" t="s">
        <v>540</v>
      </c>
      <c r="L413" t="s">
        <v>518</v>
      </c>
      <c r="M413" t="s">
        <v>546</v>
      </c>
      <c r="N413" t="s">
        <v>520</v>
      </c>
    </row>
    <row r="414" spans="1:15" x14ac:dyDescent="0.35">
      <c r="A414" t="s">
        <v>980</v>
      </c>
      <c r="B414" t="s">
        <v>79</v>
      </c>
      <c r="C414" t="s">
        <v>552</v>
      </c>
      <c r="D414" t="s">
        <v>550</v>
      </c>
      <c r="E414">
        <v>342928</v>
      </c>
      <c r="F414">
        <v>445230.91</v>
      </c>
      <c r="G414">
        <f>IF(Table13[[#This Row],[Budget_Allocated_INR]]="","",Table13[[#This Row],[Amount_INR]]-Table13[[#This Row],[Budget_Allocated_INR]])</f>
        <v>-102302.90999999997</v>
      </c>
      <c r="H414">
        <v>-102302.91</v>
      </c>
      <c r="I414" s="1">
        <v>45032</v>
      </c>
      <c r="J414" t="s">
        <v>526</v>
      </c>
      <c r="K414" t="s">
        <v>527</v>
      </c>
      <c r="L414" t="s">
        <v>518</v>
      </c>
      <c r="M414" t="s">
        <v>546</v>
      </c>
      <c r="N414" t="s">
        <v>520</v>
      </c>
    </row>
    <row r="415" spans="1:15" x14ac:dyDescent="0.35">
      <c r="A415" t="s">
        <v>981</v>
      </c>
      <c r="B415" t="s">
        <v>523</v>
      </c>
      <c r="C415" t="s">
        <v>549</v>
      </c>
      <c r="D415" t="s">
        <v>532</v>
      </c>
      <c r="E415">
        <v>389265</v>
      </c>
      <c r="F415">
        <v>359305.9</v>
      </c>
      <c r="G415">
        <f>IF(Table13[[#This Row],[Budget_Allocated_INR]]="","",Table13[[#This Row],[Amount_INR]]-Table13[[#This Row],[Budget_Allocated_INR]])</f>
        <v>29959.099999999977</v>
      </c>
      <c r="H415">
        <v>29959.1</v>
      </c>
      <c r="I415" s="1">
        <v>45577</v>
      </c>
      <c r="J415" t="s">
        <v>526</v>
      </c>
      <c r="K415" t="s">
        <v>527</v>
      </c>
      <c r="L415" t="s">
        <v>536</v>
      </c>
      <c r="M415" t="s">
        <v>537</v>
      </c>
      <c r="N415" t="s">
        <v>520</v>
      </c>
    </row>
    <row r="416" spans="1:15" x14ac:dyDescent="0.35">
      <c r="A416" t="s">
        <v>982</v>
      </c>
      <c r="B416" t="s">
        <v>523</v>
      </c>
      <c r="C416" t="s">
        <v>586</v>
      </c>
      <c r="D416" t="s">
        <v>539</v>
      </c>
      <c r="E416">
        <v>197078</v>
      </c>
      <c r="F416">
        <v>238559.88</v>
      </c>
      <c r="G416">
        <f>IF(Table13[[#This Row],[Budget_Allocated_INR]]="","",Table13[[#This Row],[Amount_INR]]-Table13[[#This Row],[Budget_Allocated_INR]])</f>
        <v>-41481.880000000005</v>
      </c>
      <c r="H416">
        <v>-41481.879999999997</v>
      </c>
      <c r="I416" s="1">
        <v>45038</v>
      </c>
      <c r="J416" t="s">
        <v>526</v>
      </c>
      <c r="K416" t="s">
        <v>517</v>
      </c>
      <c r="L416" t="s">
        <v>518</v>
      </c>
      <c r="M416" t="s">
        <v>528</v>
      </c>
      <c r="N416" t="s">
        <v>520</v>
      </c>
    </row>
    <row r="417" spans="1:15" x14ac:dyDescent="0.35">
      <c r="A417" t="s">
        <v>983</v>
      </c>
      <c r="B417" t="s">
        <v>576</v>
      </c>
      <c r="C417" t="s">
        <v>543</v>
      </c>
      <c r="D417" t="s">
        <v>571</v>
      </c>
      <c r="E417">
        <v>469132</v>
      </c>
      <c r="F417">
        <v>453619.26</v>
      </c>
      <c r="G417">
        <f>IF(Table13[[#This Row],[Budget_Allocated_INR]]="","",Table13[[#This Row],[Amount_INR]]-Table13[[#This Row],[Budget_Allocated_INR]])</f>
        <v>15512.739999999991</v>
      </c>
      <c r="H417">
        <v>15512.74</v>
      </c>
      <c r="I417" s="1">
        <v>45285</v>
      </c>
      <c r="J417" t="s">
        <v>526</v>
      </c>
      <c r="K417" t="s">
        <v>560</v>
      </c>
      <c r="L417" t="s">
        <v>518</v>
      </c>
      <c r="M417" t="s">
        <v>528</v>
      </c>
      <c r="N417" t="s">
        <v>520</v>
      </c>
    </row>
    <row r="418" spans="1:15" x14ac:dyDescent="0.35">
      <c r="A418" t="s">
        <v>984</v>
      </c>
      <c r="B418" t="s">
        <v>523</v>
      </c>
      <c r="C418" t="s">
        <v>552</v>
      </c>
      <c r="D418" t="s">
        <v>574</v>
      </c>
      <c r="E418">
        <v>3584033</v>
      </c>
      <c r="F418">
        <v>3448909.77</v>
      </c>
      <c r="G418">
        <f>IF(Table13[[#This Row],[Budget_Allocated_INR]]="","",Table13[[#This Row],[Amount_INR]]-Table13[[#This Row],[Budget_Allocated_INR]])</f>
        <v>135123.22999999998</v>
      </c>
      <c r="H418">
        <v>135123.23000000001</v>
      </c>
      <c r="I418" s="1">
        <v>45196</v>
      </c>
      <c r="J418" t="s">
        <v>526</v>
      </c>
      <c r="K418" t="s">
        <v>527</v>
      </c>
      <c r="L418" t="s">
        <v>518</v>
      </c>
      <c r="M418" t="s">
        <v>528</v>
      </c>
      <c r="N418" t="s">
        <v>520</v>
      </c>
    </row>
    <row r="419" spans="1:15" x14ac:dyDescent="0.35">
      <c r="A419" t="s">
        <v>985</v>
      </c>
      <c r="B419" t="s">
        <v>576</v>
      </c>
      <c r="C419" t="s">
        <v>581</v>
      </c>
      <c r="D419" t="s">
        <v>563</v>
      </c>
      <c r="E419">
        <v>31705</v>
      </c>
      <c r="F419">
        <v>30836.74</v>
      </c>
      <c r="G419">
        <f>IF(Table13[[#This Row],[Budget_Allocated_INR]]="","",Table13[[#This Row],[Amount_INR]]-Table13[[#This Row],[Budget_Allocated_INR]])</f>
        <v>868.2599999999984</v>
      </c>
      <c r="H419">
        <v>868.26</v>
      </c>
      <c r="I419" s="1">
        <v>45424</v>
      </c>
      <c r="J419" t="s">
        <v>526</v>
      </c>
      <c r="K419" t="s">
        <v>517</v>
      </c>
      <c r="L419" t="s">
        <v>536</v>
      </c>
      <c r="M419" t="s">
        <v>537</v>
      </c>
      <c r="N419" t="s">
        <v>520</v>
      </c>
    </row>
    <row r="420" spans="1:15" x14ac:dyDescent="0.35">
      <c r="A420" t="s">
        <v>986</v>
      </c>
      <c r="B420" t="s">
        <v>534</v>
      </c>
      <c r="C420" t="s">
        <v>562</v>
      </c>
      <c r="D420" t="s">
        <v>550</v>
      </c>
      <c r="E420">
        <v>68786</v>
      </c>
      <c r="F420">
        <v>71406.789999999994</v>
      </c>
      <c r="G420">
        <f>IF(Table13[[#This Row],[Budget_Allocated_INR]]="","",Table13[[#This Row],[Amount_INR]]-Table13[[#This Row],[Budget_Allocated_INR]])</f>
        <v>-2620.7899999999936</v>
      </c>
      <c r="H420">
        <v>-2620.79</v>
      </c>
      <c r="I420" s="1">
        <v>45540</v>
      </c>
      <c r="J420" t="s">
        <v>597</v>
      </c>
      <c r="K420" t="s">
        <v>517</v>
      </c>
      <c r="L420" t="s">
        <v>536</v>
      </c>
      <c r="M420" t="s">
        <v>519</v>
      </c>
      <c r="N420" t="s">
        <v>520</v>
      </c>
    </row>
    <row r="421" spans="1:15" x14ac:dyDescent="0.35">
      <c r="A421" t="s">
        <v>987</v>
      </c>
      <c r="B421" t="s">
        <v>523</v>
      </c>
      <c r="C421" t="s">
        <v>599</v>
      </c>
      <c r="D421" t="s">
        <v>571</v>
      </c>
      <c r="E421">
        <v>160198</v>
      </c>
      <c r="F421">
        <v>159898.99</v>
      </c>
      <c r="G421">
        <f>IF(Table13[[#This Row],[Budget_Allocated_INR]]="","",Table13[[#This Row],[Amount_INR]]-Table13[[#This Row],[Budget_Allocated_INR]])</f>
        <v>299.01000000000931</v>
      </c>
      <c r="H421">
        <v>299.01</v>
      </c>
      <c r="I421" s="1">
        <v>45480</v>
      </c>
      <c r="J421" t="s">
        <v>526</v>
      </c>
      <c r="K421" t="s">
        <v>540</v>
      </c>
      <c r="L421" t="s">
        <v>536</v>
      </c>
      <c r="M421" t="s">
        <v>537</v>
      </c>
      <c r="N421" t="s">
        <v>520</v>
      </c>
    </row>
    <row r="422" spans="1:15" x14ac:dyDescent="0.35">
      <c r="A422" t="s">
        <v>988</v>
      </c>
      <c r="B422" t="s">
        <v>565</v>
      </c>
      <c r="C422" t="s">
        <v>549</v>
      </c>
      <c r="D422" t="s">
        <v>588</v>
      </c>
      <c r="E422">
        <v>385403</v>
      </c>
      <c r="G422" t="str">
        <f>IF(Table13[[#This Row],[Budget_Allocated_INR]]="","",Table13[[#This Row],[Amount_INR]]-Table13[[#This Row],[Budget_Allocated_INR]])</f>
        <v/>
      </c>
      <c r="H422">
        <v>28329.64</v>
      </c>
      <c r="I422" s="1">
        <v>45520</v>
      </c>
      <c r="J422" t="s">
        <v>526</v>
      </c>
      <c r="K422" t="s">
        <v>560</v>
      </c>
      <c r="L422" t="s">
        <v>536</v>
      </c>
      <c r="M422" t="s">
        <v>546</v>
      </c>
      <c r="N422" t="s">
        <v>520</v>
      </c>
    </row>
    <row r="423" spans="1:15" x14ac:dyDescent="0.35">
      <c r="A423" t="s">
        <v>989</v>
      </c>
      <c r="B423" t="s">
        <v>530</v>
      </c>
      <c r="C423" t="s">
        <v>562</v>
      </c>
      <c r="D423" t="s">
        <v>539</v>
      </c>
      <c r="E423">
        <v>211236</v>
      </c>
      <c r="F423">
        <v>224181.03</v>
      </c>
      <c r="G423">
        <f>IF(Table13[[#This Row],[Budget_Allocated_INR]]="","",Table13[[#This Row],[Amount_INR]]-Table13[[#This Row],[Budget_Allocated_INR]])</f>
        <v>-12945.029999999999</v>
      </c>
      <c r="H423">
        <v>-12945.03</v>
      </c>
      <c r="I423" s="1">
        <v>45344</v>
      </c>
      <c r="J423" t="s">
        <v>516</v>
      </c>
      <c r="K423" t="s">
        <v>517</v>
      </c>
      <c r="L423" t="s">
        <v>518</v>
      </c>
      <c r="M423" t="s">
        <v>537</v>
      </c>
      <c r="N423" t="s">
        <v>520</v>
      </c>
      <c r="O423" t="s">
        <v>521</v>
      </c>
    </row>
    <row r="424" spans="1:15" x14ac:dyDescent="0.35">
      <c r="A424" t="s">
        <v>990</v>
      </c>
      <c r="B424" t="s">
        <v>565</v>
      </c>
      <c r="C424" t="s">
        <v>562</v>
      </c>
      <c r="D424" t="s">
        <v>553</v>
      </c>
      <c r="E424">
        <v>177999</v>
      </c>
      <c r="F424">
        <v>164780.06</v>
      </c>
      <c r="G424">
        <f>IF(Table13[[#This Row],[Budget_Allocated_INR]]="","",Table13[[#This Row],[Amount_INR]]-Table13[[#This Row],[Budget_Allocated_INR]])</f>
        <v>13218.940000000002</v>
      </c>
      <c r="H424">
        <v>13218.94</v>
      </c>
      <c r="I424" s="1">
        <v>45673</v>
      </c>
      <c r="J424" t="s">
        <v>526</v>
      </c>
      <c r="K424" t="s">
        <v>540</v>
      </c>
      <c r="L424" t="s">
        <v>536</v>
      </c>
      <c r="M424" t="s">
        <v>537</v>
      </c>
      <c r="N424" t="s">
        <v>520</v>
      </c>
    </row>
    <row r="425" spans="1:15" x14ac:dyDescent="0.35">
      <c r="A425" t="s">
        <v>991</v>
      </c>
      <c r="B425" t="s">
        <v>548</v>
      </c>
      <c r="C425" t="s">
        <v>599</v>
      </c>
      <c r="D425" t="s">
        <v>550</v>
      </c>
      <c r="E425">
        <v>421120</v>
      </c>
      <c r="F425">
        <v>523406.55</v>
      </c>
      <c r="G425">
        <f>IF(Table13[[#This Row],[Budget_Allocated_INR]]="","",Table13[[#This Row],[Amount_INR]]-Table13[[#This Row],[Budget_Allocated_INR]])</f>
        <v>-102286.54999999999</v>
      </c>
      <c r="H425">
        <v>-102286.55</v>
      </c>
      <c r="I425" s="1">
        <v>45454</v>
      </c>
      <c r="J425" t="s">
        <v>597</v>
      </c>
      <c r="K425" t="s">
        <v>540</v>
      </c>
      <c r="L425" t="s">
        <v>536</v>
      </c>
      <c r="M425" t="s">
        <v>537</v>
      </c>
      <c r="N425" t="s">
        <v>520</v>
      </c>
      <c r="O425" t="s">
        <v>521</v>
      </c>
    </row>
    <row r="426" spans="1:15" x14ac:dyDescent="0.35">
      <c r="A426" t="s">
        <v>992</v>
      </c>
      <c r="B426" t="s">
        <v>565</v>
      </c>
      <c r="C426" t="s">
        <v>549</v>
      </c>
      <c r="D426" t="s">
        <v>571</v>
      </c>
      <c r="E426">
        <v>457162</v>
      </c>
      <c r="F426">
        <v>493650.62</v>
      </c>
      <c r="G426">
        <f>IF(Table13[[#This Row],[Budget_Allocated_INR]]="","",Table13[[#This Row],[Amount_INR]]-Table13[[#This Row],[Budget_Allocated_INR]])</f>
        <v>-36488.619999999995</v>
      </c>
      <c r="H426">
        <v>-36488.620000000003</v>
      </c>
      <c r="I426" s="1">
        <v>45324</v>
      </c>
      <c r="J426" t="s">
        <v>526</v>
      </c>
      <c r="K426" t="s">
        <v>560</v>
      </c>
      <c r="L426" t="s">
        <v>518</v>
      </c>
      <c r="M426" t="s">
        <v>568</v>
      </c>
      <c r="N426" t="s">
        <v>520</v>
      </c>
    </row>
    <row r="427" spans="1:15" x14ac:dyDescent="0.35">
      <c r="A427" t="s">
        <v>993</v>
      </c>
      <c r="B427" t="s">
        <v>565</v>
      </c>
      <c r="C427" t="s">
        <v>558</v>
      </c>
      <c r="D427" t="s">
        <v>535</v>
      </c>
      <c r="E427">
        <v>70751</v>
      </c>
      <c r="G427" t="str">
        <f>IF(Table13[[#This Row],[Budget_Allocated_INR]]="","",Table13[[#This Row],[Amount_INR]]-Table13[[#This Row],[Budget_Allocated_INR]])</f>
        <v/>
      </c>
      <c r="H427">
        <v>-103.65</v>
      </c>
      <c r="I427" s="1">
        <v>45498</v>
      </c>
      <c r="J427" t="s">
        <v>526</v>
      </c>
      <c r="K427" t="s">
        <v>560</v>
      </c>
      <c r="L427" t="s">
        <v>536</v>
      </c>
      <c r="M427" t="s">
        <v>568</v>
      </c>
      <c r="N427" t="s">
        <v>520</v>
      </c>
    </row>
    <row r="428" spans="1:15" x14ac:dyDescent="0.35">
      <c r="A428" t="s">
        <v>994</v>
      </c>
      <c r="B428" t="s">
        <v>576</v>
      </c>
      <c r="C428" t="s">
        <v>586</v>
      </c>
      <c r="D428" t="s">
        <v>539</v>
      </c>
      <c r="E428">
        <v>360402</v>
      </c>
      <c r="F428">
        <v>439137.03</v>
      </c>
      <c r="G428">
        <f>IF(Table13[[#This Row],[Budget_Allocated_INR]]="","",Table13[[#This Row],[Amount_INR]]-Table13[[#This Row],[Budget_Allocated_INR]])</f>
        <v>-78735.030000000028</v>
      </c>
      <c r="H428">
        <v>-78735.03</v>
      </c>
      <c r="I428" s="1">
        <v>45063</v>
      </c>
      <c r="J428" t="s">
        <v>516</v>
      </c>
      <c r="K428" t="s">
        <v>560</v>
      </c>
      <c r="L428" t="s">
        <v>518</v>
      </c>
      <c r="M428" t="s">
        <v>568</v>
      </c>
      <c r="N428" t="s">
        <v>520</v>
      </c>
      <c r="O428" t="s">
        <v>521</v>
      </c>
    </row>
    <row r="429" spans="1:15" x14ac:dyDescent="0.35">
      <c r="A429" t="s">
        <v>995</v>
      </c>
      <c r="B429" t="s">
        <v>79</v>
      </c>
      <c r="C429" t="s">
        <v>549</v>
      </c>
      <c r="D429" t="s">
        <v>563</v>
      </c>
      <c r="E429">
        <v>-364146</v>
      </c>
      <c r="F429">
        <v>312185.55</v>
      </c>
      <c r="G429">
        <f>IF(Table13[[#This Row],[Budget_Allocated_INR]]="","",Table13[[#This Row],[Amount_INR]]-Table13[[#This Row],[Budget_Allocated_INR]])</f>
        <v>-676331.55</v>
      </c>
      <c r="H429">
        <v>51960.45</v>
      </c>
      <c r="I429" s="1">
        <v>45245</v>
      </c>
      <c r="J429" t="s">
        <v>516</v>
      </c>
      <c r="K429" t="s">
        <v>560</v>
      </c>
      <c r="L429" t="s">
        <v>518</v>
      </c>
      <c r="M429" t="s">
        <v>546</v>
      </c>
      <c r="N429" t="s">
        <v>582</v>
      </c>
    </row>
    <row r="430" spans="1:15" x14ac:dyDescent="0.35">
      <c r="A430" t="s">
        <v>996</v>
      </c>
      <c r="B430" t="s">
        <v>523</v>
      </c>
      <c r="C430" t="s">
        <v>596</v>
      </c>
      <c r="D430" t="s">
        <v>535</v>
      </c>
      <c r="E430">
        <v>68610</v>
      </c>
      <c r="F430">
        <v>85073.21</v>
      </c>
      <c r="G430">
        <f>IF(Table13[[#This Row],[Budget_Allocated_INR]]="","",Table13[[#This Row],[Amount_INR]]-Table13[[#This Row],[Budget_Allocated_INR]])</f>
        <v>-16463.210000000006</v>
      </c>
      <c r="H430">
        <v>-16463.21</v>
      </c>
      <c r="I430" s="1">
        <v>45727</v>
      </c>
      <c r="J430" t="s">
        <v>516</v>
      </c>
      <c r="K430" t="s">
        <v>560</v>
      </c>
      <c r="L430" t="s">
        <v>536</v>
      </c>
      <c r="M430" t="s">
        <v>546</v>
      </c>
      <c r="N430" t="s">
        <v>520</v>
      </c>
    </row>
    <row r="431" spans="1:15" x14ac:dyDescent="0.35">
      <c r="A431" t="s">
        <v>997</v>
      </c>
      <c r="B431" t="s">
        <v>548</v>
      </c>
      <c r="C431" t="s">
        <v>599</v>
      </c>
      <c r="D431" t="s">
        <v>539</v>
      </c>
      <c r="E431">
        <v>135822</v>
      </c>
      <c r="F431">
        <v>174308.75</v>
      </c>
      <c r="G431">
        <f>IF(Table13[[#This Row],[Budget_Allocated_INR]]="","",Table13[[#This Row],[Amount_INR]]-Table13[[#This Row],[Budget_Allocated_INR]])</f>
        <v>-38486.75</v>
      </c>
      <c r="H431">
        <v>-38486.75</v>
      </c>
      <c r="I431" s="1">
        <v>45098</v>
      </c>
      <c r="J431" t="s">
        <v>516</v>
      </c>
      <c r="K431" t="s">
        <v>527</v>
      </c>
      <c r="L431" t="s">
        <v>518</v>
      </c>
      <c r="M431" t="s">
        <v>519</v>
      </c>
      <c r="N431" t="s">
        <v>520</v>
      </c>
    </row>
    <row r="432" spans="1:15" x14ac:dyDescent="0.35">
      <c r="A432" t="s">
        <v>998</v>
      </c>
      <c r="B432" t="s">
        <v>530</v>
      </c>
      <c r="C432" t="s">
        <v>514</v>
      </c>
      <c r="D432" t="s">
        <v>588</v>
      </c>
      <c r="E432">
        <v>345563</v>
      </c>
      <c r="F432">
        <v>301764.7</v>
      </c>
      <c r="G432">
        <f>IF(Table13[[#This Row],[Budget_Allocated_INR]]="","",Table13[[#This Row],[Amount_INR]]-Table13[[#This Row],[Budget_Allocated_INR]])</f>
        <v>43798.299999999988</v>
      </c>
      <c r="H432">
        <v>43798.3</v>
      </c>
      <c r="I432" s="1">
        <v>45350</v>
      </c>
      <c r="J432" t="s">
        <v>516</v>
      </c>
      <c r="K432" t="s">
        <v>560</v>
      </c>
      <c r="L432" t="s">
        <v>518</v>
      </c>
      <c r="M432" t="s">
        <v>537</v>
      </c>
      <c r="N432" t="s">
        <v>520</v>
      </c>
      <c r="O432" t="s">
        <v>521</v>
      </c>
    </row>
    <row r="433" spans="1:15" x14ac:dyDescent="0.35">
      <c r="A433" t="s">
        <v>999</v>
      </c>
      <c r="B433" t="s">
        <v>545</v>
      </c>
      <c r="C433" t="s">
        <v>514</v>
      </c>
      <c r="D433" t="s">
        <v>532</v>
      </c>
      <c r="E433">
        <v>156894</v>
      </c>
      <c r="F433">
        <v>163264.04999999999</v>
      </c>
      <c r="G433">
        <f>IF(Table13[[#This Row],[Budget_Allocated_INR]]="","",Table13[[#This Row],[Amount_INR]]-Table13[[#This Row],[Budget_Allocated_INR]])</f>
        <v>-6370.0499999999884</v>
      </c>
      <c r="I433" s="1">
        <v>45654</v>
      </c>
      <c r="J433" t="s">
        <v>526</v>
      </c>
      <c r="K433" t="s">
        <v>517</v>
      </c>
      <c r="L433" t="s">
        <v>536</v>
      </c>
      <c r="M433" t="s">
        <v>568</v>
      </c>
      <c r="N433" t="s">
        <v>520</v>
      </c>
    </row>
    <row r="434" spans="1:15" x14ac:dyDescent="0.35">
      <c r="A434" t="s">
        <v>1000</v>
      </c>
      <c r="B434" t="s">
        <v>523</v>
      </c>
      <c r="C434" t="s">
        <v>552</v>
      </c>
      <c r="D434" t="s">
        <v>532</v>
      </c>
      <c r="E434">
        <v>61984</v>
      </c>
      <c r="F434">
        <v>49905.3</v>
      </c>
      <c r="G434">
        <f>IF(Table13[[#This Row],[Budget_Allocated_INR]]="","",Table13[[#This Row],[Amount_INR]]-Table13[[#This Row],[Budget_Allocated_INR]])</f>
        <v>12078.699999999997</v>
      </c>
      <c r="H434">
        <v>12078.7</v>
      </c>
      <c r="I434" s="1">
        <v>45090</v>
      </c>
      <c r="J434" t="s">
        <v>526</v>
      </c>
      <c r="K434" t="s">
        <v>527</v>
      </c>
      <c r="L434" t="s">
        <v>518</v>
      </c>
      <c r="M434" t="s">
        <v>537</v>
      </c>
      <c r="N434" t="s">
        <v>520</v>
      </c>
    </row>
    <row r="435" spans="1:15" x14ac:dyDescent="0.35">
      <c r="A435" t="s">
        <v>1001</v>
      </c>
      <c r="B435" t="s">
        <v>523</v>
      </c>
      <c r="C435" t="s">
        <v>514</v>
      </c>
      <c r="D435" t="s">
        <v>532</v>
      </c>
      <c r="E435">
        <v>369543</v>
      </c>
      <c r="F435">
        <v>335826.66</v>
      </c>
      <c r="G435">
        <f>IF(Table13[[#This Row],[Budget_Allocated_INR]]="","",Table13[[#This Row],[Amount_INR]]-Table13[[#This Row],[Budget_Allocated_INR]])</f>
        <v>33716.340000000026</v>
      </c>
      <c r="H435">
        <v>33716.339999999997</v>
      </c>
      <c r="I435" s="1">
        <v>45720</v>
      </c>
      <c r="J435" t="s">
        <v>526</v>
      </c>
      <c r="K435" t="s">
        <v>540</v>
      </c>
      <c r="L435" t="s">
        <v>536</v>
      </c>
      <c r="M435" t="s">
        <v>528</v>
      </c>
      <c r="N435" t="s">
        <v>520</v>
      </c>
    </row>
    <row r="436" spans="1:15" x14ac:dyDescent="0.35">
      <c r="A436" t="s">
        <v>1002</v>
      </c>
      <c r="B436" t="s">
        <v>534</v>
      </c>
      <c r="C436" t="s">
        <v>599</v>
      </c>
      <c r="D436" t="s">
        <v>634</v>
      </c>
      <c r="E436">
        <v>22047</v>
      </c>
      <c r="F436">
        <v>18732.650000000001</v>
      </c>
      <c r="G436">
        <f>IF(Table13[[#This Row],[Budget_Allocated_INR]]="","",Table13[[#This Row],[Amount_INR]]-Table13[[#This Row],[Budget_Allocated_INR]])</f>
        <v>3314.3499999999985</v>
      </c>
      <c r="H436">
        <v>3314.35</v>
      </c>
      <c r="I436" s="1">
        <v>45166</v>
      </c>
      <c r="J436" t="s">
        <v>526</v>
      </c>
      <c r="K436" t="s">
        <v>517</v>
      </c>
      <c r="L436" t="s">
        <v>518</v>
      </c>
      <c r="M436" t="s">
        <v>537</v>
      </c>
      <c r="N436" t="s">
        <v>520</v>
      </c>
    </row>
    <row r="437" spans="1:15" x14ac:dyDescent="0.35">
      <c r="A437" t="s">
        <v>1003</v>
      </c>
      <c r="B437" t="s">
        <v>548</v>
      </c>
      <c r="C437" t="s">
        <v>514</v>
      </c>
      <c r="D437" t="s">
        <v>539</v>
      </c>
      <c r="E437">
        <v>459776</v>
      </c>
      <c r="F437">
        <v>483816.84</v>
      </c>
      <c r="G437">
        <f>IF(Table13[[#This Row],[Budget_Allocated_INR]]="","",Table13[[#This Row],[Amount_INR]]-Table13[[#This Row],[Budget_Allocated_INR]])</f>
        <v>-24040.840000000026</v>
      </c>
      <c r="H437">
        <v>-24040.84</v>
      </c>
      <c r="I437" s="1">
        <v>45252</v>
      </c>
      <c r="J437" t="s">
        <v>526</v>
      </c>
      <c r="K437" t="s">
        <v>540</v>
      </c>
      <c r="L437" t="s">
        <v>518</v>
      </c>
      <c r="M437" t="s">
        <v>519</v>
      </c>
      <c r="N437" t="s">
        <v>520</v>
      </c>
    </row>
    <row r="438" spans="1:15" x14ac:dyDescent="0.35">
      <c r="A438" t="s">
        <v>1004</v>
      </c>
      <c r="B438" t="s">
        <v>79</v>
      </c>
      <c r="C438" t="s">
        <v>549</v>
      </c>
      <c r="D438" t="s">
        <v>559</v>
      </c>
      <c r="E438">
        <v>7126</v>
      </c>
      <c r="F438">
        <v>6813.12</v>
      </c>
      <c r="G438">
        <f>IF(Table13[[#This Row],[Budget_Allocated_INR]]="","",Table13[[#This Row],[Amount_INR]]-Table13[[#This Row],[Budget_Allocated_INR]])</f>
        <v>312.88000000000011</v>
      </c>
      <c r="H438">
        <v>312.88</v>
      </c>
      <c r="I438" s="1">
        <v>45315</v>
      </c>
      <c r="J438" t="s">
        <v>526</v>
      </c>
      <c r="K438" t="s">
        <v>540</v>
      </c>
      <c r="L438" t="s">
        <v>518</v>
      </c>
      <c r="M438" t="s">
        <v>554</v>
      </c>
      <c r="N438" t="s">
        <v>520</v>
      </c>
    </row>
    <row r="439" spans="1:15" x14ac:dyDescent="0.35">
      <c r="A439" t="s">
        <v>1005</v>
      </c>
      <c r="B439" t="s">
        <v>523</v>
      </c>
      <c r="C439" t="s">
        <v>586</v>
      </c>
      <c r="D439" t="s">
        <v>550</v>
      </c>
      <c r="E439">
        <v>240283</v>
      </c>
      <c r="F439">
        <v>238054.36</v>
      </c>
      <c r="G439">
        <f>IF(Table13[[#This Row],[Budget_Allocated_INR]]="","",Table13[[#This Row],[Amount_INR]]-Table13[[#This Row],[Budget_Allocated_INR]])</f>
        <v>2228.640000000014</v>
      </c>
      <c r="H439">
        <v>2228.64</v>
      </c>
      <c r="I439" s="1">
        <v>45507</v>
      </c>
      <c r="J439" t="s">
        <v>526</v>
      </c>
      <c r="K439" t="s">
        <v>540</v>
      </c>
      <c r="L439" t="s">
        <v>536</v>
      </c>
      <c r="M439" t="s">
        <v>554</v>
      </c>
      <c r="N439" t="s">
        <v>520</v>
      </c>
    </row>
    <row r="440" spans="1:15" x14ac:dyDescent="0.35">
      <c r="A440" t="s">
        <v>1006</v>
      </c>
      <c r="B440" t="s">
        <v>576</v>
      </c>
      <c r="C440" t="s">
        <v>549</v>
      </c>
      <c r="D440" t="s">
        <v>559</v>
      </c>
      <c r="E440">
        <v>390911</v>
      </c>
      <c r="F440">
        <v>466963.63</v>
      </c>
      <c r="G440">
        <f>IF(Table13[[#This Row],[Budget_Allocated_INR]]="","",Table13[[#This Row],[Amount_INR]]-Table13[[#This Row],[Budget_Allocated_INR]])</f>
        <v>-76052.63</v>
      </c>
      <c r="H440">
        <v>-76052.63</v>
      </c>
      <c r="I440" s="1">
        <v>45199</v>
      </c>
      <c r="J440" t="s">
        <v>526</v>
      </c>
      <c r="K440" t="s">
        <v>527</v>
      </c>
      <c r="L440" t="s">
        <v>518</v>
      </c>
      <c r="M440" t="s">
        <v>537</v>
      </c>
      <c r="N440" t="s">
        <v>520</v>
      </c>
    </row>
    <row r="441" spans="1:15" x14ac:dyDescent="0.35">
      <c r="A441" t="s">
        <v>1007</v>
      </c>
      <c r="B441" t="s">
        <v>523</v>
      </c>
      <c r="C441" t="s">
        <v>558</v>
      </c>
      <c r="D441" t="s">
        <v>559</v>
      </c>
      <c r="E441">
        <v>129860</v>
      </c>
      <c r="F441">
        <v>115706.78</v>
      </c>
      <c r="G441">
        <f>IF(Table13[[#This Row],[Budget_Allocated_INR]]="","",Table13[[#This Row],[Amount_INR]]-Table13[[#This Row],[Budget_Allocated_INR]])</f>
        <v>14153.220000000001</v>
      </c>
      <c r="H441">
        <v>14153.22</v>
      </c>
      <c r="I441" s="1">
        <v>45027</v>
      </c>
      <c r="J441" t="s">
        <v>526</v>
      </c>
      <c r="K441" t="s">
        <v>560</v>
      </c>
      <c r="L441" t="s">
        <v>518</v>
      </c>
      <c r="M441" t="s">
        <v>568</v>
      </c>
      <c r="N441" t="s">
        <v>520</v>
      </c>
    </row>
    <row r="442" spans="1:15" x14ac:dyDescent="0.35">
      <c r="A442" t="s">
        <v>1008</v>
      </c>
      <c r="B442" t="s">
        <v>534</v>
      </c>
      <c r="C442" t="s">
        <v>514</v>
      </c>
      <c r="D442" t="s">
        <v>532</v>
      </c>
      <c r="E442">
        <v>486522</v>
      </c>
      <c r="F442">
        <v>422407.6</v>
      </c>
      <c r="G442">
        <f>IF(Table13[[#This Row],[Budget_Allocated_INR]]="","",Table13[[#This Row],[Amount_INR]]-Table13[[#This Row],[Budget_Allocated_INR]])</f>
        <v>64114.400000000023</v>
      </c>
      <c r="H442">
        <v>64114.400000000001</v>
      </c>
      <c r="I442" s="1">
        <v>45148</v>
      </c>
      <c r="J442" t="s">
        <v>597</v>
      </c>
      <c r="K442" t="s">
        <v>517</v>
      </c>
      <c r="L442" t="s">
        <v>518</v>
      </c>
      <c r="M442" t="s">
        <v>537</v>
      </c>
      <c r="N442" t="s">
        <v>520</v>
      </c>
      <c r="O442" t="s">
        <v>521</v>
      </c>
    </row>
    <row r="443" spans="1:15" x14ac:dyDescent="0.35">
      <c r="A443" t="s">
        <v>1009</v>
      </c>
      <c r="B443" t="s">
        <v>523</v>
      </c>
      <c r="C443" t="s">
        <v>596</v>
      </c>
      <c r="D443" t="s">
        <v>605</v>
      </c>
      <c r="E443">
        <v>104377</v>
      </c>
      <c r="F443">
        <v>105713.39</v>
      </c>
      <c r="G443">
        <f>IF(Table13[[#This Row],[Budget_Allocated_INR]]="","",Table13[[#This Row],[Amount_INR]]-Table13[[#This Row],[Budget_Allocated_INR]])</f>
        <v>-1336.3899999999994</v>
      </c>
      <c r="H443">
        <v>-1336.39</v>
      </c>
      <c r="I443" s="1">
        <v>44943</v>
      </c>
      <c r="J443" t="s">
        <v>526</v>
      </c>
      <c r="K443" t="s">
        <v>560</v>
      </c>
      <c r="L443" t="s">
        <v>541</v>
      </c>
      <c r="M443" t="s">
        <v>537</v>
      </c>
      <c r="N443" t="s">
        <v>520</v>
      </c>
    </row>
    <row r="444" spans="1:15" x14ac:dyDescent="0.35">
      <c r="A444" t="s">
        <v>1010</v>
      </c>
      <c r="B444" t="s">
        <v>548</v>
      </c>
      <c r="C444" t="s">
        <v>552</v>
      </c>
      <c r="D444" t="s">
        <v>584</v>
      </c>
      <c r="E444">
        <v>385423</v>
      </c>
      <c r="F444">
        <v>436848.89</v>
      </c>
      <c r="G444">
        <f>IF(Table13[[#This Row],[Budget_Allocated_INR]]="","",Table13[[#This Row],[Amount_INR]]-Table13[[#This Row],[Budget_Allocated_INR]])</f>
        <v>-51425.890000000014</v>
      </c>
      <c r="H444">
        <v>-51425.89</v>
      </c>
      <c r="I444" s="1">
        <v>44956</v>
      </c>
      <c r="J444" t="s">
        <v>526</v>
      </c>
      <c r="K444" t="s">
        <v>560</v>
      </c>
      <c r="L444" t="s">
        <v>541</v>
      </c>
      <c r="M444" t="s">
        <v>537</v>
      </c>
      <c r="N444" t="s">
        <v>520</v>
      </c>
    </row>
    <row r="445" spans="1:15" x14ac:dyDescent="0.35">
      <c r="A445" t="s">
        <v>1011</v>
      </c>
      <c r="B445" t="s">
        <v>548</v>
      </c>
      <c r="C445" t="s">
        <v>586</v>
      </c>
      <c r="D445" t="s">
        <v>550</v>
      </c>
      <c r="E445">
        <v>39349</v>
      </c>
      <c r="G445" t="str">
        <f>IF(Table13[[#This Row],[Budget_Allocated_INR]]="","",Table13[[#This Row],[Amount_INR]]-Table13[[#This Row],[Budget_Allocated_INR]])</f>
        <v/>
      </c>
      <c r="H445">
        <v>-5428.59</v>
      </c>
      <c r="I445" s="1">
        <v>45180</v>
      </c>
      <c r="J445" t="s">
        <v>526</v>
      </c>
      <c r="K445" t="s">
        <v>517</v>
      </c>
      <c r="L445" t="s">
        <v>518</v>
      </c>
      <c r="M445" t="s">
        <v>554</v>
      </c>
      <c r="N445" t="s">
        <v>520</v>
      </c>
    </row>
    <row r="446" spans="1:15" x14ac:dyDescent="0.35">
      <c r="A446" t="s">
        <v>1012</v>
      </c>
      <c r="B446" t="s">
        <v>576</v>
      </c>
      <c r="C446" t="s">
        <v>596</v>
      </c>
      <c r="D446" t="s">
        <v>550</v>
      </c>
      <c r="E446">
        <v>211242</v>
      </c>
      <c r="F446">
        <v>197885.54</v>
      </c>
      <c r="G446">
        <f>IF(Table13[[#This Row],[Budget_Allocated_INR]]="","",Table13[[#This Row],[Amount_INR]]-Table13[[#This Row],[Budget_Allocated_INR]])</f>
        <v>13356.459999999992</v>
      </c>
      <c r="H446">
        <v>13356.46</v>
      </c>
      <c r="I446" s="1">
        <v>45380</v>
      </c>
      <c r="J446" t="s">
        <v>516</v>
      </c>
      <c r="K446" t="s">
        <v>540</v>
      </c>
      <c r="L446" t="s">
        <v>518</v>
      </c>
      <c r="M446" t="s">
        <v>537</v>
      </c>
      <c r="N446" t="s">
        <v>520</v>
      </c>
      <c r="O446" t="s">
        <v>521</v>
      </c>
    </row>
    <row r="447" spans="1:15" x14ac:dyDescent="0.35">
      <c r="A447" t="s">
        <v>1013</v>
      </c>
      <c r="B447" t="s">
        <v>534</v>
      </c>
      <c r="C447" t="s">
        <v>549</v>
      </c>
      <c r="D447" t="s">
        <v>535</v>
      </c>
      <c r="E447">
        <v>192510</v>
      </c>
      <c r="F447">
        <v>241497.34</v>
      </c>
      <c r="G447">
        <f>IF(Table13[[#This Row],[Budget_Allocated_INR]]="","",Table13[[#This Row],[Amount_INR]]-Table13[[#This Row],[Budget_Allocated_INR]])</f>
        <v>-48987.34</v>
      </c>
      <c r="H447">
        <v>-48987.34</v>
      </c>
      <c r="I447" s="1">
        <v>45683</v>
      </c>
      <c r="J447" t="s">
        <v>526</v>
      </c>
      <c r="K447" t="s">
        <v>517</v>
      </c>
      <c r="L447" t="s">
        <v>536</v>
      </c>
      <c r="M447" t="s">
        <v>537</v>
      </c>
      <c r="N447" t="s">
        <v>520</v>
      </c>
    </row>
    <row r="448" spans="1:15" x14ac:dyDescent="0.35">
      <c r="A448" t="s">
        <v>1014</v>
      </c>
      <c r="B448" t="s">
        <v>534</v>
      </c>
      <c r="C448" t="s">
        <v>581</v>
      </c>
      <c r="D448" t="s">
        <v>605</v>
      </c>
      <c r="E448">
        <v>372529</v>
      </c>
      <c r="F448">
        <v>330444.99</v>
      </c>
      <c r="G448">
        <f>IF(Table13[[#This Row],[Budget_Allocated_INR]]="","",Table13[[#This Row],[Amount_INR]]-Table13[[#This Row],[Budget_Allocated_INR]])</f>
        <v>42084.010000000009</v>
      </c>
      <c r="H448">
        <v>42084.01</v>
      </c>
      <c r="I448" s="1">
        <v>45362</v>
      </c>
      <c r="J448" t="s">
        <v>526</v>
      </c>
      <c r="K448" t="s">
        <v>540</v>
      </c>
      <c r="L448" t="s">
        <v>518</v>
      </c>
      <c r="M448" t="s">
        <v>537</v>
      </c>
      <c r="N448" t="s">
        <v>520</v>
      </c>
    </row>
    <row r="449" spans="1:15" x14ac:dyDescent="0.35">
      <c r="A449" t="s">
        <v>1015</v>
      </c>
      <c r="B449" t="s">
        <v>548</v>
      </c>
      <c r="C449" t="s">
        <v>531</v>
      </c>
      <c r="D449" t="s">
        <v>593</v>
      </c>
      <c r="E449">
        <v>124174</v>
      </c>
      <c r="F449">
        <v>134999.20000000001</v>
      </c>
      <c r="G449">
        <f>IF(Table13[[#This Row],[Budget_Allocated_INR]]="","",Table13[[#This Row],[Amount_INR]]-Table13[[#This Row],[Budget_Allocated_INR]])</f>
        <v>-10825.200000000012</v>
      </c>
      <c r="H449">
        <v>-10825.2</v>
      </c>
      <c r="I449" s="1">
        <v>45677</v>
      </c>
      <c r="J449" t="s">
        <v>526</v>
      </c>
      <c r="K449" t="s">
        <v>540</v>
      </c>
      <c r="L449" t="s">
        <v>536</v>
      </c>
      <c r="M449" t="s">
        <v>537</v>
      </c>
      <c r="N449" t="s">
        <v>520</v>
      </c>
    </row>
    <row r="450" spans="1:15" x14ac:dyDescent="0.35">
      <c r="A450" t="s">
        <v>1016</v>
      </c>
      <c r="B450" t="s">
        <v>548</v>
      </c>
      <c r="C450" t="s">
        <v>586</v>
      </c>
      <c r="D450" t="s">
        <v>559</v>
      </c>
      <c r="E450">
        <v>1513418</v>
      </c>
      <c r="F450">
        <v>1861019.9</v>
      </c>
      <c r="G450">
        <f>IF(Table13[[#This Row],[Budget_Allocated_INR]]="","",Table13[[#This Row],[Amount_INR]]-Table13[[#This Row],[Budget_Allocated_INR]])</f>
        <v>-347601.89999999991</v>
      </c>
      <c r="H450">
        <v>-347601.9</v>
      </c>
      <c r="I450" s="1">
        <v>45568</v>
      </c>
      <c r="J450" t="s">
        <v>526</v>
      </c>
      <c r="K450" t="s">
        <v>527</v>
      </c>
      <c r="L450" t="s">
        <v>536</v>
      </c>
      <c r="M450" t="s">
        <v>519</v>
      </c>
      <c r="N450" t="s">
        <v>520</v>
      </c>
    </row>
    <row r="451" spans="1:15" x14ac:dyDescent="0.35">
      <c r="A451" t="s">
        <v>1017</v>
      </c>
      <c r="B451" t="s">
        <v>534</v>
      </c>
      <c r="C451" t="s">
        <v>552</v>
      </c>
      <c r="D451" t="s">
        <v>515</v>
      </c>
      <c r="E451">
        <v>88024</v>
      </c>
      <c r="F451">
        <v>75983.5</v>
      </c>
      <c r="G451">
        <f>IF(Table13[[#This Row],[Budget_Allocated_INR]]="","",Table13[[#This Row],[Amount_INR]]-Table13[[#This Row],[Budget_Allocated_INR]])</f>
        <v>12040.5</v>
      </c>
      <c r="H451">
        <v>12040.5</v>
      </c>
      <c r="I451" s="1">
        <v>45315</v>
      </c>
      <c r="J451" t="s">
        <v>516</v>
      </c>
      <c r="K451" t="s">
        <v>560</v>
      </c>
      <c r="L451" t="s">
        <v>518</v>
      </c>
      <c r="M451" t="s">
        <v>554</v>
      </c>
      <c r="N451" t="s">
        <v>520</v>
      </c>
    </row>
    <row r="452" spans="1:15" x14ac:dyDescent="0.35">
      <c r="A452" t="s">
        <v>1018</v>
      </c>
      <c r="B452" t="s">
        <v>545</v>
      </c>
      <c r="C452" t="s">
        <v>552</v>
      </c>
      <c r="D452" t="s">
        <v>605</v>
      </c>
      <c r="E452">
        <v>155428</v>
      </c>
      <c r="F452">
        <v>159304.06</v>
      </c>
      <c r="G452">
        <f>IF(Table13[[#This Row],[Budget_Allocated_INR]]="","",Table13[[#This Row],[Amount_INR]]-Table13[[#This Row],[Budget_Allocated_INR]])</f>
        <v>-3876.0599999999977</v>
      </c>
      <c r="H452">
        <v>-3876.06</v>
      </c>
      <c r="I452" s="1">
        <v>45041</v>
      </c>
      <c r="J452" t="s">
        <v>526</v>
      </c>
      <c r="K452" t="s">
        <v>517</v>
      </c>
      <c r="L452" t="s">
        <v>518</v>
      </c>
      <c r="M452" t="s">
        <v>528</v>
      </c>
      <c r="N452" t="s">
        <v>520</v>
      </c>
    </row>
    <row r="453" spans="1:15" x14ac:dyDescent="0.35">
      <c r="A453" t="s">
        <v>1019</v>
      </c>
      <c r="B453" t="s">
        <v>545</v>
      </c>
      <c r="C453" t="s">
        <v>581</v>
      </c>
      <c r="D453" t="s">
        <v>539</v>
      </c>
      <c r="E453">
        <v>9342</v>
      </c>
      <c r="F453">
        <v>8812.44</v>
      </c>
      <c r="G453">
        <f>IF(Table13[[#This Row],[Budget_Allocated_INR]]="","",Table13[[#This Row],[Amount_INR]]-Table13[[#This Row],[Budget_Allocated_INR]])</f>
        <v>529.55999999999949</v>
      </c>
      <c r="H453">
        <v>529.55999999999995</v>
      </c>
      <c r="I453" s="1">
        <v>45352</v>
      </c>
      <c r="J453" t="s">
        <v>526</v>
      </c>
      <c r="K453" t="s">
        <v>560</v>
      </c>
      <c r="L453" t="s">
        <v>518</v>
      </c>
      <c r="M453" t="s">
        <v>537</v>
      </c>
      <c r="N453" t="s">
        <v>520</v>
      </c>
    </row>
    <row r="454" spans="1:15" x14ac:dyDescent="0.35">
      <c r="A454" t="s">
        <v>1020</v>
      </c>
      <c r="B454" t="s">
        <v>530</v>
      </c>
      <c r="C454" t="s">
        <v>552</v>
      </c>
      <c r="D454" t="s">
        <v>525</v>
      </c>
      <c r="E454">
        <v>459794</v>
      </c>
      <c r="F454">
        <v>495521.89</v>
      </c>
      <c r="G454">
        <f>IF(Table13[[#This Row],[Budget_Allocated_INR]]="","",Table13[[#This Row],[Amount_INR]]-Table13[[#This Row],[Budget_Allocated_INR]])</f>
        <v>-35727.890000000014</v>
      </c>
      <c r="H454">
        <v>-35727.89</v>
      </c>
      <c r="I454" s="1">
        <v>45256</v>
      </c>
      <c r="J454" t="s">
        <v>526</v>
      </c>
      <c r="K454" t="s">
        <v>540</v>
      </c>
      <c r="L454" t="s">
        <v>518</v>
      </c>
      <c r="M454" t="s">
        <v>546</v>
      </c>
      <c r="N454" t="s">
        <v>520</v>
      </c>
    </row>
    <row r="455" spans="1:15" x14ac:dyDescent="0.35">
      <c r="A455" t="s">
        <v>1021</v>
      </c>
      <c r="B455" t="s">
        <v>545</v>
      </c>
      <c r="C455" t="s">
        <v>531</v>
      </c>
      <c r="D455" t="s">
        <v>588</v>
      </c>
      <c r="E455">
        <v>1152819</v>
      </c>
      <c r="F455">
        <v>976232.83</v>
      </c>
      <c r="G455">
        <f>IF(Table13[[#This Row],[Budget_Allocated_INR]]="","",Table13[[#This Row],[Amount_INR]]-Table13[[#This Row],[Budget_Allocated_INR]])</f>
        <v>176586.17000000004</v>
      </c>
      <c r="H455">
        <v>176586.17</v>
      </c>
      <c r="I455" s="1">
        <v>45329</v>
      </c>
      <c r="J455" t="s">
        <v>526</v>
      </c>
      <c r="K455" t="s">
        <v>540</v>
      </c>
      <c r="L455" t="s">
        <v>518</v>
      </c>
      <c r="M455" t="s">
        <v>519</v>
      </c>
      <c r="N455" t="s">
        <v>520</v>
      </c>
    </row>
    <row r="456" spans="1:15" x14ac:dyDescent="0.35">
      <c r="A456" t="s">
        <v>1022</v>
      </c>
      <c r="B456" t="s">
        <v>79</v>
      </c>
      <c r="C456" t="s">
        <v>558</v>
      </c>
      <c r="D456" t="s">
        <v>588</v>
      </c>
      <c r="E456">
        <v>124434</v>
      </c>
      <c r="F456">
        <v>102991.71</v>
      </c>
      <c r="G456">
        <f>IF(Table13[[#This Row],[Budget_Allocated_INR]]="","",Table13[[#This Row],[Amount_INR]]-Table13[[#This Row],[Budget_Allocated_INR]])</f>
        <v>21442.289999999994</v>
      </c>
      <c r="H456">
        <v>21442.29</v>
      </c>
      <c r="I456" s="1">
        <v>45054</v>
      </c>
      <c r="J456" t="s">
        <v>597</v>
      </c>
      <c r="K456" t="s">
        <v>527</v>
      </c>
      <c r="L456" t="s">
        <v>518</v>
      </c>
      <c r="M456" t="s">
        <v>554</v>
      </c>
      <c r="N456" t="s">
        <v>520</v>
      </c>
    </row>
    <row r="457" spans="1:15" x14ac:dyDescent="0.35">
      <c r="A457" t="s">
        <v>1023</v>
      </c>
      <c r="B457" t="s">
        <v>530</v>
      </c>
      <c r="C457" t="s">
        <v>599</v>
      </c>
      <c r="D457" t="s">
        <v>563</v>
      </c>
      <c r="E457">
        <v>337273</v>
      </c>
      <c r="F457">
        <v>283126.71000000002</v>
      </c>
      <c r="G457">
        <f>IF(Table13[[#This Row],[Budget_Allocated_INR]]="","",Table13[[#This Row],[Amount_INR]]-Table13[[#This Row],[Budget_Allocated_INR]])</f>
        <v>54146.289999999979</v>
      </c>
      <c r="H457">
        <v>54146.29</v>
      </c>
      <c r="I457" s="1">
        <v>45037</v>
      </c>
      <c r="J457" t="s">
        <v>526</v>
      </c>
      <c r="K457" t="s">
        <v>517</v>
      </c>
      <c r="L457" t="s">
        <v>518</v>
      </c>
      <c r="M457" t="s">
        <v>537</v>
      </c>
      <c r="N457" t="s">
        <v>520</v>
      </c>
    </row>
    <row r="458" spans="1:15" x14ac:dyDescent="0.35">
      <c r="A458" t="s">
        <v>1024</v>
      </c>
      <c r="B458" t="s">
        <v>548</v>
      </c>
      <c r="C458" t="s">
        <v>531</v>
      </c>
      <c r="D458" t="s">
        <v>525</v>
      </c>
      <c r="E458">
        <v>366383</v>
      </c>
      <c r="G458" t="str">
        <f>IF(Table13[[#This Row],[Budget_Allocated_INR]]="","",Table13[[#This Row],[Amount_INR]]-Table13[[#This Row],[Budget_Allocated_INR]])</f>
        <v/>
      </c>
      <c r="H458">
        <v>-3244.17</v>
      </c>
      <c r="I458" s="1">
        <v>45373</v>
      </c>
      <c r="J458" t="s">
        <v>516</v>
      </c>
      <c r="K458" t="s">
        <v>560</v>
      </c>
      <c r="L458" t="s">
        <v>518</v>
      </c>
      <c r="M458" t="s">
        <v>537</v>
      </c>
      <c r="N458" t="s">
        <v>520</v>
      </c>
      <c r="O458" t="s">
        <v>521</v>
      </c>
    </row>
    <row r="459" spans="1:15" x14ac:dyDescent="0.35">
      <c r="A459" t="s">
        <v>1025</v>
      </c>
      <c r="B459" t="s">
        <v>523</v>
      </c>
      <c r="C459" t="s">
        <v>549</v>
      </c>
      <c r="D459" t="s">
        <v>535</v>
      </c>
      <c r="E459">
        <v>185302</v>
      </c>
      <c r="G459" t="str">
        <f>IF(Table13[[#This Row],[Budget_Allocated_INR]]="","",Table13[[#This Row],[Amount_INR]]-Table13[[#This Row],[Budget_Allocated_INR]])</f>
        <v/>
      </c>
      <c r="H459">
        <v>144.37</v>
      </c>
      <c r="I459" s="1">
        <v>44943</v>
      </c>
      <c r="J459" t="s">
        <v>526</v>
      </c>
      <c r="K459" t="s">
        <v>540</v>
      </c>
      <c r="L459" t="s">
        <v>541</v>
      </c>
      <c r="M459" t="s">
        <v>537</v>
      </c>
      <c r="N459" t="s">
        <v>520</v>
      </c>
    </row>
    <row r="460" spans="1:15" x14ac:dyDescent="0.35">
      <c r="A460" t="s">
        <v>1026</v>
      </c>
      <c r="B460" t="s">
        <v>545</v>
      </c>
      <c r="C460" t="s">
        <v>531</v>
      </c>
      <c r="D460" t="s">
        <v>588</v>
      </c>
      <c r="E460">
        <v>1730163</v>
      </c>
      <c r="F460">
        <v>1962863.34</v>
      </c>
      <c r="G460">
        <f>IF(Table13[[#This Row],[Budget_Allocated_INR]]="","",Table13[[#This Row],[Amount_INR]]-Table13[[#This Row],[Budget_Allocated_INR]])</f>
        <v>-232700.34000000008</v>
      </c>
      <c r="H460">
        <v>-232700.34</v>
      </c>
      <c r="I460" s="1">
        <v>45569</v>
      </c>
      <c r="J460" t="s">
        <v>597</v>
      </c>
      <c r="K460" t="s">
        <v>527</v>
      </c>
      <c r="L460" t="s">
        <v>536</v>
      </c>
      <c r="M460" t="s">
        <v>554</v>
      </c>
      <c r="N460" t="s">
        <v>520</v>
      </c>
      <c r="O460" t="s">
        <v>521</v>
      </c>
    </row>
    <row r="461" spans="1:15" x14ac:dyDescent="0.35">
      <c r="A461" t="s">
        <v>1027</v>
      </c>
      <c r="B461" t="s">
        <v>576</v>
      </c>
      <c r="C461" t="s">
        <v>562</v>
      </c>
      <c r="D461" t="s">
        <v>593</v>
      </c>
      <c r="E461">
        <v>431195</v>
      </c>
      <c r="F461">
        <v>354014.53</v>
      </c>
      <c r="G461">
        <f>IF(Table13[[#This Row],[Budget_Allocated_INR]]="","",Table13[[#This Row],[Amount_INR]]-Table13[[#This Row],[Budget_Allocated_INR]])</f>
        <v>77180.469999999972</v>
      </c>
      <c r="H461">
        <v>77180.47</v>
      </c>
      <c r="I461" s="1">
        <v>44981</v>
      </c>
      <c r="J461" t="s">
        <v>526</v>
      </c>
      <c r="K461" t="s">
        <v>527</v>
      </c>
      <c r="L461" t="s">
        <v>541</v>
      </c>
      <c r="M461" t="s">
        <v>519</v>
      </c>
      <c r="N461" t="s">
        <v>520</v>
      </c>
    </row>
    <row r="462" spans="1:15" x14ac:dyDescent="0.35">
      <c r="A462" t="s">
        <v>1028</v>
      </c>
      <c r="B462" t="s">
        <v>523</v>
      </c>
      <c r="C462" t="s">
        <v>543</v>
      </c>
      <c r="D462" t="s">
        <v>605</v>
      </c>
      <c r="E462">
        <v>468114</v>
      </c>
      <c r="F462">
        <v>486733.61</v>
      </c>
      <c r="G462">
        <f>IF(Table13[[#This Row],[Budget_Allocated_INR]]="","",Table13[[#This Row],[Amount_INR]]-Table13[[#This Row],[Budget_Allocated_INR]])</f>
        <v>-18619.609999999986</v>
      </c>
      <c r="H462">
        <v>-18619.61</v>
      </c>
      <c r="I462" s="1">
        <v>45612</v>
      </c>
      <c r="J462" t="s">
        <v>526</v>
      </c>
      <c r="K462" t="s">
        <v>540</v>
      </c>
      <c r="L462" t="s">
        <v>536</v>
      </c>
      <c r="M462" t="s">
        <v>519</v>
      </c>
      <c r="N462" t="s">
        <v>520</v>
      </c>
    </row>
    <row r="463" spans="1:15" x14ac:dyDescent="0.35">
      <c r="A463" t="s">
        <v>1029</v>
      </c>
      <c r="B463" t="s">
        <v>576</v>
      </c>
      <c r="C463" t="s">
        <v>599</v>
      </c>
      <c r="D463" t="s">
        <v>515</v>
      </c>
      <c r="E463">
        <v>106866</v>
      </c>
      <c r="F463">
        <v>111424.06</v>
      </c>
      <c r="G463">
        <f>IF(Table13[[#This Row],[Budget_Allocated_INR]]="","",Table13[[#This Row],[Amount_INR]]-Table13[[#This Row],[Budget_Allocated_INR]])</f>
        <v>-4558.0599999999977</v>
      </c>
      <c r="H463">
        <v>-4558.0600000000004</v>
      </c>
      <c r="I463" s="1">
        <v>45078</v>
      </c>
      <c r="J463" t="s">
        <v>516</v>
      </c>
      <c r="K463" t="s">
        <v>560</v>
      </c>
      <c r="L463" t="s">
        <v>518</v>
      </c>
      <c r="M463" t="s">
        <v>519</v>
      </c>
      <c r="N463" t="s">
        <v>520</v>
      </c>
    </row>
    <row r="464" spans="1:15" x14ac:dyDescent="0.35">
      <c r="A464" t="s">
        <v>1030</v>
      </c>
      <c r="B464" t="s">
        <v>534</v>
      </c>
      <c r="C464" t="s">
        <v>596</v>
      </c>
      <c r="D464" t="s">
        <v>571</v>
      </c>
      <c r="E464">
        <v>136390</v>
      </c>
      <c r="F464">
        <v>114143.32</v>
      </c>
      <c r="G464">
        <f>IF(Table13[[#This Row],[Budget_Allocated_INR]]="","",Table13[[#This Row],[Amount_INR]]-Table13[[#This Row],[Budget_Allocated_INR]])</f>
        <v>22246.679999999993</v>
      </c>
      <c r="H464">
        <v>22246.68</v>
      </c>
      <c r="I464" s="1">
        <v>45028</v>
      </c>
      <c r="J464" t="s">
        <v>526</v>
      </c>
      <c r="K464" t="s">
        <v>540</v>
      </c>
      <c r="L464" t="s">
        <v>518</v>
      </c>
      <c r="M464" t="s">
        <v>537</v>
      </c>
      <c r="N464" t="s">
        <v>520</v>
      </c>
    </row>
    <row r="465" spans="1:15" x14ac:dyDescent="0.35">
      <c r="A465" t="s">
        <v>1031</v>
      </c>
      <c r="B465" t="s">
        <v>565</v>
      </c>
      <c r="C465" t="s">
        <v>552</v>
      </c>
      <c r="D465" t="s">
        <v>550</v>
      </c>
      <c r="E465">
        <v>184423</v>
      </c>
      <c r="F465">
        <v>189513.63</v>
      </c>
      <c r="G465">
        <f>IF(Table13[[#This Row],[Budget_Allocated_INR]]="","",Table13[[#This Row],[Amount_INR]]-Table13[[#This Row],[Budget_Allocated_INR]])</f>
        <v>-5090.6300000000047</v>
      </c>
      <c r="H465">
        <v>-5090.63</v>
      </c>
      <c r="I465" s="1">
        <v>45679</v>
      </c>
      <c r="J465" t="s">
        <v>526</v>
      </c>
      <c r="K465" t="s">
        <v>517</v>
      </c>
      <c r="L465" t="s">
        <v>536</v>
      </c>
      <c r="M465" t="s">
        <v>537</v>
      </c>
      <c r="N465" t="s">
        <v>520</v>
      </c>
    </row>
    <row r="466" spans="1:15" x14ac:dyDescent="0.35">
      <c r="A466" t="s">
        <v>1032</v>
      </c>
      <c r="B466" t="s">
        <v>530</v>
      </c>
      <c r="C466" t="s">
        <v>543</v>
      </c>
      <c r="D466" t="s">
        <v>539</v>
      </c>
      <c r="E466">
        <v>135949</v>
      </c>
      <c r="F466">
        <v>145617.13</v>
      </c>
      <c r="G466">
        <f>IF(Table13[[#This Row],[Budget_Allocated_INR]]="","",Table13[[#This Row],[Amount_INR]]-Table13[[#This Row],[Budget_Allocated_INR]])</f>
        <v>-9668.1300000000047</v>
      </c>
      <c r="H466">
        <v>-9668.1299999999992</v>
      </c>
      <c r="I466" s="1">
        <v>45664</v>
      </c>
      <c r="J466" t="s">
        <v>526</v>
      </c>
      <c r="K466" t="s">
        <v>540</v>
      </c>
      <c r="L466" t="s">
        <v>536</v>
      </c>
      <c r="M466" t="s">
        <v>537</v>
      </c>
      <c r="N466" t="s">
        <v>520</v>
      </c>
    </row>
    <row r="467" spans="1:15" x14ac:dyDescent="0.35">
      <c r="A467" t="s">
        <v>1033</v>
      </c>
      <c r="B467" t="s">
        <v>530</v>
      </c>
      <c r="C467" t="s">
        <v>599</v>
      </c>
      <c r="D467" t="s">
        <v>634</v>
      </c>
      <c r="E467">
        <v>355013</v>
      </c>
      <c r="F467">
        <v>433873.38</v>
      </c>
      <c r="G467">
        <f>IF(Table13[[#This Row],[Budget_Allocated_INR]]="","",Table13[[#This Row],[Amount_INR]]-Table13[[#This Row],[Budget_Allocated_INR]])</f>
        <v>-78860.38</v>
      </c>
      <c r="H467">
        <v>-78860.38</v>
      </c>
      <c r="I467" s="1">
        <v>45532</v>
      </c>
      <c r="J467" t="s">
        <v>526</v>
      </c>
      <c r="K467" t="s">
        <v>517</v>
      </c>
      <c r="L467" t="s">
        <v>536</v>
      </c>
      <c r="M467" t="s">
        <v>537</v>
      </c>
      <c r="N467" t="s">
        <v>520</v>
      </c>
    </row>
    <row r="468" spans="1:15" x14ac:dyDescent="0.35">
      <c r="A468" t="s">
        <v>1034</v>
      </c>
      <c r="B468" t="s">
        <v>576</v>
      </c>
      <c r="C468" t="s">
        <v>562</v>
      </c>
      <c r="D468" t="s">
        <v>539</v>
      </c>
      <c r="E468">
        <v>-381127</v>
      </c>
      <c r="F468">
        <v>468418.11</v>
      </c>
      <c r="G468">
        <f>IF(Table13[[#This Row],[Budget_Allocated_INR]]="","",Table13[[#This Row],[Amount_INR]]-Table13[[#This Row],[Budget_Allocated_INR]])</f>
        <v>-849545.11</v>
      </c>
      <c r="H468">
        <v>-87291.11</v>
      </c>
      <c r="I468" s="1">
        <v>45006</v>
      </c>
      <c r="J468" t="s">
        <v>516</v>
      </c>
      <c r="K468" t="s">
        <v>540</v>
      </c>
      <c r="L468" t="s">
        <v>541</v>
      </c>
      <c r="M468" t="s">
        <v>537</v>
      </c>
      <c r="N468" t="s">
        <v>582</v>
      </c>
    </row>
    <row r="469" spans="1:15" x14ac:dyDescent="0.35">
      <c r="A469" t="s">
        <v>1035</v>
      </c>
      <c r="B469" t="s">
        <v>548</v>
      </c>
      <c r="C469" t="s">
        <v>552</v>
      </c>
      <c r="D469" t="s">
        <v>539</v>
      </c>
      <c r="E469">
        <v>229598</v>
      </c>
      <c r="F469">
        <v>234101.51</v>
      </c>
      <c r="G469">
        <f>IF(Table13[[#This Row],[Budget_Allocated_INR]]="","",Table13[[#This Row],[Amount_INR]]-Table13[[#This Row],[Budget_Allocated_INR]])</f>
        <v>-4503.5100000000093</v>
      </c>
      <c r="H469">
        <v>-4503.51</v>
      </c>
      <c r="I469" s="1">
        <v>44973</v>
      </c>
      <c r="J469" t="s">
        <v>516</v>
      </c>
      <c r="K469" t="s">
        <v>517</v>
      </c>
      <c r="L469" t="s">
        <v>541</v>
      </c>
      <c r="M469" t="s">
        <v>568</v>
      </c>
      <c r="N469" t="s">
        <v>520</v>
      </c>
      <c r="O469" t="s">
        <v>521</v>
      </c>
    </row>
    <row r="470" spans="1:15" x14ac:dyDescent="0.35">
      <c r="A470" t="s">
        <v>1036</v>
      </c>
      <c r="B470" t="s">
        <v>523</v>
      </c>
      <c r="C470" t="s">
        <v>543</v>
      </c>
      <c r="D470" t="s">
        <v>563</v>
      </c>
      <c r="E470">
        <v>352503</v>
      </c>
      <c r="F470">
        <v>351974.97</v>
      </c>
      <c r="G470">
        <f>IF(Table13[[#This Row],[Budget_Allocated_INR]]="","",Table13[[#This Row],[Amount_INR]]-Table13[[#This Row],[Budget_Allocated_INR]])</f>
        <v>528.03000000002794</v>
      </c>
      <c r="I470" s="1">
        <v>45118</v>
      </c>
      <c r="J470" t="s">
        <v>526</v>
      </c>
      <c r="K470" t="s">
        <v>527</v>
      </c>
      <c r="L470" t="s">
        <v>518</v>
      </c>
      <c r="M470" t="s">
        <v>519</v>
      </c>
      <c r="N470" t="s">
        <v>520</v>
      </c>
    </row>
    <row r="471" spans="1:15" x14ac:dyDescent="0.35">
      <c r="A471" t="s">
        <v>1037</v>
      </c>
      <c r="B471" t="s">
        <v>548</v>
      </c>
      <c r="C471" t="s">
        <v>581</v>
      </c>
      <c r="D471" t="s">
        <v>571</v>
      </c>
      <c r="E471">
        <v>404119</v>
      </c>
      <c r="F471">
        <v>507789.71</v>
      </c>
      <c r="G471">
        <f>IF(Table13[[#This Row],[Budget_Allocated_INR]]="","",Table13[[#This Row],[Amount_INR]]-Table13[[#This Row],[Budget_Allocated_INR]])</f>
        <v>-103670.71000000002</v>
      </c>
      <c r="H471">
        <v>-103670.71</v>
      </c>
      <c r="I471" s="1">
        <v>45687</v>
      </c>
      <c r="J471" t="s">
        <v>516</v>
      </c>
      <c r="K471" t="s">
        <v>540</v>
      </c>
      <c r="L471" t="s">
        <v>536</v>
      </c>
      <c r="M471" t="s">
        <v>537</v>
      </c>
      <c r="N471" t="s">
        <v>520</v>
      </c>
      <c r="O471" t="s">
        <v>521</v>
      </c>
    </row>
    <row r="472" spans="1:15" x14ac:dyDescent="0.35">
      <c r="A472" t="s">
        <v>1038</v>
      </c>
      <c r="B472" t="s">
        <v>548</v>
      </c>
      <c r="C472" t="s">
        <v>549</v>
      </c>
      <c r="D472" t="s">
        <v>563</v>
      </c>
      <c r="E472">
        <v>237486</v>
      </c>
      <c r="G472" t="str">
        <f>IF(Table13[[#This Row],[Budget_Allocated_INR]]="","",Table13[[#This Row],[Amount_INR]]-Table13[[#This Row],[Budget_Allocated_INR]])</f>
        <v/>
      </c>
      <c r="H472">
        <v>-62189.72</v>
      </c>
      <c r="I472" s="1">
        <v>45545</v>
      </c>
      <c r="J472" t="s">
        <v>526</v>
      </c>
      <c r="K472" t="s">
        <v>540</v>
      </c>
      <c r="L472" t="s">
        <v>536</v>
      </c>
      <c r="M472" t="s">
        <v>554</v>
      </c>
      <c r="N472" t="s">
        <v>520</v>
      </c>
    </row>
    <row r="473" spans="1:15" x14ac:dyDescent="0.35">
      <c r="A473" t="s">
        <v>1039</v>
      </c>
      <c r="B473" t="s">
        <v>548</v>
      </c>
      <c r="C473" t="s">
        <v>596</v>
      </c>
      <c r="D473" t="s">
        <v>571</v>
      </c>
      <c r="E473">
        <v>433693</v>
      </c>
      <c r="F473">
        <v>367031.48</v>
      </c>
      <c r="G473">
        <f>IF(Table13[[#This Row],[Budget_Allocated_INR]]="","",Table13[[#This Row],[Amount_INR]]-Table13[[#This Row],[Budget_Allocated_INR]])</f>
        <v>66661.520000000019</v>
      </c>
      <c r="H473">
        <v>66661.52</v>
      </c>
      <c r="I473" s="1">
        <v>45297</v>
      </c>
      <c r="J473" t="s">
        <v>526</v>
      </c>
      <c r="K473" t="s">
        <v>517</v>
      </c>
      <c r="L473" t="s">
        <v>518</v>
      </c>
      <c r="M473" t="s">
        <v>546</v>
      </c>
      <c r="N473" t="s">
        <v>520</v>
      </c>
    </row>
    <row r="474" spans="1:15" x14ac:dyDescent="0.35">
      <c r="A474" t="s">
        <v>1040</v>
      </c>
      <c r="B474" t="s">
        <v>545</v>
      </c>
      <c r="C474" t="s">
        <v>558</v>
      </c>
      <c r="D474" t="s">
        <v>535</v>
      </c>
      <c r="E474">
        <v>96611</v>
      </c>
      <c r="F474">
        <v>108653.68</v>
      </c>
      <c r="G474">
        <f>IF(Table13[[#This Row],[Budget_Allocated_INR]]="","",Table13[[#This Row],[Amount_INR]]-Table13[[#This Row],[Budget_Allocated_INR]])</f>
        <v>-12042.679999999993</v>
      </c>
      <c r="H474">
        <v>-12042.68</v>
      </c>
      <c r="I474" s="1">
        <v>45297</v>
      </c>
      <c r="J474" t="s">
        <v>597</v>
      </c>
      <c r="K474" t="s">
        <v>517</v>
      </c>
      <c r="L474" t="s">
        <v>518</v>
      </c>
      <c r="M474" t="s">
        <v>546</v>
      </c>
      <c r="N474" t="s">
        <v>520</v>
      </c>
    </row>
    <row r="475" spans="1:15" x14ac:dyDescent="0.35">
      <c r="A475" t="s">
        <v>1041</v>
      </c>
      <c r="B475" t="s">
        <v>545</v>
      </c>
      <c r="C475" t="s">
        <v>531</v>
      </c>
      <c r="D475" t="s">
        <v>588</v>
      </c>
      <c r="E475">
        <v>183443</v>
      </c>
      <c r="F475">
        <v>197492.61</v>
      </c>
      <c r="G475">
        <f>IF(Table13[[#This Row],[Budget_Allocated_INR]]="","",Table13[[#This Row],[Amount_INR]]-Table13[[#This Row],[Budget_Allocated_INR]])</f>
        <v>-14049.609999999986</v>
      </c>
      <c r="H475">
        <v>-14049.61</v>
      </c>
      <c r="I475" s="1">
        <v>45476</v>
      </c>
      <c r="J475" t="s">
        <v>516</v>
      </c>
      <c r="K475" t="s">
        <v>517</v>
      </c>
      <c r="L475" t="s">
        <v>536</v>
      </c>
      <c r="M475" t="s">
        <v>528</v>
      </c>
      <c r="N475" t="s">
        <v>520</v>
      </c>
    </row>
    <row r="476" spans="1:15" x14ac:dyDescent="0.35">
      <c r="A476" t="s">
        <v>1042</v>
      </c>
      <c r="B476" t="s">
        <v>545</v>
      </c>
      <c r="C476" t="s">
        <v>562</v>
      </c>
      <c r="D476" t="s">
        <v>559</v>
      </c>
      <c r="E476">
        <v>174207</v>
      </c>
      <c r="F476">
        <v>212011.61</v>
      </c>
      <c r="G476">
        <f>IF(Table13[[#This Row],[Budget_Allocated_INR]]="","",Table13[[#This Row],[Amount_INR]]-Table13[[#This Row],[Budget_Allocated_INR]])</f>
        <v>-37804.609999999986</v>
      </c>
      <c r="H476">
        <v>-37804.61</v>
      </c>
      <c r="I476" s="1">
        <v>45597</v>
      </c>
      <c r="J476" t="s">
        <v>526</v>
      </c>
      <c r="K476" t="s">
        <v>517</v>
      </c>
      <c r="L476" t="s">
        <v>536</v>
      </c>
      <c r="M476" t="s">
        <v>528</v>
      </c>
      <c r="N476" t="s">
        <v>520</v>
      </c>
    </row>
    <row r="477" spans="1:15" x14ac:dyDescent="0.35">
      <c r="A477" t="s">
        <v>1043</v>
      </c>
      <c r="B477" t="s">
        <v>576</v>
      </c>
      <c r="C477" t="s">
        <v>514</v>
      </c>
      <c r="D477" t="s">
        <v>553</v>
      </c>
      <c r="E477">
        <v>396708</v>
      </c>
      <c r="F477">
        <v>357430.06</v>
      </c>
      <c r="G477">
        <f>IF(Table13[[#This Row],[Budget_Allocated_INR]]="","",Table13[[#This Row],[Amount_INR]]-Table13[[#This Row],[Budget_Allocated_INR]])</f>
        <v>39277.94</v>
      </c>
      <c r="H477">
        <v>39277.94</v>
      </c>
      <c r="I477" s="1">
        <v>45410</v>
      </c>
      <c r="J477" t="s">
        <v>526</v>
      </c>
      <c r="K477" t="s">
        <v>540</v>
      </c>
      <c r="L477" t="s">
        <v>536</v>
      </c>
      <c r="M477" t="s">
        <v>519</v>
      </c>
      <c r="N477" t="s">
        <v>520</v>
      </c>
    </row>
    <row r="478" spans="1:15" x14ac:dyDescent="0.35">
      <c r="A478" t="s">
        <v>1044</v>
      </c>
      <c r="B478" t="s">
        <v>548</v>
      </c>
      <c r="C478" t="s">
        <v>531</v>
      </c>
      <c r="D478" t="s">
        <v>584</v>
      </c>
      <c r="E478">
        <v>341837</v>
      </c>
      <c r="F478">
        <v>347284.19</v>
      </c>
      <c r="G478">
        <f>IF(Table13[[#This Row],[Budget_Allocated_INR]]="","",Table13[[#This Row],[Amount_INR]]-Table13[[#This Row],[Budget_Allocated_INR]])</f>
        <v>-5447.1900000000023</v>
      </c>
      <c r="H478">
        <v>-5447.19</v>
      </c>
      <c r="I478" s="1">
        <v>45249</v>
      </c>
      <c r="J478" t="s">
        <v>526</v>
      </c>
      <c r="K478" t="s">
        <v>527</v>
      </c>
      <c r="L478" t="s">
        <v>518</v>
      </c>
      <c r="M478" t="s">
        <v>537</v>
      </c>
      <c r="N478" t="s">
        <v>520</v>
      </c>
    </row>
    <row r="479" spans="1:15" x14ac:dyDescent="0.35">
      <c r="A479" t="s">
        <v>1045</v>
      </c>
      <c r="B479" t="s">
        <v>565</v>
      </c>
      <c r="C479" t="s">
        <v>552</v>
      </c>
      <c r="D479" t="s">
        <v>559</v>
      </c>
      <c r="E479">
        <v>376158</v>
      </c>
      <c r="F479">
        <v>339960.48</v>
      </c>
      <c r="G479">
        <f>IF(Table13[[#This Row],[Budget_Allocated_INR]]="","",Table13[[#This Row],[Amount_INR]]-Table13[[#This Row],[Budget_Allocated_INR]])</f>
        <v>36197.520000000019</v>
      </c>
      <c r="H479">
        <v>36197.519999999997</v>
      </c>
      <c r="I479" s="1">
        <v>45013</v>
      </c>
      <c r="J479" t="s">
        <v>526</v>
      </c>
      <c r="K479" t="s">
        <v>517</v>
      </c>
      <c r="L479" t="s">
        <v>541</v>
      </c>
      <c r="M479" t="s">
        <v>537</v>
      </c>
      <c r="N479" t="s">
        <v>520</v>
      </c>
    </row>
    <row r="480" spans="1:15" x14ac:dyDescent="0.35">
      <c r="A480" t="s">
        <v>1046</v>
      </c>
      <c r="B480" t="s">
        <v>523</v>
      </c>
      <c r="C480" t="s">
        <v>514</v>
      </c>
      <c r="D480" t="s">
        <v>588</v>
      </c>
      <c r="E480">
        <v>458826</v>
      </c>
      <c r="F480">
        <v>457487.77</v>
      </c>
      <c r="G480">
        <f>IF(Table13[[#This Row],[Budget_Allocated_INR]]="","",Table13[[#This Row],[Amount_INR]]-Table13[[#This Row],[Budget_Allocated_INR]])</f>
        <v>1338.2299999999814</v>
      </c>
      <c r="H480">
        <v>1338.23</v>
      </c>
      <c r="I480" s="1">
        <v>45206</v>
      </c>
      <c r="J480" t="s">
        <v>526</v>
      </c>
      <c r="K480" t="s">
        <v>527</v>
      </c>
      <c r="L480" t="s">
        <v>518</v>
      </c>
      <c r="M480" t="s">
        <v>568</v>
      </c>
      <c r="N480" t="s">
        <v>520</v>
      </c>
    </row>
    <row r="481" spans="1:15" x14ac:dyDescent="0.35">
      <c r="A481" t="s">
        <v>1047</v>
      </c>
      <c r="B481" t="s">
        <v>548</v>
      </c>
      <c r="C481" t="s">
        <v>596</v>
      </c>
      <c r="D481" t="s">
        <v>525</v>
      </c>
      <c r="E481">
        <v>420952</v>
      </c>
      <c r="F481">
        <v>369624.75</v>
      </c>
      <c r="G481">
        <f>IF(Table13[[#This Row],[Budget_Allocated_INR]]="","",Table13[[#This Row],[Amount_INR]]-Table13[[#This Row],[Budget_Allocated_INR]])</f>
        <v>51327.25</v>
      </c>
      <c r="H481">
        <v>51327.25</v>
      </c>
      <c r="I481" s="1">
        <v>45507</v>
      </c>
      <c r="J481" t="s">
        <v>526</v>
      </c>
      <c r="K481" t="s">
        <v>517</v>
      </c>
      <c r="L481" t="s">
        <v>536</v>
      </c>
      <c r="M481" t="s">
        <v>537</v>
      </c>
      <c r="N481" t="s">
        <v>520</v>
      </c>
    </row>
    <row r="482" spans="1:15" x14ac:dyDescent="0.35">
      <c r="A482" t="s">
        <v>1048</v>
      </c>
      <c r="B482" t="s">
        <v>565</v>
      </c>
      <c r="C482" t="s">
        <v>552</v>
      </c>
      <c r="D482" t="s">
        <v>535</v>
      </c>
      <c r="E482">
        <v>337906</v>
      </c>
      <c r="F482">
        <v>276385.51</v>
      </c>
      <c r="G482">
        <f>IF(Table13[[#This Row],[Budget_Allocated_INR]]="","",Table13[[#This Row],[Amount_INR]]-Table13[[#This Row],[Budget_Allocated_INR]])</f>
        <v>61520.489999999991</v>
      </c>
      <c r="H482">
        <v>61520.49</v>
      </c>
      <c r="I482" s="1">
        <v>45248</v>
      </c>
      <c r="J482" t="s">
        <v>526</v>
      </c>
      <c r="K482" t="s">
        <v>527</v>
      </c>
      <c r="L482" t="s">
        <v>518</v>
      </c>
      <c r="M482" t="s">
        <v>554</v>
      </c>
      <c r="N482" t="s">
        <v>520</v>
      </c>
    </row>
    <row r="483" spans="1:15" x14ac:dyDescent="0.35">
      <c r="A483" t="s">
        <v>1049</v>
      </c>
      <c r="B483" t="s">
        <v>530</v>
      </c>
      <c r="C483" t="s">
        <v>549</v>
      </c>
      <c r="D483" t="s">
        <v>571</v>
      </c>
      <c r="E483">
        <v>164440</v>
      </c>
      <c r="F483">
        <v>178586.21</v>
      </c>
      <c r="G483">
        <f>IF(Table13[[#This Row],[Budget_Allocated_INR]]="","",Table13[[#This Row],[Amount_INR]]-Table13[[#This Row],[Budget_Allocated_INR]])</f>
        <v>-14146.209999999992</v>
      </c>
      <c r="H483">
        <v>-14146.21</v>
      </c>
      <c r="I483" s="1">
        <v>45135</v>
      </c>
      <c r="J483" t="s">
        <v>526</v>
      </c>
      <c r="K483" t="s">
        <v>517</v>
      </c>
      <c r="L483" t="s">
        <v>518</v>
      </c>
      <c r="M483" t="s">
        <v>537</v>
      </c>
      <c r="N483" t="s">
        <v>520</v>
      </c>
    </row>
    <row r="484" spans="1:15" x14ac:dyDescent="0.35">
      <c r="A484" t="s">
        <v>1050</v>
      </c>
      <c r="B484" t="s">
        <v>545</v>
      </c>
      <c r="C484" t="s">
        <v>599</v>
      </c>
      <c r="D484" t="s">
        <v>593</v>
      </c>
      <c r="E484">
        <v>32187</v>
      </c>
      <c r="F484">
        <v>34475.03</v>
      </c>
      <c r="G484">
        <f>IF(Table13[[#This Row],[Budget_Allocated_INR]]="","",Table13[[#This Row],[Amount_INR]]-Table13[[#This Row],[Budget_Allocated_INR]])</f>
        <v>-2288.0299999999988</v>
      </c>
      <c r="H484">
        <v>-2288.0300000000002</v>
      </c>
      <c r="I484" s="1">
        <v>45707</v>
      </c>
      <c r="J484" t="s">
        <v>516</v>
      </c>
      <c r="K484" t="s">
        <v>540</v>
      </c>
      <c r="L484" t="s">
        <v>536</v>
      </c>
      <c r="M484" t="s">
        <v>568</v>
      </c>
      <c r="N484" t="s">
        <v>520</v>
      </c>
    </row>
    <row r="485" spans="1:15" x14ac:dyDescent="0.35">
      <c r="A485" t="s">
        <v>1051</v>
      </c>
      <c r="B485" t="s">
        <v>548</v>
      </c>
      <c r="C485" t="s">
        <v>599</v>
      </c>
      <c r="D485" t="s">
        <v>574</v>
      </c>
      <c r="E485">
        <v>324601</v>
      </c>
      <c r="F485">
        <v>287171.81</v>
      </c>
      <c r="G485">
        <f>IF(Table13[[#This Row],[Budget_Allocated_INR]]="","",Table13[[#This Row],[Amount_INR]]-Table13[[#This Row],[Budget_Allocated_INR]])</f>
        <v>37429.19</v>
      </c>
      <c r="H485">
        <v>37429.19</v>
      </c>
      <c r="I485" s="1">
        <v>45480</v>
      </c>
      <c r="J485" t="s">
        <v>526</v>
      </c>
      <c r="K485" t="s">
        <v>517</v>
      </c>
      <c r="L485" t="s">
        <v>536</v>
      </c>
      <c r="M485" t="s">
        <v>554</v>
      </c>
      <c r="N485" t="s">
        <v>520</v>
      </c>
    </row>
    <row r="486" spans="1:15" x14ac:dyDescent="0.35">
      <c r="A486" t="s">
        <v>1052</v>
      </c>
      <c r="B486" t="s">
        <v>523</v>
      </c>
      <c r="C486" t="s">
        <v>514</v>
      </c>
      <c r="D486" t="s">
        <v>559</v>
      </c>
      <c r="E486">
        <v>331654</v>
      </c>
      <c r="F486">
        <v>268479.61</v>
      </c>
      <c r="G486">
        <f>IF(Table13[[#This Row],[Budget_Allocated_INR]]="","",Table13[[#This Row],[Amount_INR]]-Table13[[#This Row],[Budget_Allocated_INR]])</f>
        <v>63174.390000000014</v>
      </c>
      <c r="H486">
        <v>63174.39</v>
      </c>
      <c r="I486" s="1">
        <v>45516</v>
      </c>
      <c r="J486" t="s">
        <v>526</v>
      </c>
      <c r="K486" t="s">
        <v>540</v>
      </c>
      <c r="L486" t="s">
        <v>536</v>
      </c>
      <c r="M486" t="s">
        <v>546</v>
      </c>
      <c r="N486" t="s">
        <v>520</v>
      </c>
    </row>
    <row r="487" spans="1:15" x14ac:dyDescent="0.35">
      <c r="A487" t="s">
        <v>1053</v>
      </c>
      <c r="B487" t="s">
        <v>576</v>
      </c>
      <c r="C487" t="s">
        <v>558</v>
      </c>
      <c r="D487" t="s">
        <v>553</v>
      </c>
      <c r="E487">
        <v>44661</v>
      </c>
      <c r="F487">
        <v>41481.31</v>
      </c>
      <c r="G487">
        <f>IF(Table13[[#This Row],[Budget_Allocated_INR]]="","",Table13[[#This Row],[Amount_INR]]-Table13[[#This Row],[Budget_Allocated_INR]])</f>
        <v>3179.6900000000023</v>
      </c>
      <c r="H487">
        <v>3179.69</v>
      </c>
      <c r="I487" s="1">
        <v>45357</v>
      </c>
      <c r="J487" t="s">
        <v>526</v>
      </c>
      <c r="K487" t="s">
        <v>560</v>
      </c>
      <c r="L487" t="s">
        <v>518</v>
      </c>
      <c r="M487" t="s">
        <v>537</v>
      </c>
      <c r="N487" t="s">
        <v>520</v>
      </c>
    </row>
    <row r="488" spans="1:15" x14ac:dyDescent="0.35">
      <c r="A488" t="s">
        <v>1054</v>
      </c>
      <c r="B488" t="s">
        <v>548</v>
      </c>
      <c r="C488" t="s">
        <v>562</v>
      </c>
      <c r="D488" t="s">
        <v>559</v>
      </c>
      <c r="E488">
        <v>453730</v>
      </c>
      <c r="F488">
        <v>510152.61</v>
      </c>
      <c r="G488">
        <f>IF(Table13[[#This Row],[Budget_Allocated_INR]]="","",Table13[[#This Row],[Amount_INR]]-Table13[[#This Row],[Budget_Allocated_INR]])</f>
        <v>-56422.609999999986</v>
      </c>
      <c r="H488">
        <v>-56422.61</v>
      </c>
      <c r="I488" s="1">
        <v>45562</v>
      </c>
      <c r="J488" t="s">
        <v>516</v>
      </c>
      <c r="K488" t="s">
        <v>560</v>
      </c>
      <c r="L488" t="s">
        <v>536</v>
      </c>
      <c r="M488" t="s">
        <v>528</v>
      </c>
      <c r="N488" t="s">
        <v>520</v>
      </c>
      <c r="O488" t="s">
        <v>521</v>
      </c>
    </row>
    <row r="489" spans="1:15" x14ac:dyDescent="0.35">
      <c r="A489" t="s">
        <v>1055</v>
      </c>
      <c r="B489" t="s">
        <v>530</v>
      </c>
      <c r="C489" t="s">
        <v>581</v>
      </c>
      <c r="D489" t="s">
        <v>525</v>
      </c>
      <c r="E489">
        <v>423764</v>
      </c>
      <c r="F489">
        <v>405457.04</v>
      </c>
      <c r="G489">
        <f>IF(Table13[[#This Row],[Budget_Allocated_INR]]="","",Table13[[#This Row],[Amount_INR]]-Table13[[#This Row],[Budget_Allocated_INR]])</f>
        <v>18306.960000000021</v>
      </c>
      <c r="H489">
        <v>18306.96</v>
      </c>
      <c r="I489" s="1">
        <v>44933</v>
      </c>
      <c r="J489" t="s">
        <v>516</v>
      </c>
      <c r="K489" t="s">
        <v>540</v>
      </c>
      <c r="L489" t="s">
        <v>541</v>
      </c>
      <c r="M489" t="s">
        <v>528</v>
      </c>
      <c r="N489" t="s">
        <v>520</v>
      </c>
      <c r="O489" t="s">
        <v>521</v>
      </c>
    </row>
    <row r="490" spans="1:15" x14ac:dyDescent="0.35">
      <c r="A490" t="s">
        <v>1056</v>
      </c>
      <c r="B490" t="s">
        <v>530</v>
      </c>
      <c r="C490" t="s">
        <v>531</v>
      </c>
      <c r="D490" t="s">
        <v>553</v>
      </c>
      <c r="E490">
        <v>144259</v>
      </c>
      <c r="F490">
        <v>121518.78</v>
      </c>
      <c r="G490">
        <f>IF(Table13[[#This Row],[Budget_Allocated_INR]]="","",Table13[[#This Row],[Amount_INR]]-Table13[[#This Row],[Budget_Allocated_INR]])</f>
        <v>22740.22</v>
      </c>
      <c r="H490">
        <v>22740.22</v>
      </c>
      <c r="I490" s="1">
        <v>45194</v>
      </c>
      <c r="J490" t="s">
        <v>526</v>
      </c>
      <c r="K490" t="s">
        <v>527</v>
      </c>
      <c r="L490" t="s">
        <v>518</v>
      </c>
      <c r="M490" t="s">
        <v>568</v>
      </c>
      <c r="N490" t="s">
        <v>520</v>
      </c>
    </row>
    <row r="491" spans="1:15" x14ac:dyDescent="0.35">
      <c r="A491" t="s">
        <v>1057</v>
      </c>
      <c r="B491" t="s">
        <v>565</v>
      </c>
      <c r="C491" t="s">
        <v>531</v>
      </c>
      <c r="D491" t="s">
        <v>535</v>
      </c>
      <c r="E491">
        <v>147402</v>
      </c>
      <c r="F491">
        <v>124565.51</v>
      </c>
      <c r="G491">
        <f>IF(Table13[[#This Row],[Budget_Allocated_INR]]="","",Table13[[#This Row],[Amount_INR]]-Table13[[#This Row],[Budget_Allocated_INR]])</f>
        <v>22836.490000000005</v>
      </c>
      <c r="H491">
        <v>22836.49</v>
      </c>
      <c r="I491" s="1">
        <v>45633</v>
      </c>
      <c r="J491" t="s">
        <v>516</v>
      </c>
      <c r="K491" t="s">
        <v>560</v>
      </c>
      <c r="L491" t="s">
        <v>536</v>
      </c>
      <c r="M491" t="s">
        <v>528</v>
      </c>
      <c r="N491" t="s">
        <v>520</v>
      </c>
    </row>
    <row r="492" spans="1:15" x14ac:dyDescent="0.35">
      <c r="A492" t="s">
        <v>1058</v>
      </c>
      <c r="B492" t="s">
        <v>576</v>
      </c>
      <c r="C492" t="s">
        <v>581</v>
      </c>
      <c r="D492" t="s">
        <v>605</v>
      </c>
      <c r="E492">
        <v>225623</v>
      </c>
      <c r="G492" t="str">
        <f>IF(Table13[[#This Row],[Budget_Allocated_INR]]="","",Table13[[#This Row],[Amount_INR]]-Table13[[#This Row],[Budget_Allocated_INR]])</f>
        <v/>
      </c>
      <c r="I492" s="1">
        <v>45491</v>
      </c>
      <c r="J492" t="s">
        <v>526</v>
      </c>
      <c r="K492" t="s">
        <v>560</v>
      </c>
      <c r="L492" t="s">
        <v>536</v>
      </c>
      <c r="M492" t="s">
        <v>537</v>
      </c>
      <c r="N492" t="s">
        <v>520</v>
      </c>
    </row>
    <row r="493" spans="1:15" x14ac:dyDescent="0.35">
      <c r="A493" t="s">
        <v>1059</v>
      </c>
      <c r="B493" t="s">
        <v>545</v>
      </c>
      <c r="C493" t="s">
        <v>524</v>
      </c>
      <c r="D493" t="s">
        <v>574</v>
      </c>
      <c r="E493">
        <v>166425</v>
      </c>
      <c r="F493">
        <v>135189.43</v>
      </c>
      <c r="G493">
        <f>IF(Table13[[#This Row],[Budget_Allocated_INR]]="","",Table13[[#This Row],[Amount_INR]]-Table13[[#This Row],[Budget_Allocated_INR]])</f>
        <v>31235.570000000007</v>
      </c>
      <c r="H493">
        <v>31235.57</v>
      </c>
      <c r="I493" s="1">
        <v>45229</v>
      </c>
      <c r="J493" t="s">
        <v>516</v>
      </c>
      <c r="K493" t="s">
        <v>517</v>
      </c>
      <c r="L493" t="s">
        <v>518</v>
      </c>
      <c r="M493" t="s">
        <v>528</v>
      </c>
      <c r="N493" t="s">
        <v>520</v>
      </c>
    </row>
    <row r="494" spans="1:15" x14ac:dyDescent="0.35">
      <c r="A494" t="s">
        <v>1060</v>
      </c>
      <c r="B494" t="s">
        <v>523</v>
      </c>
      <c r="C494" t="s">
        <v>531</v>
      </c>
      <c r="D494" t="s">
        <v>605</v>
      </c>
      <c r="E494">
        <v>273290</v>
      </c>
      <c r="F494">
        <v>311758.25</v>
      </c>
      <c r="G494">
        <f>IF(Table13[[#This Row],[Budget_Allocated_INR]]="","",Table13[[#This Row],[Amount_INR]]-Table13[[#This Row],[Budget_Allocated_INR]])</f>
        <v>-38468.25</v>
      </c>
      <c r="H494">
        <v>-38468.25</v>
      </c>
      <c r="I494" s="1">
        <v>45480</v>
      </c>
      <c r="J494" t="s">
        <v>516</v>
      </c>
      <c r="K494" t="s">
        <v>540</v>
      </c>
      <c r="L494" t="s">
        <v>536</v>
      </c>
      <c r="M494" t="s">
        <v>528</v>
      </c>
      <c r="N494" t="s">
        <v>520</v>
      </c>
      <c r="O494" t="s">
        <v>521</v>
      </c>
    </row>
    <row r="495" spans="1:15" x14ac:dyDescent="0.35">
      <c r="A495" t="s">
        <v>1061</v>
      </c>
      <c r="B495" t="s">
        <v>534</v>
      </c>
      <c r="C495" t="s">
        <v>514</v>
      </c>
      <c r="D495" t="s">
        <v>532</v>
      </c>
      <c r="E495">
        <v>128602</v>
      </c>
      <c r="F495">
        <v>114727.23</v>
      </c>
      <c r="G495">
        <f>IF(Table13[[#This Row],[Budget_Allocated_INR]]="","",Table13[[#This Row],[Amount_INR]]-Table13[[#This Row],[Budget_Allocated_INR]])</f>
        <v>13874.770000000004</v>
      </c>
      <c r="H495">
        <v>13874.77</v>
      </c>
      <c r="I495" s="1">
        <v>45179</v>
      </c>
      <c r="J495" t="s">
        <v>526</v>
      </c>
      <c r="K495" t="s">
        <v>517</v>
      </c>
      <c r="L495" t="s">
        <v>518</v>
      </c>
      <c r="M495" t="s">
        <v>537</v>
      </c>
      <c r="N495" t="s">
        <v>520</v>
      </c>
    </row>
    <row r="496" spans="1:15" x14ac:dyDescent="0.35">
      <c r="A496" t="s">
        <v>1062</v>
      </c>
      <c r="B496" t="s">
        <v>548</v>
      </c>
      <c r="C496" t="s">
        <v>558</v>
      </c>
      <c r="D496" t="s">
        <v>571</v>
      </c>
      <c r="E496">
        <v>4800245</v>
      </c>
      <c r="F496">
        <v>5636583.5300000003</v>
      </c>
      <c r="G496">
        <f>IF(Table13[[#This Row],[Budget_Allocated_INR]]="","",Table13[[#This Row],[Amount_INR]]-Table13[[#This Row],[Budget_Allocated_INR]])</f>
        <v>-836338.53000000026</v>
      </c>
      <c r="H496">
        <v>-836338.53</v>
      </c>
      <c r="I496" s="1">
        <v>45467</v>
      </c>
      <c r="J496" t="s">
        <v>516</v>
      </c>
      <c r="K496" t="s">
        <v>517</v>
      </c>
      <c r="L496" t="s">
        <v>536</v>
      </c>
      <c r="M496" t="s">
        <v>568</v>
      </c>
      <c r="N496" t="s">
        <v>520</v>
      </c>
      <c r="O496" t="s">
        <v>521</v>
      </c>
    </row>
    <row r="497" spans="1:15" x14ac:dyDescent="0.35">
      <c r="A497" t="s">
        <v>1063</v>
      </c>
      <c r="B497" t="s">
        <v>545</v>
      </c>
      <c r="C497" t="s">
        <v>599</v>
      </c>
      <c r="D497" t="s">
        <v>584</v>
      </c>
      <c r="E497">
        <v>209161</v>
      </c>
      <c r="F497">
        <v>233184.37</v>
      </c>
      <c r="G497">
        <f>IF(Table13[[#This Row],[Budget_Allocated_INR]]="","",Table13[[#This Row],[Amount_INR]]-Table13[[#This Row],[Budget_Allocated_INR]])</f>
        <v>-24023.369999999995</v>
      </c>
      <c r="H497">
        <v>-24023.37</v>
      </c>
      <c r="I497" s="1">
        <v>45422</v>
      </c>
      <c r="J497" t="s">
        <v>516</v>
      </c>
      <c r="K497" t="s">
        <v>540</v>
      </c>
      <c r="L497" t="s">
        <v>536</v>
      </c>
      <c r="M497" t="s">
        <v>554</v>
      </c>
      <c r="N497" t="s">
        <v>520</v>
      </c>
      <c r="O497" t="s">
        <v>521</v>
      </c>
    </row>
    <row r="498" spans="1:15" x14ac:dyDescent="0.35">
      <c r="A498" t="s">
        <v>1064</v>
      </c>
      <c r="B498" t="s">
        <v>79</v>
      </c>
      <c r="C498" t="s">
        <v>543</v>
      </c>
      <c r="D498" t="s">
        <v>525</v>
      </c>
      <c r="E498">
        <v>152175</v>
      </c>
      <c r="F498">
        <v>193269.34</v>
      </c>
      <c r="G498">
        <f>IF(Table13[[#This Row],[Budget_Allocated_INR]]="","",Table13[[#This Row],[Amount_INR]]-Table13[[#This Row],[Budget_Allocated_INR]])</f>
        <v>-41094.339999999997</v>
      </c>
      <c r="H498">
        <v>-41094.339999999997</v>
      </c>
      <c r="I498" s="1">
        <v>45168</v>
      </c>
      <c r="J498" t="s">
        <v>526</v>
      </c>
      <c r="K498" t="s">
        <v>540</v>
      </c>
      <c r="L498" t="s">
        <v>518</v>
      </c>
      <c r="M498" t="s">
        <v>537</v>
      </c>
      <c r="N498" t="s">
        <v>520</v>
      </c>
    </row>
    <row r="499" spans="1:15" x14ac:dyDescent="0.35">
      <c r="A499" t="s">
        <v>1065</v>
      </c>
      <c r="B499" t="s">
        <v>576</v>
      </c>
      <c r="C499" t="s">
        <v>581</v>
      </c>
      <c r="D499" t="s">
        <v>550</v>
      </c>
      <c r="E499">
        <v>57859</v>
      </c>
      <c r="F499">
        <v>64236.01</v>
      </c>
      <c r="G499">
        <f>IF(Table13[[#This Row],[Budget_Allocated_INR]]="","",Table13[[#This Row],[Amount_INR]]-Table13[[#This Row],[Budget_Allocated_INR]])</f>
        <v>-6377.010000000002</v>
      </c>
      <c r="H499">
        <v>-6377.01</v>
      </c>
      <c r="I499" s="1">
        <v>45382</v>
      </c>
      <c r="J499" t="s">
        <v>526</v>
      </c>
      <c r="K499" t="s">
        <v>560</v>
      </c>
      <c r="L499" t="s">
        <v>518</v>
      </c>
      <c r="M499" t="s">
        <v>528</v>
      </c>
      <c r="N499" t="s">
        <v>520</v>
      </c>
    </row>
    <row r="500" spans="1:15" x14ac:dyDescent="0.35">
      <c r="A500" t="s">
        <v>1066</v>
      </c>
      <c r="B500" t="s">
        <v>534</v>
      </c>
      <c r="C500" t="s">
        <v>562</v>
      </c>
      <c r="D500" t="s">
        <v>553</v>
      </c>
      <c r="E500">
        <v>472955</v>
      </c>
      <c r="F500">
        <v>469734.61</v>
      </c>
      <c r="G500">
        <f>IF(Table13[[#This Row],[Budget_Allocated_INR]]="","",Table13[[#This Row],[Amount_INR]]-Table13[[#This Row],[Budget_Allocated_INR]])</f>
        <v>3220.390000000014</v>
      </c>
      <c r="H500">
        <v>3220.39</v>
      </c>
      <c r="I500" s="1">
        <v>45524</v>
      </c>
      <c r="J500" t="s">
        <v>526</v>
      </c>
      <c r="K500" t="s">
        <v>560</v>
      </c>
      <c r="L500" t="s">
        <v>536</v>
      </c>
      <c r="M500" t="s">
        <v>537</v>
      </c>
      <c r="N500" t="s">
        <v>520</v>
      </c>
    </row>
    <row r="501" spans="1:15" x14ac:dyDescent="0.35">
      <c r="A501" t="s">
        <v>1067</v>
      </c>
      <c r="B501" t="s">
        <v>545</v>
      </c>
      <c r="C501" t="s">
        <v>514</v>
      </c>
      <c r="D501" t="s">
        <v>550</v>
      </c>
      <c r="E501">
        <v>489458</v>
      </c>
      <c r="F501">
        <v>631283.81999999995</v>
      </c>
      <c r="G501">
        <f>IF(Table13[[#This Row],[Budget_Allocated_INR]]="","",Table13[[#This Row],[Amount_INR]]-Table13[[#This Row],[Budget_Allocated_INR]])</f>
        <v>-141825.81999999995</v>
      </c>
      <c r="H501">
        <v>-141825.82</v>
      </c>
      <c r="I501" s="1">
        <v>45601</v>
      </c>
      <c r="J501" t="s">
        <v>526</v>
      </c>
      <c r="K501" t="s">
        <v>540</v>
      </c>
      <c r="L501" t="s">
        <v>536</v>
      </c>
      <c r="M501" t="s">
        <v>537</v>
      </c>
      <c r="N501" t="s">
        <v>520</v>
      </c>
    </row>
    <row r="502" spans="1:15" x14ac:dyDescent="0.35">
      <c r="A502" t="s">
        <v>1068</v>
      </c>
      <c r="B502" t="s">
        <v>523</v>
      </c>
      <c r="C502" t="s">
        <v>599</v>
      </c>
      <c r="D502" t="s">
        <v>532</v>
      </c>
      <c r="E502">
        <v>477763</v>
      </c>
      <c r="G502" t="str">
        <f>IF(Table13[[#This Row],[Budget_Allocated_INR]]="","",Table13[[#This Row],[Amount_INR]]-Table13[[#This Row],[Budget_Allocated_INR]])</f>
        <v/>
      </c>
      <c r="H502">
        <v>-42558.59</v>
      </c>
      <c r="I502" s="1">
        <v>45138</v>
      </c>
      <c r="J502" t="s">
        <v>526</v>
      </c>
      <c r="K502" t="s">
        <v>527</v>
      </c>
      <c r="L502" t="s">
        <v>518</v>
      </c>
      <c r="M502" t="s">
        <v>568</v>
      </c>
      <c r="N502" t="s">
        <v>520</v>
      </c>
    </row>
    <row r="503" spans="1:15" x14ac:dyDescent="0.35">
      <c r="A503" t="s">
        <v>1069</v>
      </c>
      <c r="B503" t="s">
        <v>534</v>
      </c>
      <c r="C503" t="s">
        <v>586</v>
      </c>
      <c r="D503" t="s">
        <v>563</v>
      </c>
      <c r="E503">
        <v>49062</v>
      </c>
      <c r="F503">
        <v>62332.62</v>
      </c>
      <c r="G503">
        <f>IF(Table13[[#This Row],[Budget_Allocated_INR]]="","",Table13[[#This Row],[Amount_INR]]-Table13[[#This Row],[Budget_Allocated_INR]])</f>
        <v>-13270.620000000003</v>
      </c>
      <c r="H503">
        <v>-13270.62</v>
      </c>
      <c r="I503" s="1">
        <v>45430</v>
      </c>
      <c r="J503" t="s">
        <v>526</v>
      </c>
      <c r="K503" t="s">
        <v>517</v>
      </c>
      <c r="L503" t="s">
        <v>536</v>
      </c>
      <c r="M503" t="s">
        <v>554</v>
      </c>
      <c r="N503" t="s">
        <v>520</v>
      </c>
    </row>
    <row r="504" spans="1:15" x14ac:dyDescent="0.35">
      <c r="A504" t="s">
        <v>1070</v>
      </c>
      <c r="B504" t="s">
        <v>576</v>
      </c>
      <c r="C504" t="s">
        <v>586</v>
      </c>
      <c r="D504" t="s">
        <v>605</v>
      </c>
      <c r="E504">
        <v>304215</v>
      </c>
      <c r="F504">
        <v>327764.47999999998</v>
      </c>
      <c r="G504">
        <f>IF(Table13[[#This Row],[Budget_Allocated_INR]]="","",Table13[[#This Row],[Amount_INR]]-Table13[[#This Row],[Budget_Allocated_INR]])</f>
        <v>-23549.479999999981</v>
      </c>
      <c r="H504">
        <v>-23549.48</v>
      </c>
      <c r="I504" s="1">
        <v>45525</v>
      </c>
      <c r="J504" t="s">
        <v>526</v>
      </c>
      <c r="K504" t="s">
        <v>560</v>
      </c>
      <c r="L504" t="s">
        <v>536</v>
      </c>
      <c r="M504" t="s">
        <v>546</v>
      </c>
      <c r="N504" t="s">
        <v>520</v>
      </c>
    </row>
    <row r="505" spans="1:15" x14ac:dyDescent="0.35">
      <c r="A505" t="s">
        <v>1071</v>
      </c>
      <c r="B505" t="s">
        <v>530</v>
      </c>
      <c r="C505" t="s">
        <v>524</v>
      </c>
      <c r="D505" t="s">
        <v>605</v>
      </c>
      <c r="E505">
        <v>279164</v>
      </c>
      <c r="F505">
        <v>339590.04</v>
      </c>
      <c r="G505">
        <f>IF(Table13[[#This Row],[Budget_Allocated_INR]]="","",Table13[[#This Row],[Amount_INR]]-Table13[[#This Row],[Budget_Allocated_INR]])</f>
        <v>-60426.039999999979</v>
      </c>
      <c r="H505">
        <v>-60426.04</v>
      </c>
      <c r="I505" s="1">
        <v>45656</v>
      </c>
      <c r="J505" t="s">
        <v>516</v>
      </c>
      <c r="K505" t="s">
        <v>560</v>
      </c>
      <c r="L505" t="s">
        <v>536</v>
      </c>
      <c r="M505" t="s">
        <v>537</v>
      </c>
      <c r="N505" t="s">
        <v>520</v>
      </c>
      <c r="O505" t="s">
        <v>521</v>
      </c>
    </row>
    <row r="506" spans="1:15" x14ac:dyDescent="0.35">
      <c r="A506" t="s">
        <v>1072</v>
      </c>
      <c r="B506" t="s">
        <v>545</v>
      </c>
      <c r="C506" t="s">
        <v>599</v>
      </c>
      <c r="D506" t="s">
        <v>588</v>
      </c>
      <c r="E506">
        <v>239465</v>
      </c>
      <c r="F506">
        <v>273381.19</v>
      </c>
      <c r="G506">
        <f>IF(Table13[[#This Row],[Budget_Allocated_INR]]="","",Table13[[#This Row],[Amount_INR]]-Table13[[#This Row],[Budget_Allocated_INR]])</f>
        <v>-33916.19</v>
      </c>
      <c r="H506">
        <v>-33916.19</v>
      </c>
      <c r="I506" s="1">
        <v>45220</v>
      </c>
      <c r="J506" t="s">
        <v>597</v>
      </c>
      <c r="K506" t="s">
        <v>527</v>
      </c>
      <c r="L506" t="s">
        <v>518</v>
      </c>
      <c r="M506" t="s">
        <v>537</v>
      </c>
      <c r="N506" t="s">
        <v>520</v>
      </c>
      <c r="O506" t="s">
        <v>521</v>
      </c>
    </row>
    <row r="507" spans="1:15" x14ac:dyDescent="0.35">
      <c r="A507" t="s">
        <v>1073</v>
      </c>
      <c r="B507" t="s">
        <v>565</v>
      </c>
      <c r="C507" t="s">
        <v>562</v>
      </c>
      <c r="D507" t="s">
        <v>593</v>
      </c>
      <c r="E507">
        <v>327656</v>
      </c>
      <c r="F507">
        <v>330558.96000000002</v>
      </c>
      <c r="G507">
        <f>IF(Table13[[#This Row],[Budget_Allocated_INR]]="","",Table13[[#This Row],[Amount_INR]]-Table13[[#This Row],[Budget_Allocated_INR]])</f>
        <v>-2902.960000000021</v>
      </c>
      <c r="H507">
        <v>-2902.96</v>
      </c>
      <c r="I507" s="1">
        <v>45546</v>
      </c>
      <c r="J507" t="s">
        <v>526</v>
      </c>
      <c r="K507" t="s">
        <v>527</v>
      </c>
      <c r="L507" t="s">
        <v>536</v>
      </c>
      <c r="M507" t="s">
        <v>568</v>
      </c>
      <c r="N507" t="s">
        <v>520</v>
      </c>
    </row>
    <row r="508" spans="1:15" x14ac:dyDescent="0.35">
      <c r="A508" t="s">
        <v>1074</v>
      </c>
      <c r="B508" t="s">
        <v>523</v>
      </c>
      <c r="C508" t="s">
        <v>586</v>
      </c>
      <c r="D508" t="s">
        <v>605</v>
      </c>
      <c r="E508">
        <v>-481907</v>
      </c>
      <c r="F508">
        <v>574285.49</v>
      </c>
      <c r="G508">
        <f>IF(Table13[[#This Row],[Budget_Allocated_INR]]="","",Table13[[#This Row],[Amount_INR]]-Table13[[#This Row],[Budget_Allocated_INR]])</f>
        <v>-1056192.49</v>
      </c>
      <c r="H508">
        <v>-92378.49</v>
      </c>
      <c r="I508" s="1">
        <v>45058</v>
      </c>
      <c r="J508" t="s">
        <v>526</v>
      </c>
      <c r="K508" t="s">
        <v>517</v>
      </c>
      <c r="L508" t="s">
        <v>518</v>
      </c>
      <c r="M508" t="s">
        <v>537</v>
      </c>
      <c r="N508" t="s">
        <v>582</v>
      </c>
    </row>
    <row r="509" spans="1:15" x14ac:dyDescent="0.35">
      <c r="A509" t="s">
        <v>1075</v>
      </c>
      <c r="B509" t="s">
        <v>565</v>
      </c>
      <c r="C509" t="s">
        <v>531</v>
      </c>
      <c r="D509" t="s">
        <v>535</v>
      </c>
      <c r="E509">
        <v>1608463</v>
      </c>
      <c r="F509">
        <v>1418787.56</v>
      </c>
      <c r="G509">
        <f>IF(Table13[[#This Row],[Budget_Allocated_INR]]="","",Table13[[#This Row],[Amount_INR]]-Table13[[#This Row],[Budget_Allocated_INR]])</f>
        <v>189675.43999999994</v>
      </c>
      <c r="H509">
        <v>189675.44</v>
      </c>
      <c r="I509" s="1">
        <v>44943</v>
      </c>
      <c r="J509" t="s">
        <v>526</v>
      </c>
      <c r="K509" t="s">
        <v>560</v>
      </c>
      <c r="L509" t="s">
        <v>541</v>
      </c>
      <c r="M509" t="s">
        <v>537</v>
      </c>
      <c r="N509" t="s">
        <v>520</v>
      </c>
    </row>
    <row r="510" spans="1:15" x14ac:dyDescent="0.35">
      <c r="A510" t="s">
        <v>1076</v>
      </c>
      <c r="B510" t="s">
        <v>523</v>
      </c>
      <c r="C510" t="s">
        <v>562</v>
      </c>
      <c r="D510" t="s">
        <v>532</v>
      </c>
      <c r="E510">
        <v>141903</v>
      </c>
      <c r="F510">
        <v>179555.76</v>
      </c>
      <c r="G510">
        <f>IF(Table13[[#This Row],[Budget_Allocated_INR]]="","",Table13[[#This Row],[Amount_INR]]-Table13[[#This Row],[Budget_Allocated_INR]])</f>
        <v>-37652.760000000009</v>
      </c>
      <c r="H510">
        <v>-37652.76</v>
      </c>
      <c r="I510" s="1">
        <v>45394</v>
      </c>
      <c r="J510" t="s">
        <v>526</v>
      </c>
      <c r="K510" t="s">
        <v>517</v>
      </c>
      <c r="L510" t="s">
        <v>536</v>
      </c>
      <c r="M510" t="s">
        <v>546</v>
      </c>
      <c r="N510" t="s">
        <v>520</v>
      </c>
    </row>
    <row r="511" spans="1:15" x14ac:dyDescent="0.35">
      <c r="A511" t="s">
        <v>1077</v>
      </c>
      <c r="B511" t="s">
        <v>530</v>
      </c>
      <c r="C511" t="s">
        <v>599</v>
      </c>
      <c r="D511" t="s">
        <v>550</v>
      </c>
      <c r="E511">
        <v>441309</v>
      </c>
      <c r="F511">
        <v>483917.39</v>
      </c>
      <c r="G511">
        <f>IF(Table13[[#This Row],[Budget_Allocated_INR]]="","",Table13[[#This Row],[Amount_INR]]-Table13[[#This Row],[Budget_Allocated_INR]])</f>
        <v>-42608.390000000014</v>
      </c>
      <c r="H511">
        <v>-42608.39</v>
      </c>
      <c r="I511" s="1">
        <v>45324</v>
      </c>
      <c r="J511" t="s">
        <v>526</v>
      </c>
      <c r="K511" t="s">
        <v>527</v>
      </c>
      <c r="L511" t="s">
        <v>518</v>
      </c>
      <c r="M511" t="s">
        <v>537</v>
      </c>
      <c r="N511" t="s">
        <v>520</v>
      </c>
    </row>
    <row r="512" spans="1:15" x14ac:dyDescent="0.35">
      <c r="A512" t="s">
        <v>1078</v>
      </c>
      <c r="B512" t="s">
        <v>534</v>
      </c>
      <c r="C512" t="s">
        <v>558</v>
      </c>
      <c r="D512" t="s">
        <v>574</v>
      </c>
      <c r="E512">
        <v>80966</v>
      </c>
      <c r="F512">
        <v>103931.53</v>
      </c>
      <c r="G512">
        <f>IF(Table13[[#This Row],[Budget_Allocated_INR]]="","",Table13[[#This Row],[Amount_INR]]-Table13[[#This Row],[Budget_Allocated_INR]])</f>
        <v>-22965.53</v>
      </c>
      <c r="H512">
        <v>-22965.53</v>
      </c>
      <c r="I512" s="1">
        <v>45277</v>
      </c>
      <c r="J512" t="s">
        <v>526</v>
      </c>
      <c r="K512" t="s">
        <v>540</v>
      </c>
      <c r="L512" t="s">
        <v>518</v>
      </c>
      <c r="M512" t="s">
        <v>528</v>
      </c>
      <c r="N512" t="s">
        <v>520</v>
      </c>
    </row>
    <row r="513" spans="1:15" x14ac:dyDescent="0.35">
      <c r="A513" t="s">
        <v>1079</v>
      </c>
      <c r="B513" t="s">
        <v>548</v>
      </c>
      <c r="C513" t="s">
        <v>524</v>
      </c>
      <c r="D513" t="s">
        <v>532</v>
      </c>
      <c r="E513">
        <v>294015</v>
      </c>
      <c r="F513">
        <v>276075.45</v>
      </c>
      <c r="G513">
        <f>IF(Table13[[#This Row],[Budget_Allocated_INR]]="","",Table13[[#This Row],[Amount_INR]]-Table13[[#This Row],[Budget_Allocated_INR]])</f>
        <v>17939.549999999988</v>
      </c>
      <c r="H513">
        <v>17939.55</v>
      </c>
      <c r="I513" s="1">
        <v>45473</v>
      </c>
      <c r="J513" t="s">
        <v>526</v>
      </c>
      <c r="K513" t="s">
        <v>527</v>
      </c>
      <c r="L513" t="s">
        <v>536</v>
      </c>
      <c r="M513" t="s">
        <v>528</v>
      </c>
      <c r="N513" t="s">
        <v>520</v>
      </c>
    </row>
    <row r="514" spans="1:15" x14ac:dyDescent="0.35">
      <c r="A514" t="s">
        <v>1080</v>
      </c>
      <c r="B514" t="s">
        <v>548</v>
      </c>
      <c r="C514" t="s">
        <v>586</v>
      </c>
      <c r="D514" t="s">
        <v>559</v>
      </c>
      <c r="E514">
        <v>153303</v>
      </c>
      <c r="F514">
        <v>177135.38</v>
      </c>
      <c r="G514">
        <f>IF(Table13[[#This Row],[Budget_Allocated_INR]]="","",Table13[[#This Row],[Amount_INR]]-Table13[[#This Row],[Budget_Allocated_INR]])</f>
        <v>-23832.380000000005</v>
      </c>
      <c r="H514">
        <v>-23832.38</v>
      </c>
      <c r="I514" s="1">
        <v>45092</v>
      </c>
      <c r="J514" t="s">
        <v>526</v>
      </c>
      <c r="K514" t="s">
        <v>527</v>
      </c>
      <c r="L514" t="s">
        <v>518</v>
      </c>
      <c r="M514" t="s">
        <v>537</v>
      </c>
      <c r="N514" t="s">
        <v>520</v>
      </c>
    </row>
    <row r="515" spans="1:15" x14ac:dyDescent="0.35">
      <c r="A515" t="s">
        <v>1081</v>
      </c>
      <c r="B515" t="s">
        <v>534</v>
      </c>
      <c r="C515" t="s">
        <v>599</v>
      </c>
      <c r="D515" t="s">
        <v>563</v>
      </c>
      <c r="E515">
        <v>211411</v>
      </c>
      <c r="F515">
        <v>252479.02</v>
      </c>
      <c r="G515">
        <f>IF(Table13[[#This Row],[Budget_Allocated_INR]]="","",Table13[[#This Row],[Amount_INR]]-Table13[[#This Row],[Budget_Allocated_INR]])</f>
        <v>-41068.01999999999</v>
      </c>
      <c r="H515">
        <v>-41068.019999999997</v>
      </c>
      <c r="I515" s="1">
        <v>45732</v>
      </c>
      <c r="J515" t="s">
        <v>516</v>
      </c>
      <c r="K515" t="s">
        <v>527</v>
      </c>
      <c r="L515" t="s">
        <v>536</v>
      </c>
      <c r="M515" t="s">
        <v>568</v>
      </c>
      <c r="N515" t="s">
        <v>520</v>
      </c>
      <c r="O515" t="s">
        <v>521</v>
      </c>
    </row>
    <row r="516" spans="1:15" x14ac:dyDescent="0.35">
      <c r="A516" t="s">
        <v>1082</v>
      </c>
      <c r="B516" t="s">
        <v>548</v>
      </c>
      <c r="C516" t="s">
        <v>596</v>
      </c>
      <c r="D516" t="s">
        <v>525</v>
      </c>
      <c r="E516">
        <v>373244</v>
      </c>
      <c r="F516">
        <v>480332.25</v>
      </c>
      <c r="G516">
        <f>IF(Table13[[#This Row],[Budget_Allocated_INR]]="","",Table13[[#This Row],[Amount_INR]]-Table13[[#This Row],[Budget_Allocated_INR]])</f>
        <v>-107088.25</v>
      </c>
      <c r="H516">
        <v>-107088.25</v>
      </c>
      <c r="I516" s="1">
        <v>45255</v>
      </c>
      <c r="J516" t="s">
        <v>526</v>
      </c>
      <c r="K516" t="s">
        <v>540</v>
      </c>
      <c r="L516" t="s">
        <v>518</v>
      </c>
      <c r="M516" t="s">
        <v>528</v>
      </c>
      <c r="N516" t="s">
        <v>520</v>
      </c>
    </row>
    <row r="517" spans="1:15" x14ac:dyDescent="0.35">
      <c r="A517" t="s">
        <v>1083</v>
      </c>
      <c r="B517" t="s">
        <v>530</v>
      </c>
      <c r="C517" t="s">
        <v>558</v>
      </c>
      <c r="D517" t="s">
        <v>571</v>
      </c>
      <c r="E517">
        <v>267652</v>
      </c>
      <c r="G517" t="str">
        <f>IF(Table13[[#This Row],[Budget_Allocated_INR]]="","",Table13[[#This Row],[Amount_INR]]-Table13[[#This Row],[Budget_Allocated_INR]])</f>
        <v/>
      </c>
      <c r="H517">
        <v>-13213.99</v>
      </c>
      <c r="I517" s="1">
        <v>45478</v>
      </c>
      <c r="J517" t="s">
        <v>516</v>
      </c>
      <c r="K517" t="s">
        <v>560</v>
      </c>
      <c r="L517" t="s">
        <v>536</v>
      </c>
      <c r="M517" t="s">
        <v>568</v>
      </c>
      <c r="N517" t="s">
        <v>520</v>
      </c>
      <c r="O517" t="s">
        <v>521</v>
      </c>
    </row>
    <row r="518" spans="1:15" x14ac:dyDescent="0.35">
      <c r="A518" t="s">
        <v>1084</v>
      </c>
      <c r="B518" t="s">
        <v>523</v>
      </c>
      <c r="C518" t="s">
        <v>552</v>
      </c>
      <c r="D518" t="s">
        <v>550</v>
      </c>
      <c r="E518">
        <v>220365</v>
      </c>
      <c r="F518">
        <v>282212.24</v>
      </c>
      <c r="G518">
        <f>IF(Table13[[#This Row],[Budget_Allocated_INR]]="","",Table13[[#This Row],[Amount_INR]]-Table13[[#This Row],[Budget_Allocated_INR]])</f>
        <v>-61847.239999999991</v>
      </c>
      <c r="H518">
        <v>-61847.24</v>
      </c>
      <c r="I518" s="1">
        <v>45711</v>
      </c>
      <c r="J518" t="s">
        <v>526</v>
      </c>
      <c r="K518" t="s">
        <v>560</v>
      </c>
      <c r="L518" t="s">
        <v>536</v>
      </c>
      <c r="M518" t="s">
        <v>537</v>
      </c>
      <c r="N518" t="s">
        <v>520</v>
      </c>
    </row>
    <row r="519" spans="1:15" x14ac:dyDescent="0.35">
      <c r="A519" t="s">
        <v>1085</v>
      </c>
      <c r="B519" t="s">
        <v>79</v>
      </c>
      <c r="C519" t="s">
        <v>581</v>
      </c>
      <c r="D519" t="s">
        <v>584</v>
      </c>
      <c r="E519">
        <v>311812</v>
      </c>
      <c r="F519">
        <v>335222.12</v>
      </c>
      <c r="G519">
        <f>IF(Table13[[#This Row],[Budget_Allocated_INR]]="","",Table13[[#This Row],[Amount_INR]]-Table13[[#This Row],[Budget_Allocated_INR]])</f>
        <v>-23410.119999999995</v>
      </c>
      <c r="H519">
        <v>-23410.12</v>
      </c>
      <c r="I519" s="1">
        <v>45683</v>
      </c>
      <c r="J519" t="s">
        <v>516</v>
      </c>
      <c r="K519" t="s">
        <v>517</v>
      </c>
      <c r="L519" t="s">
        <v>536</v>
      </c>
      <c r="M519" t="s">
        <v>546</v>
      </c>
      <c r="N519" t="s">
        <v>520</v>
      </c>
      <c r="O519" t="s">
        <v>521</v>
      </c>
    </row>
    <row r="520" spans="1:15" x14ac:dyDescent="0.35">
      <c r="A520" t="s">
        <v>1086</v>
      </c>
      <c r="B520" t="s">
        <v>530</v>
      </c>
      <c r="C520" t="s">
        <v>586</v>
      </c>
      <c r="D520" t="s">
        <v>593</v>
      </c>
      <c r="E520">
        <v>54662</v>
      </c>
      <c r="F520">
        <v>46375.08</v>
      </c>
      <c r="G520">
        <f>IF(Table13[[#This Row],[Budget_Allocated_INR]]="","",Table13[[#This Row],[Amount_INR]]-Table13[[#This Row],[Budget_Allocated_INR]])</f>
        <v>8286.9199999999983</v>
      </c>
      <c r="H520">
        <v>8286.92</v>
      </c>
      <c r="I520" s="1">
        <v>45396</v>
      </c>
      <c r="J520" t="s">
        <v>526</v>
      </c>
      <c r="K520" t="s">
        <v>517</v>
      </c>
      <c r="L520" t="s">
        <v>536</v>
      </c>
      <c r="M520" t="s">
        <v>537</v>
      </c>
      <c r="N520" t="s">
        <v>520</v>
      </c>
    </row>
    <row r="521" spans="1:15" x14ac:dyDescent="0.35">
      <c r="A521" t="s">
        <v>1087</v>
      </c>
      <c r="B521" t="s">
        <v>565</v>
      </c>
      <c r="C521" t="s">
        <v>524</v>
      </c>
      <c r="D521" t="s">
        <v>525</v>
      </c>
      <c r="E521">
        <v>173148</v>
      </c>
      <c r="F521">
        <v>159275.15</v>
      </c>
      <c r="G521">
        <f>IF(Table13[[#This Row],[Budget_Allocated_INR]]="","",Table13[[#This Row],[Amount_INR]]-Table13[[#This Row],[Budget_Allocated_INR]])</f>
        <v>13872.850000000006</v>
      </c>
      <c r="H521">
        <v>13872.85</v>
      </c>
      <c r="I521" s="1">
        <v>45581</v>
      </c>
      <c r="J521" t="s">
        <v>526</v>
      </c>
      <c r="K521" t="s">
        <v>517</v>
      </c>
      <c r="L521" t="s">
        <v>536</v>
      </c>
      <c r="M521" t="s">
        <v>528</v>
      </c>
      <c r="N521" t="s">
        <v>520</v>
      </c>
    </row>
    <row r="522" spans="1:15" x14ac:dyDescent="0.35">
      <c r="A522" t="s">
        <v>1088</v>
      </c>
      <c r="B522" t="s">
        <v>523</v>
      </c>
      <c r="C522" t="s">
        <v>531</v>
      </c>
      <c r="D522" t="s">
        <v>525</v>
      </c>
      <c r="E522">
        <v>467487</v>
      </c>
      <c r="F522">
        <v>504063.51</v>
      </c>
      <c r="G522">
        <f>IF(Table13[[#This Row],[Budget_Allocated_INR]]="","",Table13[[#This Row],[Amount_INR]]-Table13[[#This Row],[Budget_Allocated_INR]])</f>
        <v>-36576.510000000009</v>
      </c>
      <c r="H522">
        <v>-36576.51</v>
      </c>
      <c r="I522" s="1">
        <v>45180</v>
      </c>
      <c r="J522" t="s">
        <v>526</v>
      </c>
      <c r="K522" t="s">
        <v>540</v>
      </c>
      <c r="L522" t="s">
        <v>518</v>
      </c>
      <c r="M522" t="s">
        <v>546</v>
      </c>
      <c r="N522" t="s">
        <v>520</v>
      </c>
    </row>
    <row r="523" spans="1:15" x14ac:dyDescent="0.35">
      <c r="A523" t="s">
        <v>1089</v>
      </c>
      <c r="B523" t="s">
        <v>545</v>
      </c>
      <c r="C523" t="s">
        <v>524</v>
      </c>
      <c r="D523" t="s">
        <v>525</v>
      </c>
      <c r="E523">
        <v>-320442</v>
      </c>
      <c r="F523">
        <v>347695.35999999999</v>
      </c>
      <c r="G523">
        <f>IF(Table13[[#This Row],[Budget_Allocated_INR]]="","",Table13[[#This Row],[Amount_INR]]-Table13[[#This Row],[Budget_Allocated_INR]])</f>
        <v>-668137.36</v>
      </c>
      <c r="H523">
        <v>-27253.360000000001</v>
      </c>
      <c r="I523" s="1">
        <v>45691</v>
      </c>
      <c r="J523" t="s">
        <v>516</v>
      </c>
      <c r="K523" t="s">
        <v>540</v>
      </c>
      <c r="L523" t="s">
        <v>536</v>
      </c>
      <c r="M523" t="s">
        <v>528</v>
      </c>
      <c r="N523" t="s">
        <v>582</v>
      </c>
    </row>
    <row r="524" spans="1:15" x14ac:dyDescent="0.35">
      <c r="A524" t="s">
        <v>1090</v>
      </c>
      <c r="B524" t="s">
        <v>534</v>
      </c>
      <c r="C524" t="s">
        <v>558</v>
      </c>
      <c r="D524" t="s">
        <v>563</v>
      </c>
      <c r="E524">
        <v>452049</v>
      </c>
      <c r="F524">
        <v>552989.04</v>
      </c>
      <c r="G524">
        <f>IF(Table13[[#This Row],[Budget_Allocated_INR]]="","",Table13[[#This Row],[Amount_INR]]-Table13[[#This Row],[Budget_Allocated_INR]])</f>
        <v>-100940.04000000004</v>
      </c>
      <c r="H524">
        <v>-100940.04</v>
      </c>
      <c r="I524" s="1">
        <v>45051</v>
      </c>
      <c r="J524" t="s">
        <v>526</v>
      </c>
      <c r="K524" t="s">
        <v>517</v>
      </c>
      <c r="L524" t="s">
        <v>518</v>
      </c>
      <c r="M524" t="s">
        <v>528</v>
      </c>
      <c r="N524" t="s">
        <v>520</v>
      </c>
    </row>
    <row r="525" spans="1:15" x14ac:dyDescent="0.35">
      <c r="A525" t="s">
        <v>1091</v>
      </c>
      <c r="B525" t="s">
        <v>548</v>
      </c>
      <c r="C525" t="s">
        <v>514</v>
      </c>
      <c r="D525" t="s">
        <v>535</v>
      </c>
      <c r="E525">
        <v>478495</v>
      </c>
      <c r="F525">
        <v>412509.84</v>
      </c>
      <c r="G525">
        <f>IF(Table13[[#This Row],[Budget_Allocated_INR]]="","",Table13[[#This Row],[Amount_INR]]-Table13[[#This Row],[Budget_Allocated_INR]])</f>
        <v>65985.159999999974</v>
      </c>
      <c r="H525">
        <v>65985.16</v>
      </c>
      <c r="I525" s="1">
        <v>45007</v>
      </c>
      <c r="J525" t="s">
        <v>526</v>
      </c>
      <c r="K525" t="s">
        <v>517</v>
      </c>
      <c r="L525" t="s">
        <v>541</v>
      </c>
      <c r="M525" t="s">
        <v>537</v>
      </c>
      <c r="N525" t="s">
        <v>520</v>
      </c>
    </row>
    <row r="526" spans="1:15" x14ac:dyDescent="0.35">
      <c r="A526" t="s">
        <v>1092</v>
      </c>
      <c r="B526" t="s">
        <v>545</v>
      </c>
      <c r="C526" t="s">
        <v>549</v>
      </c>
      <c r="D526" t="s">
        <v>532</v>
      </c>
      <c r="E526">
        <v>20639</v>
      </c>
      <c r="F526">
        <v>18677.73</v>
      </c>
      <c r="G526">
        <f>IF(Table13[[#This Row],[Budget_Allocated_INR]]="","",Table13[[#This Row],[Amount_INR]]-Table13[[#This Row],[Budget_Allocated_INR]])</f>
        <v>1961.2700000000004</v>
      </c>
      <c r="H526">
        <v>1961.27</v>
      </c>
      <c r="I526" s="1">
        <v>45020</v>
      </c>
      <c r="J526" t="s">
        <v>526</v>
      </c>
      <c r="K526" t="s">
        <v>540</v>
      </c>
      <c r="L526" t="s">
        <v>518</v>
      </c>
      <c r="M526" t="s">
        <v>528</v>
      </c>
      <c r="N526" t="s">
        <v>520</v>
      </c>
    </row>
    <row r="527" spans="1:15" x14ac:dyDescent="0.35">
      <c r="A527" t="s">
        <v>1093</v>
      </c>
      <c r="B527" t="s">
        <v>534</v>
      </c>
      <c r="C527" t="s">
        <v>599</v>
      </c>
      <c r="D527" t="s">
        <v>515</v>
      </c>
      <c r="E527">
        <v>434916</v>
      </c>
      <c r="F527">
        <v>402840.15</v>
      </c>
      <c r="G527">
        <f>IF(Table13[[#This Row],[Budget_Allocated_INR]]="","",Table13[[#This Row],[Amount_INR]]-Table13[[#This Row],[Budget_Allocated_INR]])</f>
        <v>32075.849999999977</v>
      </c>
      <c r="H527">
        <v>32075.85</v>
      </c>
      <c r="I527" s="1">
        <v>45741</v>
      </c>
      <c r="J527" t="s">
        <v>526</v>
      </c>
      <c r="K527" t="s">
        <v>517</v>
      </c>
      <c r="L527" t="s">
        <v>536</v>
      </c>
      <c r="M527" t="s">
        <v>546</v>
      </c>
      <c r="N527" t="s">
        <v>520</v>
      </c>
    </row>
    <row r="528" spans="1:15" x14ac:dyDescent="0.35">
      <c r="A528" t="s">
        <v>1094</v>
      </c>
      <c r="B528" t="s">
        <v>565</v>
      </c>
      <c r="C528" t="s">
        <v>552</v>
      </c>
      <c r="D528" t="s">
        <v>634</v>
      </c>
      <c r="E528">
        <v>187040</v>
      </c>
      <c r="G528" t="str">
        <f>IF(Table13[[#This Row],[Budget_Allocated_INR]]="","",Table13[[#This Row],[Amount_INR]]-Table13[[#This Row],[Budget_Allocated_INR]])</f>
        <v/>
      </c>
      <c r="H528">
        <v>-9687.6299999999992</v>
      </c>
      <c r="I528" s="1">
        <v>45380</v>
      </c>
      <c r="J528" t="s">
        <v>526</v>
      </c>
      <c r="K528" t="s">
        <v>517</v>
      </c>
      <c r="L528" t="s">
        <v>518</v>
      </c>
      <c r="M528" t="s">
        <v>519</v>
      </c>
      <c r="N528" t="s">
        <v>520</v>
      </c>
    </row>
    <row r="529" spans="1:15" x14ac:dyDescent="0.35">
      <c r="A529" t="s">
        <v>1095</v>
      </c>
      <c r="B529" t="s">
        <v>576</v>
      </c>
      <c r="C529" t="s">
        <v>558</v>
      </c>
      <c r="D529" t="s">
        <v>532</v>
      </c>
      <c r="E529">
        <v>108129</v>
      </c>
      <c r="F529">
        <v>97670.78</v>
      </c>
      <c r="G529">
        <f>IF(Table13[[#This Row],[Budget_Allocated_INR]]="","",Table13[[#This Row],[Amount_INR]]-Table13[[#This Row],[Budget_Allocated_INR]])</f>
        <v>10458.220000000001</v>
      </c>
      <c r="H529">
        <v>10458.219999999999</v>
      </c>
      <c r="I529" s="1">
        <v>45688</v>
      </c>
      <c r="J529" t="s">
        <v>516</v>
      </c>
      <c r="K529" t="s">
        <v>560</v>
      </c>
      <c r="L529" t="s">
        <v>536</v>
      </c>
      <c r="M529" t="s">
        <v>546</v>
      </c>
      <c r="N529" t="s">
        <v>520</v>
      </c>
    </row>
    <row r="530" spans="1:15" x14ac:dyDescent="0.35">
      <c r="A530" t="s">
        <v>1096</v>
      </c>
      <c r="B530" t="s">
        <v>548</v>
      </c>
      <c r="C530" t="s">
        <v>562</v>
      </c>
      <c r="D530" t="s">
        <v>605</v>
      </c>
      <c r="E530">
        <v>496893</v>
      </c>
      <c r="F530">
        <v>539724.06000000006</v>
      </c>
      <c r="G530">
        <f>IF(Table13[[#This Row],[Budget_Allocated_INR]]="","",Table13[[#This Row],[Amount_INR]]-Table13[[#This Row],[Budget_Allocated_INR]])</f>
        <v>-42831.060000000056</v>
      </c>
      <c r="H530">
        <v>-42831.06</v>
      </c>
      <c r="I530" s="1">
        <v>45426</v>
      </c>
      <c r="J530" t="s">
        <v>526</v>
      </c>
      <c r="K530" t="s">
        <v>560</v>
      </c>
      <c r="L530" t="s">
        <v>536</v>
      </c>
      <c r="M530" t="s">
        <v>537</v>
      </c>
      <c r="N530" t="s">
        <v>520</v>
      </c>
    </row>
    <row r="531" spans="1:15" x14ac:dyDescent="0.35">
      <c r="A531" t="s">
        <v>1097</v>
      </c>
      <c r="B531" t="s">
        <v>548</v>
      </c>
      <c r="C531" t="s">
        <v>562</v>
      </c>
      <c r="D531" t="s">
        <v>559</v>
      </c>
      <c r="E531">
        <v>315242</v>
      </c>
      <c r="F531">
        <v>353921.75</v>
      </c>
      <c r="G531">
        <f>IF(Table13[[#This Row],[Budget_Allocated_INR]]="","",Table13[[#This Row],[Amount_INR]]-Table13[[#This Row],[Budget_Allocated_INR]])</f>
        <v>-38679.75</v>
      </c>
      <c r="H531">
        <v>-38679.75</v>
      </c>
      <c r="I531" s="1">
        <v>45167</v>
      </c>
      <c r="J531" t="s">
        <v>597</v>
      </c>
      <c r="K531" t="s">
        <v>560</v>
      </c>
      <c r="L531" t="s">
        <v>518</v>
      </c>
      <c r="M531" t="s">
        <v>546</v>
      </c>
      <c r="N531" t="s">
        <v>520</v>
      </c>
      <c r="O531" t="s">
        <v>521</v>
      </c>
    </row>
    <row r="532" spans="1:15" x14ac:dyDescent="0.35">
      <c r="A532" t="s">
        <v>1098</v>
      </c>
      <c r="B532" t="s">
        <v>530</v>
      </c>
      <c r="C532" t="s">
        <v>552</v>
      </c>
      <c r="D532" t="s">
        <v>550</v>
      </c>
      <c r="E532">
        <v>223813</v>
      </c>
      <c r="F532">
        <v>205492.11</v>
      </c>
      <c r="G532">
        <f>IF(Table13[[#This Row],[Budget_Allocated_INR]]="","",Table13[[#This Row],[Amount_INR]]-Table13[[#This Row],[Budget_Allocated_INR]])</f>
        <v>18320.890000000014</v>
      </c>
      <c r="H532">
        <v>18320.89</v>
      </c>
      <c r="I532" s="1">
        <v>45272</v>
      </c>
      <c r="J532" t="s">
        <v>526</v>
      </c>
      <c r="K532" t="s">
        <v>540</v>
      </c>
      <c r="L532" t="s">
        <v>518</v>
      </c>
      <c r="M532" t="s">
        <v>537</v>
      </c>
      <c r="N532" t="s">
        <v>520</v>
      </c>
    </row>
    <row r="533" spans="1:15" x14ac:dyDescent="0.35">
      <c r="A533" t="s">
        <v>1099</v>
      </c>
      <c r="B533" t="s">
        <v>576</v>
      </c>
      <c r="C533" t="s">
        <v>531</v>
      </c>
      <c r="D533" t="s">
        <v>605</v>
      </c>
      <c r="E533">
        <v>366449</v>
      </c>
      <c r="F533">
        <v>378351.62</v>
      </c>
      <c r="G533">
        <f>IF(Table13[[#This Row],[Budget_Allocated_INR]]="","",Table13[[#This Row],[Amount_INR]]-Table13[[#This Row],[Budget_Allocated_INR]])</f>
        <v>-11902.619999999995</v>
      </c>
      <c r="H533">
        <v>-11902.62</v>
      </c>
      <c r="I533" s="1">
        <v>44957</v>
      </c>
      <c r="J533" t="s">
        <v>516</v>
      </c>
      <c r="K533" t="s">
        <v>540</v>
      </c>
      <c r="L533" t="s">
        <v>541</v>
      </c>
      <c r="M533" t="s">
        <v>537</v>
      </c>
      <c r="N533" t="s">
        <v>520</v>
      </c>
      <c r="O533" t="s">
        <v>521</v>
      </c>
    </row>
    <row r="534" spans="1:15" x14ac:dyDescent="0.35">
      <c r="A534" t="s">
        <v>1100</v>
      </c>
      <c r="B534" t="s">
        <v>79</v>
      </c>
      <c r="C534" t="s">
        <v>514</v>
      </c>
      <c r="D534" t="s">
        <v>553</v>
      </c>
      <c r="E534">
        <v>25682</v>
      </c>
      <c r="F534">
        <v>30711.55</v>
      </c>
      <c r="G534">
        <f>IF(Table13[[#This Row],[Budget_Allocated_INR]]="","",Table13[[#This Row],[Amount_INR]]-Table13[[#This Row],[Budget_Allocated_INR]])</f>
        <v>-5029.5499999999993</v>
      </c>
      <c r="H534">
        <v>-5029.55</v>
      </c>
      <c r="I534" s="1">
        <v>45700</v>
      </c>
      <c r="J534" t="s">
        <v>526</v>
      </c>
      <c r="K534" t="s">
        <v>560</v>
      </c>
      <c r="L534" t="s">
        <v>536</v>
      </c>
      <c r="M534" t="s">
        <v>537</v>
      </c>
      <c r="N534" t="s">
        <v>520</v>
      </c>
    </row>
    <row r="535" spans="1:15" x14ac:dyDescent="0.35">
      <c r="A535" t="s">
        <v>1101</v>
      </c>
      <c r="B535" t="s">
        <v>545</v>
      </c>
      <c r="C535" t="s">
        <v>581</v>
      </c>
      <c r="D535" t="s">
        <v>571</v>
      </c>
      <c r="E535">
        <v>45078</v>
      </c>
      <c r="F535">
        <v>46626.720000000001</v>
      </c>
      <c r="G535">
        <f>IF(Table13[[#This Row],[Budget_Allocated_INR]]="","",Table13[[#This Row],[Amount_INR]]-Table13[[#This Row],[Budget_Allocated_INR]])</f>
        <v>-1548.7200000000012</v>
      </c>
      <c r="H535">
        <v>-1548.72</v>
      </c>
      <c r="I535" s="1">
        <v>45062</v>
      </c>
      <c r="J535" t="s">
        <v>526</v>
      </c>
      <c r="K535" t="s">
        <v>517</v>
      </c>
      <c r="L535" t="s">
        <v>518</v>
      </c>
      <c r="M535" t="s">
        <v>537</v>
      </c>
      <c r="N535" t="s">
        <v>520</v>
      </c>
    </row>
    <row r="536" spans="1:15" x14ac:dyDescent="0.35">
      <c r="A536" t="s">
        <v>1102</v>
      </c>
      <c r="B536" t="s">
        <v>576</v>
      </c>
      <c r="C536" t="s">
        <v>524</v>
      </c>
      <c r="D536" t="s">
        <v>571</v>
      </c>
      <c r="E536">
        <v>359864</v>
      </c>
      <c r="F536">
        <v>417616.71</v>
      </c>
      <c r="G536">
        <f>IF(Table13[[#This Row],[Budget_Allocated_INR]]="","",Table13[[#This Row],[Amount_INR]]-Table13[[#This Row],[Budget_Allocated_INR]])</f>
        <v>-57752.710000000021</v>
      </c>
      <c r="H536">
        <v>-57752.71</v>
      </c>
      <c r="I536" s="1">
        <v>45745</v>
      </c>
      <c r="J536" t="s">
        <v>597</v>
      </c>
      <c r="K536" t="s">
        <v>540</v>
      </c>
      <c r="L536" t="s">
        <v>536</v>
      </c>
      <c r="M536" t="s">
        <v>537</v>
      </c>
      <c r="N536" t="s">
        <v>520</v>
      </c>
      <c r="O536" t="s">
        <v>521</v>
      </c>
    </row>
    <row r="537" spans="1:15" x14ac:dyDescent="0.35">
      <c r="A537" t="s">
        <v>1103</v>
      </c>
      <c r="B537" t="s">
        <v>548</v>
      </c>
      <c r="C537" t="s">
        <v>558</v>
      </c>
      <c r="D537" t="s">
        <v>571</v>
      </c>
      <c r="E537">
        <v>378394</v>
      </c>
      <c r="F537">
        <v>417751.85</v>
      </c>
      <c r="G537">
        <f>IF(Table13[[#This Row],[Budget_Allocated_INR]]="","",Table13[[#This Row],[Amount_INR]]-Table13[[#This Row],[Budget_Allocated_INR]])</f>
        <v>-39357.849999999977</v>
      </c>
      <c r="H537">
        <v>-39357.85</v>
      </c>
      <c r="I537" s="1">
        <v>45430</v>
      </c>
      <c r="J537" t="s">
        <v>526</v>
      </c>
      <c r="K537" t="s">
        <v>527</v>
      </c>
      <c r="L537" t="s">
        <v>536</v>
      </c>
      <c r="M537" t="s">
        <v>537</v>
      </c>
      <c r="N537" t="s">
        <v>520</v>
      </c>
    </row>
    <row r="538" spans="1:15" x14ac:dyDescent="0.35">
      <c r="A538" t="s">
        <v>1104</v>
      </c>
      <c r="B538" t="s">
        <v>530</v>
      </c>
      <c r="C538" t="s">
        <v>552</v>
      </c>
      <c r="D538" t="s">
        <v>515</v>
      </c>
      <c r="E538">
        <v>244293</v>
      </c>
      <c r="F538">
        <v>308057.15000000002</v>
      </c>
      <c r="G538">
        <f>IF(Table13[[#This Row],[Budget_Allocated_INR]]="","",Table13[[#This Row],[Amount_INR]]-Table13[[#This Row],[Budget_Allocated_INR]])</f>
        <v>-63764.150000000023</v>
      </c>
      <c r="H538">
        <v>-63764.15</v>
      </c>
      <c r="I538" s="1">
        <v>45193</v>
      </c>
      <c r="J538" t="s">
        <v>526</v>
      </c>
      <c r="K538" t="s">
        <v>517</v>
      </c>
      <c r="L538" t="s">
        <v>518</v>
      </c>
      <c r="M538" t="s">
        <v>546</v>
      </c>
      <c r="N538" t="s">
        <v>520</v>
      </c>
    </row>
    <row r="539" spans="1:15" x14ac:dyDescent="0.35">
      <c r="A539" t="s">
        <v>1105</v>
      </c>
      <c r="B539" t="s">
        <v>545</v>
      </c>
      <c r="C539" t="s">
        <v>543</v>
      </c>
      <c r="D539" t="s">
        <v>588</v>
      </c>
      <c r="E539">
        <v>438697</v>
      </c>
      <c r="F539">
        <v>394827.65</v>
      </c>
      <c r="G539">
        <f>IF(Table13[[#This Row],[Budget_Allocated_INR]]="","",Table13[[#This Row],[Amount_INR]]-Table13[[#This Row],[Budget_Allocated_INR]])</f>
        <v>43869.349999999977</v>
      </c>
      <c r="H539">
        <v>43869.35</v>
      </c>
      <c r="I539" s="1">
        <v>45098</v>
      </c>
      <c r="J539" t="s">
        <v>526</v>
      </c>
      <c r="K539" t="s">
        <v>517</v>
      </c>
      <c r="L539" t="s">
        <v>518</v>
      </c>
      <c r="M539" t="s">
        <v>519</v>
      </c>
      <c r="N539" t="s">
        <v>520</v>
      </c>
    </row>
    <row r="540" spans="1:15" x14ac:dyDescent="0.35">
      <c r="A540" t="s">
        <v>1106</v>
      </c>
      <c r="B540" t="s">
        <v>565</v>
      </c>
      <c r="C540" t="s">
        <v>599</v>
      </c>
      <c r="D540" t="s">
        <v>559</v>
      </c>
      <c r="E540">
        <v>494478</v>
      </c>
      <c r="F540">
        <v>425644.3</v>
      </c>
      <c r="G540">
        <f>IF(Table13[[#This Row],[Budget_Allocated_INR]]="","",Table13[[#This Row],[Amount_INR]]-Table13[[#This Row],[Budget_Allocated_INR]])</f>
        <v>68833.700000000012</v>
      </c>
      <c r="H540">
        <v>68833.7</v>
      </c>
      <c r="I540" s="1">
        <v>45484</v>
      </c>
      <c r="J540" t="s">
        <v>526</v>
      </c>
      <c r="K540" t="s">
        <v>560</v>
      </c>
      <c r="L540" t="s">
        <v>536</v>
      </c>
      <c r="M540" t="s">
        <v>528</v>
      </c>
      <c r="N540" t="s">
        <v>520</v>
      </c>
    </row>
    <row r="541" spans="1:15" x14ac:dyDescent="0.35">
      <c r="A541" t="s">
        <v>1107</v>
      </c>
      <c r="B541" t="s">
        <v>565</v>
      </c>
      <c r="C541" t="s">
        <v>581</v>
      </c>
      <c r="D541" t="s">
        <v>553</v>
      </c>
      <c r="E541">
        <v>90424</v>
      </c>
      <c r="F541">
        <v>98893.58</v>
      </c>
      <c r="G541">
        <f>IF(Table13[[#This Row],[Budget_Allocated_INR]]="","",Table13[[#This Row],[Amount_INR]]-Table13[[#This Row],[Budget_Allocated_INR]])</f>
        <v>-8469.5800000000017</v>
      </c>
      <c r="H541">
        <v>-8469.58</v>
      </c>
      <c r="I541" s="1">
        <v>45483</v>
      </c>
      <c r="J541" t="s">
        <v>526</v>
      </c>
      <c r="K541" t="s">
        <v>527</v>
      </c>
      <c r="L541" t="s">
        <v>536</v>
      </c>
      <c r="M541" t="s">
        <v>537</v>
      </c>
      <c r="N541" t="s">
        <v>520</v>
      </c>
    </row>
    <row r="542" spans="1:15" x14ac:dyDescent="0.35">
      <c r="A542" t="s">
        <v>1108</v>
      </c>
      <c r="B542" t="s">
        <v>548</v>
      </c>
      <c r="C542" t="s">
        <v>581</v>
      </c>
      <c r="D542" t="s">
        <v>550</v>
      </c>
      <c r="E542">
        <v>391262</v>
      </c>
      <c r="F542">
        <v>331538.21000000002</v>
      </c>
      <c r="G542">
        <f>IF(Table13[[#This Row],[Budget_Allocated_INR]]="","",Table13[[#This Row],[Amount_INR]]-Table13[[#This Row],[Budget_Allocated_INR]])</f>
        <v>59723.789999999979</v>
      </c>
      <c r="H542">
        <v>59723.79</v>
      </c>
      <c r="I542" s="1">
        <v>45506</v>
      </c>
      <c r="J542" t="s">
        <v>526</v>
      </c>
      <c r="K542" t="s">
        <v>540</v>
      </c>
      <c r="L542" t="s">
        <v>536</v>
      </c>
      <c r="M542" t="s">
        <v>537</v>
      </c>
      <c r="N542" t="s">
        <v>520</v>
      </c>
    </row>
    <row r="543" spans="1:15" x14ac:dyDescent="0.35">
      <c r="A543" t="s">
        <v>1109</v>
      </c>
      <c r="B543" t="s">
        <v>565</v>
      </c>
      <c r="C543" t="s">
        <v>552</v>
      </c>
      <c r="D543" t="s">
        <v>559</v>
      </c>
      <c r="E543">
        <v>97915</v>
      </c>
      <c r="G543" t="str">
        <f>IF(Table13[[#This Row],[Budget_Allocated_INR]]="","",Table13[[#This Row],[Amount_INR]]-Table13[[#This Row],[Budget_Allocated_INR]])</f>
        <v/>
      </c>
      <c r="H543">
        <v>12794.13</v>
      </c>
      <c r="I543" s="1">
        <v>45482</v>
      </c>
      <c r="J543" t="s">
        <v>516</v>
      </c>
      <c r="K543" t="s">
        <v>540</v>
      </c>
      <c r="L543" t="s">
        <v>536</v>
      </c>
      <c r="M543" t="s">
        <v>546</v>
      </c>
      <c r="N543" t="s">
        <v>520</v>
      </c>
    </row>
    <row r="544" spans="1:15" x14ac:dyDescent="0.35">
      <c r="A544" t="s">
        <v>1110</v>
      </c>
      <c r="B544" t="s">
        <v>548</v>
      </c>
      <c r="C544" t="s">
        <v>552</v>
      </c>
      <c r="D544" t="s">
        <v>553</v>
      </c>
      <c r="E544">
        <v>360413</v>
      </c>
      <c r="F544">
        <v>394450.86</v>
      </c>
      <c r="G544">
        <f>IF(Table13[[#This Row],[Budget_Allocated_INR]]="","",Table13[[#This Row],[Amount_INR]]-Table13[[#This Row],[Budget_Allocated_INR]])</f>
        <v>-34037.859999999986</v>
      </c>
      <c r="H544">
        <v>-34037.86</v>
      </c>
      <c r="I544" s="1">
        <v>45349</v>
      </c>
      <c r="J544" t="s">
        <v>526</v>
      </c>
      <c r="K544" t="s">
        <v>560</v>
      </c>
      <c r="L544" t="s">
        <v>518</v>
      </c>
      <c r="M544" t="s">
        <v>554</v>
      </c>
      <c r="N544" t="s">
        <v>520</v>
      </c>
    </row>
    <row r="545" spans="1:15" x14ac:dyDescent="0.35">
      <c r="A545" t="s">
        <v>1111</v>
      </c>
      <c r="B545" t="s">
        <v>576</v>
      </c>
      <c r="C545" t="s">
        <v>524</v>
      </c>
      <c r="D545" t="s">
        <v>571</v>
      </c>
      <c r="E545">
        <v>211741</v>
      </c>
      <c r="F545">
        <v>259695.42</v>
      </c>
      <c r="G545">
        <f>IF(Table13[[#This Row],[Budget_Allocated_INR]]="","",Table13[[#This Row],[Amount_INR]]-Table13[[#This Row],[Budget_Allocated_INR]])</f>
        <v>-47954.420000000013</v>
      </c>
      <c r="H545">
        <v>-47954.42</v>
      </c>
      <c r="I545" s="1">
        <v>45201</v>
      </c>
      <c r="J545" t="s">
        <v>526</v>
      </c>
      <c r="K545" t="s">
        <v>527</v>
      </c>
      <c r="L545" t="s">
        <v>518</v>
      </c>
      <c r="M545" t="s">
        <v>519</v>
      </c>
      <c r="N545" t="s">
        <v>520</v>
      </c>
    </row>
    <row r="546" spans="1:15" x14ac:dyDescent="0.35">
      <c r="A546" t="s">
        <v>1112</v>
      </c>
      <c r="B546" t="s">
        <v>576</v>
      </c>
      <c r="C546" t="s">
        <v>562</v>
      </c>
      <c r="D546" t="s">
        <v>563</v>
      </c>
      <c r="E546">
        <v>252414</v>
      </c>
      <c r="F546">
        <v>300603.15000000002</v>
      </c>
      <c r="G546">
        <f>IF(Table13[[#This Row],[Budget_Allocated_INR]]="","",Table13[[#This Row],[Amount_INR]]-Table13[[#This Row],[Budget_Allocated_INR]])</f>
        <v>-48189.150000000023</v>
      </c>
      <c r="H546">
        <v>-48189.15</v>
      </c>
      <c r="I546" s="1">
        <v>45418</v>
      </c>
      <c r="J546" t="s">
        <v>516</v>
      </c>
      <c r="K546" t="s">
        <v>527</v>
      </c>
      <c r="L546" t="s">
        <v>536</v>
      </c>
      <c r="M546" t="s">
        <v>537</v>
      </c>
      <c r="N546" t="s">
        <v>520</v>
      </c>
      <c r="O546" t="s">
        <v>521</v>
      </c>
    </row>
    <row r="547" spans="1:15" x14ac:dyDescent="0.35">
      <c r="A547" t="s">
        <v>1113</v>
      </c>
      <c r="B547" t="s">
        <v>576</v>
      </c>
      <c r="C547" t="s">
        <v>596</v>
      </c>
      <c r="D547" t="s">
        <v>539</v>
      </c>
      <c r="E547">
        <v>182510</v>
      </c>
      <c r="F547">
        <v>171655.83</v>
      </c>
      <c r="G547">
        <f>IF(Table13[[#This Row],[Budget_Allocated_INR]]="","",Table13[[#This Row],[Amount_INR]]-Table13[[#This Row],[Budget_Allocated_INR]])</f>
        <v>10854.170000000013</v>
      </c>
      <c r="H547">
        <v>10854.17</v>
      </c>
      <c r="I547" s="1">
        <v>45374</v>
      </c>
      <c r="J547" t="s">
        <v>526</v>
      </c>
      <c r="K547" t="s">
        <v>540</v>
      </c>
      <c r="L547" t="s">
        <v>518</v>
      </c>
      <c r="M547" t="s">
        <v>537</v>
      </c>
      <c r="N547" t="s">
        <v>520</v>
      </c>
    </row>
    <row r="548" spans="1:15" x14ac:dyDescent="0.35">
      <c r="A548" t="s">
        <v>1114</v>
      </c>
      <c r="B548" t="s">
        <v>548</v>
      </c>
      <c r="C548" t="s">
        <v>549</v>
      </c>
      <c r="D548" t="s">
        <v>539</v>
      </c>
      <c r="E548">
        <v>269988</v>
      </c>
      <c r="F548">
        <v>246791.93</v>
      </c>
      <c r="G548">
        <f>IF(Table13[[#This Row],[Budget_Allocated_INR]]="","",Table13[[#This Row],[Amount_INR]]-Table13[[#This Row],[Budget_Allocated_INR]])</f>
        <v>23196.070000000007</v>
      </c>
      <c r="H548">
        <v>23196.07</v>
      </c>
      <c r="I548" s="1">
        <v>45644</v>
      </c>
      <c r="J548" t="s">
        <v>526</v>
      </c>
      <c r="K548" t="s">
        <v>540</v>
      </c>
      <c r="L548" t="s">
        <v>536</v>
      </c>
      <c r="M548" t="s">
        <v>519</v>
      </c>
      <c r="N548" t="s">
        <v>520</v>
      </c>
    </row>
    <row r="549" spans="1:15" x14ac:dyDescent="0.35">
      <c r="A549" t="s">
        <v>1115</v>
      </c>
      <c r="B549" t="s">
        <v>548</v>
      </c>
      <c r="C549" t="s">
        <v>596</v>
      </c>
      <c r="D549" t="s">
        <v>588</v>
      </c>
      <c r="E549">
        <v>3713747</v>
      </c>
      <c r="F549">
        <v>3704060.42</v>
      </c>
      <c r="G549">
        <f>IF(Table13[[#This Row],[Budget_Allocated_INR]]="","",Table13[[#This Row],[Amount_INR]]-Table13[[#This Row],[Budget_Allocated_INR]])</f>
        <v>9686.5800000000745</v>
      </c>
      <c r="H549">
        <v>9686.58</v>
      </c>
      <c r="I549" s="1">
        <v>45553</v>
      </c>
      <c r="J549" t="s">
        <v>526</v>
      </c>
      <c r="K549" t="s">
        <v>527</v>
      </c>
      <c r="L549" t="s">
        <v>536</v>
      </c>
      <c r="M549" t="s">
        <v>537</v>
      </c>
      <c r="N549" t="s">
        <v>520</v>
      </c>
    </row>
    <row r="550" spans="1:15" x14ac:dyDescent="0.35">
      <c r="A550" t="s">
        <v>1116</v>
      </c>
      <c r="B550" t="s">
        <v>530</v>
      </c>
      <c r="C550" t="s">
        <v>558</v>
      </c>
      <c r="D550" t="s">
        <v>571</v>
      </c>
      <c r="E550">
        <v>172544</v>
      </c>
      <c r="F550">
        <v>204995.71</v>
      </c>
      <c r="G550">
        <f>IF(Table13[[#This Row],[Budget_Allocated_INR]]="","",Table13[[#This Row],[Amount_INR]]-Table13[[#This Row],[Budget_Allocated_INR]])</f>
        <v>-32451.709999999992</v>
      </c>
      <c r="H550">
        <v>-32451.71</v>
      </c>
      <c r="I550" s="1">
        <v>45248</v>
      </c>
      <c r="J550" t="s">
        <v>526</v>
      </c>
      <c r="K550" t="s">
        <v>560</v>
      </c>
      <c r="L550" t="s">
        <v>518</v>
      </c>
      <c r="M550" t="s">
        <v>546</v>
      </c>
      <c r="N550" t="s">
        <v>520</v>
      </c>
    </row>
    <row r="551" spans="1:15" x14ac:dyDescent="0.35">
      <c r="A551" t="s">
        <v>1117</v>
      </c>
      <c r="B551" t="s">
        <v>565</v>
      </c>
      <c r="C551" t="s">
        <v>549</v>
      </c>
      <c r="D551" t="s">
        <v>605</v>
      </c>
      <c r="E551">
        <v>-127359</v>
      </c>
      <c r="F551">
        <v>114724.18</v>
      </c>
      <c r="G551">
        <f>IF(Table13[[#This Row],[Budget_Allocated_INR]]="","",Table13[[#This Row],[Amount_INR]]-Table13[[#This Row],[Budget_Allocated_INR]])</f>
        <v>-242083.18</v>
      </c>
      <c r="H551">
        <v>12634.82</v>
      </c>
      <c r="I551" s="1">
        <v>45707</v>
      </c>
      <c r="J551" t="s">
        <v>526</v>
      </c>
      <c r="K551" t="s">
        <v>560</v>
      </c>
      <c r="L551" t="s">
        <v>536</v>
      </c>
      <c r="M551" t="s">
        <v>537</v>
      </c>
      <c r="N551" t="s">
        <v>582</v>
      </c>
    </row>
    <row r="552" spans="1:15" x14ac:dyDescent="0.35">
      <c r="A552" t="s">
        <v>1118</v>
      </c>
      <c r="B552" t="s">
        <v>548</v>
      </c>
      <c r="C552" t="s">
        <v>586</v>
      </c>
      <c r="D552" t="s">
        <v>550</v>
      </c>
      <c r="E552">
        <v>372228</v>
      </c>
      <c r="F552">
        <v>403678.43</v>
      </c>
      <c r="G552">
        <f>IF(Table13[[#This Row],[Budget_Allocated_INR]]="","",Table13[[#This Row],[Amount_INR]]-Table13[[#This Row],[Budget_Allocated_INR]])</f>
        <v>-31450.429999999993</v>
      </c>
      <c r="I552" s="1">
        <v>45087</v>
      </c>
      <c r="J552" t="s">
        <v>597</v>
      </c>
      <c r="K552" t="s">
        <v>540</v>
      </c>
      <c r="L552" t="s">
        <v>518</v>
      </c>
      <c r="M552" t="s">
        <v>519</v>
      </c>
      <c r="N552" t="s">
        <v>520</v>
      </c>
      <c r="O552" t="s">
        <v>521</v>
      </c>
    </row>
    <row r="553" spans="1:15" x14ac:dyDescent="0.35">
      <c r="A553" t="s">
        <v>1119</v>
      </c>
      <c r="B553" t="s">
        <v>523</v>
      </c>
      <c r="C553" t="s">
        <v>599</v>
      </c>
      <c r="D553" t="s">
        <v>550</v>
      </c>
      <c r="E553">
        <v>168643</v>
      </c>
      <c r="F553">
        <v>164538.23999999999</v>
      </c>
      <c r="G553">
        <f>IF(Table13[[#This Row],[Budget_Allocated_INR]]="","",Table13[[#This Row],[Amount_INR]]-Table13[[#This Row],[Budget_Allocated_INR]])</f>
        <v>4104.7600000000093</v>
      </c>
      <c r="H553">
        <v>4104.76</v>
      </c>
      <c r="I553" s="1">
        <v>45108</v>
      </c>
      <c r="J553" t="s">
        <v>526</v>
      </c>
      <c r="K553" t="s">
        <v>540</v>
      </c>
      <c r="L553" t="s">
        <v>518</v>
      </c>
      <c r="M553" t="s">
        <v>528</v>
      </c>
      <c r="N553" t="s">
        <v>520</v>
      </c>
    </row>
    <row r="554" spans="1:15" x14ac:dyDescent="0.35">
      <c r="A554" t="s">
        <v>1120</v>
      </c>
      <c r="B554" t="s">
        <v>576</v>
      </c>
      <c r="C554" t="s">
        <v>531</v>
      </c>
      <c r="D554" t="s">
        <v>553</v>
      </c>
      <c r="E554">
        <v>462507</v>
      </c>
      <c r="F554">
        <v>382064.83</v>
      </c>
      <c r="G554">
        <f>IF(Table13[[#This Row],[Budget_Allocated_INR]]="","",Table13[[#This Row],[Amount_INR]]-Table13[[#This Row],[Budget_Allocated_INR]])</f>
        <v>80442.169999999984</v>
      </c>
      <c r="H554">
        <v>80442.17</v>
      </c>
      <c r="I554" s="1">
        <v>45720</v>
      </c>
      <c r="J554" t="s">
        <v>526</v>
      </c>
      <c r="K554" t="s">
        <v>517</v>
      </c>
      <c r="L554" t="s">
        <v>536</v>
      </c>
      <c r="M554" t="s">
        <v>537</v>
      </c>
      <c r="N554" t="s">
        <v>520</v>
      </c>
    </row>
    <row r="555" spans="1:15" x14ac:dyDescent="0.35">
      <c r="A555" t="s">
        <v>1121</v>
      </c>
      <c r="B555" t="s">
        <v>530</v>
      </c>
      <c r="C555" t="s">
        <v>524</v>
      </c>
      <c r="D555" t="s">
        <v>574</v>
      </c>
      <c r="E555">
        <v>267508</v>
      </c>
      <c r="F555">
        <v>263079.67999999999</v>
      </c>
      <c r="G555">
        <f>IF(Table13[[#This Row],[Budget_Allocated_INR]]="","",Table13[[#This Row],[Amount_INR]]-Table13[[#This Row],[Budget_Allocated_INR]])</f>
        <v>4428.320000000007</v>
      </c>
      <c r="H555">
        <v>4428.32</v>
      </c>
      <c r="I555" s="1">
        <v>45193</v>
      </c>
      <c r="J555" t="s">
        <v>597</v>
      </c>
      <c r="K555" t="s">
        <v>540</v>
      </c>
      <c r="L555" t="s">
        <v>518</v>
      </c>
      <c r="M555" t="s">
        <v>537</v>
      </c>
      <c r="N555" t="s">
        <v>520</v>
      </c>
      <c r="O555" t="s">
        <v>521</v>
      </c>
    </row>
    <row r="556" spans="1:15" x14ac:dyDescent="0.35">
      <c r="A556" t="s">
        <v>1122</v>
      </c>
      <c r="B556" t="s">
        <v>523</v>
      </c>
      <c r="C556" t="s">
        <v>549</v>
      </c>
      <c r="D556" t="s">
        <v>634</v>
      </c>
      <c r="E556">
        <v>390884</v>
      </c>
      <c r="F556">
        <v>374286.3</v>
      </c>
      <c r="G556">
        <f>IF(Table13[[#This Row],[Budget_Allocated_INR]]="","",Table13[[#This Row],[Amount_INR]]-Table13[[#This Row],[Budget_Allocated_INR]])</f>
        <v>16597.700000000012</v>
      </c>
      <c r="H556">
        <v>16597.7</v>
      </c>
      <c r="I556" s="1">
        <v>45490</v>
      </c>
      <c r="J556" t="s">
        <v>526</v>
      </c>
      <c r="K556" t="s">
        <v>517</v>
      </c>
      <c r="L556" t="s">
        <v>536</v>
      </c>
      <c r="M556" t="s">
        <v>568</v>
      </c>
      <c r="N556" t="s">
        <v>520</v>
      </c>
    </row>
    <row r="557" spans="1:15" x14ac:dyDescent="0.35">
      <c r="A557" t="s">
        <v>1123</v>
      </c>
      <c r="B557" t="s">
        <v>534</v>
      </c>
      <c r="C557" t="s">
        <v>596</v>
      </c>
      <c r="D557" t="s">
        <v>515</v>
      </c>
      <c r="E557">
        <v>459680</v>
      </c>
      <c r="F557">
        <v>442515.12</v>
      </c>
      <c r="G557">
        <f>IF(Table13[[#This Row],[Budget_Allocated_INR]]="","",Table13[[#This Row],[Amount_INR]]-Table13[[#This Row],[Budget_Allocated_INR]])</f>
        <v>17164.880000000005</v>
      </c>
      <c r="H557">
        <v>17164.88</v>
      </c>
      <c r="I557" s="1">
        <v>44978</v>
      </c>
      <c r="J557" t="s">
        <v>526</v>
      </c>
      <c r="K557" t="s">
        <v>527</v>
      </c>
      <c r="L557" t="s">
        <v>541</v>
      </c>
      <c r="M557" t="s">
        <v>546</v>
      </c>
      <c r="N557" t="s">
        <v>520</v>
      </c>
    </row>
    <row r="558" spans="1:15" x14ac:dyDescent="0.35">
      <c r="A558" t="s">
        <v>1124</v>
      </c>
      <c r="B558" t="s">
        <v>530</v>
      </c>
      <c r="C558" t="s">
        <v>586</v>
      </c>
      <c r="D558" t="s">
        <v>584</v>
      </c>
      <c r="E558">
        <v>-300675</v>
      </c>
      <c r="F558">
        <v>324757.98</v>
      </c>
      <c r="G558">
        <f>IF(Table13[[#This Row],[Budget_Allocated_INR]]="","",Table13[[#This Row],[Amount_INR]]-Table13[[#This Row],[Budget_Allocated_INR]])</f>
        <v>-625432.98</v>
      </c>
      <c r="H558">
        <v>-24082.98</v>
      </c>
      <c r="I558" s="1">
        <v>45143</v>
      </c>
      <c r="J558" t="s">
        <v>526</v>
      </c>
      <c r="K558" t="s">
        <v>527</v>
      </c>
      <c r="L558" t="s">
        <v>518</v>
      </c>
      <c r="M558" t="s">
        <v>568</v>
      </c>
      <c r="N558" t="s">
        <v>582</v>
      </c>
    </row>
    <row r="559" spans="1:15" x14ac:dyDescent="0.35">
      <c r="A559" t="s">
        <v>1125</v>
      </c>
      <c r="B559" t="s">
        <v>534</v>
      </c>
      <c r="C559" t="s">
        <v>524</v>
      </c>
      <c r="D559" t="s">
        <v>593</v>
      </c>
      <c r="E559">
        <v>465199</v>
      </c>
      <c r="F559">
        <v>577067.32999999996</v>
      </c>
      <c r="G559">
        <f>IF(Table13[[#This Row],[Budget_Allocated_INR]]="","",Table13[[#This Row],[Amount_INR]]-Table13[[#This Row],[Budget_Allocated_INR]])</f>
        <v>-111868.32999999996</v>
      </c>
      <c r="H559">
        <v>-111868.33</v>
      </c>
      <c r="I559" s="1">
        <v>45166</v>
      </c>
      <c r="J559" t="s">
        <v>526</v>
      </c>
      <c r="K559" t="s">
        <v>527</v>
      </c>
      <c r="L559" t="s">
        <v>518</v>
      </c>
      <c r="M559" t="s">
        <v>537</v>
      </c>
      <c r="N559" t="s">
        <v>520</v>
      </c>
    </row>
    <row r="560" spans="1:15" x14ac:dyDescent="0.35">
      <c r="A560" t="s">
        <v>1126</v>
      </c>
      <c r="B560" t="s">
        <v>576</v>
      </c>
      <c r="C560" t="s">
        <v>581</v>
      </c>
      <c r="D560" t="s">
        <v>593</v>
      </c>
      <c r="E560">
        <v>166289</v>
      </c>
      <c r="F560">
        <v>178135.73</v>
      </c>
      <c r="G560">
        <f>IF(Table13[[#This Row],[Budget_Allocated_INR]]="","",Table13[[#This Row],[Amount_INR]]-Table13[[#This Row],[Budget_Allocated_INR]])</f>
        <v>-11846.73000000001</v>
      </c>
      <c r="H560">
        <v>-11846.73</v>
      </c>
      <c r="I560" s="1">
        <v>45704</v>
      </c>
      <c r="J560" t="s">
        <v>526</v>
      </c>
      <c r="K560" t="s">
        <v>517</v>
      </c>
      <c r="L560" t="s">
        <v>536</v>
      </c>
      <c r="M560" t="s">
        <v>519</v>
      </c>
      <c r="N560" t="s">
        <v>520</v>
      </c>
    </row>
    <row r="561" spans="1:15" x14ac:dyDescent="0.35">
      <c r="A561" t="s">
        <v>1127</v>
      </c>
      <c r="B561" t="s">
        <v>534</v>
      </c>
      <c r="C561" t="s">
        <v>562</v>
      </c>
      <c r="D561" t="s">
        <v>525</v>
      </c>
      <c r="E561">
        <v>246882</v>
      </c>
      <c r="F561">
        <v>237164.36</v>
      </c>
      <c r="G561">
        <f>IF(Table13[[#This Row],[Budget_Allocated_INR]]="","",Table13[[#This Row],[Amount_INR]]-Table13[[#This Row],[Budget_Allocated_INR]])</f>
        <v>9717.640000000014</v>
      </c>
      <c r="H561">
        <v>9717.64</v>
      </c>
      <c r="I561" s="1">
        <v>45433</v>
      </c>
      <c r="J561" t="s">
        <v>526</v>
      </c>
      <c r="K561" t="s">
        <v>517</v>
      </c>
      <c r="L561" t="s">
        <v>536</v>
      </c>
      <c r="M561" t="s">
        <v>537</v>
      </c>
      <c r="N561" t="s">
        <v>520</v>
      </c>
    </row>
    <row r="562" spans="1:15" x14ac:dyDescent="0.35">
      <c r="A562" t="s">
        <v>1128</v>
      </c>
      <c r="B562" t="s">
        <v>545</v>
      </c>
      <c r="C562" t="s">
        <v>514</v>
      </c>
      <c r="D562" t="s">
        <v>525</v>
      </c>
      <c r="E562">
        <v>51577</v>
      </c>
      <c r="F562">
        <v>56897.67</v>
      </c>
      <c r="G562">
        <f>IF(Table13[[#This Row],[Budget_Allocated_INR]]="","",Table13[[#This Row],[Amount_INR]]-Table13[[#This Row],[Budget_Allocated_INR]])</f>
        <v>-5320.6699999999983</v>
      </c>
      <c r="H562">
        <v>-5320.67</v>
      </c>
      <c r="I562" s="1">
        <v>45290</v>
      </c>
      <c r="J562" t="s">
        <v>597</v>
      </c>
      <c r="K562" t="s">
        <v>560</v>
      </c>
      <c r="L562" t="s">
        <v>518</v>
      </c>
      <c r="M562" t="s">
        <v>537</v>
      </c>
      <c r="N562" t="s">
        <v>520</v>
      </c>
    </row>
    <row r="563" spans="1:15" x14ac:dyDescent="0.35">
      <c r="A563" t="s">
        <v>1129</v>
      </c>
      <c r="B563" t="s">
        <v>534</v>
      </c>
      <c r="C563" t="s">
        <v>586</v>
      </c>
      <c r="D563" t="s">
        <v>588</v>
      </c>
      <c r="E563">
        <v>297578</v>
      </c>
      <c r="F563">
        <v>298238.42</v>
      </c>
      <c r="G563">
        <f>IF(Table13[[#This Row],[Budget_Allocated_INR]]="","",Table13[[#This Row],[Amount_INR]]-Table13[[#This Row],[Budget_Allocated_INR]])</f>
        <v>-660.4199999999837</v>
      </c>
      <c r="H563">
        <v>-660.42</v>
      </c>
      <c r="I563" s="1">
        <v>44946</v>
      </c>
      <c r="J563" t="s">
        <v>526</v>
      </c>
      <c r="K563" t="s">
        <v>527</v>
      </c>
      <c r="L563" t="s">
        <v>541</v>
      </c>
      <c r="M563" t="s">
        <v>537</v>
      </c>
      <c r="N563" t="s">
        <v>520</v>
      </c>
    </row>
    <row r="564" spans="1:15" x14ac:dyDescent="0.35">
      <c r="A564" t="s">
        <v>1130</v>
      </c>
      <c r="B564" t="s">
        <v>548</v>
      </c>
      <c r="C564" t="s">
        <v>531</v>
      </c>
      <c r="D564" t="s">
        <v>634</v>
      </c>
      <c r="E564">
        <v>95596</v>
      </c>
      <c r="F564">
        <v>78741.84</v>
      </c>
      <c r="G564">
        <f>IF(Table13[[#This Row],[Budget_Allocated_INR]]="","",Table13[[#This Row],[Amount_INR]]-Table13[[#This Row],[Budget_Allocated_INR]])</f>
        <v>16854.160000000003</v>
      </c>
      <c r="H564">
        <v>16854.16</v>
      </c>
      <c r="I564" s="1">
        <v>45085</v>
      </c>
      <c r="J564" t="s">
        <v>526</v>
      </c>
      <c r="K564" t="s">
        <v>560</v>
      </c>
      <c r="L564" t="s">
        <v>518</v>
      </c>
      <c r="M564" t="s">
        <v>537</v>
      </c>
      <c r="N564" t="s">
        <v>520</v>
      </c>
    </row>
    <row r="565" spans="1:15" x14ac:dyDescent="0.35">
      <c r="A565" t="s">
        <v>1131</v>
      </c>
      <c r="B565" t="s">
        <v>530</v>
      </c>
      <c r="C565" t="s">
        <v>599</v>
      </c>
      <c r="D565" t="s">
        <v>574</v>
      </c>
      <c r="E565">
        <v>56472</v>
      </c>
      <c r="F565">
        <v>62808.17</v>
      </c>
      <c r="G565">
        <f>IF(Table13[[#This Row],[Budget_Allocated_INR]]="","",Table13[[#This Row],[Amount_INR]]-Table13[[#This Row],[Budget_Allocated_INR]])</f>
        <v>-6336.1699999999983</v>
      </c>
      <c r="H565">
        <v>-6336.17</v>
      </c>
      <c r="I565" s="1">
        <v>45190</v>
      </c>
      <c r="J565" t="s">
        <v>526</v>
      </c>
      <c r="K565" t="s">
        <v>517</v>
      </c>
      <c r="L565" t="s">
        <v>518</v>
      </c>
      <c r="M565" t="s">
        <v>537</v>
      </c>
      <c r="N565" t="s">
        <v>520</v>
      </c>
    </row>
    <row r="566" spans="1:15" x14ac:dyDescent="0.35">
      <c r="A566" t="s">
        <v>1132</v>
      </c>
      <c r="B566" t="s">
        <v>534</v>
      </c>
      <c r="C566" t="s">
        <v>549</v>
      </c>
      <c r="D566" t="s">
        <v>574</v>
      </c>
      <c r="E566">
        <v>473688</v>
      </c>
      <c r="F566">
        <v>570098.88</v>
      </c>
      <c r="G566">
        <f>IF(Table13[[#This Row],[Budget_Allocated_INR]]="","",Table13[[#This Row],[Amount_INR]]-Table13[[#This Row],[Budget_Allocated_INR]])</f>
        <v>-96410.880000000005</v>
      </c>
      <c r="H566">
        <v>-96410.880000000005</v>
      </c>
      <c r="I566" s="1">
        <v>45456</v>
      </c>
      <c r="J566" t="s">
        <v>516</v>
      </c>
      <c r="K566" t="s">
        <v>527</v>
      </c>
      <c r="L566" t="s">
        <v>536</v>
      </c>
      <c r="M566" t="s">
        <v>568</v>
      </c>
      <c r="N566" t="s">
        <v>520</v>
      </c>
      <c r="O566" t="s">
        <v>521</v>
      </c>
    </row>
    <row r="567" spans="1:15" x14ac:dyDescent="0.35">
      <c r="A567" t="s">
        <v>1133</v>
      </c>
      <c r="B567" t="s">
        <v>545</v>
      </c>
      <c r="C567" t="s">
        <v>558</v>
      </c>
      <c r="D567" t="s">
        <v>588</v>
      </c>
      <c r="E567">
        <v>143902</v>
      </c>
      <c r="F567">
        <v>164879.64000000001</v>
      </c>
      <c r="G567">
        <f>IF(Table13[[#This Row],[Budget_Allocated_INR]]="","",Table13[[#This Row],[Amount_INR]]-Table13[[#This Row],[Budget_Allocated_INR]])</f>
        <v>-20977.640000000014</v>
      </c>
      <c r="H567">
        <v>-20977.64</v>
      </c>
      <c r="I567" s="1">
        <v>45262</v>
      </c>
      <c r="J567" t="s">
        <v>526</v>
      </c>
      <c r="K567" t="s">
        <v>540</v>
      </c>
      <c r="L567" t="s">
        <v>518</v>
      </c>
      <c r="M567" t="s">
        <v>554</v>
      </c>
      <c r="N567" t="s">
        <v>520</v>
      </c>
    </row>
    <row r="568" spans="1:15" x14ac:dyDescent="0.35">
      <c r="A568" t="s">
        <v>1134</v>
      </c>
      <c r="B568" t="s">
        <v>565</v>
      </c>
      <c r="C568" t="s">
        <v>596</v>
      </c>
      <c r="D568" t="s">
        <v>539</v>
      </c>
      <c r="E568">
        <v>345077</v>
      </c>
      <c r="F568">
        <v>406184.97</v>
      </c>
      <c r="G568">
        <f>IF(Table13[[#This Row],[Budget_Allocated_INR]]="","",Table13[[#This Row],[Amount_INR]]-Table13[[#This Row],[Budget_Allocated_INR]])</f>
        <v>-61107.969999999972</v>
      </c>
      <c r="H568">
        <v>-61107.97</v>
      </c>
      <c r="I568" s="1">
        <v>45612</v>
      </c>
      <c r="J568" t="s">
        <v>526</v>
      </c>
      <c r="K568" t="s">
        <v>540</v>
      </c>
      <c r="L568" t="s">
        <v>536</v>
      </c>
      <c r="M568" t="s">
        <v>537</v>
      </c>
      <c r="N568" t="s">
        <v>520</v>
      </c>
    </row>
    <row r="569" spans="1:15" x14ac:dyDescent="0.35">
      <c r="A569" t="s">
        <v>1135</v>
      </c>
      <c r="B569" t="s">
        <v>565</v>
      </c>
      <c r="C569" t="s">
        <v>514</v>
      </c>
      <c r="D569" t="s">
        <v>634</v>
      </c>
      <c r="E569">
        <v>494859</v>
      </c>
      <c r="F569">
        <v>567526.82999999996</v>
      </c>
      <c r="G569">
        <f>IF(Table13[[#This Row],[Budget_Allocated_INR]]="","",Table13[[#This Row],[Amount_INR]]-Table13[[#This Row],[Budget_Allocated_INR]])</f>
        <v>-72667.829999999958</v>
      </c>
      <c r="I569" s="1">
        <v>45648</v>
      </c>
      <c r="J569" t="s">
        <v>526</v>
      </c>
      <c r="K569" t="s">
        <v>560</v>
      </c>
      <c r="L569" t="s">
        <v>536</v>
      </c>
      <c r="M569" t="s">
        <v>537</v>
      </c>
      <c r="N569" t="s">
        <v>520</v>
      </c>
    </row>
    <row r="570" spans="1:15" x14ac:dyDescent="0.35">
      <c r="A570" t="s">
        <v>1136</v>
      </c>
      <c r="B570" t="s">
        <v>534</v>
      </c>
      <c r="C570" t="s">
        <v>543</v>
      </c>
      <c r="D570" t="s">
        <v>532</v>
      </c>
      <c r="E570">
        <v>443452</v>
      </c>
      <c r="F570">
        <v>575687.89</v>
      </c>
      <c r="G570">
        <f>IF(Table13[[#This Row],[Budget_Allocated_INR]]="","",Table13[[#This Row],[Amount_INR]]-Table13[[#This Row],[Budget_Allocated_INR]])</f>
        <v>-132235.89000000001</v>
      </c>
      <c r="H570">
        <v>-132235.89000000001</v>
      </c>
      <c r="I570" s="1">
        <v>45604</v>
      </c>
      <c r="J570" t="s">
        <v>526</v>
      </c>
      <c r="K570" t="s">
        <v>560</v>
      </c>
      <c r="L570" t="s">
        <v>536</v>
      </c>
      <c r="M570" t="s">
        <v>537</v>
      </c>
      <c r="N570" t="s">
        <v>520</v>
      </c>
    </row>
    <row r="571" spans="1:15" x14ac:dyDescent="0.35">
      <c r="A571" t="s">
        <v>1137</v>
      </c>
      <c r="B571" t="s">
        <v>79</v>
      </c>
      <c r="C571" t="s">
        <v>599</v>
      </c>
      <c r="D571" t="s">
        <v>588</v>
      </c>
      <c r="E571">
        <v>40368</v>
      </c>
      <c r="F571">
        <v>44470.92</v>
      </c>
      <c r="G571">
        <f>IF(Table13[[#This Row],[Budget_Allocated_INR]]="","",Table13[[#This Row],[Amount_INR]]-Table13[[#This Row],[Budget_Allocated_INR]])</f>
        <v>-4102.9199999999983</v>
      </c>
      <c r="H571">
        <v>-4102.92</v>
      </c>
      <c r="I571" s="1">
        <v>44943</v>
      </c>
      <c r="J571" t="s">
        <v>526</v>
      </c>
      <c r="K571" t="s">
        <v>517</v>
      </c>
      <c r="L571" t="s">
        <v>541</v>
      </c>
      <c r="M571" t="s">
        <v>537</v>
      </c>
      <c r="N571" t="s">
        <v>520</v>
      </c>
    </row>
    <row r="572" spans="1:15" x14ac:dyDescent="0.35">
      <c r="A572" t="s">
        <v>1138</v>
      </c>
      <c r="B572" t="s">
        <v>576</v>
      </c>
      <c r="C572" t="s">
        <v>543</v>
      </c>
      <c r="D572" t="s">
        <v>605</v>
      </c>
      <c r="E572">
        <v>471872</v>
      </c>
      <c r="F572">
        <v>566563.03</v>
      </c>
      <c r="G572">
        <f>IF(Table13[[#This Row],[Budget_Allocated_INR]]="","",Table13[[#This Row],[Amount_INR]]-Table13[[#This Row],[Budget_Allocated_INR]])</f>
        <v>-94691.030000000028</v>
      </c>
      <c r="H572">
        <v>-94691.03</v>
      </c>
      <c r="I572" s="1">
        <v>45312</v>
      </c>
      <c r="J572" t="s">
        <v>526</v>
      </c>
      <c r="K572" t="s">
        <v>517</v>
      </c>
      <c r="L572" t="s">
        <v>518</v>
      </c>
      <c r="M572" t="s">
        <v>537</v>
      </c>
      <c r="N572" t="s">
        <v>520</v>
      </c>
    </row>
    <row r="573" spans="1:15" x14ac:dyDescent="0.35">
      <c r="A573" t="s">
        <v>1139</v>
      </c>
      <c r="B573" t="s">
        <v>576</v>
      </c>
      <c r="C573" t="s">
        <v>586</v>
      </c>
      <c r="D573" t="s">
        <v>584</v>
      </c>
      <c r="E573">
        <v>99051</v>
      </c>
      <c r="F573">
        <v>91537.26</v>
      </c>
      <c r="G573">
        <f>IF(Table13[[#This Row],[Budget_Allocated_INR]]="","",Table13[[#This Row],[Amount_INR]]-Table13[[#This Row],[Budget_Allocated_INR]])</f>
        <v>7513.7400000000052</v>
      </c>
      <c r="H573">
        <v>7513.74</v>
      </c>
      <c r="I573" s="1">
        <v>45525</v>
      </c>
      <c r="J573" t="s">
        <v>526</v>
      </c>
      <c r="K573" t="s">
        <v>560</v>
      </c>
      <c r="L573" t="s">
        <v>536</v>
      </c>
      <c r="M573" t="s">
        <v>519</v>
      </c>
      <c r="N573" t="s">
        <v>520</v>
      </c>
    </row>
    <row r="574" spans="1:15" x14ac:dyDescent="0.35">
      <c r="A574" t="s">
        <v>1140</v>
      </c>
      <c r="B574" t="s">
        <v>548</v>
      </c>
      <c r="C574" t="s">
        <v>599</v>
      </c>
      <c r="D574" t="s">
        <v>553</v>
      </c>
      <c r="E574">
        <v>308813</v>
      </c>
      <c r="F574">
        <v>393590.64</v>
      </c>
      <c r="G574">
        <f>IF(Table13[[#This Row],[Budget_Allocated_INR]]="","",Table13[[#This Row],[Amount_INR]]-Table13[[#This Row],[Budget_Allocated_INR]])</f>
        <v>-84777.640000000014</v>
      </c>
      <c r="H574">
        <v>-84777.64</v>
      </c>
      <c r="I574" s="1">
        <v>44969</v>
      </c>
      <c r="J574" t="s">
        <v>526</v>
      </c>
      <c r="K574" t="s">
        <v>560</v>
      </c>
      <c r="L574" t="s">
        <v>541</v>
      </c>
      <c r="M574" t="s">
        <v>537</v>
      </c>
      <c r="N574" t="s">
        <v>520</v>
      </c>
    </row>
    <row r="575" spans="1:15" x14ac:dyDescent="0.35">
      <c r="A575" t="s">
        <v>1141</v>
      </c>
      <c r="B575" t="s">
        <v>545</v>
      </c>
      <c r="C575" t="s">
        <v>524</v>
      </c>
      <c r="D575" t="s">
        <v>539</v>
      </c>
      <c r="E575">
        <v>279525</v>
      </c>
      <c r="G575" t="str">
        <f>IF(Table13[[#This Row],[Budget_Allocated_INR]]="","",Table13[[#This Row],[Amount_INR]]-Table13[[#This Row],[Budget_Allocated_INR]])</f>
        <v/>
      </c>
      <c r="H575">
        <v>-62165.66</v>
      </c>
      <c r="I575" s="1">
        <v>45306</v>
      </c>
      <c r="J575" t="s">
        <v>526</v>
      </c>
      <c r="K575" t="s">
        <v>527</v>
      </c>
      <c r="L575" t="s">
        <v>518</v>
      </c>
      <c r="M575" t="s">
        <v>537</v>
      </c>
      <c r="N575" t="s">
        <v>520</v>
      </c>
    </row>
    <row r="576" spans="1:15" x14ac:dyDescent="0.35">
      <c r="A576" t="s">
        <v>1142</v>
      </c>
      <c r="B576" t="s">
        <v>534</v>
      </c>
      <c r="C576" t="s">
        <v>558</v>
      </c>
      <c r="D576" t="s">
        <v>532</v>
      </c>
      <c r="E576">
        <v>176344</v>
      </c>
      <c r="F576">
        <v>147089.59</v>
      </c>
      <c r="G576">
        <f>IF(Table13[[#This Row],[Budget_Allocated_INR]]="","",Table13[[#This Row],[Amount_INR]]-Table13[[#This Row],[Budget_Allocated_INR]])</f>
        <v>29254.410000000003</v>
      </c>
      <c r="H576">
        <v>29254.41</v>
      </c>
      <c r="I576" s="1">
        <v>45009</v>
      </c>
      <c r="J576" t="s">
        <v>516</v>
      </c>
      <c r="K576" t="s">
        <v>517</v>
      </c>
      <c r="L576" t="s">
        <v>541</v>
      </c>
      <c r="M576" t="s">
        <v>537</v>
      </c>
      <c r="N576" t="s">
        <v>520</v>
      </c>
    </row>
    <row r="577" spans="1:15" x14ac:dyDescent="0.35">
      <c r="A577" t="s">
        <v>1143</v>
      </c>
      <c r="B577" t="s">
        <v>530</v>
      </c>
      <c r="C577" t="s">
        <v>596</v>
      </c>
      <c r="D577" t="s">
        <v>605</v>
      </c>
      <c r="E577">
        <v>202059</v>
      </c>
      <c r="F577">
        <v>214400.08</v>
      </c>
      <c r="G577">
        <f>IF(Table13[[#This Row],[Budget_Allocated_INR]]="","",Table13[[#This Row],[Amount_INR]]-Table13[[#This Row],[Budget_Allocated_INR]])</f>
        <v>-12341.079999999987</v>
      </c>
      <c r="H577">
        <v>-12341.08</v>
      </c>
      <c r="I577" s="1">
        <v>45606</v>
      </c>
      <c r="J577" t="s">
        <v>526</v>
      </c>
      <c r="K577" t="s">
        <v>527</v>
      </c>
      <c r="L577" t="s">
        <v>536</v>
      </c>
      <c r="M577" t="s">
        <v>528</v>
      </c>
      <c r="N577" t="s">
        <v>520</v>
      </c>
    </row>
    <row r="578" spans="1:15" x14ac:dyDescent="0.35">
      <c r="A578" t="s">
        <v>1144</v>
      </c>
      <c r="B578" t="s">
        <v>565</v>
      </c>
      <c r="C578" t="s">
        <v>514</v>
      </c>
      <c r="D578" t="s">
        <v>535</v>
      </c>
      <c r="E578">
        <v>204347</v>
      </c>
      <c r="F578">
        <v>265256.24</v>
      </c>
      <c r="G578">
        <f>IF(Table13[[#This Row],[Budget_Allocated_INR]]="","",Table13[[#This Row],[Amount_INR]]-Table13[[#This Row],[Budget_Allocated_INR]])</f>
        <v>-60909.239999999991</v>
      </c>
      <c r="H578">
        <v>-60909.24</v>
      </c>
      <c r="I578" s="1">
        <v>45041</v>
      </c>
      <c r="J578" t="s">
        <v>526</v>
      </c>
      <c r="K578" t="s">
        <v>560</v>
      </c>
      <c r="L578" t="s">
        <v>518</v>
      </c>
      <c r="M578" t="s">
        <v>537</v>
      </c>
      <c r="N578" t="s">
        <v>520</v>
      </c>
    </row>
    <row r="579" spans="1:15" x14ac:dyDescent="0.35">
      <c r="A579" t="s">
        <v>1145</v>
      </c>
      <c r="B579" t="s">
        <v>576</v>
      </c>
      <c r="C579" t="s">
        <v>549</v>
      </c>
      <c r="D579" t="s">
        <v>525</v>
      </c>
      <c r="E579">
        <v>371913</v>
      </c>
      <c r="F579">
        <v>475768.76</v>
      </c>
      <c r="G579">
        <f>IF(Table13[[#This Row],[Budget_Allocated_INR]]="","",Table13[[#This Row],[Amount_INR]]-Table13[[#This Row],[Budget_Allocated_INR]])</f>
        <v>-103855.76000000001</v>
      </c>
      <c r="H579">
        <v>-103855.76</v>
      </c>
      <c r="I579" s="1">
        <v>45296</v>
      </c>
      <c r="J579" t="s">
        <v>597</v>
      </c>
      <c r="K579" t="s">
        <v>540</v>
      </c>
      <c r="L579" t="s">
        <v>518</v>
      </c>
      <c r="M579" t="s">
        <v>528</v>
      </c>
      <c r="N579" t="s">
        <v>520</v>
      </c>
      <c r="O579" t="s">
        <v>521</v>
      </c>
    </row>
    <row r="580" spans="1:15" x14ac:dyDescent="0.35">
      <c r="A580" t="s">
        <v>1146</v>
      </c>
      <c r="B580" t="s">
        <v>548</v>
      </c>
      <c r="C580" t="s">
        <v>549</v>
      </c>
      <c r="D580" t="s">
        <v>574</v>
      </c>
      <c r="E580">
        <v>-108504</v>
      </c>
      <c r="F580">
        <v>96552.71</v>
      </c>
      <c r="G580">
        <f>IF(Table13[[#This Row],[Budget_Allocated_INR]]="","",Table13[[#This Row],[Amount_INR]]-Table13[[#This Row],[Budget_Allocated_INR]])</f>
        <v>-205056.71000000002</v>
      </c>
      <c r="H580">
        <v>11951.29</v>
      </c>
      <c r="I580" s="1">
        <v>44956</v>
      </c>
      <c r="J580" t="s">
        <v>526</v>
      </c>
      <c r="K580" t="s">
        <v>527</v>
      </c>
      <c r="L580" t="s">
        <v>541</v>
      </c>
      <c r="M580" t="s">
        <v>554</v>
      </c>
      <c r="N580" t="s">
        <v>582</v>
      </c>
    </row>
    <row r="581" spans="1:15" x14ac:dyDescent="0.35">
      <c r="A581" t="s">
        <v>1147</v>
      </c>
      <c r="B581" t="s">
        <v>530</v>
      </c>
      <c r="C581" t="s">
        <v>599</v>
      </c>
      <c r="D581" t="s">
        <v>553</v>
      </c>
      <c r="E581">
        <v>151657</v>
      </c>
      <c r="F581">
        <v>124726.85</v>
      </c>
      <c r="G581">
        <f>IF(Table13[[#This Row],[Budget_Allocated_INR]]="","",Table13[[#This Row],[Amount_INR]]-Table13[[#This Row],[Budget_Allocated_INR]])</f>
        <v>26930.149999999994</v>
      </c>
      <c r="H581">
        <v>26930.15</v>
      </c>
      <c r="I581" s="1">
        <v>45721</v>
      </c>
      <c r="J581" t="s">
        <v>526</v>
      </c>
      <c r="K581" t="s">
        <v>540</v>
      </c>
      <c r="L581" t="s">
        <v>536</v>
      </c>
      <c r="M581" t="s">
        <v>528</v>
      </c>
      <c r="N581" t="s">
        <v>520</v>
      </c>
    </row>
    <row r="582" spans="1:15" x14ac:dyDescent="0.35">
      <c r="A582" t="s">
        <v>1148</v>
      </c>
      <c r="B582" t="s">
        <v>565</v>
      </c>
      <c r="C582" t="s">
        <v>558</v>
      </c>
      <c r="D582" t="s">
        <v>605</v>
      </c>
      <c r="E582">
        <v>340393</v>
      </c>
      <c r="F582">
        <v>291407.78000000003</v>
      </c>
      <c r="G582">
        <f>IF(Table13[[#This Row],[Budget_Allocated_INR]]="","",Table13[[#This Row],[Amount_INR]]-Table13[[#This Row],[Budget_Allocated_INR]])</f>
        <v>48985.219999999972</v>
      </c>
      <c r="H582">
        <v>48985.22</v>
      </c>
      <c r="I582" s="1">
        <v>44984</v>
      </c>
      <c r="J582" t="s">
        <v>526</v>
      </c>
      <c r="K582" t="s">
        <v>560</v>
      </c>
      <c r="L582" t="s">
        <v>541</v>
      </c>
      <c r="M582" t="s">
        <v>537</v>
      </c>
      <c r="N582" t="s">
        <v>520</v>
      </c>
    </row>
    <row r="583" spans="1:15" x14ac:dyDescent="0.35">
      <c r="A583" t="s">
        <v>1149</v>
      </c>
      <c r="B583" t="s">
        <v>530</v>
      </c>
      <c r="C583" t="s">
        <v>531</v>
      </c>
      <c r="D583" t="s">
        <v>550</v>
      </c>
      <c r="E583">
        <v>200091</v>
      </c>
      <c r="F583">
        <v>186754.24</v>
      </c>
      <c r="G583">
        <f>IF(Table13[[#This Row],[Budget_Allocated_INR]]="","",Table13[[#This Row],[Amount_INR]]-Table13[[#This Row],[Budget_Allocated_INR]])</f>
        <v>13336.760000000009</v>
      </c>
      <c r="H583">
        <v>13336.76</v>
      </c>
      <c r="I583" s="1">
        <v>45712</v>
      </c>
      <c r="J583" t="s">
        <v>526</v>
      </c>
      <c r="K583" t="s">
        <v>527</v>
      </c>
      <c r="L583" t="s">
        <v>536</v>
      </c>
      <c r="M583" t="s">
        <v>568</v>
      </c>
      <c r="N583" t="s">
        <v>520</v>
      </c>
    </row>
    <row r="584" spans="1:15" x14ac:dyDescent="0.35">
      <c r="A584" t="s">
        <v>1150</v>
      </c>
      <c r="B584" t="s">
        <v>79</v>
      </c>
      <c r="C584" t="s">
        <v>549</v>
      </c>
      <c r="D584" t="s">
        <v>593</v>
      </c>
      <c r="E584">
        <v>358325</v>
      </c>
      <c r="F584">
        <v>461258.94</v>
      </c>
      <c r="G584">
        <f>IF(Table13[[#This Row],[Budget_Allocated_INR]]="","",Table13[[#This Row],[Amount_INR]]-Table13[[#This Row],[Budget_Allocated_INR]])</f>
        <v>-102933.94</v>
      </c>
      <c r="I584" s="1">
        <v>44959</v>
      </c>
      <c r="J584" t="s">
        <v>526</v>
      </c>
      <c r="K584" t="s">
        <v>527</v>
      </c>
      <c r="L584" t="s">
        <v>541</v>
      </c>
      <c r="M584" t="s">
        <v>537</v>
      </c>
      <c r="N584" t="s">
        <v>520</v>
      </c>
    </row>
    <row r="585" spans="1:15" x14ac:dyDescent="0.35">
      <c r="A585" t="s">
        <v>1151</v>
      </c>
      <c r="B585" t="s">
        <v>523</v>
      </c>
      <c r="C585" t="s">
        <v>514</v>
      </c>
      <c r="D585" t="s">
        <v>553</v>
      </c>
      <c r="E585">
        <v>-35128</v>
      </c>
      <c r="F585">
        <v>29966.82</v>
      </c>
      <c r="G585">
        <f>IF(Table13[[#This Row],[Budget_Allocated_INR]]="","",Table13[[#This Row],[Amount_INR]]-Table13[[#This Row],[Budget_Allocated_INR]])</f>
        <v>-65094.82</v>
      </c>
      <c r="I585" s="1">
        <v>45150</v>
      </c>
      <c r="J585" t="s">
        <v>516</v>
      </c>
      <c r="K585" t="s">
        <v>540</v>
      </c>
      <c r="L585" t="s">
        <v>518</v>
      </c>
      <c r="M585" t="s">
        <v>519</v>
      </c>
      <c r="N585" t="s">
        <v>582</v>
      </c>
    </row>
    <row r="586" spans="1:15" x14ac:dyDescent="0.35">
      <c r="A586" t="s">
        <v>1152</v>
      </c>
      <c r="B586" t="s">
        <v>534</v>
      </c>
      <c r="C586" t="s">
        <v>543</v>
      </c>
      <c r="D586" t="s">
        <v>550</v>
      </c>
      <c r="E586">
        <v>4358293</v>
      </c>
      <c r="F586">
        <v>5166695</v>
      </c>
      <c r="G586">
        <f>IF(Table13[[#This Row],[Budget_Allocated_INR]]="","",Table13[[#This Row],[Amount_INR]]-Table13[[#This Row],[Budget_Allocated_INR]])</f>
        <v>-808402</v>
      </c>
      <c r="H586">
        <v>-808402</v>
      </c>
      <c r="I586" s="1">
        <v>45313</v>
      </c>
      <c r="J586" t="s">
        <v>526</v>
      </c>
      <c r="K586" t="s">
        <v>540</v>
      </c>
      <c r="L586" t="s">
        <v>518</v>
      </c>
      <c r="M586" t="s">
        <v>519</v>
      </c>
      <c r="N586" t="s">
        <v>520</v>
      </c>
    </row>
    <row r="587" spans="1:15" x14ac:dyDescent="0.35">
      <c r="A587" t="s">
        <v>1153</v>
      </c>
      <c r="B587" t="s">
        <v>534</v>
      </c>
      <c r="C587" t="s">
        <v>543</v>
      </c>
      <c r="D587" t="s">
        <v>571</v>
      </c>
      <c r="E587">
        <v>132876</v>
      </c>
      <c r="F587">
        <v>147462.63</v>
      </c>
      <c r="G587">
        <f>IF(Table13[[#This Row],[Budget_Allocated_INR]]="","",Table13[[#This Row],[Amount_INR]]-Table13[[#This Row],[Budget_Allocated_INR]])</f>
        <v>-14586.630000000005</v>
      </c>
      <c r="H587">
        <v>-14586.63</v>
      </c>
      <c r="I587" s="1">
        <v>45395</v>
      </c>
      <c r="J587" t="s">
        <v>526</v>
      </c>
      <c r="K587" t="s">
        <v>540</v>
      </c>
      <c r="L587" t="s">
        <v>536</v>
      </c>
      <c r="M587" t="s">
        <v>537</v>
      </c>
      <c r="N587" t="s">
        <v>520</v>
      </c>
    </row>
    <row r="588" spans="1:15" x14ac:dyDescent="0.35">
      <c r="A588" t="s">
        <v>1154</v>
      </c>
      <c r="B588" t="s">
        <v>545</v>
      </c>
      <c r="C588" t="s">
        <v>549</v>
      </c>
      <c r="D588" t="s">
        <v>559</v>
      </c>
      <c r="E588">
        <v>54614</v>
      </c>
      <c r="F588">
        <v>70308.759999999995</v>
      </c>
      <c r="G588">
        <f>IF(Table13[[#This Row],[Budget_Allocated_INR]]="","",Table13[[#This Row],[Amount_INR]]-Table13[[#This Row],[Budget_Allocated_INR]])</f>
        <v>-15694.759999999995</v>
      </c>
      <c r="H588">
        <v>-15694.76</v>
      </c>
      <c r="I588" s="1">
        <v>45294</v>
      </c>
      <c r="J588" t="s">
        <v>526</v>
      </c>
      <c r="K588" t="s">
        <v>517</v>
      </c>
      <c r="L588" t="s">
        <v>518</v>
      </c>
      <c r="M588" t="s">
        <v>546</v>
      </c>
      <c r="N588" t="s">
        <v>520</v>
      </c>
    </row>
    <row r="589" spans="1:15" x14ac:dyDescent="0.35">
      <c r="A589" t="s">
        <v>1155</v>
      </c>
      <c r="B589" t="s">
        <v>548</v>
      </c>
      <c r="C589" t="s">
        <v>543</v>
      </c>
      <c r="D589" t="s">
        <v>535</v>
      </c>
      <c r="E589">
        <v>414463</v>
      </c>
      <c r="G589" t="str">
        <f>IF(Table13[[#This Row],[Budget_Allocated_INR]]="","",Table13[[#This Row],[Amount_INR]]-Table13[[#This Row],[Budget_Allocated_INR]])</f>
        <v/>
      </c>
      <c r="H589">
        <v>54184.76</v>
      </c>
      <c r="I589" s="1">
        <v>45288</v>
      </c>
      <c r="J589" t="s">
        <v>526</v>
      </c>
      <c r="K589" t="s">
        <v>517</v>
      </c>
      <c r="L589" t="s">
        <v>518</v>
      </c>
      <c r="M589" t="s">
        <v>554</v>
      </c>
      <c r="N589" t="s">
        <v>520</v>
      </c>
    </row>
    <row r="590" spans="1:15" x14ac:dyDescent="0.35">
      <c r="A590" t="s">
        <v>1156</v>
      </c>
      <c r="B590" t="s">
        <v>576</v>
      </c>
      <c r="C590" t="s">
        <v>543</v>
      </c>
      <c r="D590" t="s">
        <v>539</v>
      </c>
      <c r="E590">
        <v>443121</v>
      </c>
      <c r="F590">
        <v>551963.4</v>
      </c>
      <c r="G590">
        <f>IF(Table13[[#This Row],[Budget_Allocated_INR]]="","",Table13[[#This Row],[Amount_INR]]-Table13[[#This Row],[Budget_Allocated_INR]])</f>
        <v>-108842.40000000002</v>
      </c>
      <c r="H590">
        <v>-108842.4</v>
      </c>
      <c r="I590" s="1">
        <v>45618</v>
      </c>
      <c r="J590" t="s">
        <v>516</v>
      </c>
      <c r="K590" t="s">
        <v>517</v>
      </c>
      <c r="L590" t="s">
        <v>536</v>
      </c>
      <c r="M590" t="s">
        <v>528</v>
      </c>
      <c r="N590" t="s">
        <v>520</v>
      </c>
      <c r="O590" t="s">
        <v>521</v>
      </c>
    </row>
    <row r="591" spans="1:15" x14ac:dyDescent="0.35">
      <c r="A591" t="s">
        <v>1157</v>
      </c>
      <c r="B591" t="s">
        <v>576</v>
      </c>
      <c r="C591" t="s">
        <v>514</v>
      </c>
      <c r="D591" t="s">
        <v>539</v>
      </c>
      <c r="E591">
        <v>234541</v>
      </c>
      <c r="F591">
        <v>225716.25</v>
      </c>
      <c r="G591">
        <f>IF(Table13[[#This Row],[Budget_Allocated_INR]]="","",Table13[[#This Row],[Amount_INR]]-Table13[[#This Row],[Budget_Allocated_INR]])</f>
        <v>8824.75</v>
      </c>
      <c r="H591">
        <v>8824.75</v>
      </c>
      <c r="I591" s="1">
        <v>45622</v>
      </c>
      <c r="J591" t="s">
        <v>526</v>
      </c>
      <c r="K591" t="s">
        <v>517</v>
      </c>
      <c r="L591" t="s">
        <v>536</v>
      </c>
      <c r="M591" t="s">
        <v>554</v>
      </c>
      <c r="N591" t="s">
        <v>520</v>
      </c>
    </row>
    <row r="592" spans="1:15" x14ac:dyDescent="0.35">
      <c r="A592" t="s">
        <v>1158</v>
      </c>
      <c r="B592" t="s">
        <v>534</v>
      </c>
      <c r="C592" t="s">
        <v>624</v>
      </c>
      <c r="D592" t="s">
        <v>605</v>
      </c>
      <c r="E592">
        <v>-240438</v>
      </c>
      <c r="F592">
        <v>254793.43</v>
      </c>
      <c r="G592">
        <f>IF(Table13[[#This Row],[Budget_Allocated_INR]]="","",Table13[[#This Row],[Amount_INR]]-Table13[[#This Row],[Budget_Allocated_INR]])</f>
        <v>-495231.43</v>
      </c>
      <c r="H592">
        <v>-14355.43</v>
      </c>
      <c r="I592" s="1">
        <v>45532</v>
      </c>
      <c r="J592" t="s">
        <v>516</v>
      </c>
      <c r="K592" t="s">
        <v>560</v>
      </c>
      <c r="L592" t="s">
        <v>536</v>
      </c>
      <c r="M592" t="s">
        <v>537</v>
      </c>
      <c r="N592" t="s">
        <v>582</v>
      </c>
    </row>
    <row r="593" spans="1:15" x14ac:dyDescent="0.35">
      <c r="A593" t="s">
        <v>1159</v>
      </c>
      <c r="B593" t="s">
        <v>534</v>
      </c>
      <c r="C593" t="s">
        <v>581</v>
      </c>
      <c r="D593" t="s">
        <v>634</v>
      </c>
      <c r="E593">
        <v>93904</v>
      </c>
      <c r="F593">
        <v>111592.85</v>
      </c>
      <c r="G593">
        <f>IF(Table13[[#This Row],[Budget_Allocated_INR]]="","",Table13[[#This Row],[Amount_INR]]-Table13[[#This Row],[Budget_Allocated_INR]])</f>
        <v>-17688.850000000006</v>
      </c>
      <c r="H593">
        <v>-17688.849999999999</v>
      </c>
      <c r="I593" s="1">
        <v>45418</v>
      </c>
      <c r="J593" t="s">
        <v>526</v>
      </c>
      <c r="K593" t="s">
        <v>540</v>
      </c>
      <c r="L593" t="s">
        <v>536</v>
      </c>
      <c r="M593" t="s">
        <v>537</v>
      </c>
      <c r="N593" t="s">
        <v>520</v>
      </c>
    </row>
    <row r="594" spans="1:15" x14ac:dyDescent="0.35">
      <c r="A594" t="s">
        <v>1160</v>
      </c>
      <c r="B594" t="s">
        <v>523</v>
      </c>
      <c r="C594" t="s">
        <v>599</v>
      </c>
      <c r="D594" t="s">
        <v>559</v>
      </c>
      <c r="E594">
        <v>169006</v>
      </c>
      <c r="F594">
        <v>183369.65</v>
      </c>
      <c r="G594">
        <f>IF(Table13[[#This Row],[Budget_Allocated_INR]]="","",Table13[[#This Row],[Amount_INR]]-Table13[[#This Row],[Budget_Allocated_INR]])</f>
        <v>-14363.649999999994</v>
      </c>
      <c r="H594">
        <v>-14363.65</v>
      </c>
      <c r="I594" s="1">
        <v>45650</v>
      </c>
      <c r="J594" t="s">
        <v>526</v>
      </c>
      <c r="K594" t="s">
        <v>560</v>
      </c>
      <c r="L594" t="s">
        <v>536</v>
      </c>
      <c r="M594" t="s">
        <v>537</v>
      </c>
      <c r="N594" t="s">
        <v>520</v>
      </c>
    </row>
    <row r="595" spans="1:15" x14ac:dyDescent="0.35">
      <c r="A595" t="s">
        <v>1161</v>
      </c>
      <c r="B595" t="s">
        <v>576</v>
      </c>
      <c r="C595" t="s">
        <v>514</v>
      </c>
      <c r="D595" t="s">
        <v>571</v>
      </c>
      <c r="E595">
        <v>155157</v>
      </c>
      <c r="F595">
        <v>166937.54999999999</v>
      </c>
      <c r="G595">
        <f>IF(Table13[[#This Row],[Budget_Allocated_INR]]="","",Table13[[#This Row],[Amount_INR]]-Table13[[#This Row],[Budget_Allocated_INR]])</f>
        <v>-11780.549999999988</v>
      </c>
      <c r="H595">
        <v>-11780.55</v>
      </c>
      <c r="I595" s="1">
        <v>45471</v>
      </c>
      <c r="J595" t="s">
        <v>526</v>
      </c>
      <c r="K595" t="s">
        <v>517</v>
      </c>
      <c r="L595" t="s">
        <v>536</v>
      </c>
      <c r="M595" t="s">
        <v>537</v>
      </c>
      <c r="N595" t="s">
        <v>520</v>
      </c>
    </row>
    <row r="596" spans="1:15" x14ac:dyDescent="0.35">
      <c r="A596" t="s">
        <v>1162</v>
      </c>
      <c r="B596" t="s">
        <v>534</v>
      </c>
      <c r="C596" t="s">
        <v>599</v>
      </c>
      <c r="D596" t="s">
        <v>515</v>
      </c>
      <c r="E596">
        <v>234555</v>
      </c>
      <c r="F596">
        <v>295708.01</v>
      </c>
      <c r="G596">
        <f>IF(Table13[[#This Row],[Budget_Allocated_INR]]="","",Table13[[#This Row],[Amount_INR]]-Table13[[#This Row],[Budget_Allocated_INR]])</f>
        <v>-61153.010000000009</v>
      </c>
      <c r="H596">
        <v>-61153.01</v>
      </c>
      <c r="I596" s="1">
        <v>45089</v>
      </c>
      <c r="J596" t="s">
        <v>526</v>
      </c>
      <c r="K596" t="s">
        <v>527</v>
      </c>
      <c r="L596" t="s">
        <v>518</v>
      </c>
      <c r="M596" t="s">
        <v>537</v>
      </c>
      <c r="N596" t="s">
        <v>520</v>
      </c>
    </row>
    <row r="597" spans="1:15" x14ac:dyDescent="0.35">
      <c r="A597" t="s">
        <v>1163</v>
      </c>
      <c r="B597" t="s">
        <v>565</v>
      </c>
      <c r="C597" t="s">
        <v>524</v>
      </c>
      <c r="D597" t="s">
        <v>525</v>
      </c>
      <c r="E597">
        <v>285882</v>
      </c>
      <c r="F597">
        <v>241023.35999999999</v>
      </c>
      <c r="G597">
        <f>IF(Table13[[#This Row],[Budget_Allocated_INR]]="","",Table13[[#This Row],[Amount_INR]]-Table13[[#This Row],[Budget_Allocated_INR]])</f>
        <v>44858.640000000014</v>
      </c>
      <c r="H597">
        <v>44858.64</v>
      </c>
      <c r="I597" s="1">
        <v>45010</v>
      </c>
      <c r="J597" t="s">
        <v>526</v>
      </c>
      <c r="K597" t="s">
        <v>540</v>
      </c>
      <c r="L597" t="s">
        <v>541</v>
      </c>
      <c r="M597" t="s">
        <v>537</v>
      </c>
      <c r="N597" t="s">
        <v>520</v>
      </c>
    </row>
    <row r="598" spans="1:15" x14ac:dyDescent="0.35">
      <c r="A598" t="s">
        <v>1164</v>
      </c>
      <c r="B598" t="s">
        <v>545</v>
      </c>
      <c r="C598" t="s">
        <v>514</v>
      </c>
      <c r="D598" t="s">
        <v>515</v>
      </c>
      <c r="E598">
        <v>170840</v>
      </c>
      <c r="F598">
        <v>195983.39</v>
      </c>
      <c r="G598">
        <f>IF(Table13[[#This Row],[Budget_Allocated_INR]]="","",Table13[[#This Row],[Amount_INR]]-Table13[[#This Row],[Budget_Allocated_INR]])</f>
        <v>-25143.390000000014</v>
      </c>
      <c r="H598">
        <v>-25143.39</v>
      </c>
      <c r="I598" s="1">
        <v>45090</v>
      </c>
      <c r="J598" t="s">
        <v>526</v>
      </c>
      <c r="K598" t="s">
        <v>527</v>
      </c>
      <c r="L598" t="s">
        <v>518</v>
      </c>
      <c r="M598" t="s">
        <v>537</v>
      </c>
      <c r="N598" t="s">
        <v>520</v>
      </c>
    </row>
    <row r="599" spans="1:15" x14ac:dyDescent="0.35">
      <c r="A599" t="s">
        <v>1165</v>
      </c>
      <c r="B599" t="s">
        <v>534</v>
      </c>
      <c r="C599" t="s">
        <v>531</v>
      </c>
      <c r="D599" t="s">
        <v>532</v>
      </c>
      <c r="E599">
        <v>463398</v>
      </c>
      <c r="F599">
        <v>404538.19</v>
      </c>
      <c r="G599">
        <f>IF(Table13[[#This Row],[Budget_Allocated_INR]]="","",Table13[[#This Row],[Amount_INR]]-Table13[[#This Row],[Budget_Allocated_INR]])</f>
        <v>58859.81</v>
      </c>
      <c r="H599">
        <v>58859.81</v>
      </c>
      <c r="I599" s="1">
        <v>45008</v>
      </c>
      <c r="J599" t="s">
        <v>526</v>
      </c>
      <c r="K599" t="s">
        <v>560</v>
      </c>
      <c r="L599" t="s">
        <v>541</v>
      </c>
      <c r="M599" t="s">
        <v>537</v>
      </c>
      <c r="N599" t="s">
        <v>520</v>
      </c>
    </row>
    <row r="600" spans="1:15" x14ac:dyDescent="0.35">
      <c r="A600" t="s">
        <v>1166</v>
      </c>
      <c r="B600" t="s">
        <v>534</v>
      </c>
      <c r="C600" t="s">
        <v>586</v>
      </c>
      <c r="D600" t="s">
        <v>559</v>
      </c>
      <c r="E600">
        <v>268218</v>
      </c>
      <c r="F600">
        <v>259866.86</v>
      </c>
      <c r="G600">
        <f>IF(Table13[[#This Row],[Budget_Allocated_INR]]="","",Table13[[#This Row],[Amount_INR]]-Table13[[#This Row],[Budget_Allocated_INR]])</f>
        <v>8351.140000000014</v>
      </c>
      <c r="H600">
        <v>8351.14</v>
      </c>
      <c r="I600" s="1">
        <v>45138</v>
      </c>
      <c r="J600" t="s">
        <v>516</v>
      </c>
      <c r="K600" t="s">
        <v>517</v>
      </c>
      <c r="L600" t="s">
        <v>518</v>
      </c>
      <c r="M600" t="s">
        <v>537</v>
      </c>
      <c r="N600" t="s">
        <v>520</v>
      </c>
      <c r="O600" t="s">
        <v>521</v>
      </c>
    </row>
    <row r="601" spans="1:15" x14ac:dyDescent="0.35">
      <c r="A601" t="s">
        <v>1167</v>
      </c>
      <c r="B601" t="s">
        <v>548</v>
      </c>
      <c r="C601" t="s">
        <v>543</v>
      </c>
      <c r="D601" t="s">
        <v>535</v>
      </c>
      <c r="E601">
        <v>11967</v>
      </c>
      <c r="F601">
        <v>12554.29</v>
      </c>
      <c r="G601">
        <f>IF(Table13[[#This Row],[Budget_Allocated_INR]]="","",Table13[[#This Row],[Amount_INR]]-Table13[[#This Row],[Budget_Allocated_INR]])</f>
        <v>-587.29000000000087</v>
      </c>
      <c r="H601">
        <v>-587.29</v>
      </c>
      <c r="I601" s="1">
        <v>45134</v>
      </c>
      <c r="J601" t="s">
        <v>516</v>
      </c>
      <c r="K601" t="s">
        <v>517</v>
      </c>
      <c r="L601" t="s">
        <v>518</v>
      </c>
      <c r="M601" t="s">
        <v>519</v>
      </c>
      <c r="N601" t="s">
        <v>520</v>
      </c>
    </row>
    <row r="602" spans="1:15" x14ac:dyDescent="0.35">
      <c r="A602" t="s">
        <v>1168</v>
      </c>
      <c r="B602" t="s">
        <v>523</v>
      </c>
      <c r="C602" t="s">
        <v>596</v>
      </c>
      <c r="D602" t="s">
        <v>559</v>
      </c>
      <c r="E602">
        <v>366725</v>
      </c>
      <c r="F602">
        <v>418050.52</v>
      </c>
      <c r="G602">
        <f>IF(Table13[[#This Row],[Budget_Allocated_INR]]="","",Table13[[#This Row],[Amount_INR]]-Table13[[#This Row],[Budget_Allocated_INR]])</f>
        <v>-51325.520000000019</v>
      </c>
      <c r="H602">
        <v>-51325.52</v>
      </c>
      <c r="I602" s="1">
        <v>45621</v>
      </c>
      <c r="J602" t="s">
        <v>526</v>
      </c>
      <c r="K602" t="s">
        <v>527</v>
      </c>
      <c r="L602" t="s">
        <v>536</v>
      </c>
      <c r="M602" t="s">
        <v>568</v>
      </c>
      <c r="N602" t="s">
        <v>520</v>
      </c>
    </row>
    <row r="603" spans="1:15" x14ac:dyDescent="0.35">
      <c r="A603" t="s">
        <v>1169</v>
      </c>
      <c r="B603" t="s">
        <v>576</v>
      </c>
      <c r="C603" t="s">
        <v>514</v>
      </c>
      <c r="D603" t="s">
        <v>532</v>
      </c>
      <c r="E603">
        <v>313933</v>
      </c>
      <c r="F603">
        <v>404263.33</v>
      </c>
      <c r="G603">
        <f>IF(Table13[[#This Row],[Budget_Allocated_INR]]="","",Table13[[#This Row],[Amount_INR]]-Table13[[#This Row],[Budget_Allocated_INR]])</f>
        <v>-90330.330000000016</v>
      </c>
      <c r="H603">
        <v>-90330.33</v>
      </c>
      <c r="I603" s="1">
        <v>45529</v>
      </c>
      <c r="J603" t="s">
        <v>516</v>
      </c>
      <c r="K603" t="s">
        <v>517</v>
      </c>
      <c r="L603" t="s">
        <v>536</v>
      </c>
      <c r="M603" t="s">
        <v>519</v>
      </c>
      <c r="N603" t="s">
        <v>520</v>
      </c>
      <c r="O603" t="s">
        <v>521</v>
      </c>
    </row>
    <row r="604" spans="1:15" x14ac:dyDescent="0.35">
      <c r="A604" t="s">
        <v>1170</v>
      </c>
      <c r="B604" t="s">
        <v>576</v>
      </c>
      <c r="C604" t="s">
        <v>514</v>
      </c>
      <c r="D604" t="s">
        <v>535</v>
      </c>
      <c r="E604">
        <v>369633</v>
      </c>
      <c r="G604" t="str">
        <f>IF(Table13[[#This Row],[Budget_Allocated_INR]]="","",Table13[[#This Row],[Amount_INR]]-Table13[[#This Row],[Budget_Allocated_INR]])</f>
        <v/>
      </c>
      <c r="H604">
        <v>-91374.27</v>
      </c>
      <c r="I604" s="1">
        <v>45579</v>
      </c>
      <c r="J604" t="s">
        <v>526</v>
      </c>
      <c r="K604" t="s">
        <v>527</v>
      </c>
      <c r="L604" t="s">
        <v>536</v>
      </c>
      <c r="M604" t="s">
        <v>537</v>
      </c>
      <c r="N604" t="s">
        <v>520</v>
      </c>
    </row>
    <row r="605" spans="1:15" x14ac:dyDescent="0.35">
      <c r="A605" t="s">
        <v>1171</v>
      </c>
      <c r="B605" t="s">
        <v>576</v>
      </c>
      <c r="C605" t="s">
        <v>599</v>
      </c>
      <c r="D605" t="s">
        <v>553</v>
      </c>
      <c r="E605">
        <v>225458</v>
      </c>
      <c r="F605">
        <v>282950.07</v>
      </c>
      <c r="G605">
        <f>IF(Table13[[#This Row],[Budget_Allocated_INR]]="","",Table13[[#This Row],[Amount_INR]]-Table13[[#This Row],[Budget_Allocated_INR]])</f>
        <v>-57492.070000000007</v>
      </c>
      <c r="H605">
        <v>-57492.07</v>
      </c>
      <c r="I605" s="1">
        <v>45615</v>
      </c>
      <c r="J605" t="s">
        <v>526</v>
      </c>
      <c r="K605" t="s">
        <v>527</v>
      </c>
      <c r="L605" t="s">
        <v>536</v>
      </c>
      <c r="M605" t="s">
        <v>537</v>
      </c>
      <c r="N605" t="s">
        <v>520</v>
      </c>
    </row>
    <row r="606" spans="1:15" x14ac:dyDescent="0.35">
      <c r="A606" t="s">
        <v>1172</v>
      </c>
      <c r="B606" t="s">
        <v>548</v>
      </c>
      <c r="C606" t="s">
        <v>514</v>
      </c>
      <c r="D606" t="s">
        <v>525</v>
      </c>
      <c r="E606">
        <v>355880</v>
      </c>
      <c r="F606">
        <v>416455.43</v>
      </c>
      <c r="G606">
        <f>IF(Table13[[#This Row],[Budget_Allocated_INR]]="","",Table13[[#This Row],[Amount_INR]]-Table13[[#This Row],[Budget_Allocated_INR]])</f>
        <v>-60575.429999999993</v>
      </c>
      <c r="I606" s="1">
        <v>45439</v>
      </c>
      <c r="J606" t="s">
        <v>526</v>
      </c>
      <c r="K606" t="s">
        <v>517</v>
      </c>
      <c r="L606" t="s">
        <v>536</v>
      </c>
      <c r="M606" t="s">
        <v>568</v>
      </c>
      <c r="N606" t="s">
        <v>520</v>
      </c>
    </row>
    <row r="607" spans="1:15" x14ac:dyDescent="0.35">
      <c r="A607" t="s">
        <v>1173</v>
      </c>
      <c r="B607" t="s">
        <v>523</v>
      </c>
      <c r="C607" t="s">
        <v>624</v>
      </c>
      <c r="D607" t="s">
        <v>559</v>
      </c>
      <c r="E607">
        <v>256522</v>
      </c>
      <c r="F607">
        <v>314177.12</v>
      </c>
      <c r="G607">
        <f>IF(Table13[[#This Row],[Budget_Allocated_INR]]="","",Table13[[#This Row],[Amount_INR]]-Table13[[#This Row],[Budget_Allocated_INR]])</f>
        <v>-57655.119999999995</v>
      </c>
      <c r="H607">
        <v>-57655.12</v>
      </c>
      <c r="I607" s="1">
        <v>45076</v>
      </c>
      <c r="J607" t="s">
        <v>526</v>
      </c>
      <c r="K607" t="s">
        <v>527</v>
      </c>
      <c r="L607" t="s">
        <v>518</v>
      </c>
      <c r="M607" t="s">
        <v>568</v>
      </c>
      <c r="N607" t="s">
        <v>520</v>
      </c>
    </row>
    <row r="608" spans="1:15" x14ac:dyDescent="0.35">
      <c r="A608" t="s">
        <v>1174</v>
      </c>
      <c r="B608" t="s">
        <v>576</v>
      </c>
      <c r="C608" t="s">
        <v>558</v>
      </c>
      <c r="D608" t="s">
        <v>539</v>
      </c>
      <c r="E608">
        <v>341743</v>
      </c>
      <c r="G608" t="str">
        <f>IF(Table13[[#This Row],[Budget_Allocated_INR]]="","",Table13[[#This Row],[Amount_INR]]-Table13[[#This Row],[Budget_Allocated_INR]])</f>
        <v/>
      </c>
      <c r="H608">
        <v>53888.7</v>
      </c>
      <c r="I608" s="1">
        <v>45210</v>
      </c>
      <c r="J608" t="s">
        <v>526</v>
      </c>
      <c r="K608" t="s">
        <v>560</v>
      </c>
      <c r="L608" t="s">
        <v>518</v>
      </c>
      <c r="M608" t="s">
        <v>528</v>
      </c>
      <c r="N608" t="s">
        <v>520</v>
      </c>
    </row>
    <row r="609" spans="1:15" x14ac:dyDescent="0.35">
      <c r="A609" t="s">
        <v>1175</v>
      </c>
      <c r="B609" t="s">
        <v>545</v>
      </c>
      <c r="C609" t="s">
        <v>552</v>
      </c>
      <c r="D609" t="s">
        <v>515</v>
      </c>
      <c r="E609">
        <v>433989</v>
      </c>
      <c r="F609">
        <v>560209.31000000006</v>
      </c>
      <c r="G609">
        <f>IF(Table13[[#This Row],[Budget_Allocated_INR]]="","",Table13[[#This Row],[Amount_INR]]-Table13[[#This Row],[Budget_Allocated_INR]])</f>
        <v>-126220.31000000006</v>
      </c>
      <c r="I609" s="1">
        <v>45104</v>
      </c>
      <c r="J609" t="s">
        <v>526</v>
      </c>
      <c r="K609" t="s">
        <v>527</v>
      </c>
      <c r="L609" t="s">
        <v>518</v>
      </c>
      <c r="M609" t="s">
        <v>554</v>
      </c>
      <c r="N609" t="s">
        <v>520</v>
      </c>
    </row>
    <row r="610" spans="1:15" x14ac:dyDescent="0.35">
      <c r="A610" t="s">
        <v>1176</v>
      </c>
      <c r="B610" t="s">
        <v>576</v>
      </c>
      <c r="C610" t="s">
        <v>531</v>
      </c>
      <c r="D610" t="s">
        <v>634</v>
      </c>
      <c r="E610">
        <v>353541</v>
      </c>
      <c r="F610">
        <v>437206.53</v>
      </c>
      <c r="G610">
        <f>IF(Table13[[#This Row],[Budget_Allocated_INR]]="","",Table13[[#This Row],[Amount_INR]]-Table13[[#This Row],[Budget_Allocated_INR]])</f>
        <v>-83665.530000000028</v>
      </c>
      <c r="H610">
        <v>-83665.53</v>
      </c>
      <c r="I610" s="1">
        <v>45380</v>
      </c>
      <c r="J610" t="s">
        <v>526</v>
      </c>
      <c r="K610" t="s">
        <v>540</v>
      </c>
      <c r="L610" t="s">
        <v>518</v>
      </c>
      <c r="M610" t="s">
        <v>537</v>
      </c>
      <c r="N610" t="s">
        <v>520</v>
      </c>
    </row>
    <row r="611" spans="1:15" x14ac:dyDescent="0.35">
      <c r="A611" t="s">
        <v>1177</v>
      </c>
      <c r="B611" t="s">
        <v>576</v>
      </c>
      <c r="C611" t="s">
        <v>586</v>
      </c>
      <c r="D611" t="s">
        <v>515</v>
      </c>
      <c r="E611">
        <v>373087</v>
      </c>
      <c r="G611" t="str">
        <f>IF(Table13[[#This Row],[Budget_Allocated_INR]]="","",Table13[[#This Row],[Amount_INR]]-Table13[[#This Row],[Budget_Allocated_INR]])</f>
        <v/>
      </c>
      <c r="H611">
        <v>27056.95</v>
      </c>
      <c r="I611" s="1">
        <v>45561</v>
      </c>
      <c r="J611" t="s">
        <v>516</v>
      </c>
      <c r="K611" t="s">
        <v>560</v>
      </c>
      <c r="L611" t="s">
        <v>536</v>
      </c>
      <c r="M611" t="s">
        <v>519</v>
      </c>
      <c r="N611" t="s">
        <v>520</v>
      </c>
      <c r="O611" t="s">
        <v>521</v>
      </c>
    </row>
    <row r="612" spans="1:15" x14ac:dyDescent="0.35">
      <c r="A612" t="s">
        <v>1178</v>
      </c>
      <c r="B612" t="s">
        <v>534</v>
      </c>
      <c r="C612" t="s">
        <v>596</v>
      </c>
      <c r="D612" t="s">
        <v>553</v>
      </c>
      <c r="E612">
        <v>279563</v>
      </c>
      <c r="F612">
        <v>234612.89</v>
      </c>
      <c r="G612">
        <f>IF(Table13[[#This Row],[Budget_Allocated_INR]]="","",Table13[[#This Row],[Amount_INR]]-Table13[[#This Row],[Budget_Allocated_INR]])</f>
        <v>44950.109999999986</v>
      </c>
      <c r="H612">
        <v>44950.11</v>
      </c>
      <c r="I612" s="1">
        <v>45622</v>
      </c>
      <c r="J612" t="s">
        <v>526</v>
      </c>
      <c r="K612" t="s">
        <v>540</v>
      </c>
      <c r="L612" t="s">
        <v>536</v>
      </c>
      <c r="M612" t="s">
        <v>537</v>
      </c>
      <c r="N612" t="s">
        <v>520</v>
      </c>
    </row>
    <row r="613" spans="1:15" x14ac:dyDescent="0.35">
      <c r="A613" t="s">
        <v>1179</v>
      </c>
      <c r="B613" t="s">
        <v>534</v>
      </c>
      <c r="C613" t="s">
        <v>524</v>
      </c>
      <c r="D613" t="s">
        <v>550</v>
      </c>
      <c r="E613">
        <v>487139</v>
      </c>
      <c r="F613">
        <v>421965.28</v>
      </c>
      <c r="G613">
        <f>IF(Table13[[#This Row],[Budget_Allocated_INR]]="","",Table13[[#This Row],[Amount_INR]]-Table13[[#This Row],[Budget_Allocated_INR]])</f>
        <v>65173.719999999972</v>
      </c>
      <c r="H613">
        <v>65173.72</v>
      </c>
      <c r="I613" s="1">
        <v>45047</v>
      </c>
      <c r="J613" t="s">
        <v>516</v>
      </c>
      <c r="K613" t="s">
        <v>540</v>
      </c>
      <c r="L613" t="s">
        <v>518</v>
      </c>
      <c r="M613" t="s">
        <v>519</v>
      </c>
      <c r="N613" t="s">
        <v>520</v>
      </c>
      <c r="O613" t="s">
        <v>521</v>
      </c>
    </row>
    <row r="614" spans="1:15" x14ac:dyDescent="0.35">
      <c r="A614" t="s">
        <v>1180</v>
      </c>
      <c r="B614" t="s">
        <v>523</v>
      </c>
      <c r="C614" t="s">
        <v>549</v>
      </c>
      <c r="D614" t="s">
        <v>571</v>
      </c>
      <c r="E614">
        <v>101020</v>
      </c>
      <c r="F614">
        <v>107948.77</v>
      </c>
      <c r="G614">
        <f>IF(Table13[[#This Row],[Budget_Allocated_INR]]="","",Table13[[#This Row],[Amount_INR]]-Table13[[#This Row],[Budget_Allocated_INR]])</f>
        <v>-6928.7700000000041</v>
      </c>
      <c r="H614">
        <v>-6928.77</v>
      </c>
      <c r="I614" s="1">
        <v>45730</v>
      </c>
      <c r="J614" t="s">
        <v>526</v>
      </c>
      <c r="K614" t="s">
        <v>527</v>
      </c>
      <c r="L614" t="s">
        <v>536</v>
      </c>
      <c r="M614" t="s">
        <v>554</v>
      </c>
      <c r="N614" t="s">
        <v>520</v>
      </c>
    </row>
    <row r="615" spans="1:15" x14ac:dyDescent="0.35">
      <c r="A615" t="s">
        <v>1181</v>
      </c>
      <c r="B615" t="s">
        <v>523</v>
      </c>
      <c r="C615" t="s">
        <v>531</v>
      </c>
      <c r="D615" t="s">
        <v>574</v>
      </c>
      <c r="E615">
        <v>3871580</v>
      </c>
      <c r="F615">
        <v>4477180.8600000003</v>
      </c>
      <c r="G615">
        <f>IF(Table13[[#This Row],[Budget_Allocated_INR]]="","",Table13[[#This Row],[Amount_INR]]-Table13[[#This Row],[Budget_Allocated_INR]])</f>
        <v>-605600.86000000034</v>
      </c>
      <c r="H615">
        <v>-605600.86</v>
      </c>
      <c r="I615" s="1">
        <v>45508</v>
      </c>
      <c r="J615" t="s">
        <v>526</v>
      </c>
      <c r="K615" t="s">
        <v>527</v>
      </c>
      <c r="L615" t="s">
        <v>536</v>
      </c>
      <c r="M615" t="s">
        <v>519</v>
      </c>
      <c r="N615" t="s">
        <v>520</v>
      </c>
    </row>
    <row r="616" spans="1:15" x14ac:dyDescent="0.35">
      <c r="A616" t="s">
        <v>1182</v>
      </c>
      <c r="B616" t="s">
        <v>545</v>
      </c>
      <c r="C616" t="s">
        <v>586</v>
      </c>
      <c r="D616" t="s">
        <v>539</v>
      </c>
      <c r="E616">
        <v>206855</v>
      </c>
      <c r="F616">
        <v>241953.53</v>
      </c>
      <c r="G616">
        <f>IF(Table13[[#This Row],[Budget_Allocated_INR]]="","",Table13[[#This Row],[Amount_INR]]-Table13[[#This Row],[Budget_Allocated_INR]])</f>
        <v>-35098.53</v>
      </c>
      <c r="H616">
        <v>-35098.53</v>
      </c>
      <c r="I616" s="1">
        <v>45475</v>
      </c>
      <c r="J616" t="s">
        <v>526</v>
      </c>
      <c r="K616" t="s">
        <v>560</v>
      </c>
      <c r="L616" t="s">
        <v>536</v>
      </c>
      <c r="M616" t="s">
        <v>537</v>
      </c>
      <c r="N616" t="s">
        <v>520</v>
      </c>
    </row>
    <row r="617" spans="1:15" x14ac:dyDescent="0.35">
      <c r="A617" t="s">
        <v>1183</v>
      </c>
      <c r="B617" t="s">
        <v>565</v>
      </c>
      <c r="C617" t="s">
        <v>562</v>
      </c>
      <c r="D617" t="s">
        <v>588</v>
      </c>
      <c r="E617">
        <v>110290</v>
      </c>
      <c r="F617">
        <v>120734.21</v>
      </c>
      <c r="G617">
        <f>IF(Table13[[#This Row],[Budget_Allocated_INR]]="","",Table13[[#This Row],[Amount_INR]]-Table13[[#This Row],[Budget_Allocated_INR]])</f>
        <v>-10444.210000000006</v>
      </c>
      <c r="H617">
        <v>-10444.209999999999</v>
      </c>
      <c r="I617" s="1">
        <v>45567</v>
      </c>
      <c r="J617" t="s">
        <v>526</v>
      </c>
      <c r="K617" t="s">
        <v>540</v>
      </c>
      <c r="L617" t="s">
        <v>536</v>
      </c>
      <c r="M617" t="s">
        <v>537</v>
      </c>
      <c r="N617" t="s">
        <v>520</v>
      </c>
    </row>
    <row r="618" spans="1:15" x14ac:dyDescent="0.35">
      <c r="A618" t="s">
        <v>1184</v>
      </c>
      <c r="B618" t="s">
        <v>576</v>
      </c>
      <c r="C618" t="s">
        <v>549</v>
      </c>
      <c r="D618" t="s">
        <v>584</v>
      </c>
      <c r="E618">
        <v>192063</v>
      </c>
      <c r="F618">
        <v>226771.37</v>
      </c>
      <c r="G618">
        <f>IF(Table13[[#This Row],[Budget_Allocated_INR]]="","",Table13[[#This Row],[Amount_INR]]-Table13[[#This Row],[Budget_Allocated_INR]])</f>
        <v>-34708.369999999995</v>
      </c>
      <c r="H618">
        <v>-34708.370000000003</v>
      </c>
      <c r="I618" s="1">
        <v>45377</v>
      </c>
      <c r="J618" t="s">
        <v>526</v>
      </c>
      <c r="K618" t="s">
        <v>560</v>
      </c>
      <c r="L618" t="s">
        <v>518</v>
      </c>
      <c r="M618" t="s">
        <v>554</v>
      </c>
      <c r="N618" t="s">
        <v>520</v>
      </c>
    </row>
    <row r="619" spans="1:15" x14ac:dyDescent="0.35">
      <c r="A619" t="s">
        <v>1185</v>
      </c>
      <c r="B619" t="s">
        <v>545</v>
      </c>
      <c r="C619" t="s">
        <v>543</v>
      </c>
      <c r="D619" t="s">
        <v>588</v>
      </c>
      <c r="E619">
        <v>224252</v>
      </c>
      <c r="F619">
        <v>185020.29</v>
      </c>
      <c r="G619">
        <f>IF(Table13[[#This Row],[Budget_Allocated_INR]]="","",Table13[[#This Row],[Amount_INR]]-Table13[[#This Row],[Budget_Allocated_INR]])</f>
        <v>39231.709999999992</v>
      </c>
      <c r="H619">
        <v>39231.71</v>
      </c>
      <c r="I619" s="1">
        <v>45444</v>
      </c>
      <c r="J619" t="s">
        <v>516</v>
      </c>
      <c r="K619" t="s">
        <v>540</v>
      </c>
      <c r="L619" t="s">
        <v>536</v>
      </c>
      <c r="M619" t="s">
        <v>568</v>
      </c>
      <c r="N619" t="s">
        <v>520</v>
      </c>
      <c r="O619" t="s">
        <v>521</v>
      </c>
    </row>
    <row r="620" spans="1:15" x14ac:dyDescent="0.35">
      <c r="A620" t="s">
        <v>1186</v>
      </c>
      <c r="B620" t="s">
        <v>545</v>
      </c>
      <c r="C620" t="s">
        <v>599</v>
      </c>
      <c r="D620" t="s">
        <v>593</v>
      </c>
      <c r="E620">
        <v>32855</v>
      </c>
      <c r="F620">
        <v>38176.58</v>
      </c>
      <c r="G620">
        <f>IF(Table13[[#This Row],[Budget_Allocated_INR]]="","",Table13[[#This Row],[Amount_INR]]-Table13[[#This Row],[Budget_Allocated_INR]])</f>
        <v>-5321.5800000000017</v>
      </c>
      <c r="H620">
        <v>-5321.58</v>
      </c>
      <c r="I620" s="1">
        <v>45636</v>
      </c>
      <c r="J620" t="s">
        <v>516</v>
      </c>
      <c r="K620" t="s">
        <v>517</v>
      </c>
      <c r="L620" t="s">
        <v>536</v>
      </c>
      <c r="M620" t="s">
        <v>519</v>
      </c>
      <c r="N620" t="s">
        <v>520</v>
      </c>
    </row>
    <row r="621" spans="1:15" x14ac:dyDescent="0.35">
      <c r="A621" t="s">
        <v>1187</v>
      </c>
      <c r="B621" t="s">
        <v>565</v>
      </c>
      <c r="C621" t="s">
        <v>558</v>
      </c>
      <c r="D621" t="s">
        <v>515</v>
      </c>
      <c r="E621">
        <v>136601</v>
      </c>
      <c r="F621">
        <v>159694.84</v>
      </c>
      <c r="G621">
        <f>IF(Table13[[#This Row],[Budget_Allocated_INR]]="","",Table13[[#This Row],[Amount_INR]]-Table13[[#This Row],[Budget_Allocated_INR]])</f>
        <v>-23093.839999999997</v>
      </c>
      <c r="H621">
        <v>-23093.84</v>
      </c>
      <c r="I621" s="1">
        <v>45161</v>
      </c>
      <c r="J621" t="s">
        <v>526</v>
      </c>
      <c r="K621" t="s">
        <v>540</v>
      </c>
      <c r="L621" t="s">
        <v>518</v>
      </c>
      <c r="M621" t="s">
        <v>537</v>
      </c>
      <c r="N621" t="s">
        <v>520</v>
      </c>
    </row>
    <row r="622" spans="1:15" x14ac:dyDescent="0.35">
      <c r="A622" t="s">
        <v>1188</v>
      </c>
      <c r="B622" t="s">
        <v>534</v>
      </c>
      <c r="C622" t="s">
        <v>549</v>
      </c>
      <c r="D622" t="s">
        <v>525</v>
      </c>
      <c r="E622">
        <v>360122</v>
      </c>
      <c r="F622">
        <v>401001.23</v>
      </c>
      <c r="G622">
        <f>IF(Table13[[#This Row],[Budget_Allocated_INR]]="","",Table13[[#This Row],[Amount_INR]]-Table13[[#This Row],[Budget_Allocated_INR]])</f>
        <v>-40879.229999999981</v>
      </c>
      <c r="H622">
        <v>-40879.230000000003</v>
      </c>
      <c r="I622" s="1">
        <v>45563</v>
      </c>
      <c r="J622" t="s">
        <v>526</v>
      </c>
      <c r="K622" t="s">
        <v>517</v>
      </c>
      <c r="L622" t="s">
        <v>536</v>
      </c>
      <c r="M622" t="s">
        <v>546</v>
      </c>
      <c r="N622" t="s">
        <v>520</v>
      </c>
    </row>
    <row r="623" spans="1:15" x14ac:dyDescent="0.35">
      <c r="A623" t="s">
        <v>1189</v>
      </c>
      <c r="B623" t="s">
        <v>545</v>
      </c>
      <c r="C623" t="s">
        <v>552</v>
      </c>
      <c r="D623" t="s">
        <v>563</v>
      </c>
      <c r="E623">
        <v>126970</v>
      </c>
      <c r="F623">
        <v>120592.95</v>
      </c>
      <c r="G623">
        <f>IF(Table13[[#This Row],[Budget_Allocated_INR]]="","",Table13[[#This Row],[Amount_INR]]-Table13[[#This Row],[Budget_Allocated_INR]])</f>
        <v>6377.0500000000029</v>
      </c>
      <c r="H623">
        <v>6377.05</v>
      </c>
      <c r="I623" s="1">
        <v>44994</v>
      </c>
      <c r="J623" t="s">
        <v>526</v>
      </c>
      <c r="K623" t="s">
        <v>517</v>
      </c>
      <c r="L623" t="s">
        <v>541</v>
      </c>
      <c r="M623" t="s">
        <v>537</v>
      </c>
      <c r="N623" t="s">
        <v>520</v>
      </c>
    </row>
    <row r="624" spans="1:15" x14ac:dyDescent="0.35">
      <c r="A624" t="s">
        <v>1190</v>
      </c>
      <c r="B624" t="s">
        <v>545</v>
      </c>
      <c r="C624" t="s">
        <v>599</v>
      </c>
      <c r="D624" t="s">
        <v>605</v>
      </c>
      <c r="E624">
        <v>441904</v>
      </c>
      <c r="F624">
        <v>499211.03</v>
      </c>
      <c r="G624">
        <f>IF(Table13[[#This Row],[Budget_Allocated_INR]]="","",Table13[[#This Row],[Amount_INR]]-Table13[[#This Row],[Budget_Allocated_INR]])</f>
        <v>-57307.030000000028</v>
      </c>
      <c r="H624">
        <v>-57307.03</v>
      </c>
      <c r="I624" s="1">
        <v>45571</v>
      </c>
      <c r="J624" t="s">
        <v>526</v>
      </c>
      <c r="K624" t="s">
        <v>527</v>
      </c>
      <c r="L624" t="s">
        <v>536</v>
      </c>
      <c r="M624" t="s">
        <v>568</v>
      </c>
      <c r="N624" t="s">
        <v>520</v>
      </c>
    </row>
    <row r="625" spans="1:15" x14ac:dyDescent="0.35">
      <c r="A625" t="s">
        <v>1191</v>
      </c>
      <c r="B625" t="s">
        <v>523</v>
      </c>
      <c r="C625" t="s">
        <v>596</v>
      </c>
      <c r="D625" t="s">
        <v>553</v>
      </c>
      <c r="E625">
        <v>309027</v>
      </c>
      <c r="F625">
        <v>360549.36</v>
      </c>
      <c r="G625">
        <f>IF(Table13[[#This Row],[Budget_Allocated_INR]]="","",Table13[[#This Row],[Amount_INR]]-Table13[[#This Row],[Budget_Allocated_INR]])</f>
        <v>-51522.359999999986</v>
      </c>
      <c r="H625">
        <v>-51522.36</v>
      </c>
      <c r="I625" s="1">
        <v>45728</v>
      </c>
      <c r="J625" t="s">
        <v>526</v>
      </c>
      <c r="K625" t="s">
        <v>517</v>
      </c>
      <c r="L625" t="s">
        <v>536</v>
      </c>
      <c r="M625" t="s">
        <v>537</v>
      </c>
      <c r="N625" t="s">
        <v>520</v>
      </c>
    </row>
    <row r="626" spans="1:15" x14ac:dyDescent="0.35">
      <c r="A626" t="s">
        <v>1192</v>
      </c>
      <c r="B626" t="s">
        <v>523</v>
      </c>
      <c r="C626" t="s">
        <v>552</v>
      </c>
      <c r="D626" t="s">
        <v>553</v>
      </c>
      <c r="E626">
        <v>413361</v>
      </c>
      <c r="F626">
        <v>485666.79</v>
      </c>
      <c r="G626">
        <f>IF(Table13[[#This Row],[Budget_Allocated_INR]]="","",Table13[[#This Row],[Amount_INR]]-Table13[[#This Row],[Budget_Allocated_INR]])</f>
        <v>-72305.789999999979</v>
      </c>
      <c r="H626">
        <v>-72305.789999999994</v>
      </c>
      <c r="I626" s="1">
        <v>45449</v>
      </c>
      <c r="J626" t="s">
        <v>597</v>
      </c>
      <c r="K626" t="s">
        <v>517</v>
      </c>
      <c r="L626" t="s">
        <v>536</v>
      </c>
      <c r="M626" t="s">
        <v>537</v>
      </c>
      <c r="N626" t="s">
        <v>520</v>
      </c>
      <c r="O626" t="s">
        <v>521</v>
      </c>
    </row>
    <row r="627" spans="1:15" x14ac:dyDescent="0.35">
      <c r="A627" t="s">
        <v>1193</v>
      </c>
      <c r="B627" t="s">
        <v>576</v>
      </c>
      <c r="C627" t="s">
        <v>562</v>
      </c>
      <c r="D627" t="s">
        <v>574</v>
      </c>
      <c r="E627">
        <v>189952</v>
      </c>
      <c r="F627">
        <v>208997.94</v>
      </c>
      <c r="G627">
        <f>IF(Table13[[#This Row],[Budget_Allocated_INR]]="","",Table13[[#This Row],[Amount_INR]]-Table13[[#This Row],[Budget_Allocated_INR]])</f>
        <v>-19045.940000000002</v>
      </c>
      <c r="H627">
        <v>-19045.939999999999</v>
      </c>
      <c r="I627" s="1">
        <v>45258</v>
      </c>
      <c r="J627" t="s">
        <v>526</v>
      </c>
      <c r="K627" t="s">
        <v>560</v>
      </c>
      <c r="L627" t="s">
        <v>518</v>
      </c>
      <c r="M627" t="s">
        <v>537</v>
      </c>
      <c r="N627" t="s">
        <v>520</v>
      </c>
    </row>
    <row r="628" spans="1:15" x14ac:dyDescent="0.35">
      <c r="A628" t="s">
        <v>1194</v>
      </c>
      <c r="B628" t="s">
        <v>576</v>
      </c>
      <c r="C628" t="s">
        <v>586</v>
      </c>
      <c r="D628" t="s">
        <v>574</v>
      </c>
      <c r="E628">
        <v>78379</v>
      </c>
      <c r="F628">
        <v>88467.55</v>
      </c>
      <c r="G628">
        <f>IF(Table13[[#This Row],[Budget_Allocated_INR]]="","",Table13[[#This Row],[Amount_INR]]-Table13[[#This Row],[Budget_Allocated_INR]])</f>
        <v>-10088.550000000003</v>
      </c>
      <c r="H628">
        <v>-10088.549999999999</v>
      </c>
      <c r="I628" s="1">
        <v>45744</v>
      </c>
      <c r="J628" t="s">
        <v>597</v>
      </c>
      <c r="K628" t="s">
        <v>527</v>
      </c>
      <c r="L628" t="s">
        <v>536</v>
      </c>
      <c r="M628" t="s">
        <v>554</v>
      </c>
      <c r="N628" t="s">
        <v>520</v>
      </c>
    </row>
    <row r="629" spans="1:15" x14ac:dyDescent="0.35">
      <c r="A629" t="s">
        <v>1195</v>
      </c>
      <c r="B629" t="s">
        <v>545</v>
      </c>
      <c r="C629" t="s">
        <v>586</v>
      </c>
      <c r="D629" t="s">
        <v>588</v>
      </c>
      <c r="E629">
        <v>-60952</v>
      </c>
      <c r="F629">
        <v>72912.62</v>
      </c>
      <c r="G629">
        <f>IF(Table13[[#This Row],[Budget_Allocated_INR]]="","",Table13[[#This Row],[Amount_INR]]-Table13[[#This Row],[Budget_Allocated_INR]])</f>
        <v>-133864.62</v>
      </c>
      <c r="H629">
        <v>-11960.62</v>
      </c>
      <c r="I629" s="1">
        <v>45339</v>
      </c>
      <c r="J629" t="s">
        <v>526</v>
      </c>
      <c r="K629" t="s">
        <v>517</v>
      </c>
      <c r="L629" t="s">
        <v>518</v>
      </c>
      <c r="M629" t="s">
        <v>568</v>
      </c>
      <c r="N629" t="s">
        <v>582</v>
      </c>
    </row>
    <row r="630" spans="1:15" x14ac:dyDescent="0.35">
      <c r="A630" t="s">
        <v>1196</v>
      </c>
      <c r="B630" t="s">
        <v>534</v>
      </c>
      <c r="C630" t="s">
        <v>558</v>
      </c>
      <c r="D630" t="s">
        <v>605</v>
      </c>
      <c r="E630">
        <v>269339</v>
      </c>
      <c r="F630">
        <v>288948.13</v>
      </c>
      <c r="G630">
        <f>IF(Table13[[#This Row],[Budget_Allocated_INR]]="","",Table13[[#This Row],[Amount_INR]]-Table13[[#This Row],[Budget_Allocated_INR]])</f>
        <v>-19609.130000000005</v>
      </c>
      <c r="H630">
        <v>-19609.13</v>
      </c>
      <c r="I630" s="1">
        <v>45155</v>
      </c>
      <c r="J630" t="s">
        <v>526</v>
      </c>
      <c r="K630" t="s">
        <v>517</v>
      </c>
      <c r="L630" t="s">
        <v>518</v>
      </c>
      <c r="M630" t="s">
        <v>537</v>
      </c>
      <c r="N630" t="s">
        <v>520</v>
      </c>
    </row>
    <row r="631" spans="1:15" x14ac:dyDescent="0.35">
      <c r="A631" t="s">
        <v>1197</v>
      </c>
      <c r="B631" t="s">
        <v>548</v>
      </c>
      <c r="C631" t="s">
        <v>524</v>
      </c>
      <c r="D631" t="s">
        <v>574</v>
      </c>
      <c r="E631">
        <v>274282</v>
      </c>
      <c r="F631">
        <v>229786.46</v>
      </c>
      <c r="G631">
        <f>IF(Table13[[#This Row],[Budget_Allocated_INR]]="","",Table13[[#This Row],[Amount_INR]]-Table13[[#This Row],[Budget_Allocated_INR]])</f>
        <v>44495.540000000008</v>
      </c>
      <c r="H631">
        <v>44495.54</v>
      </c>
      <c r="I631" s="1">
        <v>45350</v>
      </c>
      <c r="J631" t="s">
        <v>597</v>
      </c>
      <c r="K631" t="s">
        <v>560</v>
      </c>
      <c r="L631" t="s">
        <v>518</v>
      </c>
      <c r="M631" t="s">
        <v>568</v>
      </c>
      <c r="N631" t="s">
        <v>520</v>
      </c>
      <c r="O631" t="s">
        <v>521</v>
      </c>
    </row>
    <row r="632" spans="1:15" x14ac:dyDescent="0.35">
      <c r="A632" t="s">
        <v>1198</v>
      </c>
      <c r="B632" t="s">
        <v>576</v>
      </c>
      <c r="C632" t="s">
        <v>543</v>
      </c>
      <c r="D632" t="s">
        <v>593</v>
      </c>
      <c r="E632">
        <v>2978304</v>
      </c>
      <c r="F632">
        <v>3616084.01</v>
      </c>
      <c r="G632">
        <f>IF(Table13[[#This Row],[Budget_Allocated_INR]]="","",Table13[[#This Row],[Amount_INR]]-Table13[[#This Row],[Budget_Allocated_INR]])</f>
        <v>-637780.00999999978</v>
      </c>
      <c r="H632">
        <v>-637780.01</v>
      </c>
      <c r="I632" s="1">
        <v>45484</v>
      </c>
      <c r="J632" t="s">
        <v>597</v>
      </c>
      <c r="K632" t="s">
        <v>540</v>
      </c>
      <c r="L632" t="s">
        <v>536</v>
      </c>
      <c r="M632" t="s">
        <v>537</v>
      </c>
      <c r="N632" t="s">
        <v>520</v>
      </c>
      <c r="O632" t="s">
        <v>521</v>
      </c>
    </row>
    <row r="633" spans="1:15" x14ac:dyDescent="0.35">
      <c r="A633" t="s">
        <v>1199</v>
      </c>
      <c r="B633" t="s">
        <v>534</v>
      </c>
      <c r="C633" t="s">
        <v>581</v>
      </c>
      <c r="D633" t="s">
        <v>593</v>
      </c>
      <c r="E633">
        <v>455959</v>
      </c>
      <c r="F633">
        <v>368542.6</v>
      </c>
      <c r="G633">
        <f>IF(Table13[[#This Row],[Budget_Allocated_INR]]="","",Table13[[#This Row],[Amount_INR]]-Table13[[#This Row],[Budget_Allocated_INR]])</f>
        <v>87416.400000000023</v>
      </c>
      <c r="H633">
        <v>87416.4</v>
      </c>
      <c r="I633" s="1">
        <v>45167</v>
      </c>
      <c r="J633" t="s">
        <v>526</v>
      </c>
      <c r="K633" t="s">
        <v>540</v>
      </c>
      <c r="L633" t="s">
        <v>518</v>
      </c>
      <c r="M633" t="s">
        <v>554</v>
      </c>
      <c r="N633" t="s">
        <v>520</v>
      </c>
    </row>
    <row r="634" spans="1:15" x14ac:dyDescent="0.35">
      <c r="A634" t="s">
        <v>1200</v>
      </c>
      <c r="B634" t="s">
        <v>576</v>
      </c>
      <c r="C634" t="s">
        <v>586</v>
      </c>
      <c r="D634" t="s">
        <v>605</v>
      </c>
      <c r="E634">
        <v>385655</v>
      </c>
      <c r="F634">
        <v>420574.97</v>
      </c>
      <c r="G634">
        <f>IF(Table13[[#This Row],[Budget_Allocated_INR]]="","",Table13[[#This Row],[Amount_INR]]-Table13[[#This Row],[Budget_Allocated_INR]])</f>
        <v>-34919.969999999972</v>
      </c>
      <c r="H634">
        <v>-34919.97</v>
      </c>
      <c r="I634" s="1">
        <v>45425</v>
      </c>
      <c r="J634" t="s">
        <v>526</v>
      </c>
      <c r="K634" t="s">
        <v>527</v>
      </c>
      <c r="L634" t="s">
        <v>536</v>
      </c>
      <c r="M634" t="s">
        <v>537</v>
      </c>
      <c r="N634" t="s">
        <v>520</v>
      </c>
    </row>
    <row r="635" spans="1:15" x14ac:dyDescent="0.35">
      <c r="A635" t="s">
        <v>1201</v>
      </c>
      <c r="B635" t="s">
        <v>79</v>
      </c>
      <c r="C635" t="s">
        <v>586</v>
      </c>
      <c r="D635" t="s">
        <v>584</v>
      </c>
      <c r="E635">
        <v>154946</v>
      </c>
      <c r="F635">
        <v>196174.27</v>
      </c>
      <c r="G635">
        <f>IF(Table13[[#This Row],[Budget_Allocated_INR]]="","",Table13[[#This Row],[Amount_INR]]-Table13[[#This Row],[Budget_Allocated_INR]])</f>
        <v>-41228.26999999999</v>
      </c>
      <c r="H635">
        <v>-41228.269999999997</v>
      </c>
      <c r="I635" s="1">
        <v>45058</v>
      </c>
      <c r="J635" t="s">
        <v>526</v>
      </c>
      <c r="K635" t="s">
        <v>517</v>
      </c>
      <c r="L635" t="s">
        <v>518</v>
      </c>
      <c r="M635" t="s">
        <v>537</v>
      </c>
      <c r="N635" t="s">
        <v>520</v>
      </c>
    </row>
    <row r="636" spans="1:15" x14ac:dyDescent="0.35">
      <c r="A636" t="s">
        <v>1202</v>
      </c>
      <c r="B636" t="s">
        <v>545</v>
      </c>
      <c r="C636" t="s">
        <v>543</v>
      </c>
      <c r="D636" t="s">
        <v>532</v>
      </c>
      <c r="E636">
        <v>177724</v>
      </c>
      <c r="F636">
        <v>225967.83</v>
      </c>
      <c r="G636">
        <f>IF(Table13[[#This Row],[Budget_Allocated_INR]]="","",Table13[[#This Row],[Amount_INR]]-Table13[[#This Row],[Budget_Allocated_INR]])</f>
        <v>-48243.829999999987</v>
      </c>
      <c r="H636">
        <v>-48243.83</v>
      </c>
      <c r="I636" s="1">
        <v>45470</v>
      </c>
      <c r="J636" t="s">
        <v>526</v>
      </c>
      <c r="K636" t="s">
        <v>540</v>
      </c>
      <c r="L636" t="s">
        <v>536</v>
      </c>
      <c r="M636" t="s">
        <v>537</v>
      </c>
      <c r="N636" t="s">
        <v>520</v>
      </c>
    </row>
    <row r="637" spans="1:15" x14ac:dyDescent="0.35">
      <c r="A637" t="s">
        <v>1203</v>
      </c>
      <c r="B637" t="s">
        <v>545</v>
      </c>
      <c r="C637" t="s">
        <v>596</v>
      </c>
      <c r="D637" t="s">
        <v>559</v>
      </c>
      <c r="E637">
        <v>163856</v>
      </c>
      <c r="F637">
        <v>149335.29</v>
      </c>
      <c r="G637">
        <f>IF(Table13[[#This Row],[Budget_Allocated_INR]]="","",Table13[[#This Row],[Amount_INR]]-Table13[[#This Row],[Budget_Allocated_INR]])</f>
        <v>14520.709999999992</v>
      </c>
      <c r="H637">
        <v>14520.71</v>
      </c>
      <c r="I637" s="1">
        <v>45109</v>
      </c>
      <c r="J637" t="s">
        <v>526</v>
      </c>
      <c r="K637" t="s">
        <v>527</v>
      </c>
      <c r="L637" t="s">
        <v>518</v>
      </c>
      <c r="M637" t="s">
        <v>537</v>
      </c>
      <c r="N637" t="s">
        <v>520</v>
      </c>
    </row>
    <row r="638" spans="1:15" x14ac:dyDescent="0.35">
      <c r="A638" t="s">
        <v>1204</v>
      </c>
      <c r="B638" t="s">
        <v>530</v>
      </c>
      <c r="C638" t="s">
        <v>543</v>
      </c>
      <c r="D638" t="s">
        <v>605</v>
      </c>
      <c r="E638">
        <v>196085</v>
      </c>
      <c r="F638">
        <v>235636.22</v>
      </c>
      <c r="G638">
        <f>IF(Table13[[#This Row],[Budget_Allocated_INR]]="","",Table13[[#This Row],[Amount_INR]]-Table13[[#This Row],[Budget_Allocated_INR]])</f>
        <v>-39551.22</v>
      </c>
      <c r="I638" s="1">
        <v>44981</v>
      </c>
      <c r="J638" t="s">
        <v>516</v>
      </c>
      <c r="K638" t="s">
        <v>527</v>
      </c>
      <c r="L638" t="s">
        <v>541</v>
      </c>
      <c r="M638" t="s">
        <v>546</v>
      </c>
      <c r="N638" t="s">
        <v>520</v>
      </c>
    </row>
    <row r="639" spans="1:15" x14ac:dyDescent="0.35">
      <c r="A639" t="s">
        <v>1205</v>
      </c>
      <c r="B639" t="s">
        <v>548</v>
      </c>
      <c r="C639" t="s">
        <v>586</v>
      </c>
      <c r="D639" t="s">
        <v>588</v>
      </c>
      <c r="E639">
        <v>188428</v>
      </c>
      <c r="F639">
        <v>202347.11</v>
      </c>
      <c r="G639">
        <f>IF(Table13[[#This Row],[Budget_Allocated_INR]]="","",Table13[[#This Row],[Amount_INR]]-Table13[[#This Row],[Budget_Allocated_INR]])</f>
        <v>-13919.109999999986</v>
      </c>
      <c r="H639">
        <v>-13919.11</v>
      </c>
      <c r="I639" s="1">
        <v>45698</v>
      </c>
      <c r="J639" t="s">
        <v>526</v>
      </c>
      <c r="K639" t="s">
        <v>560</v>
      </c>
      <c r="L639" t="s">
        <v>536</v>
      </c>
      <c r="M639" t="s">
        <v>568</v>
      </c>
      <c r="N639" t="s">
        <v>520</v>
      </c>
    </row>
    <row r="640" spans="1:15" x14ac:dyDescent="0.35">
      <c r="A640" t="s">
        <v>1206</v>
      </c>
      <c r="B640" t="s">
        <v>548</v>
      </c>
      <c r="C640" t="s">
        <v>581</v>
      </c>
      <c r="D640" t="s">
        <v>515</v>
      </c>
      <c r="E640">
        <v>23493</v>
      </c>
      <c r="F640">
        <v>22343.54</v>
      </c>
      <c r="G640">
        <f>IF(Table13[[#This Row],[Budget_Allocated_INR]]="","",Table13[[#This Row],[Amount_INR]]-Table13[[#This Row],[Budget_Allocated_INR]])</f>
        <v>1149.4599999999991</v>
      </c>
      <c r="H640">
        <v>1149.46</v>
      </c>
      <c r="I640" s="1">
        <v>45706</v>
      </c>
      <c r="J640" t="s">
        <v>526</v>
      </c>
      <c r="K640" t="s">
        <v>540</v>
      </c>
      <c r="L640" t="s">
        <v>536</v>
      </c>
      <c r="M640" t="s">
        <v>554</v>
      </c>
      <c r="N640" t="s">
        <v>520</v>
      </c>
    </row>
    <row r="641" spans="1:15" x14ac:dyDescent="0.35">
      <c r="A641" t="s">
        <v>1207</v>
      </c>
      <c r="B641" t="s">
        <v>548</v>
      </c>
      <c r="C641" t="s">
        <v>543</v>
      </c>
      <c r="D641" t="s">
        <v>605</v>
      </c>
      <c r="E641">
        <v>482592</v>
      </c>
      <c r="F641">
        <v>497325.81</v>
      </c>
      <c r="G641">
        <f>IF(Table13[[#This Row],[Budget_Allocated_INR]]="","",Table13[[#This Row],[Amount_INR]]-Table13[[#This Row],[Budget_Allocated_INR]])</f>
        <v>-14733.809999999998</v>
      </c>
      <c r="H641">
        <v>-14733.81</v>
      </c>
      <c r="I641" s="1">
        <v>45065</v>
      </c>
      <c r="J641" t="s">
        <v>516</v>
      </c>
      <c r="K641" t="s">
        <v>560</v>
      </c>
      <c r="L641" t="s">
        <v>518</v>
      </c>
      <c r="M641" t="s">
        <v>568</v>
      </c>
      <c r="N641" t="s">
        <v>520</v>
      </c>
      <c r="O641" t="s">
        <v>521</v>
      </c>
    </row>
    <row r="642" spans="1:15" x14ac:dyDescent="0.35">
      <c r="A642" t="s">
        <v>1208</v>
      </c>
      <c r="B642" t="s">
        <v>548</v>
      </c>
      <c r="C642" t="s">
        <v>552</v>
      </c>
      <c r="D642" t="s">
        <v>550</v>
      </c>
      <c r="E642">
        <v>273900</v>
      </c>
      <c r="F642">
        <v>255513.07</v>
      </c>
      <c r="G642">
        <f>IF(Table13[[#This Row],[Budget_Allocated_INR]]="","",Table13[[#This Row],[Amount_INR]]-Table13[[#This Row],[Budget_Allocated_INR]])</f>
        <v>18386.929999999993</v>
      </c>
      <c r="H642">
        <v>18386.93</v>
      </c>
      <c r="I642" s="1">
        <v>45087</v>
      </c>
      <c r="J642" t="s">
        <v>526</v>
      </c>
      <c r="K642" t="s">
        <v>527</v>
      </c>
      <c r="L642" t="s">
        <v>518</v>
      </c>
      <c r="M642" t="s">
        <v>537</v>
      </c>
      <c r="N642" t="s">
        <v>520</v>
      </c>
    </row>
    <row r="643" spans="1:15" x14ac:dyDescent="0.35">
      <c r="A643" t="s">
        <v>1209</v>
      </c>
      <c r="B643" t="s">
        <v>565</v>
      </c>
      <c r="C643" t="s">
        <v>549</v>
      </c>
      <c r="D643" t="s">
        <v>535</v>
      </c>
      <c r="E643">
        <v>59074</v>
      </c>
      <c r="F643">
        <v>60585.23</v>
      </c>
      <c r="G643">
        <f>IF(Table13[[#This Row],[Budget_Allocated_INR]]="","",Table13[[#This Row],[Amount_INR]]-Table13[[#This Row],[Budget_Allocated_INR]])</f>
        <v>-1511.2300000000032</v>
      </c>
      <c r="H643">
        <v>-1511.23</v>
      </c>
      <c r="I643" s="1">
        <v>44972</v>
      </c>
      <c r="J643" t="s">
        <v>526</v>
      </c>
      <c r="K643" t="s">
        <v>540</v>
      </c>
      <c r="L643" t="s">
        <v>541</v>
      </c>
      <c r="M643" t="s">
        <v>568</v>
      </c>
      <c r="N643" t="s">
        <v>520</v>
      </c>
    </row>
    <row r="644" spans="1:15" x14ac:dyDescent="0.35">
      <c r="A644" t="s">
        <v>1210</v>
      </c>
      <c r="B644" t="s">
        <v>565</v>
      </c>
      <c r="C644" t="s">
        <v>524</v>
      </c>
      <c r="D644" t="s">
        <v>584</v>
      </c>
      <c r="E644">
        <v>69757</v>
      </c>
      <c r="F644">
        <v>86250.27</v>
      </c>
      <c r="G644">
        <f>IF(Table13[[#This Row],[Budget_Allocated_INR]]="","",Table13[[#This Row],[Amount_INR]]-Table13[[#This Row],[Budget_Allocated_INR]])</f>
        <v>-16493.270000000004</v>
      </c>
      <c r="H644">
        <v>-16493.27</v>
      </c>
      <c r="I644" s="1">
        <v>45477</v>
      </c>
      <c r="J644" t="s">
        <v>516</v>
      </c>
      <c r="K644" t="s">
        <v>527</v>
      </c>
      <c r="L644" t="s">
        <v>536</v>
      </c>
      <c r="M644" t="s">
        <v>554</v>
      </c>
      <c r="N644" t="s">
        <v>520</v>
      </c>
    </row>
    <row r="645" spans="1:15" x14ac:dyDescent="0.35">
      <c r="A645" t="s">
        <v>1211</v>
      </c>
      <c r="B645" t="s">
        <v>545</v>
      </c>
      <c r="C645" t="s">
        <v>531</v>
      </c>
      <c r="D645" t="s">
        <v>515</v>
      </c>
      <c r="E645">
        <v>251254</v>
      </c>
      <c r="F645">
        <v>218808.44</v>
      </c>
      <c r="G645">
        <f>IF(Table13[[#This Row],[Budget_Allocated_INR]]="","",Table13[[#This Row],[Amount_INR]]-Table13[[#This Row],[Budget_Allocated_INR]])</f>
        <v>32445.559999999998</v>
      </c>
      <c r="H645">
        <v>32445.56</v>
      </c>
      <c r="I645" s="1">
        <v>45576</v>
      </c>
      <c r="J645" t="s">
        <v>526</v>
      </c>
      <c r="K645" t="s">
        <v>517</v>
      </c>
      <c r="L645" t="s">
        <v>536</v>
      </c>
      <c r="M645" t="s">
        <v>568</v>
      </c>
      <c r="N645" t="s">
        <v>520</v>
      </c>
    </row>
    <row r="646" spans="1:15" x14ac:dyDescent="0.35">
      <c r="A646" t="s">
        <v>1212</v>
      </c>
      <c r="B646" t="s">
        <v>548</v>
      </c>
      <c r="C646" t="s">
        <v>558</v>
      </c>
      <c r="D646" t="s">
        <v>571</v>
      </c>
      <c r="E646">
        <v>440497</v>
      </c>
      <c r="F646">
        <v>413309.43</v>
      </c>
      <c r="G646">
        <f>IF(Table13[[#This Row],[Budget_Allocated_INR]]="","",Table13[[#This Row],[Amount_INR]]-Table13[[#This Row],[Budget_Allocated_INR]])</f>
        <v>27187.570000000007</v>
      </c>
      <c r="H646">
        <v>27187.57</v>
      </c>
      <c r="I646" s="1">
        <v>45081</v>
      </c>
      <c r="J646" t="s">
        <v>526</v>
      </c>
      <c r="K646" t="s">
        <v>560</v>
      </c>
      <c r="L646" t="s">
        <v>518</v>
      </c>
      <c r="M646" t="s">
        <v>537</v>
      </c>
      <c r="N646" t="s">
        <v>520</v>
      </c>
    </row>
    <row r="647" spans="1:15" x14ac:dyDescent="0.35">
      <c r="A647" t="s">
        <v>1213</v>
      </c>
      <c r="B647" t="s">
        <v>523</v>
      </c>
      <c r="C647" t="s">
        <v>558</v>
      </c>
      <c r="D647" t="s">
        <v>634</v>
      </c>
      <c r="E647">
        <v>72960</v>
      </c>
      <c r="F647">
        <v>63624.22</v>
      </c>
      <c r="G647">
        <f>IF(Table13[[#This Row],[Budget_Allocated_INR]]="","",Table13[[#This Row],[Amount_INR]]-Table13[[#This Row],[Budget_Allocated_INR]])</f>
        <v>9335.7799999999988</v>
      </c>
      <c r="H647">
        <v>9335.7800000000007</v>
      </c>
      <c r="I647" s="1">
        <v>45718</v>
      </c>
      <c r="J647" t="s">
        <v>526</v>
      </c>
      <c r="K647" t="s">
        <v>560</v>
      </c>
      <c r="L647" t="s">
        <v>536</v>
      </c>
      <c r="M647" t="s">
        <v>537</v>
      </c>
      <c r="N647" t="s">
        <v>520</v>
      </c>
    </row>
    <row r="648" spans="1:15" x14ac:dyDescent="0.35">
      <c r="A648" t="s">
        <v>1214</v>
      </c>
      <c r="B648" t="s">
        <v>530</v>
      </c>
      <c r="C648" t="s">
        <v>581</v>
      </c>
      <c r="D648" t="s">
        <v>515</v>
      </c>
      <c r="E648">
        <v>223349</v>
      </c>
      <c r="F648">
        <v>214786.72</v>
      </c>
      <c r="G648">
        <f>IF(Table13[[#This Row],[Budget_Allocated_INR]]="","",Table13[[#This Row],[Amount_INR]]-Table13[[#This Row],[Budget_Allocated_INR]])</f>
        <v>8562.2799999999988</v>
      </c>
      <c r="H648">
        <v>8562.2800000000007</v>
      </c>
      <c r="I648" s="1">
        <v>45473</v>
      </c>
      <c r="J648" t="s">
        <v>526</v>
      </c>
      <c r="K648" t="s">
        <v>517</v>
      </c>
      <c r="L648" t="s">
        <v>536</v>
      </c>
      <c r="M648" t="s">
        <v>537</v>
      </c>
      <c r="N648" t="s">
        <v>520</v>
      </c>
    </row>
    <row r="649" spans="1:15" x14ac:dyDescent="0.35">
      <c r="A649" t="s">
        <v>1215</v>
      </c>
      <c r="B649" t="s">
        <v>548</v>
      </c>
      <c r="C649" t="s">
        <v>599</v>
      </c>
      <c r="D649" t="s">
        <v>584</v>
      </c>
      <c r="E649">
        <v>426324</v>
      </c>
      <c r="F649">
        <v>511837.01</v>
      </c>
      <c r="G649">
        <f>IF(Table13[[#This Row],[Budget_Allocated_INR]]="","",Table13[[#This Row],[Amount_INR]]-Table13[[#This Row],[Budget_Allocated_INR]])</f>
        <v>-85513.010000000009</v>
      </c>
      <c r="H649">
        <v>-85513.01</v>
      </c>
      <c r="I649" s="1">
        <v>45099</v>
      </c>
      <c r="J649" t="s">
        <v>516</v>
      </c>
      <c r="K649" t="s">
        <v>540</v>
      </c>
      <c r="L649" t="s">
        <v>518</v>
      </c>
      <c r="M649" t="s">
        <v>537</v>
      </c>
      <c r="N649" t="s">
        <v>520</v>
      </c>
      <c r="O649" t="s">
        <v>521</v>
      </c>
    </row>
    <row r="650" spans="1:15" x14ac:dyDescent="0.35">
      <c r="A650" t="s">
        <v>1216</v>
      </c>
      <c r="B650" t="s">
        <v>565</v>
      </c>
      <c r="C650" t="s">
        <v>531</v>
      </c>
      <c r="D650" t="s">
        <v>571</v>
      </c>
      <c r="E650">
        <v>52829</v>
      </c>
      <c r="F650">
        <v>46790.34</v>
      </c>
      <c r="G650">
        <f>IF(Table13[[#This Row],[Budget_Allocated_INR]]="","",Table13[[#This Row],[Amount_INR]]-Table13[[#This Row],[Budget_Allocated_INR]])</f>
        <v>6038.6600000000035</v>
      </c>
      <c r="H650">
        <v>6038.66</v>
      </c>
      <c r="I650" s="1">
        <v>45591</v>
      </c>
      <c r="J650" t="s">
        <v>526</v>
      </c>
      <c r="K650" t="s">
        <v>527</v>
      </c>
      <c r="L650" t="s">
        <v>536</v>
      </c>
      <c r="M650" t="s">
        <v>537</v>
      </c>
      <c r="N650" t="s">
        <v>520</v>
      </c>
    </row>
    <row r="651" spans="1:15" x14ac:dyDescent="0.35">
      <c r="A651" t="s">
        <v>1217</v>
      </c>
      <c r="B651" t="s">
        <v>576</v>
      </c>
      <c r="C651" t="s">
        <v>624</v>
      </c>
      <c r="D651" t="s">
        <v>525</v>
      </c>
      <c r="E651">
        <v>277874</v>
      </c>
      <c r="F651">
        <v>297760.69</v>
      </c>
      <c r="G651">
        <f>IF(Table13[[#This Row],[Budget_Allocated_INR]]="","",Table13[[#This Row],[Amount_INR]]-Table13[[#This Row],[Budget_Allocated_INR]])</f>
        <v>-19886.690000000002</v>
      </c>
      <c r="H651">
        <v>-19886.689999999999</v>
      </c>
      <c r="I651" s="1">
        <v>45091</v>
      </c>
      <c r="J651" t="s">
        <v>526</v>
      </c>
      <c r="K651" t="s">
        <v>517</v>
      </c>
      <c r="L651" t="s">
        <v>518</v>
      </c>
      <c r="M651" t="s">
        <v>537</v>
      </c>
      <c r="N651" t="s">
        <v>520</v>
      </c>
    </row>
    <row r="652" spans="1:15" x14ac:dyDescent="0.35">
      <c r="A652" t="s">
        <v>1218</v>
      </c>
      <c r="B652" t="s">
        <v>545</v>
      </c>
      <c r="C652" t="s">
        <v>581</v>
      </c>
      <c r="D652" t="s">
        <v>550</v>
      </c>
      <c r="E652">
        <v>484354</v>
      </c>
      <c r="F652">
        <v>601393.41</v>
      </c>
      <c r="G652">
        <f>IF(Table13[[#This Row],[Budget_Allocated_INR]]="","",Table13[[#This Row],[Amount_INR]]-Table13[[#This Row],[Budget_Allocated_INR]])</f>
        <v>-117039.41000000003</v>
      </c>
      <c r="H652">
        <v>-117039.41</v>
      </c>
      <c r="I652" s="1">
        <v>45275</v>
      </c>
      <c r="J652" t="s">
        <v>516</v>
      </c>
      <c r="K652" t="s">
        <v>527</v>
      </c>
      <c r="L652" t="s">
        <v>518</v>
      </c>
      <c r="M652" t="s">
        <v>537</v>
      </c>
      <c r="N652" t="s">
        <v>520</v>
      </c>
      <c r="O652" t="s">
        <v>521</v>
      </c>
    </row>
    <row r="653" spans="1:15" x14ac:dyDescent="0.35">
      <c r="A653" t="s">
        <v>1219</v>
      </c>
      <c r="B653" t="s">
        <v>523</v>
      </c>
      <c r="C653" t="s">
        <v>514</v>
      </c>
      <c r="D653" t="s">
        <v>532</v>
      </c>
      <c r="E653">
        <v>267336</v>
      </c>
      <c r="G653" t="str">
        <f>IF(Table13[[#This Row],[Budget_Allocated_INR]]="","",Table13[[#This Row],[Amount_INR]]-Table13[[#This Row],[Budget_Allocated_INR]])</f>
        <v/>
      </c>
      <c r="H653">
        <v>-66738.820000000007</v>
      </c>
      <c r="I653" s="1">
        <v>45350</v>
      </c>
      <c r="J653" t="s">
        <v>526</v>
      </c>
      <c r="K653" t="s">
        <v>540</v>
      </c>
      <c r="L653" t="s">
        <v>518</v>
      </c>
      <c r="M653" t="s">
        <v>537</v>
      </c>
      <c r="N653" t="s">
        <v>520</v>
      </c>
    </row>
    <row r="654" spans="1:15" x14ac:dyDescent="0.35">
      <c r="A654" t="s">
        <v>1220</v>
      </c>
      <c r="B654" t="s">
        <v>534</v>
      </c>
      <c r="C654" t="s">
        <v>581</v>
      </c>
      <c r="D654" t="s">
        <v>515</v>
      </c>
      <c r="E654">
        <v>234724</v>
      </c>
      <c r="F654">
        <v>228850.97</v>
      </c>
      <c r="G654">
        <f>IF(Table13[[#This Row],[Budget_Allocated_INR]]="","",Table13[[#This Row],[Amount_INR]]-Table13[[#This Row],[Budget_Allocated_INR]])</f>
        <v>5873.0299999999988</v>
      </c>
      <c r="H654">
        <v>5873.03</v>
      </c>
      <c r="I654" s="1">
        <v>45377</v>
      </c>
      <c r="J654" t="s">
        <v>526</v>
      </c>
      <c r="K654" t="s">
        <v>560</v>
      </c>
      <c r="L654" t="s">
        <v>518</v>
      </c>
      <c r="M654" t="s">
        <v>537</v>
      </c>
      <c r="N654" t="s">
        <v>520</v>
      </c>
    </row>
    <row r="655" spans="1:15" x14ac:dyDescent="0.35">
      <c r="A655" t="s">
        <v>1221</v>
      </c>
      <c r="B655" t="s">
        <v>548</v>
      </c>
      <c r="C655" t="s">
        <v>558</v>
      </c>
      <c r="D655" t="s">
        <v>571</v>
      </c>
      <c r="E655">
        <v>57908</v>
      </c>
      <c r="F655">
        <v>52714.69</v>
      </c>
      <c r="G655">
        <f>IF(Table13[[#This Row],[Budget_Allocated_INR]]="","",Table13[[#This Row],[Amount_INR]]-Table13[[#This Row],[Budget_Allocated_INR]])</f>
        <v>5193.3099999999977</v>
      </c>
      <c r="H655">
        <v>5193.3100000000004</v>
      </c>
      <c r="I655" s="1">
        <v>45431</v>
      </c>
      <c r="J655" t="s">
        <v>516</v>
      </c>
      <c r="K655" t="s">
        <v>527</v>
      </c>
      <c r="L655" t="s">
        <v>536</v>
      </c>
      <c r="M655" t="s">
        <v>537</v>
      </c>
      <c r="N655" t="s">
        <v>520</v>
      </c>
    </row>
    <row r="656" spans="1:15" x14ac:dyDescent="0.35">
      <c r="A656" t="s">
        <v>1222</v>
      </c>
      <c r="B656" t="s">
        <v>545</v>
      </c>
      <c r="C656" t="s">
        <v>581</v>
      </c>
      <c r="D656" t="s">
        <v>563</v>
      </c>
      <c r="E656">
        <v>170596</v>
      </c>
      <c r="F656">
        <v>198553.44</v>
      </c>
      <c r="G656">
        <f>IF(Table13[[#This Row],[Budget_Allocated_INR]]="","",Table13[[#This Row],[Amount_INR]]-Table13[[#This Row],[Budget_Allocated_INR]])</f>
        <v>-27957.440000000002</v>
      </c>
      <c r="H656">
        <v>-27957.439999999999</v>
      </c>
      <c r="I656" s="1">
        <v>45154</v>
      </c>
      <c r="J656" t="s">
        <v>516</v>
      </c>
      <c r="K656" t="s">
        <v>540</v>
      </c>
      <c r="L656" t="s">
        <v>518</v>
      </c>
      <c r="M656" t="s">
        <v>537</v>
      </c>
      <c r="N656" t="s">
        <v>520</v>
      </c>
    </row>
    <row r="657" spans="1:15" x14ac:dyDescent="0.35">
      <c r="A657" t="s">
        <v>1223</v>
      </c>
      <c r="B657" t="s">
        <v>576</v>
      </c>
      <c r="C657" t="s">
        <v>599</v>
      </c>
      <c r="D657" t="s">
        <v>550</v>
      </c>
      <c r="E657">
        <v>406142</v>
      </c>
      <c r="F657">
        <v>459946.66</v>
      </c>
      <c r="G657">
        <f>IF(Table13[[#This Row],[Budget_Allocated_INR]]="","",Table13[[#This Row],[Amount_INR]]-Table13[[#This Row],[Budget_Allocated_INR]])</f>
        <v>-53804.659999999974</v>
      </c>
      <c r="H657">
        <v>-53804.66</v>
      </c>
      <c r="I657" s="1">
        <v>45255</v>
      </c>
      <c r="J657" t="s">
        <v>526</v>
      </c>
      <c r="K657" t="s">
        <v>527</v>
      </c>
      <c r="L657" t="s">
        <v>518</v>
      </c>
      <c r="M657" t="s">
        <v>537</v>
      </c>
      <c r="N657" t="s">
        <v>520</v>
      </c>
    </row>
    <row r="658" spans="1:15" x14ac:dyDescent="0.35">
      <c r="A658" t="s">
        <v>1224</v>
      </c>
      <c r="B658" t="s">
        <v>545</v>
      </c>
      <c r="C658" t="s">
        <v>581</v>
      </c>
      <c r="D658" t="s">
        <v>634</v>
      </c>
      <c r="E658">
        <v>213389</v>
      </c>
      <c r="F658">
        <v>269457.19</v>
      </c>
      <c r="G658">
        <f>IF(Table13[[#This Row],[Budget_Allocated_INR]]="","",Table13[[#This Row],[Amount_INR]]-Table13[[#This Row],[Budget_Allocated_INR]])</f>
        <v>-56068.19</v>
      </c>
      <c r="H658">
        <v>-56068.19</v>
      </c>
      <c r="I658" s="1">
        <v>45172</v>
      </c>
      <c r="J658" t="s">
        <v>516</v>
      </c>
      <c r="K658" t="s">
        <v>517</v>
      </c>
      <c r="L658" t="s">
        <v>518</v>
      </c>
      <c r="M658" t="s">
        <v>537</v>
      </c>
      <c r="N658" t="s">
        <v>520</v>
      </c>
      <c r="O658" t="s">
        <v>521</v>
      </c>
    </row>
    <row r="659" spans="1:15" x14ac:dyDescent="0.35">
      <c r="A659" t="s">
        <v>1225</v>
      </c>
      <c r="B659" t="s">
        <v>534</v>
      </c>
      <c r="C659" t="s">
        <v>552</v>
      </c>
      <c r="D659" t="s">
        <v>634</v>
      </c>
      <c r="E659">
        <v>453323</v>
      </c>
      <c r="F659">
        <v>367797.88</v>
      </c>
      <c r="G659">
        <f>IF(Table13[[#This Row],[Budget_Allocated_INR]]="","",Table13[[#This Row],[Amount_INR]]-Table13[[#This Row],[Budget_Allocated_INR]])</f>
        <v>85525.119999999995</v>
      </c>
      <c r="H659">
        <v>85525.119999999995</v>
      </c>
      <c r="I659" s="1">
        <v>45049</v>
      </c>
      <c r="J659" t="s">
        <v>516</v>
      </c>
      <c r="K659" t="s">
        <v>560</v>
      </c>
      <c r="L659" t="s">
        <v>518</v>
      </c>
      <c r="M659" t="s">
        <v>537</v>
      </c>
      <c r="N659" t="s">
        <v>520</v>
      </c>
      <c r="O659" t="s">
        <v>521</v>
      </c>
    </row>
    <row r="660" spans="1:15" x14ac:dyDescent="0.35">
      <c r="A660" t="s">
        <v>1226</v>
      </c>
      <c r="B660" t="s">
        <v>545</v>
      </c>
      <c r="C660" t="s">
        <v>586</v>
      </c>
      <c r="D660" t="s">
        <v>634</v>
      </c>
      <c r="E660">
        <v>269050</v>
      </c>
      <c r="F660">
        <v>333174.65000000002</v>
      </c>
      <c r="G660">
        <f>IF(Table13[[#This Row],[Budget_Allocated_INR]]="","",Table13[[#This Row],[Amount_INR]]-Table13[[#This Row],[Budget_Allocated_INR]])</f>
        <v>-64124.650000000023</v>
      </c>
      <c r="H660">
        <v>-64124.65</v>
      </c>
      <c r="I660" s="1">
        <v>45362</v>
      </c>
      <c r="J660" t="s">
        <v>526</v>
      </c>
      <c r="K660" t="s">
        <v>540</v>
      </c>
      <c r="L660" t="s">
        <v>518</v>
      </c>
      <c r="M660" t="s">
        <v>537</v>
      </c>
      <c r="N660" t="s">
        <v>520</v>
      </c>
    </row>
    <row r="661" spans="1:15" x14ac:dyDescent="0.35">
      <c r="A661" t="s">
        <v>1227</v>
      </c>
      <c r="B661" t="s">
        <v>576</v>
      </c>
      <c r="C661" t="s">
        <v>596</v>
      </c>
      <c r="D661" t="s">
        <v>559</v>
      </c>
      <c r="E661">
        <v>51108</v>
      </c>
      <c r="F661">
        <v>46369.98</v>
      </c>
      <c r="G661">
        <f>IF(Table13[[#This Row],[Budget_Allocated_INR]]="","",Table13[[#This Row],[Amount_INR]]-Table13[[#This Row],[Budget_Allocated_INR]])</f>
        <v>4738.0199999999968</v>
      </c>
      <c r="H661">
        <v>4738.0200000000004</v>
      </c>
      <c r="I661" s="1">
        <v>45077</v>
      </c>
      <c r="J661" t="s">
        <v>526</v>
      </c>
      <c r="K661" t="s">
        <v>560</v>
      </c>
      <c r="L661" t="s">
        <v>518</v>
      </c>
      <c r="M661" t="s">
        <v>528</v>
      </c>
      <c r="N661" t="s">
        <v>520</v>
      </c>
    </row>
    <row r="662" spans="1:15" x14ac:dyDescent="0.35">
      <c r="A662" t="s">
        <v>1228</v>
      </c>
      <c r="B662" t="s">
        <v>523</v>
      </c>
      <c r="C662" t="s">
        <v>624</v>
      </c>
      <c r="D662" t="s">
        <v>515</v>
      </c>
      <c r="E662">
        <v>371069</v>
      </c>
      <c r="F662">
        <v>418595.72</v>
      </c>
      <c r="G662">
        <f>IF(Table13[[#This Row],[Budget_Allocated_INR]]="","",Table13[[#This Row],[Amount_INR]]-Table13[[#This Row],[Budget_Allocated_INR]])</f>
        <v>-47526.719999999972</v>
      </c>
      <c r="H662">
        <v>-47526.720000000001</v>
      </c>
      <c r="I662" s="1">
        <v>45075</v>
      </c>
      <c r="J662" t="s">
        <v>516</v>
      </c>
      <c r="K662" t="s">
        <v>560</v>
      </c>
      <c r="L662" t="s">
        <v>518</v>
      </c>
      <c r="M662" t="s">
        <v>537</v>
      </c>
      <c r="N662" t="s">
        <v>520</v>
      </c>
      <c r="O662" t="s">
        <v>521</v>
      </c>
    </row>
    <row r="663" spans="1:15" x14ac:dyDescent="0.35">
      <c r="A663" t="s">
        <v>1229</v>
      </c>
      <c r="B663" t="s">
        <v>523</v>
      </c>
      <c r="C663" t="s">
        <v>531</v>
      </c>
      <c r="D663" t="s">
        <v>605</v>
      </c>
      <c r="E663">
        <v>372842</v>
      </c>
      <c r="F663">
        <v>397469.52</v>
      </c>
      <c r="G663">
        <f>IF(Table13[[#This Row],[Budget_Allocated_INR]]="","",Table13[[#This Row],[Amount_INR]]-Table13[[#This Row],[Budget_Allocated_INR]])</f>
        <v>-24627.520000000019</v>
      </c>
      <c r="H663">
        <v>-24627.52</v>
      </c>
      <c r="I663" s="1">
        <v>45522</v>
      </c>
      <c r="J663" t="s">
        <v>526</v>
      </c>
      <c r="K663" t="s">
        <v>517</v>
      </c>
      <c r="L663" t="s">
        <v>536</v>
      </c>
      <c r="M663" t="s">
        <v>568</v>
      </c>
      <c r="N663" t="s">
        <v>520</v>
      </c>
    </row>
    <row r="664" spans="1:15" x14ac:dyDescent="0.35">
      <c r="A664" t="s">
        <v>1230</v>
      </c>
      <c r="B664" t="s">
        <v>530</v>
      </c>
      <c r="C664" t="s">
        <v>586</v>
      </c>
      <c r="D664" t="s">
        <v>574</v>
      </c>
      <c r="E664">
        <v>1811621</v>
      </c>
      <c r="F664">
        <v>1654255.19</v>
      </c>
      <c r="G664">
        <f>IF(Table13[[#This Row],[Budget_Allocated_INR]]="","",Table13[[#This Row],[Amount_INR]]-Table13[[#This Row],[Budget_Allocated_INR]])</f>
        <v>157365.81000000006</v>
      </c>
      <c r="H664">
        <v>157365.81</v>
      </c>
      <c r="I664" s="1">
        <v>45148</v>
      </c>
      <c r="J664" t="s">
        <v>526</v>
      </c>
      <c r="K664" t="s">
        <v>540</v>
      </c>
      <c r="L664" t="s">
        <v>518</v>
      </c>
      <c r="M664" t="s">
        <v>528</v>
      </c>
      <c r="N664" t="s">
        <v>520</v>
      </c>
    </row>
    <row r="665" spans="1:15" x14ac:dyDescent="0.35">
      <c r="A665" t="s">
        <v>1231</v>
      </c>
      <c r="B665" t="s">
        <v>576</v>
      </c>
      <c r="C665" t="s">
        <v>562</v>
      </c>
      <c r="D665" t="s">
        <v>593</v>
      </c>
      <c r="E665">
        <v>175404</v>
      </c>
      <c r="F665">
        <v>214676.76</v>
      </c>
      <c r="G665">
        <f>IF(Table13[[#This Row],[Budget_Allocated_INR]]="","",Table13[[#This Row],[Amount_INR]]-Table13[[#This Row],[Budget_Allocated_INR]])</f>
        <v>-39272.760000000009</v>
      </c>
      <c r="H665">
        <v>-39272.76</v>
      </c>
      <c r="I665" s="1">
        <v>45006</v>
      </c>
      <c r="J665" t="s">
        <v>597</v>
      </c>
      <c r="K665" t="s">
        <v>540</v>
      </c>
      <c r="L665" t="s">
        <v>541</v>
      </c>
      <c r="M665" t="s">
        <v>537</v>
      </c>
      <c r="N665" t="s">
        <v>520</v>
      </c>
    </row>
    <row r="666" spans="1:15" x14ac:dyDescent="0.35">
      <c r="A666" t="s">
        <v>1232</v>
      </c>
      <c r="B666" t="s">
        <v>523</v>
      </c>
      <c r="C666" t="s">
        <v>558</v>
      </c>
      <c r="D666" t="s">
        <v>563</v>
      </c>
      <c r="E666">
        <v>208150</v>
      </c>
      <c r="F666">
        <v>249693.88</v>
      </c>
      <c r="G666">
        <f>IF(Table13[[#This Row],[Budget_Allocated_INR]]="","",Table13[[#This Row],[Amount_INR]]-Table13[[#This Row],[Budget_Allocated_INR]])</f>
        <v>-41543.880000000005</v>
      </c>
      <c r="H666">
        <v>-41543.879999999997</v>
      </c>
      <c r="I666" s="1">
        <v>45518</v>
      </c>
      <c r="J666" t="s">
        <v>526</v>
      </c>
      <c r="K666" t="s">
        <v>560</v>
      </c>
      <c r="L666" t="s">
        <v>536</v>
      </c>
      <c r="M666" t="s">
        <v>537</v>
      </c>
      <c r="N666" t="s">
        <v>520</v>
      </c>
    </row>
    <row r="667" spans="1:15" x14ac:dyDescent="0.35">
      <c r="A667" t="s">
        <v>1233</v>
      </c>
      <c r="B667" t="s">
        <v>523</v>
      </c>
      <c r="C667" t="s">
        <v>581</v>
      </c>
      <c r="D667" t="s">
        <v>605</v>
      </c>
      <c r="E667">
        <v>-465791</v>
      </c>
      <c r="F667">
        <v>405659.2</v>
      </c>
      <c r="G667">
        <f>IF(Table13[[#This Row],[Budget_Allocated_INR]]="","",Table13[[#This Row],[Amount_INR]]-Table13[[#This Row],[Budget_Allocated_INR]])</f>
        <v>-871450.2</v>
      </c>
      <c r="H667">
        <v>60131.8</v>
      </c>
      <c r="I667" s="1">
        <v>45123</v>
      </c>
      <c r="J667" t="s">
        <v>526</v>
      </c>
      <c r="K667" t="s">
        <v>517</v>
      </c>
      <c r="L667" t="s">
        <v>518</v>
      </c>
      <c r="M667" t="s">
        <v>537</v>
      </c>
      <c r="N667" t="s">
        <v>582</v>
      </c>
    </row>
    <row r="668" spans="1:15" x14ac:dyDescent="0.35">
      <c r="A668" t="s">
        <v>1234</v>
      </c>
      <c r="B668" t="s">
        <v>565</v>
      </c>
      <c r="C668" t="s">
        <v>586</v>
      </c>
      <c r="D668" t="s">
        <v>584</v>
      </c>
      <c r="E668">
        <v>432960</v>
      </c>
      <c r="F668">
        <v>437124.63</v>
      </c>
      <c r="G668">
        <f>IF(Table13[[#This Row],[Budget_Allocated_INR]]="","",Table13[[#This Row],[Amount_INR]]-Table13[[#This Row],[Budget_Allocated_INR]])</f>
        <v>-4164.6300000000047</v>
      </c>
      <c r="I668" s="1">
        <v>45225</v>
      </c>
      <c r="J668" t="s">
        <v>526</v>
      </c>
      <c r="K668" t="s">
        <v>540</v>
      </c>
      <c r="L668" t="s">
        <v>518</v>
      </c>
      <c r="M668" t="s">
        <v>568</v>
      </c>
      <c r="N668" t="s">
        <v>520</v>
      </c>
    </row>
    <row r="669" spans="1:15" x14ac:dyDescent="0.35">
      <c r="A669" t="s">
        <v>1235</v>
      </c>
      <c r="B669" t="s">
        <v>534</v>
      </c>
      <c r="C669" t="s">
        <v>549</v>
      </c>
      <c r="D669" t="s">
        <v>515</v>
      </c>
      <c r="E669">
        <v>20956</v>
      </c>
      <c r="F669">
        <v>17326.400000000001</v>
      </c>
      <c r="G669">
        <f>IF(Table13[[#This Row],[Budget_Allocated_INR]]="","",Table13[[#This Row],[Amount_INR]]-Table13[[#This Row],[Budget_Allocated_INR]])</f>
        <v>3629.5999999999985</v>
      </c>
      <c r="H669">
        <v>3629.6</v>
      </c>
      <c r="I669" s="1">
        <v>44973</v>
      </c>
      <c r="J669" t="s">
        <v>597</v>
      </c>
      <c r="K669" t="s">
        <v>527</v>
      </c>
      <c r="L669" t="s">
        <v>541</v>
      </c>
      <c r="M669" t="s">
        <v>537</v>
      </c>
      <c r="N669" t="s">
        <v>520</v>
      </c>
    </row>
    <row r="670" spans="1:15" x14ac:dyDescent="0.35">
      <c r="A670" t="s">
        <v>1236</v>
      </c>
      <c r="B670" t="s">
        <v>576</v>
      </c>
      <c r="C670" t="s">
        <v>599</v>
      </c>
      <c r="D670" t="s">
        <v>571</v>
      </c>
      <c r="E670">
        <v>227030</v>
      </c>
      <c r="F670">
        <v>287338.31</v>
      </c>
      <c r="G670">
        <f>IF(Table13[[#This Row],[Budget_Allocated_INR]]="","",Table13[[#This Row],[Amount_INR]]-Table13[[#This Row],[Budget_Allocated_INR]])</f>
        <v>-60308.31</v>
      </c>
      <c r="H670">
        <v>-60308.31</v>
      </c>
      <c r="I670" s="1">
        <v>45369</v>
      </c>
      <c r="J670" t="s">
        <v>526</v>
      </c>
      <c r="K670" t="s">
        <v>517</v>
      </c>
      <c r="L670" t="s">
        <v>518</v>
      </c>
      <c r="M670" t="s">
        <v>528</v>
      </c>
      <c r="N670" t="s">
        <v>520</v>
      </c>
    </row>
    <row r="671" spans="1:15" x14ac:dyDescent="0.35">
      <c r="A671" t="s">
        <v>1237</v>
      </c>
      <c r="B671" t="s">
        <v>530</v>
      </c>
      <c r="C671" t="s">
        <v>624</v>
      </c>
      <c r="D671" t="s">
        <v>559</v>
      </c>
      <c r="E671">
        <v>497199</v>
      </c>
      <c r="F671">
        <v>587241.94999999995</v>
      </c>
      <c r="G671">
        <f>IF(Table13[[#This Row],[Budget_Allocated_INR]]="","",Table13[[#This Row],[Amount_INR]]-Table13[[#This Row],[Budget_Allocated_INR]])</f>
        <v>-90042.949999999953</v>
      </c>
      <c r="H671">
        <v>-90042.95</v>
      </c>
      <c r="I671" s="1">
        <v>45226</v>
      </c>
      <c r="J671" t="s">
        <v>526</v>
      </c>
      <c r="K671" t="s">
        <v>527</v>
      </c>
      <c r="L671" t="s">
        <v>518</v>
      </c>
      <c r="M671" t="s">
        <v>537</v>
      </c>
      <c r="N671" t="s">
        <v>520</v>
      </c>
    </row>
    <row r="672" spans="1:15" x14ac:dyDescent="0.35">
      <c r="A672" t="s">
        <v>1238</v>
      </c>
      <c r="B672" t="s">
        <v>545</v>
      </c>
      <c r="C672" t="s">
        <v>524</v>
      </c>
      <c r="D672" t="s">
        <v>588</v>
      </c>
      <c r="E672">
        <v>17494</v>
      </c>
      <c r="F672">
        <v>21819.33</v>
      </c>
      <c r="G672">
        <f>IF(Table13[[#This Row],[Budget_Allocated_INR]]="","",Table13[[#This Row],[Amount_INR]]-Table13[[#This Row],[Budget_Allocated_INR]])</f>
        <v>-4325.3300000000017</v>
      </c>
      <c r="H672">
        <v>-4325.33</v>
      </c>
      <c r="I672" s="1">
        <v>45229</v>
      </c>
      <c r="J672" t="s">
        <v>516</v>
      </c>
      <c r="K672" t="s">
        <v>517</v>
      </c>
      <c r="L672" t="s">
        <v>518</v>
      </c>
      <c r="M672" t="s">
        <v>537</v>
      </c>
      <c r="N672" t="s">
        <v>520</v>
      </c>
    </row>
    <row r="673" spans="1:15" x14ac:dyDescent="0.35">
      <c r="A673" t="s">
        <v>1239</v>
      </c>
      <c r="B673" t="s">
        <v>548</v>
      </c>
      <c r="C673" t="s">
        <v>552</v>
      </c>
      <c r="D673" t="s">
        <v>535</v>
      </c>
      <c r="E673">
        <v>310160</v>
      </c>
      <c r="F673">
        <v>351074.26</v>
      </c>
      <c r="G673">
        <f>IF(Table13[[#This Row],[Budget_Allocated_INR]]="","",Table13[[#This Row],[Amount_INR]]-Table13[[#This Row],[Budget_Allocated_INR]])</f>
        <v>-40914.260000000009</v>
      </c>
      <c r="H673">
        <v>-40914.26</v>
      </c>
      <c r="I673" s="1">
        <v>45337</v>
      </c>
      <c r="J673" t="s">
        <v>526</v>
      </c>
      <c r="K673" t="s">
        <v>560</v>
      </c>
      <c r="L673" t="s">
        <v>518</v>
      </c>
      <c r="M673" t="s">
        <v>528</v>
      </c>
      <c r="N673" t="s">
        <v>520</v>
      </c>
    </row>
    <row r="674" spans="1:15" x14ac:dyDescent="0.35">
      <c r="A674" t="s">
        <v>1240</v>
      </c>
      <c r="B674" t="s">
        <v>530</v>
      </c>
      <c r="C674" t="s">
        <v>531</v>
      </c>
      <c r="D674" t="s">
        <v>515</v>
      </c>
      <c r="E674">
        <v>215143</v>
      </c>
      <c r="F674">
        <v>173090.34</v>
      </c>
      <c r="G674">
        <f>IF(Table13[[#This Row],[Budget_Allocated_INR]]="","",Table13[[#This Row],[Amount_INR]]-Table13[[#This Row],[Budget_Allocated_INR]])</f>
        <v>42052.66</v>
      </c>
      <c r="H674">
        <v>42052.66</v>
      </c>
      <c r="I674" s="1">
        <v>44981</v>
      </c>
      <c r="J674" t="s">
        <v>526</v>
      </c>
      <c r="K674" t="s">
        <v>560</v>
      </c>
      <c r="L674" t="s">
        <v>541</v>
      </c>
      <c r="M674" t="s">
        <v>537</v>
      </c>
      <c r="N674" t="s">
        <v>520</v>
      </c>
    </row>
    <row r="675" spans="1:15" x14ac:dyDescent="0.35">
      <c r="A675" t="s">
        <v>1241</v>
      </c>
      <c r="B675" t="s">
        <v>565</v>
      </c>
      <c r="C675" t="s">
        <v>524</v>
      </c>
      <c r="D675" t="s">
        <v>588</v>
      </c>
      <c r="E675">
        <v>144022</v>
      </c>
      <c r="F675">
        <v>151176.37</v>
      </c>
      <c r="G675">
        <f>IF(Table13[[#This Row],[Budget_Allocated_INR]]="","",Table13[[#This Row],[Amount_INR]]-Table13[[#This Row],[Budget_Allocated_INR]])</f>
        <v>-7154.3699999999953</v>
      </c>
      <c r="H675">
        <v>-7154.37</v>
      </c>
      <c r="I675" s="1">
        <v>45264</v>
      </c>
      <c r="J675" t="s">
        <v>526</v>
      </c>
      <c r="K675" t="s">
        <v>560</v>
      </c>
      <c r="L675" t="s">
        <v>518</v>
      </c>
      <c r="M675" t="s">
        <v>537</v>
      </c>
      <c r="N675" t="s">
        <v>520</v>
      </c>
    </row>
    <row r="676" spans="1:15" x14ac:dyDescent="0.35">
      <c r="A676" t="s">
        <v>1242</v>
      </c>
      <c r="B676" t="s">
        <v>523</v>
      </c>
      <c r="C676" t="s">
        <v>581</v>
      </c>
      <c r="D676" t="s">
        <v>550</v>
      </c>
      <c r="E676">
        <v>299426</v>
      </c>
      <c r="F676">
        <v>281637.83</v>
      </c>
      <c r="G676">
        <f>IF(Table13[[#This Row],[Budget_Allocated_INR]]="","",Table13[[#This Row],[Amount_INR]]-Table13[[#This Row],[Budget_Allocated_INR]])</f>
        <v>17788.169999999984</v>
      </c>
      <c r="H676">
        <v>17788.169999999998</v>
      </c>
      <c r="I676" s="1">
        <v>45516</v>
      </c>
      <c r="J676" t="s">
        <v>526</v>
      </c>
      <c r="K676" t="s">
        <v>560</v>
      </c>
      <c r="L676" t="s">
        <v>536</v>
      </c>
      <c r="M676" t="s">
        <v>528</v>
      </c>
      <c r="N676" t="s">
        <v>520</v>
      </c>
    </row>
    <row r="677" spans="1:15" x14ac:dyDescent="0.35">
      <c r="A677" t="s">
        <v>1243</v>
      </c>
      <c r="B677" t="s">
        <v>548</v>
      </c>
      <c r="C677" t="s">
        <v>581</v>
      </c>
      <c r="D677" t="s">
        <v>634</v>
      </c>
      <c r="E677">
        <v>371377</v>
      </c>
      <c r="G677" t="str">
        <f>IF(Table13[[#This Row],[Budget_Allocated_INR]]="","",Table13[[#This Row],[Amount_INR]]-Table13[[#This Row],[Budget_Allocated_INR]])</f>
        <v/>
      </c>
      <c r="H677">
        <v>27780.1</v>
      </c>
      <c r="I677" s="1">
        <v>45638</v>
      </c>
      <c r="J677" t="s">
        <v>526</v>
      </c>
      <c r="K677" t="s">
        <v>527</v>
      </c>
      <c r="L677" t="s">
        <v>536</v>
      </c>
      <c r="M677" t="s">
        <v>554</v>
      </c>
      <c r="N677" t="s">
        <v>520</v>
      </c>
    </row>
    <row r="678" spans="1:15" x14ac:dyDescent="0.35">
      <c r="A678" t="s">
        <v>1244</v>
      </c>
      <c r="B678" t="s">
        <v>548</v>
      </c>
      <c r="C678" t="s">
        <v>531</v>
      </c>
      <c r="D678" t="s">
        <v>584</v>
      </c>
      <c r="E678">
        <v>175604</v>
      </c>
      <c r="F678">
        <v>212918.44</v>
      </c>
      <c r="G678">
        <f>IF(Table13[[#This Row],[Budget_Allocated_INR]]="","",Table13[[#This Row],[Amount_INR]]-Table13[[#This Row],[Budget_Allocated_INR]])</f>
        <v>-37314.44</v>
      </c>
      <c r="H678">
        <v>-37314.44</v>
      </c>
      <c r="I678" s="1">
        <v>45111</v>
      </c>
      <c r="J678" t="s">
        <v>526</v>
      </c>
      <c r="K678" t="s">
        <v>527</v>
      </c>
      <c r="L678" t="s">
        <v>518</v>
      </c>
      <c r="M678" t="s">
        <v>537</v>
      </c>
      <c r="N678" t="s">
        <v>520</v>
      </c>
    </row>
    <row r="679" spans="1:15" x14ac:dyDescent="0.35">
      <c r="A679" t="s">
        <v>1245</v>
      </c>
      <c r="B679" t="s">
        <v>576</v>
      </c>
      <c r="C679" t="s">
        <v>558</v>
      </c>
      <c r="D679" t="s">
        <v>525</v>
      </c>
      <c r="E679">
        <v>281456</v>
      </c>
      <c r="F679">
        <v>247438.74</v>
      </c>
      <c r="G679">
        <f>IF(Table13[[#This Row],[Budget_Allocated_INR]]="","",Table13[[#This Row],[Amount_INR]]-Table13[[#This Row],[Budget_Allocated_INR]])</f>
        <v>34017.260000000009</v>
      </c>
      <c r="H679">
        <v>34017.26</v>
      </c>
      <c r="I679" s="1">
        <v>45668</v>
      </c>
      <c r="J679" t="s">
        <v>526</v>
      </c>
      <c r="K679" t="s">
        <v>540</v>
      </c>
      <c r="L679" t="s">
        <v>536</v>
      </c>
      <c r="M679" t="s">
        <v>568</v>
      </c>
      <c r="N679" t="s">
        <v>520</v>
      </c>
    </row>
    <row r="680" spans="1:15" x14ac:dyDescent="0.35">
      <c r="A680" t="s">
        <v>1246</v>
      </c>
      <c r="B680" t="s">
        <v>79</v>
      </c>
      <c r="C680" t="s">
        <v>586</v>
      </c>
      <c r="D680" t="s">
        <v>550</v>
      </c>
      <c r="E680">
        <v>346906</v>
      </c>
      <c r="F680">
        <v>299819.77</v>
      </c>
      <c r="G680">
        <f>IF(Table13[[#This Row],[Budget_Allocated_INR]]="","",Table13[[#This Row],[Amount_INR]]-Table13[[#This Row],[Budget_Allocated_INR]])</f>
        <v>47086.229999999981</v>
      </c>
      <c r="H680">
        <v>47086.23</v>
      </c>
      <c r="I680" s="1">
        <v>45077</v>
      </c>
      <c r="J680" t="s">
        <v>597</v>
      </c>
      <c r="K680" t="s">
        <v>527</v>
      </c>
      <c r="L680" t="s">
        <v>518</v>
      </c>
      <c r="M680" t="s">
        <v>537</v>
      </c>
      <c r="N680" t="s">
        <v>520</v>
      </c>
      <c r="O680" t="s">
        <v>521</v>
      </c>
    </row>
    <row r="681" spans="1:15" x14ac:dyDescent="0.35">
      <c r="A681" t="s">
        <v>1247</v>
      </c>
      <c r="B681" t="s">
        <v>523</v>
      </c>
      <c r="C681" t="s">
        <v>531</v>
      </c>
      <c r="D681" t="s">
        <v>515</v>
      </c>
      <c r="E681">
        <v>69004</v>
      </c>
      <c r="F681">
        <v>66399.42</v>
      </c>
      <c r="G681">
        <f>IF(Table13[[#This Row],[Budget_Allocated_INR]]="","",Table13[[#This Row],[Amount_INR]]-Table13[[#This Row],[Budget_Allocated_INR]])</f>
        <v>2604.5800000000017</v>
      </c>
      <c r="H681">
        <v>2604.58</v>
      </c>
      <c r="I681" s="1">
        <v>45450</v>
      </c>
      <c r="J681" t="s">
        <v>526</v>
      </c>
      <c r="K681" t="s">
        <v>517</v>
      </c>
      <c r="L681" t="s">
        <v>536</v>
      </c>
      <c r="M681" t="s">
        <v>554</v>
      </c>
      <c r="N681" t="s">
        <v>520</v>
      </c>
    </row>
    <row r="682" spans="1:15" x14ac:dyDescent="0.35">
      <c r="A682" t="s">
        <v>1248</v>
      </c>
      <c r="B682" t="s">
        <v>576</v>
      </c>
      <c r="C682" t="s">
        <v>552</v>
      </c>
      <c r="D682" t="s">
        <v>559</v>
      </c>
      <c r="E682">
        <v>245775</v>
      </c>
      <c r="F682">
        <v>198192.49</v>
      </c>
      <c r="G682">
        <f>IF(Table13[[#This Row],[Budget_Allocated_INR]]="","",Table13[[#This Row],[Amount_INR]]-Table13[[#This Row],[Budget_Allocated_INR]])</f>
        <v>47582.510000000009</v>
      </c>
      <c r="H682">
        <v>47582.51</v>
      </c>
      <c r="I682" s="1">
        <v>45173</v>
      </c>
      <c r="J682" t="s">
        <v>516</v>
      </c>
      <c r="K682" t="s">
        <v>517</v>
      </c>
      <c r="L682" t="s">
        <v>518</v>
      </c>
      <c r="M682" t="s">
        <v>528</v>
      </c>
      <c r="N682" t="s">
        <v>520</v>
      </c>
      <c r="O682" t="s">
        <v>521</v>
      </c>
    </row>
    <row r="683" spans="1:15" x14ac:dyDescent="0.35">
      <c r="A683" t="s">
        <v>1249</v>
      </c>
      <c r="B683" t="s">
        <v>545</v>
      </c>
      <c r="C683" t="s">
        <v>586</v>
      </c>
      <c r="D683" t="s">
        <v>574</v>
      </c>
      <c r="E683">
        <v>79739</v>
      </c>
      <c r="G683" t="str">
        <f>IF(Table13[[#This Row],[Budget_Allocated_INR]]="","",Table13[[#This Row],[Amount_INR]]-Table13[[#This Row],[Budget_Allocated_INR]])</f>
        <v/>
      </c>
      <c r="H683">
        <v>2716.18</v>
      </c>
      <c r="I683" s="1">
        <v>45148</v>
      </c>
      <c r="J683" t="s">
        <v>597</v>
      </c>
      <c r="K683" t="s">
        <v>527</v>
      </c>
      <c r="L683" t="s">
        <v>518</v>
      </c>
      <c r="M683" t="s">
        <v>537</v>
      </c>
      <c r="N683" t="s">
        <v>520</v>
      </c>
    </row>
    <row r="684" spans="1:15" x14ac:dyDescent="0.35">
      <c r="A684" t="s">
        <v>1250</v>
      </c>
      <c r="B684" t="s">
        <v>79</v>
      </c>
      <c r="C684" t="s">
        <v>558</v>
      </c>
      <c r="D684" t="s">
        <v>532</v>
      </c>
      <c r="E684">
        <v>475254</v>
      </c>
      <c r="F684">
        <v>614613.85</v>
      </c>
      <c r="G684">
        <f>IF(Table13[[#This Row],[Budget_Allocated_INR]]="","",Table13[[#This Row],[Amount_INR]]-Table13[[#This Row],[Budget_Allocated_INR]])</f>
        <v>-139359.84999999998</v>
      </c>
      <c r="H684">
        <v>-139359.85</v>
      </c>
      <c r="I684" s="1">
        <v>45153</v>
      </c>
      <c r="J684" t="s">
        <v>526</v>
      </c>
      <c r="K684" t="s">
        <v>540</v>
      </c>
      <c r="L684" t="s">
        <v>518</v>
      </c>
      <c r="M684" t="s">
        <v>537</v>
      </c>
      <c r="N684" t="s">
        <v>520</v>
      </c>
    </row>
    <row r="685" spans="1:15" x14ac:dyDescent="0.35">
      <c r="A685" t="s">
        <v>1251</v>
      </c>
      <c r="B685" t="s">
        <v>530</v>
      </c>
      <c r="C685" t="s">
        <v>543</v>
      </c>
      <c r="D685" t="s">
        <v>584</v>
      </c>
      <c r="E685">
        <v>398103</v>
      </c>
      <c r="F685">
        <v>495766.71</v>
      </c>
      <c r="G685">
        <f>IF(Table13[[#This Row],[Budget_Allocated_INR]]="","",Table13[[#This Row],[Amount_INR]]-Table13[[#This Row],[Budget_Allocated_INR]])</f>
        <v>-97663.710000000021</v>
      </c>
      <c r="H685">
        <v>-97663.71</v>
      </c>
      <c r="I685" s="1">
        <v>45588</v>
      </c>
      <c r="J685" t="s">
        <v>597</v>
      </c>
      <c r="K685" t="s">
        <v>540</v>
      </c>
      <c r="L685" t="s">
        <v>536</v>
      </c>
      <c r="M685" t="s">
        <v>537</v>
      </c>
      <c r="N685" t="s">
        <v>520</v>
      </c>
      <c r="O685" t="s">
        <v>521</v>
      </c>
    </row>
    <row r="686" spans="1:15" x14ac:dyDescent="0.35">
      <c r="A686" t="s">
        <v>1252</v>
      </c>
      <c r="B686" t="s">
        <v>548</v>
      </c>
      <c r="C686" t="s">
        <v>552</v>
      </c>
      <c r="D686" t="s">
        <v>563</v>
      </c>
      <c r="E686">
        <v>260242</v>
      </c>
      <c r="F686">
        <v>323419.07</v>
      </c>
      <c r="G686">
        <f>IF(Table13[[#This Row],[Budget_Allocated_INR]]="","",Table13[[#This Row],[Amount_INR]]-Table13[[#This Row],[Budget_Allocated_INR]])</f>
        <v>-63177.070000000007</v>
      </c>
      <c r="H686">
        <v>-63177.07</v>
      </c>
      <c r="I686" s="1">
        <v>45403</v>
      </c>
      <c r="J686" t="s">
        <v>526</v>
      </c>
      <c r="K686" t="s">
        <v>517</v>
      </c>
      <c r="L686" t="s">
        <v>536</v>
      </c>
      <c r="M686" t="s">
        <v>546</v>
      </c>
      <c r="N686" t="s">
        <v>520</v>
      </c>
    </row>
    <row r="687" spans="1:15" x14ac:dyDescent="0.35">
      <c r="A687" t="s">
        <v>1253</v>
      </c>
      <c r="B687" t="s">
        <v>545</v>
      </c>
      <c r="C687" t="s">
        <v>599</v>
      </c>
      <c r="D687" t="s">
        <v>539</v>
      </c>
      <c r="E687">
        <v>158593</v>
      </c>
      <c r="F687">
        <v>189811.45</v>
      </c>
      <c r="G687">
        <f>IF(Table13[[#This Row],[Budget_Allocated_INR]]="","",Table13[[#This Row],[Amount_INR]]-Table13[[#This Row],[Budget_Allocated_INR]])</f>
        <v>-31218.450000000012</v>
      </c>
      <c r="H687">
        <v>-31218.45</v>
      </c>
      <c r="I687" s="1">
        <v>45219</v>
      </c>
      <c r="J687" t="s">
        <v>526</v>
      </c>
      <c r="K687" t="s">
        <v>560</v>
      </c>
      <c r="L687" t="s">
        <v>518</v>
      </c>
      <c r="M687" t="s">
        <v>537</v>
      </c>
      <c r="N687" t="s">
        <v>520</v>
      </c>
    </row>
    <row r="688" spans="1:15" x14ac:dyDescent="0.35">
      <c r="A688" t="s">
        <v>1254</v>
      </c>
      <c r="B688" t="s">
        <v>576</v>
      </c>
      <c r="C688" t="s">
        <v>586</v>
      </c>
      <c r="D688" t="s">
        <v>559</v>
      </c>
      <c r="E688">
        <v>22033</v>
      </c>
      <c r="F688">
        <v>26884.92</v>
      </c>
      <c r="G688">
        <f>IF(Table13[[#This Row],[Budget_Allocated_INR]]="","",Table13[[#This Row],[Amount_INR]]-Table13[[#This Row],[Budget_Allocated_INR]])</f>
        <v>-4851.9199999999983</v>
      </c>
      <c r="H688">
        <v>-4851.92</v>
      </c>
      <c r="I688" s="1">
        <v>45200</v>
      </c>
      <c r="J688" t="s">
        <v>526</v>
      </c>
      <c r="K688" t="s">
        <v>560</v>
      </c>
      <c r="L688" t="s">
        <v>518</v>
      </c>
      <c r="M688" t="s">
        <v>537</v>
      </c>
      <c r="N688" t="s">
        <v>520</v>
      </c>
    </row>
    <row r="689" spans="1:15" x14ac:dyDescent="0.35">
      <c r="A689" t="s">
        <v>1255</v>
      </c>
      <c r="B689" t="s">
        <v>576</v>
      </c>
      <c r="C689" t="s">
        <v>624</v>
      </c>
      <c r="D689" t="s">
        <v>532</v>
      </c>
      <c r="E689">
        <v>122344</v>
      </c>
      <c r="F689">
        <v>98440.35</v>
      </c>
      <c r="G689">
        <f>IF(Table13[[#This Row],[Budget_Allocated_INR]]="","",Table13[[#This Row],[Amount_INR]]-Table13[[#This Row],[Budget_Allocated_INR]])</f>
        <v>23903.649999999994</v>
      </c>
      <c r="H689">
        <v>23903.65</v>
      </c>
      <c r="I689" s="1">
        <v>45404</v>
      </c>
      <c r="J689" t="s">
        <v>516</v>
      </c>
      <c r="K689" t="s">
        <v>560</v>
      </c>
      <c r="L689" t="s">
        <v>536</v>
      </c>
      <c r="M689" t="s">
        <v>537</v>
      </c>
      <c r="N689" t="s">
        <v>520</v>
      </c>
    </row>
    <row r="690" spans="1:15" x14ac:dyDescent="0.35">
      <c r="A690" t="s">
        <v>1256</v>
      </c>
      <c r="B690" t="s">
        <v>545</v>
      </c>
      <c r="C690" t="s">
        <v>562</v>
      </c>
      <c r="D690" t="s">
        <v>553</v>
      </c>
      <c r="E690">
        <v>214170</v>
      </c>
      <c r="F690">
        <v>193322.14</v>
      </c>
      <c r="G690">
        <f>IF(Table13[[#This Row],[Budget_Allocated_INR]]="","",Table13[[#This Row],[Amount_INR]]-Table13[[#This Row],[Budget_Allocated_INR]])</f>
        <v>20847.859999999986</v>
      </c>
      <c r="H690">
        <v>20847.86</v>
      </c>
      <c r="I690" s="1">
        <v>45066</v>
      </c>
      <c r="J690" t="s">
        <v>526</v>
      </c>
      <c r="K690" t="s">
        <v>517</v>
      </c>
      <c r="L690" t="s">
        <v>518</v>
      </c>
      <c r="M690" t="s">
        <v>537</v>
      </c>
      <c r="N690" t="s">
        <v>520</v>
      </c>
    </row>
    <row r="691" spans="1:15" x14ac:dyDescent="0.35">
      <c r="A691" t="s">
        <v>1257</v>
      </c>
      <c r="B691" t="s">
        <v>576</v>
      </c>
      <c r="C691" t="s">
        <v>543</v>
      </c>
      <c r="D691" t="s">
        <v>584</v>
      </c>
      <c r="E691">
        <v>3822383</v>
      </c>
      <c r="F691">
        <v>3168723.63</v>
      </c>
      <c r="G691">
        <f>IF(Table13[[#This Row],[Budget_Allocated_INR]]="","",Table13[[#This Row],[Amount_INR]]-Table13[[#This Row],[Budget_Allocated_INR]])</f>
        <v>653659.37000000011</v>
      </c>
      <c r="H691">
        <v>653659.37</v>
      </c>
      <c r="I691" s="1">
        <v>45348</v>
      </c>
      <c r="J691" t="s">
        <v>526</v>
      </c>
      <c r="K691" t="s">
        <v>540</v>
      </c>
      <c r="L691" t="s">
        <v>518</v>
      </c>
      <c r="M691" t="s">
        <v>537</v>
      </c>
      <c r="N691" t="s">
        <v>520</v>
      </c>
    </row>
    <row r="692" spans="1:15" x14ac:dyDescent="0.35">
      <c r="A692" t="s">
        <v>1258</v>
      </c>
      <c r="B692" t="s">
        <v>565</v>
      </c>
      <c r="C692" t="s">
        <v>552</v>
      </c>
      <c r="D692" t="s">
        <v>550</v>
      </c>
      <c r="E692">
        <v>89658</v>
      </c>
      <c r="F692">
        <v>75892.789999999994</v>
      </c>
      <c r="G692">
        <f>IF(Table13[[#This Row],[Budget_Allocated_INR]]="","",Table13[[#This Row],[Amount_INR]]-Table13[[#This Row],[Budget_Allocated_INR]])</f>
        <v>13765.210000000006</v>
      </c>
      <c r="H692">
        <v>13765.21</v>
      </c>
      <c r="I692" s="1">
        <v>45594</v>
      </c>
      <c r="J692" t="s">
        <v>526</v>
      </c>
      <c r="K692" t="s">
        <v>527</v>
      </c>
      <c r="L692" t="s">
        <v>536</v>
      </c>
      <c r="M692" t="s">
        <v>537</v>
      </c>
      <c r="N692" t="s">
        <v>520</v>
      </c>
    </row>
    <row r="693" spans="1:15" x14ac:dyDescent="0.35">
      <c r="A693" t="s">
        <v>1259</v>
      </c>
      <c r="B693" t="s">
        <v>530</v>
      </c>
      <c r="C693" t="s">
        <v>624</v>
      </c>
      <c r="D693" t="s">
        <v>550</v>
      </c>
      <c r="E693">
        <v>35480</v>
      </c>
      <c r="F693">
        <v>46114.75</v>
      </c>
      <c r="G693">
        <f>IF(Table13[[#This Row],[Budget_Allocated_INR]]="","",Table13[[#This Row],[Amount_INR]]-Table13[[#This Row],[Budget_Allocated_INR]])</f>
        <v>-10634.75</v>
      </c>
      <c r="H693">
        <v>-10634.75</v>
      </c>
      <c r="I693" s="1">
        <v>45701</v>
      </c>
      <c r="J693" t="s">
        <v>516</v>
      </c>
      <c r="K693" t="s">
        <v>517</v>
      </c>
      <c r="L693" t="s">
        <v>536</v>
      </c>
      <c r="M693" t="s">
        <v>537</v>
      </c>
      <c r="N693" t="s">
        <v>520</v>
      </c>
    </row>
    <row r="694" spans="1:15" x14ac:dyDescent="0.35">
      <c r="A694" t="s">
        <v>1260</v>
      </c>
      <c r="B694" t="s">
        <v>534</v>
      </c>
      <c r="C694" t="s">
        <v>549</v>
      </c>
      <c r="D694" t="s">
        <v>515</v>
      </c>
      <c r="E694">
        <v>310632</v>
      </c>
      <c r="F694">
        <v>250617.47</v>
      </c>
      <c r="G694">
        <f>IF(Table13[[#This Row],[Budget_Allocated_INR]]="","",Table13[[#This Row],[Amount_INR]]-Table13[[#This Row],[Budget_Allocated_INR]])</f>
        <v>60014.53</v>
      </c>
      <c r="H694">
        <v>60014.53</v>
      </c>
      <c r="I694" s="1">
        <v>45128</v>
      </c>
      <c r="J694" t="s">
        <v>526</v>
      </c>
      <c r="K694" t="s">
        <v>560</v>
      </c>
      <c r="L694" t="s">
        <v>518</v>
      </c>
      <c r="M694" t="s">
        <v>568</v>
      </c>
      <c r="N694" t="s">
        <v>520</v>
      </c>
    </row>
    <row r="695" spans="1:15" x14ac:dyDescent="0.35">
      <c r="A695" t="s">
        <v>1261</v>
      </c>
      <c r="B695" t="s">
        <v>523</v>
      </c>
      <c r="C695" t="s">
        <v>524</v>
      </c>
      <c r="D695" t="s">
        <v>571</v>
      </c>
      <c r="E695">
        <v>424438</v>
      </c>
      <c r="F695">
        <v>494028.26</v>
      </c>
      <c r="G695">
        <f>IF(Table13[[#This Row],[Budget_Allocated_INR]]="","",Table13[[#This Row],[Amount_INR]]-Table13[[#This Row],[Budget_Allocated_INR]])</f>
        <v>-69590.260000000009</v>
      </c>
      <c r="H695">
        <v>-69590.259999999995</v>
      </c>
      <c r="I695" s="1">
        <v>45172</v>
      </c>
      <c r="J695" t="s">
        <v>526</v>
      </c>
      <c r="K695" t="s">
        <v>517</v>
      </c>
      <c r="L695" t="s">
        <v>518</v>
      </c>
      <c r="M695" t="s">
        <v>537</v>
      </c>
      <c r="N695" t="s">
        <v>520</v>
      </c>
    </row>
    <row r="696" spans="1:15" x14ac:dyDescent="0.35">
      <c r="A696" t="s">
        <v>1262</v>
      </c>
      <c r="B696" t="s">
        <v>534</v>
      </c>
      <c r="C696" t="s">
        <v>524</v>
      </c>
      <c r="D696" t="s">
        <v>571</v>
      </c>
      <c r="E696">
        <v>22535</v>
      </c>
      <c r="G696" t="str">
        <f>IF(Table13[[#This Row],[Budget_Allocated_INR]]="","",Table13[[#This Row],[Amount_INR]]-Table13[[#This Row],[Budget_Allocated_INR]])</f>
        <v/>
      </c>
      <c r="H696">
        <v>4387.13</v>
      </c>
      <c r="I696" s="1">
        <v>45444</v>
      </c>
      <c r="J696" t="s">
        <v>526</v>
      </c>
      <c r="K696" t="s">
        <v>560</v>
      </c>
      <c r="L696" t="s">
        <v>536</v>
      </c>
      <c r="M696" t="s">
        <v>519</v>
      </c>
      <c r="N696" t="s">
        <v>520</v>
      </c>
    </row>
    <row r="697" spans="1:15" x14ac:dyDescent="0.35">
      <c r="A697" t="s">
        <v>1263</v>
      </c>
      <c r="B697" t="s">
        <v>548</v>
      </c>
      <c r="C697" t="s">
        <v>531</v>
      </c>
      <c r="D697" t="s">
        <v>550</v>
      </c>
      <c r="E697">
        <v>3850812</v>
      </c>
      <c r="F697">
        <v>3234335.68</v>
      </c>
      <c r="G697">
        <f>IF(Table13[[#This Row],[Budget_Allocated_INR]]="","",Table13[[#This Row],[Amount_INR]]-Table13[[#This Row],[Budget_Allocated_INR]])</f>
        <v>616476.31999999983</v>
      </c>
      <c r="H697">
        <v>616476.31999999995</v>
      </c>
      <c r="I697" s="1">
        <v>45674</v>
      </c>
      <c r="J697" t="s">
        <v>526</v>
      </c>
      <c r="K697" t="s">
        <v>540</v>
      </c>
      <c r="L697" t="s">
        <v>536</v>
      </c>
      <c r="M697" t="s">
        <v>537</v>
      </c>
      <c r="N697" t="s">
        <v>520</v>
      </c>
    </row>
    <row r="698" spans="1:15" x14ac:dyDescent="0.35">
      <c r="A698" t="s">
        <v>1264</v>
      </c>
      <c r="B698" t="s">
        <v>534</v>
      </c>
      <c r="C698" t="s">
        <v>549</v>
      </c>
      <c r="D698" t="s">
        <v>605</v>
      </c>
      <c r="E698">
        <v>185774</v>
      </c>
      <c r="F698">
        <v>195983.52</v>
      </c>
      <c r="G698">
        <f>IF(Table13[[#This Row],[Budget_Allocated_INR]]="","",Table13[[#This Row],[Amount_INR]]-Table13[[#This Row],[Budget_Allocated_INR]])</f>
        <v>-10209.51999999999</v>
      </c>
      <c r="H698">
        <v>-10209.52</v>
      </c>
      <c r="I698" s="1">
        <v>45642</v>
      </c>
      <c r="J698" t="s">
        <v>526</v>
      </c>
      <c r="K698" t="s">
        <v>527</v>
      </c>
      <c r="L698" t="s">
        <v>536</v>
      </c>
      <c r="M698" t="s">
        <v>554</v>
      </c>
      <c r="N698" t="s">
        <v>520</v>
      </c>
    </row>
    <row r="699" spans="1:15" x14ac:dyDescent="0.35">
      <c r="A699" t="s">
        <v>1265</v>
      </c>
      <c r="B699" t="s">
        <v>565</v>
      </c>
      <c r="C699" t="s">
        <v>558</v>
      </c>
      <c r="D699" t="s">
        <v>634</v>
      </c>
      <c r="E699">
        <v>198986</v>
      </c>
      <c r="F699">
        <v>239082.26</v>
      </c>
      <c r="G699">
        <f>IF(Table13[[#This Row],[Budget_Allocated_INR]]="","",Table13[[#This Row],[Amount_INR]]-Table13[[#This Row],[Budget_Allocated_INR]])</f>
        <v>-40096.260000000009</v>
      </c>
      <c r="H699">
        <v>-40096.26</v>
      </c>
      <c r="I699" s="1">
        <v>45659</v>
      </c>
      <c r="J699" t="s">
        <v>526</v>
      </c>
      <c r="K699" t="s">
        <v>517</v>
      </c>
      <c r="L699" t="s">
        <v>536</v>
      </c>
      <c r="M699" t="s">
        <v>554</v>
      </c>
      <c r="N699" t="s">
        <v>520</v>
      </c>
    </row>
    <row r="700" spans="1:15" x14ac:dyDescent="0.35">
      <c r="A700" t="s">
        <v>1266</v>
      </c>
      <c r="B700" t="s">
        <v>548</v>
      </c>
      <c r="C700" t="s">
        <v>586</v>
      </c>
      <c r="D700" t="s">
        <v>584</v>
      </c>
      <c r="E700">
        <v>219434</v>
      </c>
      <c r="G700" t="str">
        <f>IF(Table13[[#This Row],[Budget_Allocated_INR]]="","",Table13[[#This Row],[Amount_INR]]-Table13[[#This Row],[Budget_Allocated_INR]])</f>
        <v/>
      </c>
      <c r="H700">
        <v>-44566.7</v>
      </c>
      <c r="I700" s="1">
        <v>45337</v>
      </c>
      <c r="J700" t="s">
        <v>526</v>
      </c>
      <c r="K700" t="s">
        <v>527</v>
      </c>
      <c r="L700" t="s">
        <v>518</v>
      </c>
      <c r="M700" t="s">
        <v>537</v>
      </c>
      <c r="N700" t="s">
        <v>520</v>
      </c>
    </row>
    <row r="701" spans="1:15" x14ac:dyDescent="0.35">
      <c r="A701" t="s">
        <v>1267</v>
      </c>
      <c r="B701" t="s">
        <v>565</v>
      </c>
      <c r="C701" t="s">
        <v>581</v>
      </c>
      <c r="D701" t="s">
        <v>539</v>
      </c>
      <c r="E701">
        <v>459002</v>
      </c>
      <c r="F701">
        <v>515040.04</v>
      </c>
      <c r="G701">
        <f>IF(Table13[[#This Row],[Budget_Allocated_INR]]="","",Table13[[#This Row],[Amount_INR]]-Table13[[#This Row],[Budget_Allocated_INR]])</f>
        <v>-56038.039999999979</v>
      </c>
      <c r="H701">
        <v>-56038.04</v>
      </c>
      <c r="I701" s="1">
        <v>45293</v>
      </c>
      <c r="J701" t="s">
        <v>526</v>
      </c>
      <c r="K701" t="s">
        <v>517</v>
      </c>
      <c r="L701" t="s">
        <v>518</v>
      </c>
      <c r="M701" t="s">
        <v>537</v>
      </c>
      <c r="N701" t="s">
        <v>520</v>
      </c>
    </row>
    <row r="702" spans="1:15" x14ac:dyDescent="0.35">
      <c r="A702" t="s">
        <v>1268</v>
      </c>
      <c r="B702" t="s">
        <v>548</v>
      </c>
      <c r="C702" t="s">
        <v>549</v>
      </c>
      <c r="D702" t="s">
        <v>593</v>
      </c>
      <c r="E702">
        <v>279796</v>
      </c>
      <c r="F702">
        <v>340405.24</v>
      </c>
      <c r="G702">
        <f>IF(Table13[[#This Row],[Budget_Allocated_INR]]="","",Table13[[#This Row],[Amount_INR]]-Table13[[#This Row],[Budget_Allocated_INR]])</f>
        <v>-60609.239999999991</v>
      </c>
      <c r="H702">
        <v>-60609.24</v>
      </c>
      <c r="I702" s="1">
        <v>45436</v>
      </c>
      <c r="J702" t="s">
        <v>526</v>
      </c>
      <c r="K702" t="s">
        <v>540</v>
      </c>
      <c r="L702" t="s">
        <v>536</v>
      </c>
      <c r="M702" t="s">
        <v>568</v>
      </c>
      <c r="N702" t="s">
        <v>520</v>
      </c>
    </row>
    <row r="703" spans="1:15" x14ac:dyDescent="0.35">
      <c r="A703" t="s">
        <v>1269</v>
      </c>
      <c r="B703" t="s">
        <v>548</v>
      </c>
      <c r="C703" t="s">
        <v>549</v>
      </c>
      <c r="D703" t="s">
        <v>525</v>
      </c>
      <c r="E703">
        <v>130966</v>
      </c>
      <c r="F703">
        <v>160856.99</v>
      </c>
      <c r="G703">
        <f>IF(Table13[[#This Row],[Budget_Allocated_INR]]="","",Table13[[#This Row],[Amount_INR]]-Table13[[#This Row],[Budget_Allocated_INR]])</f>
        <v>-29890.989999999991</v>
      </c>
      <c r="H703">
        <v>-29890.99</v>
      </c>
      <c r="I703" s="1">
        <v>45641</v>
      </c>
      <c r="J703" t="s">
        <v>526</v>
      </c>
      <c r="K703" t="s">
        <v>540</v>
      </c>
      <c r="L703" t="s">
        <v>536</v>
      </c>
      <c r="M703" t="s">
        <v>537</v>
      </c>
      <c r="N703" t="s">
        <v>520</v>
      </c>
    </row>
    <row r="704" spans="1:15" x14ac:dyDescent="0.35">
      <c r="A704" t="s">
        <v>1270</v>
      </c>
      <c r="B704" t="s">
        <v>523</v>
      </c>
      <c r="C704" t="s">
        <v>552</v>
      </c>
      <c r="D704" t="s">
        <v>584</v>
      </c>
      <c r="E704">
        <v>436714</v>
      </c>
      <c r="F704">
        <v>541586.1</v>
      </c>
      <c r="G704">
        <f>IF(Table13[[#This Row],[Budget_Allocated_INR]]="","",Table13[[#This Row],[Amount_INR]]-Table13[[#This Row],[Budget_Allocated_INR]])</f>
        <v>-104872.09999999998</v>
      </c>
      <c r="H704">
        <v>-104872.1</v>
      </c>
      <c r="I704" s="1">
        <v>45029</v>
      </c>
      <c r="J704" t="s">
        <v>516</v>
      </c>
      <c r="K704" t="s">
        <v>517</v>
      </c>
      <c r="L704" t="s">
        <v>518</v>
      </c>
      <c r="M704" t="s">
        <v>537</v>
      </c>
      <c r="N704" t="s">
        <v>520</v>
      </c>
      <c r="O704" t="s">
        <v>521</v>
      </c>
    </row>
    <row r="705" spans="1:15" x14ac:dyDescent="0.35">
      <c r="A705" t="s">
        <v>1271</v>
      </c>
      <c r="B705" t="s">
        <v>576</v>
      </c>
      <c r="C705" t="s">
        <v>514</v>
      </c>
      <c r="D705" t="s">
        <v>525</v>
      </c>
      <c r="E705">
        <v>470117</v>
      </c>
      <c r="F705">
        <v>426638.91</v>
      </c>
      <c r="G705">
        <f>IF(Table13[[#This Row],[Budget_Allocated_INR]]="","",Table13[[#This Row],[Amount_INR]]-Table13[[#This Row],[Budget_Allocated_INR]])</f>
        <v>43478.090000000026</v>
      </c>
      <c r="H705">
        <v>43478.09</v>
      </c>
      <c r="I705" s="1">
        <v>45466</v>
      </c>
      <c r="J705" t="s">
        <v>526</v>
      </c>
      <c r="K705" t="s">
        <v>527</v>
      </c>
      <c r="L705" t="s">
        <v>536</v>
      </c>
      <c r="M705" t="s">
        <v>537</v>
      </c>
      <c r="N705" t="s">
        <v>520</v>
      </c>
    </row>
    <row r="706" spans="1:15" x14ac:dyDescent="0.35">
      <c r="A706" t="s">
        <v>1272</v>
      </c>
      <c r="B706" t="s">
        <v>523</v>
      </c>
      <c r="C706" t="s">
        <v>543</v>
      </c>
      <c r="D706" t="s">
        <v>535</v>
      </c>
      <c r="E706">
        <v>421801</v>
      </c>
      <c r="F706">
        <v>542788.9</v>
      </c>
      <c r="G706">
        <f>IF(Table13[[#This Row],[Budget_Allocated_INR]]="","",Table13[[#This Row],[Amount_INR]]-Table13[[#This Row],[Budget_Allocated_INR]])</f>
        <v>-120987.90000000002</v>
      </c>
      <c r="I706" s="1">
        <v>45598</v>
      </c>
      <c r="J706" t="s">
        <v>526</v>
      </c>
      <c r="K706" t="s">
        <v>527</v>
      </c>
      <c r="L706" t="s">
        <v>536</v>
      </c>
      <c r="M706" t="s">
        <v>537</v>
      </c>
      <c r="N706" t="s">
        <v>520</v>
      </c>
    </row>
    <row r="707" spans="1:15" x14ac:dyDescent="0.35">
      <c r="A707" t="s">
        <v>1273</v>
      </c>
      <c r="B707" t="s">
        <v>545</v>
      </c>
      <c r="C707" t="s">
        <v>586</v>
      </c>
      <c r="D707" t="s">
        <v>532</v>
      </c>
      <c r="E707">
        <v>45851</v>
      </c>
      <c r="F707">
        <v>38583.03</v>
      </c>
      <c r="G707">
        <f>IF(Table13[[#This Row],[Budget_Allocated_INR]]="","",Table13[[#This Row],[Amount_INR]]-Table13[[#This Row],[Budget_Allocated_INR]])</f>
        <v>7267.9700000000012</v>
      </c>
      <c r="H707">
        <v>7267.97</v>
      </c>
      <c r="I707" s="1">
        <v>45018</v>
      </c>
      <c r="J707" t="s">
        <v>526</v>
      </c>
      <c r="K707" t="s">
        <v>527</v>
      </c>
      <c r="L707" t="s">
        <v>518</v>
      </c>
      <c r="M707" t="s">
        <v>546</v>
      </c>
      <c r="N707" t="s">
        <v>520</v>
      </c>
    </row>
    <row r="708" spans="1:15" x14ac:dyDescent="0.35">
      <c r="A708" t="s">
        <v>1274</v>
      </c>
      <c r="B708" t="s">
        <v>545</v>
      </c>
      <c r="C708" t="s">
        <v>558</v>
      </c>
      <c r="D708" t="s">
        <v>571</v>
      </c>
      <c r="E708">
        <v>53313</v>
      </c>
      <c r="F708">
        <v>50666.5</v>
      </c>
      <c r="G708">
        <f>IF(Table13[[#This Row],[Budget_Allocated_INR]]="","",Table13[[#This Row],[Amount_INR]]-Table13[[#This Row],[Budget_Allocated_INR]])</f>
        <v>2646.5</v>
      </c>
      <c r="H708">
        <v>2646.5</v>
      </c>
      <c r="I708" s="1">
        <v>44996</v>
      </c>
      <c r="J708" t="s">
        <v>526</v>
      </c>
      <c r="K708" t="s">
        <v>560</v>
      </c>
      <c r="L708" t="s">
        <v>541</v>
      </c>
      <c r="M708" t="s">
        <v>537</v>
      </c>
      <c r="N708" t="s">
        <v>520</v>
      </c>
    </row>
    <row r="709" spans="1:15" x14ac:dyDescent="0.35">
      <c r="A709" t="s">
        <v>1275</v>
      </c>
      <c r="B709" t="s">
        <v>548</v>
      </c>
      <c r="C709" t="s">
        <v>596</v>
      </c>
      <c r="D709" t="s">
        <v>563</v>
      </c>
      <c r="E709">
        <v>452489</v>
      </c>
      <c r="F709">
        <v>461452.81</v>
      </c>
      <c r="G709">
        <f>IF(Table13[[#This Row],[Budget_Allocated_INR]]="","",Table13[[#This Row],[Amount_INR]]-Table13[[#This Row],[Budget_Allocated_INR]])</f>
        <v>-8963.8099999999977</v>
      </c>
      <c r="H709">
        <v>-8963.81</v>
      </c>
      <c r="I709" s="1">
        <v>45636</v>
      </c>
      <c r="J709" t="s">
        <v>526</v>
      </c>
      <c r="K709" t="s">
        <v>560</v>
      </c>
      <c r="L709" t="s">
        <v>536</v>
      </c>
      <c r="M709" t="s">
        <v>568</v>
      </c>
      <c r="N709" t="s">
        <v>520</v>
      </c>
    </row>
    <row r="710" spans="1:15" x14ac:dyDescent="0.35">
      <c r="A710" t="s">
        <v>1276</v>
      </c>
      <c r="B710" t="s">
        <v>545</v>
      </c>
      <c r="C710" t="s">
        <v>531</v>
      </c>
      <c r="D710" t="s">
        <v>563</v>
      </c>
      <c r="E710">
        <v>36246</v>
      </c>
      <c r="F710">
        <v>38737.800000000003</v>
      </c>
      <c r="G710">
        <f>IF(Table13[[#This Row],[Budget_Allocated_INR]]="","",Table13[[#This Row],[Amount_INR]]-Table13[[#This Row],[Budget_Allocated_INR]])</f>
        <v>-2491.8000000000029</v>
      </c>
      <c r="H710">
        <v>-2491.8000000000002</v>
      </c>
      <c r="I710" s="1">
        <v>45132</v>
      </c>
      <c r="J710" t="s">
        <v>526</v>
      </c>
      <c r="K710" t="s">
        <v>517</v>
      </c>
      <c r="L710" t="s">
        <v>518</v>
      </c>
      <c r="M710" t="s">
        <v>537</v>
      </c>
      <c r="N710" t="s">
        <v>520</v>
      </c>
    </row>
    <row r="711" spans="1:15" x14ac:dyDescent="0.35">
      <c r="A711" t="s">
        <v>1277</v>
      </c>
      <c r="B711" t="s">
        <v>565</v>
      </c>
      <c r="C711" t="s">
        <v>586</v>
      </c>
      <c r="D711" t="s">
        <v>593</v>
      </c>
      <c r="E711">
        <v>209996</v>
      </c>
      <c r="F711">
        <v>243691</v>
      </c>
      <c r="G711">
        <f>IF(Table13[[#This Row],[Budget_Allocated_INR]]="","",Table13[[#This Row],[Amount_INR]]-Table13[[#This Row],[Budget_Allocated_INR]])</f>
        <v>-33695</v>
      </c>
      <c r="H711">
        <v>-33695</v>
      </c>
      <c r="I711" s="1">
        <v>45409</v>
      </c>
      <c r="J711" t="s">
        <v>526</v>
      </c>
      <c r="K711" t="s">
        <v>517</v>
      </c>
      <c r="L711" t="s">
        <v>536</v>
      </c>
      <c r="M711" t="s">
        <v>554</v>
      </c>
      <c r="N711" t="s">
        <v>520</v>
      </c>
    </row>
    <row r="712" spans="1:15" x14ac:dyDescent="0.35">
      <c r="A712" t="s">
        <v>1278</v>
      </c>
      <c r="B712" t="s">
        <v>530</v>
      </c>
      <c r="C712" t="s">
        <v>558</v>
      </c>
      <c r="D712" t="s">
        <v>584</v>
      </c>
      <c r="E712">
        <v>113531</v>
      </c>
      <c r="F712">
        <v>133028.99</v>
      </c>
      <c r="G712">
        <f>IF(Table13[[#This Row],[Budget_Allocated_INR]]="","",Table13[[#This Row],[Amount_INR]]-Table13[[#This Row],[Budget_Allocated_INR]])</f>
        <v>-19497.989999999991</v>
      </c>
      <c r="H712">
        <v>-19497.990000000002</v>
      </c>
      <c r="I712" s="1">
        <v>45144</v>
      </c>
      <c r="J712" t="s">
        <v>597</v>
      </c>
      <c r="K712" t="s">
        <v>540</v>
      </c>
      <c r="L712" t="s">
        <v>518</v>
      </c>
      <c r="M712" t="s">
        <v>537</v>
      </c>
      <c r="N712" t="s">
        <v>520</v>
      </c>
    </row>
    <row r="713" spans="1:15" x14ac:dyDescent="0.35">
      <c r="A713" t="s">
        <v>1279</v>
      </c>
      <c r="B713" t="s">
        <v>534</v>
      </c>
      <c r="C713" t="s">
        <v>549</v>
      </c>
      <c r="D713" t="s">
        <v>605</v>
      </c>
      <c r="E713">
        <v>379506</v>
      </c>
      <c r="F713">
        <v>347157.14</v>
      </c>
      <c r="G713">
        <f>IF(Table13[[#This Row],[Budget_Allocated_INR]]="","",Table13[[#This Row],[Amount_INR]]-Table13[[#This Row],[Budget_Allocated_INR]])</f>
        <v>32348.859999999986</v>
      </c>
      <c r="H713">
        <v>32348.86</v>
      </c>
      <c r="I713" s="1">
        <v>45644</v>
      </c>
      <c r="J713" t="s">
        <v>526</v>
      </c>
      <c r="K713" t="s">
        <v>527</v>
      </c>
      <c r="L713" t="s">
        <v>536</v>
      </c>
      <c r="M713" t="s">
        <v>528</v>
      </c>
      <c r="N713" t="s">
        <v>520</v>
      </c>
    </row>
    <row r="714" spans="1:15" x14ac:dyDescent="0.35">
      <c r="A714" t="s">
        <v>1280</v>
      </c>
      <c r="B714" t="s">
        <v>523</v>
      </c>
      <c r="C714" t="s">
        <v>543</v>
      </c>
      <c r="D714" t="s">
        <v>574</v>
      </c>
      <c r="E714">
        <v>339420</v>
      </c>
      <c r="F714">
        <v>365658.17</v>
      </c>
      <c r="G714">
        <f>IF(Table13[[#This Row],[Budget_Allocated_INR]]="","",Table13[[#This Row],[Amount_INR]]-Table13[[#This Row],[Budget_Allocated_INR]])</f>
        <v>-26238.169999999984</v>
      </c>
      <c r="H714">
        <v>-26238.17</v>
      </c>
      <c r="I714" s="1">
        <v>45701</v>
      </c>
      <c r="J714" t="s">
        <v>597</v>
      </c>
      <c r="K714" t="s">
        <v>527</v>
      </c>
      <c r="L714" t="s">
        <v>536</v>
      </c>
      <c r="M714" t="s">
        <v>537</v>
      </c>
      <c r="N714" t="s">
        <v>520</v>
      </c>
      <c r="O714" t="s">
        <v>521</v>
      </c>
    </row>
    <row r="715" spans="1:15" x14ac:dyDescent="0.35">
      <c r="A715" t="s">
        <v>1281</v>
      </c>
      <c r="B715" t="s">
        <v>565</v>
      </c>
      <c r="C715" t="s">
        <v>596</v>
      </c>
      <c r="D715" t="s">
        <v>515</v>
      </c>
      <c r="E715">
        <v>241358</v>
      </c>
      <c r="F715">
        <v>279603.75</v>
      </c>
      <c r="G715">
        <f>IF(Table13[[#This Row],[Budget_Allocated_INR]]="","",Table13[[#This Row],[Amount_INR]]-Table13[[#This Row],[Budget_Allocated_INR]])</f>
        <v>-38245.75</v>
      </c>
      <c r="H715">
        <v>-38245.75</v>
      </c>
      <c r="I715" s="1">
        <v>45417</v>
      </c>
      <c r="J715" t="s">
        <v>526</v>
      </c>
      <c r="K715" t="s">
        <v>540</v>
      </c>
      <c r="L715" t="s">
        <v>536</v>
      </c>
      <c r="M715" t="s">
        <v>528</v>
      </c>
      <c r="N715" t="s">
        <v>520</v>
      </c>
    </row>
    <row r="716" spans="1:15" x14ac:dyDescent="0.35">
      <c r="A716" t="s">
        <v>1282</v>
      </c>
      <c r="B716" t="s">
        <v>565</v>
      </c>
      <c r="C716" t="s">
        <v>543</v>
      </c>
      <c r="D716" t="s">
        <v>563</v>
      </c>
      <c r="E716">
        <v>4553011</v>
      </c>
      <c r="F716">
        <v>5566948.4299999997</v>
      </c>
      <c r="G716">
        <f>IF(Table13[[#This Row],[Budget_Allocated_INR]]="","",Table13[[#This Row],[Amount_INR]]-Table13[[#This Row],[Budget_Allocated_INR]])</f>
        <v>-1013937.4299999997</v>
      </c>
      <c r="H716">
        <v>-1013937.43</v>
      </c>
      <c r="I716" s="1">
        <v>45294</v>
      </c>
      <c r="J716" t="s">
        <v>526</v>
      </c>
      <c r="K716" t="s">
        <v>540</v>
      </c>
      <c r="L716" t="s">
        <v>518</v>
      </c>
      <c r="M716" t="s">
        <v>537</v>
      </c>
      <c r="N716" t="s">
        <v>520</v>
      </c>
    </row>
    <row r="717" spans="1:15" x14ac:dyDescent="0.35">
      <c r="A717" t="s">
        <v>1283</v>
      </c>
      <c r="B717" t="s">
        <v>545</v>
      </c>
      <c r="C717" t="s">
        <v>549</v>
      </c>
      <c r="D717" t="s">
        <v>584</v>
      </c>
      <c r="E717">
        <v>475898</v>
      </c>
      <c r="F717">
        <v>548590.42000000004</v>
      </c>
      <c r="G717">
        <f>IF(Table13[[#This Row],[Budget_Allocated_INR]]="","",Table13[[#This Row],[Amount_INR]]-Table13[[#This Row],[Budget_Allocated_INR]])</f>
        <v>-72692.420000000042</v>
      </c>
      <c r="H717">
        <v>-72692.42</v>
      </c>
      <c r="I717" s="1">
        <v>44982</v>
      </c>
      <c r="J717" t="s">
        <v>526</v>
      </c>
      <c r="K717" t="s">
        <v>540</v>
      </c>
      <c r="L717" t="s">
        <v>541</v>
      </c>
      <c r="M717" t="s">
        <v>537</v>
      </c>
      <c r="N717" t="s">
        <v>520</v>
      </c>
    </row>
    <row r="718" spans="1:15" x14ac:dyDescent="0.35">
      <c r="A718" t="s">
        <v>1284</v>
      </c>
      <c r="B718" t="s">
        <v>545</v>
      </c>
      <c r="C718" t="s">
        <v>524</v>
      </c>
      <c r="D718" t="s">
        <v>559</v>
      </c>
      <c r="E718">
        <v>49983</v>
      </c>
      <c r="G718" t="str">
        <f>IF(Table13[[#This Row],[Budget_Allocated_INR]]="","",Table13[[#This Row],[Amount_INR]]-Table13[[#This Row],[Budget_Allocated_INR]])</f>
        <v/>
      </c>
      <c r="H718">
        <v>-7108.96</v>
      </c>
      <c r="I718" s="1">
        <v>45277</v>
      </c>
      <c r="J718" t="s">
        <v>526</v>
      </c>
      <c r="K718" t="s">
        <v>517</v>
      </c>
      <c r="L718" t="s">
        <v>518</v>
      </c>
      <c r="M718" t="s">
        <v>546</v>
      </c>
      <c r="N718" t="s">
        <v>520</v>
      </c>
    </row>
    <row r="719" spans="1:15" x14ac:dyDescent="0.35">
      <c r="A719" t="s">
        <v>1285</v>
      </c>
      <c r="B719" t="s">
        <v>534</v>
      </c>
      <c r="C719" t="s">
        <v>549</v>
      </c>
      <c r="D719" t="s">
        <v>588</v>
      </c>
      <c r="E719">
        <v>306684</v>
      </c>
      <c r="F719">
        <v>366786.93</v>
      </c>
      <c r="G719">
        <f>IF(Table13[[#This Row],[Budget_Allocated_INR]]="","",Table13[[#This Row],[Amount_INR]]-Table13[[#This Row],[Budget_Allocated_INR]])</f>
        <v>-60102.929999999993</v>
      </c>
      <c r="H719">
        <v>-60102.93</v>
      </c>
      <c r="I719" s="1">
        <v>44947</v>
      </c>
      <c r="J719" t="s">
        <v>526</v>
      </c>
      <c r="K719" t="s">
        <v>540</v>
      </c>
      <c r="L719" t="s">
        <v>541</v>
      </c>
      <c r="M719" t="s">
        <v>546</v>
      </c>
      <c r="N719" t="s">
        <v>520</v>
      </c>
    </row>
    <row r="720" spans="1:15" x14ac:dyDescent="0.35">
      <c r="A720" t="s">
        <v>1286</v>
      </c>
      <c r="B720" t="s">
        <v>523</v>
      </c>
      <c r="C720" t="s">
        <v>543</v>
      </c>
      <c r="D720" t="s">
        <v>553</v>
      </c>
      <c r="E720">
        <v>357162</v>
      </c>
      <c r="F720">
        <v>401350.71</v>
      </c>
      <c r="G720">
        <f>IF(Table13[[#This Row],[Budget_Allocated_INR]]="","",Table13[[#This Row],[Amount_INR]]-Table13[[#This Row],[Budget_Allocated_INR]])</f>
        <v>-44188.710000000021</v>
      </c>
      <c r="H720">
        <v>-44188.71</v>
      </c>
      <c r="I720" s="1">
        <v>45628</v>
      </c>
      <c r="J720" t="s">
        <v>597</v>
      </c>
      <c r="K720" t="s">
        <v>527</v>
      </c>
      <c r="L720" t="s">
        <v>536</v>
      </c>
      <c r="M720" t="s">
        <v>568</v>
      </c>
      <c r="N720" t="s">
        <v>520</v>
      </c>
      <c r="O720" t="s">
        <v>521</v>
      </c>
    </row>
    <row r="721" spans="1:15" x14ac:dyDescent="0.35">
      <c r="A721" t="s">
        <v>1287</v>
      </c>
      <c r="B721" t="s">
        <v>545</v>
      </c>
      <c r="C721" t="s">
        <v>581</v>
      </c>
      <c r="D721" t="s">
        <v>563</v>
      </c>
      <c r="E721">
        <v>135756</v>
      </c>
      <c r="F721">
        <v>171145.25</v>
      </c>
      <c r="G721">
        <f>IF(Table13[[#This Row],[Budget_Allocated_INR]]="","",Table13[[#This Row],[Amount_INR]]-Table13[[#This Row],[Budget_Allocated_INR]])</f>
        <v>-35389.25</v>
      </c>
      <c r="H721">
        <v>-35389.25</v>
      </c>
      <c r="I721" s="1">
        <v>44960</v>
      </c>
      <c r="J721" t="s">
        <v>526</v>
      </c>
      <c r="K721" t="s">
        <v>540</v>
      </c>
      <c r="L721" t="s">
        <v>541</v>
      </c>
      <c r="M721" t="s">
        <v>537</v>
      </c>
      <c r="N721" t="s">
        <v>520</v>
      </c>
    </row>
    <row r="722" spans="1:15" x14ac:dyDescent="0.35">
      <c r="A722" t="s">
        <v>1288</v>
      </c>
      <c r="B722" t="s">
        <v>545</v>
      </c>
      <c r="C722" t="s">
        <v>581</v>
      </c>
      <c r="D722" t="s">
        <v>535</v>
      </c>
      <c r="E722">
        <v>-454060</v>
      </c>
      <c r="F722">
        <v>541468.72</v>
      </c>
      <c r="G722">
        <f>IF(Table13[[#This Row],[Budget_Allocated_INR]]="","",Table13[[#This Row],[Amount_INR]]-Table13[[#This Row],[Budget_Allocated_INR]])</f>
        <v>-995528.72</v>
      </c>
      <c r="H722">
        <v>-87408.72</v>
      </c>
      <c r="I722" s="1">
        <v>45090</v>
      </c>
      <c r="J722" t="s">
        <v>526</v>
      </c>
      <c r="K722" t="s">
        <v>527</v>
      </c>
      <c r="L722" t="s">
        <v>518</v>
      </c>
      <c r="M722" t="s">
        <v>537</v>
      </c>
      <c r="N722" t="s">
        <v>582</v>
      </c>
    </row>
    <row r="723" spans="1:15" x14ac:dyDescent="0.35">
      <c r="A723" t="s">
        <v>1289</v>
      </c>
      <c r="B723" t="s">
        <v>523</v>
      </c>
      <c r="C723" t="s">
        <v>549</v>
      </c>
      <c r="D723" t="s">
        <v>571</v>
      </c>
      <c r="E723">
        <v>180981</v>
      </c>
      <c r="F723">
        <v>202962.35</v>
      </c>
      <c r="G723">
        <f>IF(Table13[[#This Row],[Budget_Allocated_INR]]="","",Table13[[#This Row],[Amount_INR]]-Table13[[#This Row],[Budget_Allocated_INR]])</f>
        <v>-21981.350000000006</v>
      </c>
      <c r="H723">
        <v>-21981.35</v>
      </c>
      <c r="I723" s="1">
        <v>45295</v>
      </c>
      <c r="J723" t="s">
        <v>516</v>
      </c>
      <c r="K723" t="s">
        <v>560</v>
      </c>
      <c r="L723" t="s">
        <v>518</v>
      </c>
      <c r="M723" t="s">
        <v>554</v>
      </c>
      <c r="N723" t="s">
        <v>520</v>
      </c>
    </row>
    <row r="724" spans="1:15" x14ac:dyDescent="0.35">
      <c r="A724" t="s">
        <v>1290</v>
      </c>
      <c r="B724" t="s">
        <v>545</v>
      </c>
      <c r="C724" t="s">
        <v>599</v>
      </c>
      <c r="D724" t="s">
        <v>588</v>
      </c>
      <c r="E724">
        <v>217431</v>
      </c>
      <c r="F724">
        <v>192943.18</v>
      </c>
      <c r="G724">
        <f>IF(Table13[[#This Row],[Budget_Allocated_INR]]="","",Table13[[#This Row],[Amount_INR]]-Table13[[#This Row],[Budget_Allocated_INR]])</f>
        <v>24487.820000000007</v>
      </c>
      <c r="H724">
        <v>24487.82</v>
      </c>
      <c r="I724" s="1">
        <v>45552</v>
      </c>
      <c r="J724" t="s">
        <v>526</v>
      </c>
      <c r="K724" t="s">
        <v>517</v>
      </c>
      <c r="L724" t="s">
        <v>536</v>
      </c>
      <c r="M724" t="s">
        <v>554</v>
      </c>
      <c r="N724" t="s">
        <v>520</v>
      </c>
    </row>
    <row r="725" spans="1:15" x14ac:dyDescent="0.35">
      <c r="A725" t="s">
        <v>1291</v>
      </c>
      <c r="B725" t="s">
        <v>548</v>
      </c>
      <c r="C725" t="s">
        <v>596</v>
      </c>
      <c r="D725" t="s">
        <v>593</v>
      </c>
      <c r="E725">
        <v>456859</v>
      </c>
      <c r="F725">
        <v>418180.83</v>
      </c>
      <c r="G725">
        <f>IF(Table13[[#This Row],[Budget_Allocated_INR]]="","",Table13[[#This Row],[Amount_INR]]-Table13[[#This Row],[Budget_Allocated_INR]])</f>
        <v>38678.169999999984</v>
      </c>
      <c r="H725">
        <v>38678.17</v>
      </c>
      <c r="I725" s="1">
        <v>45520</v>
      </c>
      <c r="J725" t="s">
        <v>526</v>
      </c>
      <c r="K725" t="s">
        <v>540</v>
      </c>
      <c r="L725" t="s">
        <v>536</v>
      </c>
      <c r="M725" t="s">
        <v>537</v>
      </c>
      <c r="N725" t="s">
        <v>520</v>
      </c>
    </row>
    <row r="726" spans="1:15" x14ac:dyDescent="0.35">
      <c r="A726" t="s">
        <v>1292</v>
      </c>
      <c r="B726" t="s">
        <v>530</v>
      </c>
      <c r="C726" t="s">
        <v>531</v>
      </c>
      <c r="D726" t="s">
        <v>584</v>
      </c>
      <c r="E726">
        <v>138304</v>
      </c>
      <c r="F726">
        <v>121588.97</v>
      </c>
      <c r="G726">
        <f>IF(Table13[[#This Row],[Budget_Allocated_INR]]="","",Table13[[#This Row],[Amount_INR]]-Table13[[#This Row],[Budget_Allocated_INR]])</f>
        <v>16715.03</v>
      </c>
      <c r="I726" s="1">
        <v>45181</v>
      </c>
      <c r="J726" t="s">
        <v>526</v>
      </c>
      <c r="K726" t="s">
        <v>517</v>
      </c>
      <c r="L726" t="s">
        <v>518</v>
      </c>
      <c r="M726" t="s">
        <v>537</v>
      </c>
      <c r="N726" t="s">
        <v>520</v>
      </c>
    </row>
    <row r="727" spans="1:15" x14ac:dyDescent="0.35">
      <c r="A727" t="s">
        <v>1293</v>
      </c>
      <c r="B727" t="s">
        <v>545</v>
      </c>
      <c r="C727" t="s">
        <v>549</v>
      </c>
      <c r="D727" t="s">
        <v>535</v>
      </c>
      <c r="E727">
        <v>257469</v>
      </c>
      <c r="F727">
        <v>258131.14</v>
      </c>
      <c r="G727">
        <f>IF(Table13[[#This Row],[Budget_Allocated_INR]]="","",Table13[[#This Row],[Amount_INR]]-Table13[[#This Row],[Budget_Allocated_INR]])</f>
        <v>-662.14000000001397</v>
      </c>
      <c r="I727" s="1">
        <v>45499</v>
      </c>
      <c r="J727" t="s">
        <v>526</v>
      </c>
      <c r="K727" t="s">
        <v>560</v>
      </c>
      <c r="L727" t="s">
        <v>536</v>
      </c>
      <c r="M727" t="s">
        <v>528</v>
      </c>
      <c r="N727" t="s">
        <v>520</v>
      </c>
    </row>
    <row r="728" spans="1:15" x14ac:dyDescent="0.35">
      <c r="A728" t="s">
        <v>1294</v>
      </c>
      <c r="B728" t="s">
        <v>534</v>
      </c>
      <c r="C728" t="s">
        <v>552</v>
      </c>
      <c r="D728" t="s">
        <v>515</v>
      </c>
      <c r="E728">
        <v>492950</v>
      </c>
      <c r="F728">
        <v>504226</v>
      </c>
      <c r="G728">
        <f>IF(Table13[[#This Row],[Budget_Allocated_INR]]="","",Table13[[#This Row],[Amount_INR]]-Table13[[#This Row],[Budget_Allocated_INR]])</f>
        <v>-11276</v>
      </c>
      <c r="H728">
        <v>-11276</v>
      </c>
      <c r="I728" s="1">
        <v>45692</v>
      </c>
      <c r="J728" t="s">
        <v>526</v>
      </c>
      <c r="K728" t="s">
        <v>517</v>
      </c>
      <c r="L728" t="s">
        <v>536</v>
      </c>
      <c r="M728" t="s">
        <v>537</v>
      </c>
      <c r="N728" t="s">
        <v>520</v>
      </c>
    </row>
    <row r="729" spans="1:15" x14ac:dyDescent="0.35">
      <c r="A729" t="s">
        <v>1295</v>
      </c>
      <c r="B729" t="s">
        <v>576</v>
      </c>
      <c r="C729" t="s">
        <v>514</v>
      </c>
      <c r="D729" t="s">
        <v>550</v>
      </c>
      <c r="E729">
        <v>495963</v>
      </c>
      <c r="F729">
        <v>486284.39</v>
      </c>
      <c r="G729">
        <f>IF(Table13[[#This Row],[Budget_Allocated_INR]]="","",Table13[[#This Row],[Amount_INR]]-Table13[[#This Row],[Budget_Allocated_INR]])</f>
        <v>9678.609999999986</v>
      </c>
      <c r="H729">
        <v>9678.61</v>
      </c>
      <c r="I729" s="1">
        <v>45448</v>
      </c>
      <c r="J729" t="s">
        <v>526</v>
      </c>
      <c r="K729" t="s">
        <v>517</v>
      </c>
      <c r="L729" t="s">
        <v>536</v>
      </c>
      <c r="M729" t="s">
        <v>537</v>
      </c>
      <c r="N729" t="s">
        <v>520</v>
      </c>
    </row>
    <row r="730" spans="1:15" x14ac:dyDescent="0.35">
      <c r="A730" t="s">
        <v>1296</v>
      </c>
      <c r="B730" t="s">
        <v>523</v>
      </c>
      <c r="C730" t="s">
        <v>596</v>
      </c>
      <c r="D730" t="s">
        <v>588</v>
      </c>
      <c r="E730">
        <v>215775</v>
      </c>
      <c r="F730">
        <v>205206.27</v>
      </c>
      <c r="G730">
        <f>IF(Table13[[#This Row],[Budget_Allocated_INR]]="","",Table13[[#This Row],[Amount_INR]]-Table13[[#This Row],[Budget_Allocated_INR]])</f>
        <v>10568.73000000001</v>
      </c>
      <c r="H730">
        <v>10568.73</v>
      </c>
      <c r="I730" s="1">
        <v>45498</v>
      </c>
      <c r="J730" t="s">
        <v>516</v>
      </c>
      <c r="K730" t="s">
        <v>540</v>
      </c>
      <c r="L730" t="s">
        <v>536</v>
      </c>
      <c r="M730" t="s">
        <v>519</v>
      </c>
      <c r="N730" t="s">
        <v>520</v>
      </c>
      <c r="O730" t="s">
        <v>521</v>
      </c>
    </row>
    <row r="731" spans="1:15" x14ac:dyDescent="0.35">
      <c r="A731" t="s">
        <v>1297</v>
      </c>
      <c r="B731" t="s">
        <v>565</v>
      </c>
      <c r="C731" t="s">
        <v>581</v>
      </c>
      <c r="D731" t="s">
        <v>532</v>
      </c>
      <c r="E731">
        <v>3987139</v>
      </c>
      <c r="F731">
        <v>3613274.29</v>
      </c>
      <c r="G731">
        <f>IF(Table13[[#This Row],[Budget_Allocated_INR]]="","",Table13[[#This Row],[Amount_INR]]-Table13[[#This Row],[Budget_Allocated_INR]])</f>
        <v>373864.70999999996</v>
      </c>
      <c r="H731">
        <v>373864.71</v>
      </c>
      <c r="I731" s="1">
        <v>45108</v>
      </c>
      <c r="J731" t="s">
        <v>526</v>
      </c>
      <c r="K731" t="s">
        <v>540</v>
      </c>
      <c r="L731" t="s">
        <v>518</v>
      </c>
      <c r="M731" t="s">
        <v>568</v>
      </c>
      <c r="N731" t="s">
        <v>520</v>
      </c>
    </row>
    <row r="732" spans="1:15" x14ac:dyDescent="0.35">
      <c r="A732" t="s">
        <v>1298</v>
      </c>
      <c r="B732" t="s">
        <v>534</v>
      </c>
      <c r="C732" t="s">
        <v>562</v>
      </c>
      <c r="D732" t="s">
        <v>532</v>
      </c>
      <c r="E732">
        <v>31262</v>
      </c>
      <c r="F732">
        <v>30459.49</v>
      </c>
      <c r="G732">
        <f>IF(Table13[[#This Row],[Budget_Allocated_INR]]="","",Table13[[#This Row],[Amount_INR]]-Table13[[#This Row],[Budget_Allocated_INR]])</f>
        <v>802.5099999999984</v>
      </c>
      <c r="H732">
        <v>802.51</v>
      </c>
      <c r="I732" s="1">
        <v>45686</v>
      </c>
      <c r="J732" t="s">
        <v>526</v>
      </c>
      <c r="K732" t="s">
        <v>527</v>
      </c>
      <c r="L732" t="s">
        <v>536</v>
      </c>
      <c r="M732" t="s">
        <v>537</v>
      </c>
      <c r="N732" t="s">
        <v>520</v>
      </c>
    </row>
    <row r="733" spans="1:15" x14ac:dyDescent="0.35">
      <c r="A733" t="s">
        <v>1299</v>
      </c>
      <c r="B733" t="s">
        <v>565</v>
      </c>
      <c r="C733" t="s">
        <v>543</v>
      </c>
      <c r="D733" t="s">
        <v>553</v>
      </c>
      <c r="E733">
        <v>21608</v>
      </c>
      <c r="F733">
        <v>21731.88</v>
      </c>
      <c r="G733">
        <f>IF(Table13[[#This Row],[Budget_Allocated_INR]]="","",Table13[[#This Row],[Amount_INR]]-Table13[[#This Row],[Budget_Allocated_INR]])</f>
        <v>-123.88000000000102</v>
      </c>
      <c r="H733">
        <v>-123.88</v>
      </c>
      <c r="I733" s="1">
        <v>44976</v>
      </c>
      <c r="J733" t="s">
        <v>516</v>
      </c>
      <c r="K733" t="s">
        <v>527</v>
      </c>
      <c r="L733" t="s">
        <v>541</v>
      </c>
      <c r="M733" t="s">
        <v>546</v>
      </c>
      <c r="N733" t="s">
        <v>520</v>
      </c>
    </row>
    <row r="734" spans="1:15" x14ac:dyDescent="0.35">
      <c r="A734" t="s">
        <v>1300</v>
      </c>
      <c r="B734" t="s">
        <v>565</v>
      </c>
      <c r="C734" t="s">
        <v>596</v>
      </c>
      <c r="D734" t="s">
        <v>553</v>
      </c>
      <c r="E734">
        <v>152980</v>
      </c>
      <c r="F734">
        <v>166179.15</v>
      </c>
      <c r="G734">
        <f>IF(Table13[[#This Row],[Budget_Allocated_INR]]="","",Table13[[#This Row],[Amount_INR]]-Table13[[#This Row],[Budget_Allocated_INR]])</f>
        <v>-13199.149999999994</v>
      </c>
      <c r="H734">
        <v>-13199.15</v>
      </c>
      <c r="I734" s="1">
        <v>45431</v>
      </c>
      <c r="J734" t="s">
        <v>526</v>
      </c>
      <c r="K734" t="s">
        <v>560</v>
      </c>
      <c r="L734" t="s">
        <v>536</v>
      </c>
      <c r="M734" t="s">
        <v>537</v>
      </c>
      <c r="N734" t="s">
        <v>520</v>
      </c>
    </row>
    <row r="735" spans="1:15" x14ac:dyDescent="0.35">
      <c r="A735" t="s">
        <v>1301</v>
      </c>
      <c r="B735" t="s">
        <v>545</v>
      </c>
      <c r="C735" t="s">
        <v>586</v>
      </c>
      <c r="D735" t="s">
        <v>553</v>
      </c>
      <c r="E735">
        <v>32515</v>
      </c>
      <c r="F735">
        <v>33972.97</v>
      </c>
      <c r="G735">
        <f>IF(Table13[[#This Row],[Budget_Allocated_INR]]="","",Table13[[#This Row],[Amount_INR]]-Table13[[#This Row],[Budget_Allocated_INR]])</f>
        <v>-1457.9700000000012</v>
      </c>
      <c r="H735">
        <v>-1457.97</v>
      </c>
      <c r="I735" s="1">
        <v>45545</v>
      </c>
      <c r="J735" t="s">
        <v>516</v>
      </c>
      <c r="K735" t="s">
        <v>560</v>
      </c>
      <c r="L735" t="s">
        <v>536</v>
      </c>
      <c r="M735" t="s">
        <v>546</v>
      </c>
      <c r="N735" t="s">
        <v>520</v>
      </c>
    </row>
    <row r="736" spans="1:15" x14ac:dyDescent="0.35">
      <c r="A736" t="s">
        <v>1302</v>
      </c>
      <c r="B736" t="s">
        <v>545</v>
      </c>
      <c r="C736" t="s">
        <v>524</v>
      </c>
      <c r="D736" t="s">
        <v>553</v>
      </c>
      <c r="E736">
        <v>195589</v>
      </c>
      <c r="F736">
        <v>191747.64</v>
      </c>
      <c r="G736">
        <f>IF(Table13[[#This Row],[Budget_Allocated_INR]]="","",Table13[[#This Row],[Amount_INR]]-Table13[[#This Row],[Budget_Allocated_INR]])</f>
        <v>3841.359999999986</v>
      </c>
      <c r="H736">
        <v>3841.36</v>
      </c>
      <c r="I736" s="1">
        <v>45717</v>
      </c>
      <c r="J736" t="s">
        <v>516</v>
      </c>
      <c r="K736" t="s">
        <v>540</v>
      </c>
      <c r="L736" t="s">
        <v>536</v>
      </c>
      <c r="M736" t="s">
        <v>568</v>
      </c>
      <c r="N736" t="s">
        <v>520</v>
      </c>
    </row>
    <row r="737" spans="1:15" x14ac:dyDescent="0.35">
      <c r="A737" t="s">
        <v>1303</v>
      </c>
      <c r="B737" t="s">
        <v>530</v>
      </c>
      <c r="C737" t="s">
        <v>581</v>
      </c>
      <c r="D737" t="s">
        <v>574</v>
      </c>
      <c r="E737">
        <v>207083</v>
      </c>
      <c r="F737">
        <v>190317.26</v>
      </c>
      <c r="G737">
        <f>IF(Table13[[#This Row],[Budget_Allocated_INR]]="","",Table13[[#This Row],[Amount_INR]]-Table13[[#This Row],[Budget_Allocated_INR]])</f>
        <v>16765.739999999991</v>
      </c>
      <c r="I737" s="1">
        <v>44980</v>
      </c>
      <c r="J737" t="s">
        <v>516</v>
      </c>
      <c r="K737" t="s">
        <v>527</v>
      </c>
      <c r="L737" t="s">
        <v>541</v>
      </c>
      <c r="M737" t="s">
        <v>554</v>
      </c>
      <c r="N737" t="s">
        <v>520</v>
      </c>
      <c r="O737" t="s">
        <v>521</v>
      </c>
    </row>
    <row r="738" spans="1:15" x14ac:dyDescent="0.35">
      <c r="A738" t="s">
        <v>1304</v>
      </c>
      <c r="B738" t="s">
        <v>545</v>
      </c>
      <c r="C738" t="s">
        <v>596</v>
      </c>
      <c r="D738" t="s">
        <v>574</v>
      </c>
      <c r="E738">
        <v>408903</v>
      </c>
      <c r="F738">
        <v>385116.53</v>
      </c>
      <c r="G738">
        <f>IF(Table13[[#This Row],[Budget_Allocated_INR]]="","",Table13[[#This Row],[Amount_INR]]-Table13[[#This Row],[Budget_Allocated_INR]])</f>
        <v>23786.469999999972</v>
      </c>
      <c r="H738">
        <v>23786.47</v>
      </c>
      <c r="I738" s="1">
        <v>45272</v>
      </c>
      <c r="J738" t="s">
        <v>516</v>
      </c>
      <c r="K738" t="s">
        <v>527</v>
      </c>
      <c r="L738" t="s">
        <v>518</v>
      </c>
      <c r="M738" t="s">
        <v>537</v>
      </c>
      <c r="N738" t="s">
        <v>520</v>
      </c>
      <c r="O738" t="s">
        <v>521</v>
      </c>
    </row>
    <row r="739" spans="1:15" x14ac:dyDescent="0.35">
      <c r="A739" t="s">
        <v>1305</v>
      </c>
      <c r="B739" t="s">
        <v>523</v>
      </c>
      <c r="C739" t="s">
        <v>524</v>
      </c>
      <c r="D739" t="s">
        <v>563</v>
      </c>
      <c r="E739">
        <v>90070</v>
      </c>
      <c r="F739">
        <v>106873.96</v>
      </c>
      <c r="G739">
        <f>IF(Table13[[#This Row],[Budget_Allocated_INR]]="","",Table13[[#This Row],[Amount_INR]]-Table13[[#This Row],[Budget_Allocated_INR]])</f>
        <v>-16803.960000000006</v>
      </c>
      <c r="H739">
        <v>-16803.96</v>
      </c>
      <c r="I739" s="1">
        <v>45421</v>
      </c>
      <c r="J739" t="s">
        <v>526</v>
      </c>
      <c r="K739" t="s">
        <v>527</v>
      </c>
      <c r="L739" t="s">
        <v>536</v>
      </c>
      <c r="M739" t="s">
        <v>554</v>
      </c>
      <c r="N739" t="s">
        <v>520</v>
      </c>
    </row>
    <row r="740" spans="1:15" x14ac:dyDescent="0.35">
      <c r="A740" t="s">
        <v>1306</v>
      </c>
      <c r="B740" t="s">
        <v>79</v>
      </c>
      <c r="C740" t="s">
        <v>543</v>
      </c>
      <c r="D740" t="s">
        <v>634</v>
      </c>
      <c r="E740">
        <v>70355</v>
      </c>
      <c r="F740">
        <v>81689.77</v>
      </c>
      <c r="G740">
        <f>IF(Table13[[#This Row],[Budget_Allocated_INR]]="","",Table13[[#This Row],[Amount_INR]]-Table13[[#This Row],[Budget_Allocated_INR]])</f>
        <v>-11334.770000000004</v>
      </c>
      <c r="H740">
        <v>-11334.77</v>
      </c>
      <c r="I740" s="1">
        <v>45171</v>
      </c>
      <c r="J740" t="s">
        <v>526</v>
      </c>
      <c r="K740" t="s">
        <v>517</v>
      </c>
      <c r="L740" t="s">
        <v>518</v>
      </c>
      <c r="M740" t="s">
        <v>537</v>
      </c>
      <c r="N740" t="s">
        <v>520</v>
      </c>
    </row>
    <row r="741" spans="1:15" x14ac:dyDescent="0.35">
      <c r="A741" t="s">
        <v>1307</v>
      </c>
      <c r="B741" t="s">
        <v>523</v>
      </c>
      <c r="C741" t="s">
        <v>514</v>
      </c>
      <c r="D741" t="s">
        <v>588</v>
      </c>
      <c r="E741">
        <v>-75828</v>
      </c>
      <c r="F741">
        <v>81600.58</v>
      </c>
      <c r="G741">
        <f>IF(Table13[[#This Row],[Budget_Allocated_INR]]="","",Table13[[#This Row],[Amount_INR]]-Table13[[#This Row],[Budget_Allocated_INR]])</f>
        <v>-157428.58000000002</v>
      </c>
      <c r="H741">
        <v>-5772.58</v>
      </c>
      <c r="I741" s="1">
        <v>45203</v>
      </c>
      <c r="J741" t="s">
        <v>516</v>
      </c>
      <c r="K741" t="s">
        <v>560</v>
      </c>
      <c r="L741" t="s">
        <v>518</v>
      </c>
      <c r="M741" t="s">
        <v>537</v>
      </c>
      <c r="N741" t="s">
        <v>582</v>
      </c>
    </row>
    <row r="742" spans="1:15" x14ac:dyDescent="0.35">
      <c r="A742" t="s">
        <v>1308</v>
      </c>
      <c r="B742" t="s">
        <v>565</v>
      </c>
      <c r="C742" t="s">
        <v>558</v>
      </c>
      <c r="D742" t="s">
        <v>593</v>
      </c>
      <c r="E742">
        <v>1149403</v>
      </c>
      <c r="F742">
        <v>1033128.69</v>
      </c>
      <c r="G742">
        <f>IF(Table13[[#This Row],[Budget_Allocated_INR]]="","",Table13[[#This Row],[Amount_INR]]-Table13[[#This Row],[Budget_Allocated_INR]])</f>
        <v>116274.31000000006</v>
      </c>
      <c r="H742">
        <v>116274.31</v>
      </c>
      <c r="I742" s="1">
        <v>45325</v>
      </c>
      <c r="J742" t="s">
        <v>526</v>
      </c>
      <c r="K742" t="s">
        <v>517</v>
      </c>
      <c r="L742" t="s">
        <v>518</v>
      </c>
      <c r="M742" t="s">
        <v>537</v>
      </c>
      <c r="N742" t="s">
        <v>520</v>
      </c>
    </row>
    <row r="743" spans="1:15" x14ac:dyDescent="0.35">
      <c r="A743" t="s">
        <v>1309</v>
      </c>
      <c r="B743" t="s">
        <v>534</v>
      </c>
      <c r="C743" t="s">
        <v>514</v>
      </c>
      <c r="D743" t="s">
        <v>634</v>
      </c>
      <c r="E743">
        <v>-459741</v>
      </c>
      <c r="G743" t="str">
        <f>IF(Table13[[#This Row],[Budget_Allocated_INR]]="","",Table13[[#This Row],[Amount_INR]]-Table13[[#This Row],[Budget_Allocated_INR]])</f>
        <v/>
      </c>
      <c r="H743">
        <v>-106154.25</v>
      </c>
      <c r="I743" s="1">
        <v>45601</v>
      </c>
      <c r="J743" t="s">
        <v>526</v>
      </c>
      <c r="K743" t="s">
        <v>527</v>
      </c>
      <c r="L743" t="s">
        <v>536</v>
      </c>
      <c r="M743" t="s">
        <v>554</v>
      </c>
      <c r="N743" t="s">
        <v>582</v>
      </c>
    </row>
    <row r="744" spans="1:15" x14ac:dyDescent="0.35">
      <c r="A744" t="s">
        <v>1310</v>
      </c>
      <c r="B744" t="s">
        <v>565</v>
      </c>
      <c r="C744" t="s">
        <v>586</v>
      </c>
      <c r="D744" t="s">
        <v>535</v>
      </c>
      <c r="E744">
        <v>120321</v>
      </c>
      <c r="F744">
        <v>96259.98</v>
      </c>
      <c r="G744">
        <f>IF(Table13[[#This Row],[Budget_Allocated_INR]]="","",Table13[[#This Row],[Amount_INR]]-Table13[[#This Row],[Budget_Allocated_INR]])</f>
        <v>24061.020000000004</v>
      </c>
      <c r="H744">
        <v>24061.02</v>
      </c>
      <c r="I744" s="1">
        <v>45617</v>
      </c>
      <c r="J744" t="s">
        <v>526</v>
      </c>
      <c r="K744" t="s">
        <v>527</v>
      </c>
      <c r="L744" t="s">
        <v>536</v>
      </c>
      <c r="M744" t="s">
        <v>554</v>
      </c>
      <c r="N744" t="s">
        <v>520</v>
      </c>
    </row>
    <row r="745" spans="1:15" x14ac:dyDescent="0.35">
      <c r="A745" t="s">
        <v>1311</v>
      </c>
      <c r="B745" t="s">
        <v>576</v>
      </c>
      <c r="C745" t="s">
        <v>581</v>
      </c>
      <c r="D745" t="s">
        <v>559</v>
      </c>
      <c r="E745">
        <v>318895</v>
      </c>
      <c r="F745">
        <v>263063.44</v>
      </c>
      <c r="G745">
        <f>IF(Table13[[#This Row],[Budget_Allocated_INR]]="","",Table13[[#This Row],[Amount_INR]]-Table13[[#This Row],[Budget_Allocated_INR]])</f>
        <v>55831.56</v>
      </c>
      <c r="H745">
        <v>55831.56</v>
      </c>
      <c r="I745" s="1">
        <v>45461</v>
      </c>
      <c r="J745" t="s">
        <v>516</v>
      </c>
      <c r="K745" t="s">
        <v>517</v>
      </c>
      <c r="L745" t="s">
        <v>536</v>
      </c>
      <c r="M745" t="s">
        <v>519</v>
      </c>
      <c r="N745" t="s">
        <v>520</v>
      </c>
      <c r="O745" t="s">
        <v>521</v>
      </c>
    </row>
    <row r="746" spans="1:15" x14ac:dyDescent="0.35">
      <c r="A746" t="s">
        <v>1312</v>
      </c>
      <c r="B746" t="s">
        <v>530</v>
      </c>
      <c r="C746" t="s">
        <v>596</v>
      </c>
      <c r="D746" t="s">
        <v>605</v>
      </c>
      <c r="E746">
        <v>490856</v>
      </c>
      <c r="F746">
        <v>485440.31</v>
      </c>
      <c r="G746">
        <f>IF(Table13[[#This Row],[Budget_Allocated_INR]]="","",Table13[[#This Row],[Amount_INR]]-Table13[[#This Row],[Budget_Allocated_INR]])</f>
        <v>5415.6900000000023</v>
      </c>
      <c r="H746">
        <v>5415.69</v>
      </c>
      <c r="I746" s="1">
        <v>45506</v>
      </c>
      <c r="J746" t="s">
        <v>516</v>
      </c>
      <c r="K746" t="s">
        <v>517</v>
      </c>
      <c r="L746" t="s">
        <v>536</v>
      </c>
      <c r="M746" t="s">
        <v>537</v>
      </c>
      <c r="N746" t="s">
        <v>520</v>
      </c>
      <c r="O746" t="s">
        <v>521</v>
      </c>
    </row>
    <row r="747" spans="1:15" x14ac:dyDescent="0.35">
      <c r="A747" t="s">
        <v>1313</v>
      </c>
      <c r="B747" t="s">
        <v>534</v>
      </c>
      <c r="C747" t="s">
        <v>524</v>
      </c>
      <c r="D747" t="s">
        <v>515</v>
      </c>
      <c r="E747">
        <v>457290</v>
      </c>
      <c r="F747">
        <v>477968.21</v>
      </c>
      <c r="G747">
        <f>IF(Table13[[#This Row],[Budget_Allocated_INR]]="","",Table13[[#This Row],[Amount_INR]]-Table13[[#This Row],[Budget_Allocated_INR]])</f>
        <v>-20678.210000000021</v>
      </c>
      <c r="H747">
        <v>-20678.21</v>
      </c>
      <c r="I747" s="1">
        <v>45018</v>
      </c>
      <c r="J747" t="s">
        <v>516</v>
      </c>
      <c r="K747" t="s">
        <v>517</v>
      </c>
      <c r="L747" t="s">
        <v>518</v>
      </c>
      <c r="M747" t="s">
        <v>537</v>
      </c>
      <c r="N747" t="s">
        <v>520</v>
      </c>
      <c r="O747" t="s">
        <v>521</v>
      </c>
    </row>
    <row r="748" spans="1:15" x14ac:dyDescent="0.35">
      <c r="A748" t="s">
        <v>1314</v>
      </c>
      <c r="B748" t="s">
        <v>534</v>
      </c>
      <c r="C748" t="s">
        <v>552</v>
      </c>
      <c r="D748" t="s">
        <v>539</v>
      </c>
      <c r="E748">
        <v>232010</v>
      </c>
      <c r="F748">
        <v>250718.99</v>
      </c>
      <c r="G748">
        <f>IF(Table13[[#This Row],[Budget_Allocated_INR]]="","",Table13[[#This Row],[Amount_INR]]-Table13[[#This Row],[Budget_Allocated_INR]])</f>
        <v>-18708.989999999991</v>
      </c>
      <c r="H748">
        <v>-18708.990000000002</v>
      </c>
      <c r="I748" s="1">
        <v>45204</v>
      </c>
      <c r="J748" t="s">
        <v>526</v>
      </c>
      <c r="K748" t="s">
        <v>560</v>
      </c>
      <c r="L748" t="s">
        <v>518</v>
      </c>
      <c r="M748" t="s">
        <v>537</v>
      </c>
      <c r="N748" t="s">
        <v>520</v>
      </c>
    </row>
    <row r="749" spans="1:15" x14ac:dyDescent="0.35">
      <c r="A749" t="s">
        <v>1315</v>
      </c>
      <c r="B749" t="s">
        <v>576</v>
      </c>
      <c r="C749" t="s">
        <v>552</v>
      </c>
      <c r="D749" t="s">
        <v>559</v>
      </c>
      <c r="E749">
        <v>34888</v>
      </c>
      <c r="F749">
        <v>43551.95</v>
      </c>
      <c r="G749">
        <f>IF(Table13[[#This Row],[Budget_Allocated_INR]]="","",Table13[[#This Row],[Amount_INR]]-Table13[[#This Row],[Budget_Allocated_INR]])</f>
        <v>-8663.9499999999971</v>
      </c>
      <c r="H749">
        <v>-8663.9500000000007</v>
      </c>
      <c r="I749" s="1">
        <v>45105</v>
      </c>
      <c r="J749" t="s">
        <v>526</v>
      </c>
      <c r="K749" t="s">
        <v>527</v>
      </c>
      <c r="L749" t="s">
        <v>518</v>
      </c>
      <c r="M749" t="s">
        <v>528</v>
      </c>
      <c r="N749" t="s">
        <v>520</v>
      </c>
    </row>
    <row r="750" spans="1:15" x14ac:dyDescent="0.35">
      <c r="A750" t="s">
        <v>1316</v>
      </c>
      <c r="B750" t="s">
        <v>545</v>
      </c>
      <c r="C750" t="s">
        <v>562</v>
      </c>
      <c r="D750" t="s">
        <v>584</v>
      </c>
      <c r="E750">
        <v>442821</v>
      </c>
      <c r="F750">
        <v>492553.85</v>
      </c>
      <c r="G750">
        <f>IF(Table13[[#This Row],[Budget_Allocated_INR]]="","",Table13[[#This Row],[Amount_INR]]-Table13[[#This Row],[Budget_Allocated_INR]])</f>
        <v>-49732.849999999977</v>
      </c>
      <c r="H750">
        <v>-49732.85</v>
      </c>
      <c r="I750" s="1">
        <v>45076</v>
      </c>
      <c r="J750" t="s">
        <v>516</v>
      </c>
      <c r="K750" t="s">
        <v>527</v>
      </c>
      <c r="L750" t="s">
        <v>518</v>
      </c>
      <c r="M750" t="s">
        <v>537</v>
      </c>
      <c r="N750" t="s">
        <v>520</v>
      </c>
      <c r="O750" t="s">
        <v>521</v>
      </c>
    </row>
    <row r="751" spans="1:15" x14ac:dyDescent="0.35">
      <c r="A751" t="s">
        <v>1317</v>
      </c>
      <c r="B751" t="s">
        <v>565</v>
      </c>
      <c r="C751" t="s">
        <v>586</v>
      </c>
      <c r="D751" t="s">
        <v>571</v>
      </c>
      <c r="E751">
        <v>24861</v>
      </c>
      <c r="F751">
        <v>29993.25</v>
      </c>
      <c r="G751">
        <f>IF(Table13[[#This Row],[Budget_Allocated_INR]]="","",Table13[[#This Row],[Amount_INR]]-Table13[[#This Row],[Budget_Allocated_INR]])</f>
        <v>-5132.25</v>
      </c>
      <c r="H751">
        <v>-5132.25</v>
      </c>
      <c r="I751" s="1">
        <v>45306</v>
      </c>
      <c r="J751" t="s">
        <v>526</v>
      </c>
      <c r="K751" t="s">
        <v>540</v>
      </c>
      <c r="L751" t="s">
        <v>518</v>
      </c>
      <c r="M751" t="s">
        <v>528</v>
      </c>
      <c r="N751" t="s">
        <v>520</v>
      </c>
    </row>
    <row r="752" spans="1:15" x14ac:dyDescent="0.35">
      <c r="A752" t="s">
        <v>1318</v>
      </c>
      <c r="B752" t="s">
        <v>530</v>
      </c>
      <c r="C752" t="s">
        <v>596</v>
      </c>
      <c r="D752" t="s">
        <v>634</v>
      </c>
      <c r="E752">
        <v>107549</v>
      </c>
      <c r="F752">
        <v>115101.72</v>
      </c>
      <c r="G752">
        <f>IF(Table13[[#This Row],[Budget_Allocated_INR]]="","",Table13[[#This Row],[Amount_INR]]-Table13[[#This Row],[Budget_Allocated_INR]])</f>
        <v>-7552.7200000000012</v>
      </c>
      <c r="H752">
        <v>-7552.72</v>
      </c>
      <c r="I752" s="1">
        <v>45269</v>
      </c>
      <c r="J752" t="s">
        <v>526</v>
      </c>
      <c r="K752" t="s">
        <v>540</v>
      </c>
      <c r="L752" t="s">
        <v>518</v>
      </c>
      <c r="M752" t="s">
        <v>537</v>
      </c>
      <c r="N752" t="s">
        <v>520</v>
      </c>
    </row>
    <row r="753" spans="1:15" x14ac:dyDescent="0.35">
      <c r="A753" t="s">
        <v>1319</v>
      </c>
      <c r="B753" t="s">
        <v>545</v>
      </c>
      <c r="C753" t="s">
        <v>543</v>
      </c>
      <c r="D753" t="s">
        <v>515</v>
      </c>
      <c r="E753">
        <v>-16108</v>
      </c>
      <c r="F753">
        <v>14660.94</v>
      </c>
      <c r="G753">
        <f>IF(Table13[[#This Row],[Budget_Allocated_INR]]="","",Table13[[#This Row],[Amount_INR]]-Table13[[#This Row],[Budget_Allocated_INR]])</f>
        <v>-30768.940000000002</v>
      </c>
      <c r="H753">
        <v>1447.06</v>
      </c>
      <c r="I753" s="1">
        <v>45309</v>
      </c>
      <c r="J753" t="s">
        <v>526</v>
      </c>
      <c r="K753" t="s">
        <v>517</v>
      </c>
      <c r="L753" t="s">
        <v>518</v>
      </c>
      <c r="M753" t="s">
        <v>537</v>
      </c>
      <c r="N753" t="s">
        <v>582</v>
      </c>
    </row>
    <row r="754" spans="1:15" x14ac:dyDescent="0.35">
      <c r="A754" t="s">
        <v>1320</v>
      </c>
      <c r="B754" t="s">
        <v>576</v>
      </c>
      <c r="C754" t="s">
        <v>524</v>
      </c>
      <c r="D754" t="s">
        <v>535</v>
      </c>
      <c r="E754">
        <v>236053</v>
      </c>
      <c r="F754">
        <v>284918.45</v>
      </c>
      <c r="G754">
        <f>IF(Table13[[#This Row],[Budget_Allocated_INR]]="","",Table13[[#This Row],[Amount_INR]]-Table13[[#This Row],[Budget_Allocated_INR]])</f>
        <v>-48865.450000000012</v>
      </c>
      <c r="H754">
        <v>-48865.45</v>
      </c>
      <c r="I754" s="1">
        <v>45377</v>
      </c>
      <c r="J754" t="s">
        <v>516</v>
      </c>
      <c r="K754" t="s">
        <v>527</v>
      </c>
      <c r="L754" t="s">
        <v>518</v>
      </c>
      <c r="M754" t="s">
        <v>519</v>
      </c>
      <c r="N754" t="s">
        <v>520</v>
      </c>
      <c r="O754" t="s">
        <v>521</v>
      </c>
    </row>
    <row r="755" spans="1:15" x14ac:dyDescent="0.35">
      <c r="A755" t="s">
        <v>1321</v>
      </c>
      <c r="B755" t="s">
        <v>530</v>
      </c>
      <c r="C755" t="s">
        <v>531</v>
      </c>
      <c r="D755" t="s">
        <v>593</v>
      </c>
      <c r="E755">
        <v>324977</v>
      </c>
      <c r="F755">
        <v>289642.40000000002</v>
      </c>
      <c r="G755">
        <f>IF(Table13[[#This Row],[Budget_Allocated_INR]]="","",Table13[[#This Row],[Amount_INR]]-Table13[[#This Row],[Budget_Allocated_INR]])</f>
        <v>35334.599999999977</v>
      </c>
      <c r="H755">
        <v>35334.6</v>
      </c>
      <c r="I755" s="1">
        <v>44972</v>
      </c>
      <c r="J755" t="s">
        <v>526</v>
      </c>
      <c r="K755" t="s">
        <v>540</v>
      </c>
      <c r="L755" t="s">
        <v>541</v>
      </c>
      <c r="M755" t="s">
        <v>537</v>
      </c>
      <c r="N755" t="s">
        <v>520</v>
      </c>
    </row>
    <row r="756" spans="1:15" x14ac:dyDescent="0.35">
      <c r="A756" t="s">
        <v>1322</v>
      </c>
      <c r="B756" t="s">
        <v>545</v>
      </c>
      <c r="C756" t="s">
        <v>558</v>
      </c>
      <c r="D756" t="s">
        <v>559</v>
      </c>
      <c r="E756">
        <v>164769</v>
      </c>
      <c r="F756">
        <v>138610.93</v>
      </c>
      <c r="G756">
        <f>IF(Table13[[#This Row],[Budget_Allocated_INR]]="","",Table13[[#This Row],[Amount_INR]]-Table13[[#This Row],[Budget_Allocated_INR]])</f>
        <v>26158.070000000007</v>
      </c>
      <c r="H756">
        <v>26158.07</v>
      </c>
      <c r="I756" s="1">
        <v>45665</v>
      </c>
      <c r="J756" t="s">
        <v>526</v>
      </c>
      <c r="K756" t="s">
        <v>560</v>
      </c>
      <c r="L756" t="s">
        <v>536</v>
      </c>
      <c r="M756" t="s">
        <v>537</v>
      </c>
      <c r="N756" t="s">
        <v>520</v>
      </c>
    </row>
    <row r="757" spans="1:15" x14ac:dyDescent="0.35">
      <c r="A757" t="s">
        <v>1323</v>
      </c>
      <c r="B757" t="s">
        <v>545</v>
      </c>
      <c r="C757" t="s">
        <v>599</v>
      </c>
      <c r="D757" t="s">
        <v>515</v>
      </c>
      <c r="E757">
        <v>214304</v>
      </c>
      <c r="F757">
        <v>201065.68</v>
      </c>
      <c r="G757">
        <f>IF(Table13[[#This Row],[Budget_Allocated_INR]]="","",Table13[[#This Row],[Amount_INR]]-Table13[[#This Row],[Budget_Allocated_INR]])</f>
        <v>13238.320000000007</v>
      </c>
      <c r="H757">
        <v>13238.32</v>
      </c>
      <c r="I757" s="1">
        <v>45053</v>
      </c>
      <c r="J757" t="s">
        <v>526</v>
      </c>
      <c r="K757" t="s">
        <v>527</v>
      </c>
      <c r="L757" t="s">
        <v>518</v>
      </c>
      <c r="M757" t="s">
        <v>537</v>
      </c>
      <c r="N757" t="s">
        <v>520</v>
      </c>
    </row>
    <row r="758" spans="1:15" x14ac:dyDescent="0.35">
      <c r="A758" t="s">
        <v>1324</v>
      </c>
      <c r="B758" t="s">
        <v>576</v>
      </c>
      <c r="C758" t="s">
        <v>543</v>
      </c>
      <c r="D758" t="s">
        <v>571</v>
      </c>
      <c r="E758">
        <v>308258</v>
      </c>
      <c r="G758" t="str">
        <f>IF(Table13[[#This Row],[Budget_Allocated_INR]]="","",Table13[[#This Row],[Amount_INR]]-Table13[[#This Row],[Budget_Allocated_INR]])</f>
        <v/>
      </c>
      <c r="H758">
        <v>52497.88</v>
      </c>
      <c r="I758" s="1">
        <v>45454</v>
      </c>
      <c r="J758" t="s">
        <v>526</v>
      </c>
      <c r="K758" t="s">
        <v>517</v>
      </c>
      <c r="L758" t="s">
        <v>536</v>
      </c>
      <c r="M758" t="s">
        <v>546</v>
      </c>
      <c r="N758" t="s">
        <v>520</v>
      </c>
    </row>
    <row r="759" spans="1:15" x14ac:dyDescent="0.35">
      <c r="A759" t="s">
        <v>1325</v>
      </c>
      <c r="B759" t="s">
        <v>523</v>
      </c>
      <c r="C759" t="s">
        <v>562</v>
      </c>
      <c r="D759" t="s">
        <v>593</v>
      </c>
      <c r="E759">
        <v>469790</v>
      </c>
      <c r="F759">
        <v>438865.16</v>
      </c>
      <c r="G759">
        <f>IF(Table13[[#This Row],[Budget_Allocated_INR]]="","",Table13[[#This Row],[Amount_INR]]-Table13[[#This Row],[Budget_Allocated_INR]])</f>
        <v>30924.840000000026</v>
      </c>
      <c r="H759">
        <v>30924.84</v>
      </c>
      <c r="I759" s="1">
        <v>45186</v>
      </c>
      <c r="J759" t="s">
        <v>516</v>
      </c>
      <c r="K759" t="s">
        <v>560</v>
      </c>
      <c r="L759" t="s">
        <v>518</v>
      </c>
      <c r="M759" t="s">
        <v>537</v>
      </c>
      <c r="N759" t="s">
        <v>520</v>
      </c>
      <c r="O759" t="s">
        <v>521</v>
      </c>
    </row>
    <row r="760" spans="1:15" x14ac:dyDescent="0.35">
      <c r="A760" t="s">
        <v>1326</v>
      </c>
      <c r="B760" t="s">
        <v>576</v>
      </c>
      <c r="C760" t="s">
        <v>514</v>
      </c>
      <c r="D760" t="s">
        <v>588</v>
      </c>
      <c r="E760">
        <v>4080302</v>
      </c>
      <c r="F760">
        <v>5095533.09</v>
      </c>
      <c r="G760">
        <f>IF(Table13[[#This Row],[Budget_Allocated_INR]]="","",Table13[[#This Row],[Amount_INR]]-Table13[[#This Row],[Budget_Allocated_INR]])</f>
        <v>-1015231.0899999999</v>
      </c>
      <c r="H760">
        <v>-1015231.09</v>
      </c>
      <c r="I760" s="1">
        <v>45176</v>
      </c>
      <c r="J760" t="s">
        <v>526</v>
      </c>
      <c r="K760" t="s">
        <v>527</v>
      </c>
      <c r="L760" t="s">
        <v>518</v>
      </c>
      <c r="M760" t="s">
        <v>568</v>
      </c>
      <c r="N760" t="s">
        <v>520</v>
      </c>
    </row>
    <row r="761" spans="1:15" x14ac:dyDescent="0.35">
      <c r="A761" t="s">
        <v>1327</v>
      </c>
      <c r="B761" t="s">
        <v>79</v>
      </c>
      <c r="C761" t="s">
        <v>531</v>
      </c>
      <c r="D761" t="s">
        <v>532</v>
      </c>
      <c r="E761">
        <v>424165</v>
      </c>
      <c r="F761">
        <v>545562.53</v>
      </c>
      <c r="G761">
        <f>IF(Table13[[#This Row],[Budget_Allocated_INR]]="","",Table13[[#This Row],[Amount_INR]]-Table13[[#This Row],[Budget_Allocated_INR]])</f>
        <v>-121397.53000000003</v>
      </c>
      <c r="H761">
        <v>-121397.53</v>
      </c>
      <c r="I761" s="1">
        <v>45033</v>
      </c>
      <c r="J761" t="s">
        <v>597</v>
      </c>
      <c r="K761" t="s">
        <v>560</v>
      </c>
      <c r="L761" t="s">
        <v>518</v>
      </c>
      <c r="M761" t="s">
        <v>537</v>
      </c>
      <c r="N761" t="s">
        <v>520</v>
      </c>
      <c r="O761" t="s">
        <v>521</v>
      </c>
    </row>
    <row r="762" spans="1:15" x14ac:dyDescent="0.35">
      <c r="A762" t="s">
        <v>1328</v>
      </c>
      <c r="B762" t="s">
        <v>523</v>
      </c>
      <c r="C762" t="s">
        <v>549</v>
      </c>
      <c r="D762" t="s">
        <v>634</v>
      </c>
      <c r="E762">
        <v>16329</v>
      </c>
      <c r="F762">
        <v>17461.91</v>
      </c>
      <c r="G762">
        <f>IF(Table13[[#This Row],[Budget_Allocated_INR]]="","",Table13[[#This Row],[Amount_INR]]-Table13[[#This Row],[Budget_Allocated_INR]])</f>
        <v>-1132.9099999999999</v>
      </c>
      <c r="H762">
        <v>-1132.9100000000001</v>
      </c>
      <c r="I762" s="1">
        <v>45386</v>
      </c>
      <c r="J762" t="s">
        <v>597</v>
      </c>
      <c r="K762" t="s">
        <v>517</v>
      </c>
      <c r="L762" t="s">
        <v>536</v>
      </c>
      <c r="M762" t="s">
        <v>519</v>
      </c>
      <c r="N762" t="s">
        <v>520</v>
      </c>
    </row>
    <row r="763" spans="1:15" x14ac:dyDescent="0.35">
      <c r="A763" t="s">
        <v>1329</v>
      </c>
      <c r="B763" t="s">
        <v>548</v>
      </c>
      <c r="C763" t="s">
        <v>524</v>
      </c>
      <c r="D763" t="s">
        <v>535</v>
      </c>
      <c r="E763">
        <v>167339</v>
      </c>
      <c r="F763">
        <v>151879.25</v>
      </c>
      <c r="G763">
        <f>IF(Table13[[#This Row],[Budget_Allocated_INR]]="","",Table13[[#This Row],[Amount_INR]]-Table13[[#This Row],[Budget_Allocated_INR]])</f>
        <v>15459.75</v>
      </c>
      <c r="H763">
        <v>15459.75</v>
      </c>
      <c r="I763" s="1">
        <v>45158</v>
      </c>
      <c r="J763" t="s">
        <v>516</v>
      </c>
      <c r="K763" t="s">
        <v>517</v>
      </c>
      <c r="L763" t="s">
        <v>518</v>
      </c>
      <c r="M763" t="s">
        <v>546</v>
      </c>
      <c r="N763" t="s">
        <v>520</v>
      </c>
    </row>
    <row r="764" spans="1:15" x14ac:dyDescent="0.35">
      <c r="A764" t="s">
        <v>1330</v>
      </c>
      <c r="B764" t="s">
        <v>523</v>
      </c>
      <c r="C764" t="s">
        <v>562</v>
      </c>
      <c r="D764" t="s">
        <v>571</v>
      </c>
      <c r="E764">
        <v>175865</v>
      </c>
      <c r="F764">
        <v>195903.13</v>
      </c>
      <c r="G764">
        <f>IF(Table13[[#This Row],[Budget_Allocated_INR]]="","",Table13[[#This Row],[Amount_INR]]-Table13[[#This Row],[Budget_Allocated_INR]])</f>
        <v>-20038.130000000005</v>
      </c>
      <c r="H764">
        <v>-20038.13</v>
      </c>
      <c r="I764" s="1">
        <v>45613</v>
      </c>
      <c r="J764" t="s">
        <v>526</v>
      </c>
      <c r="K764" t="s">
        <v>517</v>
      </c>
      <c r="L764" t="s">
        <v>536</v>
      </c>
      <c r="M764" t="s">
        <v>554</v>
      </c>
      <c r="N764" t="s">
        <v>520</v>
      </c>
    </row>
    <row r="765" spans="1:15" x14ac:dyDescent="0.35">
      <c r="A765" t="s">
        <v>1331</v>
      </c>
      <c r="B765" t="s">
        <v>530</v>
      </c>
      <c r="C765" t="s">
        <v>543</v>
      </c>
      <c r="D765" t="s">
        <v>532</v>
      </c>
      <c r="E765">
        <v>487754</v>
      </c>
      <c r="F765">
        <v>518966.75</v>
      </c>
      <c r="G765">
        <f>IF(Table13[[#This Row],[Budget_Allocated_INR]]="","",Table13[[#This Row],[Amount_INR]]-Table13[[#This Row],[Budget_Allocated_INR]])</f>
        <v>-31212.75</v>
      </c>
      <c r="H765">
        <v>-31212.75</v>
      </c>
      <c r="I765" s="1">
        <v>44938</v>
      </c>
      <c r="J765" t="s">
        <v>526</v>
      </c>
      <c r="K765" t="s">
        <v>527</v>
      </c>
      <c r="L765" t="s">
        <v>541</v>
      </c>
      <c r="M765" t="s">
        <v>554</v>
      </c>
      <c r="N765" t="s">
        <v>520</v>
      </c>
    </row>
    <row r="766" spans="1:15" x14ac:dyDescent="0.35">
      <c r="A766" t="s">
        <v>1332</v>
      </c>
      <c r="B766" t="s">
        <v>523</v>
      </c>
      <c r="C766" t="s">
        <v>552</v>
      </c>
      <c r="D766" t="s">
        <v>563</v>
      </c>
      <c r="E766">
        <v>459805</v>
      </c>
      <c r="F766">
        <v>418693.11</v>
      </c>
      <c r="G766">
        <f>IF(Table13[[#This Row],[Budget_Allocated_INR]]="","",Table13[[#This Row],[Amount_INR]]-Table13[[#This Row],[Budget_Allocated_INR]])</f>
        <v>41111.890000000014</v>
      </c>
      <c r="H766">
        <v>41111.89</v>
      </c>
      <c r="I766" s="1">
        <v>45079</v>
      </c>
      <c r="J766" t="s">
        <v>516</v>
      </c>
      <c r="K766" t="s">
        <v>540</v>
      </c>
      <c r="L766" t="s">
        <v>518</v>
      </c>
      <c r="M766" t="s">
        <v>537</v>
      </c>
      <c r="N766" t="s">
        <v>520</v>
      </c>
      <c r="O766" t="s">
        <v>521</v>
      </c>
    </row>
    <row r="767" spans="1:15" x14ac:dyDescent="0.35">
      <c r="A767" t="s">
        <v>1333</v>
      </c>
      <c r="B767" t="s">
        <v>534</v>
      </c>
      <c r="C767" t="s">
        <v>549</v>
      </c>
      <c r="D767" t="s">
        <v>571</v>
      </c>
      <c r="E767">
        <v>363544</v>
      </c>
      <c r="F767">
        <v>411111.13</v>
      </c>
      <c r="G767">
        <f>IF(Table13[[#This Row],[Budget_Allocated_INR]]="","",Table13[[#This Row],[Amount_INR]]-Table13[[#This Row],[Budget_Allocated_INR]])</f>
        <v>-47567.130000000005</v>
      </c>
      <c r="H767">
        <v>-47567.13</v>
      </c>
      <c r="I767" s="1">
        <v>45018</v>
      </c>
      <c r="J767" t="s">
        <v>526</v>
      </c>
      <c r="K767" t="s">
        <v>560</v>
      </c>
      <c r="L767" t="s">
        <v>518</v>
      </c>
      <c r="M767" t="s">
        <v>568</v>
      </c>
      <c r="N767" t="s">
        <v>520</v>
      </c>
    </row>
    <row r="768" spans="1:15" x14ac:dyDescent="0.35">
      <c r="A768" t="s">
        <v>1334</v>
      </c>
      <c r="B768" t="s">
        <v>576</v>
      </c>
      <c r="C768" t="s">
        <v>624</v>
      </c>
      <c r="D768" t="s">
        <v>574</v>
      </c>
      <c r="E768">
        <v>270977</v>
      </c>
      <c r="F768">
        <v>284437.09999999998</v>
      </c>
      <c r="G768">
        <f>IF(Table13[[#This Row],[Budget_Allocated_INR]]="","",Table13[[#This Row],[Amount_INR]]-Table13[[#This Row],[Budget_Allocated_INR]])</f>
        <v>-13460.099999999977</v>
      </c>
      <c r="I768" s="1">
        <v>45199</v>
      </c>
      <c r="J768" t="s">
        <v>597</v>
      </c>
      <c r="K768" t="s">
        <v>560</v>
      </c>
      <c r="L768" t="s">
        <v>518</v>
      </c>
      <c r="M768" t="s">
        <v>519</v>
      </c>
      <c r="N768" t="s">
        <v>520</v>
      </c>
      <c r="O768" t="s">
        <v>521</v>
      </c>
    </row>
    <row r="769" spans="1:15" x14ac:dyDescent="0.35">
      <c r="A769" t="s">
        <v>1335</v>
      </c>
      <c r="B769" t="s">
        <v>576</v>
      </c>
      <c r="C769" t="s">
        <v>581</v>
      </c>
      <c r="D769" t="s">
        <v>550</v>
      </c>
      <c r="E769">
        <v>446426</v>
      </c>
      <c r="F769">
        <v>565500.15</v>
      </c>
      <c r="G769">
        <f>IF(Table13[[#This Row],[Budget_Allocated_INR]]="","",Table13[[#This Row],[Amount_INR]]-Table13[[#This Row],[Budget_Allocated_INR]])</f>
        <v>-119074.15000000002</v>
      </c>
      <c r="H769">
        <v>-119074.15</v>
      </c>
      <c r="I769" s="1">
        <v>45668</v>
      </c>
      <c r="J769" t="s">
        <v>526</v>
      </c>
      <c r="K769" t="s">
        <v>517</v>
      </c>
      <c r="L769" t="s">
        <v>536</v>
      </c>
      <c r="M769" t="s">
        <v>537</v>
      </c>
      <c r="N769" t="s">
        <v>520</v>
      </c>
    </row>
    <row r="770" spans="1:15" x14ac:dyDescent="0.35">
      <c r="A770" t="s">
        <v>1336</v>
      </c>
      <c r="B770" t="s">
        <v>565</v>
      </c>
      <c r="C770" t="s">
        <v>586</v>
      </c>
      <c r="D770" t="s">
        <v>584</v>
      </c>
      <c r="E770">
        <v>160693</v>
      </c>
      <c r="F770">
        <v>189037.66</v>
      </c>
      <c r="G770">
        <f>IF(Table13[[#This Row],[Budget_Allocated_INR]]="","",Table13[[#This Row],[Amount_INR]]-Table13[[#This Row],[Budget_Allocated_INR]])</f>
        <v>-28344.660000000003</v>
      </c>
      <c r="H770">
        <v>-28344.66</v>
      </c>
      <c r="I770" s="1">
        <v>45591</v>
      </c>
      <c r="J770" t="s">
        <v>526</v>
      </c>
      <c r="K770" t="s">
        <v>540</v>
      </c>
      <c r="L770" t="s">
        <v>536</v>
      </c>
      <c r="M770" t="s">
        <v>537</v>
      </c>
      <c r="N770" t="s">
        <v>520</v>
      </c>
    </row>
    <row r="771" spans="1:15" x14ac:dyDescent="0.35">
      <c r="A771" t="s">
        <v>1337</v>
      </c>
      <c r="B771" t="s">
        <v>530</v>
      </c>
      <c r="C771" t="s">
        <v>599</v>
      </c>
      <c r="D771" t="s">
        <v>588</v>
      </c>
      <c r="E771">
        <v>369585</v>
      </c>
      <c r="F771">
        <v>312154.65999999997</v>
      </c>
      <c r="G771">
        <f>IF(Table13[[#This Row],[Budget_Allocated_INR]]="","",Table13[[#This Row],[Amount_INR]]-Table13[[#This Row],[Budget_Allocated_INR]])</f>
        <v>57430.340000000026</v>
      </c>
      <c r="H771">
        <v>57430.34</v>
      </c>
      <c r="I771" s="1">
        <v>45183</v>
      </c>
      <c r="J771" t="s">
        <v>526</v>
      </c>
      <c r="K771" t="s">
        <v>540</v>
      </c>
      <c r="L771" t="s">
        <v>518</v>
      </c>
      <c r="M771" t="s">
        <v>546</v>
      </c>
      <c r="N771" t="s">
        <v>520</v>
      </c>
    </row>
    <row r="772" spans="1:15" x14ac:dyDescent="0.35">
      <c r="A772" t="s">
        <v>1338</v>
      </c>
      <c r="B772" t="s">
        <v>548</v>
      </c>
      <c r="C772" t="s">
        <v>586</v>
      </c>
      <c r="D772" t="s">
        <v>525</v>
      </c>
      <c r="E772">
        <v>253400</v>
      </c>
      <c r="F772">
        <v>277502.51</v>
      </c>
      <c r="G772">
        <f>IF(Table13[[#This Row],[Budget_Allocated_INR]]="","",Table13[[#This Row],[Amount_INR]]-Table13[[#This Row],[Budget_Allocated_INR]])</f>
        <v>-24102.510000000009</v>
      </c>
      <c r="I772" s="1">
        <v>45211</v>
      </c>
      <c r="J772" t="s">
        <v>526</v>
      </c>
      <c r="K772" t="s">
        <v>527</v>
      </c>
      <c r="L772" t="s">
        <v>518</v>
      </c>
      <c r="M772" t="s">
        <v>528</v>
      </c>
      <c r="N772" t="s">
        <v>520</v>
      </c>
    </row>
    <row r="773" spans="1:15" x14ac:dyDescent="0.35">
      <c r="A773" t="s">
        <v>1339</v>
      </c>
      <c r="B773" t="s">
        <v>576</v>
      </c>
      <c r="C773" t="s">
        <v>531</v>
      </c>
      <c r="D773" t="s">
        <v>525</v>
      </c>
      <c r="E773">
        <v>167305</v>
      </c>
      <c r="F773">
        <v>182180.82</v>
      </c>
      <c r="G773">
        <f>IF(Table13[[#This Row],[Budget_Allocated_INR]]="","",Table13[[#This Row],[Amount_INR]]-Table13[[#This Row],[Budget_Allocated_INR]])</f>
        <v>-14875.820000000007</v>
      </c>
      <c r="H773">
        <v>-14875.82</v>
      </c>
      <c r="I773" s="1">
        <v>45067</v>
      </c>
      <c r="J773" t="s">
        <v>526</v>
      </c>
      <c r="K773" t="s">
        <v>527</v>
      </c>
      <c r="L773" t="s">
        <v>518</v>
      </c>
      <c r="M773" t="s">
        <v>554</v>
      </c>
      <c r="N773" t="s">
        <v>520</v>
      </c>
    </row>
    <row r="774" spans="1:15" x14ac:dyDescent="0.35">
      <c r="A774" t="s">
        <v>1340</v>
      </c>
      <c r="B774" t="s">
        <v>523</v>
      </c>
      <c r="C774" t="s">
        <v>558</v>
      </c>
      <c r="D774" t="s">
        <v>525</v>
      </c>
      <c r="E774">
        <v>461269</v>
      </c>
      <c r="F774">
        <v>409343.83</v>
      </c>
      <c r="G774">
        <f>IF(Table13[[#This Row],[Budget_Allocated_INR]]="","",Table13[[#This Row],[Amount_INR]]-Table13[[#This Row],[Budget_Allocated_INR]])</f>
        <v>51925.169999999984</v>
      </c>
      <c r="H774">
        <v>51925.17</v>
      </c>
      <c r="I774" s="1">
        <v>44984</v>
      </c>
      <c r="J774" t="s">
        <v>526</v>
      </c>
      <c r="K774" t="s">
        <v>560</v>
      </c>
      <c r="L774" t="s">
        <v>541</v>
      </c>
      <c r="M774" t="s">
        <v>528</v>
      </c>
      <c r="N774" t="s">
        <v>520</v>
      </c>
    </row>
    <row r="775" spans="1:15" x14ac:dyDescent="0.35">
      <c r="A775" t="s">
        <v>1341</v>
      </c>
      <c r="B775" t="s">
        <v>565</v>
      </c>
      <c r="C775" t="s">
        <v>581</v>
      </c>
      <c r="D775" t="s">
        <v>515</v>
      </c>
      <c r="E775">
        <v>198602</v>
      </c>
      <c r="F775">
        <v>226523.84</v>
      </c>
      <c r="G775">
        <f>IF(Table13[[#This Row],[Budget_Allocated_INR]]="","",Table13[[#This Row],[Amount_INR]]-Table13[[#This Row],[Budget_Allocated_INR]])</f>
        <v>-27921.839999999997</v>
      </c>
      <c r="H775">
        <v>-27921.84</v>
      </c>
      <c r="I775" s="1">
        <v>45303</v>
      </c>
      <c r="J775" t="s">
        <v>526</v>
      </c>
      <c r="K775" t="s">
        <v>540</v>
      </c>
      <c r="L775" t="s">
        <v>518</v>
      </c>
      <c r="M775" t="s">
        <v>528</v>
      </c>
      <c r="N775" t="s">
        <v>520</v>
      </c>
    </row>
    <row r="776" spans="1:15" x14ac:dyDescent="0.35">
      <c r="A776" t="s">
        <v>1342</v>
      </c>
      <c r="B776" t="s">
        <v>530</v>
      </c>
      <c r="C776" t="s">
        <v>531</v>
      </c>
      <c r="D776" t="s">
        <v>515</v>
      </c>
      <c r="E776">
        <v>8274</v>
      </c>
      <c r="F776">
        <v>7305.97</v>
      </c>
      <c r="G776">
        <f>IF(Table13[[#This Row],[Budget_Allocated_INR]]="","",Table13[[#This Row],[Amount_INR]]-Table13[[#This Row],[Budget_Allocated_INR]])</f>
        <v>968.02999999999975</v>
      </c>
      <c r="H776">
        <v>968.03</v>
      </c>
      <c r="I776" s="1">
        <v>45525</v>
      </c>
      <c r="J776" t="s">
        <v>516</v>
      </c>
      <c r="K776" t="s">
        <v>517</v>
      </c>
      <c r="L776" t="s">
        <v>536</v>
      </c>
      <c r="M776" t="s">
        <v>537</v>
      </c>
      <c r="N776" t="s">
        <v>520</v>
      </c>
    </row>
    <row r="777" spans="1:15" x14ac:dyDescent="0.35">
      <c r="A777" t="s">
        <v>1343</v>
      </c>
      <c r="B777" t="s">
        <v>545</v>
      </c>
      <c r="C777" t="s">
        <v>514</v>
      </c>
      <c r="D777" t="s">
        <v>593</v>
      </c>
      <c r="E777">
        <v>7375</v>
      </c>
      <c r="F777">
        <v>8604.23</v>
      </c>
      <c r="G777">
        <f>IF(Table13[[#This Row],[Budget_Allocated_INR]]="","",Table13[[#This Row],[Amount_INR]]-Table13[[#This Row],[Budget_Allocated_INR]])</f>
        <v>-1229.2299999999996</v>
      </c>
      <c r="H777">
        <v>-1229.23</v>
      </c>
      <c r="I777" s="1">
        <v>45709</v>
      </c>
      <c r="J777" t="s">
        <v>526</v>
      </c>
      <c r="K777" t="s">
        <v>560</v>
      </c>
      <c r="L777" t="s">
        <v>536</v>
      </c>
      <c r="M777" t="s">
        <v>537</v>
      </c>
      <c r="N777" t="s">
        <v>520</v>
      </c>
    </row>
    <row r="778" spans="1:15" x14ac:dyDescent="0.35">
      <c r="A778" t="s">
        <v>1344</v>
      </c>
      <c r="B778" t="s">
        <v>565</v>
      </c>
      <c r="C778" t="s">
        <v>514</v>
      </c>
      <c r="D778" t="s">
        <v>563</v>
      </c>
      <c r="E778">
        <v>12919</v>
      </c>
      <c r="F778">
        <v>13934.68</v>
      </c>
      <c r="G778">
        <f>IF(Table13[[#This Row],[Budget_Allocated_INR]]="","",Table13[[#This Row],[Amount_INR]]-Table13[[#This Row],[Budget_Allocated_INR]])</f>
        <v>-1015.6800000000003</v>
      </c>
      <c r="H778">
        <v>-1015.68</v>
      </c>
      <c r="I778" s="1">
        <v>45516</v>
      </c>
      <c r="J778" t="s">
        <v>526</v>
      </c>
      <c r="K778" t="s">
        <v>560</v>
      </c>
      <c r="L778" t="s">
        <v>536</v>
      </c>
      <c r="M778" t="s">
        <v>554</v>
      </c>
      <c r="N778" t="s">
        <v>520</v>
      </c>
    </row>
    <row r="779" spans="1:15" x14ac:dyDescent="0.35">
      <c r="A779" t="s">
        <v>1345</v>
      </c>
      <c r="B779" t="s">
        <v>530</v>
      </c>
      <c r="C779" t="s">
        <v>549</v>
      </c>
      <c r="D779" t="s">
        <v>563</v>
      </c>
      <c r="E779">
        <v>95949</v>
      </c>
      <c r="F779">
        <v>88296.02</v>
      </c>
      <c r="G779">
        <f>IF(Table13[[#This Row],[Budget_Allocated_INR]]="","",Table13[[#This Row],[Amount_INR]]-Table13[[#This Row],[Budget_Allocated_INR]])</f>
        <v>7652.9799999999959</v>
      </c>
      <c r="H779">
        <v>7652.98</v>
      </c>
      <c r="I779" s="1">
        <v>45588</v>
      </c>
      <c r="J779" t="s">
        <v>597</v>
      </c>
      <c r="K779" t="s">
        <v>527</v>
      </c>
      <c r="L779" t="s">
        <v>536</v>
      </c>
      <c r="M779" t="s">
        <v>537</v>
      </c>
      <c r="N779" t="s">
        <v>520</v>
      </c>
    </row>
    <row r="780" spans="1:15" x14ac:dyDescent="0.35">
      <c r="A780" t="s">
        <v>1346</v>
      </c>
      <c r="B780" t="s">
        <v>565</v>
      </c>
      <c r="C780" t="s">
        <v>599</v>
      </c>
      <c r="D780" t="s">
        <v>559</v>
      </c>
      <c r="E780">
        <v>496330</v>
      </c>
      <c r="F780">
        <v>435374.25</v>
      </c>
      <c r="G780">
        <f>IF(Table13[[#This Row],[Budget_Allocated_INR]]="","",Table13[[#This Row],[Amount_INR]]-Table13[[#This Row],[Budget_Allocated_INR]])</f>
        <v>60955.75</v>
      </c>
      <c r="H780">
        <v>60955.75</v>
      </c>
      <c r="I780" s="1">
        <v>45598</v>
      </c>
      <c r="J780" t="s">
        <v>526</v>
      </c>
      <c r="K780" t="s">
        <v>560</v>
      </c>
      <c r="L780" t="s">
        <v>536</v>
      </c>
      <c r="M780" t="s">
        <v>537</v>
      </c>
      <c r="N780" t="s">
        <v>520</v>
      </c>
    </row>
    <row r="781" spans="1:15" x14ac:dyDescent="0.35">
      <c r="A781" t="s">
        <v>1347</v>
      </c>
      <c r="B781" t="s">
        <v>545</v>
      </c>
      <c r="C781" t="s">
        <v>581</v>
      </c>
      <c r="D781" t="s">
        <v>515</v>
      </c>
      <c r="E781">
        <v>448339</v>
      </c>
      <c r="F781">
        <v>359746.24</v>
      </c>
      <c r="G781">
        <f>IF(Table13[[#This Row],[Budget_Allocated_INR]]="","",Table13[[#This Row],[Amount_INR]]-Table13[[#This Row],[Budget_Allocated_INR]])</f>
        <v>88592.760000000009</v>
      </c>
      <c r="H781">
        <v>88592.76</v>
      </c>
      <c r="I781" s="1">
        <v>45228</v>
      </c>
      <c r="J781" t="s">
        <v>516</v>
      </c>
      <c r="K781" t="s">
        <v>517</v>
      </c>
      <c r="L781" t="s">
        <v>518</v>
      </c>
      <c r="M781" t="s">
        <v>537</v>
      </c>
      <c r="N781" t="s">
        <v>520</v>
      </c>
      <c r="O781" t="s">
        <v>521</v>
      </c>
    </row>
    <row r="782" spans="1:15" x14ac:dyDescent="0.35">
      <c r="A782" t="s">
        <v>1348</v>
      </c>
      <c r="B782" t="s">
        <v>548</v>
      </c>
      <c r="C782" t="s">
        <v>549</v>
      </c>
      <c r="D782" t="s">
        <v>593</v>
      </c>
      <c r="E782">
        <v>168693</v>
      </c>
      <c r="F782">
        <v>161722.9</v>
      </c>
      <c r="G782">
        <f>IF(Table13[[#This Row],[Budget_Allocated_INR]]="","",Table13[[#This Row],[Amount_INR]]-Table13[[#This Row],[Budget_Allocated_INR]])</f>
        <v>6970.1000000000058</v>
      </c>
      <c r="H782">
        <v>6970.1</v>
      </c>
      <c r="I782" s="1">
        <v>44959</v>
      </c>
      <c r="J782" t="s">
        <v>516</v>
      </c>
      <c r="K782" t="s">
        <v>540</v>
      </c>
      <c r="L782" t="s">
        <v>541</v>
      </c>
      <c r="M782" t="s">
        <v>568</v>
      </c>
      <c r="N782" t="s">
        <v>520</v>
      </c>
    </row>
    <row r="783" spans="1:15" x14ac:dyDescent="0.35">
      <c r="A783" t="s">
        <v>1349</v>
      </c>
      <c r="B783" t="s">
        <v>565</v>
      </c>
      <c r="C783" t="s">
        <v>624</v>
      </c>
      <c r="D783" t="s">
        <v>525</v>
      </c>
      <c r="E783">
        <v>173546</v>
      </c>
      <c r="F783">
        <v>173452.46</v>
      </c>
      <c r="G783">
        <f>IF(Table13[[#This Row],[Budget_Allocated_INR]]="","",Table13[[#This Row],[Amount_INR]]-Table13[[#This Row],[Budget_Allocated_INR]])</f>
        <v>93.540000000008149</v>
      </c>
      <c r="H783">
        <v>93.54</v>
      </c>
      <c r="I783" s="1">
        <v>45170</v>
      </c>
      <c r="J783" t="s">
        <v>516</v>
      </c>
      <c r="K783" t="s">
        <v>540</v>
      </c>
      <c r="L783" t="s">
        <v>518</v>
      </c>
      <c r="M783" t="s">
        <v>537</v>
      </c>
      <c r="N783" t="s">
        <v>520</v>
      </c>
    </row>
    <row r="784" spans="1:15" x14ac:dyDescent="0.35">
      <c r="A784" t="s">
        <v>1350</v>
      </c>
      <c r="B784" t="s">
        <v>79</v>
      </c>
      <c r="C784" t="s">
        <v>543</v>
      </c>
      <c r="D784" t="s">
        <v>634</v>
      </c>
      <c r="E784">
        <v>412881</v>
      </c>
      <c r="F784">
        <v>340039.67999999999</v>
      </c>
      <c r="G784">
        <f>IF(Table13[[#This Row],[Budget_Allocated_INR]]="","",Table13[[#This Row],[Amount_INR]]-Table13[[#This Row],[Budget_Allocated_INR]])</f>
        <v>72841.320000000007</v>
      </c>
      <c r="H784">
        <v>72841.320000000007</v>
      </c>
      <c r="I784" s="1">
        <v>45000</v>
      </c>
      <c r="J784" t="s">
        <v>597</v>
      </c>
      <c r="K784" t="s">
        <v>527</v>
      </c>
      <c r="L784" t="s">
        <v>541</v>
      </c>
      <c r="M784" t="s">
        <v>537</v>
      </c>
      <c r="N784" t="s">
        <v>520</v>
      </c>
      <c r="O784" t="s">
        <v>521</v>
      </c>
    </row>
    <row r="785" spans="1:15" x14ac:dyDescent="0.35">
      <c r="A785" t="s">
        <v>1351</v>
      </c>
      <c r="B785" t="s">
        <v>530</v>
      </c>
      <c r="C785" t="s">
        <v>562</v>
      </c>
      <c r="D785" t="s">
        <v>539</v>
      </c>
      <c r="E785">
        <v>35927</v>
      </c>
      <c r="F785">
        <v>45914.36</v>
      </c>
      <c r="G785">
        <f>IF(Table13[[#This Row],[Budget_Allocated_INR]]="","",Table13[[#This Row],[Amount_INR]]-Table13[[#This Row],[Budget_Allocated_INR]])</f>
        <v>-9987.36</v>
      </c>
      <c r="H785">
        <v>-9987.36</v>
      </c>
      <c r="I785" s="1">
        <v>45300</v>
      </c>
      <c r="J785" t="s">
        <v>526</v>
      </c>
      <c r="K785" t="s">
        <v>560</v>
      </c>
      <c r="L785" t="s">
        <v>518</v>
      </c>
      <c r="M785" t="s">
        <v>537</v>
      </c>
      <c r="N785" t="s">
        <v>520</v>
      </c>
    </row>
    <row r="786" spans="1:15" x14ac:dyDescent="0.35">
      <c r="A786" t="s">
        <v>1352</v>
      </c>
      <c r="B786" t="s">
        <v>576</v>
      </c>
      <c r="C786" t="s">
        <v>524</v>
      </c>
      <c r="D786" t="s">
        <v>532</v>
      </c>
      <c r="E786">
        <v>390986</v>
      </c>
      <c r="F786">
        <v>404619.5</v>
      </c>
      <c r="G786">
        <f>IF(Table13[[#This Row],[Budget_Allocated_INR]]="","",Table13[[#This Row],[Amount_INR]]-Table13[[#This Row],[Budget_Allocated_INR]])</f>
        <v>-13633.5</v>
      </c>
      <c r="H786">
        <v>-13633.5</v>
      </c>
      <c r="I786" s="1">
        <v>45530</v>
      </c>
      <c r="J786" t="s">
        <v>526</v>
      </c>
      <c r="K786" t="s">
        <v>517</v>
      </c>
      <c r="L786" t="s">
        <v>536</v>
      </c>
      <c r="M786" t="s">
        <v>528</v>
      </c>
      <c r="N786" t="s">
        <v>520</v>
      </c>
    </row>
    <row r="787" spans="1:15" x14ac:dyDescent="0.35">
      <c r="A787" t="s">
        <v>1353</v>
      </c>
      <c r="B787" t="s">
        <v>545</v>
      </c>
      <c r="C787" t="s">
        <v>549</v>
      </c>
      <c r="D787" t="s">
        <v>584</v>
      </c>
      <c r="E787">
        <v>135960</v>
      </c>
      <c r="F787">
        <v>116749.08</v>
      </c>
      <c r="G787">
        <f>IF(Table13[[#This Row],[Budget_Allocated_INR]]="","",Table13[[#This Row],[Amount_INR]]-Table13[[#This Row],[Budget_Allocated_INR]])</f>
        <v>19210.919999999998</v>
      </c>
      <c r="H787">
        <v>19210.919999999998</v>
      </c>
      <c r="I787" s="1">
        <v>45258</v>
      </c>
      <c r="J787" t="s">
        <v>526</v>
      </c>
      <c r="K787" t="s">
        <v>527</v>
      </c>
      <c r="L787" t="s">
        <v>518</v>
      </c>
      <c r="M787" t="s">
        <v>568</v>
      </c>
      <c r="N787" t="s">
        <v>520</v>
      </c>
    </row>
    <row r="788" spans="1:15" x14ac:dyDescent="0.35">
      <c r="A788" t="s">
        <v>1354</v>
      </c>
      <c r="B788" t="s">
        <v>576</v>
      </c>
      <c r="C788" t="s">
        <v>514</v>
      </c>
      <c r="D788" t="s">
        <v>584</v>
      </c>
      <c r="E788">
        <v>-89871</v>
      </c>
      <c r="F788">
        <v>83190.36</v>
      </c>
      <c r="G788">
        <f>IF(Table13[[#This Row],[Budget_Allocated_INR]]="","",Table13[[#This Row],[Amount_INR]]-Table13[[#This Row],[Budget_Allocated_INR]])</f>
        <v>-173061.36</v>
      </c>
      <c r="H788">
        <v>6680.64</v>
      </c>
      <c r="I788" s="1">
        <v>45724</v>
      </c>
      <c r="J788" t="s">
        <v>526</v>
      </c>
      <c r="K788" t="s">
        <v>560</v>
      </c>
      <c r="L788" t="s">
        <v>536</v>
      </c>
      <c r="M788" t="s">
        <v>546</v>
      </c>
      <c r="N788" t="s">
        <v>582</v>
      </c>
    </row>
    <row r="789" spans="1:15" x14ac:dyDescent="0.35">
      <c r="A789" t="s">
        <v>1355</v>
      </c>
      <c r="B789" t="s">
        <v>576</v>
      </c>
      <c r="C789" t="s">
        <v>599</v>
      </c>
      <c r="D789" t="s">
        <v>593</v>
      </c>
      <c r="E789">
        <v>108072</v>
      </c>
      <c r="F789">
        <v>88284.56</v>
      </c>
      <c r="G789">
        <f>IF(Table13[[#This Row],[Budget_Allocated_INR]]="","",Table13[[#This Row],[Amount_INR]]-Table13[[#This Row],[Budget_Allocated_INR]])</f>
        <v>19787.440000000002</v>
      </c>
      <c r="H789">
        <v>19787.439999999999</v>
      </c>
      <c r="I789" s="1">
        <v>45081</v>
      </c>
      <c r="J789" t="s">
        <v>526</v>
      </c>
      <c r="K789" t="s">
        <v>560</v>
      </c>
      <c r="L789" t="s">
        <v>518</v>
      </c>
      <c r="M789" t="s">
        <v>519</v>
      </c>
      <c r="N789" t="s">
        <v>520</v>
      </c>
    </row>
    <row r="790" spans="1:15" x14ac:dyDescent="0.35">
      <c r="A790" t="s">
        <v>1356</v>
      </c>
      <c r="B790" t="s">
        <v>565</v>
      </c>
      <c r="C790" t="s">
        <v>552</v>
      </c>
      <c r="D790" t="s">
        <v>550</v>
      </c>
      <c r="E790">
        <v>428750</v>
      </c>
      <c r="F790">
        <v>479842.72</v>
      </c>
      <c r="G790">
        <f>IF(Table13[[#This Row],[Budget_Allocated_INR]]="","",Table13[[#This Row],[Amount_INR]]-Table13[[#This Row],[Budget_Allocated_INR]])</f>
        <v>-51092.719999999972</v>
      </c>
      <c r="H790">
        <v>-51092.72</v>
      </c>
      <c r="I790" s="1">
        <v>45429</v>
      </c>
      <c r="J790" t="s">
        <v>526</v>
      </c>
      <c r="K790" t="s">
        <v>560</v>
      </c>
      <c r="L790" t="s">
        <v>536</v>
      </c>
      <c r="M790" t="s">
        <v>519</v>
      </c>
      <c r="N790" t="s">
        <v>520</v>
      </c>
    </row>
    <row r="791" spans="1:15" x14ac:dyDescent="0.35">
      <c r="A791" t="s">
        <v>1357</v>
      </c>
      <c r="B791" t="s">
        <v>565</v>
      </c>
      <c r="C791" t="s">
        <v>596</v>
      </c>
      <c r="D791" t="s">
        <v>584</v>
      </c>
      <c r="E791">
        <v>239077</v>
      </c>
      <c r="F791">
        <v>200844.41</v>
      </c>
      <c r="G791">
        <f>IF(Table13[[#This Row],[Budget_Allocated_INR]]="","",Table13[[#This Row],[Amount_INR]]-Table13[[#This Row],[Budget_Allocated_INR]])</f>
        <v>38232.589999999997</v>
      </c>
      <c r="H791">
        <v>38232.589999999997</v>
      </c>
      <c r="I791" s="1">
        <v>45347</v>
      </c>
      <c r="J791" t="s">
        <v>526</v>
      </c>
      <c r="K791" t="s">
        <v>540</v>
      </c>
      <c r="L791" t="s">
        <v>518</v>
      </c>
      <c r="M791" t="s">
        <v>519</v>
      </c>
      <c r="N791" t="s">
        <v>520</v>
      </c>
    </row>
    <row r="792" spans="1:15" x14ac:dyDescent="0.35">
      <c r="A792" t="s">
        <v>1358</v>
      </c>
      <c r="B792" t="s">
        <v>548</v>
      </c>
      <c r="C792" t="s">
        <v>562</v>
      </c>
      <c r="D792" t="s">
        <v>550</v>
      </c>
      <c r="E792">
        <v>84385</v>
      </c>
      <c r="F792">
        <v>78834.36</v>
      </c>
      <c r="G792">
        <f>IF(Table13[[#This Row],[Budget_Allocated_INR]]="","",Table13[[#This Row],[Amount_INR]]-Table13[[#This Row],[Budget_Allocated_INR]])</f>
        <v>5550.6399999999994</v>
      </c>
      <c r="H792">
        <v>5550.64</v>
      </c>
      <c r="I792" s="1">
        <v>45550</v>
      </c>
      <c r="J792" t="s">
        <v>526</v>
      </c>
      <c r="K792" t="s">
        <v>527</v>
      </c>
      <c r="L792" t="s">
        <v>536</v>
      </c>
      <c r="M792" t="s">
        <v>537</v>
      </c>
      <c r="N792" t="s">
        <v>520</v>
      </c>
    </row>
    <row r="793" spans="1:15" x14ac:dyDescent="0.35">
      <c r="A793" t="s">
        <v>1359</v>
      </c>
      <c r="B793" t="s">
        <v>576</v>
      </c>
      <c r="C793" t="s">
        <v>562</v>
      </c>
      <c r="D793" t="s">
        <v>588</v>
      </c>
      <c r="E793">
        <v>388040</v>
      </c>
      <c r="F793">
        <v>410506.58</v>
      </c>
      <c r="G793">
        <f>IF(Table13[[#This Row],[Budget_Allocated_INR]]="","",Table13[[#This Row],[Amount_INR]]-Table13[[#This Row],[Budget_Allocated_INR]])</f>
        <v>-22466.580000000016</v>
      </c>
      <c r="H793">
        <v>-22466.58</v>
      </c>
      <c r="I793" s="1">
        <v>44934</v>
      </c>
      <c r="J793" t="s">
        <v>526</v>
      </c>
      <c r="K793" t="s">
        <v>527</v>
      </c>
      <c r="L793" t="s">
        <v>541</v>
      </c>
      <c r="M793" t="s">
        <v>519</v>
      </c>
      <c r="N793" t="s">
        <v>520</v>
      </c>
    </row>
    <row r="794" spans="1:15" x14ac:dyDescent="0.35">
      <c r="A794" t="s">
        <v>1360</v>
      </c>
      <c r="B794" t="s">
        <v>523</v>
      </c>
      <c r="C794" t="s">
        <v>549</v>
      </c>
      <c r="D794" t="s">
        <v>571</v>
      </c>
      <c r="E794">
        <v>287929</v>
      </c>
      <c r="F794">
        <v>321097.12</v>
      </c>
      <c r="G794">
        <f>IF(Table13[[#This Row],[Budget_Allocated_INR]]="","",Table13[[#This Row],[Amount_INR]]-Table13[[#This Row],[Budget_Allocated_INR]])</f>
        <v>-33168.119999999995</v>
      </c>
      <c r="H794">
        <v>-33168.120000000003</v>
      </c>
      <c r="I794" s="1">
        <v>45469</v>
      </c>
      <c r="J794" t="s">
        <v>597</v>
      </c>
      <c r="K794" t="s">
        <v>527</v>
      </c>
      <c r="L794" t="s">
        <v>536</v>
      </c>
      <c r="M794" t="s">
        <v>537</v>
      </c>
      <c r="N794" t="s">
        <v>520</v>
      </c>
      <c r="O794" t="s">
        <v>521</v>
      </c>
    </row>
    <row r="795" spans="1:15" x14ac:dyDescent="0.35">
      <c r="A795" t="s">
        <v>1361</v>
      </c>
      <c r="B795" t="s">
        <v>530</v>
      </c>
      <c r="C795" t="s">
        <v>596</v>
      </c>
      <c r="D795" t="s">
        <v>588</v>
      </c>
      <c r="E795">
        <v>32986</v>
      </c>
      <c r="F795">
        <v>39333.22</v>
      </c>
      <c r="G795">
        <f>IF(Table13[[#This Row],[Budget_Allocated_INR]]="","",Table13[[#This Row],[Amount_INR]]-Table13[[#This Row],[Budget_Allocated_INR]])</f>
        <v>-6347.2200000000012</v>
      </c>
      <c r="H795">
        <v>-6347.22</v>
      </c>
      <c r="I795" s="1">
        <v>45116</v>
      </c>
      <c r="J795" t="s">
        <v>526</v>
      </c>
      <c r="K795" t="s">
        <v>560</v>
      </c>
      <c r="L795" t="s">
        <v>518</v>
      </c>
      <c r="M795" t="s">
        <v>537</v>
      </c>
      <c r="N795" t="s">
        <v>520</v>
      </c>
    </row>
    <row r="796" spans="1:15" x14ac:dyDescent="0.35">
      <c r="A796" t="s">
        <v>1362</v>
      </c>
      <c r="B796" t="s">
        <v>565</v>
      </c>
      <c r="C796" t="s">
        <v>596</v>
      </c>
      <c r="D796" t="s">
        <v>515</v>
      </c>
      <c r="E796">
        <v>156627</v>
      </c>
      <c r="F796">
        <v>127580.83</v>
      </c>
      <c r="G796">
        <f>IF(Table13[[#This Row],[Budget_Allocated_INR]]="","",Table13[[#This Row],[Amount_INR]]-Table13[[#This Row],[Budget_Allocated_INR]])</f>
        <v>29046.17</v>
      </c>
      <c r="H796">
        <v>29046.17</v>
      </c>
      <c r="I796" s="1">
        <v>45354</v>
      </c>
      <c r="J796" t="s">
        <v>526</v>
      </c>
      <c r="K796" t="s">
        <v>527</v>
      </c>
      <c r="L796" t="s">
        <v>518</v>
      </c>
      <c r="M796" t="s">
        <v>537</v>
      </c>
      <c r="N796" t="s">
        <v>520</v>
      </c>
    </row>
    <row r="797" spans="1:15" x14ac:dyDescent="0.35">
      <c r="A797" t="s">
        <v>1363</v>
      </c>
      <c r="B797" t="s">
        <v>576</v>
      </c>
      <c r="C797" t="s">
        <v>514</v>
      </c>
      <c r="D797" t="s">
        <v>539</v>
      </c>
      <c r="E797">
        <v>253063</v>
      </c>
      <c r="F797">
        <v>286029.01</v>
      </c>
      <c r="G797">
        <f>IF(Table13[[#This Row],[Budget_Allocated_INR]]="","",Table13[[#This Row],[Amount_INR]]-Table13[[#This Row],[Budget_Allocated_INR]])</f>
        <v>-32966.010000000009</v>
      </c>
      <c r="H797">
        <v>-32966.01</v>
      </c>
      <c r="I797" s="1">
        <v>45655</v>
      </c>
      <c r="J797" t="s">
        <v>526</v>
      </c>
      <c r="K797" t="s">
        <v>527</v>
      </c>
      <c r="L797" t="s">
        <v>536</v>
      </c>
      <c r="M797" t="s">
        <v>554</v>
      </c>
      <c r="N797" t="s">
        <v>520</v>
      </c>
    </row>
    <row r="798" spans="1:15" x14ac:dyDescent="0.35">
      <c r="A798" t="s">
        <v>1364</v>
      </c>
      <c r="B798" t="s">
        <v>576</v>
      </c>
      <c r="C798" t="s">
        <v>599</v>
      </c>
      <c r="D798" t="s">
        <v>525</v>
      </c>
      <c r="E798">
        <v>404024</v>
      </c>
      <c r="F798">
        <v>467959</v>
      </c>
      <c r="G798">
        <f>IF(Table13[[#This Row],[Budget_Allocated_INR]]="","",Table13[[#This Row],[Amount_INR]]-Table13[[#This Row],[Budget_Allocated_INR]])</f>
        <v>-63935</v>
      </c>
      <c r="H798">
        <v>-63935</v>
      </c>
      <c r="I798" s="1">
        <v>45230</v>
      </c>
      <c r="J798" t="s">
        <v>526</v>
      </c>
      <c r="K798" t="s">
        <v>540</v>
      </c>
      <c r="L798" t="s">
        <v>518</v>
      </c>
      <c r="M798" t="s">
        <v>546</v>
      </c>
      <c r="N798" t="s">
        <v>520</v>
      </c>
    </row>
    <row r="799" spans="1:15" x14ac:dyDescent="0.35">
      <c r="A799" t="s">
        <v>1365</v>
      </c>
      <c r="B799" t="s">
        <v>545</v>
      </c>
      <c r="C799" t="s">
        <v>599</v>
      </c>
      <c r="D799" t="s">
        <v>553</v>
      </c>
      <c r="E799">
        <v>229257</v>
      </c>
      <c r="F799">
        <v>239289.46</v>
      </c>
      <c r="G799">
        <f>IF(Table13[[#This Row],[Budget_Allocated_INR]]="","",Table13[[#This Row],[Amount_INR]]-Table13[[#This Row],[Budget_Allocated_INR]])</f>
        <v>-10032.459999999992</v>
      </c>
      <c r="H799">
        <v>-10032.459999999999</v>
      </c>
      <c r="I799" s="1">
        <v>45071</v>
      </c>
      <c r="J799" t="s">
        <v>526</v>
      </c>
      <c r="K799" t="s">
        <v>527</v>
      </c>
      <c r="L799" t="s">
        <v>518</v>
      </c>
      <c r="M799" t="s">
        <v>537</v>
      </c>
      <c r="N799" t="s">
        <v>520</v>
      </c>
    </row>
    <row r="800" spans="1:15" x14ac:dyDescent="0.35">
      <c r="A800" t="s">
        <v>1366</v>
      </c>
      <c r="B800" t="s">
        <v>576</v>
      </c>
      <c r="C800" t="s">
        <v>586</v>
      </c>
      <c r="D800" t="s">
        <v>553</v>
      </c>
      <c r="E800">
        <v>125151</v>
      </c>
      <c r="F800">
        <v>111634.11</v>
      </c>
      <c r="G800">
        <f>IF(Table13[[#This Row],[Budget_Allocated_INR]]="","",Table13[[#This Row],[Amount_INR]]-Table13[[#This Row],[Budget_Allocated_INR]])</f>
        <v>13516.89</v>
      </c>
      <c r="H800">
        <v>13516.89</v>
      </c>
      <c r="I800" s="1">
        <v>44950</v>
      </c>
      <c r="J800" t="s">
        <v>526</v>
      </c>
      <c r="K800" t="s">
        <v>560</v>
      </c>
      <c r="L800" t="s">
        <v>541</v>
      </c>
      <c r="M800" t="s">
        <v>519</v>
      </c>
      <c r="N800" t="s">
        <v>520</v>
      </c>
    </row>
    <row r="801" spans="1:15" x14ac:dyDescent="0.35">
      <c r="A801" t="s">
        <v>1367</v>
      </c>
      <c r="B801" t="s">
        <v>545</v>
      </c>
      <c r="C801" t="s">
        <v>586</v>
      </c>
      <c r="D801" t="s">
        <v>525</v>
      </c>
      <c r="E801">
        <v>443067</v>
      </c>
      <c r="F801">
        <v>406271.66</v>
      </c>
      <c r="G801">
        <f>IF(Table13[[#This Row],[Budget_Allocated_INR]]="","",Table13[[#This Row],[Amount_INR]]-Table13[[#This Row],[Budget_Allocated_INR]])</f>
        <v>36795.340000000026</v>
      </c>
      <c r="H801">
        <v>36795.339999999997</v>
      </c>
      <c r="I801" s="1">
        <v>45015</v>
      </c>
      <c r="J801" t="s">
        <v>526</v>
      </c>
      <c r="K801" t="s">
        <v>540</v>
      </c>
      <c r="L801" t="s">
        <v>541</v>
      </c>
      <c r="M801" t="s">
        <v>554</v>
      </c>
      <c r="N801" t="s">
        <v>520</v>
      </c>
    </row>
    <row r="802" spans="1:15" x14ac:dyDescent="0.35">
      <c r="A802" t="s">
        <v>1368</v>
      </c>
      <c r="B802" t="s">
        <v>565</v>
      </c>
      <c r="C802" t="s">
        <v>552</v>
      </c>
      <c r="D802" t="s">
        <v>550</v>
      </c>
      <c r="E802">
        <v>-492588</v>
      </c>
      <c r="F802">
        <v>629810.97</v>
      </c>
      <c r="G802">
        <f>IF(Table13[[#This Row],[Budget_Allocated_INR]]="","",Table13[[#This Row],[Amount_INR]]-Table13[[#This Row],[Budget_Allocated_INR]])</f>
        <v>-1122398.97</v>
      </c>
      <c r="H802">
        <v>-137222.97</v>
      </c>
      <c r="I802" s="1">
        <v>45626</v>
      </c>
      <c r="J802" t="s">
        <v>526</v>
      </c>
      <c r="K802" t="s">
        <v>527</v>
      </c>
      <c r="L802" t="s">
        <v>536</v>
      </c>
      <c r="M802" t="s">
        <v>537</v>
      </c>
      <c r="N802" t="s">
        <v>582</v>
      </c>
    </row>
    <row r="803" spans="1:15" x14ac:dyDescent="0.35">
      <c r="A803" t="s">
        <v>1369</v>
      </c>
      <c r="B803" t="s">
        <v>534</v>
      </c>
      <c r="C803" t="s">
        <v>599</v>
      </c>
      <c r="D803" t="s">
        <v>535</v>
      </c>
      <c r="E803">
        <v>279567</v>
      </c>
      <c r="F803">
        <v>251553.16</v>
      </c>
      <c r="G803">
        <f>IF(Table13[[#This Row],[Budget_Allocated_INR]]="","",Table13[[#This Row],[Amount_INR]]-Table13[[#This Row],[Budget_Allocated_INR]])</f>
        <v>28013.839999999997</v>
      </c>
      <c r="H803">
        <v>28013.84</v>
      </c>
      <c r="I803" s="1">
        <v>45710</v>
      </c>
      <c r="J803" t="s">
        <v>597</v>
      </c>
      <c r="K803" t="s">
        <v>517</v>
      </c>
      <c r="L803" t="s">
        <v>536</v>
      </c>
      <c r="M803" t="s">
        <v>568</v>
      </c>
      <c r="N803" t="s">
        <v>520</v>
      </c>
      <c r="O803" t="s">
        <v>521</v>
      </c>
    </row>
    <row r="804" spans="1:15" x14ac:dyDescent="0.35">
      <c r="A804" t="s">
        <v>1370</v>
      </c>
      <c r="B804" t="s">
        <v>534</v>
      </c>
      <c r="C804" t="s">
        <v>549</v>
      </c>
      <c r="D804" t="s">
        <v>588</v>
      </c>
      <c r="E804">
        <v>380515</v>
      </c>
      <c r="G804" t="str">
        <f>IF(Table13[[#This Row],[Budget_Allocated_INR]]="","",Table13[[#This Row],[Amount_INR]]-Table13[[#This Row],[Budget_Allocated_INR]])</f>
        <v/>
      </c>
      <c r="H804">
        <v>-20196.47</v>
      </c>
      <c r="I804" s="1">
        <v>45254</v>
      </c>
      <c r="J804" t="s">
        <v>526</v>
      </c>
      <c r="K804" t="s">
        <v>517</v>
      </c>
      <c r="L804" t="s">
        <v>518</v>
      </c>
      <c r="M804" t="s">
        <v>528</v>
      </c>
      <c r="N804" t="s">
        <v>520</v>
      </c>
    </row>
    <row r="805" spans="1:15" x14ac:dyDescent="0.35">
      <c r="A805" t="s">
        <v>1371</v>
      </c>
      <c r="B805" t="s">
        <v>565</v>
      </c>
      <c r="C805" t="s">
        <v>524</v>
      </c>
      <c r="D805" t="s">
        <v>525</v>
      </c>
      <c r="E805">
        <v>335067</v>
      </c>
      <c r="F805">
        <v>363966</v>
      </c>
      <c r="G805">
        <f>IF(Table13[[#This Row],[Budget_Allocated_INR]]="","",Table13[[#This Row],[Amount_INR]]-Table13[[#This Row],[Budget_Allocated_INR]])</f>
        <v>-28899</v>
      </c>
      <c r="H805">
        <v>-28899</v>
      </c>
      <c r="I805" s="1">
        <v>45734</v>
      </c>
      <c r="J805" t="s">
        <v>526</v>
      </c>
      <c r="K805" t="s">
        <v>540</v>
      </c>
      <c r="L805" t="s">
        <v>536</v>
      </c>
      <c r="M805" t="s">
        <v>537</v>
      </c>
      <c r="N805" t="s">
        <v>520</v>
      </c>
    </row>
    <row r="806" spans="1:15" x14ac:dyDescent="0.35">
      <c r="A806" t="s">
        <v>1372</v>
      </c>
      <c r="B806" t="s">
        <v>548</v>
      </c>
      <c r="C806" t="s">
        <v>562</v>
      </c>
      <c r="D806" t="s">
        <v>571</v>
      </c>
      <c r="E806">
        <v>473508</v>
      </c>
      <c r="F806">
        <v>539400.85</v>
      </c>
      <c r="G806">
        <f>IF(Table13[[#This Row],[Budget_Allocated_INR]]="","",Table13[[#This Row],[Amount_INR]]-Table13[[#This Row],[Budget_Allocated_INR]])</f>
        <v>-65892.849999999977</v>
      </c>
      <c r="H806">
        <v>-65892.850000000006</v>
      </c>
      <c r="I806" s="1">
        <v>45160</v>
      </c>
      <c r="J806" t="s">
        <v>597</v>
      </c>
      <c r="K806" t="s">
        <v>527</v>
      </c>
      <c r="L806" t="s">
        <v>518</v>
      </c>
      <c r="M806" t="s">
        <v>537</v>
      </c>
      <c r="N806" t="s">
        <v>520</v>
      </c>
      <c r="O806" t="s">
        <v>521</v>
      </c>
    </row>
    <row r="807" spans="1:15" x14ac:dyDescent="0.35">
      <c r="A807" t="s">
        <v>1373</v>
      </c>
      <c r="B807" t="s">
        <v>545</v>
      </c>
      <c r="C807" t="s">
        <v>581</v>
      </c>
      <c r="D807" t="s">
        <v>539</v>
      </c>
      <c r="E807">
        <v>384032</v>
      </c>
      <c r="F807">
        <v>396359.56</v>
      </c>
      <c r="G807">
        <f>IF(Table13[[#This Row],[Budget_Allocated_INR]]="","",Table13[[#This Row],[Amount_INR]]-Table13[[#This Row],[Budget_Allocated_INR]])</f>
        <v>-12327.559999999998</v>
      </c>
      <c r="H807">
        <v>-12327.56</v>
      </c>
      <c r="I807" s="1">
        <v>45526</v>
      </c>
      <c r="J807" t="s">
        <v>526</v>
      </c>
      <c r="K807" t="s">
        <v>540</v>
      </c>
      <c r="L807" t="s">
        <v>536</v>
      </c>
      <c r="M807" t="s">
        <v>554</v>
      </c>
      <c r="N807" t="s">
        <v>520</v>
      </c>
    </row>
    <row r="808" spans="1:15" x14ac:dyDescent="0.35">
      <c r="A808" t="s">
        <v>1374</v>
      </c>
      <c r="B808" t="s">
        <v>576</v>
      </c>
      <c r="C808" t="s">
        <v>558</v>
      </c>
      <c r="D808" t="s">
        <v>593</v>
      </c>
      <c r="E808">
        <v>246878</v>
      </c>
      <c r="F808">
        <v>295590.25</v>
      </c>
      <c r="G808">
        <f>IF(Table13[[#This Row],[Budget_Allocated_INR]]="","",Table13[[#This Row],[Amount_INR]]-Table13[[#This Row],[Budget_Allocated_INR]])</f>
        <v>-48712.25</v>
      </c>
      <c r="H808">
        <v>-48712.25</v>
      </c>
      <c r="I808" s="1">
        <v>45539</v>
      </c>
      <c r="J808" t="s">
        <v>526</v>
      </c>
      <c r="K808" t="s">
        <v>527</v>
      </c>
      <c r="L808" t="s">
        <v>536</v>
      </c>
      <c r="M808" t="s">
        <v>537</v>
      </c>
      <c r="N808" t="s">
        <v>520</v>
      </c>
    </row>
    <row r="809" spans="1:15" x14ac:dyDescent="0.35">
      <c r="A809" t="s">
        <v>1375</v>
      </c>
      <c r="B809" t="s">
        <v>523</v>
      </c>
      <c r="C809" t="s">
        <v>596</v>
      </c>
      <c r="D809" t="s">
        <v>574</v>
      </c>
      <c r="E809">
        <v>358219</v>
      </c>
      <c r="F809">
        <v>298904.96000000002</v>
      </c>
      <c r="G809">
        <f>IF(Table13[[#This Row],[Budget_Allocated_INR]]="","",Table13[[#This Row],[Amount_INR]]-Table13[[#This Row],[Budget_Allocated_INR]])</f>
        <v>59314.039999999979</v>
      </c>
      <c r="H809">
        <v>59314.04</v>
      </c>
      <c r="I809" s="1">
        <v>45678</v>
      </c>
      <c r="J809" t="s">
        <v>516</v>
      </c>
      <c r="K809" t="s">
        <v>517</v>
      </c>
      <c r="L809" t="s">
        <v>536</v>
      </c>
      <c r="M809" t="s">
        <v>568</v>
      </c>
      <c r="N809" t="s">
        <v>520</v>
      </c>
      <c r="O809" t="s">
        <v>521</v>
      </c>
    </row>
    <row r="810" spans="1:15" x14ac:dyDescent="0.35">
      <c r="A810" t="s">
        <v>1376</v>
      </c>
      <c r="B810" t="s">
        <v>576</v>
      </c>
      <c r="C810" t="s">
        <v>562</v>
      </c>
      <c r="D810" t="s">
        <v>563</v>
      </c>
      <c r="E810">
        <v>475278</v>
      </c>
      <c r="F810">
        <v>418002.98</v>
      </c>
      <c r="G810">
        <f>IF(Table13[[#This Row],[Budget_Allocated_INR]]="","",Table13[[#This Row],[Amount_INR]]-Table13[[#This Row],[Budget_Allocated_INR]])</f>
        <v>57275.020000000019</v>
      </c>
      <c r="H810">
        <v>57275.02</v>
      </c>
      <c r="I810" s="1">
        <v>45008</v>
      </c>
      <c r="J810" t="s">
        <v>526</v>
      </c>
      <c r="K810" t="s">
        <v>560</v>
      </c>
      <c r="L810" t="s">
        <v>541</v>
      </c>
      <c r="M810" t="s">
        <v>537</v>
      </c>
      <c r="N810" t="s">
        <v>520</v>
      </c>
    </row>
    <row r="811" spans="1:15" x14ac:dyDescent="0.35">
      <c r="A811" t="s">
        <v>1377</v>
      </c>
      <c r="B811" t="s">
        <v>548</v>
      </c>
      <c r="C811" t="s">
        <v>562</v>
      </c>
      <c r="D811" t="s">
        <v>593</v>
      </c>
      <c r="E811">
        <v>217149</v>
      </c>
      <c r="F811">
        <v>208982.39999999999</v>
      </c>
      <c r="G811">
        <f>IF(Table13[[#This Row],[Budget_Allocated_INR]]="","",Table13[[#This Row],[Amount_INR]]-Table13[[#This Row],[Budget_Allocated_INR]])</f>
        <v>8166.6000000000058</v>
      </c>
      <c r="H811">
        <v>8166.6</v>
      </c>
      <c r="I811" s="1">
        <v>45324</v>
      </c>
      <c r="J811" t="s">
        <v>526</v>
      </c>
      <c r="K811" t="s">
        <v>560</v>
      </c>
      <c r="L811" t="s">
        <v>518</v>
      </c>
      <c r="M811" t="s">
        <v>537</v>
      </c>
      <c r="N811" t="s">
        <v>520</v>
      </c>
    </row>
    <row r="812" spans="1:15" x14ac:dyDescent="0.35">
      <c r="A812" t="s">
        <v>1378</v>
      </c>
      <c r="B812" t="s">
        <v>534</v>
      </c>
      <c r="C812" t="s">
        <v>581</v>
      </c>
      <c r="D812" t="s">
        <v>532</v>
      </c>
      <c r="E812">
        <v>265427</v>
      </c>
      <c r="F812">
        <v>274377.01</v>
      </c>
      <c r="G812">
        <f>IF(Table13[[#This Row],[Budget_Allocated_INR]]="","",Table13[[#This Row],[Amount_INR]]-Table13[[#This Row],[Budget_Allocated_INR]])</f>
        <v>-8950.0100000000093</v>
      </c>
      <c r="H812">
        <v>-8950.01</v>
      </c>
      <c r="I812" s="1">
        <v>45620</v>
      </c>
      <c r="J812" t="s">
        <v>516</v>
      </c>
      <c r="K812" t="s">
        <v>560</v>
      </c>
      <c r="L812" t="s">
        <v>536</v>
      </c>
      <c r="M812" t="s">
        <v>537</v>
      </c>
      <c r="N812" t="s">
        <v>520</v>
      </c>
      <c r="O812" t="s">
        <v>521</v>
      </c>
    </row>
    <row r="813" spans="1:15" x14ac:dyDescent="0.35">
      <c r="A813" t="s">
        <v>1379</v>
      </c>
      <c r="B813" t="s">
        <v>534</v>
      </c>
      <c r="C813" t="s">
        <v>581</v>
      </c>
      <c r="D813" t="s">
        <v>588</v>
      </c>
      <c r="E813">
        <v>27117</v>
      </c>
      <c r="F813">
        <v>33382.21</v>
      </c>
      <c r="G813">
        <f>IF(Table13[[#This Row],[Budget_Allocated_INR]]="","",Table13[[#This Row],[Amount_INR]]-Table13[[#This Row],[Budget_Allocated_INR]])</f>
        <v>-6265.2099999999991</v>
      </c>
      <c r="H813">
        <v>-6265.21</v>
      </c>
      <c r="I813" s="1">
        <v>45716</v>
      </c>
      <c r="J813" t="s">
        <v>526</v>
      </c>
      <c r="K813" t="s">
        <v>527</v>
      </c>
      <c r="L813" t="s">
        <v>536</v>
      </c>
      <c r="M813" t="s">
        <v>537</v>
      </c>
      <c r="N813" t="s">
        <v>520</v>
      </c>
    </row>
    <row r="814" spans="1:15" x14ac:dyDescent="0.35">
      <c r="A814" t="s">
        <v>1380</v>
      </c>
      <c r="B814" t="s">
        <v>576</v>
      </c>
      <c r="C814" t="s">
        <v>581</v>
      </c>
      <c r="D814" t="s">
        <v>515</v>
      </c>
      <c r="E814">
        <v>486269</v>
      </c>
      <c r="F814">
        <v>401150.6</v>
      </c>
      <c r="G814">
        <f>IF(Table13[[#This Row],[Budget_Allocated_INR]]="","",Table13[[#This Row],[Amount_INR]]-Table13[[#This Row],[Budget_Allocated_INR]])</f>
        <v>85118.400000000023</v>
      </c>
      <c r="H814">
        <v>85118.399999999994</v>
      </c>
      <c r="I814" s="1">
        <v>45481</v>
      </c>
      <c r="J814" t="s">
        <v>526</v>
      </c>
      <c r="K814" t="s">
        <v>517</v>
      </c>
      <c r="L814" t="s">
        <v>536</v>
      </c>
      <c r="M814" t="s">
        <v>537</v>
      </c>
      <c r="N814" t="s">
        <v>520</v>
      </c>
    </row>
    <row r="815" spans="1:15" x14ac:dyDescent="0.35">
      <c r="A815" t="s">
        <v>1381</v>
      </c>
      <c r="B815" t="s">
        <v>534</v>
      </c>
      <c r="C815" t="s">
        <v>562</v>
      </c>
      <c r="D815" t="s">
        <v>563</v>
      </c>
      <c r="E815">
        <v>490350</v>
      </c>
      <c r="F815">
        <v>534460.18999999994</v>
      </c>
      <c r="G815">
        <f>IF(Table13[[#This Row],[Budget_Allocated_INR]]="","",Table13[[#This Row],[Amount_INR]]-Table13[[#This Row],[Budget_Allocated_INR]])</f>
        <v>-44110.189999999944</v>
      </c>
      <c r="H815">
        <v>-44110.19</v>
      </c>
      <c r="I815" s="1">
        <v>45149</v>
      </c>
      <c r="J815" t="s">
        <v>526</v>
      </c>
      <c r="K815" t="s">
        <v>540</v>
      </c>
      <c r="L815" t="s">
        <v>518</v>
      </c>
      <c r="M815" t="s">
        <v>528</v>
      </c>
      <c r="N815" t="s">
        <v>520</v>
      </c>
    </row>
    <row r="816" spans="1:15" x14ac:dyDescent="0.35">
      <c r="A816" t="s">
        <v>1382</v>
      </c>
      <c r="B816" t="s">
        <v>534</v>
      </c>
      <c r="C816" t="s">
        <v>531</v>
      </c>
      <c r="D816" t="s">
        <v>605</v>
      </c>
      <c r="E816">
        <v>320947</v>
      </c>
      <c r="F816">
        <v>256776.3</v>
      </c>
      <c r="G816">
        <f>IF(Table13[[#This Row],[Budget_Allocated_INR]]="","",Table13[[#This Row],[Amount_INR]]-Table13[[#This Row],[Budget_Allocated_INR]])</f>
        <v>64170.700000000012</v>
      </c>
      <c r="H816">
        <v>64170.7</v>
      </c>
      <c r="I816" s="1">
        <v>44936</v>
      </c>
      <c r="J816" t="s">
        <v>526</v>
      </c>
      <c r="K816" t="s">
        <v>517</v>
      </c>
      <c r="L816" t="s">
        <v>541</v>
      </c>
      <c r="M816" t="s">
        <v>537</v>
      </c>
      <c r="N816" t="s">
        <v>520</v>
      </c>
    </row>
    <row r="817" spans="1:15" x14ac:dyDescent="0.35">
      <c r="A817" t="s">
        <v>1383</v>
      </c>
      <c r="B817" t="s">
        <v>548</v>
      </c>
      <c r="C817" t="s">
        <v>549</v>
      </c>
      <c r="D817" t="s">
        <v>574</v>
      </c>
      <c r="E817">
        <v>317409</v>
      </c>
      <c r="F817">
        <v>267579.83</v>
      </c>
      <c r="G817">
        <f>IF(Table13[[#This Row],[Budget_Allocated_INR]]="","",Table13[[#This Row],[Amount_INR]]-Table13[[#This Row],[Budget_Allocated_INR]])</f>
        <v>49829.169999999984</v>
      </c>
      <c r="H817">
        <v>49829.17</v>
      </c>
      <c r="I817" s="1">
        <v>45292</v>
      </c>
      <c r="J817" t="s">
        <v>526</v>
      </c>
      <c r="K817" t="s">
        <v>527</v>
      </c>
      <c r="L817" t="s">
        <v>518</v>
      </c>
      <c r="M817" t="s">
        <v>568</v>
      </c>
      <c r="N817" t="s">
        <v>520</v>
      </c>
    </row>
    <row r="818" spans="1:15" x14ac:dyDescent="0.35">
      <c r="A818" t="s">
        <v>1384</v>
      </c>
      <c r="B818" t="s">
        <v>530</v>
      </c>
      <c r="C818" t="s">
        <v>558</v>
      </c>
      <c r="D818" t="s">
        <v>588</v>
      </c>
      <c r="E818">
        <v>447953</v>
      </c>
      <c r="F818">
        <v>542934.6</v>
      </c>
      <c r="G818">
        <f>IF(Table13[[#This Row],[Budget_Allocated_INR]]="","",Table13[[#This Row],[Amount_INR]]-Table13[[#This Row],[Budget_Allocated_INR]])</f>
        <v>-94981.599999999977</v>
      </c>
      <c r="H818">
        <v>-94981.6</v>
      </c>
      <c r="I818" s="1">
        <v>44943</v>
      </c>
      <c r="J818" t="s">
        <v>516</v>
      </c>
      <c r="K818" t="s">
        <v>560</v>
      </c>
      <c r="L818" t="s">
        <v>541</v>
      </c>
      <c r="M818" t="s">
        <v>519</v>
      </c>
      <c r="N818" t="s">
        <v>520</v>
      </c>
      <c r="O818" t="s">
        <v>521</v>
      </c>
    </row>
    <row r="819" spans="1:15" x14ac:dyDescent="0.35">
      <c r="A819" t="s">
        <v>1385</v>
      </c>
      <c r="B819" t="s">
        <v>576</v>
      </c>
      <c r="C819" t="s">
        <v>543</v>
      </c>
      <c r="D819" t="s">
        <v>532</v>
      </c>
      <c r="E819">
        <v>42730</v>
      </c>
      <c r="F819">
        <v>54657.81</v>
      </c>
      <c r="G819">
        <f>IF(Table13[[#This Row],[Budget_Allocated_INR]]="","",Table13[[#This Row],[Amount_INR]]-Table13[[#This Row],[Budget_Allocated_INR]])</f>
        <v>-11927.809999999998</v>
      </c>
      <c r="H819">
        <v>-11927.81</v>
      </c>
      <c r="I819" s="1">
        <v>45093</v>
      </c>
      <c r="J819" t="s">
        <v>526</v>
      </c>
      <c r="K819" t="s">
        <v>527</v>
      </c>
      <c r="L819" t="s">
        <v>518</v>
      </c>
      <c r="M819" t="s">
        <v>528</v>
      </c>
      <c r="N819" t="s">
        <v>520</v>
      </c>
    </row>
    <row r="820" spans="1:15" x14ac:dyDescent="0.35">
      <c r="A820" t="s">
        <v>1386</v>
      </c>
      <c r="B820" t="s">
        <v>548</v>
      </c>
      <c r="C820" t="s">
        <v>562</v>
      </c>
      <c r="D820" t="s">
        <v>539</v>
      </c>
      <c r="E820">
        <v>157027</v>
      </c>
      <c r="F820">
        <v>131202.97</v>
      </c>
      <c r="G820">
        <f>IF(Table13[[#This Row],[Budget_Allocated_INR]]="","",Table13[[#This Row],[Amount_INR]]-Table13[[#This Row],[Budget_Allocated_INR]])</f>
        <v>25824.03</v>
      </c>
      <c r="H820">
        <v>25824.03</v>
      </c>
      <c r="I820" s="1">
        <v>44968</v>
      </c>
      <c r="J820" t="s">
        <v>516</v>
      </c>
      <c r="K820" t="s">
        <v>527</v>
      </c>
      <c r="L820" t="s">
        <v>541</v>
      </c>
      <c r="M820" t="s">
        <v>528</v>
      </c>
      <c r="N820" t="s">
        <v>520</v>
      </c>
    </row>
    <row r="821" spans="1:15" x14ac:dyDescent="0.35">
      <c r="A821" t="s">
        <v>1387</v>
      </c>
      <c r="B821" t="s">
        <v>523</v>
      </c>
      <c r="C821" t="s">
        <v>581</v>
      </c>
      <c r="D821" t="s">
        <v>584</v>
      </c>
      <c r="E821">
        <v>201521</v>
      </c>
      <c r="F821">
        <v>189535.4</v>
      </c>
      <c r="G821">
        <f>IF(Table13[[#This Row],[Budget_Allocated_INR]]="","",Table13[[#This Row],[Amount_INR]]-Table13[[#This Row],[Budget_Allocated_INR]])</f>
        <v>11985.600000000006</v>
      </c>
      <c r="H821">
        <v>11985.6</v>
      </c>
      <c r="I821" s="1">
        <v>44934</v>
      </c>
      <c r="J821" t="s">
        <v>526</v>
      </c>
      <c r="K821" t="s">
        <v>527</v>
      </c>
      <c r="L821" t="s">
        <v>541</v>
      </c>
      <c r="M821" t="s">
        <v>537</v>
      </c>
      <c r="N821" t="s">
        <v>520</v>
      </c>
    </row>
    <row r="822" spans="1:15" x14ac:dyDescent="0.35">
      <c r="A822" t="s">
        <v>1388</v>
      </c>
      <c r="B822" t="s">
        <v>545</v>
      </c>
      <c r="C822" t="s">
        <v>581</v>
      </c>
      <c r="D822" t="s">
        <v>605</v>
      </c>
      <c r="E822">
        <v>51013</v>
      </c>
      <c r="F822">
        <v>53300.56</v>
      </c>
      <c r="G822">
        <f>IF(Table13[[#This Row],[Budget_Allocated_INR]]="","",Table13[[#This Row],[Amount_INR]]-Table13[[#This Row],[Budget_Allocated_INR]])</f>
        <v>-2287.5599999999977</v>
      </c>
      <c r="H822">
        <v>-2287.56</v>
      </c>
      <c r="I822" s="1">
        <v>44993</v>
      </c>
      <c r="J822" t="s">
        <v>526</v>
      </c>
      <c r="K822" t="s">
        <v>517</v>
      </c>
      <c r="L822" t="s">
        <v>541</v>
      </c>
      <c r="M822" t="s">
        <v>568</v>
      </c>
      <c r="N822" t="s">
        <v>520</v>
      </c>
    </row>
    <row r="823" spans="1:15" x14ac:dyDescent="0.35">
      <c r="A823" t="s">
        <v>1389</v>
      </c>
      <c r="B823" t="s">
        <v>523</v>
      </c>
      <c r="C823" t="s">
        <v>599</v>
      </c>
      <c r="D823" t="s">
        <v>550</v>
      </c>
      <c r="E823">
        <v>437402</v>
      </c>
      <c r="F823">
        <v>487674.31</v>
      </c>
      <c r="G823">
        <f>IF(Table13[[#This Row],[Budget_Allocated_INR]]="","",Table13[[#This Row],[Amount_INR]]-Table13[[#This Row],[Budget_Allocated_INR]])</f>
        <v>-50272.31</v>
      </c>
      <c r="H823">
        <v>-50272.31</v>
      </c>
      <c r="I823" s="1">
        <v>45133</v>
      </c>
      <c r="J823" t="s">
        <v>526</v>
      </c>
      <c r="K823" t="s">
        <v>560</v>
      </c>
      <c r="L823" t="s">
        <v>518</v>
      </c>
      <c r="M823" t="s">
        <v>537</v>
      </c>
      <c r="N823" t="s">
        <v>520</v>
      </c>
    </row>
    <row r="824" spans="1:15" x14ac:dyDescent="0.35">
      <c r="A824" t="s">
        <v>1390</v>
      </c>
      <c r="B824" t="s">
        <v>530</v>
      </c>
      <c r="C824" t="s">
        <v>531</v>
      </c>
      <c r="D824" t="s">
        <v>574</v>
      </c>
      <c r="E824">
        <v>469164</v>
      </c>
      <c r="F824">
        <v>555054.97</v>
      </c>
      <c r="G824">
        <f>IF(Table13[[#This Row],[Budget_Allocated_INR]]="","",Table13[[#This Row],[Amount_INR]]-Table13[[#This Row],[Budget_Allocated_INR]])</f>
        <v>-85890.969999999972</v>
      </c>
      <c r="H824">
        <v>-85890.97</v>
      </c>
      <c r="I824" s="1">
        <v>45499</v>
      </c>
      <c r="J824" t="s">
        <v>516</v>
      </c>
      <c r="K824" t="s">
        <v>527</v>
      </c>
      <c r="L824" t="s">
        <v>536</v>
      </c>
      <c r="M824" t="s">
        <v>554</v>
      </c>
      <c r="N824" t="s">
        <v>520</v>
      </c>
      <c r="O824" t="s">
        <v>521</v>
      </c>
    </row>
    <row r="825" spans="1:15" x14ac:dyDescent="0.35">
      <c r="A825" t="s">
        <v>1391</v>
      </c>
      <c r="B825" t="s">
        <v>548</v>
      </c>
      <c r="C825" t="s">
        <v>524</v>
      </c>
      <c r="D825" t="s">
        <v>563</v>
      </c>
      <c r="E825">
        <v>238776</v>
      </c>
      <c r="F825">
        <v>191381.1</v>
      </c>
      <c r="G825">
        <f>IF(Table13[[#This Row],[Budget_Allocated_INR]]="","",Table13[[#This Row],[Amount_INR]]-Table13[[#This Row],[Budget_Allocated_INR]])</f>
        <v>47394.899999999994</v>
      </c>
      <c r="H825">
        <v>47394.9</v>
      </c>
      <c r="I825" s="1">
        <v>45084</v>
      </c>
      <c r="J825" t="s">
        <v>516</v>
      </c>
      <c r="K825" t="s">
        <v>527</v>
      </c>
      <c r="L825" t="s">
        <v>518</v>
      </c>
      <c r="M825" t="s">
        <v>537</v>
      </c>
      <c r="N825" t="s">
        <v>520</v>
      </c>
      <c r="O825" t="s">
        <v>521</v>
      </c>
    </row>
    <row r="826" spans="1:15" x14ac:dyDescent="0.35">
      <c r="A826" t="s">
        <v>1392</v>
      </c>
      <c r="B826" t="s">
        <v>576</v>
      </c>
      <c r="C826" t="s">
        <v>531</v>
      </c>
      <c r="D826" t="s">
        <v>539</v>
      </c>
      <c r="E826">
        <v>155011</v>
      </c>
      <c r="F826">
        <v>158821.14000000001</v>
      </c>
      <c r="G826">
        <f>IF(Table13[[#This Row],[Budget_Allocated_INR]]="","",Table13[[#This Row],[Amount_INR]]-Table13[[#This Row],[Budget_Allocated_INR]])</f>
        <v>-3810.140000000014</v>
      </c>
      <c r="H826">
        <v>-3810.14</v>
      </c>
      <c r="I826" s="1">
        <v>45682</v>
      </c>
      <c r="J826" t="s">
        <v>597</v>
      </c>
      <c r="K826" t="s">
        <v>517</v>
      </c>
      <c r="L826" t="s">
        <v>536</v>
      </c>
      <c r="M826" t="s">
        <v>568</v>
      </c>
      <c r="N826" t="s">
        <v>520</v>
      </c>
    </row>
    <row r="827" spans="1:15" x14ac:dyDescent="0.35">
      <c r="A827" t="s">
        <v>1393</v>
      </c>
      <c r="B827" t="s">
        <v>565</v>
      </c>
      <c r="C827" t="s">
        <v>514</v>
      </c>
      <c r="D827" t="s">
        <v>515</v>
      </c>
      <c r="E827">
        <v>418713</v>
      </c>
      <c r="F827">
        <v>451496.33</v>
      </c>
      <c r="G827">
        <f>IF(Table13[[#This Row],[Budget_Allocated_INR]]="","",Table13[[#This Row],[Amount_INR]]-Table13[[#This Row],[Budget_Allocated_INR]])</f>
        <v>-32783.330000000016</v>
      </c>
      <c r="H827">
        <v>-32783.33</v>
      </c>
      <c r="I827" s="1">
        <v>45485</v>
      </c>
      <c r="J827" t="s">
        <v>526</v>
      </c>
      <c r="K827" t="s">
        <v>540</v>
      </c>
      <c r="L827" t="s">
        <v>536</v>
      </c>
      <c r="M827" t="s">
        <v>568</v>
      </c>
      <c r="N827" t="s">
        <v>520</v>
      </c>
    </row>
    <row r="828" spans="1:15" x14ac:dyDescent="0.35">
      <c r="A828" t="s">
        <v>1394</v>
      </c>
      <c r="B828" t="s">
        <v>545</v>
      </c>
      <c r="C828" t="s">
        <v>549</v>
      </c>
      <c r="D828" t="s">
        <v>532</v>
      </c>
      <c r="E828">
        <v>85651</v>
      </c>
      <c r="F828">
        <v>97599.15</v>
      </c>
      <c r="G828">
        <f>IF(Table13[[#This Row],[Budget_Allocated_INR]]="","",Table13[[#This Row],[Amount_INR]]-Table13[[#This Row],[Budget_Allocated_INR]])</f>
        <v>-11948.149999999994</v>
      </c>
      <c r="H828">
        <v>-11948.15</v>
      </c>
      <c r="I828" s="1">
        <v>44970</v>
      </c>
      <c r="J828" t="s">
        <v>516</v>
      </c>
      <c r="K828" t="s">
        <v>527</v>
      </c>
      <c r="L828" t="s">
        <v>541</v>
      </c>
      <c r="M828" t="s">
        <v>568</v>
      </c>
      <c r="N828" t="s">
        <v>520</v>
      </c>
    </row>
    <row r="829" spans="1:15" x14ac:dyDescent="0.35">
      <c r="A829" t="s">
        <v>1395</v>
      </c>
      <c r="B829" t="s">
        <v>530</v>
      </c>
      <c r="C829" t="s">
        <v>586</v>
      </c>
      <c r="D829" t="s">
        <v>559</v>
      </c>
      <c r="E829">
        <v>316179</v>
      </c>
      <c r="F829">
        <v>258248.38</v>
      </c>
      <c r="G829">
        <f>IF(Table13[[#This Row],[Budget_Allocated_INR]]="","",Table13[[#This Row],[Amount_INR]]-Table13[[#This Row],[Budget_Allocated_INR]])</f>
        <v>57930.619999999995</v>
      </c>
      <c r="H829">
        <v>57930.62</v>
      </c>
      <c r="I829" s="1">
        <v>45736</v>
      </c>
      <c r="J829" t="s">
        <v>526</v>
      </c>
      <c r="K829" t="s">
        <v>527</v>
      </c>
      <c r="L829" t="s">
        <v>536</v>
      </c>
      <c r="M829" t="s">
        <v>519</v>
      </c>
      <c r="N829" t="s">
        <v>520</v>
      </c>
    </row>
    <row r="830" spans="1:15" x14ac:dyDescent="0.35">
      <c r="A830" t="s">
        <v>1396</v>
      </c>
      <c r="B830" t="s">
        <v>576</v>
      </c>
      <c r="C830" t="s">
        <v>543</v>
      </c>
      <c r="D830" t="s">
        <v>571</v>
      </c>
      <c r="E830">
        <v>-124146</v>
      </c>
      <c r="F830">
        <v>147834.22</v>
      </c>
      <c r="G830">
        <f>IF(Table13[[#This Row],[Budget_Allocated_INR]]="","",Table13[[#This Row],[Amount_INR]]-Table13[[#This Row],[Budget_Allocated_INR]])</f>
        <v>-271980.21999999997</v>
      </c>
      <c r="H830">
        <v>-23688.22</v>
      </c>
      <c r="I830" s="1">
        <v>44940</v>
      </c>
      <c r="J830" t="s">
        <v>526</v>
      </c>
      <c r="K830" t="s">
        <v>517</v>
      </c>
      <c r="L830" t="s">
        <v>541</v>
      </c>
      <c r="M830" t="s">
        <v>537</v>
      </c>
      <c r="N830" t="s">
        <v>582</v>
      </c>
    </row>
    <row r="831" spans="1:15" x14ac:dyDescent="0.35">
      <c r="A831" t="s">
        <v>1397</v>
      </c>
      <c r="B831" t="s">
        <v>548</v>
      </c>
      <c r="C831" t="s">
        <v>552</v>
      </c>
      <c r="D831" t="s">
        <v>550</v>
      </c>
      <c r="E831">
        <v>204597</v>
      </c>
      <c r="F831">
        <v>185145.44</v>
      </c>
      <c r="G831">
        <f>IF(Table13[[#This Row],[Budget_Allocated_INR]]="","",Table13[[#This Row],[Amount_INR]]-Table13[[#This Row],[Budget_Allocated_INR]])</f>
        <v>19451.559999999998</v>
      </c>
      <c r="H831">
        <v>19451.560000000001</v>
      </c>
      <c r="I831" s="1">
        <v>45015</v>
      </c>
      <c r="J831" t="s">
        <v>597</v>
      </c>
      <c r="K831" t="s">
        <v>540</v>
      </c>
      <c r="L831" t="s">
        <v>541</v>
      </c>
      <c r="M831" t="s">
        <v>568</v>
      </c>
      <c r="N831" t="s">
        <v>520</v>
      </c>
      <c r="O831" t="s">
        <v>521</v>
      </c>
    </row>
    <row r="832" spans="1:15" x14ac:dyDescent="0.35">
      <c r="A832" t="s">
        <v>1398</v>
      </c>
      <c r="B832" t="s">
        <v>545</v>
      </c>
      <c r="C832" t="s">
        <v>543</v>
      </c>
      <c r="D832" t="s">
        <v>539</v>
      </c>
      <c r="E832">
        <v>23674</v>
      </c>
      <c r="F832">
        <v>30695.72</v>
      </c>
      <c r="G832">
        <f>IF(Table13[[#This Row],[Budget_Allocated_INR]]="","",Table13[[#This Row],[Amount_INR]]-Table13[[#This Row],[Budget_Allocated_INR]])</f>
        <v>-7021.7200000000012</v>
      </c>
      <c r="H832">
        <v>-7021.72</v>
      </c>
      <c r="I832" s="1">
        <v>45251</v>
      </c>
      <c r="J832" t="s">
        <v>526</v>
      </c>
      <c r="K832" t="s">
        <v>540</v>
      </c>
      <c r="L832" t="s">
        <v>518</v>
      </c>
      <c r="M832" t="s">
        <v>537</v>
      </c>
      <c r="N832" t="s">
        <v>520</v>
      </c>
    </row>
    <row r="833" spans="1:15" x14ac:dyDescent="0.35">
      <c r="A833" t="s">
        <v>1399</v>
      </c>
      <c r="B833" t="s">
        <v>545</v>
      </c>
      <c r="C833" t="s">
        <v>552</v>
      </c>
      <c r="D833" t="s">
        <v>584</v>
      </c>
      <c r="E833">
        <v>129748</v>
      </c>
      <c r="F833">
        <v>121212</v>
      </c>
      <c r="G833">
        <f>IF(Table13[[#This Row],[Budget_Allocated_INR]]="","",Table13[[#This Row],[Amount_INR]]-Table13[[#This Row],[Budget_Allocated_INR]])</f>
        <v>8536</v>
      </c>
      <c r="H833">
        <v>8536</v>
      </c>
      <c r="I833" s="1">
        <v>45590</v>
      </c>
      <c r="J833" t="s">
        <v>516</v>
      </c>
      <c r="K833" t="s">
        <v>517</v>
      </c>
      <c r="L833" t="s">
        <v>536</v>
      </c>
      <c r="M833" t="s">
        <v>537</v>
      </c>
      <c r="N833" t="s">
        <v>520</v>
      </c>
    </row>
    <row r="834" spans="1:15" x14ac:dyDescent="0.35">
      <c r="A834" t="s">
        <v>1400</v>
      </c>
      <c r="B834" t="s">
        <v>545</v>
      </c>
      <c r="C834" t="s">
        <v>543</v>
      </c>
      <c r="D834" t="s">
        <v>515</v>
      </c>
      <c r="E834">
        <v>108538</v>
      </c>
      <c r="F834">
        <v>119529.29</v>
      </c>
      <c r="G834">
        <f>IF(Table13[[#This Row],[Budget_Allocated_INR]]="","",Table13[[#This Row],[Amount_INR]]-Table13[[#This Row],[Budget_Allocated_INR]])</f>
        <v>-10991.289999999994</v>
      </c>
      <c r="H834">
        <v>-10991.29</v>
      </c>
      <c r="I834" s="1">
        <v>45193</v>
      </c>
      <c r="J834" t="s">
        <v>516</v>
      </c>
      <c r="K834" t="s">
        <v>517</v>
      </c>
      <c r="L834" t="s">
        <v>518</v>
      </c>
      <c r="M834" t="s">
        <v>537</v>
      </c>
      <c r="N834" t="s">
        <v>520</v>
      </c>
    </row>
    <row r="835" spans="1:15" x14ac:dyDescent="0.35">
      <c r="A835" t="s">
        <v>1401</v>
      </c>
      <c r="B835" t="s">
        <v>523</v>
      </c>
      <c r="C835" t="s">
        <v>543</v>
      </c>
      <c r="D835" t="s">
        <v>539</v>
      </c>
      <c r="E835">
        <v>217317</v>
      </c>
      <c r="F835">
        <v>230592.77</v>
      </c>
      <c r="G835">
        <f>IF(Table13[[#This Row],[Budget_Allocated_INR]]="","",Table13[[#This Row],[Amount_INR]]-Table13[[#This Row],[Budget_Allocated_INR]])</f>
        <v>-13275.76999999999</v>
      </c>
      <c r="H835">
        <v>-13275.77</v>
      </c>
      <c r="I835" s="1">
        <v>45022</v>
      </c>
      <c r="J835" t="s">
        <v>526</v>
      </c>
      <c r="K835" t="s">
        <v>540</v>
      </c>
      <c r="L835" t="s">
        <v>518</v>
      </c>
      <c r="M835" t="s">
        <v>528</v>
      </c>
      <c r="N835" t="s">
        <v>520</v>
      </c>
    </row>
    <row r="836" spans="1:15" x14ac:dyDescent="0.35">
      <c r="A836" t="s">
        <v>1402</v>
      </c>
      <c r="B836" t="s">
        <v>530</v>
      </c>
      <c r="C836" t="s">
        <v>524</v>
      </c>
      <c r="D836" t="s">
        <v>584</v>
      </c>
      <c r="E836">
        <v>394994</v>
      </c>
      <c r="F836">
        <v>434359.15</v>
      </c>
      <c r="G836">
        <f>IF(Table13[[#This Row],[Budget_Allocated_INR]]="","",Table13[[#This Row],[Amount_INR]]-Table13[[#This Row],[Budget_Allocated_INR]])</f>
        <v>-39365.150000000023</v>
      </c>
      <c r="H836">
        <v>-39365.15</v>
      </c>
      <c r="I836" s="1">
        <v>45728</v>
      </c>
      <c r="J836" t="s">
        <v>526</v>
      </c>
      <c r="K836" t="s">
        <v>560</v>
      </c>
      <c r="L836" t="s">
        <v>536</v>
      </c>
      <c r="M836" t="s">
        <v>537</v>
      </c>
      <c r="N836" t="s">
        <v>520</v>
      </c>
    </row>
    <row r="837" spans="1:15" x14ac:dyDescent="0.35">
      <c r="A837" t="s">
        <v>1403</v>
      </c>
      <c r="B837" t="s">
        <v>530</v>
      </c>
      <c r="C837" t="s">
        <v>531</v>
      </c>
      <c r="D837" t="s">
        <v>563</v>
      </c>
      <c r="E837">
        <v>499654</v>
      </c>
      <c r="F837">
        <v>567733.93999999994</v>
      </c>
      <c r="G837">
        <f>IF(Table13[[#This Row],[Budget_Allocated_INR]]="","",Table13[[#This Row],[Amount_INR]]-Table13[[#This Row],[Budget_Allocated_INR]])</f>
        <v>-68079.939999999944</v>
      </c>
      <c r="I837" s="1">
        <v>45369</v>
      </c>
      <c r="J837" t="s">
        <v>526</v>
      </c>
      <c r="K837" t="s">
        <v>540</v>
      </c>
      <c r="L837" t="s">
        <v>518</v>
      </c>
      <c r="M837" t="s">
        <v>568</v>
      </c>
      <c r="N837" t="s">
        <v>520</v>
      </c>
    </row>
    <row r="838" spans="1:15" x14ac:dyDescent="0.35">
      <c r="A838" t="s">
        <v>1404</v>
      </c>
      <c r="B838" t="s">
        <v>523</v>
      </c>
      <c r="C838" t="s">
        <v>524</v>
      </c>
      <c r="D838" t="s">
        <v>559</v>
      </c>
      <c r="E838">
        <v>434274</v>
      </c>
      <c r="F838">
        <v>497122.38</v>
      </c>
      <c r="G838">
        <f>IF(Table13[[#This Row],[Budget_Allocated_INR]]="","",Table13[[#This Row],[Amount_INR]]-Table13[[#This Row],[Budget_Allocated_INR]])</f>
        <v>-62848.380000000005</v>
      </c>
      <c r="H838">
        <v>-62848.38</v>
      </c>
      <c r="I838" s="1">
        <v>45500</v>
      </c>
      <c r="J838" t="s">
        <v>526</v>
      </c>
      <c r="K838" t="s">
        <v>560</v>
      </c>
      <c r="L838" t="s">
        <v>536</v>
      </c>
      <c r="M838" t="s">
        <v>528</v>
      </c>
      <c r="N838" t="s">
        <v>520</v>
      </c>
    </row>
    <row r="839" spans="1:15" x14ac:dyDescent="0.35">
      <c r="A839" t="s">
        <v>1405</v>
      </c>
      <c r="B839" t="s">
        <v>565</v>
      </c>
      <c r="C839" t="s">
        <v>549</v>
      </c>
      <c r="D839" t="s">
        <v>574</v>
      </c>
      <c r="E839">
        <v>496132</v>
      </c>
      <c r="F839">
        <v>573145.44999999995</v>
      </c>
      <c r="G839">
        <f>IF(Table13[[#This Row],[Budget_Allocated_INR]]="","",Table13[[#This Row],[Amount_INR]]-Table13[[#This Row],[Budget_Allocated_INR]])</f>
        <v>-77013.449999999953</v>
      </c>
      <c r="H839">
        <v>-77013.45</v>
      </c>
      <c r="I839" s="1">
        <v>45326</v>
      </c>
      <c r="J839" t="s">
        <v>526</v>
      </c>
      <c r="K839" t="s">
        <v>540</v>
      </c>
      <c r="L839" t="s">
        <v>518</v>
      </c>
      <c r="M839" t="s">
        <v>528</v>
      </c>
      <c r="N839" t="s">
        <v>520</v>
      </c>
    </row>
    <row r="840" spans="1:15" x14ac:dyDescent="0.35">
      <c r="A840" t="s">
        <v>1406</v>
      </c>
      <c r="B840" t="s">
        <v>565</v>
      </c>
      <c r="C840" t="s">
        <v>543</v>
      </c>
      <c r="D840" t="s">
        <v>584</v>
      </c>
      <c r="E840">
        <v>412246</v>
      </c>
      <c r="F840">
        <v>455124.97</v>
      </c>
      <c r="G840">
        <f>IF(Table13[[#This Row],[Budget_Allocated_INR]]="","",Table13[[#This Row],[Amount_INR]]-Table13[[#This Row],[Budget_Allocated_INR]])</f>
        <v>-42878.969999999972</v>
      </c>
      <c r="H840">
        <v>-42878.97</v>
      </c>
      <c r="I840" s="1">
        <v>45487</v>
      </c>
      <c r="J840" t="s">
        <v>597</v>
      </c>
      <c r="K840" t="s">
        <v>527</v>
      </c>
      <c r="L840" t="s">
        <v>536</v>
      </c>
      <c r="M840" t="s">
        <v>537</v>
      </c>
      <c r="N840" t="s">
        <v>520</v>
      </c>
      <c r="O840" t="s">
        <v>521</v>
      </c>
    </row>
    <row r="841" spans="1:15" x14ac:dyDescent="0.35">
      <c r="A841" t="s">
        <v>1407</v>
      </c>
      <c r="B841" t="s">
        <v>548</v>
      </c>
      <c r="C841" t="s">
        <v>514</v>
      </c>
      <c r="D841" t="s">
        <v>535</v>
      </c>
      <c r="E841">
        <v>60429</v>
      </c>
      <c r="F841">
        <v>77072.570000000007</v>
      </c>
      <c r="G841">
        <f>IF(Table13[[#This Row],[Budget_Allocated_INR]]="","",Table13[[#This Row],[Amount_INR]]-Table13[[#This Row],[Budget_Allocated_INR]])</f>
        <v>-16643.570000000007</v>
      </c>
      <c r="H841">
        <v>-16643.57</v>
      </c>
      <c r="I841" s="1">
        <v>44991</v>
      </c>
      <c r="J841" t="s">
        <v>526</v>
      </c>
      <c r="K841" t="s">
        <v>527</v>
      </c>
      <c r="L841" t="s">
        <v>541</v>
      </c>
      <c r="M841" t="s">
        <v>519</v>
      </c>
      <c r="N841" t="s">
        <v>520</v>
      </c>
    </row>
    <row r="842" spans="1:15" x14ac:dyDescent="0.35">
      <c r="A842" t="s">
        <v>1408</v>
      </c>
      <c r="B842" t="s">
        <v>534</v>
      </c>
      <c r="C842" t="s">
        <v>531</v>
      </c>
      <c r="D842" t="s">
        <v>539</v>
      </c>
      <c r="E842">
        <v>374625</v>
      </c>
      <c r="F842">
        <v>456726.65</v>
      </c>
      <c r="G842">
        <f>IF(Table13[[#This Row],[Budget_Allocated_INR]]="","",Table13[[#This Row],[Amount_INR]]-Table13[[#This Row],[Budget_Allocated_INR]])</f>
        <v>-82101.650000000023</v>
      </c>
      <c r="H842">
        <v>-82101.649999999994</v>
      </c>
      <c r="I842" s="1">
        <v>45610</v>
      </c>
      <c r="J842" t="s">
        <v>526</v>
      </c>
      <c r="K842" t="s">
        <v>517</v>
      </c>
      <c r="L842" t="s">
        <v>536</v>
      </c>
      <c r="M842" t="s">
        <v>554</v>
      </c>
      <c r="N842" t="s">
        <v>520</v>
      </c>
    </row>
    <row r="843" spans="1:15" x14ac:dyDescent="0.35">
      <c r="A843" t="s">
        <v>1409</v>
      </c>
      <c r="B843" t="s">
        <v>523</v>
      </c>
      <c r="C843" t="s">
        <v>552</v>
      </c>
      <c r="D843" t="s">
        <v>532</v>
      </c>
      <c r="E843">
        <v>158870</v>
      </c>
      <c r="F843">
        <v>185140.64</v>
      </c>
      <c r="G843">
        <f>IF(Table13[[#This Row],[Budget_Allocated_INR]]="","",Table13[[#This Row],[Amount_INR]]-Table13[[#This Row],[Budget_Allocated_INR]])</f>
        <v>-26270.640000000014</v>
      </c>
      <c r="H843">
        <v>-26270.639999999999</v>
      </c>
      <c r="I843" s="1">
        <v>45481</v>
      </c>
      <c r="J843" t="s">
        <v>526</v>
      </c>
      <c r="K843" t="s">
        <v>540</v>
      </c>
      <c r="L843" t="s">
        <v>536</v>
      </c>
      <c r="M843" t="s">
        <v>537</v>
      </c>
      <c r="N843" t="s">
        <v>520</v>
      </c>
    </row>
    <row r="844" spans="1:15" x14ac:dyDescent="0.35">
      <c r="A844" t="s">
        <v>1410</v>
      </c>
      <c r="B844" t="s">
        <v>534</v>
      </c>
      <c r="C844" t="s">
        <v>596</v>
      </c>
      <c r="D844" t="s">
        <v>525</v>
      </c>
      <c r="E844">
        <v>33731</v>
      </c>
      <c r="F844">
        <v>32413.5</v>
      </c>
      <c r="G844">
        <f>IF(Table13[[#This Row],[Budget_Allocated_INR]]="","",Table13[[#This Row],[Amount_INR]]-Table13[[#This Row],[Budget_Allocated_INR]])</f>
        <v>1317.5</v>
      </c>
      <c r="H844">
        <v>1317.5</v>
      </c>
      <c r="I844" s="1">
        <v>45418</v>
      </c>
      <c r="J844" t="s">
        <v>526</v>
      </c>
      <c r="K844" t="s">
        <v>540</v>
      </c>
      <c r="L844" t="s">
        <v>536</v>
      </c>
      <c r="M844" t="s">
        <v>528</v>
      </c>
      <c r="N844" t="s">
        <v>520</v>
      </c>
    </row>
    <row r="845" spans="1:15" x14ac:dyDescent="0.35">
      <c r="A845" t="s">
        <v>1411</v>
      </c>
      <c r="B845" t="s">
        <v>523</v>
      </c>
      <c r="C845" t="s">
        <v>581</v>
      </c>
      <c r="D845" t="s">
        <v>532</v>
      </c>
      <c r="E845">
        <v>351052</v>
      </c>
      <c r="F845">
        <v>286163.15000000002</v>
      </c>
      <c r="G845">
        <f>IF(Table13[[#This Row],[Budget_Allocated_INR]]="","",Table13[[#This Row],[Amount_INR]]-Table13[[#This Row],[Budget_Allocated_INR]])</f>
        <v>64888.849999999977</v>
      </c>
      <c r="H845">
        <v>64888.85</v>
      </c>
      <c r="I845" s="1">
        <v>45501</v>
      </c>
      <c r="J845" t="s">
        <v>526</v>
      </c>
      <c r="K845" t="s">
        <v>517</v>
      </c>
      <c r="L845" t="s">
        <v>536</v>
      </c>
      <c r="M845" t="s">
        <v>537</v>
      </c>
      <c r="N845" t="s">
        <v>520</v>
      </c>
    </row>
    <row r="846" spans="1:15" x14ac:dyDescent="0.35">
      <c r="A846" t="s">
        <v>1412</v>
      </c>
      <c r="B846" t="s">
        <v>534</v>
      </c>
      <c r="C846" t="s">
        <v>558</v>
      </c>
      <c r="D846" t="s">
        <v>584</v>
      </c>
      <c r="E846">
        <v>163158</v>
      </c>
      <c r="F846">
        <v>169309.95</v>
      </c>
      <c r="G846">
        <f>IF(Table13[[#This Row],[Budget_Allocated_INR]]="","",Table13[[#This Row],[Amount_INR]]-Table13[[#This Row],[Budget_Allocated_INR]])</f>
        <v>-6151.9500000000116</v>
      </c>
      <c r="H846">
        <v>-6151.95</v>
      </c>
      <c r="I846" s="1">
        <v>45411</v>
      </c>
      <c r="J846" t="s">
        <v>526</v>
      </c>
      <c r="K846" t="s">
        <v>517</v>
      </c>
      <c r="L846" t="s">
        <v>536</v>
      </c>
      <c r="M846" t="s">
        <v>528</v>
      </c>
      <c r="N846" t="s">
        <v>520</v>
      </c>
    </row>
    <row r="847" spans="1:15" x14ac:dyDescent="0.35">
      <c r="A847" t="s">
        <v>1413</v>
      </c>
      <c r="B847" t="s">
        <v>523</v>
      </c>
      <c r="C847" t="s">
        <v>543</v>
      </c>
      <c r="D847" t="s">
        <v>515</v>
      </c>
      <c r="E847">
        <v>459947</v>
      </c>
      <c r="G847" t="str">
        <f>IF(Table13[[#This Row],[Budget_Allocated_INR]]="","",Table13[[#This Row],[Amount_INR]]-Table13[[#This Row],[Budget_Allocated_INR]])</f>
        <v/>
      </c>
      <c r="H847">
        <v>42227.839999999997</v>
      </c>
      <c r="I847" s="1">
        <v>45097</v>
      </c>
      <c r="J847" t="s">
        <v>526</v>
      </c>
      <c r="K847" t="s">
        <v>540</v>
      </c>
      <c r="L847" t="s">
        <v>518</v>
      </c>
      <c r="M847" t="s">
        <v>537</v>
      </c>
      <c r="N847" t="s">
        <v>520</v>
      </c>
    </row>
    <row r="848" spans="1:15" x14ac:dyDescent="0.35">
      <c r="A848" t="s">
        <v>1414</v>
      </c>
      <c r="B848" t="s">
        <v>576</v>
      </c>
      <c r="C848" t="s">
        <v>596</v>
      </c>
      <c r="D848" t="s">
        <v>532</v>
      </c>
      <c r="E848">
        <v>160414</v>
      </c>
      <c r="F848">
        <v>190617.63</v>
      </c>
      <c r="G848">
        <f>IF(Table13[[#This Row],[Budget_Allocated_INR]]="","",Table13[[#This Row],[Amount_INR]]-Table13[[#This Row],[Budget_Allocated_INR]])</f>
        <v>-30203.630000000005</v>
      </c>
      <c r="I848" s="1">
        <v>45613</v>
      </c>
      <c r="J848" t="s">
        <v>526</v>
      </c>
      <c r="K848" t="s">
        <v>560</v>
      </c>
      <c r="L848" t="s">
        <v>536</v>
      </c>
      <c r="M848" t="s">
        <v>528</v>
      </c>
      <c r="N848" t="s">
        <v>520</v>
      </c>
    </row>
    <row r="849" spans="1:15" x14ac:dyDescent="0.35">
      <c r="A849" t="s">
        <v>1415</v>
      </c>
      <c r="B849" t="s">
        <v>534</v>
      </c>
      <c r="C849" t="s">
        <v>549</v>
      </c>
      <c r="D849" t="s">
        <v>593</v>
      </c>
      <c r="E849">
        <v>193856</v>
      </c>
      <c r="F849">
        <v>236969.67</v>
      </c>
      <c r="G849">
        <f>IF(Table13[[#This Row],[Budget_Allocated_INR]]="","",Table13[[#This Row],[Amount_INR]]-Table13[[#This Row],[Budget_Allocated_INR]])</f>
        <v>-43113.670000000013</v>
      </c>
      <c r="H849">
        <v>-43113.67</v>
      </c>
      <c r="I849" s="1">
        <v>45602</v>
      </c>
      <c r="J849" t="s">
        <v>516</v>
      </c>
      <c r="K849" t="s">
        <v>517</v>
      </c>
      <c r="L849" t="s">
        <v>536</v>
      </c>
      <c r="M849" t="s">
        <v>537</v>
      </c>
      <c r="N849" t="s">
        <v>520</v>
      </c>
    </row>
    <row r="850" spans="1:15" x14ac:dyDescent="0.35">
      <c r="A850" t="s">
        <v>1416</v>
      </c>
      <c r="B850" t="s">
        <v>548</v>
      </c>
      <c r="C850" t="s">
        <v>562</v>
      </c>
      <c r="D850" t="s">
        <v>563</v>
      </c>
      <c r="E850">
        <v>285814</v>
      </c>
      <c r="F850">
        <v>274229.90999999997</v>
      </c>
      <c r="G850">
        <f>IF(Table13[[#This Row],[Budget_Allocated_INR]]="","",Table13[[#This Row],[Amount_INR]]-Table13[[#This Row],[Budget_Allocated_INR]])</f>
        <v>11584.090000000026</v>
      </c>
      <c r="H850">
        <v>11584.09</v>
      </c>
      <c r="I850" s="1">
        <v>45024</v>
      </c>
      <c r="J850" t="s">
        <v>526</v>
      </c>
      <c r="K850" t="s">
        <v>517</v>
      </c>
      <c r="L850" t="s">
        <v>518</v>
      </c>
      <c r="M850" t="s">
        <v>537</v>
      </c>
      <c r="N850" t="s">
        <v>520</v>
      </c>
    </row>
    <row r="851" spans="1:15" x14ac:dyDescent="0.35">
      <c r="A851" t="s">
        <v>1417</v>
      </c>
      <c r="B851" t="s">
        <v>545</v>
      </c>
      <c r="C851" t="s">
        <v>552</v>
      </c>
      <c r="D851" t="s">
        <v>574</v>
      </c>
      <c r="E851">
        <v>154986</v>
      </c>
      <c r="F851">
        <v>172437.2</v>
      </c>
      <c r="G851">
        <f>IF(Table13[[#This Row],[Budget_Allocated_INR]]="","",Table13[[#This Row],[Amount_INR]]-Table13[[#This Row],[Budget_Allocated_INR]])</f>
        <v>-17451.200000000012</v>
      </c>
      <c r="H851">
        <v>-17451.2</v>
      </c>
      <c r="I851" s="1">
        <v>45704</v>
      </c>
      <c r="J851" t="s">
        <v>526</v>
      </c>
      <c r="K851" t="s">
        <v>540</v>
      </c>
      <c r="L851" t="s">
        <v>536</v>
      </c>
      <c r="M851" t="s">
        <v>568</v>
      </c>
      <c r="N851" t="s">
        <v>520</v>
      </c>
    </row>
    <row r="852" spans="1:15" x14ac:dyDescent="0.35">
      <c r="A852" t="s">
        <v>1418</v>
      </c>
      <c r="B852" t="s">
        <v>576</v>
      </c>
      <c r="C852" t="s">
        <v>558</v>
      </c>
      <c r="D852" t="s">
        <v>539</v>
      </c>
      <c r="E852">
        <v>109902</v>
      </c>
      <c r="F852">
        <v>138749.79999999999</v>
      </c>
      <c r="G852">
        <f>IF(Table13[[#This Row],[Budget_Allocated_INR]]="","",Table13[[#This Row],[Amount_INR]]-Table13[[#This Row],[Budget_Allocated_INR]])</f>
        <v>-28847.799999999988</v>
      </c>
      <c r="H852">
        <v>-28847.8</v>
      </c>
      <c r="I852" s="1">
        <v>45601</v>
      </c>
      <c r="J852" t="s">
        <v>526</v>
      </c>
      <c r="K852" t="s">
        <v>517</v>
      </c>
      <c r="L852" t="s">
        <v>536</v>
      </c>
      <c r="M852" t="s">
        <v>537</v>
      </c>
      <c r="N852" t="s">
        <v>520</v>
      </c>
    </row>
    <row r="853" spans="1:15" x14ac:dyDescent="0.35">
      <c r="A853" t="s">
        <v>1419</v>
      </c>
      <c r="B853" t="s">
        <v>545</v>
      </c>
      <c r="C853" t="s">
        <v>524</v>
      </c>
      <c r="D853" t="s">
        <v>574</v>
      </c>
      <c r="E853">
        <v>324040</v>
      </c>
      <c r="F853">
        <v>322243.25</v>
      </c>
      <c r="G853">
        <f>IF(Table13[[#This Row],[Budget_Allocated_INR]]="","",Table13[[#This Row],[Amount_INR]]-Table13[[#This Row],[Budget_Allocated_INR]])</f>
        <v>1796.75</v>
      </c>
      <c r="H853">
        <v>1796.75</v>
      </c>
      <c r="I853" s="1">
        <v>45640</v>
      </c>
      <c r="J853" t="s">
        <v>526</v>
      </c>
      <c r="K853" t="s">
        <v>517</v>
      </c>
      <c r="L853" t="s">
        <v>536</v>
      </c>
      <c r="M853" t="s">
        <v>519</v>
      </c>
      <c r="N853" t="s">
        <v>520</v>
      </c>
    </row>
    <row r="854" spans="1:15" x14ac:dyDescent="0.35">
      <c r="A854" t="s">
        <v>1420</v>
      </c>
      <c r="B854" t="s">
        <v>523</v>
      </c>
      <c r="C854" t="s">
        <v>531</v>
      </c>
      <c r="D854" t="s">
        <v>553</v>
      </c>
      <c r="E854">
        <v>1009569</v>
      </c>
      <c r="F854">
        <v>1256355.31</v>
      </c>
      <c r="G854">
        <f>IF(Table13[[#This Row],[Budget_Allocated_INR]]="","",Table13[[#This Row],[Amount_INR]]-Table13[[#This Row],[Budget_Allocated_INR]])</f>
        <v>-246786.31000000006</v>
      </c>
      <c r="H854">
        <v>-246786.31</v>
      </c>
      <c r="I854" s="1">
        <v>44981</v>
      </c>
      <c r="J854" t="s">
        <v>516</v>
      </c>
      <c r="K854" t="s">
        <v>540</v>
      </c>
      <c r="L854" t="s">
        <v>541</v>
      </c>
      <c r="M854" t="s">
        <v>537</v>
      </c>
      <c r="N854" t="s">
        <v>520</v>
      </c>
      <c r="O854" t="s">
        <v>521</v>
      </c>
    </row>
    <row r="855" spans="1:15" x14ac:dyDescent="0.35">
      <c r="A855" t="s">
        <v>1421</v>
      </c>
      <c r="B855" t="s">
        <v>545</v>
      </c>
      <c r="C855" t="s">
        <v>581</v>
      </c>
      <c r="D855" t="s">
        <v>584</v>
      </c>
      <c r="E855">
        <v>141275</v>
      </c>
      <c r="F855">
        <v>160348.10999999999</v>
      </c>
      <c r="G855">
        <f>IF(Table13[[#This Row],[Budget_Allocated_INR]]="","",Table13[[#This Row],[Amount_INR]]-Table13[[#This Row],[Budget_Allocated_INR]])</f>
        <v>-19073.109999999986</v>
      </c>
      <c r="H855">
        <v>-19073.11</v>
      </c>
      <c r="I855" s="1">
        <v>45394</v>
      </c>
      <c r="J855" t="s">
        <v>526</v>
      </c>
      <c r="K855" t="s">
        <v>560</v>
      </c>
      <c r="L855" t="s">
        <v>536</v>
      </c>
      <c r="M855" t="s">
        <v>537</v>
      </c>
      <c r="N855" t="s">
        <v>520</v>
      </c>
    </row>
    <row r="856" spans="1:15" x14ac:dyDescent="0.35">
      <c r="A856" t="s">
        <v>1422</v>
      </c>
      <c r="B856" t="s">
        <v>576</v>
      </c>
      <c r="C856" t="s">
        <v>514</v>
      </c>
      <c r="D856" t="s">
        <v>634</v>
      </c>
      <c r="E856">
        <v>30137</v>
      </c>
      <c r="F856">
        <v>32641.68</v>
      </c>
      <c r="G856">
        <f>IF(Table13[[#This Row],[Budget_Allocated_INR]]="","",Table13[[#This Row],[Amount_INR]]-Table13[[#This Row],[Budget_Allocated_INR]])</f>
        <v>-2504.6800000000003</v>
      </c>
      <c r="H856">
        <v>-2504.6799999999998</v>
      </c>
      <c r="I856" s="1">
        <v>44969</v>
      </c>
      <c r="J856" t="s">
        <v>526</v>
      </c>
      <c r="K856" t="s">
        <v>540</v>
      </c>
      <c r="L856" t="s">
        <v>541</v>
      </c>
      <c r="M856" t="s">
        <v>537</v>
      </c>
      <c r="N856" t="s">
        <v>520</v>
      </c>
    </row>
    <row r="857" spans="1:15" x14ac:dyDescent="0.35">
      <c r="A857" t="s">
        <v>1423</v>
      </c>
      <c r="B857" t="s">
        <v>530</v>
      </c>
      <c r="C857" t="s">
        <v>531</v>
      </c>
      <c r="D857" t="s">
        <v>588</v>
      </c>
      <c r="E857">
        <v>65763</v>
      </c>
      <c r="F857">
        <v>74023.31</v>
      </c>
      <c r="G857">
        <f>IF(Table13[[#This Row],[Budget_Allocated_INR]]="","",Table13[[#This Row],[Amount_INR]]-Table13[[#This Row],[Budget_Allocated_INR]])</f>
        <v>-8260.3099999999977</v>
      </c>
      <c r="H857">
        <v>-8260.31</v>
      </c>
      <c r="I857" s="1">
        <v>45048</v>
      </c>
      <c r="J857" t="s">
        <v>516</v>
      </c>
      <c r="K857" t="s">
        <v>560</v>
      </c>
      <c r="L857" t="s">
        <v>518</v>
      </c>
      <c r="M857" t="s">
        <v>568</v>
      </c>
      <c r="N857" t="s">
        <v>520</v>
      </c>
    </row>
    <row r="858" spans="1:15" x14ac:dyDescent="0.35">
      <c r="A858" t="s">
        <v>1424</v>
      </c>
      <c r="B858" t="s">
        <v>576</v>
      </c>
      <c r="C858" t="s">
        <v>531</v>
      </c>
      <c r="D858" t="s">
        <v>571</v>
      </c>
      <c r="E858">
        <v>29660</v>
      </c>
      <c r="F858">
        <v>25504.05</v>
      </c>
      <c r="G858">
        <f>IF(Table13[[#This Row],[Budget_Allocated_INR]]="","",Table13[[#This Row],[Amount_INR]]-Table13[[#This Row],[Budget_Allocated_INR]])</f>
        <v>4155.9500000000007</v>
      </c>
      <c r="H858">
        <v>4155.95</v>
      </c>
      <c r="I858" s="1">
        <v>45221</v>
      </c>
      <c r="J858" t="s">
        <v>526</v>
      </c>
      <c r="K858" t="s">
        <v>560</v>
      </c>
      <c r="L858" t="s">
        <v>518</v>
      </c>
      <c r="M858" t="s">
        <v>568</v>
      </c>
      <c r="N858" t="s">
        <v>520</v>
      </c>
    </row>
    <row r="859" spans="1:15" x14ac:dyDescent="0.35">
      <c r="A859" t="s">
        <v>1425</v>
      </c>
      <c r="B859" t="s">
        <v>523</v>
      </c>
      <c r="C859" t="s">
        <v>562</v>
      </c>
      <c r="D859" t="s">
        <v>563</v>
      </c>
      <c r="E859">
        <v>338211</v>
      </c>
      <c r="F859">
        <v>342254.12</v>
      </c>
      <c r="G859">
        <f>IF(Table13[[#This Row],[Budget_Allocated_INR]]="","",Table13[[#This Row],[Amount_INR]]-Table13[[#This Row],[Budget_Allocated_INR]])</f>
        <v>-4043.1199999999953</v>
      </c>
      <c r="H859">
        <v>-4043.12</v>
      </c>
      <c r="I859" s="1">
        <v>45070</v>
      </c>
      <c r="J859" t="s">
        <v>526</v>
      </c>
      <c r="K859" t="s">
        <v>527</v>
      </c>
      <c r="L859" t="s">
        <v>518</v>
      </c>
      <c r="M859" t="s">
        <v>528</v>
      </c>
      <c r="N859" t="s">
        <v>520</v>
      </c>
    </row>
    <row r="860" spans="1:15" x14ac:dyDescent="0.35">
      <c r="A860" t="s">
        <v>1426</v>
      </c>
      <c r="B860" t="s">
        <v>534</v>
      </c>
      <c r="C860" t="s">
        <v>552</v>
      </c>
      <c r="D860" t="s">
        <v>553</v>
      </c>
      <c r="E860">
        <v>430475</v>
      </c>
      <c r="F860">
        <v>434488.96</v>
      </c>
      <c r="G860">
        <f>IF(Table13[[#This Row],[Budget_Allocated_INR]]="","",Table13[[#This Row],[Amount_INR]]-Table13[[#This Row],[Budget_Allocated_INR]])</f>
        <v>-4013.960000000021</v>
      </c>
      <c r="H860">
        <v>-4013.96</v>
      </c>
      <c r="I860" s="1">
        <v>45568</v>
      </c>
      <c r="J860" t="s">
        <v>526</v>
      </c>
      <c r="K860" t="s">
        <v>560</v>
      </c>
      <c r="L860" t="s">
        <v>536</v>
      </c>
      <c r="M860" t="s">
        <v>519</v>
      </c>
      <c r="N860" t="s">
        <v>520</v>
      </c>
    </row>
    <row r="861" spans="1:15" x14ac:dyDescent="0.35">
      <c r="A861" t="s">
        <v>1427</v>
      </c>
      <c r="B861" t="s">
        <v>523</v>
      </c>
      <c r="C861" t="s">
        <v>531</v>
      </c>
      <c r="D861" t="s">
        <v>571</v>
      </c>
      <c r="E861">
        <v>386919</v>
      </c>
      <c r="F861">
        <v>409039.34</v>
      </c>
      <c r="G861">
        <f>IF(Table13[[#This Row],[Budget_Allocated_INR]]="","",Table13[[#This Row],[Amount_INR]]-Table13[[#This Row],[Budget_Allocated_INR]])</f>
        <v>-22120.340000000026</v>
      </c>
      <c r="H861">
        <v>-22120.34</v>
      </c>
      <c r="I861" s="1">
        <v>45548</v>
      </c>
      <c r="J861" t="s">
        <v>526</v>
      </c>
      <c r="K861" t="s">
        <v>560</v>
      </c>
      <c r="L861" t="s">
        <v>536</v>
      </c>
      <c r="M861" t="s">
        <v>537</v>
      </c>
      <c r="N861" t="s">
        <v>520</v>
      </c>
    </row>
    <row r="862" spans="1:15" x14ac:dyDescent="0.35">
      <c r="A862" t="s">
        <v>1428</v>
      </c>
      <c r="B862" t="s">
        <v>565</v>
      </c>
      <c r="C862" t="s">
        <v>558</v>
      </c>
      <c r="D862" t="s">
        <v>605</v>
      </c>
      <c r="E862">
        <v>198311</v>
      </c>
      <c r="F862">
        <v>202285.82</v>
      </c>
      <c r="G862">
        <f>IF(Table13[[#This Row],[Budget_Allocated_INR]]="","",Table13[[#This Row],[Amount_INR]]-Table13[[#This Row],[Budget_Allocated_INR]])</f>
        <v>-3974.820000000007</v>
      </c>
      <c r="H862">
        <v>-3974.82</v>
      </c>
      <c r="I862" s="1">
        <v>45609</v>
      </c>
      <c r="J862" t="s">
        <v>516</v>
      </c>
      <c r="K862" t="s">
        <v>560</v>
      </c>
      <c r="L862" t="s">
        <v>536</v>
      </c>
      <c r="M862" t="s">
        <v>528</v>
      </c>
      <c r="N862" t="s">
        <v>520</v>
      </c>
    </row>
    <row r="863" spans="1:15" x14ac:dyDescent="0.35">
      <c r="A863" t="s">
        <v>1429</v>
      </c>
      <c r="B863" t="s">
        <v>548</v>
      </c>
      <c r="C863" t="s">
        <v>549</v>
      </c>
      <c r="D863" t="s">
        <v>563</v>
      </c>
      <c r="E863">
        <v>270513</v>
      </c>
      <c r="F863">
        <v>296890.17</v>
      </c>
      <c r="G863">
        <f>IF(Table13[[#This Row],[Budget_Allocated_INR]]="","",Table13[[#This Row],[Amount_INR]]-Table13[[#This Row],[Budget_Allocated_INR]])</f>
        <v>-26377.169999999984</v>
      </c>
      <c r="H863">
        <v>-26377.17</v>
      </c>
      <c r="I863" s="1">
        <v>45436</v>
      </c>
      <c r="J863" t="s">
        <v>516</v>
      </c>
      <c r="K863" t="s">
        <v>517</v>
      </c>
      <c r="L863" t="s">
        <v>536</v>
      </c>
      <c r="M863" t="s">
        <v>528</v>
      </c>
      <c r="N863" t="s">
        <v>520</v>
      </c>
      <c r="O863" t="s">
        <v>521</v>
      </c>
    </row>
    <row r="864" spans="1:15" x14ac:dyDescent="0.35">
      <c r="A864" t="s">
        <v>1430</v>
      </c>
      <c r="B864" t="s">
        <v>576</v>
      </c>
      <c r="C864" t="s">
        <v>514</v>
      </c>
      <c r="D864" t="s">
        <v>571</v>
      </c>
      <c r="E864">
        <v>81879</v>
      </c>
      <c r="F864">
        <v>104151.21</v>
      </c>
      <c r="G864">
        <f>IF(Table13[[#This Row],[Budget_Allocated_INR]]="","",Table13[[#This Row],[Amount_INR]]-Table13[[#This Row],[Budget_Allocated_INR]])</f>
        <v>-22272.210000000006</v>
      </c>
      <c r="H864">
        <v>-22272.21</v>
      </c>
      <c r="I864" s="1">
        <v>45492</v>
      </c>
      <c r="J864" t="s">
        <v>597</v>
      </c>
      <c r="K864" t="s">
        <v>540</v>
      </c>
      <c r="L864" t="s">
        <v>536</v>
      </c>
      <c r="M864" t="s">
        <v>537</v>
      </c>
      <c r="N864" t="s">
        <v>520</v>
      </c>
    </row>
    <row r="865" spans="1:15" x14ac:dyDescent="0.35">
      <c r="A865" t="s">
        <v>1431</v>
      </c>
      <c r="B865" t="s">
        <v>523</v>
      </c>
      <c r="C865" t="s">
        <v>586</v>
      </c>
      <c r="D865" t="s">
        <v>539</v>
      </c>
      <c r="E865">
        <v>367595</v>
      </c>
      <c r="F865">
        <v>430319.99</v>
      </c>
      <c r="G865">
        <f>IF(Table13[[#This Row],[Budget_Allocated_INR]]="","",Table13[[#This Row],[Amount_INR]]-Table13[[#This Row],[Budget_Allocated_INR]])</f>
        <v>-62724.989999999991</v>
      </c>
      <c r="H865">
        <v>-62724.99</v>
      </c>
      <c r="I865" s="1">
        <v>45076</v>
      </c>
      <c r="J865" t="s">
        <v>526</v>
      </c>
      <c r="K865" t="s">
        <v>517</v>
      </c>
      <c r="L865" t="s">
        <v>518</v>
      </c>
      <c r="M865" t="s">
        <v>537</v>
      </c>
      <c r="N865" t="s">
        <v>520</v>
      </c>
    </row>
    <row r="866" spans="1:15" x14ac:dyDescent="0.35">
      <c r="A866" t="s">
        <v>1432</v>
      </c>
      <c r="B866" t="s">
        <v>530</v>
      </c>
      <c r="C866" t="s">
        <v>524</v>
      </c>
      <c r="D866" t="s">
        <v>574</v>
      </c>
      <c r="E866">
        <v>289597</v>
      </c>
      <c r="F866">
        <v>282397.92</v>
      </c>
      <c r="G866">
        <f>IF(Table13[[#This Row],[Budget_Allocated_INR]]="","",Table13[[#This Row],[Amount_INR]]-Table13[[#This Row],[Budget_Allocated_INR]])</f>
        <v>7199.0800000000163</v>
      </c>
      <c r="H866">
        <v>7199.08</v>
      </c>
      <c r="I866" s="1">
        <v>45257</v>
      </c>
      <c r="J866" t="s">
        <v>526</v>
      </c>
      <c r="K866" t="s">
        <v>517</v>
      </c>
      <c r="L866" t="s">
        <v>518</v>
      </c>
      <c r="M866" t="s">
        <v>537</v>
      </c>
      <c r="N866" t="s">
        <v>520</v>
      </c>
    </row>
    <row r="867" spans="1:15" x14ac:dyDescent="0.35">
      <c r="A867" t="s">
        <v>1433</v>
      </c>
      <c r="B867" t="s">
        <v>545</v>
      </c>
      <c r="C867" t="s">
        <v>531</v>
      </c>
      <c r="D867" t="s">
        <v>525</v>
      </c>
      <c r="E867">
        <v>444300</v>
      </c>
      <c r="G867" t="str">
        <f>IF(Table13[[#This Row],[Budget_Allocated_INR]]="","",Table13[[#This Row],[Amount_INR]]-Table13[[#This Row],[Budget_Allocated_INR]])</f>
        <v/>
      </c>
      <c r="H867">
        <v>-23709.82</v>
      </c>
      <c r="I867" s="1">
        <v>45088</v>
      </c>
      <c r="J867" t="s">
        <v>526</v>
      </c>
      <c r="K867" t="s">
        <v>540</v>
      </c>
      <c r="L867" t="s">
        <v>518</v>
      </c>
      <c r="M867" t="s">
        <v>537</v>
      </c>
      <c r="N867" t="s">
        <v>520</v>
      </c>
    </row>
    <row r="868" spans="1:15" x14ac:dyDescent="0.35">
      <c r="A868" t="s">
        <v>1434</v>
      </c>
      <c r="B868" t="s">
        <v>523</v>
      </c>
      <c r="C868" t="s">
        <v>543</v>
      </c>
      <c r="D868" t="s">
        <v>605</v>
      </c>
      <c r="E868">
        <v>229406</v>
      </c>
      <c r="F868">
        <v>256266.91</v>
      </c>
      <c r="G868">
        <f>IF(Table13[[#This Row],[Budget_Allocated_INR]]="","",Table13[[#This Row],[Amount_INR]]-Table13[[#This Row],[Budget_Allocated_INR]])</f>
        <v>-26860.910000000003</v>
      </c>
      <c r="H868">
        <v>-26860.91</v>
      </c>
      <c r="I868" s="1">
        <v>45089</v>
      </c>
      <c r="J868" t="s">
        <v>526</v>
      </c>
      <c r="K868" t="s">
        <v>527</v>
      </c>
      <c r="L868" t="s">
        <v>518</v>
      </c>
      <c r="M868" t="s">
        <v>528</v>
      </c>
      <c r="N868" t="s">
        <v>520</v>
      </c>
    </row>
    <row r="869" spans="1:15" x14ac:dyDescent="0.35">
      <c r="A869" t="s">
        <v>1435</v>
      </c>
      <c r="B869" t="s">
        <v>565</v>
      </c>
      <c r="C869" t="s">
        <v>514</v>
      </c>
      <c r="D869" t="s">
        <v>634</v>
      </c>
      <c r="E869">
        <v>433873</v>
      </c>
      <c r="F869">
        <v>471343.29</v>
      </c>
      <c r="G869">
        <f>IF(Table13[[#This Row],[Budget_Allocated_INR]]="","",Table13[[#This Row],[Amount_INR]]-Table13[[#This Row],[Budget_Allocated_INR]])</f>
        <v>-37470.289999999979</v>
      </c>
      <c r="H869">
        <v>-37470.29</v>
      </c>
      <c r="I869" s="1">
        <v>45554</v>
      </c>
      <c r="J869" t="s">
        <v>526</v>
      </c>
      <c r="K869" t="s">
        <v>527</v>
      </c>
      <c r="L869" t="s">
        <v>536</v>
      </c>
      <c r="M869" t="s">
        <v>546</v>
      </c>
      <c r="N869" t="s">
        <v>520</v>
      </c>
    </row>
    <row r="870" spans="1:15" x14ac:dyDescent="0.35">
      <c r="A870" t="s">
        <v>1436</v>
      </c>
      <c r="B870" t="s">
        <v>565</v>
      </c>
      <c r="C870" t="s">
        <v>599</v>
      </c>
      <c r="D870" t="s">
        <v>550</v>
      </c>
      <c r="E870">
        <v>412046</v>
      </c>
      <c r="F870">
        <v>414572.17</v>
      </c>
      <c r="G870">
        <f>IF(Table13[[#This Row],[Budget_Allocated_INR]]="","",Table13[[#This Row],[Amount_INR]]-Table13[[#This Row],[Budget_Allocated_INR]])</f>
        <v>-2526.1699999999837</v>
      </c>
      <c r="H870">
        <v>-2526.17</v>
      </c>
      <c r="I870" s="1">
        <v>45433</v>
      </c>
      <c r="J870" t="s">
        <v>526</v>
      </c>
      <c r="K870" t="s">
        <v>540</v>
      </c>
      <c r="L870" t="s">
        <v>536</v>
      </c>
      <c r="M870" t="s">
        <v>537</v>
      </c>
      <c r="N870" t="s">
        <v>520</v>
      </c>
    </row>
    <row r="871" spans="1:15" x14ac:dyDescent="0.35">
      <c r="A871" t="s">
        <v>1437</v>
      </c>
      <c r="B871" t="s">
        <v>565</v>
      </c>
      <c r="C871" t="s">
        <v>514</v>
      </c>
      <c r="D871" t="s">
        <v>563</v>
      </c>
      <c r="E871">
        <v>352830</v>
      </c>
      <c r="F871">
        <v>323583.27</v>
      </c>
      <c r="G871">
        <f>IF(Table13[[#This Row],[Budget_Allocated_INR]]="","",Table13[[#This Row],[Amount_INR]]-Table13[[#This Row],[Budget_Allocated_INR]])</f>
        <v>29246.729999999981</v>
      </c>
      <c r="H871">
        <v>29246.73</v>
      </c>
      <c r="I871" s="1">
        <v>45336</v>
      </c>
      <c r="J871" t="s">
        <v>526</v>
      </c>
      <c r="K871" t="s">
        <v>560</v>
      </c>
      <c r="L871" t="s">
        <v>518</v>
      </c>
      <c r="M871" t="s">
        <v>537</v>
      </c>
      <c r="N871" t="s">
        <v>520</v>
      </c>
    </row>
    <row r="872" spans="1:15" x14ac:dyDescent="0.35">
      <c r="A872" t="s">
        <v>1438</v>
      </c>
      <c r="B872" t="s">
        <v>576</v>
      </c>
      <c r="C872" t="s">
        <v>543</v>
      </c>
      <c r="D872" t="s">
        <v>574</v>
      </c>
      <c r="E872">
        <v>83091</v>
      </c>
      <c r="F872">
        <v>80652.12</v>
      </c>
      <c r="G872">
        <f>IF(Table13[[#This Row],[Budget_Allocated_INR]]="","",Table13[[#This Row],[Amount_INR]]-Table13[[#This Row],[Budget_Allocated_INR]])</f>
        <v>2438.8800000000047</v>
      </c>
      <c r="H872">
        <v>2438.88</v>
      </c>
      <c r="I872" s="1">
        <v>44967</v>
      </c>
      <c r="J872" t="s">
        <v>526</v>
      </c>
      <c r="K872" t="s">
        <v>560</v>
      </c>
      <c r="L872" t="s">
        <v>541</v>
      </c>
      <c r="M872" t="s">
        <v>537</v>
      </c>
      <c r="N872" t="s">
        <v>520</v>
      </c>
    </row>
    <row r="873" spans="1:15" x14ac:dyDescent="0.35">
      <c r="A873" t="s">
        <v>1439</v>
      </c>
      <c r="B873" t="s">
        <v>534</v>
      </c>
      <c r="C873" t="s">
        <v>531</v>
      </c>
      <c r="D873" t="s">
        <v>535</v>
      </c>
      <c r="E873">
        <v>489090</v>
      </c>
      <c r="F873">
        <v>508698.44</v>
      </c>
      <c r="G873">
        <f>IF(Table13[[#This Row],[Budget_Allocated_INR]]="","",Table13[[#This Row],[Amount_INR]]-Table13[[#This Row],[Budget_Allocated_INR]])</f>
        <v>-19608.440000000002</v>
      </c>
      <c r="H873">
        <v>-19608.439999999999</v>
      </c>
      <c r="I873" s="1">
        <v>45437</v>
      </c>
      <c r="J873" t="s">
        <v>526</v>
      </c>
      <c r="K873" t="s">
        <v>560</v>
      </c>
      <c r="L873" t="s">
        <v>536</v>
      </c>
      <c r="M873" t="s">
        <v>537</v>
      </c>
      <c r="N873" t="s">
        <v>520</v>
      </c>
    </row>
    <row r="874" spans="1:15" x14ac:dyDescent="0.35">
      <c r="A874" t="s">
        <v>1440</v>
      </c>
      <c r="B874" t="s">
        <v>534</v>
      </c>
      <c r="C874" t="s">
        <v>514</v>
      </c>
      <c r="D874" t="s">
        <v>550</v>
      </c>
      <c r="E874">
        <v>53049</v>
      </c>
      <c r="F874">
        <v>62831.16</v>
      </c>
      <c r="G874">
        <f>IF(Table13[[#This Row],[Budget_Allocated_INR]]="","",Table13[[#This Row],[Amount_INR]]-Table13[[#This Row],[Budget_Allocated_INR]])</f>
        <v>-9782.1600000000035</v>
      </c>
      <c r="H874">
        <v>-9782.16</v>
      </c>
      <c r="I874" s="1">
        <v>45161</v>
      </c>
      <c r="J874" t="s">
        <v>597</v>
      </c>
      <c r="K874" t="s">
        <v>540</v>
      </c>
      <c r="L874" t="s">
        <v>518</v>
      </c>
      <c r="M874" t="s">
        <v>546</v>
      </c>
      <c r="N874" t="s">
        <v>520</v>
      </c>
    </row>
    <row r="875" spans="1:15" x14ac:dyDescent="0.35">
      <c r="A875" t="s">
        <v>1441</v>
      </c>
      <c r="B875" t="s">
        <v>523</v>
      </c>
      <c r="C875" t="s">
        <v>558</v>
      </c>
      <c r="D875" t="s">
        <v>515</v>
      </c>
      <c r="E875">
        <v>-263534</v>
      </c>
      <c r="F875">
        <v>274868.96000000002</v>
      </c>
      <c r="G875">
        <f>IF(Table13[[#This Row],[Budget_Allocated_INR]]="","",Table13[[#This Row],[Amount_INR]]-Table13[[#This Row],[Budget_Allocated_INR]])</f>
        <v>-538402.96</v>
      </c>
      <c r="I875" s="1">
        <v>45085</v>
      </c>
      <c r="J875" t="s">
        <v>597</v>
      </c>
      <c r="K875" t="s">
        <v>517</v>
      </c>
      <c r="L875" t="s">
        <v>518</v>
      </c>
      <c r="M875" t="s">
        <v>546</v>
      </c>
      <c r="N875" t="s">
        <v>582</v>
      </c>
    </row>
    <row r="876" spans="1:15" x14ac:dyDescent="0.35">
      <c r="A876" t="s">
        <v>1442</v>
      </c>
      <c r="B876" t="s">
        <v>534</v>
      </c>
      <c r="C876" t="s">
        <v>549</v>
      </c>
      <c r="D876" t="s">
        <v>535</v>
      </c>
      <c r="E876">
        <v>-314516</v>
      </c>
      <c r="F876">
        <v>275322.02</v>
      </c>
      <c r="G876">
        <f>IF(Table13[[#This Row],[Budget_Allocated_INR]]="","",Table13[[#This Row],[Amount_INR]]-Table13[[#This Row],[Budget_Allocated_INR]])</f>
        <v>-589838.02</v>
      </c>
      <c r="H876">
        <v>39193.980000000003</v>
      </c>
      <c r="I876" s="1">
        <v>45094</v>
      </c>
      <c r="J876" t="s">
        <v>516</v>
      </c>
      <c r="K876" t="s">
        <v>560</v>
      </c>
      <c r="L876" t="s">
        <v>518</v>
      </c>
      <c r="M876" t="s">
        <v>537</v>
      </c>
      <c r="N876" t="s">
        <v>582</v>
      </c>
    </row>
    <row r="877" spans="1:15" x14ac:dyDescent="0.35">
      <c r="A877" t="s">
        <v>1443</v>
      </c>
      <c r="B877" t="s">
        <v>576</v>
      </c>
      <c r="C877" t="s">
        <v>549</v>
      </c>
      <c r="D877" t="s">
        <v>605</v>
      </c>
      <c r="E877">
        <v>390526</v>
      </c>
      <c r="F877">
        <v>476205.24</v>
      </c>
      <c r="G877">
        <f>IF(Table13[[#This Row],[Budget_Allocated_INR]]="","",Table13[[#This Row],[Amount_INR]]-Table13[[#This Row],[Budget_Allocated_INR]])</f>
        <v>-85679.239999999991</v>
      </c>
      <c r="I877" s="1">
        <v>45217</v>
      </c>
      <c r="J877" t="s">
        <v>526</v>
      </c>
      <c r="K877" t="s">
        <v>560</v>
      </c>
      <c r="L877" t="s">
        <v>518</v>
      </c>
      <c r="M877" t="s">
        <v>537</v>
      </c>
      <c r="N877" t="s">
        <v>520</v>
      </c>
    </row>
    <row r="878" spans="1:15" x14ac:dyDescent="0.35">
      <c r="A878" t="s">
        <v>1444</v>
      </c>
      <c r="B878" t="s">
        <v>565</v>
      </c>
      <c r="C878" t="s">
        <v>543</v>
      </c>
      <c r="D878" t="s">
        <v>588</v>
      </c>
      <c r="E878">
        <v>162145</v>
      </c>
      <c r="F878">
        <v>130887.25</v>
      </c>
      <c r="G878">
        <f>IF(Table13[[#This Row],[Budget_Allocated_INR]]="","",Table13[[#This Row],[Amount_INR]]-Table13[[#This Row],[Budget_Allocated_INR]])</f>
        <v>31257.75</v>
      </c>
      <c r="H878">
        <v>31257.75</v>
      </c>
      <c r="I878" s="1">
        <v>45269</v>
      </c>
      <c r="J878" t="s">
        <v>526</v>
      </c>
      <c r="K878" t="s">
        <v>527</v>
      </c>
      <c r="L878" t="s">
        <v>518</v>
      </c>
      <c r="M878" t="s">
        <v>546</v>
      </c>
      <c r="N878" t="s">
        <v>520</v>
      </c>
    </row>
    <row r="879" spans="1:15" x14ac:dyDescent="0.35">
      <c r="A879" t="s">
        <v>1445</v>
      </c>
      <c r="B879" t="s">
        <v>523</v>
      </c>
      <c r="C879" t="s">
        <v>558</v>
      </c>
      <c r="D879" t="s">
        <v>535</v>
      </c>
      <c r="E879">
        <v>389446</v>
      </c>
      <c r="F879">
        <v>441845.35</v>
      </c>
      <c r="G879">
        <f>IF(Table13[[#This Row],[Budget_Allocated_INR]]="","",Table13[[#This Row],[Amount_INR]]-Table13[[#This Row],[Budget_Allocated_INR]])</f>
        <v>-52399.349999999977</v>
      </c>
      <c r="H879">
        <v>-52399.35</v>
      </c>
      <c r="I879" s="1">
        <v>45229</v>
      </c>
      <c r="J879" t="s">
        <v>526</v>
      </c>
      <c r="K879" t="s">
        <v>560</v>
      </c>
      <c r="L879" t="s">
        <v>518</v>
      </c>
      <c r="M879" t="s">
        <v>519</v>
      </c>
      <c r="N879" t="s">
        <v>520</v>
      </c>
    </row>
    <row r="880" spans="1:15" x14ac:dyDescent="0.35">
      <c r="A880" t="s">
        <v>1446</v>
      </c>
      <c r="B880" t="s">
        <v>576</v>
      </c>
      <c r="C880" t="s">
        <v>599</v>
      </c>
      <c r="D880" t="s">
        <v>525</v>
      </c>
      <c r="E880">
        <v>459009</v>
      </c>
      <c r="F880">
        <v>566572.53</v>
      </c>
      <c r="G880">
        <f>IF(Table13[[#This Row],[Budget_Allocated_INR]]="","",Table13[[#This Row],[Amount_INR]]-Table13[[#This Row],[Budget_Allocated_INR]])</f>
        <v>-107563.53000000003</v>
      </c>
      <c r="H880">
        <v>-107563.53</v>
      </c>
      <c r="I880" s="1">
        <v>45107</v>
      </c>
      <c r="J880" t="s">
        <v>516</v>
      </c>
      <c r="K880" t="s">
        <v>540</v>
      </c>
      <c r="L880" t="s">
        <v>518</v>
      </c>
      <c r="M880" t="s">
        <v>537</v>
      </c>
      <c r="N880" t="s">
        <v>520</v>
      </c>
      <c r="O880" t="s">
        <v>521</v>
      </c>
    </row>
    <row r="881" spans="1:15" x14ac:dyDescent="0.35">
      <c r="A881" t="s">
        <v>1447</v>
      </c>
      <c r="B881" t="s">
        <v>530</v>
      </c>
      <c r="C881" t="s">
        <v>531</v>
      </c>
      <c r="D881" t="s">
        <v>574</v>
      </c>
      <c r="E881">
        <v>190747</v>
      </c>
      <c r="F881">
        <v>213302.01</v>
      </c>
      <c r="G881">
        <f>IF(Table13[[#This Row],[Budget_Allocated_INR]]="","",Table13[[#This Row],[Amount_INR]]-Table13[[#This Row],[Budget_Allocated_INR]])</f>
        <v>-22555.010000000009</v>
      </c>
      <c r="H881">
        <v>-22555.01</v>
      </c>
      <c r="I881" s="1">
        <v>45219</v>
      </c>
      <c r="J881" t="s">
        <v>516</v>
      </c>
      <c r="K881" t="s">
        <v>517</v>
      </c>
      <c r="L881" t="s">
        <v>518</v>
      </c>
      <c r="M881" t="s">
        <v>546</v>
      </c>
      <c r="N881" t="s">
        <v>520</v>
      </c>
    </row>
    <row r="882" spans="1:15" x14ac:dyDescent="0.35">
      <c r="A882" t="s">
        <v>1448</v>
      </c>
      <c r="B882" t="s">
        <v>548</v>
      </c>
      <c r="C882" t="s">
        <v>624</v>
      </c>
      <c r="D882" t="s">
        <v>634</v>
      </c>
      <c r="E882">
        <v>328626</v>
      </c>
      <c r="F882">
        <v>393670.11</v>
      </c>
      <c r="G882">
        <f>IF(Table13[[#This Row],[Budget_Allocated_INR]]="","",Table13[[#This Row],[Amount_INR]]-Table13[[#This Row],[Budget_Allocated_INR]])</f>
        <v>-65044.109999999986</v>
      </c>
      <c r="H882">
        <v>-65044.11</v>
      </c>
      <c r="I882" s="1">
        <v>45310</v>
      </c>
      <c r="J882" t="s">
        <v>516</v>
      </c>
      <c r="K882" t="s">
        <v>527</v>
      </c>
      <c r="L882" t="s">
        <v>518</v>
      </c>
      <c r="M882" t="s">
        <v>554</v>
      </c>
      <c r="N882" t="s">
        <v>520</v>
      </c>
      <c r="O882" t="s">
        <v>521</v>
      </c>
    </row>
    <row r="883" spans="1:15" x14ac:dyDescent="0.35">
      <c r="A883" t="s">
        <v>1449</v>
      </c>
      <c r="B883" t="s">
        <v>548</v>
      </c>
      <c r="C883" t="s">
        <v>562</v>
      </c>
      <c r="D883" t="s">
        <v>550</v>
      </c>
      <c r="E883">
        <v>225579</v>
      </c>
      <c r="F883">
        <v>281255.76</v>
      </c>
      <c r="G883">
        <f>IF(Table13[[#This Row],[Budget_Allocated_INR]]="","",Table13[[#This Row],[Amount_INR]]-Table13[[#This Row],[Budget_Allocated_INR]])</f>
        <v>-55676.760000000009</v>
      </c>
      <c r="I883" s="1">
        <v>45221</v>
      </c>
      <c r="J883" t="s">
        <v>516</v>
      </c>
      <c r="K883" t="s">
        <v>527</v>
      </c>
      <c r="L883" t="s">
        <v>518</v>
      </c>
      <c r="M883" t="s">
        <v>554</v>
      </c>
      <c r="N883" t="s">
        <v>520</v>
      </c>
      <c r="O883" t="s">
        <v>521</v>
      </c>
    </row>
    <row r="884" spans="1:15" x14ac:dyDescent="0.35">
      <c r="A884" t="s">
        <v>1450</v>
      </c>
      <c r="B884" t="s">
        <v>545</v>
      </c>
      <c r="C884" t="s">
        <v>562</v>
      </c>
      <c r="D884" t="s">
        <v>559</v>
      </c>
      <c r="E884">
        <v>406692</v>
      </c>
      <c r="F884">
        <v>495019.41</v>
      </c>
      <c r="G884">
        <f>IF(Table13[[#This Row],[Budget_Allocated_INR]]="","",Table13[[#This Row],[Amount_INR]]-Table13[[#This Row],[Budget_Allocated_INR]])</f>
        <v>-88327.409999999974</v>
      </c>
      <c r="H884">
        <v>-88327.41</v>
      </c>
      <c r="I884" s="1">
        <v>45205</v>
      </c>
      <c r="J884" t="s">
        <v>526</v>
      </c>
      <c r="K884" t="s">
        <v>527</v>
      </c>
      <c r="L884" t="s">
        <v>518</v>
      </c>
      <c r="M884" t="s">
        <v>528</v>
      </c>
      <c r="N884" t="s">
        <v>520</v>
      </c>
    </row>
    <row r="885" spans="1:15" x14ac:dyDescent="0.35">
      <c r="A885" t="s">
        <v>1451</v>
      </c>
      <c r="B885" t="s">
        <v>534</v>
      </c>
      <c r="C885" t="s">
        <v>581</v>
      </c>
      <c r="D885" t="s">
        <v>532</v>
      </c>
      <c r="E885">
        <v>377199</v>
      </c>
      <c r="F885">
        <v>344024.27</v>
      </c>
      <c r="G885">
        <f>IF(Table13[[#This Row],[Budget_Allocated_INR]]="","",Table13[[#This Row],[Amount_INR]]-Table13[[#This Row],[Budget_Allocated_INR]])</f>
        <v>33174.729999999981</v>
      </c>
      <c r="H885">
        <v>33174.730000000003</v>
      </c>
      <c r="I885" s="1">
        <v>45170</v>
      </c>
      <c r="J885" t="s">
        <v>516</v>
      </c>
      <c r="K885" t="s">
        <v>540</v>
      </c>
      <c r="L885" t="s">
        <v>518</v>
      </c>
      <c r="M885" t="s">
        <v>568</v>
      </c>
      <c r="N885" t="s">
        <v>520</v>
      </c>
      <c r="O885" t="s">
        <v>521</v>
      </c>
    </row>
    <row r="886" spans="1:15" x14ac:dyDescent="0.35">
      <c r="A886" t="s">
        <v>1452</v>
      </c>
      <c r="B886" t="s">
        <v>523</v>
      </c>
      <c r="C886" t="s">
        <v>558</v>
      </c>
      <c r="D886" t="s">
        <v>539</v>
      </c>
      <c r="E886">
        <v>111710</v>
      </c>
      <c r="F886">
        <v>123408.52</v>
      </c>
      <c r="G886">
        <f>IF(Table13[[#This Row],[Budget_Allocated_INR]]="","",Table13[[#This Row],[Amount_INR]]-Table13[[#This Row],[Budget_Allocated_INR]])</f>
        <v>-11698.520000000004</v>
      </c>
      <c r="H886">
        <v>-11698.52</v>
      </c>
      <c r="I886" s="1">
        <v>45324</v>
      </c>
      <c r="J886" t="s">
        <v>526</v>
      </c>
      <c r="K886" t="s">
        <v>560</v>
      </c>
      <c r="L886" t="s">
        <v>518</v>
      </c>
      <c r="M886" t="s">
        <v>554</v>
      </c>
      <c r="N886" t="s">
        <v>520</v>
      </c>
    </row>
    <row r="887" spans="1:15" x14ac:dyDescent="0.35">
      <c r="A887" t="s">
        <v>1453</v>
      </c>
      <c r="B887" t="s">
        <v>565</v>
      </c>
      <c r="C887" t="s">
        <v>581</v>
      </c>
      <c r="D887" t="s">
        <v>550</v>
      </c>
      <c r="E887">
        <v>476868</v>
      </c>
      <c r="G887" t="str">
        <f>IF(Table13[[#This Row],[Budget_Allocated_INR]]="","",Table13[[#This Row],[Amount_INR]]-Table13[[#This Row],[Budget_Allocated_INR]])</f>
        <v/>
      </c>
      <c r="H887">
        <v>70934.83</v>
      </c>
      <c r="I887" s="1">
        <v>45028</v>
      </c>
      <c r="J887" t="s">
        <v>526</v>
      </c>
      <c r="K887" t="s">
        <v>517</v>
      </c>
      <c r="L887" t="s">
        <v>518</v>
      </c>
      <c r="M887" t="s">
        <v>554</v>
      </c>
      <c r="N887" t="s">
        <v>520</v>
      </c>
    </row>
    <row r="888" spans="1:15" x14ac:dyDescent="0.35">
      <c r="A888" t="s">
        <v>1454</v>
      </c>
      <c r="B888" t="s">
        <v>534</v>
      </c>
      <c r="C888" t="s">
        <v>524</v>
      </c>
      <c r="D888" t="s">
        <v>593</v>
      </c>
      <c r="E888">
        <v>395554</v>
      </c>
      <c r="F888">
        <v>367928.69</v>
      </c>
      <c r="G888">
        <f>IF(Table13[[#This Row],[Budget_Allocated_INR]]="","",Table13[[#This Row],[Amount_INR]]-Table13[[#This Row],[Budget_Allocated_INR]])</f>
        <v>27625.309999999998</v>
      </c>
      <c r="H888">
        <v>27625.31</v>
      </c>
      <c r="I888" s="1">
        <v>45562</v>
      </c>
      <c r="J888" t="s">
        <v>597</v>
      </c>
      <c r="K888" t="s">
        <v>517</v>
      </c>
      <c r="L888" t="s">
        <v>536</v>
      </c>
      <c r="M888" t="s">
        <v>519</v>
      </c>
      <c r="N888" t="s">
        <v>520</v>
      </c>
      <c r="O888" t="s">
        <v>521</v>
      </c>
    </row>
    <row r="889" spans="1:15" x14ac:dyDescent="0.35">
      <c r="A889" t="s">
        <v>1455</v>
      </c>
      <c r="B889" t="s">
        <v>530</v>
      </c>
      <c r="C889" t="s">
        <v>531</v>
      </c>
      <c r="D889" t="s">
        <v>605</v>
      </c>
      <c r="E889">
        <v>360337</v>
      </c>
      <c r="F889">
        <v>414434.12</v>
      </c>
      <c r="G889">
        <f>IF(Table13[[#This Row],[Budget_Allocated_INR]]="","",Table13[[#This Row],[Amount_INR]]-Table13[[#This Row],[Budget_Allocated_INR]])</f>
        <v>-54097.119999999995</v>
      </c>
      <c r="H889">
        <v>-54097.120000000003</v>
      </c>
      <c r="I889" s="1">
        <v>45028</v>
      </c>
      <c r="J889" t="s">
        <v>526</v>
      </c>
      <c r="K889" t="s">
        <v>527</v>
      </c>
      <c r="L889" t="s">
        <v>518</v>
      </c>
      <c r="M889" t="s">
        <v>537</v>
      </c>
      <c r="N889" t="s">
        <v>520</v>
      </c>
    </row>
    <row r="890" spans="1:15" x14ac:dyDescent="0.35">
      <c r="A890" t="s">
        <v>1456</v>
      </c>
      <c r="B890" t="s">
        <v>545</v>
      </c>
      <c r="C890" t="s">
        <v>524</v>
      </c>
      <c r="D890" t="s">
        <v>532</v>
      </c>
      <c r="E890">
        <v>351028</v>
      </c>
      <c r="F890">
        <v>385039.95</v>
      </c>
      <c r="G890">
        <f>IF(Table13[[#This Row],[Budget_Allocated_INR]]="","",Table13[[#This Row],[Amount_INR]]-Table13[[#This Row],[Budget_Allocated_INR]])</f>
        <v>-34011.950000000012</v>
      </c>
      <c r="H890">
        <v>-34011.949999999997</v>
      </c>
      <c r="I890" s="1">
        <v>45639</v>
      </c>
      <c r="J890" t="s">
        <v>526</v>
      </c>
      <c r="K890" t="s">
        <v>527</v>
      </c>
      <c r="L890" t="s">
        <v>536</v>
      </c>
      <c r="M890" t="s">
        <v>528</v>
      </c>
      <c r="N890" t="s">
        <v>520</v>
      </c>
    </row>
    <row r="891" spans="1:15" x14ac:dyDescent="0.35">
      <c r="A891" t="s">
        <v>1457</v>
      </c>
      <c r="B891" t="s">
        <v>530</v>
      </c>
      <c r="C891" t="s">
        <v>596</v>
      </c>
      <c r="D891" t="s">
        <v>588</v>
      </c>
      <c r="E891">
        <v>309529</v>
      </c>
      <c r="F891">
        <v>306562.45</v>
      </c>
      <c r="G891">
        <f>IF(Table13[[#This Row],[Budget_Allocated_INR]]="","",Table13[[#This Row],[Amount_INR]]-Table13[[#This Row],[Budget_Allocated_INR]])</f>
        <v>2966.5499999999884</v>
      </c>
      <c r="H891">
        <v>2966.55</v>
      </c>
      <c r="I891" s="1">
        <v>45659</v>
      </c>
      <c r="J891" t="s">
        <v>526</v>
      </c>
      <c r="K891" t="s">
        <v>517</v>
      </c>
      <c r="L891" t="s">
        <v>536</v>
      </c>
      <c r="M891" t="s">
        <v>537</v>
      </c>
      <c r="N891" t="s">
        <v>520</v>
      </c>
    </row>
    <row r="892" spans="1:15" x14ac:dyDescent="0.35">
      <c r="A892" t="s">
        <v>1458</v>
      </c>
      <c r="B892" t="s">
        <v>565</v>
      </c>
      <c r="C892" t="s">
        <v>581</v>
      </c>
      <c r="D892" t="s">
        <v>571</v>
      </c>
      <c r="E892">
        <v>66495</v>
      </c>
      <c r="F892">
        <v>76533.45</v>
      </c>
      <c r="G892">
        <f>IF(Table13[[#This Row],[Budget_Allocated_INR]]="","",Table13[[#This Row],[Amount_INR]]-Table13[[#This Row],[Budget_Allocated_INR]])</f>
        <v>-10038.449999999997</v>
      </c>
      <c r="I892" s="1">
        <v>45577</v>
      </c>
      <c r="J892" t="s">
        <v>526</v>
      </c>
      <c r="K892" t="s">
        <v>560</v>
      </c>
      <c r="L892" t="s">
        <v>536</v>
      </c>
      <c r="M892" t="s">
        <v>546</v>
      </c>
      <c r="N892" t="s">
        <v>520</v>
      </c>
    </row>
    <row r="893" spans="1:15" x14ac:dyDescent="0.35">
      <c r="A893" t="s">
        <v>1459</v>
      </c>
      <c r="B893" t="s">
        <v>545</v>
      </c>
      <c r="C893" t="s">
        <v>562</v>
      </c>
      <c r="D893" t="s">
        <v>571</v>
      </c>
      <c r="E893">
        <v>420489</v>
      </c>
      <c r="F893">
        <v>490489.93</v>
      </c>
      <c r="G893">
        <f>IF(Table13[[#This Row],[Budget_Allocated_INR]]="","",Table13[[#This Row],[Amount_INR]]-Table13[[#This Row],[Budget_Allocated_INR]])</f>
        <v>-70000.929999999993</v>
      </c>
      <c r="H893">
        <v>-70000.929999999993</v>
      </c>
      <c r="I893" s="1">
        <v>45397</v>
      </c>
      <c r="J893" t="s">
        <v>526</v>
      </c>
      <c r="K893" t="s">
        <v>527</v>
      </c>
      <c r="L893" t="s">
        <v>536</v>
      </c>
      <c r="M893" t="s">
        <v>537</v>
      </c>
      <c r="N893" t="s">
        <v>520</v>
      </c>
    </row>
    <row r="894" spans="1:15" x14ac:dyDescent="0.35">
      <c r="A894" t="s">
        <v>1460</v>
      </c>
      <c r="B894" t="s">
        <v>534</v>
      </c>
      <c r="C894" t="s">
        <v>596</v>
      </c>
      <c r="D894" t="s">
        <v>588</v>
      </c>
      <c r="E894">
        <v>284661</v>
      </c>
      <c r="F894">
        <v>274429.94</v>
      </c>
      <c r="G894">
        <f>IF(Table13[[#This Row],[Budget_Allocated_INR]]="","",Table13[[#This Row],[Amount_INR]]-Table13[[#This Row],[Budget_Allocated_INR]])</f>
        <v>10231.059999999998</v>
      </c>
      <c r="H894">
        <v>10231.06</v>
      </c>
      <c r="I894" s="1">
        <v>45357</v>
      </c>
      <c r="J894" t="s">
        <v>516</v>
      </c>
      <c r="K894" t="s">
        <v>517</v>
      </c>
      <c r="L894" t="s">
        <v>518</v>
      </c>
      <c r="M894" t="s">
        <v>537</v>
      </c>
      <c r="N894" t="s">
        <v>520</v>
      </c>
      <c r="O894" t="s">
        <v>521</v>
      </c>
    </row>
    <row r="895" spans="1:15" x14ac:dyDescent="0.35">
      <c r="A895" t="s">
        <v>1461</v>
      </c>
      <c r="B895" t="s">
        <v>576</v>
      </c>
      <c r="C895" t="s">
        <v>549</v>
      </c>
      <c r="D895" t="s">
        <v>634</v>
      </c>
      <c r="E895">
        <v>458087</v>
      </c>
      <c r="F895">
        <v>503162.26</v>
      </c>
      <c r="G895">
        <f>IF(Table13[[#This Row],[Budget_Allocated_INR]]="","",Table13[[#This Row],[Amount_INR]]-Table13[[#This Row],[Budget_Allocated_INR]])</f>
        <v>-45075.260000000009</v>
      </c>
      <c r="H895">
        <v>-45075.26</v>
      </c>
      <c r="I895" s="1">
        <v>44972</v>
      </c>
      <c r="J895" t="s">
        <v>526</v>
      </c>
      <c r="K895" t="s">
        <v>540</v>
      </c>
      <c r="L895" t="s">
        <v>541</v>
      </c>
      <c r="M895" t="s">
        <v>537</v>
      </c>
      <c r="N895" t="s">
        <v>520</v>
      </c>
    </row>
    <row r="896" spans="1:15" x14ac:dyDescent="0.35">
      <c r="A896" t="s">
        <v>1462</v>
      </c>
      <c r="B896" t="s">
        <v>565</v>
      </c>
      <c r="C896" t="s">
        <v>596</v>
      </c>
      <c r="D896" t="s">
        <v>571</v>
      </c>
      <c r="E896">
        <v>370541</v>
      </c>
      <c r="F896">
        <v>356161.54</v>
      </c>
      <c r="G896">
        <f>IF(Table13[[#This Row],[Budget_Allocated_INR]]="","",Table13[[#This Row],[Amount_INR]]-Table13[[#This Row],[Budget_Allocated_INR]])</f>
        <v>14379.460000000021</v>
      </c>
      <c r="H896">
        <v>14379.46</v>
      </c>
      <c r="I896" s="1">
        <v>45681</v>
      </c>
      <c r="J896" t="s">
        <v>526</v>
      </c>
      <c r="K896" t="s">
        <v>540</v>
      </c>
      <c r="L896" t="s">
        <v>536</v>
      </c>
      <c r="M896" t="s">
        <v>546</v>
      </c>
      <c r="N896" t="s">
        <v>520</v>
      </c>
    </row>
    <row r="897" spans="1:15" x14ac:dyDescent="0.35">
      <c r="A897" t="s">
        <v>1463</v>
      </c>
      <c r="B897" t="s">
        <v>523</v>
      </c>
      <c r="C897" t="s">
        <v>524</v>
      </c>
      <c r="D897" t="s">
        <v>525</v>
      </c>
      <c r="E897">
        <v>386744</v>
      </c>
      <c r="F897">
        <v>448470.01</v>
      </c>
      <c r="G897">
        <f>IF(Table13[[#This Row],[Budget_Allocated_INR]]="","",Table13[[#This Row],[Amount_INR]]-Table13[[#This Row],[Budget_Allocated_INR]])</f>
        <v>-61726.010000000009</v>
      </c>
      <c r="H897">
        <v>-61726.01</v>
      </c>
      <c r="I897" s="1">
        <v>45210</v>
      </c>
      <c r="J897" t="s">
        <v>526</v>
      </c>
      <c r="K897" t="s">
        <v>527</v>
      </c>
      <c r="L897" t="s">
        <v>518</v>
      </c>
      <c r="M897" t="s">
        <v>537</v>
      </c>
      <c r="N897" t="s">
        <v>520</v>
      </c>
    </row>
    <row r="898" spans="1:15" x14ac:dyDescent="0.35">
      <c r="A898" t="s">
        <v>1464</v>
      </c>
      <c r="B898" t="s">
        <v>530</v>
      </c>
      <c r="C898" t="s">
        <v>596</v>
      </c>
      <c r="D898" t="s">
        <v>588</v>
      </c>
      <c r="E898">
        <v>239819</v>
      </c>
      <c r="F898">
        <v>252413.51</v>
      </c>
      <c r="G898">
        <f>IF(Table13[[#This Row],[Budget_Allocated_INR]]="","",Table13[[#This Row],[Amount_INR]]-Table13[[#This Row],[Budget_Allocated_INR]])</f>
        <v>-12594.510000000009</v>
      </c>
      <c r="H898">
        <v>-12594.51</v>
      </c>
      <c r="I898" s="1">
        <v>45070</v>
      </c>
      <c r="J898" t="s">
        <v>597</v>
      </c>
      <c r="K898" t="s">
        <v>527</v>
      </c>
      <c r="L898" t="s">
        <v>518</v>
      </c>
      <c r="M898" t="s">
        <v>568</v>
      </c>
      <c r="N898" t="s">
        <v>520</v>
      </c>
      <c r="O898" t="s">
        <v>521</v>
      </c>
    </row>
    <row r="899" spans="1:15" x14ac:dyDescent="0.35">
      <c r="A899" t="s">
        <v>1465</v>
      </c>
      <c r="B899" t="s">
        <v>534</v>
      </c>
      <c r="C899" t="s">
        <v>581</v>
      </c>
      <c r="D899" t="s">
        <v>539</v>
      </c>
      <c r="E899">
        <v>396834</v>
      </c>
      <c r="F899">
        <v>335318.40999999997</v>
      </c>
      <c r="G899">
        <f>IF(Table13[[#This Row],[Budget_Allocated_INR]]="","",Table13[[#This Row],[Amount_INR]]-Table13[[#This Row],[Budget_Allocated_INR]])</f>
        <v>61515.590000000026</v>
      </c>
      <c r="I899" s="1">
        <v>45041</v>
      </c>
      <c r="J899" t="s">
        <v>597</v>
      </c>
      <c r="K899" t="s">
        <v>517</v>
      </c>
      <c r="L899" t="s">
        <v>518</v>
      </c>
      <c r="M899" t="s">
        <v>537</v>
      </c>
      <c r="N899" t="s">
        <v>520</v>
      </c>
      <c r="O899" t="s">
        <v>521</v>
      </c>
    </row>
    <row r="900" spans="1:15" x14ac:dyDescent="0.35">
      <c r="A900" t="s">
        <v>1466</v>
      </c>
      <c r="B900" t="s">
        <v>576</v>
      </c>
      <c r="C900" t="s">
        <v>596</v>
      </c>
      <c r="D900" t="s">
        <v>584</v>
      </c>
      <c r="E900">
        <v>7916</v>
      </c>
      <c r="F900">
        <v>6849.37</v>
      </c>
      <c r="G900">
        <f>IF(Table13[[#This Row],[Budget_Allocated_INR]]="","",Table13[[#This Row],[Amount_INR]]-Table13[[#This Row],[Budget_Allocated_INR]])</f>
        <v>1066.6300000000001</v>
      </c>
      <c r="H900">
        <v>1066.6300000000001</v>
      </c>
      <c r="I900" s="1">
        <v>44966</v>
      </c>
      <c r="J900" t="s">
        <v>526</v>
      </c>
      <c r="K900" t="s">
        <v>517</v>
      </c>
      <c r="L900" t="s">
        <v>541</v>
      </c>
      <c r="M900" t="s">
        <v>537</v>
      </c>
      <c r="N900" t="s">
        <v>520</v>
      </c>
    </row>
    <row r="901" spans="1:15" x14ac:dyDescent="0.35">
      <c r="A901" t="s">
        <v>1467</v>
      </c>
      <c r="B901" t="s">
        <v>534</v>
      </c>
      <c r="C901" t="s">
        <v>514</v>
      </c>
      <c r="D901" t="s">
        <v>553</v>
      </c>
      <c r="E901">
        <v>323243</v>
      </c>
      <c r="F901">
        <v>399059.48</v>
      </c>
      <c r="G901">
        <f>IF(Table13[[#This Row],[Budget_Allocated_INR]]="","",Table13[[#This Row],[Amount_INR]]-Table13[[#This Row],[Budget_Allocated_INR]])</f>
        <v>-75816.479999999981</v>
      </c>
      <c r="H901">
        <v>-75816.479999999996</v>
      </c>
      <c r="I901" s="1">
        <v>45448</v>
      </c>
      <c r="J901" t="s">
        <v>526</v>
      </c>
      <c r="K901" t="s">
        <v>560</v>
      </c>
      <c r="L901" t="s">
        <v>536</v>
      </c>
      <c r="M901" t="s">
        <v>528</v>
      </c>
      <c r="N901" t="s">
        <v>520</v>
      </c>
    </row>
    <row r="902" spans="1:15" x14ac:dyDescent="0.35">
      <c r="A902" t="s">
        <v>1468</v>
      </c>
      <c r="B902" t="s">
        <v>530</v>
      </c>
      <c r="C902" t="s">
        <v>558</v>
      </c>
      <c r="D902" t="s">
        <v>539</v>
      </c>
      <c r="E902">
        <v>398985</v>
      </c>
      <c r="F902">
        <v>395738.02</v>
      </c>
      <c r="G902">
        <f>IF(Table13[[#This Row],[Budget_Allocated_INR]]="","",Table13[[#This Row],[Amount_INR]]-Table13[[#This Row],[Budget_Allocated_INR]])</f>
        <v>3246.9799999999814</v>
      </c>
      <c r="H902">
        <v>3246.98</v>
      </c>
      <c r="I902" s="1">
        <v>45036</v>
      </c>
      <c r="J902" t="s">
        <v>526</v>
      </c>
      <c r="K902" t="s">
        <v>560</v>
      </c>
      <c r="L902" t="s">
        <v>518</v>
      </c>
      <c r="M902" t="s">
        <v>537</v>
      </c>
      <c r="N902" t="s">
        <v>520</v>
      </c>
    </row>
    <row r="903" spans="1:15" x14ac:dyDescent="0.35">
      <c r="A903" t="s">
        <v>1469</v>
      </c>
      <c r="B903" t="s">
        <v>534</v>
      </c>
      <c r="C903" t="s">
        <v>524</v>
      </c>
      <c r="D903" t="s">
        <v>571</v>
      </c>
      <c r="E903">
        <v>343562</v>
      </c>
      <c r="F903">
        <v>410532.73</v>
      </c>
      <c r="G903">
        <f>IF(Table13[[#This Row],[Budget_Allocated_INR]]="","",Table13[[#This Row],[Amount_INR]]-Table13[[#This Row],[Budget_Allocated_INR]])</f>
        <v>-66970.729999999981</v>
      </c>
      <c r="H903">
        <v>-66970.73</v>
      </c>
      <c r="I903" s="1">
        <v>45559</v>
      </c>
      <c r="J903" t="s">
        <v>597</v>
      </c>
      <c r="K903" t="s">
        <v>527</v>
      </c>
      <c r="L903" t="s">
        <v>536</v>
      </c>
      <c r="M903" t="s">
        <v>537</v>
      </c>
      <c r="N903" t="s">
        <v>520</v>
      </c>
      <c r="O903" t="s">
        <v>521</v>
      </c>
    </row>
    <row r="904" spans="1:15" x14ac:dyDescent="0.35">
      <c r="A904" t="s">
        <v>1470</v>
      </c>
      <c r="B904" t="s">
        <v>530</v>
      </c>
      <c r="C904" t="s">
        <v>552</v>
      </c>
      <c r="D904" t="s">
        <v>584</v>
      </c>
      <c r="E904">
        <v>46352</v>
      </c>
      <c r="F904">
        <v>49435.68</v>
      </c>
      <c r="G904">
        <f>IF(Table13[[#This Row],[Budget_Allocated_INR]]="","",Table13[[#This Row],[Amount_INR]]-Table13[[#This Row],[Budget_Allocated_INR]])</f>
        <v>-3083.6800000000003</v>
      </c>
      <c r="H904">
        <v>-3083.68</v>
      </c>
      <c r="I904" s="1">
        <v>45099</v>
      </c>
      <c r="J904" t="s">
        <v>526</v>
      </c>
      <c r="K904" t="s">
        <v>527</v>
      </c>
      <c r="L904" t="s">
        <v>518</v>
      </c>
      <c r="M904" t="s">
        <v>519</v>
      </c>
      <c r="N904" t="s">
        <v>520</v>
      </c>
    </row>
    <row r="905" spans="1:15" x14ac:dyDescent="0.35">
      <c r="A905" t="s">
        <v>1471</v>
      </c>
      <c r="B905" t="s">
        <v>548</v>
      </c>
      <c r="C905" t="s">
        <v>599</v>
      </c>
      <c r="D905" t="s">
        <v>563</v>
      </c>
      <c r="E905">
        <v>248690</v>
      </c>
      <c r="F905">
        <v>310113.71000000002</v>
      </c>
      <c r="G905">
        <f>IF(Table13[[#This Row],[Budget_Allocated_INR]]="","",Table13[[#This Row],[Amount_INR]]-Table13[[#This Row],[Budget_Allocated_INR]])</f>
        <v>-61423.710000000021</v>
      </c>
      <c r="H905">
        <v>-61423.71</v>
      </c>
      <c r="I905" s="1">
        <v>45597</v>
      </c>
      <c r="J905" t="s">
        <v>526</v>
      </c>
      <c r="K905" t="s">
        <v>527</v>
      </c>
      <c r="L905" t="s">
        <v>536</v>
      </c>
      <c r="M905" t="s">
        <v>537</v>
      </c>
      <c r="N905" t="s">
        <v>520</v>
      </c>
    </row>
    <row r="906" spans="1:15" x14ac:dyDescent="0.35">
      <c r="A906" t="s">
        <v>1472</v>
      </c>
      <c r="B906" t="s">
        <v>523</v>
      </c>
      <c r="C906" t="s">
        <v>543</v>
      </c>
      <c r="D906" t="s">
        <v>550</v>
      </c>
      <c r="E906">
        <v>486729</v>
      </c>
      <c r="F906">
        <v>517012.08</v>
      </c>
      <c r="G906">
        <f>IF(Table13[[#This Row],[Budget_Allocated_INR]]="","",Table13[[#This Row],[Amount_INR]]-Table13[[#This Row],[Budget_Allocated_INR]])</f>
        <v>-30283.080000000016</v>
      </c>
      <c r="H906">
        <v>-30283.08</v>
      </c>
      <c r="I906" s="1">
        <v>44932</v>
      </c>
      <c r="J906" t="s">
        <v>526</v>
      </c>
      <c r="K906" t="s">
        <v>517</v>
      </c>
      <c r="L906" t="s">
        <v>541</v>
      </c>
      <c r="M906" t="s">
        <v>568</v>
      </c>
      <c r="N906" t="s">
        <v>520</v>
      </c>
    </row>
    <row r="907" spans="1:15" x14ac:dyDescent="0.35">
      <c r="A907" t="s">
        <v>1473</v>
      </c>
      <c r="B907" t="s">
        <v>79</v>
      </c>
      <c r="C907" t="s">
        <v>581</v>
      </c>
      <c r="D907" t="s">
        <v>515</v>
      </c>
      <c r="E907">
        <v>79229</v>
      </c>
      <c r="F907">
        <v>68410.240000000005</v>
      </c>
      <c r="G907">
        <f>IF(Table13[[#This Row],[Budget_Allocated_INR]]="","",Table13[[#This Row],[Amount_INR]]-Table13[[#This Row],[Budget_Allocated_INR]])</f>
        <v>10818.759999999995</v>
      </c>
      <c r="H907">
        <v>10818.76</v>
      </c>
      <c r="I907" s="1">
        <v>45169</v>
      </c>
      <c r="J907" t="s">
        <v>516</v>
      </c>
      <c r="K907" t="s">
        <v>527</v>
      </c>
      <c r="L907" t="s">
        <v>518</v>
      </c>
      <c r="M907" t="s">
        <v>568</v>
      </c>
      <c r="N907" t="s">
        <v>520</v>
      </c>
    </row>
    <row r="908" spans="1:15" x14ac:dyDescent="0.35">
      <c r="A908" t="s">
        <v>1474</v>
      </c>
      <c r="B908" t="s">
        <v>545</v>
      </c>
      <c r="C908" t="s">
        <v>581</v>
      </c>
      <c r="D908" t="s">
        <v>535</v>
      </c>
      <c r="E908">
        <v>86309</v>
      </c>
      <c r="F908">
        <v>75559.28</v>
      </c>
      <c r="G908">
        <f>IF(Table13[[#This Row],[Budget_Allocated_INR]]="","",Table13[[#This Row],[Amount_INR]]-Table13[[#This Row],[Budget_Allocated_INR]])</f>
        <v>10749.720000000001</v>
      </c>
      <c r="H908">
        <v>10749.72</v>
      </c>
      <c r="I908" s="1">
        <v>45661</v>
      </c>
      <c r="J908" t="s">
        <v>526</v>
      </c>
      <c r="K908" t="s">
        <v>560</v>
      </c>
      <c r="L908" t="s">
        <v>536</v>
      </c>
      <c r="M908" t="s">
        <v>519</v>
      </c>
      <c r="N908" t="s">
        <v>520</v>
      </c>
    </row>
    <row r="909" spans="1:15" x14ac:dyDescent="0.35">
      <c r="A909" t="s">
        <v>1475</v>
      </c>
      <c r="B909" t="s">
        <v>548</v>
      </c>
      <c r="C909" t="s">
        <v>562</v>
      </c>
      <c r="D909" t="s">
        <v>539</v>
      </c>
      <c r="E909">
        <v>111079</v>
      </c>
      <c r="F909">
        <v>104283.1</v>
      </c>
      <c r="G909">
        <f>IF(Table13[[#This Row],[Budget_Allocated_INR]]="","",Table13[[#This Row],[Amount_INR]]-Table13[[#This Row],[Budget_Allocated_INR]])</f>
        <v>6795.8999999999942</v>
      </c>
      <c r="H909">
        <v>6795.9</v>
      </c>
      <c r="I909" s="1">
        <v>45061</v>
      </c>
      <c r="J909" t="s">
        <v>516</v>
      </c>
      <c r="K909" t="s">
        <v>560</v>
      </c>
      <c r="L909" t="s">
        <v>518</v>
      </c>
      <c r="M909" t="s">
        <v>537</v>
      </c>
      <c r="N909" t="s">
        <v>520</v>
      </c>
    </row>
    <row r="910" spans="1:15" x14ac:dyDescent="0.35">
      <c r="A910" t="s">
        <v>1476</v>
      </c>
      <c r="B910" t="s">
        <v>534</v>
      </c>
      <c r="C910" t="s">
        <v>562</v>
      </c>
      <c r="D910" t="s">
        <v>515</v>
      </c>
      <c r="E910">
        <v>159124</v>
      </c>
      <c r="F910">
        <v>143818.44</v>
      </c>
      <c r="G910">
        <f>IF(Table13[[#This Row],[Budget_Allocated_INR]]="","",Table13[[#This Row],[Amount_INR]]-Table13[[#This Row],[Budget_Allocated_INR]])</f>
        <v>15305.559999999998</v>
      </c>
      <c r="H910">
        <v>15305.56</v>
      </c>
      <c r="I910" s="1">
        <v>45463</v>
      </c>
      <c r="J910" t="s">
        <v>526</v>
      </c>
      <c r="K910" t="s">
        <v>527</v>
      </c>
      <c r="L910" t="s">
        <v>536</v>
      </c>
      <c r="M910" t="s">
        <v>568</v>
      </c>
      <c r="N910" t="s">
        <v>520</v>
      </c>
    </row>
    <row r="911" spans="1:15" x14ac:dyDescent="0.35">
      <c r="A911" t="s">
        <v>1477</v>
      </c>
      <c r="B911" t="s">
        <v>548</v>
      </c>
      <c r="C911" t="s">
        <v>524</v>
      </c>
      <c r="D911" t="s">
        <v>559</v>
      </c>
      <c r="E911">
        <v>80224</v>
      </c>
      <c r="F911">
        <v>71471.3</v>
      </c>
      <c r="G911">
        <f>IF(Table13[[#This Row],[Budget_Allocated_INR]]="","",Table13[[#This Row],[Amount_INR]]-Table13[[#This Row],[Budget_Allocated_INR]])</f>
        <v>8752.6999999999971</v>
      </c>
      <c r="H911">
        <v>8752.7000000000007</v>
      </c>
      <c r="I911" s="1">
        <v>45726</v>
      </c>
      <c r="J911" t="s">
        <v>526</v>
      </c>
      <c r="K911" t="s">
        <v>517</v>
      </c>
      <c r="L911" t="s">
        <v>536</v>
      </c>
      <c r="M911" t="s">
        <v>554</v>
      </c>
      <c r="N911" t="s">
        <v>520</v>
      </c>
    </row>
    <row r="912" spans="1:15" x14ac:dyDescent="0.35">
      <c r="A912" t="s">
        <v>1478</v>
      </c>
      <c r="B912" t="s">
        <v>545</v>
      </c>
      <c r="C912" t="s">
        <v>524</v>
      </c>
      <c r="D912" t="s">
        <v>571</v>
      </c>
      <c r="E912">
        <v>498854</v>
      </c>
      <c r="F912">
        <v>429445.83</v>
      </c>
      <c r="G912">
        <f>IF(Table13[[#This Row],[Budget_Allocated_INR]]="","",Table13[[#This Row],[Amount_INR]]-Table13[[#This Row],[Budget_Allocated_INR]])</f>
        <v>69408.169999999984</v>
      </c>
      <c r="H912">
        <v>69408.17</v>
      </c>
      <c r="I912" s="1">
        <v>45611</v>
      </c>
      <c r="J912" t="s">
        <v>526</v>
      </c>
      <c r="K912" t="s">
        <v>517</v>
      </c>
      <c r="L912" t="s">
        <v>536</v>
      </c>
      <c r="M912" t="s">
        <v>568</v>
      </c>
      <c r="N912" t="s">
        <v>520</v>
      </c>
    </row>
    <row r="913" spans="1:15" x14ac:dyDescent="0.35">
      <c r="A913" t="s">
        <v>1479</v>
      </c>
      <c r="B913" t="s">
        <v>545</v>
      </c>
      <c r="C913" t="s">
        <v>596</v>
      </c>
      <c r="D913" t="s">
        <v>574</v>
      </c>
      <c r="E913">
        <v>-409293</v>
      </c>
      <c r="F913">
        <v>342007.51</v>
      </c>
      <c r="G913">
        <f>IF(Table13[[#This Row],[Budget_Allocated_INR]]="","",Table13[[#This Row],[Amount_INR]]-Table13[[#This Row],[Budget_Allocated_INR]])</f>
        <v>-751300.51</v>
      </c>
      <c r="H913">
        <v>67285.490000000005</v>
      </c>
      <c r="I913" s="1">
        <v>45092</v>
      </c>
      <c r="J913" t="s">
        <v>526</v>
      </c>
      <c r="K913" t="s">
        <v>517</v>
      </c>
      <c r="L913" t="s">
        <v>518</v>
      </c>
      <c r="M913" t="s">
        <v>546</v>
      </c>
      <c r="N913" t="s">
        <v>582</v>
      </c>
    </row>
    <row r="914" spans="1:15" x14ac:dyDescent="0.35">
      <c r="A914" t="s">
        <v>1480</v>
      </c>
      <c r="B914" t="s">
        <v>576</v>
      </c>
      <c r="C914" t="s">
        <v>524</v>
      </c>
      <c r="D914" t="s">
        <v>593</v>
      </c>
      <c r="E914">
        <v>410844</v>
      </c>
      <c r="F914">
        <v>405782.91</v>
      </c>
      <c r="G914">
        <f>IF(Table13[[#This Row],[Budget_Allocated_INR]]="","",Table13[[#This Row],[Amount_INR]]-Table13[[#This Row],[Budget_Allocated_INR]])</f>
        <v>5061.0900000000256</v>
      </c>
      <c r="H914">
        <v>5061.09</v>
      </c>
      <c r="I914" s="1">
        <v>45683</v>
      </c>
      <c r="J914" t="s">
        <v>526</v>
      </c>
      <c r="K914" t="s">
        <v>540</v>
      </c>
      <c r="L914" t="s">
        <v>536</v>
      </c>
      <c r="M914" t="s">
        <v>537</v>
      </c>
      <c r="N914" t="s">
        <v>520</v>
      </c>
    </row>
    <row r="915" spans="1:15" x14ac:dyDescent="0.35">
      <c r="A915" t="s">
        <v>1481</v>
      </c>
      <c r="B915" t="s">
        <v>530</v>
      </c>
      <c r="C915" t="s">
        <v>596</v>
      </c>
      <c r="D915" t="s">
        <v>584</v>
      </c>
      <c r="E915">
        <v>-365851</v>
      </c>
      <c r="F915">
        <v>429202.67</v>
      </c>
      <c r="G915">
        <f>IF(Table13[[#This Row],[Budget_Allocated_INR]]="","",Table13[[#This Row],[Amount_INR]]-Table13[[#This Row],[Budget_Allocated_INR]])</f>
        <v>-795053.66999999993</v>
      </c>
      <c r="H915">
        <v>-63351.67</v>
      </c>
      <c r="I915" s="1">
        <v>45398</v>
      </c>
      <c r="J915" t="s">
        <v>526</v>
      </c>
      <c r="K915" t="s">
        <v>527</v>
      </c>
      <c r="L915" t="s">
        <v>536</v>
      </c>
      <c r="M915" t="s">
        <v>519</v>
      </c>
      <c r="N915" t="s">
        <v>582</v>
      </c>
    </row>
    <row r="916" spans="1:15" x14ac:dyDescent="0.35">
      <c r="A916" t="s">
        <v>1482</v>
      </c>
      <c r="B916" t="s">
        <v>548</v>
      </c>
      <c r="C916" t="s">
        <v>531</v>
      </c>
      <c r="D916" t="s">
        <v>525</v>
      </c>
      <c r="E916">
        <v>243174</v>
      </c>
      <c r="F916">
        <v>215513.25</v>
      </c>
      <c r="G916">
        <f>IF(Table13[[#This Row],[Budget_Allocated_INR]]="","",Table13[[#This Row],[Amount_INR]]-Table13[[#This Row],[Budget_Allocated_INR]])</f>
        <v>27660.75</v>
      </c>
      <c r="H916">
        <v>27660.75</v>
      </c>
      <c r="I916" s="1">
        <v>45701</v>
      </c>
      <c r="J916" t="s">
        <v>597</v>
      </c>
      <c r="K916" t="s">
        <v>517</v>
      </c>
      <c r="L916" t="s">
        <v>536</v>
      </c>
      <c r="M916" t="s">
        <v>568</v>
      </c>
      <c r="N916" t="s">
        <v>520</v>
      </c>
      <c r="O916" t="s">
        <v>521</v>
      </c>
    </row>
    <row r="917" spans="1:15" x14ac:dyDescent="0.35">
      <c r="A917" t="s">
        <v>1483</v>
      </c>
      <c r="B917" t="s">
        <v>523</v>
      </c>
      <c r="C917" t="s">
        <v>514</v>
      </c>
      <c r="D917" t="s">
        <v>559</v>
      </c>
      <c r="E917">
        <v>460341</v>
      </c>
      <c r="F917">
        <v>501553.2</v>
      </c>
      <c r="G917">
        <f>IF(Table13[[#This Row],[Budget_Allocated_INR]]="","",Table13[[#This Row],[Amount_INR]]-Table13[[#This Row],[Budget_Allocated_INR]])</f>
        <v>-41212.200000000012</v>
      </c>
      <c r="H917">
        <v>-41212.199999999997</v>
      </c>
      <c r="I917" s="1">
        <v>45237</v>
      </c>
      <c r="J917" t="s">
        <v>597</v>
      </c>
      <c r="K917" t="s">
        <v>540</v>
      </c>
      <c r="L917" t="s">
        <v>518</v>
      </c>
      <c r="M917" t="s">
        <v>528</v>
      </c>
      <c r="N917" t="s">
        <v>520</v>
      </c>
      <c r="O917" t="s">
        <v>521</v>
      </c>
    </row>
    <row r="918" spans="1:15" x14ac:dyDescent="0.35">
      <c r="A918" t="s">
        <v>1484</v>
      </c>
      <c r="B918" t="s">
        <v>523</v>
      </c>
      <c r="C918" t="s">
        <v>543</v>
      </c>
      <c r="D918" t="s">
        <v>574</v>
      </c>
      <c r="E918">
        <v>176359</v>
      </c>
      <c r="F918">
        <v>203534.64</v>
      </c>
      <c r="G918">
        <f>IF(Table13[[#This Row],[Budget_Allocated_INR]]="","",Table13[[#This Row],[Amount_INR]]-Table13[[#This Row],[Budget_Allocated_INR]])</f>
        <v>-27175.640000000014</v>
      </c>
      <c r="H918">
        <v>-27175.64</v>
      </c>
      <c r="I918" s="1">
        <v>45175</v>
      </c>
      <c r="J918" t="s">
        <v>526</v>
      </c>
      <c r="K918" t="s">
        <v>527</v>
      </c>
      <c r="L918" t="s">
        <v>518</v>
      </c>
      <c r="M918" t="s">
        <v>554</v>
      </c>
      <c r="N918" t="s">
        <v>520</v>
      </c>
    </row>
    <row r="919" spans="1:15" x14ac:dyDescent="0.35">
      <c r="A919" t="s">
        <v>1485</v>
      </c>
      <c r="B919" t="s">
        <v>565</v>
      </c>
      <c r="C919" t="s">
        <v>552</v>
      </c>
      <c r="D919" t="s">
        <v>550</v>
      </c>
      <c r="E919">
        <v>50128</v>
      </c>
      <c r="F919">
        <v>54308.31</v>
      </c>
      <c r="G919">
        <f>IF(Table13[[#This Row],[Budget_Allocated_INR]]="","",Table13[[#This Row],[Amount_INR]]-Table13[[#This Row],[Budget_Allocated_INR]])</f>
        <v>-4180.3099999999977</v>
      </c>
      <c r="H919">
        <v>-4180.3100000000004</v>
      </c>
      <c r="I919" s="1">
        <v>45555</v>
      </c>
      <c r="J919" t="s">
        <v>526</v>
      </c>
      <c r="K919" t="s">
        <v>560</v>
      </c>
      <c r="L919" t="s">
        <v>536</v>
      </c>
      <c r="M919" t="s">
        <v>568</v>
      </c>
      <c r="N919" t="s">
        <v>520</v>
      </c>
    </row>
    <row r="920" spans="1:15" x14ac:dyDescent="0.35">
      <c r="A920" t="s">
        <v>1486</v>
      </c>
      <c r="B920" t="s">
        <v>565</v>
      </c>
      <c r="C920" t="s">
        <v>596</v>
      </c>
      <c r="D920" t="s">
        <v>593</v>
      </c>
      <c r="E920">
        <v>333550</v>
      </c>
      <c r="F920">
        <v>344603.39</v>
      </c>
      <c r="G920">
        <f>IF(Table13[[#This Row],[Budget_Allocated_INR]]="","",Table13[[#This Row],[Amount_INR]]-Table13[[#This Row],[Budget_Allocated_INR]])</f>
        <v>-11053.390000000014</v>
      </c>
      <c r="H920">
        <v>-11053.39</v>
      </c>
      <c r="I920" s="1">
        <v>45650</v>
      </c>
      <c r="J920" t="s">
        <v>526</v>
      </c>
      <c r="K920" t="s">
        <v>517</v>
      </c>
      <c r="L920" t="s">
        <v>536</v>
      </c>
      <c r="M920" t="s">
        <v>537</v>
      </c>
      <c r="N920" t="s">
        <v>520</v>
      </c>
    </row>
    <row r="921" spans="1:15" x14ac:dyDescent="0.35">
      <c r="A921" t="s">
        <v>1487</v>
      </c>
      <c r="B921" t="s">
        <v>534</v>
      </c>
      <c r="C921" t="s">
        <v>524</v>
      </c>
      <c r="D921" t="s">
        <v>553</v>
      </c>
      <c r="E921">
        <v>291057</v>
      </c>
      <c r="F921">
        <v>367148.7</v>
      </c>
      <c r="G921">
        <f>IF(Table13[[#This Row],[Budget_Allocated_INR]]="","",Table13[[#This Row],[Amount_INR]]-Table13[[#This Row],[Budget_Allocated_INR]])</f>
        <v>-76091.700000000012</v>
      </c>
      <c r="H921">
        <v>-76091.7</v>
      </c>
      <c r="I921" s="1">
        <v>45181</v>
      </c>
      <c r="J921" t="s">
        <v>526</v>
      </c>
      <c r="K921" t="s">
        <v>517</v>
      </c>
      <c r="L921" t="s">
        <v>518</v>
      </c>
      <c r="M921" t="s">
        <v>554</v>
      </c>
      <c r="N921" t="s">
        <v>520</v>
      </c>
    </row>
    <row r="922" spans="1:15" x14ac:dyDescent="0.35">
      <c r="A922" t="s">
        <v>1488</v>
      </c>
      <c r="B922" t="s">
        <v>530</v>
      </c>
      <c r="C922" t="s">
        <v>552</v>
      </c>
      <c r="D922" t="s">
        <v>550</v>
      </c>
      <c r="E922">
        <v>86794</v>
      </c>
      <c r="F922">
        <v>96648.5</v>
      </c>
      <c r="G922">
        <f>IF(Table13[[#This Row],[Budget_Allocated_INR]]="","",Table13[[#This Row],[Amount_INR]]-Table13[[#This Row],[Budget_Allocated_INR]])</f>
        <v>-9854.5</v>
      </c>
      <c r="H922">
        <v>-9854.5</v>
      </c>
      <c r="I922" s="1">
        <v>45394</v>
      </c>
      <c r="J922" t="s">
        <v>526</v>
      </c>
      <c r="K922" t="s">
        <v>517</v>
      </c>
      <c r="L922" t="s">
        <v>536</v>
      </c>
      <c r="M922" t="s">
        <v>537</v>
      </c>
      <c r="N922" t="s">
        <v>520</v>
      </c>
    </row>
    <row r="923" spans="1:15" x14ac:dyDescent="0.35">
      <c r="A923" t="s">
        <v>1489</v>
      </c>
      <c r="B923" t="s">
        <v>545</v>
      </c>
      <c r="C923" t="s">
        <v>624</v>
      </c>
      <c r="D923" t="s">
        <v>559</v>
      </c>
      <c r="E923">
        <v>430138</v>
      </c>
      <c r="F923">
        <v>480530.1</v>
      </c>
      <c r="G923">
        <f>IF(Table13[[#This Row],[Budget_Allocated_INR]]="","",Table13[[#This Row],[Amount_INR]]-Table13[[#This Row],[Budget_Allocated_INR]])</f>
        <v>-50392.099999999977</v>
      </c>
      <c r="H923">
        <v>-50392.1</v>
      </c>
      <c r="I923" s="1">
        <v>45649</v>
      </c>
      <c r="J923" t="s">
        <v>526</v>
      </c>
      <c r="K923" t="s">
        <v>527</v>
      </c>
      <c r="L923" t="s">
        <v>536</v>
      </c>
      <c r="M923" t="s">
        <v>554</v>
      </c>
      <c r="N923" t="s">
        <v>520</v>
      </c>
    </row>
    <row r="924" spans="1:15" x14ac:dyDescent="0.35">
      <c r="A924" t="s">
        <v>1490</v>
      </c>
      <c r="B924" t="s">
        <v>548</v>
      </c>
      <c r="C924" t="s">
        <v>558</v>
      </c>
      <c r="D924" t="s">
        <v>539</v>
      </c>
      <c r="E924">
        <v>277220</v>
      </c>
      <c r="F924">
        <v>277889.01</v>
      </c>
      <c r="G924">
        <f>IF(Table13[[#This Row],[Budget_Allocated_INR]]="","",Table13[[#This Row],[Amount_INR]]-Table13[[#This Row],[Budget_Allocated_INR]])</f>
        <v>-669.01000000000931</v>
      </c>
      <c r="H924">
        <v>-669.01</v>
      </c>
      <c r="I924" s="1">
        <v>45169</v>
      </c>
      <c r="J924" t="s">
        <v>526</v>
      </c>
      <c r="K924" t="s">
        <v>527</v>
      </c>
      <c r="L924" t="s">
        <v>518</v>
      </c>
      <c r="M924" t="s">
        <v>537</v>
      </c>
      <c r="N924" t="s">
        <v>520</v>
      </c>
    </row>
    <row r="925" spans="1:15" x14ac:dyDescent="0.35">
      <c r="A925" t="s">
        <v>1491</v>
      </c>
      <c r="B925" t="s">
        <v>523</v>
      </c>
      <c r="C925" t="s">
        <v>581</v>
      </c>
      <c r="D925" t="s">
        <v>553</v>
      </c>
      <c r="E925">
        <v>499478</v>
      </c>
      <c r="F925">
        <v>511122.57</v>
      </c>
      <c r="G925">
        <f>IF(Table13[[#This Row],[Budget_Allocated_INR]]="","",Table13[[#This Row],[Amount_INR]]-Table13[[#This Row],[Budget_Allocated_INR]])</f>
        <v>-11644.570000000007</v>
      </c>
      <c r="H925">
        <v>-11644.57</v>
      </c>
      <c r="I925" s="1">
        <v>45035</v>
      </c>
      <c r="J925" t="s">
        <v>526</v>
      </c>
      <c r="K925" t="s">
        <v>560</v>
      </c>
      <c r="L925" t="s">
        <v>518</v>
      </c>
      <c r="M925" t="s">
        <v>537</v>
      </c>
      <c r="N925" t="s">
        <v>520</v>
      </c>
    </row>
    <row r="926" spans="1:15" x14ac:dyDescent="0.35">
      <c r="A926" t="s">
        <v>1492</v>
      </c>
      <c r="B926" t="s">
        <v>523</v>
      </c>
      <c r="C926" t="s">
        <v>531</v>
      </c>
      <c r="D926" t="s">
        <v>559</v>
      </c>
      <c r="E926">
        <v>76845</v>
      </c>
      <c r="F926">
        <v>63790.53</v>
      </c>
      <c r="G926">
        <f>IF(Table13[[#This Row],[Budget_Allocated_INR]]="","",Table13[[#This Row],[Amount_INR]]-Table13[[#This Row],[Budget_Allocated_INR]])</f>
        <v>13054.470000000001</v>
      </c>
      <c r="H926">
        <v>13054.47</v>
      </c>
      <c r="I926" s="1">
        <v>45091</v>
      </c>
      <c r="J926" t="s">
        <v>526</v>
      </c>
      <c r="K926" t="s">
        <v>560</v>
      </c>
      <c r="L926" t="s">
        <v>518</v>
      </c>
      <c r="M926" t="s">
        <v>537</v>
      </c>
      <c r="N926" t="s">
        <v>520</v>
      </c>
    </row>
    <row r="927" spans="1:15" x14ac:dyDescent="0.35">
      <c r="A927" t="s">
        <v>1493</v>
      </c>
      <c r="B927" t="s">
        <v>548</v>
      </c>
      <c r="C927" t="s">
        <v>552</v>
      </c>
      <c r="D927" t="s">
        <v>574</v>
      </c>
      <c r="E927">
        <v>487319</v>
      </c>
      <c r="F927">
        <v>556137.76</v>
      </c>
      <c r="G927">
        <f>IF(Table13[[#This Row],[Budget_Allocated_INR]]="","",Table13[[#This Row],[Amount_INR]]-Table13[[#This Row],[Budget_Allocated_INR]])</f>
        <v>-68818.760000000009</v>
      </c>
      <c r="H927">
        <v>-68818.759999999995</v>
      </c>
      <c r="I927" s="1">
        <v>45287</v>
      </c>
      <c r="J927" t="s">
        <v>516</v>
      </c>
      <c r="K927" t="s">
        <v>560</v>
      </c>
      <c r="L927" t="s">
        <v>518</v>
      </c>
      <c r="M927" t="s">
        <v>537</v>
      </c>
      <c r="N927" t="s">
        <v>520</v>
      </c>
      <c r="O927" t="s">
        <v>521</v>
      </c>
    </row>
    <row r="928" spans="1:15" x14ac:dyDescent="0.35">
      <c r="A928" t="s">
        <v>1494</v>
      </c>
      <c r="B928" t="s">
        <v>565</v>
      </c>
      <c r="C928" t="s">
        <v>581</v>
      </c>
      <c r="D928" t="s">
        <v>535</v>
      </c>
      <c r="E928">
        <v>76629</v>
      </c>
      <c r="F928">
        <v>81359.81</v>
      </c>
      <c r="G928">
        <f>IF(Table13[[#This Row],[Budget_Allocated_INR]]="","",Table13[[#This Row],[Amount_INR]]-Table13[[#This Row],[Budget_Allocated_INR]])</f>
        <v>-4730.8099999999977</v>
      </c>
      <c r="I928" s="1">
        <v>45613</v>
      </c>
      <c r="J928" t="s">
        <v>526</v>
      </c>
      <c r="K928" t="s">
        <v>527</v>
      </c>
      <c r="L928" t="s">
        <v>536</v>
      </c>
      <c r="M928" t="s">
        <v>537</v>
      </c>
      <c r="N928" t="s">
        <v>520</v>
      </c>
    </row>
    <row r="929" spans="1:15" x14ac:dyDescent="0.35">
      <c r="A929" t="s">
        <v>1495</v>
      </c>
      <c r="B929" t="s">
        <v>565</v>
      </c>
      <c r="C929" t="s">
        <v>581</v>
      </c>
      <c r="D929" t="s">
        <v>571</v>
      </c>
      <c r="E929">
        <v>468155</v>
      </c>
      <c r="F929">
        <v>519858.4</v>
      </c>
      <c r="G929">
        <f>IF(Table13[[#This Row],[Budget_Allocated_INR]]="","",Table13[[#This Row],[Amount_INR]]-Table13[[#This Row],[Budget_Allocated_INR]])</f>
        <v>-51703.400000000023</v>
      </c>
      <c r="H929">
        <v>-51703.4</v>
      </c>
      <c r="I929" s="1">
        <v>45046</v>
      </c>
      <c r="J929" t="s">
        <v>516</v>
      </c>
      <c r="K929" t="s">
        <v>517</v>
      </c>
      <c r="L929" t="s">
        <v>518</v>
      </c>
      <c r="M929" t="s">
        <v>537</v>
      </c>
      <c r="N929" t="s">
        <v>520</v>
      </c>
      <c r="O929" t="s">
        <v>521</v>
      </c>
    </row>
    <row r="930" spans="1:15" x14ac:dyDescent="0.35">
      <c r="A930" t="s">
        <v>1496</v>
      </c>
      <c r="B930" t="s">
        <v>545</v>
      </c>
      <c r="C930" t="s">
        <v>543</v>
      </c>
      <c r="D930" t="s">
        <v>559</v>
      </c>
      <c r="E930">
        <v>399688</v>
      </c>
      <c r="F930">
        <v>389275.04</v>
      </c>
      <c r="G930">
        <f>IF(Table13[[#This Row],[Budget_Allocated_INR]]="","",Table13[[#This Row],[Amount_INR]]-Table13[[#This Row],[Budget_Allocated_INR]])</f>
        <v>10412.960000000021</v>
      </c>
      <c r="H930">
        <v>10412.959999999999</v>
      </c>
      <c r="I930" s="1">
        <v>45203</v>
      </c>
      <c r="J930" t="s">
        <v>597</v>
      </c>
      <c r="K930" t="s">
        <v>517</v>
      </c>
      <c r="L930" t="s">
        <v>518</v>
      </c>
      <c r="M930" t="s">
        <v>537</v>
      </c>
      <c r="N930" t="s">
        <v>520</v>
      </c>
      <c r="O930" t="s">
        <v>521</v>
      </c>
    </row>
    <row r="931" spans="1:15" x14ac:dyDescent="0.35">
      <c r="A931" t="s">
        <v>1497</v>
      </c>
      <c r="B931" t="s">
        <v>565</v>
      </c>
      <c r="C931" t="s">
        <v>531</v>
      </c>
      <c r="D931" t="s">
        <v>525</v>
      </c>
      <c r="E931">
        <v>214509</v>
      </c>
      <c r="F931">
        <v>230804.26</v>
      </c>
      <c r="G931">
        <f>IF(Table13[[#This Row],[Budget_Allocated_INR]]="","",Table13[[#This Row],[Amount_INR]]-Table13[[#This Row],[Budget_Allocated_INR]])</f>
        <v>-16295.260000000009</v>
      </c>
      <c r="H931">
        <v>-16295.26</v>
      </c>
      <c r="I931" s="1">
        <v>45056</v>
      </c>
      <c r="J931" t="s">
        <v>516</v>
      </c>
      <c r="K931" t="s">
        <v>560</v>
      </c>
      <c r="L931" t="s">
        <v>518</v>
      </c>
      <c r="M931" t="s">
        <v>537</v>
      </c>
      <c r="N931" t="s">
        <v>520</v>
      </c>
      <c r="O931" t="s">
        <v>521</v>
      </c>
    </row>
    <row r="932" spans="1:15" x14ac:dyDescent="0.35">
      <c r="A932" t="s">
        <v>1498</v>
      </c>
      <c r="B932" t="s">
        <v>534</v>
      </c>
      <c r="C932" t="s">
        <v>581</v>
      </c>
      <c r="D932" t="s">
        <v>550</v>
      </c>
      <c r="E932">
        <v>462100</v>
      </c>
      <c r="F932">
        <v>520680.06</v>
      </c>
      <c r="G932">
        <f>IF(Table13[[#This Row],[Budget_Allocated_INR]]="","",Table13[[#This Row],[Amount_INR]]-Table13[[#This Row],[Budget_Allocated_INR]])</f>
        <v>-58580.06</v>
      </c>
      <c r="H932">
        <v>-58580.06</v>
      </c>
      <c r="I932" s="1">
        <v>45480</v>
      </c>
      <c r="J932" t="s">
        <v>526</v>
      </c>
      <c r="K932" t="s">
        <v>540</v>
      </c>
      <c r="L932" t="s">
        <v>536</v>
      </c>
      <c r="M932" t="s">
        <v>519</v>
      </c>
      <c r="N932" t="s">
        <v>520</v>
      </c>
    </row>
    <row r="933" spans="1:15" x14ac:dyDescent="0.35">
      <c r="A933" t="s">
        <v>1499</v>
      </c>
      <c r="B933" t="s">
        <v>523</v>
      </c>
      <c r="C933" t="s">
        <v>562</v>
      </c>
      <c r="D933" t="s">
        <v>593</v>
      </c>
      <c r="E933">
        <v>335867</v>
      </c>
      <c r="F933">
        <v>328625.09000000003</v>
      </c>
      <c r="G933">
        <f>IF(Table13[[#This Row],[Budget_Allocated_INR]]="","",Table13[[#This Row],[Amount_INR]]-Table13[[#This Row],[Budget_Allocated_INR]])</f>
        <v>7241.9099999999744</v>
      </c>
      <c r="H933">
        <v>7241.91</v>
      </c>
      <c r="I933" s="1">
        <v>45242</v>
      </c>
      <c r="J933" t="s">
        <v>526</v>
      </c>
      <c r="K933" t="s">
        <v>540</v>
      </c>
      <c r="L933" t="s">
        <v>518</v>
      </c>
      <c r="M933" t="s">
        <v>568</v>
      </c>
      <c r="N933" t="s">
        <v>520</v>
      </c>
    </row>
    <row r="934" spans="1:15" x14ac:dyDescent="0.35">
      <c r="A934" t="s">
        <v>1500</v>
      </c>
      <c r="B934" t="s">
        <v>565</v>
      </c>
      <c r="C934" t="s">
        <v>524</v>
      </c>
      <c r="D934" t="s">
        <v>559</v>
      </c>
      <c r="E934">
        <v>321335</v>
      </c>
      <c r="F934">
        <v>355160.31</v>
      </c>
      <c r="G934">
        <f>IF(Table13[[#This Row],[Budget_Allocated_INR]]="","",Table13[[#This Row],[Amount_INR]]-Table13[[#This Row],[Budget_Allocated_INR]])</f>
        <v>-33825.31</v>
      </c>
      <c r="H934">
        <v>-33825.31</v>
      </c>
      <c r="I934" s="1">
        <v>45627</v>
      </c>
      <c r="J934" t="s">
        <v>516</v>
      </c>
      <c r="K934" t="s">
        <v>527</v>
      </c>
      <c r="L934" t="s">
        <v>536</v>
      </c>
      <c r="M934" t="s">
        <v>554</v>
      </c>
      <c r="N934" t="s">
        <v>520</v>
      </c>
      <c r="O934" t="s">
        <v>521</v>
      </c>
    </row>
    <row r="935" spans="1:15" x14ac:dyDescent="0.35">
      <c r="A935" t="s">
        <v>1501</v>
      </c>
      <c r="B935" t="s">
        <v>565</v>
      </c>
      <c r="C935" t="s">
        <v>543</v>
      </c>
      <c r="D935" t="s">
        <v>605</v>
      </c>
      <c r="E935">
        <v>282538</v>
      </c>
      <c r="F935">
        <v>279029.98</v>
      </c>
      <c r="G935">
        <f>IF(Table13[[#This Row],[Budget_Allocated_INR]]="","",Table13[[#This Row],[Amount_INR]]-Table13[[#This Row],[Budget_Allocated_INR]])</f>
        <v>3508.0200000000186</v>
      </c>
      <c r="H935">
        <v>3508.02</v>
      </c>
      <c r="I935" s="1">
        <v>45216</v>
      </c>
      <c r="J935" t="s">
        <v>526</v>
      </c>
      <c r="K935" t="s">
        <v>517</v>
      </c>
      <c r="L935" t="s">
        <v>518</v>
      </c>
      <c r="M935" t="s">
        <v>519</v>
      </c>
      <c r="N935" t="s">
        <v>520</v>
      </c>
    </row>
    <row r="936" spans="1:15" x14ac:dyDescent="0.35">
      <c r="A936" t="s">
        <v>1502</v>
      </c>
      <c r="B936" t="s">
        <v>548</v>
      </c>
      <c r="C936" t="s">
        <v>514</v>
      </c>
      <c r="D936" t="s">
        <v>532</v>
      </c>
      <c r="E936">
        <v>497186</v>
      </c>
      <c r="F936">
        <v>638221.61</v>
      </c>
      <c r="G936">
        <f>IF(Table13[[#This Row],[Budget_Allocated_INR]]="","",Table13[[#This Row],[Amount_INR]]-Table13[[#This Row],[Budget_Allocated_INR]])</f>
        <v>-141035.60999999999</v>
      </c>
      <c r="H936">
        <v>-141035.60999999999</v>
      </c>
      <c r="I936" s="1">
        <v>45024</v>
      </c>
      <c r="J936" t="s">
        <v>526</v>
      </c>
      <c r="K936" t="s">
        <v>517</v>
      </c>
      <c r="L936" t="s">
        <v>518</v>
      </c>
      <c r="M936" t="s">
        <v>568</v>
      </c>
      <c r="N936" t="s">
        <v>520</v>
      </c>
    </row>
    <row r="937" spans="1:15" x14ac:dyDescent="0.35">
      <c r="A937" t="s">
        <v>1503</v>
      </c>
      <c r="B937" t="s">
        <v>548</v>
      </c>
      <c r="C937" t="s">
        <v>596</v>
      </c>
      <c r="D937" t="s">
        <v>634</v>
      </c>
      <c r="E937">
        <v>369946</v>
      </c>
      <c r="F937">
        <v>423565.82</v>
      </c>
      <c r="G937">
        <f>IF(Table13[[#This Row],[Budget_Allocated_INR]]="","",Table13[[#This Row],[Amount_INR]]-Table13[[#This Row],[Budget_Allocated_INR]])</f>
        <v>-53619.820000000007</v>
      </c>
      <c r="H937">
        <v>-53619.82</v>
      </c>
      <c r="I937" s="1">
        <v>45227</v>
      </c>
      <c r="J937" t="s">
        <v>526</v>
      </c>
      <c r="K937" t="s">
        <v>540</v>
      </c>
      <c r="L937" t="s">
        <v>518</v>
      </c>
      <c r="M937" t="s">
        <v>537</v>
      </c>
      <c r="N937" t="s">
        <v>520</v>
      </c>
    </row>
    <row r="938" spans="1:15" x14ac:dyDescent="0.35">
      <c r="A938" t="s">
        <v>1504</v>
      </c>
      <c r="B938" t="s">
        <v>534</v>
      </c>
      <c r="C938" t="s">
        <v>558</v>
      </c>
      <c r="D938" t="s">
        <v>574</v>
      </c>
      <c r="E938">
        <v>311511</v>
      </c>
      <c r="F938">
        <v>333501.96999999997</v>
      </c>
      <c r="G938">
        <f>IF(Table13[[#This Row],[Budget_Allocated_INR]]="","",Table13[[#This Row],[Amount_INR]]-Table13[[#This Row],[Budget_Allocated_INR]])</f>
        <v>-21990.969999999972</v>
      </c>
      <c r="H938">
        <v>-21990.97</v>
      </c>
      <c r="I938" s="1">
        <v>44945</v>
      </c>
      <c r="J938" t="s">
        <v>516</v>
      </c>
      <c r="K938" t="s">
        <v>517</v>
      </c>
      <c r="L938" t="s">
        <v>541</v>
      </c>
      <c r="M938" t="s">
        <v>537</v>
      </c>
      <c r="N938" t="s">
        <v>520</v>
      </c>
      <c r="O938" t="s">
        <v>521</v>
      </c>
    </row>
    <row r="939" spans="1:15" x14ac:dyDescent="0.35">
      <c r="A939" t="s">
        <v>1505</v>
      </c>
      <c r="B939" t="s">
        <v>576</v>
      </c>
      <c r="C939" t="s">
        <v>624</v>
      </c>
      <c r="D939" t="s">
        <v>588</v>
      </c>
      <c r="E939">
        <v>159696</v>
      </c>
      <c r="F939">
        <v>172996.13</v>
      </c>
      <c r="G939">
        <f>IF(Table13[[#This Row],[Budget_Allocated_INR]]="","",Table13[[#This Row],[Amount_INR]]-Table13[[#This Row],[Budget_Allocated_INR]])</f>
        <v>-13300.130000000005</v>
      </c>
      <c r="H939">
        <v>-13300.13</v>
      </c>
      <c r="I939" s="1">
        <v>45673</v>
      </c>
      <c r="J939" t="s">
        <v>526</v>
      </c>
      <c r="K939" t="s">
        <v>560</v>
      </c>
      <c r="L939" t="s">
        <v>536</v>
      </c>
      <c r="M939" t="s">
        <v>554</v>
      </c>
      <c r="N939" t="s">
        <v>520</v>
      </c>
    </row>
    <row r="940" spans="1:15" x14ac:dyDescent="0.35">
      <c r="A940" t="s">
        <v>1506</v>
      </c>
      <c r="B940" t="s">
        <v>79</v>
      </c>
      <c r="C940" t="s">
        <v>599</v>
      </c>
      <c r="D940" t="s">
        <v>634</v>
      </c>
      <c r="E940">
        <v>287823</v>
      </c>
      <c r="F940">
        <v>326728.3</v>
      </c>
      <c r="G940">
        <f>IF(Table13[[#This Row],[Budget_Allocated_INR]]="","",Table13[[#This Row],[Amount_INR]]-Table13[[#This Row],[Budget_Allocated_INR]])</f>
        <v>-38905.299999999988</v>
      </c>
      <c r="H940">
        <v>-38905.300000000003</v>
      </c>
      <c r="I940" s="1">
        <v>45058</v>
      </c>
      <c r="J940" t="s">
        <v>516</v>
      </c>
      <c r="K940" t="s">
        <v>527</v>
      </c>
      <c r="L940" t="s">
        <v>518</v>
      </c>
      <c r="M940" t="s">
        <v>528</v>
      </c>
      <c r="N940" t="s">
        <v>520</v>
      </c>
      <c r="O940" t="s">
        <v>521</v>
      </c>
    </row>
    <row r="941" spans="1:15" x14ac:dyDescent="0.35">
      <c r="A941" t="s">
        <v>1507</v>
      </c>
      <c r="B941" t="s">
        <v>565</v>
      </c>
      <c r="C941" t="s">
        <v>549</v>
      </c>
      <c r="D941" t="s">
        <v>535</v>
      </c>
      <c r="E941">
        <v>222238</v>
      </c>
      <c r="G941" t="str">
        <f>IF(Table13[[#This Row],[Budget_Allocated_INR]]="","",Table13[[#This Row],[Amount_INR]]-Table13[[#This Row],[Budget_Allocated_INR]])</f>
        <v/>
      </c>
      <c r="H941">
        <v>15926.96</v>
      </c>
      <c r="I941" s="1">
        <v>45743</v>
      </c>
      <c r="J941" t="s">
        <v>526</v>
      </c>
      <c r="K941" t="s">
        <v>517</v>
      </c>
      <c r="L941" t="s">
        <v>536</v>
      </c>
      <c r="M941" t="s">
        <v>519</v>
      </c>
      <c r="N941" t="s">
        <v>520</v>
      </c>
    </row>
    <row r="942" spans="1:15" x14ac:dyDescent="0.35">
      <c r="A942" t="s">
        <v>1508</v>
      </c>
      <c r="B942" t="s">
        <v>548</v>
      </c>
      <c r="C942" t="s">
        <v>552</v>
      </c>
      <c r="D942" t="s">
        <v>525</v>
      </c>
      <c r="E942">
        <v>325799</v>
      </c>
      <c r="F942">
        <v>407695.68</v>
      </c>
      <c r="G942">
        <f>IF(Table13[[#This Row],[Budget_Allocated_INR]]="","",Table13[[#This Row],[Amount_INR]]-Table13[[#This Row],[Budget_Allocated_INR]])</f>
        <v>-81896.679999999993</v>
      </c>
      <c r="H942">
        <v>-81896.679999999993</v>
      </c>
      <c r="I942" s="1">
        <v>45460</v>
      </c>
      <c r="J942" t="s">
        <v>526</v>
      </c>
      <c r="K942" t="s">
        <v>540</v>
      </c>
      <c r="L942" t="s">
        <v>536</v>
      </c>
      <c r="M942" t="s">
        <v>528</v>
      </c>
      <c r="N942" t="s">
        <v>520</v>
      </c>
    </row>
    <row r="943" spans="1:15" x14ac:dyDescent="0.35">
      <c r="A943" t="s">
        <v>1509</v>
      </c>
      <c r="B943" t="s">
        <v>523</v>
      </c>
      <c r="C943" t="s">
        <v>596</v>
      </c>
      <c r="D943" t="s">
        <v>574</v>
      </c>
      <c r="E943">
        <v>388292</v>
      </c>
      <c r="F943">
        <v>354480.19</v>
      </c>
      <c r="G943">
        <f>IF(Table13[[#This Row],[Budget_Allocated_INR]]="","",Table13[[#This Row],[Amount_INR]]-Table13[[#This Row],[Budget_Allocated_INR]])</f>
        <v>33811.81</v>
      </c>
      <c r="H943">
        <v>33811.81</v>
      </c>
      <c r="I943" s="1">
        <v>45623</v>
      </c>
      <c r="J943" t="s">
        <v>597</v>
      </c>
      <c r="K943" t="s">
        <v>540</v>
      </c>
      <c r="L943" t="s">
        <v>536</v>
      </c>
      <c r="M943" t="s">
        <v>537</v>
      </c>
      <c r="N943" t="s">
        <v>520</v>
      </c>
      <c r="O943" t="s">
        <v>521</v>
      </c>
    </row>
    <row r="944" spans="1:15" x14ac:dyDescent="0.35">
      <c r="A944" t="s">
        <v>1510</v>
      </c>
      <c r="B944" t="s">
        <v>530</v>
      </c>
      <c r="C944" t="s">
        <v>543</v>
      </c>
      <c r="D944" t="s">
        <v>539</v>
      </c>
      <c r="E944">
        <v>189639</v>
      </c>
      <c r="F944">
        <v>196448.91</v>
      </c>
      <c r="G944">
        <f>IF(Table13[[#This Row],[Budget_Allocated_INR]]="","",Table13[[#This Row],[Amount_INR]]-Table13[[#This Row],[Budget_Allocated_INR]])</f>
        <v>-6809.9100000000035</v>
      </c>
      <c r="H944">
        <v>-6809.91</v>
      </c>
      <c r="I944" s="1">
        <v>45045</v>
      </c>
      <c r="J944" t="s">
        <v>526</v>
      </c>
      <c r="K944" t="s">
        <v>560</v>
      </c>
      <c r="L944" t="s">
        <v>518</v>
      </c>
      <c r="M944" t="s">
        <v>546</v>
      </c>
      <c r="N944" t="s">
        <v>520</v>
      </c>
    </row>
    <row r="945" spans="1:15" x14ac:dyDescent="0.35">
      <c r="A945" t="s">
        <v>1511</v>
      </c>
      <c r="B945" t="s">
        <v>565</v>
      </c>
      <c r="C945" t="s">
        <v>558</v>
      </c>
      <c r="D945" t="s">
        <v>563</v>
      </c>
      <c r="E945">
        <v>222437</v>
      </c>
      <c r="F945">
        <v>236308.27</v>
      </c>
      <c r="G945">
        <f>IF(Table13[[#This Row],[Budget_Allocated_INR]]="","",Table13[[#This Row],[Amount_INR]]-Table13[[#This Row],[Budget_Allocated_INR]])</f>
        <v>-13871.26999999999</v>
      </c>
      <c r="H945">
        <v>-13871.27</v>
      </c>
      <c r="I945" s="1">
        <v>45210</v>
      </c>
      <c r="J945" t="s">
        <v>516</v>
      </c>
      <c r="K945" t="s">
        <v>517</v>
      </c>
      <c r="L945" t="s">
        <v>518</v>
      </c>
      <c r="M945" t="s">
        <v>546</v>
      </c>
      <c r="N945" t="s">
        <v>520</v>
      </c>
      <c r="O945" t="s">
        <v>521</v>
      </c>
    </row>
    <row r="946" spans="1:15" x14ac:dyDescent="0.35">
      <c r="A946" t="s">
        <v>1512</v>
      </c>
      <c r="B946" t="s">
        <v>534</v>
      </c>
      <c r="C946" t="s">
        <v>562</v>
      </c>
      <c r="D946" t="s">
        <v>532</v>
      </c>
      <c r="E946">
        <v>331095</v>
      </c>
      <c r="F946">
        <v>379350.06</v>
      </c>
      <c r="G946">
        <f>IF(Table13[[#This Row],[Budget_Allocated_INR]]="","",Table13[[#This Row],[Amount_INR]]-Table13[[#This Row],[Budget_Allocated_INR]])</f>
        <v>-48255.06</v>
      </c>
      <c r="H946">
        <v>-48255.06</v>
      </c>
      <c r="I946" s="1">
        <v>45615</v>
      </c>
      <c r="J946" t="s">
        <v>526</v>
      </c>
      <c r="K946" t="s">
        <v>560</v>
      </c>
      <c r="L946" t="s">
        <v>536</v>
      </c>
      <c r="M946" t="s">
        <v>546</v>
      </c>
      <c r="N946" t="s">
        <v>520</v>
      </c>
    </row>
    <row r="947" spans="1:15" x14ac:dyDescent="0.35">
      <c r="A947" t="s">
        <v>1513</v>
      </c>
      <c r="B947" t="s">
        <v>523</v>
      </c>
      <c r="C947" t="s">
        <v>524</v>
      </c>
      <c r="D947" t="s">
        <v>588</v>
      </c>
      <c r="E947">
        <v>3139665</v>
      </c>
      <c r="F947">
        <v>2934545.77</v>
      </c>
      <c r="G947">
        <f>IF(Table13[[#This Row],[Budget_Allocated_INR]]="","",Table13[[#This Row],[Amount_INR]]-Table13[[#This Row],[Budget_Allocated_INR]])</f>
        <v>205119.22999999998</v>
      </c>
      <c r="H947">
        <v>205119.23</v>
      </c>
      <c r="I947" s="1">
        <v>45049</v>
      </c>
      <c r="J947" t="s">
        <v>526</v>
      </c>
      <c r="K947" t="s">
        <v>517</v>
      </c>
      <c r="L947" t="s">
        <v>518</v>
      </c>
      <c r="M947" t="s">
        <v>568</v>
      </c>
      <c r="N947" t="s">
        <v>520</v>
      </c>
    </row>
    <row r="948" spans="1:15" x14ac:dyDescent="0.35">
      <c r="A948" t="s">
        <v>1514</v>
      </c>
      <c r="B948" t="s">
        <v>576</v>
      </c>
      <c r="C948" t="s">
        <v>586</v>
      </c>
      <c r="D948" t="s">
        <v>571</v>
      </c>
      <c r="E948">
        <v>145773</v>
      </c>
      <c r="F948">
        <v>182855.52</v>
      </c>
      <c r="G948">
        <f>IF(Table13[[#This Row],[Budget_Allocated_INR]]="","",Table13[[#This Row],[Amount_INR]]-Table13[[#This Row],[Budget_Allocated_INR]])</f>
        <v>-37082.51999999999</v>
      </c>
      <c r="H948">
        <v>-37082.519999999997</v>
      </c>
      <c r="I948" s="1">
        <v>45039</v>
      </c>
      <c r="J948" t="s">
        <v>526</v>
      </c>
      <c r="K948" t="s">
        <v>540</v>
      </c>
      <c r="L948" t="s">
        <v>518</v>
      </c>
      <c r="M948" t="s">
        <v>537</v>
      </c>
      <c r="N948" t="s">
        <v>520</v>
      </c>
    </row>
    <row r="949" spans="1:15" x14ac:dyDescent="0.35">
      <c r="A949" t="s">
        <v>1515</v>
      </c>
      <c r="B949" t="s">
        <v>530</v>
      </c>
      <c r="C949" t="s">
        <v>624</v>
      </c>
      <c r="D949" t="s">
        <v>634</v>
      </c>
      <c r="E949">
        <v>371827</v>
      </c>
      <c r="F949">
        <v>407887.03</v>
      </c>
      <c r="G949">
        <f>IF(Table13[[#This Row],[Budget_Allocated_INR]]="","",Table13[[#This Row],[Amount_INR]]-Table13[[#This Row],[Budget_Allocated_INR]])</f>
        <v>-36060.030000000028</v>
      </c>
      <c r="H949">
        <v>-36060.03</v>
      </c>
      <c r="I949" s="1">
        <v>45366</v>
      </c>
      <c r="J949" t="s">
        <v>526</v>
      </c>
      <c r="K949" t="s">
        <v>560</v>
      </c>
      <c r="L949" t="s">
        <v>518</v>
      </c>
      <c r="M949" t="s">
        <v>554</v>
      </c>
      <c r="N949" t="s">
        <v>520</v>
      </c>
    </row>
    <row r="950" spans="1:15" x14ac:dyDescent="0.35">
      <c r="A950" t="s">
        <v>1516</v>
      </c>
      <c r="B950" t="s">
        <v>548</v>
      </c>
      <c r="C950" t="s">
        <v>596</v>
      </c>
      <c r="D950" t="s">
        <v>525</v>
      </c>
      <c r="E950">
        <v>493349</v>
      </c>
      <c r="F950">
        <v>613825.41</v>
      </c>
      <c r="G950">
        <f>IF(Table13[[#This Row],[Budget_Allocated_INR]]="","",Table13[[#This Row],[Amount_INR]]-Table13[[#This Row],[Budget_Allocated_INR]])</f>
        <v>-120476.41000000003</v>
      </c>
      <c r="H950">
        <v>-120476.41</v>
      </c>
      <c r="I950" s="1">
        <v>44991</v>
      </c>
      <c r="J950" t="s">
        <v>526</v>
      </c>
      <c r="K950" t="s">
        <v>517</v>
      </c>
      <c r="L950" t="s">
        <v>541</v>
      </c>
      <c r="M950" t="s">
        <v>537</v>
      </c>
      <c r="N950" t="s">
        <v>520</v>
      </c>
    </row>
    <row r="951" spans="1:15" x14ac:dyDescent="0.35">
      <c r="A951" t="s">
        <v>1517</v>
      </c>
      <c r="B951" t="s">
        <v>548</v>
      </c>
      <c r="C951" t="s">
        <v>552</v>
      </c>
      <c r="D951" t="s">
        <v>571</v>
      </c>
      <c r="E951">
        <v>228733</v>
      </c>
      <c r="F951">
        <v>273263.33</v>
      </c>
      <c r="G951">
        <f>IF(Table13[[#This Row],[Budget_Allocated_INR]]="","",Table13[[#This Row],[Amount_INR]]-Table13[[#This Row],[Budget_Allocated_INR]])</f>
        <v>-44530.330000000016</v>
      </c>
      <c r="H951">
        <v>-44530.33</v>
      </c>
      <c r="I951" s="1">
        <v>45605</v>
      </c>
      <c r="J951" t="s">
        <v>526</v>
      </c>
      <c r="K951" t="s">
        <v>560</v>
      </c>
      <c r="L951" t="s">
        <v>536</v>
      </c>
      <c r="M951" t="s">
        <v>528</v>
      </c>
      <c r="N951" t="s">
        <v>520</v>
      </c>
    </row>
    <row r="952" spans="1:15" x14ac:dyDescent="0.35">
      <c r="A952" t="s">
        <v>1518</v>
      </c>
      <c r="B952" t="s">
        <v>565</v>
      </c>
      <c r="C952" t="s">
        <v>531</v>
      </c>
      <c r="D952" t="s">
        <v>593</v>
      </c>
      <c r="E952">
        <v>398937</v>
      </c>
      <c r="F952">
        <v>503582.79</v>
      </c>
      <c r="G952">
        <f>IF(Table13[[#This Row],[Budget_Allocated_INR]]="","",Table13[[#This Row],[Amount_INR]]-Table13[[#This Row],[Budget_Allocated_INR]])</f>
        <v>-104645.78999999998</v>
      </c>
      <c r="H952">
        <v>-104645.79</v>
      </c>
      <c r="I952" s="1">
        <v>45431</v>
      </c>
      <c r="J952" t="s">
        <v>516</v>
      </c>
      <c r="K952" t="s">
        <v>560</v>
      </c>
      <c r="L952" t="s">
        <v>536</v>
      </c>
      <c r="M952" t="s">
        <v>537</v>
      </c>
      <c r="N952" t="s">
        <v>520</v>
      </c>
      <c r="O952" t="s">
        <v>521</v>
      </c>
    </row>
    <row r="953" spans="1:15" x14ac:dyDescent="0.35">
      <c r="A953" t="s">
        <v>1519</v>
      </c>
      <c r="B953" t="s">
        <v>534</v>
      </c>
      <c r="C953" t="s">
        <v>543</v>
      </c>
      <c r="D953" t="s">
        <v>593</v>
      </c>
      <c r="E953">
        <v>173643</v>
      </c>
      <c r="F953">
        <v>153624.97</v>
      </c>
      <c r="G953">
        <f>IF(Table13[[#This Row],[Budget_Allocated_INR]]="","",Table13[[#This Row],[Amount_INR]]-Table13[[#This Row],[Budget_Allocated_INR]])</f>
        <v>20018.03</v>
      </c>
      <c r="H953">
        <v>20018.03</v>
      </c>
      <c r="I953" s="1">
        <v>45036</v>
      </c>
      <c r="J953" t="s">
        <v>526</v>
      </c>
      <c r="K953" t="s">
        <v>560</v>
      </c>
      <c r="L953" t="s">
        <v>518</v>
      </c>
      <c r="M953" t="s">
        <v>537</v>
      </c>
      <c r="N953" t="s">
        <v>520</v>
      </c>
    </row>
    <row r="954" spans="1:15" x14ac:dyDescent="0.35">
      <c r="A954" t="s">
        <v>1520</v>
      </c>
      <c r="B954" t="s">
        <v>545</v>
      </c>
      <c r="C954" t="s">
        <v>524</v>
      </c>
      <c r="D954" t="s">
        <v>593</v>
      </c>
      <c r="E954">
        <v>234386</v>
      </c>
      <c r="F954">
        <v>212382.27</v>
      </c>
      <c r="G954">
        <f>IF(Table13[[#This Row],[Budget_Allocated_INR]]="","",Table13[[#This Row],[Amount_INR]]-Table13[[#This Row],[Budget_Allocated_INR]])</f>
        <v>22003.73000000001</v>
      </c>
      <c r="I954" s="1">
        <v>45401</v>
      </c>
      <c r="J954" t="s">
        <v>526</v>
      </c>
      <c r="K954" t="s">
        <v>560</v>
      </c>
      <c r="L954" t="s">
        <v>536</v>
      </c>
      <c r="M954" t="s">
        <v>537</v>
      </c>
      <c r="N954" t="s">
        <v>520</v>
      </c>
    </row>
    <row r="955" spans="1:15" x14ac:dyDescent="0.35">
      <c r="A955" t="s">
        <v>1521</v>
      </c>
      <c r="B955" t="s">
        <v>576</v>
      </c>
      <c r="C955" t="s">
        <v>514</v>
      </c>
      <c r="D955" t="s">
        <v>605</v>
      </c>
      <c r="E955">
        <v>181746</v>
      </c>
      <c r="F955">
        <v>208947.95</v>
      </c>
      <c r="G955">
        <f>IF(Table13[[#This Row],[Budget_Allocated_INR]]="","",Table13[[#This Row],[Amount_INR]]-Table13[[#This Row],[Budget_Allocated_INR]])</f>
        <v>-27201.950000000012</v>
      </c>
      <c r="H955">
        <v>-27201.95</v>
      </c>
      <c r="I955" s="1">
        <v>45528</v>
      </c>
      <c r="J955" t="s">
        <v>526</v>
      </c>
      <c r="K955" t="s">
        <v>560</v>
      </c>
      <c r="L955" t="s">
        <v>536</v>
      </c>
      <c r="M955" t="s">
        <v>537</v>
      </c>
      <c r="N955" t="s">
        <v>520</v>
      </c>
    </row>
    <row r="956" spans="1:15" x14ac:dyDescent="0.35">
      <c r="A956" t="s">
        <v>1522</v>
      </c>
      <c r="B956" t="s">
        <v>565</v>
      </c>
      <c r="C956" t="s">
        <v>514</v>
      </c>
      <c r="D956" t="s">
        <v>584</v>
      </c>
      <c r="E956">
        <v>55073</v>
      </c>
      <c r="F956">
        <v>58223.08</v>
      </c>
      <c r="G956">
        <f>IF(Table13[[#This Row],[Budget_Allocated_INR]]="","",Table13[[#This Row],[Amount_INR]]-Table13[[#This Row],[Budget_Allocated_INR]])</f>
        <v>-3150.0800000000017</v>
      </c>
      <c r="H956">
        <v>-3150.08</v>
      </c>
      <c r="I956" s="1">
        <v>45034</v>
      </c>
      <c r="J956" t="s">
        <v>526</v>
      </c>
      <c r="K956" t="s">
        <v>517</v>
      </c>
      <c r="L956" t="s">
        <v>518</v>
      </c>
      <c r="M956" t="s">
        <v>537</v>
      </c>
      <c r="N956" t="s">
        <v>520</v>
      </c>
    </row>
    <row r="957" spans="1:15" x14ac:dyDescent="0.35">
      <c r="A957" t="s">
        <v>1523</v>
      </c>
      <c r="B957" t="s">
        <v>565</v>
      </c>
      <c r="C957" t="s">
        <v>514</v>
      </c>
      <c r="D957" t="s">
        <v>550</v>
      </c>
      <c r="E957">
        <v>49537</v>
      </c>
      <c r="F957">
        <v>40116.1</v>
      </c>
      <c r="G957">
        <f>IF(Table13[[#This Row],[Budget_Allocated_INR]]="","",Table13[[#This Row],[Amount_INR]]-Table13[[#This Row],[Budget_Allocated_INR]])</f>
        <v>9420.9000000000015</v>
      </c>
      <c r="H957">
        <v>9420.9</v>
      </c>
      <c r="I957" s="1">
        <v>45203</v>
      </c>
      <c r="J957" t="s">
        <v>526</v>
      </c>
      <c r="K957" t="s">
        <v>560</v>
      </c>
      <c r="L957" t="s">
        <v>518</v>
      </c>
      <c r="M957" t="s">
        <v>537</v>
      </c>
      <c r="N957" t="s">
        <v>520</v>
      </c>
    </row>
    <row r="958" spans="1:15" x14ac:dyDescent="0.35">
      <c r="A958" t="s">
        <v>1524</v>
      </c>
      <c r="B958" t="s">
        <v>576</v>
      </c>
      <c r="C958" t="s">
        <v>586</v>
      </c>
      <c r="D958" t="s">
        <v>634</v>
      </c>
      <c r="E958">
        <v>459613</v>
      </c>
      <c r="F958">
        <v>431414.06</v>
      </c>
      <c r="G958">
        <f>IF(Table13[[#This Row],[Budget_Allocated_INR]]="","",Table13[[#This Row],[Amount_INR]]-Table13[[#This Row],[Budget_Allocated_INR]])</f>
        <v>28198.940000000002</v>
      </c>
      <c r="H958">
        <v>28198.94</v>
      </c>
      <c r="I958" s="1">
        <v>45117</v>
      </c>
      <c r="J958" t="s">
        <v>516</v>
      </c>
      <c r="K958" t="s">
        <v>560</v>
      </c>
      <c r="L958" t="s">
        <v>518</v>
      </c>
      <c r="M958" t="s">
        <v>537</v>
      </c>
      <c r="N958" t="s">
        <v>520</v>
      </c>
      <c r="O958" t="s">
        <v>521</v>
      </c>
    </row>
    <row r="959" spans="1:15" x14ac:dyDescent="0.35">
      <c r="A959" t="s">
        <v>1525</v>
      </c>
      <c r="B959" t="s">
        <v>548</v>
      </c>
      <c r="C959" t="s">
        <v>543</v>
      </c>
      <c r="D959" t="s">
        <v>532</v>
      </c>
      <c r="E959">
        <v>475204</v>
      </c>
      <c r="F959">
        <v>489797.03</v>
      </c>
      <c r="G959">
        <f>IF(Table13[[#This Row],[Budget_Allocated_INR]]="","",Table13[[#This Row],[Amount_INR]]-Table13[[#This Row],[Budget_Allocated_INR]])</f>
        <v>-14593.030000000028</v>
      </c>
      <c r="H959">
        <v>-14593.03</v>
      </c>
      <c r="I959" s="1">
        <v>45308</v>
      </c>
      <c r="J959" t="s">
        <v>526</v>
      </c>
      <c r="K959" t="s">
        <v>517</v>
      </c>
      <c r="L959" t="s">
        <v>518</v>
      </c>
      <c r="M959" t="s">
        <v>537</v>
      </c>
      <c r="N959" t="s">
        <v>520</v>
      </c>
    </row>
    <row r="960" spans="1:15" x14ac:dyDescent="0.35">
      <c r="A960" t="s">
        <v>1526</v>
      </c>
      <c r="B960" t="s">
        <v>534</v>
      </c>
      <c r="C960" t="s">
        <v>562</v>
      </c>
      <c r="D960" t="s">
        <v>593</v>
      </c>
      <c r="E960">
        <v>67835</v>
      </c>
      <c r="F960">
        <v>80281.960000000006</v>
      </c>
      <c r="G960">
        <f>IF(Table13[[#This Row],[Budget_Allocated_INR]]="","",Table13[[#This Row],[Amount_INR]]-Table13[[#This Row],[Budget_Allocated_INR]])</f>
        <v>-12446.960000000006</v>
      </c>
      <c r="H960">
        <v>-12446.96</v>
      </c>
      <c r="I960" s="1">
        <v>45028</v>
      </c>
      <c r="J960" t="s">
        <v>516</v>
      </c>
      <c r="K960" t="s">
        <v>527</v>
      </c>
      <c r="L960" t="s">
        <v>518</v>
      </c>
      <c r="M960" t="s">
        <v>568</v>
      </c>
      <c r="N960" t="s">
        <v>520</v>
      </c>
    </row>
    <row r="961" spans="1:15" x14ac:dyDescent="0.35">
      <c r="A961" t="s">
        <v>1527</v>
      </c>
      <c r="B961" t="s">
        <v>545</v>
      </c>
      <c r="C961" t="s">
        <v>531</v>
      </c>
      <c r="D961" t="s">
        <v>553</v>
      </c>
      <c r="E961">
        <v>78214</v>
      </c>
      <c r="F961">
        <v>79012.27</v>
      </c>
      <c r="G961">
        <f>IF(Table13[[#This Row],[Budget_Allocated_INR]]="","",Table13[[#This Row],[Amount_INR]]-Table13[[#This Row],[Budget_Allocated_INR]])</f>
        <v>-798.27000000000407</v>
      </c>
      <c r="H961">
        <v>-798.27</v>
      </c>
      <c r="I961" s="1">
        <v>45260</v>
      </c>
      <c r="J961" t="s">
        <v>526</v>
      </c>
      <c r="K961" t="s">
        <v>527</v>
      </c>
      <c r="L961" t="s">
        <v>518</v>
      </c>
      <c r="M961" t="s">
        <v>537</v>
      </c>
      <c r="N961" t="s">
        <v>520</v>
      </c>
    </row>
    <row r="962" spans="1:15" x14ac:dyDescent="0.35">
      <c r="A962" t="s">
        <v>1528</v>
      </c>
      <c r="B962" t="s">
        <v>565</v>
      </c>
      <c r="C962" t="s">
        <v>514</v>
      </c>
      <c r="D962" t="s">
        <v>535</v>
      </c>
      <c r="E962">
        <v>411867</v>
      </c>
      <c r="F962">
        <v>391784.97</v>
      </c>
      <c r="G962">
        <f>IF(Table13[[#This Row],[Budget_Allocated_INR]]="","",Table13[[#This Row],[Amount_INR]]-Table13[[#This Row],[Budget_Allocated_INR]])</f>
        <v>20082.030000000028</v>
      </c>
      <c r="H962">
        <v>20082.03</v>
      </c>
      <c r="I962" s="1">
        <v>45514</v>
      </c>
      <c r="J962" t="s">
        <v>526</v>
      </c>
      <c r="K962" t="s">
        <v>527</v>
      </c>
      <c r="L962" t="s">
        <v>536</v>
      </c>
      <c r="M962" t="s">
        <v>537</v>
      </c>
      <c r="N962" t="s">
        <v>520</v>
      </c>
    </row>
    <row r="963" spans="1:15" x14ac:dyDescent="0.35">
      <c r="A963" t="s">
        <v>1529</v>
      </c>
      <c r="B963" t="s">
        <v>523</v>
      </c>
      <c r="C963" t="s">
        <v>596</v>
      </c>
      <c r="D963" t="s">
        <v>553</v>
      </c>
      <c r="E963">
        <v>327306</v>
      </c>
      <c r="F963">
        <v>335063.33</v>
      </c>
      <c r="G963">
        <f>IF(Table13[[#This Row],[Budget_Allocated_INR]]="","",Table13[[#This Row],[Amount_INR]]-Table13[[#This Row],[Budget_Allocated_INR]])</f>
        <v>-7757.3300000000163</v>
      </c>
      <c r="H963">
        <v>-7757.33</v>
      </c>
      <c r="I963" s="1">
        <v>45682</v>
      </c>
      <c r="J963" t="s">
        <v>526</v>
      </c>
      <c r="K963" t="s">
        <v>527</v>
      </c>
      <c r="L963" t="s">
        <v>536</v>
      </c>
      <c r="M963" t="s">
        <v>537</v>
      </c>
      <c r="N963" t="s">
        <v>520</v>
      </c>
    </row>
    <row r="964" spans="1:15" x14ac:dyDescent="0.35">
      <c r="A964" t="s">
        <v>1530</v>
      </c>
      <c r="B964" t="s">
        <v>565</v>
      </c>
      <c r="C964" t="s">
        <v>524</v>
      </c>
      <c r="D964" t="s">
        <v>532</v>
      </c>
      <c r="E964">
        <v>496776</v>
      </c>
      <c r="F964">
        <v>622433.26</v>
      </c>
      <c r="G964">
        <f>IF(Table13[[#This Row],[Budget_Allocated_INR]]="","",Table13[[#This Row],[Amount_INR]]-Table13[[#This Row],[Budget_Allocated_INR]])</f>
        <v>-125657.26000000001</v>
      </c>
      <c r="H964">
        <v>-125657.26</v>
      </c>
      <c r="I964" s="1">
        <v>45738</v>
      </c>
      <c r="J964" t="s">
        <v>526</v>
      </c>
      <c r="K964" t="s">
        <v>540</v>
      </c>
      <c r="L964" t="s">
        <v>536</v>
      </c>
      <c r="M964" t="s">
        <v>537</v>
      </c>
      <c r="N964" t="s">
        <v>520</v>
      </c>
    </row>
    <row r="965" spans="1:15" x14ac:dyDescent="0.35">
      <c r="A965" t="s">
        <v>1531</v>
      </c>
      <c r="B965" t="s">
        <v>548</v>
      </c>
      <c r="C965" t="s">
        <v>552</v>
      </c>
      <c r="D965" t="s">
        <v>550</v>
      </c>
      <c r="E965">
        <v>153975</v>
      </c>
      <c r="F965">
        <v>125669.04</v>
      </c>
      <c r="G965">
        <f>IF(Table13[[#This Row],[Budget_Allocated_INR]]="","",Table13[[#This Row],[Amount_INR]]-Table13[[#This Row],[Budget_Allocated_INR]])</f>
        <v>28305.960000000006</v>
      </c>
      <c r="H965">
        <v>28305.96</v>
      </c>
      <c r="I965" s="1">
        <v>45130</v>
      </c>
      <c r="J965" t="s">
        <v>516</v>
      </c>
      <c r="K965" t="s">
        <v>560</v>
      </c>
      <c r="L965" t="s">
        <v>518</v>
      </c>
      <c r="M965" t="s">
        <v>546</v>
      </c>
      <c r="N965" t="s">
        <v>520</v>
      </c>
    </row>
    <row r="966" spans="1:15" x14ac:dyDescent="0.35">
      <c r="A966" t="s">
        <v>1532</v>
      </c>
      <c r="B966" t="s">
        <v>530</v>
      </c>
      <c r="C966" t="s">
        <v>552</v>
      </c>
      <c r="D966" t="s">
        <v>535</v>
      </c>
      <c r="E966">
        <v>111730</v>
      </c>
      <c r="F966">
        <v>143597.31</v>
      </c>
      <c r="G966">
        <f>IF(Table13[[#This Row],[Budget_Allocated_INR]]="","",Table13[[#This Row],[Amount_INR]]-Table13[[#This Row],[Budget_Allocated_INR]])</f>
        <v>-31867.309999999998</v>
      </c>
      <c r="H966">
        <v>-31867.31</v>
      </c>
      <c r="I966" s="1">
        <v>45058</v>
      </c>
      <c r="J966" t="s">
        <v>526</v>
      </c>
      <c r="K966" t="s">
        <v>540</v>
      </c>
      <c r="L966" t="s">
        <v>518</v>
      </c>
      <c r="M966" t="s">
        <v>537</v>
      </c>
      <c r="N966" t="s">
        <v>520</v>
      </c>
    </row>
    <row r="967" spans="1:15" x14ac:dyDescent="0.35">
      <c r="A967" t="s">
        <v>1533</v>
      </c>
      <c r="B967" t="s">
        <v>545</v>
      </c>
      <c r="C967" t="s">
        <v>558</v>
      </c>
      <c r="D967" t="s">
        <v>525</v>
      </c>
      <c r="E967">
        <v>199917</v>
      </c>
      <c r="F967">
        <v>241477.78</v>
      </c>
      <c r="G967">
        <f>IF(Table13[[#This Row],[Budget_Allocated_INR]]="","",Table13[[#This Row],[Amount_INR]]-Table13[[#This Row],[Budget_Allocated_INR]])</f>
        <v>-41560.78</v>
      </c>
      <c r="H967">
        <v>-41560.78</v>
      </c>
      <c r="I967" s="1">
        <v>44984</v>
      </c>
      <c r="J967" t="s">
        <v>526</v>
      </c>
      <c r="K967" t="s">
        <v>517</v>
      </c>
      <c r="L967" t="s">
        <v>541</v>
      </c>
      <c r="M967" t="s">
        <v>554</v>
      </c>
      <c r="N967" t="s">
        <v>520</v>
      </c>
    </row>
    <row r="968" spans="1:15" x14ac:dyDescent="0.35">
      <c r="A968" t="s">
        <v>1534</v>
      </c>
      <c r="B968" t="s">
        <v>548</v>
      </c>
      <c r="C968" t="s">
        <v>543</v>
      </c>
      <c r="D968" t="s">
        <v>563</v>
      </c>
      <c r="E968">
        <v>173941</v>
      </c>
      <c r="F968">
        <v>195652.13</v>
      </c>
      <c r="G968">
        <f>IF(Table13[[#This Row],[Budget_Allocated_INR]]="","",Table13[[#This Row],[Amount_INR]]-Table13[[#This Row],[Budget_Allocated_INR]])</f>
        <v>-21711.130000000005</v>
      </c>
      <c r="H968">
        <v>-21711.13</v>
      </c>
      <c r="I968" s="1">
        <v>45746</v>
      </c>
      <c r="J968" t="s">
        <v>526</v>
      </c>
      <c r="K968" t="s">
        <v>517</v>
      </c>
      <c r="L968" t="s">
        <v>536</v>
      </c>
      <c r="M968" t="s">
        <v>546</v>
      </c>
      <c r="N968" t="s">
        <v>520</v>
      </c>
    </row>
    <row r="969" spans="1:15" x14ac:dyDescent="0.35">
      <c r="A969" t="s">
        <v>1535</v>
      </c>
      <c r="B969" t="s">
        <v>565</v>
      </c>
      <c r="C969" t="s">
        <v>562</v>
      </c>
      <c r="D969" t="s">
        <v>525</v>
      </c>
      <c r="E969">
        <v>174406</v>
      </c>
      <c r="F969">
        <v>178594.68</v>
      </c>
      <c r="G969">
        <f>IF(Table13[[#This Row],[Budget_Allocated_INR]]="","",Table13[[#This Row],[Amount_INR]]-Table13[[#This Row],[Budget_Allocated_INR]])</f>
        <v>-4188.679999999993</v>
      </c>
      <c r="H969">
        <v>-4188.68</v>
      </c>
      <c r="I969" s="1">
        <v>45255</v>
      </c>
      <c r="J969" t="s">
        <v>526</v>
      </c>
      <c r="K969" t="s">
        <v>517</v>
      </c>
      <c r="L969" t="s">
        <v>518</v>
      </c>
      <c r="M969" t="s">
        <v>537</v>
      </c>
      <c r="N969" t="s">
        <v>520</v>
      </c>
    </row>
    <row r="970" spans="1:15" x14ac:dyDescent="0.35">
      <c r="A970" t="s">
        <v>1536</v>
      </c>
      <c r="B970" t="s">
        <v>530</v>
      </c>
      <c r="C970" t="s">
        <v>531</v>
      </c>
      <c r="D970" t="s">
        <v>539</v>
      </c>
      <c r="E970">
        <v>35690</v>
      </c>
      <c r="F970">
        <v>34616.5</v>
      </c>
      <c r="G970">
        <f>IF(Table13[[#This Row],[Budget_Allocated_INR]]="","",Table13[[#This Row],[Amount_INR]]-Table13[[#This Row],[Budget_Allocated_INR]])</f>
        <v>1073.5</v>
      </c>
      <c r="H970">
        <v>1073.5</v>
      </c>
      <c r="I970" s="1">
        <v>45238</v>
      </c>
      <c r="J970" t="s">
        <v>526</v>
      </c>
      <c r="K970" t="s">
        <v>527</v>
      </c>
      <c r="L970" t="s">
        <v>518</v>
      </c>
      <c r="M970" t="s">
        <v>537</v>
      </c>
      <c r="N970" t="s">
        <v>520</v>
      </c>
    </row>
    <row r="971" spans="1:15" x14ac:dyDescent="0.35">
      <c r="A971" t="s">
        <v>1537</v>
      </c>
      <c r="B971" t="s">
        <v>576</v>
      </c>
      <c r="C971" t="s">
        <v>552</v>
      </c>
      <c r="D971" t="s">
        <v>539</v>
      </c>
      <c r="E971">
        <v>296369</v>
      </c>
      <c r="F971">
        <v>259622.89</v>
      </c>
      <c r="G971">
        <f>IF(Table13[[#This Row],[Budget_Allocated_INR]]="","",Table13[[#This Row],[Amount_INR]]-Table13[[#This Row],[Budget_Allocated_INR]])</f>
        <v>36746.109999999986</v>
      </c>
      <c r="H971">
        <v>36746.11</v>
      </c>
      <c r="I971" s="1">
        <v>45341</v>
      </c>
      <c r="J971" t="s">
        <v>526</v>
      </c>
      <c r="K971" t="s">
        <v>527</v>
      </c>
      <c r="L971" t="s">
        <v>518</v>
      </c>
      <c r="M971" t="s">
        <v>537</v>
      </c>
      <c r="N971" t="s">
        <v>520</v>
      </c>
    </row>
    <row r="972" spans="1:15" x14ac:dyDescent="0.35">
      <c r="A972" t="s">
        <v>1538</v>
      </c>
      <c r="B972" t="s">
        <v>530</v>
      </c>
      <c r="C972" t="s">
        <v>531</v>
      </c>
      <c r="D972" t="s">
        <v>605</v>
      </c>
      <c r="E972">
        <v>95257</v>
      </c>
      <c r="G972" t="str">
        <f>IF(Table13[[#This Row],[Budget_Allocated_INR]]="","",Table13[[#This Row],[Amount_INR]]-Table13[[#This Row],[Budget_Allocated_INR]])</f>
        <v/>
      </c>
      <c r="H972">
        <v>11964.93</v>
      </c>
      <c r="I972" s="1">
        <v>45364</v>
      </c>
      <c r="J972" t="s">
        <v>597</v>
      </c>
      <c r="K972" t="s">
        <v>517</v>
      </c>
      <c r="L972" t="s">
        <v>518</v>
      </c>
      <c r="M972" t="s">
        <v>537</v>
      </c>
      <c r="N972" t="s">
        <v>520</v>
      </c>
    </row>
    <row r="973" spans="1:15" x14ac:dyDescent="0.35">
      <c r="A973" t="s">
        <v>1539</v>
      </c>
      <c r="B973" t="s">
        <v>576</v>
      </c>
      <c r="C973" t="s">
        <v>596</v>
      </c>
      <c r="D973" t="s">
        <v>605</v>
      </c>
      <c r="E973">
        <v>484871</v>
      </c>
      <c r="F973">
        <v>414563.33</v>
      </c>
      <c r="G973">
        <f>IF(Table13[[#This Row],[Budget_Allocated_INR]]="","",Table13[[#This Row],[Amount_INR]]-Table13[[#This Row],[Budget_Allocated_INR]])</f>
        <v>70307.669999999984</v>
      </c>
      <c r="H973">
        <v>70307.67</v>
      </c>
      <c r="I973" s="1">
        <v>45425</v>
      </c>
      <c r="J973" t="s">
        <v>526</v>
      </c>
      <c r="K973" t="s">
        <v>560</v>
      </c>
      <c r="L973" t="s">
        <v>536</v>
      </c>
      <c r="M973" t="s">
        <v>528</v>
      </c>
      <c r="N973" t="s">
        <v>520</v>
      </c>
    </row>
    <row r="974" spans="1:15" x14ac:dyDescent="0.35">
      <c r="A974" t="s">
        <v>1540</v>
      </c>
      <c r="B974" t="s">
        <v>576</v>
      </c>
      <c r="C974" t="s">
        <v>581</v>
      </c>
      <c r="D974" t="s">
        <v>550</v>
      </c>
      <c r="E974">
        <v>484961</v>
      </c>
      <c r="F974">
        <v>551172.42000000004</v>
      </c>
      <c r="G974">
        <f>IF(Table13[[#This Row],[Budget_Allocated_INR]]="","",Table13[[#This Row],[Amount_INR]]-Table13[[#This Row],[Budget_Allocated_INR]])</f>
        <v>-66211.420000000042</v>
      </c>
      <c r="H974">
        <v>-66211.42</v>
      </c>
      <c r="I974" s="1">
        <v>45117</v>
      </c>
      <c r="J974" t="s">
        <v>526</v>
      </c>
      <c r="K974" t="s">
        <v>517</v>
      </c>
      <c r="L974" t="s">
        <v>518</v>
      </c>
      <c r="M974" t="s">
        <v>554</v>
      </c>
      <c r="N974" t="s">
        <v>520</v>
      </c>
    </row>
    <row r="975" spans="1:15" x14ac:dyDescent="0.35">
      <c r="A975" t="s">
        <v>1541</v>
      </c>
      <c r="B975" t="s">
        <v>565</v>
      </c>
      <c r="C975" t="s">
        <v>549</v>
      </c>
      <c r="D975" t="s">
        <v>515</v>
      </c>
      <c r="E975">
        <v>435152</v>
      </c>
      <c r="F975">
        <v>419757.66</v>
      </c>
      <c r="G975">
        <f>IF(Table13[[#This Row],[Budget_Allocated_INR]]="","",Table13[[#This Row],[Amount_INR]]-Table13[[#This Row],[Budget_Allocated_INR]])</f>
        <v>15394.340000000026</v>
      </c>
      <c r="H975">
        <v>15394.34</v>
      </c>
      <c r="I975" s="1">
        <v>44983</v>
      </c>
      <c r="J975" t="s">
        <v>526</v>
      </c>
      <c r="K975" t="s">
        <v>517</v>
      </c>
      <c r="L975" t="s">
        <v>541</v>
      </c>
      <c r="M975" t="s">
        <v>554</v>
      </c>
      <c r="N975" t="s">
        <v>520</v>
      </c>
    </row>
    <row r="976" spans="1:15" x14ac:dyDescent="0.35">
      <c r="A976" t="s">
        <v>1542</v>
      </c>
      <c r="B976" t="s">
        <v>523</v>
      </c>
      <c r="C976" t="s">
        <v>552</v>
      </c>
      <c r="D976" t="s">
        <v>559</v>
      </c>
      <c r="E976">
        <v>438261</v>
      </c>
      <c r="F976">
        <v>392680.27</v>
      </c>
      <c r="G976">
        <f>IF(Table13[[#This Row],[Budget_Allocated_INR]]="","",Table13[[#This Row],[Amount_INR]]-Table13[[#This Row],[Budget_Allocated_INR]])</f>
        <v>45580.729999999981</v>
      </c>
      <c r="H976">
        <v>45580.73</v>
      </c>
      <c r="I976" s="1">
        <v>45237</v>
      </c>
      <c r="J976" t="s">
        <v>597</v>
      </c>
      <c r="K976" t="s">
        <v>517</v>
      </c>
      <c r="L976" t="s">
        <v>518</v>
      </c>
      <c r="M976" t="s">
        <v>537</v>
      </c>
      <c r="N976" t="s">
        <v>520</v>
      </c>
      <c r="O976" t="s">
        <v>521</v>
      </c>
    </row>
    <row r="977" spans="1:15" x14ac:dyDescent="0.35">
      <c r="A977" t="s">
        <v>1543</v>
      </c>
      <c r="B977" t="s">
        <v>523</v>
      </c>
      <c r="C977" t="s">
        <v>531</v>
      </c>
      <c r="D977" t="s">
        <v>515</v>
      </c>
      <c r="E977">
        <v>316609</v>
      </c>
      <c r="F977">
        <v>265760.36</v>
      </c>
      <c r="G977">
        <f>IF(Table13[[#This Row],[Budget_Allocated_INR]]="","",Table13[[#This Row],[Amount_INR]]-Table13[[#This Row],[Budget_Allocated_INR]])</f>
        <v>50848.640000000014</v>
      </c>
      <c r="H977">
        <v>50848.639999999999</v>
      </c>
      <c r="I977" s="1">
        <v>45215</v>
      </c>
      <c r="J977" t="s">
        <v>516</v>
      </c>
      <c r="K977" t="s">
        <v>560</v>
      </c>
      <c r="L977" t="s">
        <v>518</v>
      </c>
      <c r="M977" t="s">
        <v>537</v>
      </c>
      <c r="N977" t="s">
        <v>520</v>
      </c>
      <c r="O977" t="s">
        <v>521</v>
      </c>
    </row>
    <row r="978" spans="1:15" x14ac:dyDescent="0.35">
      <c r="A978" t="s">
        <v>1544</v>
      </c>
      <c r="B978" t="s">
        <v>548</v>
      </c>
      <c r="C978" t="s">
        <v>552</v>
      </c>
      <c r="D978" t="s">
        <v>605</v>
      </c>
      <c r="E978">
        <v>329541</v>
      </c>
      <c r="F978">
        <v>374513.75</v>
      </c>
      <c r="G978">
        <f>IF(Table13[[#This Row],[Budget_Allocated_INR]]="","",Table13[[#This Row],[Amount_INR]]-Table13[[#This Row],[Budget_Allocated_INR]])</f>
        <v>-44972.75</v>
      </c>
      <c r="H978">
        <v>-44972.75</v>
      </c>
      <c r="I978" s="1">
        <v>45695</v>
      </c>
      <c r="J978" t="s">
        <v>526</v>
      </c>
      <c r="K978" t="s">
        <v>517</v>
      </c>
      <c r="L978" t="s">
        <v>536</v>
      </c>
      <c r="M978" t="s">
        <v>537</v>
      </c>
      <c r="N978" t="s">
        <v>520</v>
      </c>
    </row>
    <row r="979" spans="1:15" x14ac:dyDescent="0.35">
      <c r="A979" t="s">
        <v>1545</v>
      </c>
      <c r="B979" t="s">
        <v>523</v>
      </c>
      <c r="C979" t="s">
        <v>596</v>
      </c>
      <c r="D979" t="s">
        <v>515</v>
      </c>
      <c r="E979">
        <v>205509</v>
      </c>
      <c r="F979">
        <v>263773.81</v>
      </c>
      <c r="G979">
        <f>IF(Table13[[#This Row],[Budget_Allocated_INR]]="","",Table13[[#This Row],[Amount_INR]]-Table13[[#This Row],[Budget_Allocated_INR]])</f>
        <v>-58264.81</v>
      </c>
      <c r="H979">
        <v>-58264.81</v>
      </c>
      <c r="I979" s="1">
        <v>45466</v>
      </c>
      <c r="J979" t="s">
        <v>516</v>
      </c>
      <c r="K979" t="s">
        <v>527</v>
      </c>
      <c r="L979" t="s">
        <v>536</v>
      </c>
      <c r="M979" t="s">
        <v>546</v>
      </c>
      <c r="N979" t="s">
        <v>520</v>
      </c>
      <c r="O979" t="s">
        <v>521</v>
      </c>
    </row>
    <row r="980" spans="1:15" x14ac:dyDescent="0.35">
      <c r="A980" t="s">
        <v>1546</v>
      </c>
      <c r="B980" t="s">
        <v>545</v>
      </c>
      <c r="C980" t="s">
        <v>558</v>
      </c>
      <c r="D980" t="s">
        <v>593</v>
      </c>
      <c r="E980">
        <v>203711</v>
      </c>
      <c r="F980">
        <v>167309.89000000001</v>
      </c>
      <c r="G980">
        <f>IF(Table13[[#This Row],[Budget_Allocated_INR]]="","",Table13[[#This Row],[Amount_INR]]-Table13[[#This Row],[Budget_Allocated_INR]])</f>
        <v>36401.109999999986</v>
      </c>
      <c r="H980">
        <v>36401.11</v>
      </c>
      <c r="I980" s="1">
        <v>45482</v>
      </c>
      <c r="J980" t="s">
        <v>597</v>
      </c>
      <c r="K980" t="s">
        <v>517</v>
      </c>
      <c r="L980" t="s">
        <v>536</v>
      </c>
      <c r="M980" t="s">
        <v>537</v>
      </c>
      <c r="N980" t="s">
        <v>520</v>
      </c>
      <c r="O980" t="s">
        <v>521</v>
      </c>
    </row>
    <row r="981" spans="1:15" x14ac:dyDescent="0.35">
      <c r="A981" t="s">
        <v>1547</v>
      </c>
      <c r="B981" t="s">
        <v>534</v>
      </c>
      <c r="C981" t="s">
        <v>558</v>
      </c>
      <c r="D981" t="s">
        <v>571</v>
      </c>
      <c r="E981">
        <v>374984</v>
      </c>
      <c r="F981">
        <v>474429.06</v>
      </c>
      <c r="G981">
        <f>IF(Table13[[#This Row],[Budget_Allocated_INR]]="","",Table13[[#This Row],[Amount_INR]]-Table13[[#This Row],[Budget_Allocated_INR]])</f>
        <v>-99445.06</v>
      </c>
      <c r="H981">
        <v>-99445.06</v>
      </c>
      <c r="I981" s="1">
        <v>45200</v>
      </c>
      <c r="J981" t="s">
        <v>597</v>
      </c>
      <c r="K981" t="s">
        <v>560</v>
      </c>
      <c r="L981" t="s">
        <v>518</v>
      </c>
      <c r="M981" t="s">
        <v>568</v>
      </c>
      <c r="N981" t="s">
        <v>520</v>
      </c>
      <c r="O981" t="s">
        <v>521</v>
      </c>
    </row>
    <row r="982" spans="1:15" x14ac:dyDescent="0.35">
      <c r="A982" t="s">
        <v>1548</v>
      </c>
      <c r="B982" t="s">
        <v>576</v>
      </c>
      <c r="C982" t="s">
        <v>586</v>
      </c>
      <c r="D982" t="s">
        <v>574</v>
      </c>
      <c r="E982">
        <v>63562</v>
      </c>
      <c r="F982">
        <v>72261.86</v>
      </c>
      <c r="G982">
        <f>IF(Table13[[#This Row],[Budget_Allocated_INR]]="","",Table13[[#This Row],[Amount_INR]]-Table13[[#This Row],[Budget_Allocated_INR]])</f>
        <v>-8699.86</v>
      </c>
      <c r="H982">
        <v>-8699.86</v>
      </c>
      <c r="I982" s="1">
        <v>45398</v>
      </c>
      <c r="J982" t="s">
        <v>597</v>
      </c>
      <c r="K982" t="s">
        <v>560</v>
      </c>
      <c r="L982" t="s">
        <v>536</v>
      </c>
      <c r="M982" t="s">
        <v>537</v>
      </c>
      <c r="N982" t="s">
        <v>520</v>
      </c>
    </row>
    <row r="983" spans="1:15" x14ac:dyDescent="0.35">
      <c r="A983" t="s">
        <v>1549</v>
      </c>
      <c r="B983" t="s">
        <v>565</v>
      </c>
      <c r="C983" t="s">
        <v>581</v>
      </c>
      <c r="D983" t="s">
        <v>550</v>
      </c>
      <c r="E983">
        <v>103409</v>
      </c>
      <c r="F983">
        <v>126559.48</v>
      </c>
      <c r="G983">
        <f>IF(Table13[[#This Row],[Budget_Allocated_INR]]="","",Table13[[#This Row],[Amount_INR]]-Table13[[#This Row],[Budget_Allocated_INR]])</f>
        <v>-23150.479999999996</v>
      </c>
      <c r="H983">
        <v>-23150.48</v>
      </c>
      <c r="I983" s="1">
        <v>45303</v>
      </c>
      <c r="J983" t="s">
        <v>526</v>
      </c>
      <c r="K983" t="s">
        <v>560</v>
      </c>
      <c r="L983" t="s">
        <v>518</v>
      </c>
      <c r="M983" t="s">
        <v>537</v>
      </c>
      <c r="N983" t="s">
        <v>520</v>
      </c>
    </row>
    <row r="984" spans="1:15" x14ac:dyDescent="0.35">
      <c r="A984" t="s">
        <v>1550</v>
      </c>
      <c r="B984" t="s">
        <v>523</v>
      </c>
      <c r="C984" t="s">
        <v>558</v>
      </c>
      <c r="D984" t="s">
        <v>563</v>
      </c>
      <c r="E984">
        <v>225695</v>
      </c>
      <c r="F984">
        <v>282111.32</v>
      </c>
      <c r="G984">
        <f>IF(Table13[[#This Row],[Budget_Allocated_INR]]="","",Table13[[#This Row],[Amount_INR]]-Table13[[#This Row],[Budget_Allocated_INR]])</f>
        <v>-56416.320000000007</v>
      </c>
      <c r="H984">
        <v>-56416.32</v>
      </c>
      <c r="I984" s="1">
        <v>44977</v>
      </c>
      <c r="J984" t="s">
        <v>526</v>
      </c>
      <c r="K984" t="s">
        <v>527</v>
      </c>
      <c r="L984" t="s">
        <v>541</v>
      </c>
      <c r="M984" t="s">
        <v>554</v>
      </c>
      <c r="N984" t="s">
        <v>520</v>
      </c>
    </row>
    <row r="985" spans="1:15" x14ac:dyDescent="0.35">
      <c r="A985" t="s">
        <v>1551</v>
      </c>
      <c r="B985" t="s">
        <v>576</v>
      </c>
      <c r="C985" t="s">
        <v>562</v>
      </c>
      <c r="D985" t="s">
        <v>525</v>
      </c>
      <c r="E985">
        <v>176260</v>
      </c>
      <c r="F985">
        <v>144798.84</v>
      </c>
      <c r="G985">
        <f>IF(Table13[[#This Row],[Budget_Allocated_INR]]="","",Table13[[#This Row],[Amount_INR]]-Table13[[#This Row],[Budget_Allocated_INR]])</f>
        <v>31461.160000000003</v>
      </c>
      <c r="H985">
        <v>31461.16</v>
      </c>
      <c r="I985" s="1">
        <v>45336</v>
      </c>
      <c r="J985" t="s">
        <v>597</v>
      </c>
      <c r="K985" t="s">
        <v>540</v>
      </c>
      <c r="L985" t="s">
        <v>518</v>
      </c>
      <c r="M985" t="s">
        <v>554</v>
      </c>
      <c r="N985" t="s">
        <v>520</v>
      </c>
    </row>
    <row r="986" spans="1:15" x14ac:dyDescent="0.35">
      <c r="A986" t="s">
        <v>1552</v>
      </c>
      <c r="B986" t="s">
        <v>530</v>
      </c>
      <c r="C986" t="s">
        <v>552</v>
      </c>
      <c r="D986" t="s">
        <v>634</v>
      </c>
      <c r="E986">
        <v>46862</v>
      </c>
      <c r="F986">
        <v>51765.35</v>
      </c>
      <c r="G986">
        <f>IF(Table13[[#This Row],[Budget_Allocated_INR]]="","",Table13[[#This Row],[Amount_INR]]-Table13[[#This Row],[Budget_Allocated_INR]])</f>
        <v>-4903.3499999999985</v>
      </c>
      <c r="H986">
        <v>-4903.3500000000004</v>
      </c>
      <c r="I986" s="1">
        <v>45628</v>
      </c>
      <c r="J986" t="s">
        <v>526</v>
      </c>
      <c r="K986" t="s">
        <v>560</v>
      </c>
      <c r="L986" t="s">
        <v>536</v>
      </c>
      <c r="M986" t="s">
        <v>537</v>
      </c>
      <c r="N986" t="s">
        <v>520</v>
      </c>
    </row>
    <row r="987" spans="1:15" x14ac:dyDescent="0.35">
      <c r="A987" t="s">
        <v>1553</v>
      </c>
      <c r="B987" t="s">
        <v>523</v>
      </c>
      <c r="C987" t="s">
        <v>624</v>
      </c>
      <c r="D987" t="s">
        <v>634</v>
      </c>
      <c r="E987">
        <v>463343</v>
      </c>
      <c r="F987">
        <v>477823.89</v>
      </c>
      <c r="G987">
        <f>IF(Table13[[#This Row],[Budget_Allocated_INR]]="","",Table13[[#This Row],[Amount_INR]]-Table13[[#This Row],[Budget_Allocated_INR]])</f>
        <v>-14480.890000000014</v>
      </c>
      <c r="I987" s="1">
        <v>45559</v>
      </c>
      <c r="J987" t="s">
        <v>526</v>
      </c>
      <c r="K987" t="s">
        <v>517</v>
      </c>
      <c r="L987" t="s">
        <v>536</v>
      </c>
      <c r="M987" t="s">
        <v>537</v>
      </c>
      <c r="N987" t="s">
        <v>520</v>
      </c>
    </row>
    <row r="988" spans="1:15" x14ac:dyDescent="0.35">
      <c r="A988" t="s">
        <v>1554</v>
      </c>
      <c r="B988" t="s">
        <v>534</v>
      </c>
      <c r="C988" t="s">
        <v>531</v>
      </c>
      <c r="D988" t="s">
        <v>535</v>
      </c>
      <c r="E988">
        <v>237696</v>
      </c>
      <c r="F988">
        <v>303276.53999999998</v>
      </c>
      <c r="G988">
        <f>IF(Table13[[#This Row],[Budget_Allocated_INR]]="","",Table13[[#This Row],[Amount_INR]]-Table13[[#This Row],[Budget_Allocated_INR]])</f>
        <v>-65580.539999999979</v>
      </c>
      <c r="H988">
        <v>-65580.539999999994</v>
      </c>
      <c r="I988" s="1">
        <v>45668</v>
      </c>
      <c r="J988" t="s">
        <v>526</v>
      </c>
      <c r="K988" t="s">
        <v>560</v>
      </c>
      <c r="L988" t="s">
        <v>536</v>
      </c>
      <c r="M988" t="s">
        <v>528</v>
      </c>
      <c r="N988" t="s">
        <v>520</v>
      </c>
    </row>
    <row r="989" spans="1:15" x14ac:dyDescent="0.35">
      <c r="A989" t="s">
        <v>1555</v>
      </c>
      <c r="B989" t="s">
        <v>523</v>
      </c>
      <c r="C989" t="s">
        <v>558</v>
      </c>
      <c r="D989" t="s">
        <v>532</v>
      </c>
      <c r="E989">
        <v>369677</v>
      </c>
      <c r="G989" t="str">
        <f>IF(Table13[[#This Row],[Budget_Allocated_INR]]="","",Table13[[#This Row],[Amount_INR]]-Table13[[#This Row],[Budget_Allocated_INR]])</f>
        <v/>
      </c>
      <c r="H989">
        <v>22161.08</v>
      </c>
      <c r="I989" s="1">
        <v>45184</v>
      </c>
      <c r="J989" t="s">
        <v>526</v>
      </c>
      <c r="K989" t="s">
        <v>527</v>
      </c>
      <c r="L989" t="s">
        <v>518</v>
      </c>
      <c r="M989" t="s">
        <v>537</v>
      </c>
      <c r="N989" t="s">
        <v>520</v>
      </c>
    </row>
    <row r="990" spans="1:15" x14ac:dyDescent="0.35">
      <c r="A990" t="s">
        <v>1556</v>
      </c>
      <c r="B990" t="s">
        <v>534</v>
      </c>
      <c r="C990" t="s">
        <v>524</v>
      </c>
      <c r="D990" t="s">
        <v>535</v>
      </c>
      <c r="E990">
        <v>96536</v>
      </c>
      <c r="F990">
        <v>120913.93</v>
      </c>
      <c r="G990">
        <f>IF(Table13[[#This Row],[Budget_Allocated_INR]]="","",Table13[[#This Row],[Amount_INR]]-Table13[[#This Row],[Budget_Allocated_INR]])</f>
        <v>-24377.929999999993</v>
      </c>
      <c r="H990">
        <v>-24377.93</v>
      </c>
      <c r="I990" s="1">
        <v>45214</v>
      </c>
      <c r="J990" t="s">
        <v>516</v>
      </c>
      <c r="K990" t="s">
        <v>527</v>
      </c>
      <c r="L990" t="s">
        <v>518</v>
      </c>
      <c r="M990" t="s">
        <v>537</v>
      </c>
      <c r="N990" t="s">
        <v>520</v>
      </c>
    </row>
    <row r="991" spans="1:15" x14ac:dyDescent="0.35">
      <c r="A991" t="s">
        <v>1557</v>
      </c>
      <c r="B991" t="s">
        <v>545</v>
      </c>
      <c r="C991" t="s">
        <v>581</v>
      </c>
      <c r="D991" t="s">
        <v>584</v>
      </c>
      <c r="E991">
        <v>263547</v>
      </c>
      <c r="G991" t="str">
        <f>IF(Table13[[#This Row],[Budget_Allocated_INR]]="","",Table13[[#This Row],[Amount_INR]]-Table13[[#This Row],[Budget_Allocated_INR]])</f>
        <v/>
      </c>
      <c r="H991">
        <v>33941.35</v>
      </c>
      <c r="I991" s="1">
        <v>45537</v>
      </c>
      <c r="J991" t="s">
        <v>597</v>
      </c>
      <c r="K991" t="s">
        <v>527</v>
      </c>
      <c r="L991" t="s">
        <v>536</v>
      </c>
      <c r="M991" t="s">
        <v>537</v>
      </c>
      <c r="N991" t="s">
        <v>520</v>
      </c>
      <c r="O991" t="s">
        <v>521</v>
      </c>
    </row>
    <row r="992" spans="1:15" x14ac:dyDescent="0.35">
      <c r="A992" t="s">
        <v>1558</v>
      </c>
      <c r="B992" t="s">
        <v>523</v>
      </c>
      <c r="C992" t="s">
        <v>531</v>
      </c>
      <c r="D992" t="s">
        <v>525</v>
      </c>
      <c r="E992">
        <v>99314</v>
      </c>
      <c r="F992">
        <v>101175.77</v>
      </c>
      <c r="G992">
        <f>IF(Table13[[#This Row],[Budget_Allocated_INR]]="","",Table13[[#This Row],[Amount_INR]]-Table13[[#This Row],[Budget_Allocated_INR]])</f>
        <v>-1861.7700000000041</v>
      </c>
      <c r="H992">
        <v>-1861.77</v>
      </c>
      <c r="I992" s="1">
        <v>45286</v>
      </c>
      <c r="J992" t="s">
        <v>526</v>
      </c>
      <c r="K992" t="s">
        <v>560</v>
      </c>
      <c r="L992" t="s">
        <v>518</v>
      </c>
      <c r="M992" t="s">
        <v>537</v>
      </c>
      <c r="N992" t="s">
        <v>520</v>
      </c>
    </row>
    <row r="993" spans="1:14" x14ac:dyDescent="0.35">
      <c r="A993" t="s">
        <v>1559</v>
      </c>
      <c r="B993" t="s">
        <v>545</v>
      </c>
      <c r="C993" t="s">
        <v>599</v>
      </c>
      <c r="D993" t="s">
        <v>525</v>
      </c>
      <c r="E993">
        <v>45983</v>
      </c>
      <c r="F993">
        <v>43718.5</v>
      </c>
      <c r="G993">
        <f>IF(Table13[[#This Row],[Budget_Allocated_INR]]="","",Table13[[#This Row],[Amount_INR]]-Table13[[#This Row],[Budget_Allocated_INR]])</f>
        <v>2264.5</v>
      </c>
      <c r="H993">
        <v>2264.5</v>
      </c>
      <c r="I993" s="1">
        <v>45302</v>
      </c>
      <c r="J993" t="s">
        <v>526</v>
      </c>
      <c r="K993" t="s">
        <v>527</v>
      </c>
      <c r="L993" t="s">
        <v>518</v>
      </c>
      <c r="M993" t="s">
        <v>546</v>
      </c>
      <c r="N993" t="s">
        <v>520</v>
      </c>
    </row>
    <row r="994" spans="1:14" x14ac:dyDescent="0.35">
      <c r="A994" t="s">
        <v>1560</v>
      </c>
      <c r="B994" t="s">
        <v>576</v>
      </c>
      <c r="C994" t="s">
        <v>586</v>
      </c>
      <c r="D994" t="s">
        <v>605</v>
      </c>
      <c r="E994">
        <v>203154</v>
      </c>
      <c r="F994">
        <v>200909.71</v>
      </c>
      <c r="G994">
        <f>IF(Table13[[#This Row],[Budget_Allocated_INR]]="","",Table13[[#This Row],[Amount_INR]]-Table13[[#This Row],[Budget_Allocated_INR]])</f>
        <v>2244.2900000000081</v>
      </c>
      <c r="H994">
        <v>2244.29</v>
      </c>
      <c r="I994" s="1">
        <v>45636</v>
      </c>
      <c r="J994" t="s">
        <v>526</v>
      </c>
      <c r="K994" t="s">
        <v>560</v>
      </c>
      <c r="L994" t="s">
        <v>536</v>
      </c>
      <c r="M994" t="s">
        <v>537</v>
      </c>
      <c r="N994" t="s">
        <v>520</v>
      </c>
    </row>
    <row r="995" spans="1:14" x14ac:dyDescent="0.35">
      <c r="A995" t="s">
        <v>1561</v>
      </c>
      <c r="B995" t="s">
        <v>576</v>
      </c>
      <c r="C995" t="s">
        <v>543</v>
      </c>
      <c r="D995" t="s">
        <v>559</v>
      </c>
      <c r="E995">
        <v>486116</v>
      </c>
      <c r="F995">
        <v>574372.51</v>
      </c>
      <c r="G995">
        <f>IF(Table13[[#This Row],[Budget_Allocated_INR]]="","",Table13[[#This Row],[Amount_INR]]-Table13[[#This Row],[Budget_Allocated_INR]])</f>
        <v>-88256.510000000009</v>
      </c>
      <c r="H995">
        <v>-88256.51</v>
      </c>
      <c r="I995" s="1">
        <v>45310</v>
      </c>
      <c r="J995" t="s">
        <v>526</v>
      </c>
      <c r="K995" t="s">
        <v>517</v>
      </c>
      <c r="L995" t="s">
        <v>518</v>
      </c>
      <c r="M995" t="s">
        <v>537</v>
      </c>
      <c r="N995" t="s">
        <v>520</v>
      </c>
    </row>
    <row r="996" spans="1:14" x14ac:dyDescent="0.35">
      <c r="A996" t="s">
        <v>1562</v>
      </c>
      <c r="B996" t="s">
        <v>548</v>
      </c>
      <c r="C996" t="s">
        <v>543</v>
      </c>
      <c r="D996" t="s">
        <v>563</v>
      </c>
      <c r="E996">
        <v>203965</v>
      </c>
      <c r="F996">
        <v>231171.86</v>
      </c>
      <c r="G996">
        <f>IF(Table13[[#This Row],[Budget_Allocated_INR]]="","",Table13[[#This Row],[Amount_INR]]-Table13[[#This Row],[Budget_Allocated_INR]])</f>
        <v>-27206.859999999986</v>
      </c>
      <c r="H996">
        <v>-27206.86</v>
      </c>
      <c r="I996" s="1">
        <v>45525</v>
      </c>
      <c r="J996" t="s">
        <v>526</v>
      </c>
      <c r="K996" t="s">
        <v>540</v>
      </c>
      <c r="L996" t="s">
        <v>536</v>
      </c>
      <c r="M996" t="s">
        <v>537</v>
      </c>
      <c r="N996" t="s">
        <v>520</v>
      </c>
    </row>
    <row r="997" spans="1:14" x14ac:dyDescent="0.35">
      <c r="A997" t="s">
        <v>1563</v>
      </c>
      <c r="B997" t="s">
        <v>534</v>
      </c>
      <c r="C997" t="s">
        <v>558</v>
      </c>
      <c r="D997" t="s">
        <v>559</v>
      </c>
      <c r="E997">
        <v>110275</v>
      </c>
      <c r="F997">
        <v>127267.2</v>
      </c>
      <c r="G997">
        <f>IF(Table13[[#This Row],[Budget_Allocated_INR]]="","",Table13[[#This Row],[Amount_INR]]-Table13[[#This Row],[Budget_Allocated_INR]])</f>
        <v>-16992.199999999997</v>
      </c>
      <c r="H997">
        <v>-16992.2</v>
      </c>
      <c r="I997" s="1">
        <v>45209</v>
      </c>
      <c r="J997" t="s">
        <v>526</v>
      </c>
      <c r="K997" t="s">
        <v>560</v>
      </c>
      <c r="L997" t="s">
        <v>518</v>
      </c>
      <c r="M997" t="s">
        <v>537</v>
      </c>
      <c r="N997" t="s">
        <v>520</v>
      </c>
    </row>
    <row r="998" spans="1:14" x14ac:dyDescent="0.35">
      <c r="A998" t="s">
        <v>1564</v>
      </c>
      <c r="B998" t="s">
        <v>548</v>
      </c>
      <c r="C998" t="s">
        <v>549</v>
      </c>
      <c r="D998" t="s">
        <v>539</v>
      </c>
      <c r="E998">
        <v>255503</v>
      </c>
      <c r="F998">
        <v>291452.08</v>
      </c>
      <c r="G998">
        <f>IF(Table13[[#This Row],[Budget_Allocated_INR]]="","",Table13[[#This Row],[Amount_INR]]-Table13[[#This Row],[Budget_Allocated_INR]])</f>
        <v>-35949.080000000016</v>
      </c>
      <c r="H998">
        <v>-35949.08</v>
      </c>
      <c r="I998" s="1">
        <v>45479</v>
      </c>
      <c r="J998" t="s">
        <v>526</v>
      </c>
      <c r="K998" t="s">
        <v>517</v>
      </c>
      <c r="L998" t="s">
        <v>536</v>
      </c>
      <c r="M998" t="s">
        <v>519</v>
      </c>
      <c r="N998" t="s">
        <v>520</v>
      </c>
    </row>
    <row r="999" spans="1:14" x14ac:dyDescent="0.35">
      <c r="A999" t="s">
        <v>1565</v>
      </c>
      <c r="B999" t="s">
        <v>545</v>
      </c>
      <c r="C999" t="s">
        <v>599</v>
      </c>
      <c r="D999" t="s">
        <v>525</v>
      </c>
      <c r="E999">
        <v>100368</v>
      </c>
      <c r="F999">
        <v>99027.89</v>
      </c>
      <c r="G999">
        <f>IF(Table13[[#This Row],[Budget_Allocated_INR]]="","",Table13[[#This Row],[Amount_INR]]-Table13[[#This Row],[Budget_Allocated_INR]])</f>
        <v>1340.1100000000006</v>
      </c>
      <c r="H999">
        <v>1340.11</v>
      </c>
      <c r="I999" s="1">
        <v>45626</v>
      </c>
      <c r="J999" t="s">
        <v>597</v>
      </c>
      <c r="K999" t="s">
        <v>540</v>
      </c>
      <c r="L999" t="s">
        <v>536</v>
      </c>
      <c r="M999" t="s">
        <v>519</v>
      </c>
      <c r="N999" t="s">
        <v>520</v>
      </c>
    </row>
    <row r="1000" spans="1:14" x14ac:dyDescent="0.35">
      <c r="A1000" t="s">
        <v>1566</v>
      </c>
      <c r="B1000" t="s">
        <v>523</v>
      </c>
      <c r="C1000" t="s">
        <v>549</v>
      </c>
      <c r="D1000" t="s">
        <v>550</v>
      </c>
      <c r="E1000">
        <v>495273</v>
      </c>
      <c r="F1000">
        <v>476285.59</v>
      </c>
      <c r="G1000">
        <f>IF(Table13[[#This Row],[Budget_Allocated_INR]]="","",Table13[[#This Row],[Amount_INR]]-Table13[[#This Row],[Budget_Allocated_INR]])</f>
        <v>18987.409999999974</v>
      </c>
      <c r="H1000">
        <v>18987.41</v>
      </c>
      <c r="I1000" s="1">
        <v>44941</v>
      </c>
      <c r="J1000" t="s">
        <v>526</v>
      </c>
      <c r="K1000" t="s">
        <v>540</v>
      </c>
      <c r="L1000" t="s">
        <v>541</v>
      </c>
      <c r="M1000" t="s">
        <v>554</v>
      </c>
      <c r="N1000" t="s">
        <v>520</v>
      </c>
    </row>
    <row r="1001" spans="1:14" x14ac:dyDescent="0.35">
      <c r="A1001" t="s">
        <v>1567</v>
      </c>
      <c r="B1001" t="s">
        <v>530</v>
      </c>
      <c r="C1001" t="s">
        <v>524</v>
      </c>
      <c r="D1001" t="s">
        <v>515</v>
      </c>
      <c r="E1001">
        <v>235938</v>
      </c>
      <c r="F1001">
        <v>291327.15000000002</v>
      </c>
      <c r="G1001">
        <f>IF(Table13[[#This Row],[Budget_Allocated_INR]]="","",Table13[[#This Row],[Amount_INR]]-Table13[[#This Row],[Budget_Allocated_INR]])</f>
        <v>-55389.150000000023</v>
      </c>
      <c r="H1001">
        <v>-55389.15</v>
      </c>
      <c r="I1001" s="1">
        <v>45477</v>
      </c>
      <c r="J1001" t="s">
        <v>526</v>
      </c>
      <c r="K1001" t="s">
        <v>527</v>
      </c>
      <c r="L1001" t="s">
        <v>536</v>
      </c>
      <c r="M1001" t="s">
        <v>519</v>
      </c>
      <c r="N1001" t="s">
        <v>520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41A4-9B87-4BE9-829F-4D691802456E}">
  <dimension ref="A1:Q151"/>
  <sheetViews>
    <sheetView workbookViewId="0">
      <selection activeCell="O13" sqref="O13"/>
    </sheetView>
  </sheetViews>
  <sheetFormatPr defaultRowHeight="14.5" x14ac:dyDescent="0.35"/>
  <cols>
    <col min="1" max="1" width="14.26953125" bestFit="1" customWidth="1"/>
    <col min="2" max="2" width="40.90625" bestFit="1" customWidth="1"/>
    <col min="3" max="3" width="17" bestFit="1" customWidth="1"/>
    <col min="4" max="4" width="16.7265625" bestFit="1" customWidth="1"/>
    <col min="5" max="5" width="12.1796875" bestFit="1" customWidth="1"/>
    <col min="6" max="6" width="11.26953125" bestFit="1" customWidth="1"/>
    <col min="7" max="7" width="13.1796875" bestFit="1" customWidth="1"/>
    <col min="8" max="8" width="13.453125" bestFit="1" customWidth="1"/>
    <col min="9" max="10" width="8" bestFit="1" customWidth="1"/>
    <col min="11" max="11" width="7.1796875" bestFit="1" customWidth="1"/>
    <col min="12" max="12" width="13.6328125" bestFit="1" customWidth="1"/>
    <col min="13" max="13" width="13.90625" bestFit="1" customWidth="1"/>
    <col min="14" max="14" width="15.81640625" bestFit="1" customWidth="1"/>
    <col min="15" max="15" width="27.08984375" bestFit="1" customWidth="1"/>
    <col min="16" max="16" width="15.54296875" bestFit="1" customWidth="1"/>
    <col min="17" max="17" width="16.6328125" bestFit="1" customWidth="1"/>
  </cols>
  <sheetData>
    <row r="1" spans="1:17" x14ac:dyDescent="0.35">
      <c r="A1" t="s">
        <v>1568</v>
      </c>
      <c r="B1" t="s">
        <v>1569</v>
      </c>
      <c r="C1" t="s">
        <v>1570</v>
      </c>
      <c r="D1" t="s">
        <v>1571</v>
      </c>
      <c r="E1" s="1" t="s">
        <v>1572</v>
      </c>
      <c r="F1" s="1" t="s">
        <v>1573</v>
      </c>
      <c r="G1" t="s">
        <v>1574</v>
      </c>
      <c r="H1" t="s">
        <v>1575</v>
      </c>
      <c r="I1" t="s">
        <v>1576</v>
      </c>
      <c r="J1" t="s">
        <v>1577</v>
      </c>
      <c r="K1" t="s">
        <v>1578</v>
      </c>
      <c r="L1" t="s">
        <v>1579</v>
      </c>
      <c r="M1" t="s">
        <v>1580</v>
      </c>
      <c r="N1" t="s">
        <v>1581</v>
      </c>
      <c r="O1" t="s">
        <v>1582</v>
      </c>
      <c r="P1" t="s">
        <v>1583</v>
      </c>
      <c r="Q1" t="s">
        <v>1584</v>
      </c>
    </row>
    <row r="2" spans="1:17" x14ac:dyDescent="0.35">
      <c r="A2" t="s">
        <v>1585</v>
      </c>
      <c r="B2" t="s">
        <v>1586</v>
      </c>
      <c r="C2" t="s">
        <v>1587</v>
      </c>
      <c r="D2" t="s">
        <v>1588</v>
      </c>
      <c r="E2" s="1">
        <v>45027</v>
      </c>
      <c r="F2" s="1">
        <v>45089</v>
      </c>
      <c r="G2">
        <v>751318</v>
      </c>
      <c r="H2">
        <v>125501</v>
      </c>
      <c r="I2">
        <v>8720</v>
      </c>
      <c r="J2">
        <v>2000</v>
      </c>
      <c r="K2">
        <v>453</v>
      </c>
      <c r="L2">
        <v>158</v>
      </c>
      <c r="M2" s="2">
        <v>6.95</v>
      </c>
      <c r="N2">
        <v>86.16</v>
      </c>
      <c r="O2">
        <v>4755.18</v>
      </c>
      <c r="P2" t="s">
        <v>47</v>
      </c>
      <c r="Q2" t="s">
        <v>73</v>
      </c>
    </row>
    <row r="3" spans="1:17" x14ac:dyDescent="0.35">
      <c r="A3" t="s">
        <v>1589</v>
      </c>
      <c r="B3" t="s">
        <v>1590</v>
      </c>
      <c r="C3" t="s">
        <v>1591</v>
      </c>
      <c r="D3" t="s">
        <v>1592</v>
      </c>
      <c r="E3" s="1">
        <v>45470</v>
      </c>
      <c r="F3" s="1">
        <v>45529</v>
      </c>
      <c r="G3">
        <v>931769</v>
      </c>
      <c r="H3">
        <v>404277</v>
      </c>
      <c r="I3">
        <v>28305</v>
      </c>
      <c r="J3">
        <v>3218</v>
      </c>
      <c r="K3">
        <v>614</v>
      </c>
      <c r="L3">
        <v>177</v>
      </c>
      <c r="M3" s="2">
        <v>7</v>
      </c>
      <c r="N3">
        <v>32.92</v>
      </c>
      <c r="O3">
        <v>5264.23</v>
      </c>
      <c r="P3" t="s">
        <v>30</v>
      </c>
      <c r="Q3" t="s">
        <v>59</v>
      </c>
    </row>
    <row r="4" spans="1:17" x14ac:dyDescent="0.35">
      <c r="A4" t="s">
        <v>1593</v>
      </c>
      <c r="B4" t="s">
        <v>1594</v>
      </c>
      <c r="C4" t="s">
        <v>1595</v>
      </c>
      <c r="D4" t="s">
        <v>1596</v>
      </c>
      <c r="E4" s="1">
        <v>45082</v>
      </c>
      <c r="F4" s="1">
        <v>45135</v>
      </c>
      <c r="G4">
        <v>1330883</v>
      </c>
      <c r="H4">
        <v>169252</v>
      </c>
      <c r="I4">
        <v>9199</v>
      </c>
      <c r="J4">
        <v>1321</v>
      </c>
      <c r="K4">
        <v>320</v>
      </c>
      <c r="L4">
        <v>124</v>
      </c>
      <c r="M4" s="2">
        <v>5.44</v>
      </c>
      <c r="N4">
        <v>144.68</v>
      </c>
      <c r="O4">
        <v>10732.93</v>
      </c>
      <c r="P4" t="s">
        <v>1597</v>
      </c>
      <c r="Q4" t="s">
        <v>40</v>
      </c>
    </row>
    <row r="5" spans="1:17" x14ac:dyDescent="0.35">
      <c r="A5" t="s">
        <v>1598</v>
      </c>
      <c r="B5" t="s">
        <v>1599</v>
      </c>
      <c r="C5" t="s">
        <v>1600</v>
      </c>
      <c r="D5" t="s">
        <v>1596</v>
      </c>
      <c r="E5" s="1">
        <v>45529</v>
      </c>
      <c r="F5" s="1">
        <v>45604</v>
      </c>
      <c r="G5">
        <v>1055991</v>
      </c>
      <c r="H5">
        <v>167737</v>
      </c>
      <c r="I5">
        <v>2658</v>
      </c>
      <c r="J5">
        <v>164</v>
      </c>
      <c r="K5">
        <v>24</v>
      </c>
      <c r="L5">
        <v>6</v>
      </c>
      <c r="M5" s="2">
        <v>1.58</v>
      </c>
      <c r="N5">
        <v>397.29</v>
      </c>
      <c r="O5">
        <v>175998.5</v>
      </c>
      <c r="P5" t="s">
        <v>79</v>
      </c>
      <c r="Q5" t="s">
        <v>151</v>
      </c>
    </row>
    <row r="6" spans="1:17" x14ac:dyDescent="0.35">
      <c r="A6" t="s">
        <v>1601</v>
      </c>
      <c r="B6" t="s">
        <v>1602</v>
      </c>
      <c r="C6" t="s">
        <v>1600</v>
      </c>
      <c r="D6" t="s">
        <v>1592</v>
      </c>
      <c r="E6" s="1">
        <v>45244</v>
      </c>
      <c r="F6" s="1">
        <v>45296</v>
      </c>
      <c r="G6">
        <v>576586</v>
      </c>
      <c r="H6">
        <v>352957</v>
      </c>
      <c r="I6">
        <v>18568</v>
      </c>
      <c r="J6">
        <v>3933</v>
      </c>
      <c r="K6">
        <v>1690</v>
      </c>
      <c r="L6">
        <v>470</v>
      </c>
      <c r="M6" s="2">
        <v>5.26</v>
      </c>
      <c r="N6">
        <v>31.05</v>
      </c>
      <c r="O6">
        <v>1226.78</v>
      </c>
      <c r="P6" t="s">
        <v>1597</v>
      </c>
      <c r="Q6" t="s">
        <v>73</v>
      </c>
    </row>
    <row r="7" spans="1:17" x14ac:dyDescent="0.35">
      <c r="A7" t="s">
        <v>1603</v>
      </c>
      <c r="B7" t="s">
        <v>1604</v>
      </c>
      <c r="C7" t="s">
        <v>1605</v>
      </c>
      <c r="D7" t="s">
        <v>1596</v>
      </c>
      <c r="E7" s="1">
        <v>45317</v>
      </c>
      <c r="F7" s="1">
        <v>45405</v>
      </c>
      <c r="G7">
        <v>99142</v>
      </c>
      <c r="H7">
        <v>23806</v>
      </c>
      <c r="I7">
        <v>697</v>
      </c>
      <c r="J7">
        <v>96</v>
      </c>
      <c r="K7">
        <v>16</v>
      </c>
      <c r="L7">
        <v>3</v>
      </c>
      <c r="M7" s="2">
        <v>2.93</v>
      </c>
      <c r="N7">
        <v>142.24</v>
      </c>
      <c r="O7">
        <v>33047.33</v>
      </c>
      <c r="P7" t="s">
        <v>21</v>
      </c>
      <c r="Q7" t="s">
        <v>73</v>
      </c>
    </row>
    <row r="8" spans="1:17" x14ac:dyDescent="0.35">
      <c r="A8" t="s">
        <v>1606</v>
      </c>
      <c r="B8" t="s">
        <v>1607</v>
      </c>
      <c r="C8" t="s">
        <v>1595</v>
      </c>
      <c r="D8" t="s">
        <v>1596</v>
      </c>
      <c r="E8" s="1">
        <v>45203</v>
      </c>
      <c r="F8" s="1">
        <v>45278</v>
      </c>
      <c r="G8">
        <v>1296128</v>
      </c>
      <c r="H8">
        <v>325772</v>
      </c>
      <c r="I8">
        <v>9541</v>
      </c>
      <c r="J8">
        <v>1855</v>
      </c>
      <c r="K8">
        <v>438</v>
      </c>
      <c r="L8">
        <v>153</v>
      </c>
      <c r="M8" s="2">
        <v>2.93</v>
      </c>
      <c r="N8">
        <v>135.85</v>
      </c>
      <c r="O8">
        <v>8471.42</v>
      </c>
      <c r="P8" t="s">
        <v>30</v>
      </c>
      <c r="Q8" t="s">
        <v>151</v>
      </c>
    </row>
    <row r="9" spans="1:17" x14ac:dyDescent="0.35">
      <c r="A9" t="s">
        <v>1608</v>
      </c>
      <c r="B9" t="s">
        <v>1609</v>
      </c>
      <c r="C9" t="s">
        <v>1591</v>
      </c>
      <c r="D9" t="s">
        <v>1592</v>
      </c>
      <c r="E9" s="1">
        <v>45661</v>
      </c>
      <c r="F9" s="1">
        <v>45746</v>
      </c>
      <c r="G9">
        <v>1268589</v>
      </c>
      <c r="H9">
        <v>152974</v>
      </c>
      <c r="I9">
        <v>10540</v>
      </c>
      <c r="J9">
        <v>2346</v>
      </c>
      <c r="K9">
        <v>955</v>
      </c>
      <c r="L9">
        <v>280</v>
      </c>
      <c r="M9" s="2">
        <v>6.89</v>
      </c>
      <c r="N9">
        <v>120.36</v>
      </c>
      <c r="O9">
        <v>4530.68</v>
      </c>
      <c r="P9" t="s">
        <v>30</v>
      </c>
      <c r="Q9" t="s">
        <v>28</v>
      </c>
    </row>
    <row r="10" spans="1:17" x14ac:dyDescent="0.35">
      <c r="A10" t="s">
        <v>1610</v>
      </c>
      <c r="B10" t="s">
        <v>1611</v>
      </c>
      <c r="C10" t="s">
        <v>1605</v>
      </c>
      <c r="D10" t="s">
        <v>1588</v>
      </c>
      <c r="E10" s="1">
        <v>45483</v>
      </c>
      <c r="F10" s="1">
        <v>45535</v>
      </c>
      <c r="G10">
        <v>616140</v>
      </c>
      <c r="H10">
        <v>384535</v>
      </c>
      <c r="I10">
        <v>19957</v>
      </c>
      <c r="J10">
        <v>3229</v>
      </c>
      <c r="K10">
        <v>1357</v>
      </c>
      <c r="L10">
        <v>235</v>
      </c>
      <c r="M10" s="2">
        <v>5.19</v>
      </c>
      <c r="N10">
        <v>30.87</v>
      </c>
      <c r="O10">
        <v>2621.87</v>
      </c>
      <c r="P10" t="s">
        <v>47</v>
      </c>
      <c r="Q10" t="s">
        <v>1612</v>
      </c>
    </row>
    <row r="11" spans="1:17" x14ac:dyDescent="0.35">
      <c r="A11" t="s">
        <v>1613</v>
      </c>
      <c r="B11" t="s">
        <v>1614</v>
      </c>
      <c r="C11" t="s">
        <v>1615</v>
      </c>
      <c r="D11" t="s">
        <v>1616</v>
      </c>
      <c r="E11" s="1">
        <v>45215</v>
      </c>
      <c r="F11" s="1">
        <v>45241</v>
      </c>
      <c r="G11">
        <v>1208048</v>
      </c>
      <c r="H11">
        <v>11982</v>
      </c>
      <c r="I11">
        <v>195</v>
      </c>
      <c r="J11">
        <v>24</v>
      </c>
      <c r="K11">
        <v>8</v>
      </c>
      <c r="L11">
        <v>1</v>
      </c>
      <c r="M11" s="2">
        <v>1.63</v>
      </c>
      <c r="N11">
        <v>6195.12</v>
      </c>
      <c r="O11">
        <v>1208048</v>
      </c>
      <c r="P11" t="s">
        <v>1597</v>
      </c>
      <c r="Q11" t="s">
        <v>13</v>
      </c>
    </row>
    <row r="12" spans="1:17" x14ac:dyDescent="0.35">
      <c r="A12" t="s">
        <v>1617</v>
      </c>
      <c r="B12" t="s">
        <v>1618</v>
      </c>
      <c r="C12" t="s">
        <v>1591</v>
      </c>
      <c r="D12" t="s">
        <v>1616</v>
      </c>
      <c r="E12" s="1">
        <v>45505</v>
      </c>
      <c r="F12" s="1">
        <v>45530</v>
      </c>
      <c r="G12">
        <v>1362761</v>
      </c>
      <c r="H12">
        <v>48086</v>
      </c>
      <c r="I12">
        <v>2575</v>
      </c>
      <c r="J12">
        <v>481</v>
      </c>
      <c r="K12">
        <v>145</v>
      </c>
      <c r="L12">
        <v>51</v>
      </c>
      <c r="M12" s="2">
        <v>5.35</v>
      </c>
      <c r="N12">
        <v>529.23</v>
      </c>
      <c r="O12">
        <v>26720.799999999999</v>
      </c>
      <c r="P12" t="s">
        <v>1597</v>
      </c>
      <c r="Q12" t="s">
        <v>20</v>
      </c>
    </row>
    <row r="13" spans="1:17" x14ac:dyDescent="0.35">
      <c r="A13" t="s">
        <v>1619</v>
      </c>
      <c r="B13" t="s">
        <v>1620</v>
      </c>
      <c r="C13" t="s">
        <v>1587</v>
      </c>
      <c r="D13" t="s">
        <v>1592</v>
      </c>
      <c r="E13" s="1">
        <v>45352</v>
      </c>
      <c r="F13" s="1">
        <v>45375</v>
      </c>
      <c r="G13">
        <v>487709</v>
      </c>
      <c r="H13">
        <v>284841</v>
      </c>
      <c r="I13">
        <v>10450</v>
      </c>
      <c r="J13">
        <v>1086</v>
      </c>
      <c r="K13">
        <v>426</v>
      </c>
      <c r="L13">
        <v>97</v>
      </c>
      <c r="M13" s="2">
        <v>3.67</v>
      </c>
      <c r="N13">
        <v>46.67</v>
      </c>
      <c r="O13">
        <v>5027.93</v>
      </c>
      <c r="P13" t="s">
        <v>30</v>
      </c>
      <c r="Q13" t="s">
        <v>1612</v>
      </c>
    </row>
    <row r="14" spans="1:17" x14ac:dyDescent="0.35">
      <c r="A14" t="s">
        <v>1621</v>
      </c>
      <c r="B14" t="s">
        <v>1622</v>
      </c>
      <c r="C14" t="s">
        <v>1605</v>
      </c>
      <c r="D14" t="s">
        <v>1592</v>
      </c>
      <c r="E14" s="1">
        <v>45450</v>
      </c>
      <c r="F14" s="1">
        <v>45467</v>
      </c>
      <c r="G14">
        <v>1450372</v>
      </c>
      <c r="H14">
        <v>301192</v>
      </c>
      <c r="I14">
        <v>20113</v>
      </c>
      <c r="J14">
        <v>3277</v>
      </c>
      <c r="K14">
        <v>1347</v>
      </c>
      <c r="L14">
        <v>343</v>
      </c>
      <c r="M14" s="2">
        <v>6.68</v>
      </c>
      <c r="N14">
        <v>72.11</v>
      </c>
      <c r="O14">
        <v>4228.49</v>
      </c>
      <c r="P14" t="s">
        <v>21</v>
      </c>
      <c r="Q14" t="s">
        <v>151</v>
      </c>
    </row>
    <row r="15" spans="1:17" x14ac:dyDescent="0.35">
      <c r="A15" t="s">
        <v>1623</v>
      </c>
      <c r="B15" t="s">
        <v>1624</v>
      </c>
      <c r="C15" t="s">
        <v>1625</v>
      </c>
      <c r="D15" t="s">
        <v>1588</v>
      </c>
      <c r="E15" s="1">
        <v>45452</v>
      </c>
      <c r="F15" s="1">
        <v>45469</v>
      </c>
      <c r="G15">
        <v>1120643</v>
      </c>
      <c r="H15">
        <v>289309</v>
      </c>
      <c r="I15">
        <v>23081</v>
      </c>
      <c r="J15">
        <v>4593</v>
      </c>
      <c r="K15">
        <v>775</v>
      </c>
      <c r="L15">
        <v>194</v>
      </c>
      <c r="M15" s="2">
        <v>7.98</v>
      </c>
      <c r="N15">
        <v>48.55</v>
      </c>
      <c r="O15">
        <v>5776.51</v>
      </c>
      <c r="P15" t="s">
        <v>15</v>
      </c>
      <c r="Q15" t="s">
        <v>13</v>
      </c>
    </row>
    <row r="16" spans="1:17" x14ac:dyDescent="0.35">
      <c r="A16" t="s">
        <v>1626</v>
      </c>
      <c r="B16" t="s">
        <v>1627</v>
      </c>
      <c r="C16" t="s">
        <v>1595</v>
      </c>
      <c r="D16" t="s">
        <v>1588</v>
      </c>
      <c r="E16" s="1">
        <v>45296</v>
      </c>
      <c r="F16" s="1">
        <v>45315</v>
      </c>
      <c r="G16">
        <v>244034</v>
      </c>
      <c r="H16">
        <v>384010</v>
      </c>
      <c r="I16">
        <v>12175</v>
      </c>
      <c r="J16">
        <v>1873</v>
      </c>
      <c r="K16">
        <v>705</v>
      </c>
      <c r="L16">
        <v>127</v>
      </c>
      <c r="M16" s="2">
        <v>3.17</v>
      </c>
      <c r="N16">
        <v>20.04</v>
      </c>
      <c r="O16">
        <v>1921.53</v>
      </c>
      <c r="P16" t="s">
        <v>79</v>
      </c>
      <c r="Q16" t="s">
        <v>28</v>
      </c>
    </row>
    <row r="17" spans="1:17" x14ac:dyDescent="0.35">
      <c r="A17" t="s">
        <v>1628</v>
      </c>
      <c r="B17" t="s">
        <v>1629</v>
      </c>
      <c r="C17" t="s">
        <v>1615</v>
      </c>
      <c r="D17" t="s">
        <v>1630</v>
      </c>
      <c r="E17" s="1">
        <v>45372</v>
      </c>
      <c r="F17" s="1">
        <v>45427</v>
      </c>
      <c r="G17">
        <v>986794</v>
      </c>
      <c r="H17">
        <v>400131</v>
      </c>
      <c r="I17">
        <v>23524</v>
      </c>
      <c r="J17">
        <v>3710</v>
      </c>
      <c r="K17">
        <v>659</v>
      </c>
      <c r="L17">
        <v>210</v>
      </c>
      <c r="M17" s="2">
        <v>5.88</v>
      </c>
      <c r="N17">
        <v>41.95</v>
      </c>
      <c r="O17">
        <v>4699.0200000000004</v>
      </c>
      <c r="P17" t="s">
        <v>21</v>
      </c>
      <c r="Q17" t="s">
        <v>79</v>
      </c>
    </row>
    <row r="18" spans="1:17" x14ac:dyDescent="0.35">
      <c r="A18" t="s">
        <v>1631</v>
      </c>
      <c r="B18" t="s">
        <v>1632</v>
      </c>
      <c r="C18" t="s">
        <v>1591</v>
      </c>
      <c r="D18" t="s">
        <v>1596</v>
      </c>
      <c r="E18" s="1">
        <v>45614</v>
      </c>
      <c r="F18" s="1">
        <v>45656</v>
      </c>
      <c r="G18">
        <v>1299836</v>
      </c>
      <c r="H18">
        <v>402559</v>
      </c>
      <c r="I18">
        <v>22342</v>
      </c>
      <c r="J18">
        <v>3206</v>
      </c>
      <c r="K18">
        <v>942</v>
      </c>
      <c r="L18">
        <v>123</v>
      </c>
      <c r="M18" s="2">
        <v>5.55</v>
      </c>
      <c r="N18">
        <v>58.18</v>
      </c>
      <c r="O18">
        <v>10567.77</v>
      </c>
      <c r="P18" t="s">
        <v>47</v>
      </c>
      <c r="Q18" t="s">
        <v>13</v>
      </c>
    </row>
    <row r="19" spans="1:17" x14ac:dyDescent="0.35">
      <c r="A19" t="s">
        <v>1633</v>
      </c>
      <c r="B19" t="s">
        <v>1634</v>
      </c>
      <c r="C19" t="s">
        <v>1600</v>
      </c>
      <c r="D19" t="s">
        <v>1588</v>
      </c>
      <c r="E19" s="1">
        <v>45545</v>
      </c>
      <c r="F19" s="1">
        <v>45625</v>
      </c>
      <c r="G19">
        <v>1095970</v>
      </c>
      <c r="H19">
        <v>269329</v>
      </c>
      <c r="I19">
        <v>15203</v>
      </c>
      <c r="J19">
        <v>1256</v>
      </c>
      <c r="K19">
        <v>615</v>
      </c>
      <c r="L19">
        <v>96</v>
      </c>
      <c r="M19" s="2">
        <v>5.64</v>
      </c>
      <c r="N19">
        <v>72.09</v>
      </c>
      <c r="O19">
        <v>11416.35</v>
      </c>
      <c r="P19" t="s">
        <v>1597</v>
      </c>
      <c r="Q19" t="s">
        <v>59</v>
      </c>
    </row>
    <row r="20" spans="1:17" x14ac:dyDescent="0.35">
      <c r="A20" t="s">
        <v>1635</v>
      </c>
      <c r="B20" t="s">
        <v>1636</v>
      </c>
      <c r="C20" t="s">
        <v>1587</v>
      </c>
      <c r="D20" t="s">
        <v>1596</v>
      </c>
      <c r="E20" s="1">
        <v>45018</v>
      </c>
      <c r="F20" s="1">
        <v>45100</v>
      </c>
      <c r="G20">
        <v>961343</v>
      </c>
      <c r="H20">
        <v>247466</v>
      </c>
      <c r="I20">
        <v>4736</v>
      </c>
      <c r="J20">
        <v>254</v>
      </c>
      <c r="K20">
        <v>69</v>
      </c>
      <c r="L20">
        <v>9</v>
      </c>
      <c r="M20" s="2">
        <v>1.91</v>
      </c>
      <c r="N20">
        <v>202.99</v>
      </c>
      <c r="O20">
        <v>106815.89</v>
      </c>
      <c r="P20" t="s">
        <v>21</v>
      </c>
      <c r="Q20" t="s">
        <v>40</v>
      </c>
    </row>
    <row r="21" spans="1:17" x14ac:dyDescent="0.35">
      <c r="A21" t="s">
        <v>1637</v>
      </c>
      <c r="B21" t="s">
        <v>1638</v>
      </c>
      <c r="C21" t="s">
        <v>1587</v>
      </c>
      <c r="D21" t="s">
        <v>1616</v>
      </c>
      <c r="E21" s="1">
        <v>44988</v>
      </c>
      <c r="F21" s="1">
        <v>45049</v>
      </c>
      <c r="G21">
        <v>788323</v>
      </c>
      <c r="H21">
        <v>292324</v>
      </c>
      <c r="I21">
        <v>5644</v>
      </c>
      <c r="J21">
        <v>1045</v>
      </c>
      <c r="K21">
        <v>309</v>
      </c>
      <c r="L21">
        <v>100</v>
      </c>
      <c r="M21" s="2">
        <v>1.93</v>
      </c>
      <c r="N21">
        <v>139.66999999999999</v>
      </c>
      <c r="O21">
        <v>7883.23</v>
      </c>
      <c r="P21" t="s">
        <v>47</v>
      </c>
      <c r="Q21" t="s">
        <v>54</v>
      </c>
    </row>
    <row r="22" spans="1:17" x14ac:dyDescent="0.35">
      <c r="A22" t="s">
        <v>1639</v>
      </c>
      <c r="B22" t="s">
        <v>1640</v>
      </c>
      <c r="C22" t="s">
        <v>1591</v>
      </c>
      <c r="D22" t="s">
        <v>1630</v>
      </c>
      <c r="E22" s="1">
        <v>45716</v>
      </c>
      <c r="F22" s="1">
        <v>45778</v>
      </c>
      <c r="G22">
        <v>1125028</v>
      </c>
      <c r="H22">
        <v>385374</v>
      </c>
      <c r="I22">
        <v>25086</v>
      </c>
      <c r="J22">
        <v>2140</v>
      </c>
      <c r="K22">
        <v>736</v>
      </c>
      <c r="L22">
        <v>196</v>
      </c>
      <c r="M22" s="2">
        <v>6.51</v>
      </c>
      <c r="N22">
        <v>44.85</v>
      </c>
      <c r="O22">
        <v>5739.94</v>
      </c>
      <c r="P22" t="s">
        <v>47</v>
      </c>
      <c r="Q22" t="s">
        <v>25</v>
      </c>
    </row>
    <row r="23" spans="1:17" x14ac:dyDescent="0.35">
      <c r="A23" t="s">
        <v>1641</v>
      </c>
      <c r="B23" t="s">
        <v>1642</v>
      </c>
      <c r="C23" t="s">
        <v>1605</v>
      </c>
      <c r="D23" t="s">
        <v>1630</v>
      </c>
      <c r="E23" s="1">
        <v>45318</v>
      </c>
      <c r="F23" s="1">
        <v>45389</v>
      </c>
      <c r="G23">
        <v>1144467</v>
      </c>
      <c r="H23">
        <v>44673</v>
      </c>
      <c r="I23">
        <v>1313</v>
      </c>
      <c r="J23">
        <v>206</v>
      </c>
      <c r="K23">
        <v>96</v>
      </c>
      <c r="L23">
        <v>14</v>
      </c>
      <c r="M23" s="2">
        <v>2.94</v>
      </c>
      <c r="N23">
        <v>871.64</v>
      </c>
      <c r="O23">
        <v>81747.64</v>
      </c>
      <c r="P23" t="s">
        <v>21</v>
      </c>
      <c r="Q23" t="s">
        <v>36</v>
      </c>
    </row>
    <row r="24" spans="1:17" x14ac:dyDescent="0.35">
      <c r="A24" t="s">
        <v>1643</v>
      </c>
      <c r="B24" t="s">
        <v>1644</v>
      </c>
      <c r="C24" t="s">
        <v>1615</v>
      </c>
      <c r="D24" t="s">
        <v>1630</v>
      </c>
      <c r="E24" s="1">
        <v>45357</v>
      </c>
      <c r="F24" s="1">
        <v>45441</v>
      </c>
      <c r="G24">
        <v>296081</v>
      </c>
      <c r="H24">
        <v>203021</v>
      </c>
      <c r="I24">
        <v>2481</v>
      </c>
      <c r="J24">
        <v>393</v>
      </c>
      <c r="K24">
        <v>102</v>
      </c>
      <c r="L24">
        <v>13</v>
      </c>
      <c r="M24" s="2">
        <v>1.22</v>
      </c>
      <c r="N24">
        <v>119.34</v>
      </c>
      <c r="O24">
        <v>22775.46</v>
      </c>
      <c r="P24" t="s">
        <v>21</v>
      </c>
      <c r="Q24" t="s">
        <v>59</v>
      </c>
    </row>
    <row r="25" spans="1:17" x14ac:dyDescent="0.35">
      <c r="A25" t="s">
        <v>1645</v>
      </c>
      <c r="B25" t="s">
        <v>1646</v>
      </c>
      <c r="C25" t="s">
        <v>1625</v>
      </c>
      <c r="D25" t="s">
        <v>1592</v>
      </c>
      <c r="E25" s="1">
        <v>45545</v>
      </c>
      <c r="F25" s="1">
        <v>45579</v>
      </c>
      <c r="G25">
        <v>420937</v>
      </c>
      <c r="H25">
        <v>300053</v>
      </c>
      <c r="I25">
        <v>18957</v>
      </c>
      <c r="J25">
        <v>2082</v>
      </c>
      <c r="K25">
        <v>941</v>
      </c>
      <c r="L25">
        <v>167</v>
      </c>
      <c r="M25" s="2">
        <v>6.32</v>
      </c>
      <c r="N25">
        <v>22.2</v>
      </c>
      <c r="O25">
        <v>2520.58</v>
      </c>
      <c r="P25" t="s">
        <v>47</v>
      </c>
      <c r="Q25" t="s">
        <v>20</v>
      </c>
    </row>
    <row r="26" spans="1:17" x14ac:dyDescent="0.35">
      <c r="A26" t="s">
        <v>1647</v>
      </c>
      <c r="B26" t="s">
        <v>1648</v>
      </c>
      <c r="C26" t="s">
        <v>1615</v>
      </c>
      <c r="D26" t="s">
        <v>1592</v>
      </c>
      <c r="E26" s="1">
        <v>45503</v>
      </c>
      <c r="F26" s="1">
        <v>45518</v>
      </c>
      <c r="G26">
        <v>909983</v>
      </c>
      <c r="H26">
        <v>246287</v>
      </c>
      <c r="I26">
        <v>13286</v>
      </c>
      <c r="J26">
        <v>2769</v>
      </c>
      <c r="K26">
        <v>1258</v>
      </c>
      <c r="L26">
        <v>134</v>
      </c>
      <c r="M26" s="2">
        <v>5.39</v>
      </c>
      <c r="N26">
        <v>68.489999999999995</v>
      </c>
      <c r="O26">
        <v>6790.92</v>
      </c>
      <c r="P26" t="s">
        <v>1597</v>
      </c>
      <c r="Q26" t="s">
        <v>25</v>
      </c>
    </row>
    <row r="27" spans="1:17" x14ac:dyDescent="0.35">
      <c r="A27" t="s">
        <v>1649</v>
      </c>
      <c r="B27" t="s">
        <v>1650</v>
      </c>
      <c r="C27" t="s">
        <v>1587</v>
      </c>
      <c r="D27" t="s">
        <v>1596</v>
      </c>
      <c r="E27" s="1">
        <v>45130</v>
      </c>
      <c r="F27" s="1">
        <v>45145</v>
      </c>
      <c r="G27">
        <v>639700</v>
      </c>
      <c r="H27">
        <v>91607</v>
      </c>
      <c r="I27">
        <f>ROUND(Table14[[#This Row],[Impressions]]*(Table14[[#This Row],[CTR_Percent]]/100),0)</f>
        <v>6110</v>
      </c>
      <c r="J27">
        <v>562</v>
      </c>
      <c r="K27">
        <v>244</v>
      </c>
      <c r="L27">
        <v>75</v>
      </c>
      <c r="M27" s="2">
        <v>6.67</v>
      </c>
      <c r="N27">
        <v>104.65</v>
      </c>
      <c r="O27">
        <v>8529.33</v>
      </c>
      <c r="P27" t="s">
        <v>1597</v>
      </c>
      <c r="Q27" t="s">
        <v>59</v>
      </c>
    </row>
    <row r="28" spans="1:17" x14ac:dyDescent="0.35">
      <c r="A28" t="s">
        <v>1651</v>
      </c>
      <c r="B28" t="s">
        <v>1652</v>
      </c>
      <c r="C28" t="s">
        <v>1605</v>
      </c>
      <c r="D28" t="s">
        <v>1616</v>
      </c>
      <c r="E28" s="1">
        <v>45655</v>
      </c>
      <c r="F28" s="1">
        <v>45672</v>
      </c>
      <c r="G28">
        <v>118248</v>
      </c>
      <c r="H28">
        <v>168771</v>
      </c>
      <c r="I28">
        <v>5692</v>
      </c>
      <c r="J28">
        <v>378</v>
      </c>
      <c r="K28">
        <v>98</v>
      </c>
      <c r="L28">
        <v>16</v>
      </c>
      <c r="M28" s="2">
        <v>3.37</v>
      </c>
      <c r="N28">
        <v>20.77</v>
      </c>
      <c r="O28">
        <v>7390.5</v>
      </c>
      <c r="P28" t="s">
        <v>47</v>
      </c>
      <c r="Q28" t="s">
        <v>20</v>
      </c>
    </row>
    <row r="29" spans="1:17" x14ac:dyDescent="0.35">
      <c r="A29" t="s">
        <v>1653</v>
      </c>
      <c r="B29" t="s">
        <v>1618</v>
      </c>
      <c r="C29" t="s">
        <v>1615</v>
      </c>
      <c r="D29" t="s">
        <v>1592</v>
      </c>
      <c r="E29" s="1">
        <v>45515</v>
      </c>
      <c r="F29" s="1">
        <v>45547</v>
      </c>
      <c r="G29">
        <v>1084235</v>
      </c>
      <c r="H29">
        <v>244228</v>
      </c>
      <c r="I29">
        <v>18533</v>
      </c>
      <c r="J29">
        <v>1202</v>
      </c>
      <c r="K29">
        <v>329</v>
      </c>
      <c r="L29">
        <v>117</v>
      </c>
      <c r="M29" s="2">
        <v>7.59</v>
      </c>
      <c r="N29">
        <v>58.5</v>
      </c>
      <c r="O29">
        <v>9266.9699999999993</v>
      </c>
      <c r="P29" t="s">
        <v>15</v>
      </c>
      <c r="Q29" t="s">
        <v>36</v>
      </c>
    </row>
    <row r="30" spans="1:17" x14ac:dyDescent="0.35">
      <c r="A30" t="s">
        <v>1654</v>
      </c>
      <c r="B30" t="s">
        <v>1655</v>
      </c>
      <c r="C30" t="s">
        <v>1605</v>
      </c>
      <c r="D30" t="s">
        <v>1630</v>
      </c>
      <c r="E30" s="1">
        <v>45233</v>
      </c>
      <c r="F30" s="1">
        <v>45314</v>
      </c>
      <c r="G30">
        <v>1256395</v>
      </c>
      <c r="H30">
        <v>170300</v>
      </c>
      <c r="I30">
        <v>1941</v>
      </c>
      <c r="J30">
        <v>98</v>
      </c>
      <c r="K30">
        <v>37</v>
      </c>
      <c r="L30">
        <v>7</v>
      </c>
      <c r="M30" s="2">
        <v>1.1399999999999999</v>
      </c>
      <c r="N30">
        <v>647.29</v>
      </c>
      <c r="O30">
        <v>179485</v>
      </c>
      <c r="P30" t="s">
        <v>1597</v>
      </c>
      <c r="Q30" t="s">
        <v>36</v>
      </c>
    </row>
    <row r="31" spans="1:17" x14ac:dyDescent="0.35">
      <c r="A31" t="s">
        <v>1656</v>
      </c>
      <c r="B31" t="s">
        <v>1657</v>
      </c>
      <c r="C31" t="s">
        <v>1625</v>
      </c>
      <c r="D31" t="s">
        <v>1596</v>
      </c>
      <c r="E31" s="1">
        <v>44981</v>
      </c>
      <c r="F31" s="1">
        <v>45056</v>
      </c>
      <c r="G31">
        <v>1454862</v>
      </c>
      <c r="H31">
        <v>34159</v>
      </c>
      <c r="I31">
        <v>392</v>
      </c>
      <c r="J31">
        <v>24</v>
      </c>
      <c r="K31">
        <v>5</v>
      </c>
      <c r="L31">
        <v>1</v>
      </c>
      <c r="M31" s="2">
        <v>1.1499999999999999</v>
      </c>
      <c r="N31">
        <v>3711.38</v>
      </c>
      <c r="O31">
        <v>1454862</v>
      </c>
      <c r="P31" t="s">
        <v>21</v>
      </c>
      <c r="Q31" t="s">
        <v>79</v>
      </c>
    </row>
    <row r="32" spans="1:17" x14ac:dyDescent="0.35">
      <c r="A32" t="s">
        <v>1658</v>
      </c>
      <c r="B32" t="s">
        <v>1659</v>
      </c>
      <c r="C32" t="s">
        <v>1591</v>
      </c>
      <c r="D32" t="s">
        <v>1630</v>
      </c>
      <c r="E32" s="1">
        <v>45028</v>
      </c>
      <c r="F32" s="1">
        <v>45109</v>
      </c>
      <c r="G32">
        <v>880836</v>
      </c>
      <c r="H32">
        <v>82670</v>
      </c>
      <c r="I32">
        <v>1430</v>
      </c>
      <c r="J32">
        <v>232</v>
      </c>
      <c r="K32">
        <v>88</v>
      </c>
      <c r="L32">
        <v>31</v>
      </c>
      <c r="M32" s="2">
        <v>1.73</v>
      </c>
      <c r="N32">
        <v>615.97</v>
      </c>
      <c r="O32">
        <v>28414.06</v>
      </c>
      <c r="P32" t="s">
        <v>30</v>
      </c>
      <c r="Q32" t="s">
        <v>36</v>
      </c>
    </row>
    <row r="33" spans="1:17" x14ac:dyDescent="0.35">
      <c r="A33" t="s">
        <v>1660</v>
      </c>
      <c r="B33" t="s">
        <v>1661</v>
      </c>
      <c r="C33" t="s">
        <v>1595</v>
      </c>
      <c r="D33" t="s">
        <v>1630</v>
      </c>
      <c r="E33" s="1">
        <v>44984</v>
      </c>
      <c r="F33" s="1">
        <v>45038</v>
      </c>
      <c r="G33">
        <v>1392111</v>
      </c>
      <c r="H33">
        <v>327634</v>
      </c>
      <c r="I33">
        <v>23553</v>
      </c>
      <c r="J33">
        <v>3422</v>
      </c>
      <c r="K33">
        <v>1332</v>
      </c>
      <c r="L33">
        <v>222</v>
      </c>
      <c r="M33" s="2">
        <v>7.19</v>
      </c>
      <c r="N33">
        <v>59.11</v>
      </c>
      <c r="O33">
        <v>6270.77</v>
      </c>
      <c r="P33" t="s">
        <v>47</v>
      </c>
      <c r="Q33" t="s">
        <v>79</v>
      </c>
    </row>
    <row r="34" spans="1:17" x14ac:dyDescent="0.35">
      <c r="A34" t="s">
        <v>1662</v>
      </c>
      <c r="B34" t="s">
        <v>1663</v>
      </c>
      <c r="C34" t="s">
        <v>1605</v>
      </c>
      <c r="D34" t="s">
        <v>1630</v>
      </c>
      <c r="E34" s="1">
        <v>45193</v>
      </c>
      <c r="F34" s="1">
        <v>45220</v>
      </c>
      <c r="G34">
        <v>527447</v>
      </c>
      <c r="H34">
        <v>280933</v>
      </c>
      <c r="I34">
        <v>6027</v>
      </c>
      <c r="J34">
        <v>1165</v>
      </c>
      <c r="K34">
        <v>553</v>
      </c>
      <c r="L34">
        <v>147</v>
      </c>
      <c r="M34" s="2">
        <v>2.15</v>
      </c>
      <c r="N34">
        <v>87.51</v>
      </c>
      <c r="O34">
        <v>3588.07</v>
      </c>
      <c r="P34" t="s">
        <v>1597</v>
      </c>
      <c r="Q34" t="s">
        <v>59</v>
      </c>
    </row>
    <row r="35" spans="1:17" x14ac:dyDescent="0.35">
      <c r="A35" t="s">
        <v>1664</v>
      </c>
      <c r="B35" t="s">
        <v>1665</v>
      </c>
      <c r="C35" t="s">
        <v>1605</v>
      </c>
      <c r="D35" t="s">
        <v>1630</v>
      </c>
      <c r="E35" s="1">
        <v>45324</v>
      </c>
      <c r="F35" s="1">
        <v>45387</v>
      </c>
      <c r="G35">
        <v>222732</v>
      </c>
      <c r="H35">
        <v>463669</v>
      </c>
      <c r="I35">
        <v>27503</v>
      </c>
      <c r="J35">
        <v>5863</v>
      </c>
      <c r="K35">
        <v>953</v>
      </c>
      <c r="L35">
        <v>228</v>
      </c>
      <c r="M35" s="2">
        <v>5.93</v>
      </c>
      <c r="N35">
        <v>8.1</v>
      </c>
      <c r="O35">
        <v>976.89</v>
      </c>
      <c r="P35" t="s">
        <v>15</v>
      </c>
      <c r="Q35" t="s">
        <v>79</v>
      </c>
    </row>
    <row r="36" spans="1:17" x14ac:dyDescent="0.35">
      <c r="A36" t="s">
        <v>1666</v>
      </c>
      <c r="B36" t="s">
        <v>1667</v>
      </c>
      <c r="C36" t="s">
        <v>1605</v>
      </c>
      <c r="D36" t="s">
        <v>1592</v>
      </c>
      <c r="E36" s="1">
        <v>44975</v>
      </c>
      <c r="F36" s="1">
        <v>45065</v>
      </c>
      <c r="G36">
        <v>273094</v>
      </c>
      <c r="H36">
        <v>235281</v>
      </c>
      <c r="I36">
        <v>8812</v>
      </c>
      <c r="J36">
        <v>1911</v>
      </c>
      <c r="K36">
        <v>683</v>
      </c>
      <c r="L36">
        <v>134</v>
      </c>
      <c r="M36" s="2">
        <v>3.75</v>
      </c>
      <c r="N36">
        <v>30.99</v>
      </c>
      <c r="O36">
        <v>2038.01</v>
      </c>
      <c r="P36" t="s">
        <v>21</v>
      </c>
      <c r="Q36" t="s">
        <v>79</v>
      </c>
    </row>
    <row r="37" spans="1:17" x14ac:dyDescent="0.35">
      <c r="A37" t="s">
        <v>1668</v>
      </c>
      <c r="B37" t="s">
        <v>1669</v>
      </c>
      <c r="C37" t="s">
        <v>1591</v>
      </c>
      <c r="D37" t="s">
        <v>1630</v>
      </c>
      <c r="E37" s="1">
        <v>45379</v>
      </c>
      <c r="F37" s="1">
        <v>45448</v>
      </c>
      <c r="G37">
        <v>1009931</v>
      </c>
      <c r="H37">
        <v>236770</v>
      </c>
      <c r="I37">
        <v>9413</v>
      </c>
      <c r="J37">
        <v>2259</v>
      </c>
      <c r="K37">
        <v>934</v>
      </c>
      <c r="L37">
        <v>287</v>
      </c>
      <c r="M37" s="2">
        <v>3.98</v>
      </c>
      <c r="N37">
        <v>107.29</v>
      </c>
      <c r="O37">
        <v>3518.92</v>
      </c>
      <c r="P37" t="s">
        <v>47</v>
      </c>
      <c r="Q37" t="s">
        <v>20</v>
      </c>
    </row>
    <row r="38" spans="1:17" x14ac:dyDescent="0.35">
      <c r="A38" t="s">
        <v>1670</v>
      </c>
      <c r="B38" t="s">
        <v>1671</v>
      </c>
      <c r="C38" t="s">
        <v>1591</v>
      </c>
      <c r="D38" t="s">
        <v>1592</v>
      </c>
      <c r="E38" s="1">
        <v>45227</v>
      </c>
      <c r="F38" s="1">
        <v>45259</v>
      </c>
      <c r="G38">
        <v>584326</v>
      </c>
      <c r="H38">
        <v>42908</v>
      </c>
      <c r="I38">
        <v>1663</v>
      </c>
      <c r="J38">
        <v>270</v>
      </c>
      <c r="K38">
        <v>88</v>
      </c>
      <c r="L38">
        <v>16</v>
      </c>
      <c r="M38" s="2">
        <v>3.88</v>
      </c>
      <c r="N38">
        <v>351.37</v>
      </c>
      <c r="O38">
        <v>36520.379999999997</v>
      </c>
      <c r="P38" t="s">
        <v>47</v>
      </c>
      <c r="Q38" t="s">
        <v>36</v>
      </c>
    </row>
    <row r="39" spans="1:17" x14ac:dyDescent="0.35">
      <c r="A39" t="s">
        <v>1672</v>
      </c>
      <c r="B39" t="s">
        <v>1673</v>
      </c>
      <c r="C39" t="s">
        <v>1605</v>
      </c>
      <c r="D39" t="s">
        <v>1592</v>
      </c>
      <c r="E39" s="1">
        <v>45634</v>
      </c>
      <c r="F39" s="1">
        <v>45675</v>
      </c>
      <c r="G39">
        <v>1047835</v>
      </c>
      <c r="H39">
        <v>496775</v>
      </c>
      <c r="I39">
        <v>27684</v>
      </c>
      <c r="J39">
        <v>6540</v>
      </c>
      <c r="K39">
        <v>2450</v>
      </c>
      <c r="L39">
        <v>458</v>
      </c>
      <c r="M39" s="2">
        <v>5.57</v>
      </c>
      <c r="N39">
        <v>37.85</v>
      </c>
      <c r="O39">
        <v>2287.85</v>
      </c>
      <c r="P39" t="s">
        <v>30</v>
      </c>
      <c r="Q39" t="s">
        <v>59</v>
      </c>
    </row>
    <row r="40" spans="1:17" x14ac:dyDescent="0.35">
      <c r="A40" t="s">
        <v>1674</v>
      </c>
      <c r="B40" t="s">
        <v>1675</v>
      </c>
      <c r="C40" t="s">
        <v>1587</v>
      </c>
      <c r="D40" t="s">
        <v>1588</v>
      </c>
      <c r="E40" s="1">
        <v>45572</v>
      </c>
      <c r="F40" s="1">
        <v>45647</v>
      </c>
      <c r="G40">
        <v>90065</v>
      </c>
      <c r="H40">
        <v>309321</v>
      </c>
      <c r="I40">
        <f>ROUND(Table14[[#This Row],[Impressions]]*(Table14[[#This Row],[CTR_Percent]]/100),0)</f>
        <v>4640</v>
      </c>
      <c r="J40">
        <v>470</v>
      </c>
      <c r="K40">
        <v>199</v>
      </c>
      <c r="L40">
        <v>76</v>
      </c>
      <c r="M40" s="2">
        <v>1.5</v>
      </c>
      <c r="N40">
        <v>19.350000000000001</v>
      </c>
      <c r="O40">
        <v>1185.07</v>
      </c>
      <c r="P40" t="s">
        <v>21</v>
      </c>
      <c r="Q40" t="s">
        <v>79</v>
      </c>
    </row>
    <row r="41" spans="1:17" x14ac:dyDescent="0.35">
      <c r="A41" t="s">
        <v>1676</v>
      </c>
      <c r="B41" t="s">
        <v>1677</v>
      </c>
      <c r="C41" t="s">
        <v>1678</v>
      </c>
      <c r="D41" t="s">
        <v>1596</v>
      </c>
      <c r="E41" s="1">
        <v>45173</v>
      </c>
      <c r="F41" s="1">
        <v>45213</v>
      </c>
      <c r="G41">
        <v>810049</v>
      </c>
      <c r="H41">
        <v>24326</v>
      </c>
      <c r="I41">
        <v>433</v>
      </c>
      <c r="J41">
        <v>56</v>
      </c>
      <c r="K41">
        <v>12</v>
      </c>
      <c r="L41">
        <v>1</v>
      </c>
      <c r="M41" s="2">
        <v>1.78</v>
      </c>
      <c r="N41">
        <v>1870.78</v>
      </c>
      <c r="O41">
        <v>810049</v>
      </c>
      <c r="P41" t="s">
        <v>79</v>
      </c>
      <c r="Q41" t="s">
        <v>20</v>
      </c>
    </row>
    <row r="42" spans="1:17" x14ac:dyDescent="0.35">
      <c r="A42" t="s">
        <v>1679</v>
      </c>
      <c r="B42" t="s">
        <v>1680</v>
      </c>
      <c r="C42" t="s">
        <v>1625</v>
      </c>
      <c r="D42" t="s">
        <v>1596</v>
      </c>
      <c r="E42" s="1">
        <v>45160</v>
      </c>
      <c r="F42" s="1">
        <v>45195</v>
      </c>
      <c r="G42">
        <v>120003</v>
      </c>
      <c r="H42">
        <v>302403</v>
      </c>
      <c r="I42">
        <f>ROUND(Table14[[#This Row],[Impressions]]*(Table14[[#This Row],[CTR_Percent]]/100),0)</f>
        <v>13275</v>
      </c>
      <c r="J42">
        <v>1325</v>
      </c>
      <c r="K42">
        <v>547</v>
      </c>
      <c r="L42">
        <v>200</v>
      </c>
      <c r="M42" s="2">
        <v>4.3899999999999997</v>
      </c>
      <c r="N42">
        <v>9.0399999999999991</v>
      </c>
      <c r="O42">
        <v>600.01</v>
      </c>
      <c r="P42" t="s">
        <v>30</v>
      </c>
      <c r="Q42" t="s">
        <v>20</v>
      </c>
    </row>
    <row r="43" spans="1:17" x14ac:dyDescent="0.35">
      <c r="A43" t="s">
        <v>1681</v>
      </c>
      <c r="B43" t="s">
        <v>1682</v>
      </c>
      <c r="C43" t="s">
        <v>1591</v>
      </c>
      <c r="D43" t="s">
        <v>1596</v>
      </c>
      <c r="E43" s="1">
        <v>45592</v>
      </c>
      <c r="F43" s="1">
        <v>45677</v>
      </c>
      <c r="G43">
        <v>1094418</v>
      </c>
      <c r="H43">
        <v>487816</v>
      </c>
      <c r="I43">
        <v>8187</v>
      </c>
      <c r="J43">
        <v>1785</v>
      </c>
      <c r="K43">
        <v>839</v>
      </c>
      <c r="L43">
        <v>243</v>
      </c>
      <c r="M43" s="2">
        <v>1.68</v>
      </c>
      <c r="N43">
        <v>133.68</v>
      </c>
      <c r="O43">
        <v>4503.78</v>
      </c>
      <c r="P43" t="s">
        <v>21</v>
      </c>
      <c r="Q43" t="s">
        <v>28</v>
      </c>
    </row>
    <row r="44" spans="1:17" x14ac:dyDescent="0.35">
      <c r="A44" t="s">
        <v>1683</v>
      </c>
      <c r="B44" t="s">
        <v>1684</v>
      </c>
      <c r="C44" t="s">
        <v>1605</v>
      </c>
      <c r="D44" t="s">
        <v>1630</v>
      </c>
      <c r="E44" s="1">
        <v>45585</v>
      </c>
      <c r="F44" s="1">
        <v>45641</v>
      </c>
      <c r="G44">
        <v>519512</v>
      </c>
      <c r="H44">
        <v>111222</v>
      </c>
      <c r="I44">
        <v>8595</v>
      </c>
      <c r="J44">
        <v>551</v>
      </c>
      <c r="K44">
        <v>207</v>
      </c>
      <c r="L44">
        <v>56</v>
      </c>
      <c r="M44" s="2">
        <v>7.73</v>
      </c>
      <c r="N44">
        <v>60.44</v>
      </c>
      <c r="O44">
        <v>9277</v>
      </c>
      <c r="P44" t="s">
        <v>15</v>
      </c>
      <c r="Q44" t="s">
        <v>1612</v>
      </c>
    </row>
    <row r="45" spans="1:17" x14ac:dyDescent="0.35">
      <c r="A45" t="s">
        <v>1685</v>
      </c>
      <c r="B45" t="s">
        <v>1686</v>
      </c>
      <c r="C45" t="s">
        <v>1605</v>
      </c>
      <c r="D45" t="s">
        <v>1596</v>
      </c>
      <c r="E45" s="1">
        <v>45260</v>
      </c>
      <c r="F45" s="1">
        <v>45303</v>
      </c>
      <c r="G45">
        <v>1125285</v>
      </c>
      <c r="H45">
        <v>480535</v>
      </c>
      <c r="I45">
        <v>26731</v>
      </c>
      <c r="J45">
        <v>6012</v>
      </c>
      <c r="K45">
        <v>2554</v>
      </c>
      <c r="L45">
        <v>403</v>
      </c>
      <c r="M45" s="2">
        <v>5.56</v>
      </c>
      <c r="N45">
        <v>42.1</v>
      </c>
      <c r="O45">
        <v>2792.27</v>
      </c>
      <c r="P45" t="s">
        <v>1597</v>
      </c>
      <c r="Q45" t="s">
        <v>40</v>
      </c>
    </row>
    <row r="46" spans="1:17" x14ac:dyDescent="0.35">
      <c r="A46" t="s">
        <v>1687</v>
      </c>
      <c r="B46" t="s">
        <v>1657</v>
      </c>
      <c r="C46" t="s">
        <v>1595</v>
      </c>
      <c r="D46" t="s">
        <v>1630</v>
      </c>
      <c r="E46" s="1">
        <v>45572</v>
      </c>
      <c r="F46" s="1">
        <v>45592</v>
      </c>
      <c r="G46">
        <v>348839</v>
      </c>
      <c r="H46">
        <v>69013</v>
      </c>
      <c r="I46">
        <v>4567</v>
      </c>
      <c r="J46">
        <v>960</v>
      </c>
      <c r="K46">
        <v>408</v>
      </c>
      <c r="L46">
        <v>61</v>
      </c>
      <c r="M46" s="2">
        <v>6.62</v>
      </c>
      <c r="N46">
        <v>76.38</v>
      </c>
      <c r="O46">
        <v>5718.67</v>
      </c>
      <c r="P46" t="s">
        <v>1597</v>
      </c>
      <c r="Q46" t="s">
        <v>1612</v>
      </c>
    </row>
    <row r="47" spans="1:17" x14ac:dyDescent="0.35">
      <c r="A47" t="s">
        <v>1688</v>
      </c>
      <c r="B47" t="s">
        <v>1689</v>
      </c>
      <c r="C47" t="s">
        <v>1587</v>
      </c>
      <c r="D47" t="s">
        <v>1592</v>
      </c>
      <c r="E47" s="1">
        <v>45397</v>
      </c>
      <c r="F47" s="1">
        <v>45434</v>
      </c>
      <c r="G47">
        <v>729171</v>
      </c>
      <c r="H47">
        <v>43782</v>
      </c>
      <c r="I47">
        <v>1128</v>
      </c>
      <c r="J47">
        <v>252</v>
      </c>
      <c r="K47">
        <v>52</v>
      </c>
      <c r="L47">
        <v>8</v>
      </c>
      <c r="M47" s="2">
        <v>2.58</v>
      </c>
      <c r="N47">
        <v>646.42999999999995</v>
      </c>
      <c r="O47">
        <v>91146.38</v>
      </c>
      <c r="P47" t="s">
        <v>47</v>
      </c>
      <c r="Q47" t="s">
        <v>1612</v>
      </c>
    </row>
    <row r="48" spans="1:17" x14ac:dyDescent="0.35">
      <c r="A48" t="s">
        <v>1690</v>
      </c>
      <c r="B48" t="s">
        <v>1691</v>
      </c>
      <c r="C48" t="s">
        <v>1587</v>
      </c>
      <c r="D48" t="s">
        <v>1592</v>
      </c>
      <c r="E48" s="1">
        <v>45255</v>
      </c>
      <c r="F48" s="1">
        <v>45275</v>
      </c>
      <c r="G48">
        <v>298026</v>
      </c>
      <c r="H48">
        <v>479249</v>
      </c>
      <c r="I48">
        <f>ROUND(Table14[[#This Row],[Impressions]]*(Table14[[#This Row],[CTR_Percent]]/100),0)</f>
        <v>25688</v>
      </c>
      <c r="J48">
        <v>6052</v>
      </c>
      <c r="K48">
        <v>1602</v>
      </c>
      <c r="L48">
        <v>396</v>
      </c>
      <c r="M48" s="2">
        <v>5.36</v>
      </c>
      <c r="N48">
        <v>11.6</v>
      </c>
      <c r="O48">
        <v>752.59</v>
      </c>
      <c r="P48" t="s">
        <v>21</v>
      </c>
      <c r="Q48" t="s">
        <v>25</v>
      </c>
    </row>
    <row r="49" spans="1:17" x14ac:dyDescent="0.35">
      <c r="A49" t="s">
        <v>1692</v>
      </c>
      <c r="B49" t="s">
        <v>1693</v>
      </c>
      <c r="C49" t="s">
        <v>1587</v>
      </c>
      <c r="D49" t="s">
        <v>1630</v>
      </c>
      <c r="E49" s="1">
        <v>45515</v>
      </c>
      <c r="F49" s="1">
        <v>45563</v>
      </c>
      <c r="G49">
        <v>879818</v>
      </c>
      <c r="H49">
        <v>98631</v>
      </c>
      <c r="I49">
        <v>3100</v>
      </c>
      <c r="J49">
        <v>382</v>
      </c>
      <c r="K49">
        <v>98</v>
      </c>
      <c r="L49">
        <v>22</v>
      </c>
      <c r="M49" s="2">
        <v>3.14</v>
      </c>
      <c r="N49">
        <v>283.81</v>
      </c>
      <c r="O49">
        <v>39991.730000000003</v>
      </c>
      <c r="P49" t="s">
        <v>30</v>
      </c>
      <c r="Q49" t="s">
        <v>79</v>
      </c>
    </row>
    <row r="50" spans="1:17" x14ac:dyDescent="0.35">
      <c r="A50" t="s">
        <v>1694</v>
      </c>
      <c r="B50" t="s">
        <v>1695</v>
      </c>
      <c r="C50" t="s">
        <v>1600</v>
      </c>
      <c r="D50" t="s">
        <v>1592</v>
      </c>
      <c r="E50" s="1">
        <v>45507</v>
      </c>
      <c r="F50" s="1">
        <v>45540</v>
      </c>
      <c r="G50">
        <v>1464288</v>
      </c>
      <c r="H50">
        <v>203793</v>
      </c>
      <c r="I50">
        <v>4579</v>
      </c>
      <c r="J50">
        <v>415</v>
      </c>
      <c r="K50">
        <v>69</v>
      </c>
      <c r="L50">
        <v>27</v>
      </c>
      <c r="M50" s="2">
        <v>2.25</v>
      </c>
      <c r="N50">
        <v>319.77999999999997</v>
      </c>
      <c r="O50">
        <v>54232.89</v>
      </c>
      <c r="P50" t="s">
        <v>21</v>
      </c>
      <c r="Q50" t="s">
        <v>36</v>
      </c>
    </row>
    <row r="51" spans="1:17" x14ac:dyDescent="0.35">
      <c r="A51" t="s">
        <v>1696</v>
      </c>
      <c r="B51" t="s">
        <v>1697</v>
      </c>
      <c r="C51" t="s">
        <v>1678</v>
      </c>
      <c r="D51" t="s">
        <v>1588</v>
      </c>
      <c r="E51" s="1">
        <v>45516</v>
      </c>
      <c r="F51" s="1">
        <v>45585</v>
      </c>
      <c r="G51">
        <v>733453</v>
      </c>
      <c r="H51">
        <v>239205</v>
      </c>
      <c r="I51">
        <v>5167</v>
      </c>
      <c r="J51">
        <v>265</v>
      </c>
      <c r="K51">
        <v>58</v>
      </c>
      <c r="L51">
        <v>9</v>
      </c>
      <c r="M51" s="2">
        <v>2.16</v>
      </c>
      <c r="N51">
        <v>141.94999999999999</v>
      </c>
      <c r="O51">
        <v>81494.78</v>
      </c>
      <c r="P51" t="s">
        <v>79</v>
      </c>
      <c r="Q51" t="s">
        <v>73</v>
      </c>
    </row>
    <row r="52" spans="1:17" x14ac:dyDescent="0.35">
      <c r="A52" t="s">
        <v>1698</v>
      </c>
      <c r="B52" t="s">
        <v>1699</v>
      </c>
      <c r="C52" t="s">
        <v>1587</v>
      </c>
      <c r="D52" t="s">
        <v>1630</v>
      </c>
      <c r="E52" s="1">
        <v>45565</v>
      </c>
      <c r="F52" s="1">
        <v>45640</v>
      </c>
      <c r="G52">
        <v>1066127</v>
      </c>
      <c r="H52">
        <v>383129</v>
      </c>
      <c r="I52">
        <v>22179</v>
      </c>
      <c r="J52">
        <v>5433</v>
      </c>
      <c r="K52">
        <v>1427</v>
      </c>
      <c r="L52">
        <v>349</v>
      </c>
      <c r="M52" s="2">
        <v>5.79</v>
      </c>
      <c r="N52">
        <v>48.07</v>
      </c>
      <c r="O52">
        <v>3054.81</v>
      </c>
      <c r="P52" t="s">
        <v>21</v>
      </c>
      <c r="Q52" t="s">
        <v>28</v>
      </c>
    </row>
    <row r="53" spans="1:17" x14ac:dyDescent="0.35">
      <c r="A53" t="s">
        <v>1700</v>
      </c>
      <c r="B53" t="s">
        <v>1701</v>
      </c>
      <c r="C53" t="s">
        <v>1625</v>
      </c>
      <c r="D53" t="s">
        <v>1616</v>
      </c>
      <c r="E53" s="1">
        <v>45524</v>
      </c>
      <c r="F53" s="1">
        <v>45608</v>
      </c>
      <c r="G53">
        <v>207823</v>
      </c>
      <c r="H53">
        <v>428431</v>
      </c>
      <c r="I53">
        <v>9557</v>
      </c>
      <c r="J53">
        <v>764</v>
      </c>
      <c r="K53">
        <v>323</v>
      </c>
      <c r="L53">
        <v>53</v>
      </c>
      <c r="M53" s="2">
        <v>2.23</v>
      </c>
      <c r="N53">
        <v>21.75</v>
      </c>
      <c r="O53">
        <v>3921.19</v>
      </c>
      <c r="P53" t="s">
        <v>1597</v>
      </c>
      <c r="Q53" t="s">
        <v>40</v>
      </c>
    </row>
    <row r="54" spans="1:17" x14ac:dyDescent="0.35">
      <c r="A54" t="s">
        <v>1702</v>
      </c>
      <c r="B54" t="s">
        <v>1703</v>
      </c>
      <c r="C54" t="s">
        <v>1605</v>
      </c>
      <c r="D54" t="s">
        <v>1616</v>
      </c>
      <c r="E54" s="1">
        <v>44997</v>
      </c>
      <c r="F54" s="1">
        <v>45066</v>
      </c>
      <c r="G54">
        <v>245661</v>
      </c>
      <c r="H54">
        <v>64710</v>
      </c>
      <c r="I54">
        <v>5127</v>
      </c>
      <c r="J54">
        <v>861</v>
      </c>
      <c r="K54">
        <v>230</v>
      </c>
      <c r="L54">
        <v>38</v>
      </c>
      <c r="M54" s="2">
        <v>7.92</v>
      </c>
      <c r="N54">
        <v>47.92</v>
      </c>
      <c r="O54">
        <v>6464.76</v>
      </c>
      <c r="P54" t="s">
        <v>1597</v>
      </c>
      <c r="Q54" t="s">
        <v>59</v>
      </c>
    </row>
    <row r="55" spans="1:17" x14ac:dyDescent="0.35">
      <c r="A55" t="s">
        <v>1704</v>
      </c>
      <c r="B55" t="s">
        <v>1705</v>
      </c>
      <c r="C55" t="s">
        <v>1625</v>
      </c>
      <c r="D55" t="s">
        <v>1592</v>
      </c>
      <c r="E55" s="1">
        <v>45388</v>
      </c>
      <c r="F55" s="1">
        <v>45422</v>
      </c>
      <c r="G55">
        <v>121735</v>
      </c>
      <c r="H55">
        <v>335791</v>
      </c>
      <c r="I55">
        <v>11480</v>
      </c>
      <c r="J55">
        <v>1833</v>
      </c>
      <c r="K55">
        <v>699</v>
      </c>
      <c r="L55">
        <v>196</v>
      </c>
      <c r="M55" s="2">
        <v>3.42</v>
      </c>
      <c r="N55">
        <v>10.6</v>
      </c>
      <c r="O55">
        <v>621.1</v>
      </c>
      <c r="P55" t="s">
        <v>15</v>
      </c>
      <c r="Q55" t="s">
        <v>79</v>
      </c>
    </row>
    <row r="56" spans="1:17" x14ac:dyDescent="0.35">
      <c r="A56" t="s">
        <v>1706</v>
      </c>
      <c r="B56" t="s">
        <v>1707</v>
      </c>
      <c r="C56" t="s">
        <v>1600</v>
      </c>
      <c r="D56" t="s">
        <v>1616</v>
      </c>
      <c r="E56" s="1">
        <v>45298</v>
      </c>
      <c r="F56" s="1">
        <v>45369</v>
      </c>
      <c r="G56">
        <v>1242650</v>
      </c>
      <c r="H56">
        <v>90536</v>
      </c>
      <c r="I56">
        <v>4247</v>
      </c>
      <c r="J56">
        <v>551</v>
      </c>
      <c r="K56">
        <v>110</v>
      </c>
      <c r="L56">
        <v>30</v>
      </c>
      <c r="M56" s="2">
        <v>4.6900000000000004</v>
      </c>
      <c r="N56">
        <v>292.58999999999997</v>
      </c>
      <c r="O56">
        <v>41421.67</v>
      </c>
      <c r="P56" t="s">
        <v>47</v>
      </c>
      <c r="Q56" t="s">
        <v>40</v>
      </c>
    </row>
    <row r="57" spans="1:17" x14ac:dyDescent="0.35">
      <c r="A57" t="s">
        <v>1708</v>
      </c>
      <c r="B57" t="s">
        <v>1709</v>
      </c>
      <c r="C57" t="s">
        <v>1600</v>
      </c>
      <c r="D57" t="s">
        <v>1592</v>
      </c>
      <c r="E57" s="1">
        <v>45701</v>
      </c>
      <c r="F57" s="1">
        <v>45715</v>
      </c>
      <c r="G57">
        <v>630183</v>
      </c>
      <c r="H57">
        <v>235755</v>
      </c>
      <c r="I57">
        <v>3380</v>
      </c>
      <c r="J57">
        <v>643</v>
      </c>
      <c r="K57">
        <v>166</v>
      </c>
      <c r="L57">
        <v>48</v>
      </c>
      <c r="M57" s="2">
        <v>1.43</v>
      </c>
      <c r="N57">
        <v>186.44</v>
      </c>
      <c r="O57">
        <v>13128.81</v>
      </c>
      <c r="P57" t="s">
        <v>79</v>
      </c>
      <c r="Q57" t="s">
        <v>25</v>
      </c>
    </row>
    <row r="58" spans="1:17" x14ac:dyDescent="0.35">
      <c r="A58" t="s">
        <v>1710</v>
      </c>
      <c r="B58" t="s">
        <v>1711</v>
      </c>
      <c r="C58" t="s">
        <v>1678</v>
      </c>
      <c r="D58" t="s">
        <v>1592</v>
      </c>
      <c r="E58" s="1">
        <v>45382</v>
      </c>
      <c r="F58" s="1">
        <v>45416</v>
      </c>
      <c r="G58">
        <v>772415</v>
      </c>
      <c r="H58">
        <v>175011</v>
      </c>
      <c r="I58">
        <v>4490</v>
      </c>
      <c r="J58">
        <v>236</v>
      </c>
      <c r="K58">
        <v>92</v>
      </c>
      <c r="L58">
        <v>35</v>
      </c>
      <c r="M58" s="2">
        <v>2.57</v>
      </c>
      <c r="N58">
        <v>172.03</v>
      </c>
      <c r="O58">
        <v>22069</v>
      </c>
      <c r="P58" t="s">
        <v>21</v>
      </c>
      <c r="Q58" t="s">
        <v>40</v>
      </c>
    </row>
    <row r="59" spans="1:17" x14ac:dyDescent="0.35">
      <c r="A59" t="s">
        <v>1712</v>
      </c>
      <c r="B59" t="s">
        <v>1638</v>
      </c>
      <c r="C59" t="s">
        <v>1587</v>
      </c>
      <c r="D59" t="s">
        <v>1596</v>
      </c>
      <c r="E59" s="1">
        <v>45307</v>
      </c>
      <c r="F59" s="1">
        <v>45364</v>
      </c>
      <c r="G59">
        <v>1348252</v>
      </c>
      <c r="H59">
        <v>194414</v>
      </c>
      <c r="I59">
        <v>13988</v>
      </c>
      <c r="J59">
        <v>2441</v>
      </c>
      <c r="K59">
        <v>637</v>
      </c>
      <c r="L59">
        <v>138</v>
      </c>
      <c r="M59" s="2">
        <v>7.19</v>
      </c>
      <c r="N59">
        <v>96.39</v>
      </c>
      <c r="O59">
        <v>9769.94</v>
      </c>
      <c r="P59" t="s">
        <v>30</v>
      </c>
      <c r="Q59" t="s">
        <v>36</v>
      </c>
    </row>
    <row r="60" spans="1:17" x14ac:dyDescent="0.35">
      <c r="A60" t="s">
        <v>1713</v>
      </c>
      <c r="B60" t="s">
        <v>1714</v>
      </c>
      <c r="C60" t="s">
        <v>1615</v>
      </c>
      <c r="D60" t="s">
        <v>1596</v>
      </c>
      <c r="E60" s="1">
        <v>45693</v>
      </c>
      <c r="F60" s="1">
        <v>45758</v>
      </c>
      <c r="G60">
        <v>1085332</v>
      </c>
      <c r="H60">
        <v>424698</v>
      </c>
      <c r="I60">
        <v>22951</v>
      </c>
      <c r="J60">
        <v>3580</v>
      </c>
      <c r="K60">
        <v>612</v>
      </c>
      <c r="L60">
        <v>124</v>
      </c>
      <c r="M60" s="2">
        <v>5.4</v>
      </c>
      <c r="N60">
        <v>47.29</v>
      </c>
      <c r="O60">
        <v>8752.68</v>
      </c>
      <c r="P60" t="s">
        <v>47</v>
      </c>
      <c r="Q60" t="s">
        <v>13</v>
      </c>
    </row>
    <row r="61" spans="1:17" x14ac:dyDescent="0.35">
      <c r="A61" t="s">
        <v>1715</v>
      </c>
      <c r="B61" t="s">
        <v>1716</v>
      </c>
      <c r="C61" t="s">
        <v>1615</v>
      </c>
      <c r="D61" t="s">
        <v>1616</v>
      </c>
      <c r="E61" s="1">
        <v>45103</v>
      </c>
      <c r="F61" s="1">
        <v>45193</v>
      </c>
      <c r="G61">
        <v>648675</v>
      </c>
      <c r="H61">
        <v>113046</v>
      </c>
      <c r="I61">
        <v>6606</v>
      </c>
      <c r="J61">
        <v>391</v>
      </c>
      <c r="K61">
        <v>190</v>
      </c>
      <c r="L61">
        <v>53</v>
      </c>
      <c r="M61" s="2">
        <v>5.84</v>
      </c>
      <c r="N61">
        <v>98.19</v>
      </c>
      <c r="O61">
        <v>12239.15</v>
      </c>
      <c r="P61" t="s">
        <v>30</v>
      </c>
      <c r="Q61" t="s">
        <v>36</v>
      </c>
    </row>
    <row r="62" spans="1:17" x14ac:dyDescent="0.35">
      <c r="A62" t="s">
        <v>1717</v>
      </c>
      <c r="B62" t="s">
        <v>1718</v>
      </c>
      <c r="C62" t="s">
        <v>1595</v>
      </c>
      <c r="D62" t="s">
        <v>1630</v>
      </c>
      <c r="E62" s="1">
        <v>45504</v>
      </c>
      <c r="F62" s="1">
        <v>45526</v>
      </c>
      <c r="G62">
        <v>1279809</v>
      </c>
      <c r="H62">
        <v>68561</v>
      </c>
      <c r="I62">
        <v>2555</v>
      </c>
      <c r="J62">
        <v>610</v>
      </c>
      <c r="K62">
        <v>182</v>
      </c>
      <c r="L62">
        <v>36</v>
      </c>
      <c r="M62" s="2">
        <v>3.73</v>
      </c>
      <c r="N62">
        <v>500.9</v>
      </c>
      <c r="O62">
        <v>35550.25</v>
      </c>
      <c r="P62" t="s">
        <v>30</v>
      </c>
      <c r="Q62" t="s">
        <v>40</v>
      </c>
    </row>
    <row r="63" spans="1:17" x14ac:dyDescent="0.35">
      <c r="A63" t="s">
        <v>1719</v>
      </c>
      <c r="B63" t="s">
        <v>1720</v>
      </c>
      <c r="C63" t="s">
        <v>1615</v>
      </c>
      <c r="D63" t="s">
        <v>1596</v>
      </c>
      <c r="E63" s="1">
        <v>45435</v>
      </c>
      <c r="F63" s="1">
        <v>45512</v>
      </c>
      <c r="G63">
        <v>445583</v>
      </c>
      <c r="H63">
        <v>85483</v>
      </c>
      <c r="I63">
        <v>2060</v>
      </c>
      <c r="J63">
        <v>371</v>
      </c>
      <c r="K63">
        <v>85</v>
      </c>
      <c r="L63">
        <v>20</v>
      </c>
      <c r="M63" s="2">
        <v>2.41</v>
      </c>
      <c r="N63">
        <v>216.3</v>
      </c>
      <c r="O63">
        <v>22279.15</v>
      </c>
      <c r="P63" t="s">
        <v>21</v>
      </c>
      <c r="Q63" t="s">
        <v>13</v>
      </c>
    </row>
    <row r="64" spans="1:17" x14ac:dyDescent="0.35">
      <c r="A64" t="s">
        <v>1721</v>
      </c>
      <c r="B64" t="s">
        <v>1722</v>
      </c>
      <c r="C64" t="s">
        <v>1600</v>
      </c>
      <c r="D64" t="s">
        <v>1588</v>
      </c>
      <c r="E64" s="1">
        <v>45297</v>
      </c>
      <c r="F64" s="1">
        <v>45312</v>
      </c>
      <c r="G64">
        <v>1107468</v>
      </c>
      <c r="H64">
        <v>407459</v>
      </c>
      <c r="I64">
        <v>10227</v>
      </c>
      <c r="J64">
        <v>1523</v>
      </c>
      <c r="K64">
        <v>291</v>
      </c>
      <c r="L64">
        <v>57</v>
      </c>
      <c r="M64" s="2">
        <v>2.5099999999999998</v>
      </c>
      <c r="N64">
        <v>108.29</v>
      </c>
      <c r="O64">
        <v>19429.259999999998</v>
      </c>
      <c r="P64" t="s">
        <v>15</v>
      </c>
      <c r="Q64" t="s">
        <v>151</v>
      </c>
    </row>
    <row r="65" spans="1:17" x14ac:dyDescent="0.35">
      <c r="A65" t="s">
        <v>1723</v>
      </c>
      <c r="B65" t="s">
        <v>1724</v>
      </c>
      <c r="C65" t="s">
        <v>1605</v>
      </c>
      <c r="D65" t="s">
        <v>1616</v>
      </c>
      <c r="E65" s="1">
        <v>45200</v>
      </c>
      <c r="F65" s="1">
        <v>45271</v>
      </c>
      <c r="G65">
        <v>371533</v>
      </c>
      <c r="H65">
        <v>214771</v>
      </c>
      <c r="I65">
        <v>8134</v>
      </c>
      <c r="J65">
        <v>487</v>
      </c>
      <c r="K65">
        <v>234</v>
      </c>
      <c r="L65">
        <v>75</v>
      </c>
      <c r="M65" s="2">
        <v>3.79</v>
      </c>
      <c r="N65">
        <v>45.68</v>
      </c>
      <c r="O65">
        <v>4953.7700000000004</v>
      </c>
      <c r="P65" t="s">
        <v>1597</v>
      </c>
      <c r="Q65" t="s">
        <v>151</v>
      </c>
    </row>
    <row r="66" spans="1:17" x14ac:dyDescent="0.35">
      <c r="A66" t="s">
        <v>1725</v>
      </c>
      <c r="B66" t="s">
        <v>1726</v>
      </c>
      <c r="C66" t="s">
        <v>1678</v>
      </c>
      <c r="D66" t="s">
        <v>1616</v>
      </c>
      <c r="E66" s="1">
        <v>45591</v>
      </c>
      <c r="F66" s="1">
        <v>45642</v>
      </c>
      <c r="G66">
        <v>550485</v>
      </c>
      <c r="H66">
        <v>179176</v>
      </c>
      <c r="I66">
        <v>13493</v>
      </c>
      <c r="J66">
        <v>2131</v>
      </c>
      <c r="K66">
        <v>903</v>
      </c>
      <c r="L66">
        <v>338</v>
      </c>
      <c r="M66" s="2">
        <v>7.53</v>
      </c>
      <c r="N66">
        <v>40.799999999999997</v>
      </c>
      <c r="O66">
        <v>1628.65</v>
      </c>
      <c r="P66" t="s">
        <v>21</v>
      </c>
      <c r="Q66" t="s">
        <v>54</v>
      </c>
    </row>
    <row r="67" spans="1:17" x14ac:dyDescent="0.35">
      <c r="A67" t="s">
        <v>1727</v>
      </c>
      <c r="B67" t="s">
        <v>1728</v>
      </c>
      <c r="C67" t="s">
        <v>1587</v>
      </c>
      <c r="D67" t="s">
        <v>1596</v>
      </c>
      <c r="E67" s="1">
        <v>45386</v>
      </c>
      <c r="F67" s="1">
        <v>45460</v>
      </c>
      <c r="G67">
        <v>336558</v>
      </c>
      <c r="H67">
        <v>368499</v>
      </c>
      <c r="I67">
        <v>24137</v>
      </c>
      <c r="J67">
        <v>6012</v>
      </c>
      <c r="K67">
        <v>2112</v>
      </c>
      <c r="L67">
        <v>726</v>
      </c>
      <c r="M67" s="2">
        <v>6.55</v>
      </c>
      <c r="N67">
        <v>13.94</v>
      </c>
      <c r="O67">
        <v>463.58</v>
      </c>
      <c r="P67" t="s">
        <v>30</v>
      </c>
      <c r="Q67" t="s">
        <v>28</v>
      </c>
    </row>
    <row r="68" spans="1:17" x14ac:dyDescent="0.35">
      <c r="A68" t="s">
        <v>1729</v>
      </c>
      <c r="B68" t="s">
        <v>1730</v>
      </c>
      <c r="C68" t="s">
        <v>1591</v>
      </c>
      <c r="D68" t="s">
        <v>1588</v>
      </c>
      <c r="E68" s="1">
        <v>45190</v>
      </c>
      <c r="F68" s="1">
        <v>45267</v>
      </c>
      <c r="G68">
        <v>1179052</v>
      </c>
      <c r="H68">
        <v>211090</v>
      </c>
      <c r="I68">
        <v>15695</v>
      </c>
      <c r="J68">
        <v>1046</v>
      </c>
      <c r="K68">
        <v>264</v>
      </c>
      <c r="L68">
        <v>61</v>
      </c>
      <c r="M68" s="2">
        <v>7.44</v>
      </c>
      <c r="N68">
        <v>75.12</v>
      </c>
      <c r="O68">
        <v>19328.72</v>
      </c>
      <c r="P68" t="s">
        <v>15</v>
      </c>
      <c r="Q68" t="s">
        <v>20</v>
      </c>
    </row>
    <row r="69" spans="1:17" x14ac:dyDescent="0.35">
      <c r="A69" t="s">
        <v>1731</v>
      </c>
      <c r="B69" t="s">
        <v>1732</v>
      </c>
      <c r="C69" t="s">
        <v>1600</v>
      </c>
      <c r="D69" t="s">
        <v>1588</v>
      </c>
      <c r="E69" s="1">
        <v>45074</v>
      </c>
      <c r="F69" s="1">
        <v>45138</v>
      </c>
      <c r="G69">
        <v>1220946</v>
      </c>
      <c r="H69">
        <v>386803</v>
      </c>
      <c r="I69">
        <v>16360</v>
      </c>
      <c r="J69">
        <v>3132</v>
      </c>
      <c r="K69">
        <v>1115</v>
      </c>
      <c r="L69">
        <v>191</v>
      </c>
      <c r="M69" s="2">
        <v>4.2300000000000004</v>
      </c>
      <c r="N69">
        <v>74.63</v>
      </c>
      <c r="O69">
        <v>6392.39</v>
      </c>
      <c r="P69" t="s">
        <v>1597</v>
      </c>
      <c r="Q69" t="s">
        <v>25</v>
      </c>
    </row>
    <row r="70" spans="1:17" x14ac:dyDescent="0.35">
      <c r="A70" t="s">
        <v>1733</v>
      </c>
      <c r="B70" t="s">
        <v>1734</v>
      </c>
      <c r="C70" t="s">
        <v>1615</v>
      </c>
      <c r="D70" t="s">
        <v>1630</v>
      </c>
      <c r="E70" s="1">
        <v>44996</v>
      </c>
      <c r="F70" s="1">
        <v>45052</v>
      </c>
      <c r="G70">
        <v>947204</v>
      </c>
      <c r="H70">
        <v>314337</v>
      </c>
      <c r="I70">
        <v>16427</v>
      </c>
      <c r="J70">
        <v>3574</v>
      </c>
      <c r="K70">
        <v>806</v>
      </c>
      <c r="L70">
        <v>267</v>
      </c>
      <c r="M70" s="2">
        <v>5.23</v>
      </c>
      <c r="N70">
        <v>57.66</v>
      </c>
      <c r="O70">
        <v>3547.58</v>
      </c>
      <c r="P70" t="s">
        <v>30</v>
      </c>
      <c r="Q70" t="s">
        <v>20</v>
      </c>
    </row>
    <row r="71" spans="1:17" x14ac:dyDescent="0.35">
      <c r="A71" t="s">
        <v>1735</v>
      </c>
      <c r="B71" t="s">
        <v>1736</v>
      </c>
      <c r="C71" t="s">
        <v>1595</v>
      </c>
      <c r="D71" t="s">
        <v>1596</v>
      </c>
      <c r="E71" s="1">
        <v>45523</v>
      </c>
      <c r="F71" s="1">
        <v>45603</v>
      </c>
      <c r="G71">
        <v>842120</v>
      </c>
      <c r="H71">
        <v>17712</v>
      </c>
      <c r="I71">
        <v>556</v>
      </c>
      <c r="J71">
        <v>48</v>
      </c>
      <c r="K71">
        <v>15</v>
      </c>
      <c r="L71">
        <v>4</v>
      </c>
      <c r="M71" s="2">
        <v>3.14</v>
      </c>
      <c r="N71">
        <v>1514.6</v>
      </c>
      <c r="O71">
        <v>210530</v>
      </c>
      <c r="P71" t="s">
        <v>47</v>
      </c>
      <c r="Q71" t="s">
        <v>59</v>
      </c>
    </row>
    <row r="72" spans="1:17" x14ac:dyDescent="0.35">
      <c r="A72" t="s">
        <v>1737</v>
      </c>
      <c r="B72" t="s">
        <v>1738</v>
      </c>
      <c r="C72" t="s">
        <v>1605</v>
      </c>
      <c r="D72" t="s">
        <v>1596</v>
      </c>
      <c r="E72" s="1">
        <v>45568</v>
      </c>
      <c r="F72" s="1">
        <v>45623</v>
      </c>
      <c r="G72">
        <v>854151</v>
      </c>
      <c r="H72">
        <v>91100</v>
      </c>
      <c r="I72">
        <v>6901</v>
      </c>
      <c r="J72">
        <v>556</v>
      </c>
      <c r="K72">
        <v>188</v>
      </c>
      <c r="L72">
        <v>68</v>
      </c>
      <c r="M72" s="2">
        <v>7.58</v>
      </c>
      <c r="N72">
        <v>123.77</v>
      </c>
      <c r="O72">
        <v>12561.04</v>
      </c>
      <c r="P72" t="s">
        <v>15</v>
      </c>
      <c r="Q72" t="s">
        <v>36</v>
      </c>
    </row>
    <row r="73" spans="1:17" x14ac:dyDescent="0.35">
      <c r="A73" t="s">
        <v>1739</v>
      </c>
      <c r="B73" t="s">
        <v>1634</v>
      </c>
      <c r="C73" t="s">
        <v>1587</v>
      </c>
      <c r="D73" t="s">
        <v>1630</v>
      </c>
      <c r="E73" s="1">
        <v>45137</v>
      </c>
      <c r="F73" s="1">
        <v>45213</v>
      </c>
      <c r="G73">
        <v>455866</v>
      </c>
      <c r="H73">
        <v>287828</v>
      </c>
      <c r="I73">
        <v>4044</v>
      </c>
      <c r="J73">
        <v>650</v>
      </c>
      <c r="K73">
        <v>217</v>
      </c>
      <c r="L73">
        <v>84</v>
      </c>
      <c r="M73" s="2">
        <v>1.41</v>
      </c>
      <c r="N73">
        <v>112.73</v>
      </c>
      <c r="O73">
        <v>5426.98</v>
      </c>
      <c r="P73" t="s">
        <v>15</v>
      </c>
      <c r="Q73" t="s">
        <v>28</v>
      </c>
    </row>
    <row r="74" spans="1:17" x14ac:dyDescent="0.35">
      <c r="A74" t="s">
        <v>1740</v>
      </c>
      <c r="B74" t="s">
        <v>1675</v>
      </c>
      <c r="C74" t="s">
        <v>1587</v>
      </c>
      <c r="D74" t="s">
        <v>1592</v>
      </c>
      <c r="E74" s="1">
        <v>45508</v>
      </c>
      <c r="F74" s="1">
        <v>45585</v>
      </c>
      <c r="G74">
        <v>1457533</v>
      </c>
      <c r="H74">
        <v>421919</v>
      </c>
      <c r="I74">
        <v>29701</v>
      </c>
      <c r="J74">
        <v>3588</v>
      </c>
      <c r="K74">
        <v>1153</v>
      </c>
      <c r="L74">
        <v>307</v>
      </c>
      <c r="M74" s="2">
        <v>7.04</v>
      </c>
      <c r="N74">
        <v>49.07</v>
      </c>
      <c r="O74">
        <v>4747.66</v>
      </c>
      <c r="P74" t="s">
        <v>30</v>
      </c>
      <c r="Q74" t="s">
        <v>25</v>
      </c>
    </row>
    <row r="75" spans="1:17" x14ac:dyDescent="0.35">
      <c r="A75" t="s">
        <v>1741</v>
      </c>
      <c r="B75" t="s">
        <v>1742</v>
      </c>
      <c r="C75" t="s">
        <v>1615</v>
      </c>
      <c r="D75" t="s">
        <v>1616</v>
      </c>
      <c r="E75" s="1">
        <v>45015</v>
      </c>
      <c r="F75" s="1">
        <v>45046</v>
      </c>
      <c r="G75">
        <v>1403041</v>
      </c>
      <c r="H75">
        <v>174069</v>
      </c>
      <c r="I75">
        <v>8262</v>
      </c>
      <c r="J75">
        <v>1758</v>
      </c>
      <c r="K75">
        <v>612</v>
      </c>
      <c r="L75">
        <v>225</v>
      </c>
      <c r="M75" s="2">
        <v>4.75</v>
      </c>
      <c r="N75">
        <v>169.82</v>
      </c>
      <c r="O75">
        <v>6235.74</v>
      </c>
      <c r="P75" t="s">
        <v>30</v>
      </c>
      <c r="Q75" t="s">
        <v>59</v>
      </c>
    </row>
    <row r="76" spans="1:17" x14ac:dyDescent="0.35">
      <c r="A76" t="s">
        <v>1743</v>
      </c>
      <c r="B76" t="s">
        <v>1744</v>
      </c>
      <c r="C76" t="s">
        <v>1600</v>
      </c>
      <c r="D76" t="s">
        <v>1588</v>
      </c>
      <c r="E76" s="1">
        <v>45559</v>
      </c>
      <c r="F76" s="1">
        <v>45594</v>
      </c>
      <c r="G76">
        <v>309824</v>
      </c>
      <c r="H76">
        <v>128065</v>
      </c>
      <c r="I76">
        <v>9795</v>
      </c>
      <c r="J76">
        <v>708</v>
      </c>
      <c r="K76">
        <v>308</v>
      </c>
      <c r="L76">
        <v>99</v>
      </c>
      <c r="M76" s="2">
        <v>7.65</v>
      </c>
      <c r="N76">
        <v>31.63</v>
      </c>
      <c r="O76">
        <v>3129.54</v>
      </c>
      <c r="P76" t="s">
        <v>15</v>
      </c>
      <c r="Q76" t="s">
        <v>1612</v>
      </c>
    </row>
    <row r="77" spans="1:17" x14ac:dyDescent="0.35">
      <c r="A77" t="s">
        <v>1745</v>
      </c>
      <c r="B77" t="s">
        <v>1746</v>
      </c>
      <c r="C77" t="s">
        <v>1678</v>
      </c>
      <c r="D77" t="s">
        <v>1592</v>
      </c>
      <c r="E77" s="1">
        <v>45654</v>
      </c>
      <c r="F77" s="1">
        <v>45736</v>
      </c>
      <c r="G77">
        <v>62512</v>
      </c>
      <c r="H77">
        <v>12854</v>
      </c>
      <c r="I77">
        <v>937</v>
      </c>
      <c r="J77">
        <v>217</v>
      </c>
      <c r="K77">
        <v>74</v>
      </c>
      <c r="L77">
        <v>11</v>
      </c>
      <c r="M77" s="2">
        <v>7.29</v>
      </c>
      <c r="N77">
        <v>66.72</v>
      </c>
      <c r="O77">
        <v>5682.91</v>
      </c>
      <c r="P77" t="s">
        <v>21</v>
      </c>
      <c r="Q77" t="s">
        <v>40</v>
      </c>
    </row>
    <row r="78" spans="1:17" x14ac:dyDescent="0.35">
      <c r="A78" t="s">
        <v>1747</v>
      </c>
      <c r="B78" t="s">
        <v>1748</v>
      </c>
      <c r="C78" t="s">
        <v>1600</v>
      </c>
      <c r="D78" t="s">
        <v>1616</v>
      </c>
      <c r="E78" s="1">
        <v>44978</v>
      </c>
      <c r="F78" s="1">
        <v>45020</v>
      </c>
      <c r="G78">
        <v>855078</v>
      </c>
      <c r="H78">
        <v>128028</v>
      </c>
      <c r="I78">
        <v>7208</v>
      </c>
      <c r="J78">
        <v>1106</v>
      </c>
      <c r="K78">
        <v>534</v>
      </c>
      <c r="L78">
        <v>130</v>
      </c>
      <c r="M78" s="2">
        <v>5.63</v>
      </c>
      <c r="N78">
        <v>118.63</v>
      </c>
      <c r="O78">
        <v>6577.52</v>
      </c>
      <c r="P78" t="s">
        <v>15</v>
      </c>
      <c r="Q78" t="s">
        <v>13</v>
      </c>
    </row>
    <row r="79" spans="1:17" x14ac:dyDescent="0.35">
      <c r="A79" t="s">
        <v>1749</v>
      </c>
      <c r="B79" t="s">
        <v>1750</v>
      </c>
      <c r="C79" t="s">
        <v>1600</v>
      </c>
      <c r="D79" t="s">
        <v>1630</v>
      </c>
      <c r="E79" s="1">
        <v>45621</v>
      </c>
      <c r="F79" s="1">
        <v>45679</v>
      </c>
      <c r="G79">
        <v>844621</v>
      </c>
      <c r="H79">
        <v>193646</v>
      </c>
      <c r="I79">
        <f>ROUND(Table14[[#This Row],[Impressions]]*(Table14[[#This Row],[CTR_Percent]]/100),0)</f>
        <v>14969</v>
      </c>
      <c r="J79">
        <v>2695</v>
      </c>
      <c r="K79">
        <v>1341</v>
      </c>
      <c r="L79">
        <v>223</v>
      </c>
      <c r="M79" s="2">
        <v>7.73</v>
      </c>
      <c r="N79">
        <v>56.44</v>
      </c>
      <c r="O79">
        <v>3787.54</v>
      </c>
      <c r="P79" t="s">
        <v>15</v>
      </c>
      <c r="Q79" t="s">
        <v>73</v>
      </c>
    </row>
    <row r="80" spans="1:17" x14ac:dyDescent="0.35">
      <c r="A80" t="s">
        <v>1751</v>
      </c>
      <c r="B80" t="s">
        <v>1716</v>
      </c>
      <c r="C80" t="s">
        <v>1600</v>
      </c>
      <c r="D80" t="s">
        <v>1630</v>
      </c>
      <c r="E80" s="1">
        <v>45516</v>
      </c>
      <c r="F80" s="1">
        <v>45569</v>
      </c>
      <c r="G80">
        <v>1458178</v>
      </c>
      <c r="H80">
        <v>227001</v>
      </c>
      <c r="I80">
        <v>7647</v>
      </c>
      <c r="J80">
        <v>1785</v>
      </c>
      <c r="K80">
        <v>688</v>
      </c>
      <c r="L80">
        <v>257</v>
      </c>
      <c r="M80" s="2">
        <v>3.37</v>
      </c>
      <c r="N80">
        <v>190.69</v>
      </c>
      <c r="O80">
        <v>5673.84</v>
      </c>
      <c r="P80" t="s">
        <v>47</v>
      </c>
      <c r="Q80" t="s">
        <v>59</v>
      </c>
    </row>
    <row r="81" spans="1:17" x14ac:dyDescent="0.35">
      <c r="A81" t="s">
        <v>1752</v>
      </c>
      <c r="B81" t="s">
        <v>1753</v>
      </c>
      <c r="C81" t="s">
        <v>1591</v>
      </c>
      <c r="D81" t="s">
        <v>1588</v>
      </c>
      <c r="E81" s="1">
        <v>45549</v>
      </c>
      <c r="F81" s="1">
        <v>45591</v>
      </c>
      <c r="G81">
        <v>879174</v>
      </c>
      <c r="H81">
        <v>164865</v>
      </c>
      <c r="I81">
        <v>9397</v>
      </c>
      <c r="J81">
        <v>812</v>
      </c>
      <c r="K81">
        <v>181</v>
      </c>
      <c r="L81">
        <v>49</v>
      </c>
      <c r="M81" s="2">
        <v>5.7</v>
      </c>
      <c r="N81">
        <v>93.56</v>
      </c>
      <c r="O81">
        <v>17942.330000000002</v>
      </c>
      <c r="P81" t="s">
        <v>30</v>
      </c>
      <c r="Q81" t="s">
        <v>25</v>
      </c>
    </row>
    <row r="82" spans="1:17" x14ac:dyDescent="0.35">
      <c r="A82" t="s">
        <v>1754</v>
      </c>
      <c r="B82" t="s">
        <v>1755</v>
      </c>
      <c r="C82" t="s">
        <v>1615</v>
      </c>
      <c r="D82" t="s">
        <v>1596</v>
      </c>
      <c r="E82" s="1">
        <v>44930</v>
      </c>
      <c r="F82" s="1">
        <v>44986</v>
      </c>
      <c r="G82">
        <v>105332</v>
      </c>
      <c r="H82">
        <v>306376</v>
      </c>
      <c r="I82">
        <v>22333</v>
      </c>
      <c r="J82">
        <v>5368</v>
      </c>
      <c r="K82">
        <v>2271</v>
      </c>
      <c r="L82">
        <v>694</v>
      </c>
      <c r="M82" s="2">
        <v>7.29</v>
      </c>
      <c r="N82">
        <v>4.72</v>
      </c>
      <c r="O82">
        <v>151.78</v>
      </c>
      <c r="P82" t="s">
        <v>15</v>
      </c>
      <c r="Q82" t="s">
        <v>54</v>
      </c>
    </row>
    <row r="83" spans="1:17" x14ac:dyDescent="0.35">
      <c r="A83" t="s">
        <v>1756</v>
      </c>
      <c r="B83" t="s">
        <v>1757</v>
      </c>
      <c r="C83" t="s">
        <v>1587</v>
      </c>
      <c r="D83" t="s">
        <v>1596</v>
      </c>
      <c r="E83" s="1">
        <v>44945</v>
      </c>
      <c r="F83" s="1">
        <v>44995</v>
      </c>
      <c r="G83">
        <v>92336</v>
      </c>
      <c r="H83">
        <v>148345</v>
      </c>
      <c r="I83">
        <v>2288</v>
      </c>
      <c r="J83">
        <v>524</v>
      </c>
      <c r="K83">
        <v>162</v>
      </c>
      <c r="L83">
        <v>21</v>
      </c>
      <c r="M83" s="2">
        <v>1.54</v>
      </c>
      <c r="N83">
        <v>40.36</v>
      </c>
      <c r="O83">
        <v>4396.95</v>
      </c>
      <c r="P83" t="s">
        <v>47</v>
      </c>
      <c r="Q83" t="s">
        <v>73</v>
      </c>
    </row>
    <row r="84" spans="1:17" x14ac:dyDescent="0.35">
      <c r="A84" t="s">
        <v>1758</v>
      </c>
      <c r="B84" t="s">
        <v>1759</v>
      </c>
      <c r="C84" t="s">
        <v>1615</v>
      </c>
      <c r="D84" t="s">
        <v>1596</v>
      </c>
      <c r="E84" s="1">
        <v>44931</v>
      </c>
      <c r="F84" s="1">
        <v>44985</v>
      </c>
      <c r="G84">
        <v>429370</v>
      </c>
      <c r="H84">
        <v>440621</v>
      </c>
      <c r="I84">
        <v>26431</v>
      </c>
      <c r="J84">
        <v>3118</v>
      </c>
      <c r="K84">
        <v>1204</v>
      </c>
      <c r="L84">
        <v>326</v>
      </c>
      <c r="M84" s="2">
        <v>6</v>
      </c>
      <c r="N84">
        <v>16.239999999999998</v>
      </c>
      <c r="O84">
        <v>1317.09</v>
      </c>
      <c r="P84" t="s">
        <v>30</v>
      </c>
      <c r="Q84" t="s">
        <v>59</v>
      </c>
    </row>
    <row r="85" spans="1:17" x14ac:dyDescent="0.35">
      <c r="A85" t="s">
        <v>1760</v>
      </c>
      <c r="B85" t="s">
        <v>1761</v>
      </c>
      <c r="C85" t="s">
        <v>1605</v>
      </c>
      <c r="D85" t="s">
        <v>1630</v>
      </c>
      <c r="E85" s="1">
        <v>45537</v>
      </c>
      <c r="F85" s="1">
        <v>45573</v>
      </c>
      <c r="G85">
        <v>478526</v>
      </c>
      <c r="H85">
        <v>379093</v>
      </c>
      <c r="I85">
        <v>14412</v>
      </c>
      <c r="J85">
        <v>1425</v>
      </c>
      <c r="K85">
        <v>699</v>
      </c>
      <c r="L85">
        <v>177</v>
      </c>
      <c r="M85" s="2">
        <v>3.8</v>
      </c>
      <c r="N85">
        <v>33.200000000000003</v>
      </c>
      <c r="O85">
        <v>2703.54</v>
      </c>
      <c r="P85" t="s">
        <v>1597</v>
      </c>
      <c r="Q85" t="s">
        <v>25</v>
      </c>
    </row>
    <row r="86" spans="1:17" x14ac:dyDescent="0.35">
      <c r="A86" t="s">
        <v>1762</v>
      </c>
      <c r="B86" t="s">
        <v>1763</v>
      </c>
      <c r="C86" t="s">
        <v>1595</v>
      </c>
      <c r="D86" t="s">
        <v>1616</v>
      </c>
      <c r="E86" s="1">
        <v>45234</v>
      </c>
      <c r="F86" s="1">
        <v>45257</v>
      </c>
      <c r="G86">
        <v>343960</v>
      </c>
      <c r="H86">
        <v>122332</v>
      </c>
      <c r="I86">
        <v>3955</v>
      </c>
      <c r="J86">
        <v>630</v>
      </c>
      <c r="K86">
        <v>214</v>
      </c>
      <c r="L86">
        <v>58</v>
      </c>
      <c r="M86" s="2">
        <v>3.23</v>
      </c>
      <c r="N86">
        <v>86.97</v>
      </c>
      <c r="O86">
        <v>5930.34</v>
      </c>
      <c r="P86" t="s">
        <v>47</v>
      </c>
      <c r="Q86" t="s">
        <v>25</v>
      </c>
    </row>
    <row r="87" spans="1:17" x14ac:dyDescent="0.35">
      <c r="A87" t="s">
        <v>1764</v>
      </c>
      <c r="B87" t="s">
        <v>1765</v>
      </c>
      <c r="C87" t="s">
        <v>1625</v>
      </c>
      <c r="D87" t="s">
        <v>1588</v>
      </c>
      <c r="E87" s="1">
        <v>45220</v>
      </c>
      <c r="F87" s="1">
        <v>45283</v>
      </c>
      <c r="G87">
        <v>442809</v>
      </c>
      <c r="H87">
        <v>103840</v>
      </c>
      <c r="I87">
        <v>3911</v>
      </c>
      <c r="J87">
        <v>598</v>
      </c>
      <c r="K87">
        <v>217</v>
      </c>
      <c r="L87">
        <v>42</v>
      </c>
      <c r="M87" s="2">
        <v>3.77</v>
      </c>
      <c r="N87">
        <v>113.22</v>
      </c>
      <c r="O87">
        <v>10543.07</v>
      </c>
      <c r="P87" t="s">
        <v>47</v>
      </c>
      <c r="Q87" t="s">
        <v>40</v>
      </c>
    </row>
    <row r="88" spans="1:17" x14ac:dyDescent="0.35">
      <c r="A88" t="s">
        <v>1766</v>
      </c>
      <c r="B88" t="s">
        <v>1767</v>
      </c>
      <c r="C88" t="s">
        <v>1615</v>
      </c>
      <c r="D88" t="s">
        <v>1616</v>
      </c>
      <c r="E88" s="1">
        <v>45332</v>
      </c>
      <c r="F88" s="1">
        <v>45374</v>
      </c>
      <c r="G88">
        <v>799951</v>
      </c>
      <c r="H88">
        <v>176645</v>
      </c>
      <c r="I88">
        <v>2136</v>
      </c>
      <c r="J88">
        <v>355</v>
      </c>
      <c r="K88">
        <v>99</v>
      </c>
      <c r="L88">
        <v>36</v>
      </c>
      <c r="M88" s="2">
        <v>1.21</v>
      </c>
      <c r="N88">
        <v>374.51</v>
      </c>
      <c r="O88">
        <v>22220.86</v>
      </c>
      <c r="P88" t="s">
        <v>79</v>
      </c>
      <c r="Q88" t="s">
        <v>13</v>
      </c>
    </row>
    <row r="89" spans="1:17" x14ac:dyDescent="0.35">
      <c r="A89" t="s">
        <v>1768</v>
      </c>
      <c r="B89" t="s">
        <v>1726</v>
      </c>
      <c r="C89" t="s">
        <v>1605</v>
      </c>
      <c r="D89" t="s">
        <v>1616</v>
      </c>
      <c r="E89" s="1">
        <v>45396</v>
      </c>
      <c r="F89" s="1">
        <v>45461</v>
      </c>
      <c r="G89">
        <v>1039457</v>
      </c>
      <c r="H89">
        <v>40361</v>
      </c>
      <c r="I89">
        <v>861</v>
      </c>
      <c r="J89">
        <v>95</v>
      </c>
      <c r="K89">
        <v>26</v>
      </c>
      <c r="L89">
        <v>5</v>
      </c>
      <c r="M89" s="2">
        <v>2.13</v>
      </c>
      <c r="N89">
        <v>1207.27</v>
      </c>
      <c r="O89">
        <v>207891.4</v>
      </c>
      <c r="P89" t="s">
        <v>21</v>
      </c>
      <c r="Q89" t="s">
        <v>73</v>
      </c>
    </row>
    <row r="90" spans="1:17" x14ac:dyDescent="0.35">
      <c r="A90" t="s">
        <v>1769</v>
      </c>
      <c r="B90" t="s">
        <v>1770</v>
      </c>
      <c r="C90" t="s">
        <v>1595</v>
      </c>
      <c r="D90" t="s">
        <v>1616</v>
      </c>
      <c r="E90" s="1">
        <v>45627</v>
      </c>
      <c r="F90" s="1">
        <v>45682</v>
      </c>
      <c r="G90">
        <v>999735</v>
      </c>
      <c r="H90">
        <v>402005</v>
      </c>
      <c r="I90">
        <v>14593</v>
      </c>
      <c r="J90">
        <v>1055</v>
      </c>
      <c r="K90">
        <v>453</v>
      </c>
      <c r="L90">
        <v>116</v>
      </c>
      <c r="M90" s="2">
        <v>3.63</v>
      </c>
      <c r="N90">
        <v>68.510000000000005</v>
      </c>
      <c r="O90">
        <v>8618.41</v>
      </c>
      <c r="P90" t="s">
        <v>47</v>
      </c>
      <c r="Q90" t="s">
        <v>1612</v>
      </c>
    </row>
    <row r="91" spans="1:17" x14ac:dyDescent="0.35">
      <c r="A91" t="s">
        <v>1771</v>
      </c>
      <c r="B91" t="s">
        <v>1638</v>
      </c>
      <c r="C91" t="s">
        <v>1615</v>
      </c>
      <c r="D91" t="s">
        <v>1592</v>
      </c>
      <c r="E91" s="1">
        <v>45305</v>
      </c>
      <c r="F91" s="1">
        <v>45384</v>
      </c>
      <c r="G91">
        <v>1004925</v>
      </c>
      <c r="H91">
        <v>44343</v>
      </c>
      <c r="I91">
        <v>2360</v>
      </c>
      <c r="J91">
        <v>408</v>
      </c>
      <c r="K91">
        <v>81</v>
      </c>
      <c r="L91">
        <v>9</v>
      </c>
      <c r="M91" s="2">
        <v>5.32</v>
      </c>
      <c r="N91">
        <v>425.82</v>
      </c>
      <c r="O91">
        <v>111658.33</v>
      </c>
      <c r="P91" t="s">
        <v>21</v>
      </c>
      <c r="Q91" t="s">
        <v>151</v>
      </c>
    </row>
    <row r="92" spans="1:17" x14ac:dyDescent="0.35">
      <c r="A92" t="s">
        <v>1772</v>
      </c>
      <c r="B92" t="s">
        <v>1773</v>
      </c>
      <c r="C92" t="s">
        <v>1595</v>
      </c>
      <c r="D92" t="s">
        <v>1588</v>
      </c>
      <c r="E92" s="1">
        <v>45214</v>
      </c>
      <c r="F92" s="1">
        <v>45234</v>
      </c>
      <c r="G92">
        <v>1148650</v>
      </c>
      <c r="H92">
        <v>365399</v>
      </c>
      <c r="I92">
        <v>18392</v>
      </c>
      <c r="J92">
        <v>1547</v>
      </c>
      <c r="K92">
        <v>649</v>
      </c>
      <c r="L92">
        <v>132</v>
      </c>
      <c r="M92" s="2">
        <v>5.03</v>
      </c>
      <c r="N92">
        <v>62.45</v>
      </c>
      <c r="O92">
        <v>8701.89</v>
      </c>
      <c r="P92" t="s">
        <v>1597</v>
      </c>
      <c r="Q92" t="s">
        <v>73</v>
      </c>
    </row>
    <row r="93" spans="1:17" x14ac:dyDescent="0.35">
      <c r="A93" t="s">
        <v>1774</v>
      </c>
      <c r="B93" t="s">
        <v>1693</v>
      </c>
      <c r="C93" t="s">
        <v>1615</v>
      </c>
      <c r="D93" t="s">
        <v>1596</v>
      </c>
      <c r="E93" s="1">
        <v>45023</v>
      </c>
      <c r="F93" s="1">
        <v>45102</v>
      </c>
      <c r="G93">
        <v>215105</v>
      </c>
      <c r="H93">
        <v>177424</v>
      </c>
      <c r="I93">
        <v>4954</v>
      </c>
      <c r="J93">
        <v>1008</v>
      </c>
      <c r="K93">
        <v>495</v>
      </c>
      <c r="L93">
        <v>124</v>
      </c>
      <c r="M93" s="2">
        <v>2.79</v>
      </c>
      <c r="N93">
        <v>43.42</v>
      </c>
      <c r="O93">
        <v>1734.72</v>
      </c>
      <c r="P93" t="s">
        <v>15</v>
      </c>
      <c r="Q93" t="s">
        <v>1612</v>
      </c>
    </row>
    <row r="94" spans="1:17" x14ac:dyDescent="0.35">
      <c r="A94" t="s">
        <v>1775</v>
      </c>
      <c r="B94" t="s">
        <v>1657</v>
      </c>
      <c r="C94" t="s">
        <v>1600</v>
      </c>
      <c r="D94" t="s">
        <v>1588</v>
      </c>
      <c r="E94" s="1">
        <v>45333</v>
      </c>
      <c r="F94" s="1">
        <v>45408</v>
      </c>
      <c r="G94">
        <v>926739</v>
      </c>
      <c r="H94">
        <v>430901</v>
      </c>
      <c r="I94">
        <v>11989</v>
      </c>
      <c r="J94">
        <v>1971</v>
      </c>
      <c r="K94">
        <v>933</v>
      </c>
      <c r="L94">
        <v>220</v>
      </c>
      <c r="M94" s="2">
        <v>2.78</v>
      </c>
      <c r="N94">
        <v>77.3</v>
      </c>
      <c r="O94">
        <v>4212.45</v>
      </c>
      <c r="P94" t="s">
        <v>47</v>
      </c>
      <c r="Q94" t="s">
        <v>73</v>
      </c>
    </row>
    <row r="95" spans="1:17" x14ac:dyDescent="0.35">
      <c r="A95" t="s">
        <v>1776</v>
      </c>
      <c r="B95" t="s">
        <v>1594</v>
      </c>
      <c r="C95" t="s">
        <v>1625</v>
      </c>
      <c r="D95" t="s">
        <v>1596</v>
      </c>
      <c r="E95" s="1">
        <v>44939</v>
      </c>
      <c r="F95" s="1">
        <v>44957</v>
      </c>
      <c r="G95">
        <v>1245125</v>
      </c>
      <c r="H95">
        <v>383832</v>
      </c>
      <c r="I95">
        <v>15667</v>
      </c>
      <c r="J95">
        <v>3601</v>
      </c>
      <c r="K95">
        <v>864</v>
      </c>
      <c r="L95">
        <v>297</v>
      </c>
      <c r="M95" s="2">
        <v>4.08</v>
      </c>
      <c r="N95">
        <v>79.47</v>
      </c>
      <c r="O95">
        <v>4192.34</v>
      </c>
      <c r="P95" t="s">
        <v>1597</v>
      </c>
      <c r="Q95" t="s">
        <v>28</v>
      </c>
    </row>
    <row r="96" spans="1:17" x14ac:dyDescent="0.35">
      <c r="A96" t="s">
        <v>1777</v>
      </c>
      <c r="B96" t="s">
        <v>1778</v>
      </c>
      <c r="C96" t="s">
        <v>1605</v>
      </c>
      <c r="D96" t="s">
        <v>1592</v>
      </c>
      <c r="E96" s="1">
        <v>45472</v>
      </c>
      <c r="F96" s="1">
        <v>45526</v>
      </c>
      <c r="G96">
        <v>1331429</v>
      </c>
      <c r="H96">
        <v>435674</v>
      </c>
      <c r="I96">
        <f>ROUND(Table14[[#This Row],[Impressions]]*(Table14[[#This Row],[CTR_Percent]]/100),0)</f>
        <v>9454</v>
      </c>
      <c r="J96">
        <v>1254</v>
      </c>
      <c r="K96">
        <v>198</v>
      </c>
      <c r="L96">
        <v>35</v>
      </c>
      <c r="M96" s="2">
        <v>2.17</v>
      </c>
      <c r="N96">
        <v>141.01</v>
      </c>
      <c r="O96">
        <v>38040.83</v>
      </c>
      <c r="P96" t="s">
        <v>30</v>
      </c>
      <c r="Q96" t="s">
        <v>54</v>
      </c>
    </row>
    <row r="97" spans="1:17" x14ac:dyDescent="0.35">
      <c r="A97" t="s">
        <v>1779</v>
      </c>
      <c r="B97" t="s">
        <v>1780</v>
      </c>
      <c r="C97" t="s">
        <v>1625</v>
      </c>
      <c r="D97" t="s">
        <v>1630</v>
      </c>
      <c r="E97" s="1">
        <v>45368</v>
      </c>
      <c r="F97" s="1">
        <v>45453</v>
      </c>
      <c r="G97">
        <v>616265</v>
      </c>
      <c r="H97">
        <v>498467</v>
      </c>
      <c r="I97">
        <v>21669</v>
      </c>
      <c r="J97">
        <v>1722</v>
      </c>
      <c r="K97">
        <v>788</v>
      </c>
      <c r="L97">
        <v>296</v>
      </c>
      <c r="M97" s="2">
        <v>4.3499999999999996</v>
      </c>
      <c r="N97">
        <v>28.44</v>
      </c>
      <c r="O97">
        <v>2081.98</v>
      </c>
      <c r="P97" t="s">
        <v>47</v>
      </c>
      <c r="Q97" t="s">
        <v>40</v>
      </c>
    </row>
    <row r="98" spans="1:17" x14ac:dyDescent="0.35">
      <c r="A98" t="s">
        <v>1781</v>
      </c>
      <c r="B98" t="s">
        <v>1680</v>
      </c>
      <c r="C98" t="s">
        <v>1678</v>
      </c>
      <c r="D98" t="s">
        <v>1588</v>
      </c>
      <c r="E98" s="1">
        <v>45059</v>
      </c>
      <c r="F98" s="1">
        <v>45080</v>
      </c>
      <c r="G98">
        <v>1165930</v>
      </c>
      <c r="H98">
        <v>123339</v>
      </c>
      <c r="I98">
        <v>4815</v>
      </c>
      <c r="J98">
        <v>956</v>
      </c>
      <c r="K98">
        <v>431</v>
      </c>
      <c r="L98">
        <v>112</v>
      </c>
      <c r="M98" s="2">
        <v>3.9</v>
      </c>
      <c r="N98">
        <v>242.15</v>
      </c>
      <c r="O98">
        <v>10410.09</v>
      </c>
      <c r="P98" t="s">
        <v>15</v>
      </c>
      <c r="Q98" t="s">
        <v>79</v>
      </c>
    </row>
    <row r="99" spans="1:17" x14ac:dyDescent="0.35">
      <c r="A99" t="s">
        <v>1782</v>
      </c>
      <c r="B99" t="s">
        <v>1783</v>
      </c>
      <c r="C99" t="s">
        <v>1595</v>
      </c>
      <c r="D99" t="s">
        <v>1630</v>
      </c>
      <c r="E99" s="1">
        <v>45560</v>
      </c>
      <c r="F99" s="1">
        <v>45630</v>
      </c>
      <c r="G99">
        <v>698375</v>
      </c>
      <c r="H99">
        <v>213239</v>
      </c>
      <c r="I99">
        <v>2242</v>
      </c>
      <c r="J99">
        <v>137</v>
      </c>
      <c r="K99">
        <v>53</v>
      </c>
      <c r="L99">
        <v>6</v>
      </c>
      <c r="M99" s="2">
        <v>1.05</v>
      </c>
      <c r="N99">
        <v>311.5</v>
      </c>
      <c r="O99">
        <v>116395.83</v>
      </c>
      <c r="P99" t="s">
        <v>47</v>
      </c>
      <c r="Q99" t="s">
        <v>13</v>
      </c>
    </row>
    <row r="100" spans="1:17" x14ac:dyDescent="0.35">
      <c r="A100" t="s">
        <v>1784</v>
      </c>
      <c r="B100" t="s">
        <v>1620</v>
      </c>
      <c r="C100" t="s">
        <v>1678</v>
      </c>
      <c r="D100" t="s">
        <v>1588</v>
      </c>
      <c r="E100" s="1">
        <v>45464</v>
      </c>
      <c r="F100" s="1">
        <v>45532</v>
      </c>
      <c r="G100">
        <v>1096240</v>
      </c>
      <c r="H100">
        <v>373451</v>
      </c>
      <c r="I100">
        <v>20558</v>
      </c>
      <c r="J100">
        <v>2188</v>
      </c>
      <c r="K100">
        <v>869</v>
      </c>
      <c r="L100">
        <v>163</v>
      </c>
      <c r="M100" s="2">
        <v>5.5</v>
      </c>
      <c r="N100">
        <v>53.32</v>
      </c>
      <c r="O100">
        <v>6725.4</v>
      </c>
      <c r="P100" t="s">
        <v>30</v>
      </c>
      <c r="Q100" t="s">
        <v>151</v>
      </c>
    </row>
    <row r="101" spans="1:17" x14ac:dyDescent="0.35">
      <c r="A101" t="s">
        <v>1785</v>
      </c>
      <c r="B101" t="s">
        <v>1786</v>
      </c>
      <c r="C101" t="s">
        <v>1595</v>
      </c>
      <c r="D101" t="s">
        <v>1596</v>
      </c>
      <c r="E101" s="1">
        <v>45144</v>
      </c>
      <c r="F101" s="1">
        <v>45191</v>
      </c>
      <c r="G101">
        <v>1356029</v>
      </c>
      <c r="H101">
        <v>447812</v>
      </c>
      <c r="I101">
        <v>8675</v>
      </c>
      <c r="J101">
        <v>685</v>
      </c>
      <c r="K101">
        <v>323</v>
      </c>
      <c r="L101">
        <v>79</v>
      </c>
      <c r="M101" s="2">
        <v>1.94</v>
      </c>
      <c r="N101">
        <v>156.31</v>
      </c>
      <c r="O101">
        <v>17164.919999999998</v>
      </c>
      <c r="P101" t="s">
        <v>30</v>
      </c>
      <c r="Q101" t="s">
        <v>40</v>
      </c>
    </row>
    <row r="102" spans="1:17" x14ac:dyDescent="0.35">
      <c r="A102" t="s">
        <v>1787</v>
      </c>
      <c r="B102" t="s">
        <v>1788</v>
      </c>
      <c r="C102" t="s">
        <v>1591</v>
      </c>
      <c r="D102" t="s">
        <v>1588</v>
      </c>
      <c r="E102" s="1">
        <v>45550</v>
      </c>
      <c r="F102" s="1">
        <v>45619</v>
      </c>
      <c r="G102">
        <v>1465017</v>
      </c>
      <c r="H102">
        <v>116289</v>
      </c>
      <c r="I102">
        <v>2008</v>
      </c>
      <c r="J102">
        <v>331</v>
      </c>
      <c r="K102">
        <v>82</v>
      </c>
      <c r="L102">
        <v>19</v>
      </c>
      <c r="M102" s="2">
        <v>1.73</v>
      </c>
      <c r="N102">
        <v>729.59</v>
      </c>
      <c r="O102">
        <v>77106.16</v>
      </c>
      <c r="P102" t="s">
        <v>1597</v>
      </c>
      <c r="Q102" t="s">
        <v>36</v>
      </c>
    </row>
    <row r="103" spans="1:17" x14ac:dyDescent="0.35">
      <c r="A103" t="s">
        <v>1789</v>
      </c>
      <c r="B103" t="s">
        <v>1790</v>
      </c>
      <c r="C103" t="s">
        <v>1678</v>
      </c>
      <c r="D103" t="s">
        <v>1616</v>
      </c>
      <c r="E103" s="1">
        <v>45287</v>
      </c>
      <c r="F103" s="1">
        <v>45325</v>
      </c>
      <c r="G103">
        <v>1202247</v>
      </c>
      <c r="H103">
        <v>291796</v>
      </c>
      <c r="I103">
        <v>17648</v>
      </c>
      <c r="J103">
        <v>2094</v>
      </c>
      <c r="K103">
        <v>753</v>
      </c>
      <c r="L103">
        <v>278</v>
      </c>
      <c r="M103" s="2">
        <v>6.05</v>
      </c>
      <c r="N103">
        <v>68.12</v>
      </c>
      <c r="O103">
        <v>4324.63</v>
      </c>
      <c r="P103" t="s">
        <v>30</v>
      </c>
      <c r="Q103" t="s">
        <v>20</v>
      </c>
    </row>
    <row r="104" spans="1:17" x14ac:dyDescent="0.35">
      <c r="A104" t="s">
        <v>1791</v>
      </c>
      <c r="B104" t="s">
        <v>1792</v>
      </c>
      <c r="C104" t="s">
        <v>1587</v>
      </c>
      <c r="D104" t="s">
        <v>1630</v>
      </c>
      <c r="E104" s="1">
        <v>45216</v>
      </c>
      <c r="F104" s="1">
        <v>45289</v>
      </c>
      <c r="G104">
        <v>1330523</v>
      </c>
      <c r="H104">
        <v>36706</v>
      </c>
      <c r="I104">
        <v>1999</v>
      </c>
      <c r="J104">
        <v>478</v>
      </c>
      <c r="K104">
        <v>196</v>
      </c>
      <c r="L104">
        <v>67</v>
      </c>
      <c r="M104" s="2">
        <v>5.45</v>
      </c>
      <c r="N104">
        <v>665.59</v>
      </c>
      <c r="O104">
        <v>19858.55</v>
      </c>
      <c r="P104" t="s">
        <v>47</v>
      </c>
      <c r="Q104" t="s">
        <v>28</v>
      </c>
    </row>
    <row r="105" spans="1:17" x14ac:dyDescent="0.35">
      <c r="A105" t="s">
        <v>1793</v>
      </c>
      <c r="B105" t="s">
        <v>1599</v>
      </c>
      <c r="C105" t="s">
        <v>1615</v>
      </c>
      <c r="D105" t="s">
        <v>1596</v>
      </c>
      <c r="E105" s="1">
        <v>45149</v>
      </c>
      <c r="F105" s="1">
        <v>45236</v>
      </c>
      <c r="G105">
        <v>658344</v>
      </c>
      <c r="H105">
        <v>443634</v>
      </c>
      <c r="I105">
        <v>10302</v>
      </c>
      <c r="J105">
        <v>1907</v>
      </c>
      <c r="K105">
        <v>767</v>
      </c>
      <c r="L105">
        <v>158</v>
      </c>
      <c r="M105" s="2">
        <v>2.3199999999999998</v>
      </c>
      <c r="N105">
        <v>63.9</v>
      </c>
      <c r="O105">
        <v>4166.7299999999996</v>
      </c>
      <c r="P105" t="s">
        <v>21</v>
      </c>
      <c r="Q105" t="s">
        <v>25</v>
      </c>
    </row>
    <row r="106" spans="1:17" x14ac:dyDescent="0.35">
      <c r="A106" t="s">
        <v>1794</v>
      </c>
      <c r="B106" t="s">
        <v>1795</v>
      </c>
      <c r="C106" t="s">
        <v>1595</v>
      </c>
      <c r="D106" t="s">
        <v>1616</v>
      </c>
      <c r="E106" s="1">
        <v>45196</v>
      </c>
      <c r="F106" s="1">
        <v>45274</v>
      </c>
      <c r="G106">
        <v>920383</v>
      </c>
      <c r="H106">
        <v>406818</v>
      </c>
      <c r="I106">
        <v>7190</v>
      </c>
      <c r="J106">
        <v>1407</v>
      </c>
      <c r="K106">
        <v>453</v>
      </c>
      <c r="L106">
        <v>161</v>
      </c>
      <c r="M106" s="2">
        <v>1.77</v>
      </c>
      <c r="N106">
        <v>128.01</v>
      </c>
      <c r="O106">
        <v>5716.66</v>
      </c>
      <c r="P106" t="s">
        <v>47</v>
      </c>
      <c r="Q106" t="s">
        <v>151</v>
      </c>
    </row>
    <row r="107" spans="1:17" x14ac:dyDescent="0.35">
      <c r="A107" t="s">
        <v>1796</v>
      </c>
      <c r="B107" t="s">
        <v>1797</v>
      </c>
      <c r="C107" t="s">
        <v>1615</v>
      </c>
      <c r="D107" t="s">
        <v>1592</v>
      </c>
      <c r="E107" s="1">
        <v>45414</v>
      </c>
      <c r="F107" s="1">
        <v>45497</v>
      </c>
      <c r="G107">
        <v>383942</v>
      </c>
      <c r="H107">
        <v>282310</v>
      </c>
      <c r="I107">
        <v>10313</v>
      </c>
      <c r="J107">
        <v>1269</v>
      </c>
      <c r="K107">
        <v>344</v>
      </c>
      <c r="L107">
        <v>79</v>
      </c>
      <c r="M107" s="2">
        <v>3.65</v>
      </c>
      <c r="N107">
        <v>37.229999999999997</v>
      </c>
      <c r="O107">
        <v>4860.03</v>
      </c>
      <c r="P107" t="s">
        <v>15</v>
      </c>
      <c r="Q107" t="s">
        <v>79</v>
      </c>
    </row>
    <row r="108" spans="1:17" x14ac:dyDescent="0.35">
      <c r="A108" t="s">
        <v>1798</v>
      </c>
      <c r="B108" t="s">
        <v>1799</v>
      </c>
      <c r="C108" t="s">
        <v>1587</v>
      </c>
      <c r="D108" t="s">
        <v>1592</v>
      </c>
      <c r="E108" s="1">
        <v>45244</v>
      </c>
      <c r="F108" s="1">
        <v>45289</v>
      </c>
      <c r="G108">
        <v>1195610</v>
      </c>
      <c r="H108">
        <v>490723</v>
      </c>
      <c r="I108">
        <v>19867</v>
      </c>
      <c r="J108">
        <v>2501</v>
      </c>
      <c r="K108">
        <v>826</v>
      </c>
      <c r="L108">
        <v>198</v>
      </c>
      <c r="M108" s="2">
        <v>4.05</v>
      </c>
      <c r="N108">
        <v>60.18</v>
      </c>
      <c r="O108">
        <v>6038.43</v>
      </c>
      <c r="P108" t="s">
        <v>30</v>
      </c>
      <c r="Q108" t="s">
        <v>79</v>
      </c>
    </row>
    <row r="109" spans="1:17" x14ac:dyDescent="0.35">
      <c r="A109" t="s">
        <v>1800</v>
      </c>
      <c r="B109" t="s">
        <v>1767</v>
      </c>
      <c r="C109" t="s">
        <v>1587</v>
      </c>
      <c r="D109" t="s">
        <v>1588</v>
      </c>
      <c r="E109" s="1">
        <v>44987</v>
      </c>
      <c r="F109" s="1">
        <v>45069</v>
      </c>
      <c r="G109">
        <v>1473453</v>
      </c>
      <c r="H109">
        <v>359948</v>
      </c>
      <c r="I109">
        <v>13786</v>
      </c>
      <c r="J109">
        <v>3191</v>
      </c>
      <c r="K109">
        <v>1444</v>
      </c>
      <c r="L109">
        <v>496</v>
      </c>
      <c r="M109" s="2">
        <v>3.83</v>
      </c>
      <c r="N109">
        <v>106.88</v>
      </c>
      <c r="O109">
        <v>2970.67</v>
      </c>
      <c r="P109" t="s">
        <v>47</v>
      </c>
      <c r="Q109" t="s">
        <v>79</v>
      </c>
    </row>
    <row r="110" spans="1:17" x14ac:dyDescent="0.35">
      <c r="A110" t="s">
        <v>1801</v>
      </c>
      <c r="B110" t="s">
        <v>1802</v>
      </c>
      <c r="C110" t="s">
        <v>1678</v>
      </c>
      <c r="D110" t="s">
        <v>1588</v>
      </c>
      <c r="E110" s="1">
        <v>45258</v>
      </c>
      <c r="F110" s="1">
        <v>45288</v>
      </c>
      <c r="G110">
        <v>826370</v>
      </c>
      <c r="H110">
        <v>214180</v>
      </c>
      <c r="I110">
        <v>17034</v>
      </c>
      <c r="J110">
        <v>1589</v>
      </c>
      <c r="K110">
        <v>382</v>
      </c>
      <c r="L110">
        <v>142</v>
      </c>
      <c r="M110" s="2">
        <v>7.95</v>
      </c>
      <c r="N110">
        <v>48.51</v>
      </c>
      <c r="O110">
        <v>5819.51</v>
      </c>
      <c r="P110" t="s">
        <v>1597</v>
      </c>
      <c r="Q110" t="s">
        <v>40</v>
      </c>
    </row>
    <row r="111" spans="1:17" x14ac:dyDescent="0.35">
      <c r="A111" t="s">
        <v>1803</v>
      </c>
      <c r="B111" t="s">
        <v>1804</v>
      </c>
      <c r="C111" t="s">
        <v>1587</v>
      </c>
      <c r="D111" t="s">
        <v>1592</v>
      </c>
      <c r="E111" s="1">
        <v>45314</v>
      </c>
      <c r="F111" s="1">
        <v>45379</v>
      </c>
      <c r="G111">
        <v>1107381</v>
      </c>
      <c r="H111">
        <v>367004</v>
      </c>
      <c r="I111">
        <v>26998</v>
      </c>
      <c r="J111">
        <v>1691</v>
      </c>
      <c r="K111">
        <v>790</v>
      </c>
      <c r="L111">
        <v>194</v>
      </c>
      <c r="M111" s="2">
        <v>7.36</v>
      </c>
      <c r="N111">
        <v>41.02</v>
      </c>
      <c r="O111">
        <v>5708.15</v>
      </c>
      <c r="P111" t="s">
        <v>47</v>
      </c>
      <c r="Q111" t="s">
        <v>151</v>
      </c>
    </row>
    <row r="112" spans="1:17" x14ac:dyDescent="0.35">
      <c r="A112" t="s">
        <v>1805</v>
      </c>
      <c r="B112" t="s">
        <v>1638</v>
      </c>
      <c r="C112" t="s">
        <v>1587</v>
      </c>
      <c r="D112" t="s">
        <v>1596</v>
      </c>
      <c r="E112" s="1">
        <v>45295</v>
      </c>
      <c r="F112" s="1">
        <v>45340</v>
      </c>
      <c r="G112">
        <v>837934</v>
      </c>
      <c r="H112">
        <v>279186</v>
      </c>
      <c r="I112">
        <v>12332</v>
      </c>
      <c r="J112">
        <v>2900</v>
      </c>
      <c r="K112">
        <v>1256</v>
      </c>
      <c r="L112">
        <v>358</v>
      </c>
      <c r="M112" s="2">
        <v>4.42</v>
      </c>
      <c r="N112">
        <v>67.95</v>
      </c>
      <c r="O112">
        <v>2340.6</v>
      </c>
      <c r="P112" t="s">
        <v>15</v>
      </c>
      <c r="Q112" t="s">
        <v>73</v>
      </c>
    </row>
    <row r="113" spans="1:17" x14ac:dyDescent="0.35">
      <c r="A113" t="s">
        <v>1806</v>
      </c>
      <c r="B113" t="s">
        <v>1790</v>
      </c>
      <c r="C113" t="s">
        <v>1587</v>
      </c>
      <c r="D113" t="s">
        <v>1588</v>
      </c>
      <c r="E113" s="1">
        <v>45003</v>
      </c>
      <c r="F113" s="1">
        <v>45088</v>
      </c>
      <c r="G113">
        <v>1471400</v>
      </c>
      <c r="H113">
        <v>472624</v>
      </c>
      <c r="I113">
        <v>35912</v>
      </c>
      <c r="J113">
        <v>2114</v>
      </c>
      <c r="K113">
        <v>856</v>
      </c>
      <c r="L113">
        <v>232</v>
      </c>
      <c r="M113" s="2">
        <v>7.6</v>
      </c>
      <c r="N113">
        <v>40.97</v>
      </c>
      <c r="O113">
        <v>6342.24</v>
      </c>
      <c r="P113" t="s">
        <v>15</v>
      </c>
      <c r="Q113" t="s">
        <v>73</v>
      </c>
    </row>
    <row r="114" spans="1:17" x14ac:dyDescent="0.35">
      <c r="A114" t="s">
        <v>1807</v>
      </c>
      <c r="B114" t="s">
        <v>1657</v>
      </c>
      <c r="C114" t="s">
        <v>1625</v>
      </c>
      <c r="D114" t="s">
        <v>1596</v>
      </c>
      <c r="E114" s="1">
        <v>45573</v>
      </c>
      <c r="F114" s="1">
        <v>45623</v>
      </c>
      <c r="G114">
        <v>261525</v>
      </c>
      <c r="H114">
        <v>358939</v>
      </c>
      <c r="I114">
        <v>18952</v>
      </c>
      <c r="J114">
        <v>3927</v>
      </c>
      <c r="K114">
        <v>1954</v>
      </c>
      <c r="L114">
        <v>455</v>
      </c>
      <c r="M114" s="2">
        <v>5.28</v>
      </c>
      <c r="N114">
        <v>13.8</v>
      </c>
      <c r="O114">
        <v>574.78</v>
      </c>
      <c r="P114" t="s">
        <v>15</v>
      </c>
      <c r="Q114" t="s">
        <v>25</v>
      </c>
    </row>
    <row r="115" spans="1:17" x14ac:dyDescent="0.35">
      <c r="A115" t="s">
        <v>1808</v>
      </c>
      <c r="B115" t="s">
        <v>1809</v>
      </c>
      <c r="C115" t="s">
        <v>1615</v>
      </c>
      <c r="D115" t="s">
        <v>1592</v>
      </c>
      <c r="E115" s="1">
        <v>45378</v>
      </c>
      <c r="F115" s="1">
        <v>45458</v>
      </c>
      <c r="G115">
        <v>625126</v>
      </c>
      <c r="H115">
        <v>384856</v>
      </c>
      <c r="I115">
        <v>28511</v>
      </c>
      <c r="J115">
        <v>2868</v>
      </c>
      <c r="K115">
        <v>443</v>
      </c>
      <c r="L115">
        <v>59</v>
      </c>
      <c r="M115" s="2">
        <v>7.41</v>
      </c>
      <c r="N115">
        <v>21.93</v>
      </c>
      <c r="O115">
        <v>10595.36</v>
      </c>
      <c r="P115" t="s">
        <v>30</v>
      </c>
      <c r="Q115" t="s">
        <v>36</v>
      </c>
    </row>
    <row r="116" spans="1:17" x14ac:dyDescent="0.35">
      <c r="A116" t="s">
        <v>1810</v>
      </c>
      <c r="B116" t="s">
        <v>1811</v>
      </c>
      <c r="C116" t="s">
        <v>1678</v>
      </c>
      <c r="D116" t="s">
        <v>1596</v>
      </c>
      <c r="E116" s="1">
        <v>45402</v>
      </c>
      <c r="F116" s="1">
        <v>45424</v>
      </c>
      <c r="G116">
        <v>828249</v>
      </c>
      <c r="H116">
        <v>233435</v>
      </c>
      <c r="I116">
        <v>14918</v>
      </c>
      <c r="J116">
        <v>1045</v>
      </c>
      <c r="K116">
        <v>480</v>
      </c>
      <c r="L116">
        <v>164</v>
      </c>
      <c r="M116" s="2">
        <v>6.39</v>
      </c>
      <c r="N116">
        <v>55.52</v>
      </c>
      <c r="O116">
        <v>5050.3</v>
      </c>
      <c r="P116" t="s">
        <v>15</v>
      </c>
      <c r="Q116" t="s">
        <v>28</v>
      </c>
    </row>
    <row r="117" spans="1:17" x14ac:dyDescent="0.35">
      <c r="A117" t="s">
        <v>1812</v>
      </c>
      <c r="B117" t="s">
        <v>1813</v>
      </c>
      <c r="C117" t="s">
        <v>1605</v>
      </c>
      <c r="D117" t="s">
        <v>1596</v>
      </c>
      <c r="E117" s="1">
        <v>45355</v>
      </c>
      <c r="F117" s="1">
        <v>45436</v>
      </c>
      <c r="G117">
        <v>1156253</v>
      </c>
      <c r="H117">
        <v>270304</v>
      </c>
      <c r="I117">
        <v>3140</v>
      </c>
      <c r="J117">
        <v>780</v>
      </c>
      <c r="K117">
        <v>138</v>
      </c>
      <c r="L117">
        <v>46</v>
      </c>
      <c r="M117" s="2">
        <v>1.1599999999999999</v>
      </c>
      <c r="N117">
        <v>368.23</v>
      </c>
      <c r="O117">
        <v>25135.93</v>
      </c>
      <c r="P117" t="s">
        <v>21</v>
      </c>
      <c r="Q117" t="s">
        <v>1612</v>
      </c>
    </row>
    <row r="118" spans="1:17" x14ac:dyDescent="0.35">
      <c r="A118" t="s">
        <v>1814</v>
      </c>
      <c r="B118" t="s">
        <v>1720</v>
      </c>
      <c r="C118" t="s">
        <v>1591</v>
      </c>
      <c r="D118" t="s">
        <v>1616</v>
      </c>
      <c r="E118" s="1">
        <v>45573</v>
      </c>
      <c r="F118" s="1">
        <v>45614</v>
      </c>
      <c r="G118">
        <v>107633</v>
      </c>
      <c r="H118">
        <v>227143</v>
      </c>
      <c r="I118">
        <v>3822</v>
      </c>
      <c r="J118">
        <v>602</v>
      </c>
      <c r="K118">
        <v>119</v>
      </c>
      <c r="L118">
        <v>13</v>
      </c>
      <c r="M118" s="2">
        <v>1.68</v>
      </c>
      <c r="N118">
        <v>28.16</v>
      </c>
      <c r="O118">
        <v>8279.4599999999991</v>
      </c>
      <c r="P118" t="s">
        <v>47</v>
      </c>
      <c r="Q118" t="s">
        <v>40</v>
      </c>
    </row>
    <row r="119" spans="1:17" x14ac:dyDescent="0.35">
      <c r="A119" t="s">
        <v>1815</v>
      </c>
      <c r="B119" t="s">
        <v>1816</v>
      </c>
      <c r="C119" t="s">
        <v>1591</v>
      </c>
      <c r="D119" t="s">
        <v>1616</v>
      </c>
      <c r="E119" s="1">
        <v>45514</v>
      </c>
      <c r="F119" s="1">
        <v>45533</v>
      </c>
      <c r="G119">
        <v>619851</v>
      </c>
      <c r="H119">
        <v>480486</v>
      </c>
      <c r="I119">
        <v>36565</v>
      </c>
      <c r="J119">
        <v>3632</v>
      </c>
      <c r="K119">
        <v>868</v>
      </c>
      <c r="L119">
        <v>321</v>
      </c>
      <c r="M119" s="2">
        <v>7.61</v>
      </c>
      <c r="N119">
        <v>16.95</v>
      </c>
      <c r="O119">
        <v>1931</v>
      </c>
      <c r="P119" t="s">
        <v>21</v>
      </c>
      <c r="Q119" t="s">
        <v>54</v>
      </c>
    </row>
    <row r="120" spans="1:17" x14ac:dyDescent="0.35">
      <c r="A120" t="s">
        <v>1817</v>
      </c>
      <c r="B120" t="s">
        <v>1818</v>
      </c>
      <c r="C120" t="s">
        <v>1587</v>
      </c>
      <c r="D120" t="s">
        <v>1592</v>
      </c>
      <c r="E120" s="1">
        <v>45607</v>
      </c>
      <c r="F120" s="1">
        <v>45680</v>
      </c>
      <c r="G120">
        <v>627203</v>
      </c>
      <c r="H120">
        <v>307390</v>
      </c>
      <c r="I120">
        <v>7174</v>
      </c>
      <c r="J120">
        <v>1657</v>
      </c>
      <c r="K120">
        <v>510</v>
      </c>
      <c r="L120">
        <v>114</v>
      </c>
      <c r="M120" s="2">
        <v>2.33</v>
      </c>
      <c r="N120">
        <v>87.43</v>
      </c>
      <c r="O120">
        <v>5501.78</v>
      </c>
      <c r="P120" t="s">
        <v>47</v>
      </c>
      <c r="Q120" t="s">
        <v>79</v>
      </c>
    </row>
    <row r="121" spans="1:17" x14ac:dyDescent="0.35">
      <c r="A121" t="s">
        <v>1819</v>
      </c>
      <c r="B121" t="s">
        <v>1820</v>
      </c>
      <c r="C121" t="s">
        <v>1605</v>
      </c>
      <c r="D121" t="s">
        <v>1630</v>
      </c>
      <c r="E121" s="1">
        <v>44982</v>
      </c>
      <c r="F121" s="1">
        <v>45030</v>
      </c>
      <c r="G121">
        <v>541972</v>
      </c>
      <c r="H121">
        <v>152664</v>
      </c>
      <c r="I121">
        <v>12157</v>
      </c>
      <c r="J121">
        <v>2476</v>
      </c>
      <c r="K121">
        <v>372</v>
      </c>
      <c r="L121">
        <v>57</v>
      </c>
      <c r="M121" s="2">
        <v>7.96</v>
      </c>
      <c r="N121">
        <v>44.58</v>
      </c>
      <c r="O121">
        <v>9508.2800000000007</v>
      </c>
      <c r="P121" t="s">
        <v>21</v>
      </c>
      <c r="Q121" t="s">
        <v>36</v>
      </c>
    </row>
    <row r="122" spans="1:17" x14ac:dyDescent="0.35">
      <c r="A122" t="s">
        <v>1821</v>
      </c>
      <c r="B122" t="s">
        <v>1822</v>
      </c>
      <c r="C122" t="s">
        <v>1605</v>
      </c>
      <c r="D122" t="s">
        <v>1592</v>
      </c>
      <c r="E122" s="1">
        <v>45602</v>
      </c>
      <c r="F122" s="1">
        <v>45625</v>
      </c>
      <c r="G122">
        <v>552015</v>
      </c>
      <c r="H122">
        <v>353724</v>
      </c>
      <c r="I122">
        <v>8674</v>
      </c>
      <c r="J122">
        <v>619</v>
      </c>
      <c r="K122">
        <v>195</v>
      </c>
      <c r="L122">
        <v>30</v>
      </c>
      <c r="M122" s="2">
        <v>2.4500000000000002</v>
      </c>
      <c r="N122">
        <v>63.64</v>
      </c>
      <c r="O122">
        <v>18400.5</v>
      </c>
      <c r="P122" t="s">
        <v>47</v>
      </c>
      <c r="Q122" t="s">
        <v>73</v>
      </c>
    </row>
    <row r="123" spans="1:17" x14ac:dyDescent="0.35">
      <c r="A123" t="s">
        <v>1823</v>
      </c>
      <c r="B123" t="s">
        <v>1824</v>
      </c>
      <c r="C123" t="s">
        <v>1600</v>
      </c>
      <c r="D123" t="s">
        <v>1616</v>
      </c>
      <c r="E123" s="1">
        <v>45419</v>
      </c>
      <c r="F123" s="1">
        <v>45438</v>
      </c>
      <c r="G123">
        <v>224959</v>
      </c>
      <c r="H123">
        <v>451167</v>
      </c>
      <c r="I123">
        <v>32481</v>
      </c>
      <c r="J123">
        <v>1661</v>
      </c>
      <c r="K123">
        <v>633</v>
      </c>
      <c r="L123">
        <v>242</v>
      </c>
      <c r="M123" s="2">
        <v>7.2</v>
      </c>
      <c r="N123">
        <v>6.93</v>
      </c>
      <c r="O123">
        <v>929.58</v>
      </c>
      <c r="P123" t="s">
        <v>1597</v>
      </c>
      <c r="Q123" t="s">
        <v>151</v>
      </c>
    </row>
    <row r="124" spans="1:17" x14ac:dyDescent="0.35">
      <c r="A124" t="s">
        <v>1825</v>
      </c>
      <c r="B124" t="s">
        <v>1804</v>
      </c>
      <c r="C124" t="s">
        <v>1678</v>
      </c>
      <c r="D124" t="s">
        <v>1592</v>
      </c>
      <c r="E124" s="1">
        <v>45663</v>
      </c>
      <c r="F124" s="1">
        <v>45723</v>
      </c>
      <c r="G124">
        <v>306030</v>
      </c>
      <c r="H124">
        <v>119190</v>
      </c>
      <c r="I124">
        <v>9396</v>
      </c>
      <c r="J124">
        <v>1639</v>
      </c>
      <c r="K124">
        <v>642</v>
      </c>
      <c r="L124">
        <v>233</v>
      </c>
      <c r="M124" s="2">
        <v>7.88</v>
      </c>
      <c r="N124">
        <v>32.57</v>
      </c>
      <c r="O124">
        <v>1313.43</v>
      </c>
      <c r="P124" t="s">
        <v>21</v>
      </c>
      <c r="Q124" t="s">
        <v>28</v>
      </c>
    </row>
    <row r="125" spans="1:17" x14ac:dyDescent="0.35">
      <c r="A125" t="s">
        <v>1826</v>
      </c>
      <c r="B125" t="s">
        <v>1827</v>
      </c>
      <c r="C125" t="s">
        <v>1625</v>
      </c>
      <c r="D125" t="s">
        <v>1588</v>
      </c>
      <c r="E125" s="1">
        <v>45076</v>
      </c>
      <c r="F125" s="1">
        <v>45151</v>
      </c>
      <c r="G125">
        <v>536150</v>
      </c>
      <c r="H125">
        <v>338596</v>
      </c>
      <c r="I125">
        <v>12054</v>
      </c>
      <c r="J125">
        <v>2163</v>
      </c>
      <c r="K125">
        <v>348</v>
      </c>
      <c r="L125">
        <v>110</v>
      </c>
      <c r="M125" s="2">
        <v>3.56</v>
      </c>
      <c r="N125">
        <v>44.48</v>
      </c>
      <c r="O125">
        <v>4874.09</v>
      </c>
      <c r="P125" t="s">
        <v>15</v>
      </c>
      <c r="Q125" t="s">
        <v>36</v>
      </c>
    </row>
    <row r="126" spans="1:17" x14ac:dyDescent="0.35">
      <c r="A126" t="s">
        <v>1828</v>
      </c>
      <c r="B126" t="s">
        <v>1829</v>
      </c>
      <c r="C126" t="s">
        <v>1678</v>
      </c>
      <c r="D126" t="s">
        <v>1592</v>
      </c>
      <c r="E126" s="1">
        <v>45508</v>
      </c>
      <c r="F126" s="1">
        <v>45557</v>
      </c>
      <c r="G126">
        <v>1455318</v>
      </c>
      <c r="H126">
        <v>345478</v>
      </c>
      <c r="I126">
        <v>7509</v>
      </c>
      <c r="J126">
        <v>1592</v>
      </c>
      <c r="K126">
        <v>359</v>
      </c>
      <c r="L126">
        <v>47</v>
      </c>
      <c r="M126" s="2">
        <v>2.17</v>
      </c>
      <c r="N126">
        <v>193.81</v>
      </c>
      <c r="O126">
        <v>30964.21</v>
      </c>
      <c r="P126" t="s">
        <v>1597</v>
      </c>
      <c r="Q126" t="s">
        <v>59</v>
      </c>
    </row>
    <row r="127" spans="1:17" x14ac:dyDescent="0.35">
      <c r="A127" t="s">
        <v>1830</v>
      </c>
      <c r="B127" t="s">
        <v>1831</v>
      </c>
      <c r="C127" t="s">
        <v>1600</v>
      </c>
      <c r="D127" t="s">
        <v>1592</v>
      </c>
      <c r="E127" s="1">
        <v>45452</v>
      </c>
      <c r="F127" s="1">
        <v>45528</v>
      </c>
      <c r="G127">
        <v>1184675</v>
      </c>
      <c r="H127">
        <v>281096</v>
      </c>
      <c r="I127">
        <v>8929</v>
      </c>
      <c r="J127">
        <v>1284</v>
      </c>
      <c r="K127">
        <v>574</v>
      </c>
      <c r="L127">
        <v>150</v>
      </c>
      <c r="M127" s="2">
        <v>3.18</v>
      </c>
      <c r="N127">
        <v>132.68</v>
      </c>
      <c r="O127">
        <v>7897.83</v>
      </c>
      <c r="P127" t="s">
        <v>1597</v>
      </c>
      <c r="Q127" t="s">
        <v>59</v>
      </c>
    </row>
    <row r="128" spans="1:17" x14ac:dyDescent="0.35">
      <c r="A128" t="s">
        <v>1832</v>
      </c>
      <c r="B128" t="s">
        <v>1833</v>
      </c>
      <c r="C128" t="s">
        <v>1625</v>
      </c>
      <c r="D128" t="s">
        <v>1592</v>
      </c>
      <c r="E128" s="1">
        <v>45058</v>
      </c>
      <c r="F128" s="1">
        <v>45136</v>
      </c>
      <c r="G128">
        <v>315598</v>
      </c>
      <c r="H128">
        <v>232125</v>
      </c>
      <c r="I128">
        <v>8097</v>
      </c>
      <c r="J128">
        <v>969</v>
      </c>
      <c r="K128">
        <v>350</v>
      </c>
      <c r="L128">
        <v>136</v>
      </c>
      <c r="M128" s="2">
        <v>3.49</v>
      </c>
      <c r="N128">
        <v>38.979999999999997</v>
      </c>
      <c r="O128">
        <v>2320.5700000000002</v>
      </c>
      <c r="P128" t="s">
        <v>47</v>
      </c>
      <c r="Q128" t="s">
        <v>151</v>
      </c>
    </row>
    <row r="129" spans="1:17" x14ac:dyDescent="0.35">
      <c r="A129" t="s">
        <v>1834</v>
      </c>
      <c r="B129" t="s">
        <v>1732</v>
      </c>
      <c r="C129" t="s">
        <v>1605</v>
      </c>
      <c r="D129" t="s">
        <v>1616</v>
      </c>
      <c r="E129" s="1">
        <v>45160</v>
      </c>
      <c r="F129" s="1">
        <v>45197</v>
      </c>
      <c r="G129">
        <v>1116377</v>
      </c>
      <c r="H129">
        <v>479097</v>
      </c>
      <c r="I129">
        <v>30703</v>
      </c>
      <c r="J129">
        <v>6857</v>
      </c>
      <c r="K129">
        <v>3083</v>
      </c>
      <c r="L129">
        <v>1043</v>
      </c>
      <c r="M129" s="2">
        <v>6.41</v>
      </c>
      <c r="N129">
        <v>36.36</v>
      </c>
      <c r="O129">
        <v>1070.3499999999999</v>
      </c>
      <c r="P129" t="s">
        <v>30</v>
      </c>
      <c r="Q129" t="s">
        <v>73</v>
      </c>
    </row>
    <row r="130" spans="1:17" x14ac:dyDescent="0.35">
      <c r="A130" t="s">
        <v>1835</v>
      </c>
      <c r="B130" t="s">
        <v>1836</v>
      </c>
      <c r="C130" t="s">
        <v>1678</v>
      </c>
      <c r="D130" t="s">
        <v>1630</v>
      </c>
      <c r="E130" s="1">
        <v>45606</v>
      </c>
      <c r="F130" s="1">
        <v>45658</v>
      </c>
      <c r="G130">
        <v>363920</v>
      </c>
      <c r="H130">
        <v>147920</v>
      </c>
      <c r="I130">
        <v>4938</v>
      </c>
      <c r="J130">
        <v>1025</v>
      </c>
      <c r="K130">
        <v>297</v>
      </c>
      <c r="L130">
        <v>45</v>
      </c>
      <c r="M130" s="2">
        <v>3.34</v>
      </c>
      <c r="N130">
        <v>73.7</v>
      </c>
      <c r="O130">
        <v>8087.11</v>
      </c>
      <c r="P130" t="s">
        <v>15</v>
      </c>
      <c r="Q130" t="s">
        <v>28</v>
      </c>
    </row>
    <row r="131" spans="1:17" x14ac:dyDescent="0.35">
      <c r="A131" t="s">
        <v>1837</v>
      </c>
      <c r="B131" t="s">
        <v>1838</v>
      </c>
      <c r="C131" t="s">
        <v>1587</v>
      </c>
      <c r="D131" t="s">
        <v>1616</v>
      </c>
      <c r="E131" s="1">
        <v>45591</v>
      </c>
      <c r="F131" s="1">
        <v>45653</v>
      </c>
      <c r="G131">
        <v>283690</v>
      </c>
      <c r="H131">
        <v>194348</v>
      </c>
      <c r="I131">
        <v>13747</v>
      </c>
      <c r="J131">
        <v>2004</v>
      </c>
      <c r="K131">
        <v>902</v>
      </c>
      <c r="L131">
        <v>103</v>
      </c>
      <c r="M131" s="2">
        <v>7.07</v>
      </c>
      <c r="N131">
        <v>20.64</v>
      </c>
      <c r="O131">
        <v>2754.27</v>
      </c>
      <c r="P131" t="s">
        <v>30</v>
      </c>
      <c r="Q131" t="s">
        <v>20</v>
      </c>
    </row>
    <row r="132" spans="1:17" x14ac:dyDescent="0.35">
      <c r="A132" t="s">
        <v>1839</v>
      </c>
      <c r="B132" t="s">
        <v>1840</v>
      </c>
      <c r="C132" t="s">
        <v>1600</v>
      </c>
      <c r="D132" t="s">
        <v>1596</v>
      </c>
      <c r="E132" s="1">
        <v>45010</v>
      </c>
      <c r="F132" s="1">
        <v>45047</v>
      </c>
      <c r="G132">
        <v>740641</v>
      </c>
      <c r="H132">
        <v>214563</v>
      </c>
      <c r="I132">
        <v>9445</v>
      </c>
      <c r="J132">
        <v>731</v>
      </c>
      <c r="K132">
        <v>110</v>
      </c>
      <c r="L132">
        <v>33</v>
      </c>
      <c r="M132" s="2">
        <v>4.4000000000000004</v>
      </c>
      <c r="N132">
        <v>78.42</v>
      </c>
      <c r="O132">
        <v>22443.67</v>
      </c>
      <c r="P132" t="s">
        <v>15</v>
      </c>
      <c r="Q132" t="s">
        <v>40</v>
      </c>
    </row>
    <row r="133" spans="1:17" x14ac:dyDescent="0.35">
      <c r="A133" t="s">
        <v>1841</v>
      </c>
      <c r="B133" t="s">
        <v>1665</v>
      </c>
      <c r="C133" t="s">
        <v>1600</v>
      </c>
      <c r="D133" t="s">
        <v>1596</v>
      </c>
      <c r="E133" s="1">
        <v>45600</v>
      </c>
      <c r="F133" s="1">
        <v>45630</v>
      </c>
      <c r="G133">
        <v>111484</v>
      </c>
      <c r="H133">
        <v>320211</v>
      </c>
      <c r="I133">
        <v>12074</v>
      </c>
      <c r="J133">
        <v>1093</v>
      </c>
      <c r="K133">
        <v>494</v>
      </c>
      <c r="L133">
        <v>187</v>
      </c>
      <c r="M133" s="2">
        <v>3.77</v>
      </c>
      <c r="N133">
        <v>9.23</v>
      </c>
      <c r="O133">
        <v>596.16999999999996</v>
      </c>
      <c r="P133" t="s">
        <v>15</v>
      </c>
      <c r="Q133" t="s">
        <v>28</v>
      </c>
    </row>
    <row r="134" spans="1:17" x14ac:dyDescent="0.35">
      <c r="A134" t="s">
        <v>1842</v>
      </c>
      <c r="B134" t="s">
        <v>1734</v>
      </c>
      <c r="C134" t="s">
        <v>1595</v>
      </c>
      <c r="D134" t="s">
        <v>1588</v>
      </c>
      <c r="E134" s="1">
        <v>45666</v>
      </c>
      <c r="F134" s="1">
        <v>45729</v>
      </c>
      <c r="G134">
        <v>251362</v>
      </c>
      <c r="H134">
        <v>63871</v>
      </c>
      <c r="I134">
        <v>2772</v>
      </c>
      <c r="J134">
        <v>397</v>
      </c>
      <c r="K134">
        <v>80</v>
      </c>
      <c r="L134">
        <v>22</v>
      </c>
      <c r="M134" s="2">
        <v>4.34</v>
      </c>
      <c r="N134">
        <v>90.68</v>
      </c>
      <c r="O134">
        <v>11425.55</v>
      </c>
      <c r="P134" t="s">
        <v>15</v>
      </c>
      <c r="Q134" t="s">
        <v>36</v>
      </c>
    </row>
    <row r="135" spans="1:17" x14ac:dyDescent="0.35">
      <c r="A135" t="s">
        <v>1843</v>
      </c>
      <c r="B135" t="s">
        <v>1844</v>
      </c>
      <c r="C135" t="s">
        <v>1678</v>
      </c>
      <c r="D135" t="s">
        <v>1592</v>
      </c>
      <c r="E135" s="1">
        <v>45376</v>
      </c>
      <c r="F135" s="1">
        <v>45399</v>
      </c>
      <c r="G135">
        <v>1092827</v>
      </c>
      <c r="H135">
        <v>144596</v>
      </c>
      <c r="I135">
        <v>2166</v>
      </c>
      <c r="J135">
        <v>295</v>
      </c>
      <c r="K135">
        <v>72</v>
      </c>
      <c r="L135">
        <v>27</v>
      </c>
      <c r="M135" s="2">
        <v>1.5</v>
      </c>
      <c r="N135">
        <v>504.54</v>
      </c>
      <c r="O135">
        <v>40475.07</v>
      </c>
      <c r="P135" t="s">
        <v>30</v>
      </c>
      <c r="Q135" t="s">
        <v>1612</v>
      </c>
    </row>
    <row r="136" spans="1:17" x14ac:dyDescent="0.35">
      <c r="A136" t="s">
        <v>1845</v>
      </c>
      <c r="B136" t="s">
        <v>1755</v>
      </c>
      <c r="C136" t="s">
        <v>1600</v>
      </c>
      <c r="D136" t="s">
        <v>1630</v>
      </c>
      <c r="E136" s="1">
        <v>45597</v>
      </c>
      <c r="F136" s="1">
        <v>45671</v>
      </c>
      <c r="G136">
        <v>571371</v>
      </c>
      <c r="H136">
        <v>236502</v>
      </c>
      <c r="I136">
        <v>14931</v>
      </c>
      <c r="J136">
        <v>2173</v>
      </c>
      <c r="K136">
        <v>397</v>
      </c>
      <c r="L136">
        <v>90</v>
      </c>
      <c r="M136" s="2">
        <v>6.31</v>
      </c>
      <c r="N136">
        <v>38.270000000000003</v>
      </c>
      <c r="O136">
        <v>6348.57</v>
      </c>
      <c r="P136" t="s">
        <v>21</v>
      </c>
      <c r="Q136" t="s">
        <v>40</v>
      </c>
    </row>
    <row r="137" spans="1:17" x14ac:dyDescent="0.35">
      <c r="A137" t="s">
        <v>1846</v>
      </c>
      <c r="B137" t="s">
        <v>1847</v>
      </c>
      <c r="C137" t="s">
        <v>1595</v>
      </c>
      <c r="D137" t="s">
        <v>1596</v>
      </c>
      <c r="E137" s="1">
        <v>45321</v>
      </c>
      <c r="F137" s="1">
        <v>45362</v>
      </c>
      <c r="G137">
        <v>439026</v>
      </c>
      <c r="H137">
        <v>242671</v>
      </c>
      <c r="I137">
        <v>9300</v>
      </c>
      <c r="J137">
        <v>2197</v>
      </c>
      <c r="K137">
        <v>878</v>
      </c>
      <c r="L137">
        <v>317</v>
      </c>
      <c r="M137" s="2">
        <v>3.83</v>
      </c>
      <c r="N137">
        <v>47.21</v>
      </c>
      <c r="O137">
        <v>1384.94</v>
      </c>
      <c r="P137" t="s">
        <v>15</v>
      </c>
      <c r="Q137" t="s">
        <v>40</v>
      </c>
    </row>
    <row r="138" spans="1:17" x14ac:dyDescent="0.35">
      <c r="A138" t="s">
        <v>1848</v>
      </c>
      <c r="B138" t="s">
        <v>1849</v>
      </c>
      <c r="C138" t="s">
        <v>1625</v>
      </c>
      <c r="D138" t="s">
        <v>1596</v>
      </c>
      <c r="E138" s="1">
        <v>45212</v>
      </c>
      <c r="F138" s="1">
        <v>45280</v>
      </c>
      <c r="G138">
        <v>869798</v>
      </c>
      <c r="H138">
        <v>177039</v>
      </c>
      <c r="I138">
        <v>3590</v>
      </c>
      <c r="J138">
        <v>786</v>
      </c>
      <c r="K138">
        <v>254</v>
      </c>
      <c r="L138">
        <v>57</v>
      </c>
      <c r="M138" s="2">
        <v>2.0299999999999998</v>
      </c>
      <c r="N138">
        <v>242.28</v>
      </c>
      <c r="O138">
        <v>15259.61</v>
      </c>
      <c r="P138" t="s">
        <v>21</v>
      </c>
      <c r="Q138" t="s">
        <v>59</v>
      </c>
    </row>
    <row r="139" spans="1:17" x14ac:dyDescent="0.35">
      <c r="A139" t="s">
        <v>1850</v>
      </c>
      <c r="B139" t="s">
        <v>1851</v>
      </c>
      <c r="C139" t="s">
        <v>1625</v>
      </c>
      <c r="D139" t="s">
        <v>1588</v>
      </c>
      <c r="E139" s="1">
        <v>45658</v>
      </c>
      <c r="F139" s="1">
        <v>45735</v>
      </c>
      <c r="G139">
        <v>1089731</v>
      </c>
      <c r="H139">
        <v>457573</v>
      </c>
      <c r="I139">
        <v>17921</v>
      </c>
      <c r="J139">
        <v>3992</v>
      </c>
      <c r="K139">
        <v>1690</v>
      </c>
      <c r="L139">
        <v>282</v>
      </c>
      <c r="M139" s="2">
        <v>3.92</v>
      </c>
      <c r="N139">
        <v>60.81</v>
      </c>
      <c r="O139">
        <v>3864.29</v>
      </c>
      <c r="P139" t="s">
        <v>47</v>
      </c>
      <c r="Q139" t="s">
        <v>13</v>
      </c>
    </row>
    <row r="140" spans="1:17" x14ac:dyDescent="0.35">
      <c r="A140" t="s">
        <v>1852</v>
      </c>
      <c r="B140" t="s">
        <v>1853</v>
      </c>
      <c r="C140" t="s">
        <v>1615</v>
      </c>
      <c r="D140" t="s">
        <v>1592</v>
      </c>
      <c r="E140" s="1">
        <v>45219</v>
      </c>
      <c r="F140" s="1">
        <v>45289</v>
      </c>
      <c r="G140">
        <v>1049920</v>
      </c>
      <c r="H140">
        <v>494899</v>
      </c>
      <c r="I140">
        <v>16639</v>
      </c>
      <c r="J140">
        <v>2095</v>
      </c>
      <c r="K140">
        <v>826</v>
      </c>
      <c r="L140">
        <v>208</v>
      </c>
      <c r="M140" s="2">
        <v>3.36</v>
      </c>
      <c r="N140">
        <v>63.1</v>
      </c>
      <c r="O140">
        <v>5047.6899999999996</v>
      </c>
      <c r="P140" t="s">
        <v>30</v>
      </c>
      <c r="Q140" t="s">
        <v>54</v>
      </c>
    </row>
    <row r="141" spans="1:17" x14ac:dyDescent="0.35">
      <c r="A141" t="s">
        <v>1854</v>
      </c>
      <c r="B141" t="s">
        <v>1738</v>
      </c>
      <c r="C141" t="s">
        <v>1591</v>
      </c>
      <c r="D141" t="s">
        <v>1588</v>
      </c>
      <c r="E141" s="1">
        <v>45468</v>
      </c>
      <c r="F141" s="1">
        <v>45509</v>
      </c>
      <c r="G141">
        <v>670108</v>
      </c>
      <c r="H141">
        <v>393672</v>
      </c>
      <c r="I141">
        <v>30605</v>
      </c>
      <c r="J141">
        <v>6486</v>
      </c>
      <c r="K141">
        <v>1769</v>
      </c>
      <c r="L141">
        <v>368</v>
      </c>
      <c r="M141" s="2">
        <v>7.77</v>
      </c>
      <c r="N141">
        <v>21.9</v>
      </c>
      <c r="O141">
        <v>1820.95</v>
      </c>
      <c r="P141" t="s">
        <v>47</v>
      </c>
      <c r="Q141" t="s">
        <v>25</v>
      </c>
    </row>
    <row r="142" spans="1:17" x14ac:dyDescent="0.35">
      <c r="A142" t="s">
        <v>1855</v>
      </c>
      <c r="B142" t="s">
        <v>1755</v>
      </c>
      <c r="C142" t="s">
        <v>1615</v>
      </c>
      <c r="D142" t="s">
        <v>1588</v>
      </c>
      <c r="E142" s="1">
        <v>45591</v>
      </c>
      <c r="F142" s="1">
        <v>45669</v>
      </c>
      <c r="G142">
        <v>933462</v>
      </c>
      <c r="H142">
        <v>107892</v>
      </c>
      <c r="I142">
        <v>5330</v>
      </c>
      <c r="J142">
        <v>1218</v>
      </c>
      <c r="K142">
        <v>601</v>
      </c>
      <c r="L142">
        <v>70</v>
      </c>
      <c r="M142" s="2">
        <v>4.9400000000000004</v>
      </c>
      <c r="N142">
        <v>175.13</v>
      </c>
      <c r="O142">
        <v>13335.17</v>
      </c>
      <c r="P142" t="s">
        <v>21</v>
      </c>
      <c r="Q142" t="s">
        <v>54</v>
      </c>
    </row>
    <row r="143" spans="1:17" x14ac:dyDescent="0.35">
      <c r="A143" t="s">
        <v>1856</v>
      </c>
      <c r="B143" t="s">
        <v>1611</v>
      </c>
      <c r="C143" t="s">
        <v>1600</v>
      </c>
      <c r="D143" t="s">
        <v>1592</v>
      </c>
      <c r="E143" s="1">
        <v>45028</v>
      </c>
      <c r="F143" s="1">
        <v>45093</v>
      </c>
      <c r="G143">
        <v>624157</v>
      </c>
      <c r="H143">
        <v>391961</v>
      </c>
      <c r="I143">
        <v>10257</v>
      </c>
      <c r="J143">
        <v>2380</v>
      </c>
      <c r="K143">
        <v>561</v>
      </c>
      <c r="L143">
        <v>218</v>
      </c>
      <c r="M143" s="2">
        <v>2.62</v>
      </c>
      <c r="N143">
        <v>60.85</v>
      </c>
      <c r="O143">
        <v>2863.11</v>
      </c>
      <c r="P143" t="s">
        <v>15</v>
      </c>
      <c r="Q143" t="s">
        <v>54</v>
      </c>
    </row>
    <row r="144" spans="1:17" x14ac:dyDescent="0.35">
      <c r="A144" t="s">
        <v>1857</v>
      </c>
      <c r="B144" t="s">
        <v>1833</v>
      </c>
      <c r="C144" t="s">
        <v>1595</v>
      </c>
      <c r="D144" t="s">
        <v>1588</v>
      </c>
      <c r="E144" s="1">
        <v>45214</v>
      </c>
      <c r="F144" s="1">
        <v>45229</v>
      </c>
      <c r="G144">
        <v>1232744</v>
      </c>
      <c r="H144">
        <v>422648</v>
      </c>
      <c r="I144">
        <v>9382</v>
      </c>
      <c r="J144">
        <v>688</v>
      </c>
      <c r="K144">
        <v>197</v>
      </c>
      <c r="L144">
        <v>49</v>
      </c>
      <c r="M144" s="2">
        <v>2.2200000000000002</v>
      </c>
      <c r="N144">
        <v>131.38999999999999</v>
      </c>
      <c r="O144">
        <v>25158.04</v>
      </c>
      <c r="P144" t="s">
        <v>21</v>
      </c>
      <c r="Q144" t="s">
        <v>20</v>
      </c>
    </row>
    <row r="145" spans="1:17" x14ac:dyDescent="0.35">
      <c r="A145" t="s">
        <v>1858</v>
      </c>
      <c r="B145" t="s">
        <v>1859</v>
      </c>
      <c r="C145" t="s">
        <v>1625</v>
      </c>
      <c r="D145" t="s">
        <v>1596</v>
      </c>
      <c r="E145" s="1">
        <v>45161</v>
      </c>
      <c r="F145" s="1">
        <v>45182</v>
      </c>
      <c r="G145">
        <v>1401028</v>
      </c>
      <c r="H145">
        <v>233047</v>
      </c>
      <c r="I145">
        <v>16923</v>
      </c>
      <c r="J145">
        <v>3832</v>
      </c>
      <c r="K145">
        <v>744</v>
      </c>
      <c r="L145">
        <v>90</v>
      </c>
      <c r="M145" s="2">
        <v>7.26</v>
      </c>
      <c r="N145">
        <v>82.79</v>
      </c>
      <c r="O145">
        <v>15566.98</v>
      </c>
      <c r="P145" t="s">
        <v>47</v>
      </c>
      <c r="Q145" t="s">
        <v>25</v>
      </c>
    </row>
    <row r="146" spans="1:17" x14ac:dyDescent="0.35">
      <c r="A146" t="s">
        <v>1860</v>
      </c>
      <c r="B146" t="s">
        <v>1861</v>
      </c>
      <c r="C146" t="s">
        <v>1625</v>
      </c>
      <c r="D146" t="s">
        <v>1616</v>
      </c>
      <c r="E146" s="1">
        <v>45400</v>
      </c>
      <c r="F146" s="1">
        <v>45490</v>
      </c>
      <c r="G146">
        <v>248038</v>
      </c>
      <c r="H146">
        <v>147975</v>
      </c>
      <c r="I146">
        <v>5981</v>
      </c>
      <c r="J146">
        <v>726</v>
      </c>
      <c r="K146">
        <v>197</v>
      </c>
      <c r="L146">
        <v>77</v>
      </c>
      <c r="M146" s="2">
        <v>4.04</v>
      </c>
      <c r="N146">
        <v>41.47</v>
      </c>
      <c r="O146">
        <v>3221.27</v>
      </c>
      <c r="P146" t="s">
        <v>79</v>
      </c>
      <c r="Q146" t="s">
        <v>59</v>
      </c>
    </row>
    <row r="147" spans="1:17" x14ac:dyDescent="0.35">
      <c r="A147" t="s">
        <v>1862</v>
      </c>
      <c r="B147" t="s">
        <v>1863</v>
      </c>
      <c r="C147" t="s">
        <v>1595</v>
      </c>
      <c r="D147" t="s">
        <v>1616</v>
      </c>
      <c r="E147" s="1">
        <v>45122</v>
      </c>
      <c r="F147" s="1">
        <v>45171</v>
      </c>
      <c r="G147">
        <v>1086820</v>
      </c>
      <c r="H147">
        <v>264140</v>
      </c>
      <c r="I147">
        <v>13863</v>
      </c>
      <c r="J147">
        <v>1849</v>
      </c>
      <c r="K147">
        <v>825</v>
      </c>
      <c r="L147">
        <v>146</v>
      </c>
      <c r="M147" s="2">
        <v>5.25</v>
      </c>
      <c r="N147">
        <v>78.400000000000006</v>
      </c>
      <c r="O147">
        <v>7443.97</v>
      </c>
      <c r="P147" t="s">
        <v>1597</v>
      </c>
      <c r="Q147" t="s">
        <v>40</v>
      </c>
    </row>
    <row r="148" spans="1:17" x14ac:dyDescent="0.35">
      <c r="A148" t="s">
        <v>1864</v>
      </c>
      <c r="B148" t="s">
        <v>1753</v>
      </c>
      <c r="C148" t="s">
        <v>1591</v>
      </c>
      <c r="D148" t="s">
        <v>1588</v>
      </c>
      <c r="E148" s="1">
        <v>45419</v>
      </c>
      <c r="F148" s="1">
        <v>45447</v>
      </c>
      <c r="G148">
        <v>619778</v>
      </c>
      <c r="H148">
        <v>27851</v>
      </c>
      <c r="I148">
        <v>971</v>
      </c>
      <c r="J148">
        <v>135</v>
      </c>
      <c r="K148">
        <v>60</v>
      </c>
      <c r="L148">
        <v>23</v>
      </c>
      <c r="M148" s="2">
        <v>3.49</v>
      </c>
      <c r="N148">
        <v>638.29</v>
      </c>
      <c r="O148">
        <v>26946.87</v>
      </c>
      <c r="P148" t="s">
        <v>47</v>
      </c>
      <c r="Q148" t="s">
        <v>40</v>
      </c>
    </row>
    <row r="149" spans="1:17" x14ac:dyDescent="0.35">
      <c r="A149" t="s">
        <v>1865</v>
      </c>
      <c r="B149" t="s">
        <v>1866</v>
      </c>
      <c r="C149" t="s">
        <v>1600</v>
      </c>
      <c r="D149" t="s">
        <v>1588</v>
      </c>
      <c r="E149" s="1">
        <v>44945</v>
      </c>
      <c r="F149" s="1">
        <v>44969</v>
      </c>
      <c r="G149">
        <v>292379</v>
      </c>
      <c r="H149">
        <v>281759</v>
      </c>
      <c r="I149">
        <v>9276</v>
      </c>
      <c r="J149">
        <v>1201</v>
      </c>
      <c r="K149">
        <v>420</v>
      </c>
      <c r="L149">
        <v>98</v>
      </c>
      <c r="M149" s="2">
        <v>3.29</v>
      </c>
      <c r="N149">
        <v>31.52</v>
      </c>
      <c r="O149">
        <v>2983.46</v>
      </c>
      <c r="P149" t="s">
        <v>47</v>
      </c>
      <c r="Q149" t="s">
        <v>40</v>
      </c>
    </row>
    <row r="150" spans="1:17" x14ac:dyDescent="0.35">
      <c r="A150" t="s">
        <v>1867</v>
      </c>
      <c r="B150" t="s">
        <v>1851</v>
      </c>
      <c r="C150" t="s">
        <v>1587</v>
      </c>
      <c r="D150" t="s">
        <v>1588</v>
      </c>
      <c r="E150" s="1">
        <v>45543</v>
      </c>
      <c r="F150" s="1">
        <v>45599</v>
      </c>
      <c r="G150">
        <v>215926</v>
      </c>
      <c r="H150">
        <v>56754</v>
      </c>
      <c r="I150">
        <v>4491</v>
      </c>
      <c r="J150">
        <v>325</v>
      </c>
      <c r="K150">
        <v>124</v>
      </c>
      <c r="L150">
        <v>16</v>
      </c>
      <c r="M150" s="2">
        <v>7.91</v>
      </c>
      <c r="N150">
        <v>48.08</v>
      </c>
      <c r="O150">
        <v>13495.38</v>
      </c>
      <c r="P150" t="s">
        <v>30</v>
      </c>
      <c r="Q150" t="s">
        <v>1612</v>
      </c>
    </row>
    <row r="151" spans="1:17" x14ac:dyDescent="0.35">
      <c r="A151" t="s">
        <v>1868</v>
      </c>
      <c r="B151" t="s">
        <v>1816</v>
      </c>
      <c r="C151" t="s">
        <v>1600</v>
      </c>
      <c r="D151" t="s">
        <v>1630</v>
      </c>
      <c r="E151" s="1">
        <v>45189</v>
      </c>
      <c r="F151" s="1">
        <v>45271</v>
      </c>
      <c r="G151">
        <v>431336</v>
      </c>
      <c r="H151">
        <v>57921</v>
      </c>
      <c r="I151">
        <v>1556</v>
      </c>
      <c r="J151">
        <v>274</v>
      </c>
      <c r="K151">
        <v>52</v>
      </c>
      <c r="L151">
        <v>10</v>
      </c>
      <c r="M151" s="2">
        <v>2.69</v>
      </c>
      <c r="N151">
        <v>277.20999999999998</v>
      </c>
      <c r="O151">
        <v>43133.599999999999</v>
      </c>
      <c r="P151" t="s">
        <v>21</v>
      </c>
      <c r="Q151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AACB-2312-4F9D-AB91-A5252C12D28F}">
  <dimension ref="A1:N2501"/>
  <sheetViews>
    <sheetView workbookViewId="0">
      <selection activeCell="Q19" sqref="Q19"/>
    </sheetView>
  </sheetViews>
  <sheetFormatPr defaultRowHeight="14.5" x14ac:dyDescent="0.35"/>
  <cols>
    <col min="1" max="1" width="10.7265625" bestFit="1" customWidth="1"/>
    <col min="2" max="2" width="14.7265625" bestFit="1" customWidth="1"/>
    <col min="3" max="3" width="11" bestFit="1" customWidth="1"/>
    <col min="4" max="4" width="17.81640625" bestFit="1" customWidth="1"/>
    <col min="5" max="5" width="17.1796875" bestFit="1" customWidth="1"/>
    <col min="6" max="6" width="12.6328125" bestFit="1" customWidth="1"/>
    <col min="7" max="7" width="17" bestFit="1" customWidth="1"/>
    <col min="8" max="8" width="15" bestFit="1" customWidth="1"/>
    <col min="9" max="9" width="12.81640625" bestFit="1" customWidth="1"/>
    <col min="10" max="10" width="15.6328125" bestFit="1" customWidth="1"/>
    <col min="11" max="11" width="18.26953125" bestFit="1" customWidth="1"/>
    <col min="12" max="12" width="9.08984375" bestFit="1" customWidth="1"/>
    <col min="13" max="13" width="9.81640625" bestFit="1" customWidth="1"/>
    <col min="14" max="14" width="13.6328125" bestFit="1" customWidth="1"/>
  </cols>
  <sheetData>
    <row r="1" spans="1:14" x14ac:dyDescent="0.35">
      <c r="A1" t="s">
        <v>1869</v>
      </c>
      <c r="B1" t="s">
        <v>1870</v>
      </c>
      <c r="C1" t="s">
        <v>0</v>
      </c>
      <c r="D1" t="s">
        <v>1871</v>
      </c>
      <c r="E1" t="s">
        <v>1872</v>
      </c>
      <c r="F1" t="s">
        <v>1873</v>
      </c>
      <c r="G1" t="s">
        <v>1874</v>
      </c>
      <c r="H1" s="1" t="s">
        <v>1875</v>
      </c>
      <c r="I1" s="1" t="s">
        <v>1876</v>
      </c>
      <c r="J1" t="s">
        <v>1877</v>
      </c>
      <c r="K1" t="s">
        <v>1878</v>
      </c>
      <c r="L1" t="s">
        <v>4</v>
      </c>
      <c r="M1" t="s">
        <v>1879</v>
      </c>
      <c r="N1" t="s">
        <v>1880</v>
      </c>
    </row>
    <row r="2" spans="1:14" x14ac:dyDescent="0.35">
      <c r="A2" t="s">
        <v>1881</v>
      </c>
      <c r="B2" t="s">
        <v>1882</v>
      </c>
      <c r="C2" t="s">
        <v>329</v>
      </c>
      <c r="D2" t="s">
        <v>1883</v>
      </c>
      <c r="E2" t="s">
        <v>1884</v>
      </c>
      <c r="F2" t="s">
        <v>1885</v>
      </c>
      <c r="G2">
        <v>160271</v>
      </c>
      <c r="H2" s="1">
        <v>45263</v>
      </c>
      <c r="I2" s="1">
        <v>45406</v>
      </c>
      <c r="J2">
        <v>143</v>
      </c>
      <c r="K2">
        <v>3.7</v>
      </c>
      <c r="L2" t="s">
        <v>30</v>
      </c>
      <c r="M2" t="s">
        <v>1886</v>
      </c>
      <c r="N2" t="s">
        <v>1887</v>
      </c>
    </row>
    <row r="3" spans="1:14" x14ac:dyDescent="0.35">
      <c r="A3" t="s">
        <v>1888</v>
      </c>
      <c r="B3" t="s">
        <v>1889</v>
      </c>
      <c r="C3" t="s">
        <v>473</v>
      </c>
      <c r="D3" t="s">
        <v>1890</v>
      </c>
      <c r="E3" t="s">
        <v>1891</v>
      </c>
      <c r="F3" t="s">
        <v>1892</v>
      </c>
      <c r="G3">
        <v>491510</v>
      </c>
      <c r="H3" s="1">
        <v>45030</v>
      </c>
      <c r="I3" s="1"/>
      <c r="L3" t="s">
        <v>15</v>
      </c>
      <c r="M3" t="s">
        <v>1893</v>
      </c>
      <c r="N3" t="s">
        <v>1887</v>
      </c>
    </row>
    <row r="4" spans="1:14" x14ac:dyDescent="0.35">
      <c r="A4" t="s">
        <v>1894</v>
      </c>
      <c r="B4" t="s">
        <v>1889</v>
      </c>
      <c r="C4" t="s">
        <v>300</v>
      </c>
      <c r="D4" t="s">
        <v>1890</v>
      </c>
      <c r="E4" t="s">
        <v>1884</v>
      </c>
      <c r="F4" t="s">
        <v>1895</v>
      </c>
      <c r="G4">
        <v>224184</v>
      </c>
      <c r="H4" s="1">
        <v>44956</v>
      </c>
      <c r="I4" s="1"/>
      <c r="L4" t="s">
        <v>30</v>
      </c>
      <c r="M4" t="s">
        <v>1896</v>
      </c>
      <c r="N4" t="s">
        <v>1887</v>
      </c>
    </row>
    <row r="5" spans="1:14" x14ac:dyDescent="0.35">
      <c r="A5" t="s">
        <v>1897</v>
      </c>
      <c r="B5" t="s">
        <v>1898</v>
      </c>
      <c r="C5" t="s">
        <v>346</v>
      </c>
      <c r="D5" t="s">
        <v>1899</v>
      </c>
      <c r="E5" t="s">
        <v>1891</v>
      </c>
      <c r="F5" t="s">
        <v>1900</v>
      </c>
      <c r="G5">
        <v>265745</v>
      </c>
      <c r="H5" s="1">
        <v>45590</v>
      </c>
      <c r="I5" s="1">
        <v>45650</v>
      </c>
      <c r="J5">
        <v>60</v>
      </c>
      <c r="K5">
        <v>17.8</v>
      </c>
      <c r="L5" t="s">
        <v>15</v>
      </c>
      <c r="M5" t="s">
        <v>1901</v>
      </c>
      <c r="N5" t="s">
        <v>1887</v>
      </c>
    </row>
    <row r="6" spans="1:14" x14ac:dyDescent="0.35">
      <c r="A6" t="s">
        <v>1902</v>
      </c>
      <c r="B6" t="s">
        <v>1903</v>
      </c>
      <c r="C6" t="s">
        <v>341</v>
      </c>
      <c r="D6" t="s">
        <v>1904</v>
      </c>
      <c r="E6" t="s">
        <v>1905</v>
      </c>
      <c r="F6" t="s">
        <v>1900</v>
      </c>
      <c r="G6">
        <v>255053</v>
      </c>
      <c r="H6" s="1">
        <v>45266</v>
      </c>
      <c r="I6" s="1">
        <v>45429</v>
      </c>
      <c r="J6">
        <v>163</v>
      </c>
      <c r="K6">
        <v>8.4</v>
      </c>
      <c r="L6" t="s">
        <v>21</v>
      </c>
      <c r="M6" t="s">
        <v>1886</v>
      </c>
      <c r="N6" t="s">
        <v>1887</v>
      </c>
    </row>
    <row r="7" spans="1:14" x14ac:dyDescent="0.35">
      <c r="A7" t="s">
        <v>1906</v>
      </c>
      <c r="B7" t="s">
        <v>1907</v>
      </c>
      <c r="C7" t="s">
        <v>366</v>
      </c>
      <c r="D7" t="s">
        <v>1904</v>
      </c>
      <c r="E7" t="s">
        <v>1891</v>
      </c>
      <c r="F7" t="s">
        <v>1908</v>
      </c>
      <c r="G7">
        <v>389913</v>
      </c>
      <c r="H7" s="1">
        <v>45276</v>
      </c>
      <c r="I7" s="1"/>
      <c r="L7" t="s">
        <v>15</v>
      </c>
      <c r="M7" t="s">
        <v>1886</v>
      </c>
      <c r="N7" t="s">
        <v>1887</v>
      </c>
    </row>
    <row r="8" spans="1:14" x14ac:dyDescent="0.35">
      <c r="A8" t="s">
        <v>1909</v>
      </c>
      <c r="B8" t="s">
        <v>1889</v>
      </c>
      <c r="C8" t="s">
        <v>480</v>
      </c>
      <c r="D8" t="s">
        <v>1890</v>
      </c>
      <c r="E8" t="s">
        <v>1905</v>
      </c>
      <c r="F8" t="s">
        <v>1900</v>
      </c>
      <c r="G8">
        <v>393048</v>
      </c>
      <c r="H8" s="1">
        <v>45613</v>
      </c>
      <c r="I8" s="1">
        <v>45784</v>
      </c>
      <c r="J8">
        <v>171</v>
      </c>
      <c r="K8">
        <v>1.1000000000000001</v>
      </c>
      <c r="L8" t="s">
        <v>30</v>
      </c>
      <c r="M8" t="s">
        <v>1901</v>
      </c>
      <c r="N8" t="s">
        <v>1887</v>
      </c>
    </row>
    <row r="9" spans="1:14" x14ac:dyDescent="0.35">
      <c r="A9" t="s">
        <v>1910</v>
      </c>
      <c r="B9" t="s">
        <v>1911</v>
      </c>
      <c r="C9" t="s">
        <v>103</v>
      </c>
      <c r="D9" t="s">
        <v>1890</v>
      </c>
      <c r="E9" t="s">
        <v>1587</v>
      </c>
      <c r="F9" t="s">
        <v>1900</v>
      </c>
      <c r="G9">
        <v>295502</v>
      </c>
      <c r="H9" s="1">
        <v>45696</v>
      </c>
      <c r="I9" s="1">
        <v>45821</v>
      </c>
      <c r="J9">
        <v>125</v>
      </c>
      <c r="K9">
        <v>15.8</v>
      </c>
      <c r="L9" t="s">
        <v>21</v>
      </c>
      <c r="M9" t="s">
        <v>1912</v>
      </c>
      <c r="N9" t="s">
        <v>1887</v>
      </c>
    </row>
    <row r="10" spans="1:14" x14ac:dyDescent="0.35">
      <c r="A10" t="s">
        <v>1913</v>
      </c>
      <c r="B10" t="s">
        <v>1914</v>
      </c>
      <c r="C10" t="s">
        <v>378</v>
      </c>
      <c r="D10" t="s">
        <v>1915</v>
      </c>
      <c r="E10" t="s">
        <v>1891</v>
      </c>
      <c r="F10" t="s">
        <v>1895</v>
      </c>
      <c r="G10">
        <v>172519</v>
      </c>
      <c r="H10" s="1">
        <v>45371</v>
      </c>
      <c r="I10" s="1"/>
      <c r="K10">
        <v>14.2</v>
      </c>
      <c r="L10" t="s">
        <v>15</v>
      </c>
      <c r="M10" t="s">
        <v>1916</v>
      </c>
      <c r="N10" t="s">
        <v>1887</v>
      </c>
    </row>
    <row r="11" spans="1:14" x14ac:dyDescent="0.35">
      <c r="A11" t="s">
        <v>1917</v>
      </c>
      <c r="B11" t="s">
        <v>1911</v>
      </c>
      <c r="C11" t="s">
        <v>461</v>
      </c>
      <c r="D11" t="s">
        <v>1904</v>
      </c>
      <c r="E11" t="s">
        <v>1918</v>
      </c>
      <c r="F11" t="s">
        <v>1900</v>
      </c>
      <c r="G11">
        <v>146890</v>
      </c>
      <c r="H11" s="1">
        <v>45356</v>
      </c>
      <c r="I11" s="1">
        <v>45414</v>
      </c>
      <c r="J11">
        <v>58</v>
      </c>
      <c r="K11">
        <v>8.5</v>
      </c>
      <c r="L11" t="s">
        <v>30</v>
      </c>
      <c r="M11" t="s">
        <v>1916</v>
      </c>
      <c r="N11" t="s">
        <v>1887</v>
      </c>
    </row>
    <row r="12" spans="1:14" x14ac:dyDescent="0.35">
      <c r="A12" t="s">
        <v>1919</v>
      </c>
      <c r="B12" t="s">
        <v>1920</v>
      </c>
      <c r="C12" t="s">
        <v>387</v>
      </c>
      <c r="D12" t="s">
        <v>1899</v>
      </c>
      <c r="E12" t="s">
        <v>1600</v>
      </c>
      <c r="F12" t="s">
        <v>1900</v>
      </c>
      <c r="G12">
        <v>242460</v>
      </c>
      <c r="H12" s="1">
        <v>45346</v>
      </c>
      <c r="I12" s="1">
        <v>45463</v>
      </c>
      <c r="J12">
        <v>117</v>
      </c>
      <c r="K12">
        <v>23</v>
      </c>
      <c r="L12" t="s">
        <v>21</v>
      </c>
      <c r="M12" t="s">
        <v>1916</v>
      </c>
      <c r="N12" t="s">
        <v>1887</v>
      </c>
    </row>
    <row r="13" spans="1:14" x14ac:dyDescent="0.35">
      <c r="A13" t="s">
        <v>1921</v>
      </c>
      <c r="B13" t="s">
        <v>1922</v>
      </c>
      <c r="C13" t="s">
        <v>268</v>
      </c>
      <c r="D13" t="s">
        <v>1904</v>
      </c>
      <c r="E13" t="s">
        <v>1918</v>
      </c>
      <c r="F13" t="s">
        <v>1900</v>
      </c>
      <c r="G13">
        <v>396833</v>
      </c>
      <c r="H13" s="1">
        <v>45219</v>
      </c>
      <c r="I13" s="1">
        <v>45236</v>
      </c>
      <c r="J13">
        <v>17</v>
      </c>
      <c r="K13">
        <v>4.3</v>
      </c>
      <c r="L13" t="s">
        <v>15</v>
      </c>
      <c r="M13" t="s">
        <v>1886</v>
      </c>
      <c r="N13" t="s">
        <v>1887</v>
      </c>
    </row>
    <row r="14" spans="1:14" x14ac:dyDescent="0.35">
      <c r="A14" t="s">
        <v>1923</v>
      </c>
      <c r="B14" t="s">
        <v>1924</v>
      </c>
      <c r="C14" t="s">
        <v>45</v>
      </c>
      <c r="D14" t="s">
        <v>1890</v>
      </c>
      <c r="E14" t="s">
        <v>1600</v>
      </c>
      <c r="F14" t="s">
        <v>1900</v>
      </c>
      <c r="G14">
        <v>207588</v>
      </c>
      <c r="H14" s="1">
        <v>45335</v>
      </c>
      <c r="I14" s="1">
        <v>45486</v>
      </c>
      <c r="J14">
        <v>151</v>
      </c>
      <c r="K14">
        <v>4.3</v>
      </c>
      <c r="L14" t="s">
        <v>21</v>
      </c>
      <c r="M14" t="s">
        <v>1916</v>
      </c>
      <c r="N14" t="s">
        <v>1887</v>
      </c>
    </row>
    <row r="15" spans="1:14" x14ac:dyDescent="0.35">
      <c r="A15" t="s">
        <v>1925</v>
      </c>
      <c r="B15" t="s">
        <v>1926</v>
      </c>
      <c r="C15" t="s">
        <v>324</v>
      </c>
      <c r="D15" t="s">
        <v>1927</v>
      </c>
      <c r="E15" t="s">
        <v>1884</v>
      </c>
      <c r="F15" t="s">
        <v>1900</v>
      </c>
      <c r="G15">
        <v>244787</v>
      </c>
      <c r="H15" s="1">
        <v>45210</v>
      </c>
      <c r="I15" s="1">
        <v>45327</v>
      </c>
      <c r="J15">
        <v>117</v>
      </c>
      <c r="K15">
        <v>7.8</v>
      </c>
      <c r="L15" t="s">
        <v>21</v>
      </c>
      <c r="M15" t="s">
        <v>1886</v>
      </c>
      <c r="N15" t="s">
        <v>1887</v>
      </c>
    </row>
    <row r="16" spans="1:14" x14ac:dyDescent="0.35">
      <c r="A16" t="s">
        <v>1928</v>
      </c>
      <c r="B16" t="s">
        <v>1920</v>
      </c>
      <c r="C16" t="s">
        <v>94</v>
      </c>
      <c r="D16" t="s">
        <v>1883</v>
      </c>
      <c r="E16" t="s">
        <v>1678</v>
      </c>
      <c r="F16" t="s">
        <v>1900</v>
      </c>
      <c r="G16">
        <v>223320</v>
      </c>
      <c r="H16" s="1">
        <v>45623</v>
      </c>
      <c r="I16" s="1">
        <v>45770</v>
      </c>
      <c r="J16">
        <v>147</v>
      </c>
      <c r="K16">
        <v>9</v>
      </c>
      <c r="L16" t="s">
        <v>47</v>
      </c>
      <c r="M16" t="s">
        <v>1901</v>
      </c>
      <c r="N16" t="s">
        <v>1887</v>
      </c>
    </row>
    <row r="17" spans="1:14" x14ac:dyDescent="0.35">
      <c r="A17" t="s">
        <v>1929</v>
      </c>
      <c r="B17" t="s">
        <v>1930</v>
      </c>
      <c r="C17" t="s">
        <v>158</v>
      </c>
      <c r="D17" t="s">
        <v>1890</v>
      </c>
      <c r="E17" t="s">
        <v>1931</v>
      </c>
      <c r="F17" t="s">
        <v>1895</v>
      </c>
      <c r="G17">
        <v>341493</v>
      </c>
      <c r="H17" s="1">
        <v>45142</v>
      </c>
      <c r="I17" s="1"/>
      <c r="L17" t="s">
        <v>30</v>
      </c>
      <c r="M17" t="s">
        <v>1932</v>
      </c>
      <c r="N17" t="s">
        <v>1887</v>
      </c>
    </row>
    <row r="18" spans="1:14" x14ac:dyDescent="0.35">
      <c r="A18" t="s">
        <v>1933</v>
      </c>
      <c r="B18" t="s">
        <v>1934</v>
      </c>
      <c r="C18" t="s">
        <v>257</v>
      </c>
      <c r="D18" t="s">
        <v>1890</v>
      </c>
      <c r="E18" t="s">
        <v>1587</v>
      </c>
      <c r="F18" t="s">
        <v>1885</v>
      </c>
      <c r="G18">
        <v>416867</v>
      </c>
      <c r="H18" s="1">
        <v>45426</v>
      </c>
      <c r="I18" s="1">
        <v>45541</v>
      </c>
      <c r="J18">
        <v>115</v>
      </c>
      <c r="K18">
        <v>12.2</v>
      </c>
      <c r="L18" t="s">
        <v>15</v>
      </c>
      <c r="M18" t="s">
        <v>1935</v>
      </c>
      <c r="N18" t="s">
        <v>1887</v>
      </c>
    </row>
    <row r="19" spans="1:14" x14ac:dyDescent="0.35">
      <c r="A19" t="s">
        <v>1936</v>
      </c>
      <c r="B19" t="s">
        <v>1937</v>
      </c>
      <c r="C19" t="s">
        <v>498</v>
      </c>
      <c r="D19" t="s">
        <v>1915</v>
      </c>
      <c r="E19" t="s">
        <v>1678</v>
      </c>
      <c r="F19" t="s">
        <v>1895</v>
      </c>
      <c r="G19">
        <v>67690</v>
      </c>
      <c r="H19" s="1">
        <v>45708</v>
      </c>
      <c r="I19" s="1"/>
      <c r="K19">
        <v>12.5</v>
      </c>
      <c r="L19" t="s">
        <v>15</v>
      </c>
      <c r="M19" t="s">
        <v>1912</v>
      </c>
      <c r="N19" t="s">
        <v>1887</v>
      </c>
    </row>
    <row r="20" spans="1:14" x14ac:dyDescent="0.35">
      <c r="A20" t="s">
        <v>1938</v>
      </c>
      <c r="B20" t="s">
        <v>1911</v>
      </c>
      <c r="C20" t="s">
        <v>421</v>
      </c>
      <c r="D20" t="s">
        <v>1915</v>
      </c>
      <c r="E20" t="s">
        <v>1905</v>
      </c>
      <c r="F20" t="s">
        <v>1900</v>
      </c>
      <c r="G20">
        <v>453993</v>
      </c>
      <c r="H20" s="1">
        <v>45316</v>
      </c>
      <c r="I20" s="1">
        <v>45466</v>
      </c>
      <c r="J20">
        <v>150</v>
      </c>
      <c r="K20">
        <v>9.5</v>
      </c>
      <c r="L20" t="s">
        <v>30</v>
      </c>
      <c r="M20" t="s">
        <v>1916</v>
      </c>
      <c r="N20" t="s">
        <v>1887</v>
      </c>
    </row>
    <row r="21" spans="1:14" x14ac:dyDescent="0.35">
      <c r="A21" t="s">
        <v>1939</v>
      </c>
      <c r="B21" t="s">
        <v>1898</v>
      </c>
      <c r="C21" t="s">
        <v>332</v>
      </c>
      <c r="D21" t="s">
        <v>1899</v>
      </c>
      <c r="E21" t="s">
        <v>1678</v>
      </c>
      <c r="F21" t="s">
        <v>1895</v>
      </c>
      <c r="G21">
        <v>404058</v>
      </c>
      <c r="H21" s="1">
        <v>45432</v>
      </c>
      <c r="I21" s="1"/>
      <c r="K21">
        <v>5.3</v>
      </c>
      <c r="L21" t="s">
        <v>15</v>
      </c>
      <c r="M21" t="s">
        <v>1935</v>
      </c>
      <c r="N21" t="s">
        <v>1887</v>
      </c>
    </row>
    <row r="22" spans="1:14" x14ac:dyDescent="0.35">
      <c r="A22" t="s">
        <v>1940</v>
      </c>
      <c r="B22" t="s">
        <v>1937</v>
      </c>
      <c r="C22" t="s">
        <v>328</v>
      </c>
      <c r="D22" t="s">
        <v>1915</v>
      </c>
      <c r="E22" t="s">
        <v>1918</v>
      </c>
      <c r="F22" t="s">
        <v>1908</v>
      </c>
      <c r="G22">
        <v>117974</v>
      </c>
      <c r="H22" s="1">
        <v>44950</v>
      </c>
      <c r="I22" s="1"/>
      <c r="K22">
        <v>11.5</v>
      </c>
      <c r="L22" t="s">
        <v>21</v>
      </c>
      <c r="M22" t="s">
        <v>1896</v>
      </c>
      <c r="N22" t="s">
        <v>1887</v>
      </c>
    </row>
    <row r="23" spans="1:14" x14ac:dyDescent="0.35">
      <c r="A23" t="s">
        <v>1941</v>
      </c>
      <c r="B23" t="s">
        <v>1914</v>
      </c>
      <c r="C23" t="s">
        <v>200</v>
      </c>
      <c r="D23" t="s">
        <v>1915</v>
      </c>
      <c r="E23" t="s">
        <v>1918</v>
      </c>
      <c r="F23" t="s">
        <v>1895</v>
      </c>
      <c r="G23">
        <v>111938</v>
      </c>
      <c r="H23" s="1">
        <v>45725</v>
      </c>
      <c r="I23" s="1"/>
      <c r="L23" t="s">
        <v>15</v>
      </c>
      <c r="M23" t="s">
        <v>1912</v>
      </c>
      <c r="N23" t="s">
        <v>1887</v>
      </c>
    </row>
    <row r="24" spans="1:14" x14ac:dyDescent="0.35">
      <c r="A24" t="s">
        <v>1942</v>
      </c>
      <c r="B24" t="s">
        <v>1924</v>
      </c>
      <c r="C24" t="s">
        <v>45</v>
      </c>
      <c r="D24" t="s">
        <v>1890</v>
      </c>
      <c r="E24" t="s">
        <v>1931</v>
      </c>
      <c r="F24" t="s">
        <v>1885</v>
      </c>
      <c r="G24">
        <v>133407</v>
      </c>
      <c r="H24" s="1">
        <v>45046</v>
      </c>
      <c r="I24" s="1">
        <v>45166</v>
      </c>
      <c r="J24">
        <v>120</v>
      </c>
      <c r="K24">
        <v>10.9</v>
      </c>
      <c r="L24" t="s">
        <v>47</v>
      </c>
      <c r="M24" t="s">
        <v>1893</v>
      </c>
      <c r="N24" t="s">
        <v>1887</v>
      </c>
    </row>
    <row r="25" spans="1:14" x14ac:dyDescent="0.35">
      <c r="A25" t="s">
        <v>1943</v>
      </c>
      <c r="B25" t="s">
        <v>1944</v>
      </c>
      <c r="C25" t="s">
        <v>437</v>
      </c>
      <c r="D25" t="s">
        <v>1883</v>
      </c>
      <c r="E25" t="s">
        <v>1945</v>
      </c>
      <c r="F25" t="s">
        <v>1946</v>
      </c>
      <c r="G25">
        <v>125962</v>
      </c>
      <c r="H25" s="1">
        <v>45347</v>
      </c>
      <c r="I25" s="1"/>
      <c r="K25">
        <v>12.9</v>
      </c>
      <c r="L25" t="s">
        <v>21</v>
      </c>
      <c r="M25" t="s">
        <v>1916</v>
      </c>
      <c r="N25" t="s">
        <v>1887</v>
      </c>
    </row>
    <row r="26" spans="1:14" x14ac:dyDescent="0.35">
      <c r="A26" t="s">
        <v>1947</v>
      </c>
      <c r="B26" t="s">
        <v>1911</v>
      </c>
      <c r="C26" t="s">
        <v>337</v>
      </c>
      <c r="D26" t="s">
        <v>1899</v>
      </c>
      <c r="E26" t="s">
        <v>1678</v>
      </c>
      <c r="F26" t="s">
        <v>1900</v>
      </c>
      <c r="G26">
        <v>71017</v>
      </c>
      <c r="H26" s="1">
        <v>44994</v>
      </c>
      <c r="I26" s="1">
        <v>45095</v>
      </c>
      <c r="J26">
        <v>101</v>
      </c>
      <c r="K26">
        <v>3.5</v>
      </c>
      <c r="L26" t="s">
        <v>30</v>
      </c>
      <c r="M26" t="s">
        <v>1896</v>
      </c>
      <c r="N26" t="s">
        <v>1887</v>
      </c>
    </row>
    <row r="27" spans="1:14" x14ac:dyDescent="0.35">
      <c r="A27" t="s">
        <v>1948</v>
      </c>
      <c r="B27" t="s">
        <v>1930</v>
      </c>
      <c r="C27" t="s">
        <v>207</v>
      </c>
      <c r="D27" t="s">
        <v>1899</v>
      </c>
      <c r="E27" t="s">
        <v>1931</v>
      </c>
      <c r="F27" t="s">
        <v>1900</v>
      </c>
      <c r="G27">
        <v>80078</v>
      </c>
      <c r="H27" s="1">
        <v>45652</v>
      </c>
      <c r="I27" s="1">
        <v>45722</v>
      </c>
      <c r="J27">
        <v>70</v>
      </c>
      <c r="K27">
        <v>4.9000000000000004</v>
      </c>
      <c r="L27" t="s">
        <v>47</v>
      </c>
      <c r="M27" t="s">
        <v>1901</v>
      </c>
      <c r="N27" t="s">
        <v>1887</v>
      </c>
    </row>
    <row r="28" spans="1:14" x14ac:dyDescent="0.35">
      <c r="A28" t="s">
        <v>1949</v>
      </c>
      <c r="B28" t="s">
        <v>1924</v>
      </c>
      <c r="C28" t="s">
        <v>353</v>
      </c>
      <c r="D28" t="s">
        <v>1883</v>
      </c>
      <c r="E28" t="s">
        <v>1931</v>
      </c>
      <c r="F28" t="s">
        <v>1946</v>
      </c>
      <c r="G28">
        <v>147459</v>
      </c>
      <c r="H28" s="1">
        <v>45026</v>
      </c>
      <c r="I28" s="1"/>
      <c r="K28">
        <v>6.4</v>
      </c>
      <c r="L28" t="s">
        <v>15</v>
      </c>
      <c r="M28" t="s">
        <v>1893</v>
      </c>
      <c r="N28" t="s">
        <v>1887</v>
      </c>
    </row>
    <row r="29" spans="1:14" x14ac:dyDescent="0.35">
      <c r="A29" t="s">
        <v>1950</v>
      </c>
      <c r="B29" t="s">
        <v>1922</v>
      </c>
      <c r="C29" t="s">
        <v>57</v>
      </c>
      <c r="D29" t="s">
        <v>1890</v>
      </c>
      <c r="E29" t="s">
        <v>1600</v>
      </c>
      <c r="F29" t="s">
        <v>1885</v>
      </c>
      <c r="G29">
        <v>59394</v>
      </c>
      <c r="H29" s="1">
        <v>45278</v>
      </c>
      <c r="I29" s="1">
        <v>45351</v>
      </c>
      <c r="J29">
        <v>73</v>
      </c>
      <c r="K29">
        <v>2.1</v>
      </c>
      <c r="L29" t="s">
        <v>21</v>
      </c>
      <c r="M29" t="s">
        <v>1886</v>
      </c>
      <c r="N29" t="s">
        <v>1887</v>
      </c>
    </row>
    <row r="30" spans="1:14" x14ac:dyDescent="0.35">
      <c r="A30" t="s">
        <v>1951</v>
      </c>
      <c r="B30" t="s">
        <v>1934</v>
      </c>
      <c r="C30" t="s">
        <v>493</v>
      </c>
      <c r="D30" t="s">
        <v>1915</v>
      </c>
      <c r="E30" t="s">
        <v>1918</v>
      </c>
      <c r="F30" t="s">
        <v>1892</v>
      </c>
      <c r="G30">
        <v>490489</v>
      </c>
      <c r="H30" s="1">
        <v>45699</v>
      </c>
      <c r="I30" s="1"/>
      <c r="L30" t="s">
        <v>47</v>
      </c>
      <c r="M30" t="s">
        <v>1912</v>
      </c>
      <c r="N30" t="s">
        <v>1887</v>
      </c>
    </row>
    <row r="31" spans="1:14" x14ac:dyDescent="0.35">
      <c r="A31" t="s">
        <v>1952</v>
      </c>
      <c r="B31" t="s">
        <v>1920</v>
      </c>
      <c r="C31" t="s">
        <v>495</v>
      </c>
      <c r="D31" t="s">
        <v>1927</v>
      </c>
      <c r="E31" t="s">
        <v>1678</v>
      </c>
      <c r="F31" t="s">
        <v>1895</v>
      </c>
      <c r="G31">
        <v>267116</v>
      </c>
      <c r="H31" s="1">
        <v>45475</v>
      </c>
      <c r="I31" s="1"/>
      <c r="K31">
        <v>3</v>
      </c>
      <c r="L31" t="s">
        <v>15</v>
      </c>
      <c r="M31" t="s">
        <v>1953</v>
      </c>
      <c r="N31" t="s">
        <v>1887</v>
      </c>
    </row>
    <row r="32" spans="1:14" x14ac:dyDescent="0.35">
      <c r="A32" t="s">
        <v>1954</v>
      </c>
      <c r="B32" t="s">
        <v>1926</v>
      </c>
      <c r="C32" t="s">
        <v>448</v>
      </c>
      <c r="D32" t="s">
        <v>1927</v>
      </c>
      <c r="E32" t="s">
        <v>1678</v>
      </c>
      <c r="F32" t="s">
        <v>1885</v>
      </c>
      <c r="G32">
        <v>340697</v>
      </c>
      <c r="H32" s="1">
        <v>45094</v>
      </c>
      <c r="I32" s="1">
        <v>45174</v>
      </c>
      <c r="J32">
        <v>80</v>
      </c>
      <c r="K32">
        <v>6.7</v>
      </c>
      <c r="L32" t="s">
        <v>47</v>
      </c>
      <c r="M32" t="s">
        <v>1893</v>
      </c>
      <c r="N32" t="s">
        <v>1887</v>
      </c>
    </row>
    <row r="33" spans="1:14" x14ac:dyDescent="0.35">
      <c r="A33" t="s">
        <v>1955</v>
      </c>
      <c r="B33" t="s">
        <v>1911</v>
      </c>
      <c r="C33" t="s">
        <v>126</v>
      </c>
      <c r="D33" t="s">
        <v>1915</v>
      </c>
      <c r="E33" t="s">
        <v>1884</v>
      </c>
      <c r="F33" t="s">
        <v>1946</v>
      </c>
      <c r="G33">
        <v>432247</v>
      </c>
      <c r="H33" s="1">
        <v>45729</v>
      </c>
      <c r="I33" s="1"/>
      <c r="K33">
        <v>13.4</v>
      </c>
      <c r="L33" t="s">
        <v>47</v>
      </c>
      <c r="M33" t="s">
        <v>1912</v>
      </c>
      <c r="N33" t="s">
        <v>1887</v>
      </c>
    </row>
    <row r="34" spans="1:14" x14ac:dyDescent="0.35">
      <c r="A34" t="s">
        <v>1956</v>
      </c>
      <c r="B34" t="s">
        <v>1889</v>
      </c>
      <c r="C34" t="s">
        <v>219</v>
      </c>
      <c r="D34" t="s">
        <v>1899</v>
      </c>
      <c r="E34" t="s">
        <v>1905</v>
      </c>
      <c r="F34" t="s">
        <v>1885</v>
      </c>
      <c r="G34">
        <v>449838</v>
      </c>
      <c r="H34" s="1">
        <v>45442</v>
      </c>
      <c r="I34" s="1">
        <v>45589</v>
      </c>
      <c r="J34">
        <v>147</v>
      </c>
      <c r="K34">
        <v>6.8</v>
      </c>
      <c r="L34" t="s">
        <v>30</v>
      </c>
      <c r="M34" t="s">
        <v>1935</v>
      </c>
      <c r="N34" t="s">
        <v>1887</v>
      </c>
    </row>
    <row r="35" spans="1:14" x14ac:dyDescent="0.35">
      <c r="A35" t="s">
        <v>1957</v>
      </c>
      <c r="B35" t="s">
        <v>1922</v>
      </c>
      <c r="C35" t="s">
        <v>99</v>
      </c>
      <c r="D35" t="s">
        <v>1890</v>
      </c>
      <c r="E35" t="s">
        <v>1918</v>
      </c>
      <c r="F35" t="s">
        <v>1946</v>
      </c>
      <c r="G35">
        <v>325774</v>
      </c>
      <c r="H35" s="1">
        <v>45335</v>
      </c>
      <c r="I35" s="1"/>
      <c r="L35" t="s">
        <v>30</v>
      </c>
      <c r="M35" t="s">
        <v>1916</v>
      </c>
      <c r="N35" t="s">
        <v>1887</v>
      </c>
    </row>
    <row r="36" spans="1:14" x14ac:dyDescent="0.35">
      <c r="A36" t="s">
        <v>1958</v>
      </c>
      <c r="B36" t="s">
        <v>1922</v>
      </c>
      <c r="C36" t="s">
        <v>392</v>
      </c>
      <c r="D36" t="s">
        <v>1899</v>
      </c>
      <c r="E36" t="s">
        <v>1678</v>
      </c>
      <c r="F36" t="s">
        <v>1885</v>
      </c>
      <c r="G36">
        <v>251845</v>
      </c>
      <c r="H36" s="1">
        <v>45499</v>
      </c>
      <c r="I36" s="1">
        <v>45520</v>
      </c>
      <c r="J36">
        <v>21</v>
      </c>
      <c r="K36">
        <v>6.3</v>
      </c>
      <c r="L36" t="s">
        <v>21</v>
      </c>
      <c r="M36" t="s">
        <v>1953</v>
      </c>
      <c r="N36" t="s">
        <v>1887</v>
      </c>
    </row>
    <row r="37" spans="1:14" x14ac:dyDescent="0.35">
      <c r="A37" t="s">
        <v>1959</v>
      </c>
      <c r="B37" t="s">
        <v>1937</v>
      </c>
      <c r="C37" t="s">
        <v>226</v>
      </c>
      <c r="D37" t="s">
        <v>1915</v>
      </c>
      <c r="E37" t="s">
        <v>1931</v>
      </c>
      <c r="F37" t="s">
        <v>1895</v>
      </c>
      <c r="G37">
        <v>245814</v>
      </c>
      <c r="H37" s="1">
        <v>45017</v>
      </c>
      <c r="I37" s="1"/>
      <c r="L37" t="s">
        <v>47</v>
      </c>
      <c r="M37" t="s">
        <v>1893</v>
      </c>
      <c r="N37" t="s">
        <v>1887</v>
      </c>
    </row>
    <row r="38" spans="1:14" x14ac:dyDescent="0.35">
      <c r="A38" t="s">
        <v>1960</v>
      </c>
      <c r="B38" t="s">
        <v>1882</v>
      </c>
      <c r="C38" t="s">
        <v>198</v>
      </c>
      <c r="D38" t="s">
        <v>1890</v>
      </c>
      <c r="E38" t="s">
        <v>1600</v>
      </c>
      <c r="F38" t="s">
        <v>1908</v>
      </c>
      <c r="G38">
        <v>128284</v>
      </c>
      <c r="H38" s="1">
        <v>45083</v>
      </c>
      <c r="I38" s="1"/>
      <c r="K38">
        <v>1.5</v>
      </c>
      <c r="L38" t="s">
        <v>15</v>
      </c>
      <c r="M38" t="s">
        <v>1893</v>
      </c>
      <c r="N38" t="s">
        <v>1887</v>
      </c>
    </row>
    <row r="39" spans="1:14" x14ac:dyDescent="0.35">
      <c r="A39" t="s">
        <v>1961</v>
      </c>
      <c r="B39" t="s">
        <v>1914</v>
      </c>
      <c r="C39" t="s">
        <v>94</v>
      </c>
      <c r="D39" t="s">
        <v>1883</v>
      </c>
      <c r="E39" t="s">
        <v>1945</v>
      </c>
      <c r="F39" t="s">
        <v>1895</v>
      </c>
      <c r="G39">
        <v>157092</v>
      </c>
      <c r="H39" s="1">
        <v>45655</v>
      </c>
      <c r="I39" s="1"/>
      <c r="K39">
        <v>6.3</v>
      </c>
      <c r="L39" t="s">
        <v>47</v>
      </c>
      <c r="M39" t="s">
        <v>1901</v>
      </c>
      <c r="N39" t="s">
        <v>1887</v>
      </c>
    </row>
    <row r="40" spans="1:14" x14ac:dyDescent="0.35">
      <c r="A40" t="s">
        <v>1962</v>
      </c>
      <c r="B40" t="s">
        <v>1963</v>
      </c>
      <c r="C40" t="s">
        <v>196</v>
      </c>
      <c r="D40" t="s">
        <v>1927</v>
      </c>
      <c r="E40" t="s">
        <v>1678</v>
      </c>
      <c r="F40" t="s">
        <v>1908</v>
      </c>
      <c r="G40">
        <v>387930</v>
      </c>
      <c r="H40" s="1">
        <v>45587</v>
      </c>
      <c r="I40" s="1"/>
      <c r="K40">
        <v>2.8</v>
      </c>
      <c r="L40" t="s">
        <v>30</v>
      </c>
      <c r="M40" t="s">
        <v>1901</v>
      </c>
      <c r="N40" t="s">
        <v>1887</v>
      </c>
    </row>
    <row r="41" spans="1:14" x14ac:dyDescent="0.35">
      <c r="A41" t="s">
        <v>1964</v>
      </c>
      <c r="B41" t="s">
        <v>1937</v>
      </c>
      <c r="C41" t="s">
        <v>433</v>
      </c>
      <c r="D41" t="s">
        <v>1927</v>
      </c>
      <c r="E41" t="s">
        <v>1600</v>
      </c>
      <c r="F41" t="s">
        <v>1946</v>
      </c>
      <c r="G41">
        <v>265994</v>
      </c>
      <c r="H41" s="1">
        <v>45744</v>
      </c>
      <c r="I41" s="1"/>
      <c r="K41">
        <v>0.7</v>
      </c>
      <c r="L41" t="s">
        <v>47</v>
      </c>
      <c r="M41" t="s">
        <v>1912</v>
      </c>
      <c r="N41" t="s">
        <v>1887</v>
      </c>
    </row>
    <row r="42" spans="1:14" x14ac:dyDescent="0.35">
      <c r="A42" t="s">
        <v>1965</v>
      </c>
      <c r="B42" t="s">
        <v>1882</v>
      </c>
      <c r="C42" t="s">
        <v>191</v>
      </c>
      <c r="D42" t="s">
        <v>1883</v>
      </c>
      <c r="E42" t="s">
        <v>1600</v>
      </c>
      <c r="F42" t="s">
        <v>1900</v>
      </c>
      <c r="G42">
        <v>925816</v>
      </c>
      <c r="H42" s="1">
        <v>45449</v>
      </c>
      <c r="I42" s="1">
        <v>45467</v>
      </c>
      <c r="J42">
        <v>18</v>
      </c>
      <c r="K42">
        <v>16.600000000000001</v>
      </c>
      <c r="L42" t="s">
        <v>47</v>
      </c>
      <c r="M42" t="s">
        <v>1935</v>
      </c>
      <c r="N42" t="s">
        <v>1966</v>
      </c>
    </row>
    <row r="43" spans="1:14" x14ac:dyDescent="0.35">
      <c r="A43" t="s">
        <v>1967</v>
      </c>
      <c r="B43" t="s">
        <v>1903</v>
      </c>
      <c r="C43" t="s">
        <v>116</v>
      </c>
      <c r="D43" t="s">
        <v>1904</v>
      </c>
      <c r="E43" t="s">
        <v>1918</v>
      </c>
      <c r="F43" t="s">
        <v>1900</v>
      </c>
      <c r="G43">
        <v>57872</v>
      </c>
      <c r="H43" s="1">
        <v>45391</v>
      </c>
      <c r="I43" s="1">
        <v>45559</v>
      </c>
      <c r="J43">
        <v>168</v>
      </c>
      <c r="K43">
        <v>4.5</v>
      </c>
      <c r="L43" t="s">
        <v>15</v>
      </c>
      <c r="M43" t="s">
        <v>1935</v>
      </c>
      <c r="N43" t="s">
        <v>1887</v>
      </c>
    </row>
    <row r="44" spans="1:14" x14ac:dyDescent="0.35">
      <c r="A44" t="s">
        <v>1968</v>
      </c>
      <c r="B44" t="s">
        <v>1926</v>
      </c>
      <c r="C44" t="s">
        <v>429</v>
      </c>
      <c r="D44" t="s">
        <v>1899</v>
      </c>
      <c r="E44" t="s">
        <v>1678</v>
      </c>
      <c r="F44" t="s">
        <v>1900</v>
      </c>
      <c r="G44">
        <v>25184</v>
      </c>
      <c r="H44" s="1">
        <v>45446</v>
      </c>
      <c r="I44" s="1">
        <v>45516</v>
      </c>
      <c r="J44">
        <v>70</v>
      </c>
      <c r="K44">
        <v>19.600000000000001</v>
      </c>
      <c r="L44" t="s">
        <v>47</v>
      </c>
      <c r="M44" t="s">
        <v>1935</v>
      </c>
      <c r="N44" t="s">
        <v>1887</v>
      </c>
    </row>
    <row r="45" spans="1:14" x14ac:dyDescent="0.35">
      <c r="A45" t="s">
        <v>1969</v>
      </c>
      <c r="B45" t="s">
        <v>1911</v>
      </c>
      <c r="C45" t="s">
        <v>406</v>
      </c>
      <c r="D45" t="s">
        <v>1890</v>
      </c>
      <c r="E45" t="s">
        <v>1587</v>
      </c>
      <c r="F45" t="s">
        <v>1908</v>
      </c>
      <c r="G45">
        <v>46255</v>
      </c>
      <c r="H45" s="1">
        <v>45309</v>
      </c>
      <c r="I45" s="1"/>
      <c r="L45" t="s">
        <v>30</v>
      </c>
      <c r="M45" t="s">
        <v>1916</v>
      </c>
      <c r="N45" t="s">
        <v>1887</v>
      </c>
    </row>
    <row r="46" spans="1:14" x14ac:dyDescent="0.35">
      <c r="A46" t="s">
        <v>1970</v>
      </c>
      <c r="B46" t="s">
        <v>1924</v>
      </c>
      <c r="C46" t="s">
        <v>255</v>
      </c>
      <c r="D46" t="s">
        <v>1890</v>
      </c>
      <c r="E46" t="s">
        <v>1891</v>
      </c>
      <c r="F46" t="s">
        <v>1900</v>
      </c>
      <c r="G46">
        <v>34502</v>
      </c>
      <c r="H46" s="1">
        <v>45629</v>
      </c>
      <c r="I46" s="1">
        <v>45690</v>
      </c>
      <c r="J46">
        <v>61</v>
      </c>
      <c r="K46">
        <v>2.2999999999999998</v>
      </c>
      <c r="L46" t="s">
        <v>47</v>
      </c>
      <c r="M46" t="s">
        <v>1901</v>
      </c>
      <c r="N46" t="s">
        <v>1887</v>
      </c>
    </row>
    <row r="47" spans="1:14" x14ac:dyDescent="0.35">
      <c r="A47" t="s">
        <v>1971</v>
      </c>
      <c r="B47" t="s">
        <v>1914</v>
      </c>
      <c r="C47" t="s">
        <v>210</v>
      </c>
      <c r="D47" t="s">
        <v>1883</v>
      </c>
      <c r="E47" t="s">
        <v>1587</v>
      </c>
      <c r="F47" t="s">
        <v>1900</v>
      </c>
      <c r="G47">
        <v>242893</v>
      </c>
      <c r="H47" s="1">
        <v>45265</v>
      </c>
      <c r="I47" s="1">
        <v>45286</v>
      </c>
      <c r="J47">
        <v>21</v>
      </c>
      <c r="K47">
        <v>14.4</v>
      </c>
      <c r="L47" t="s">
        <v>30</v>
      </c>
      <c r="M47" t="s">
        <v>1886</v>
      </c>
      <c r="N47" t="s">
        <v>1887</v>
      </c>
    </row>
    <row r="48" spans="1:14" x14ac:dyDescent="0.35">
      <c r="A48" t="s">
        <v>1972</v>
      </c>
      <c r="B48" t="s">
        <v>1926</v>
      </c>
      <c r="C48" t="s">
        <v>374</v>
      </c>
      <c r="D48" t="s">
        <v>1915</v>
      </c>
      <c r="E48" t="s">
        <v>1945</v>
      </c>
      <c r="F48" t="s">
        <v>1900</v>
      </c>
      <c r="G48">
        <v>276108</v>
      </c>
      <c r="H48" s="1">
        <v>45601</v>
      </c>
      <c r="I48" s="1">
        <v>45683</v>
      </c>
      <c r="J48">
        <v>82</v>
      </c>
      <c r="K48">
        <v>22.6</v>
      </c>
      <c r="L48" t="s">
        <v>30</v>
      </c>
      <c r="M48" t="s">
        <v>1901</v>
      </c>
      <c r="N48" t="s">
        <v>1887</v>
      </c>
    </row>
    <row r="49" spans="1:14" x14ac:dyDescent="0.35">
      <c r="A49" t="s">
        <v>1973</v>
      </c>
      <c r="B49" t="s">
        <v>1944</v>
      </c>
      <c r="C49" t="s">
        <v>126</v>
      </c>
      <c r="D49" t="s">
        <v>1890</v>
      </c>
      <c r="E49" t="s">
        <v>1891</v>
      </c>
      <c r="F49" t="s">
        <v>1895</v>
      </c>
      <c r="G49">
        <v>225261</v>
      </c>
      <c r="H49" s="1">
        <v>45248</v>
      </c>
      <c r="I49" s="1"/>
      <c r="K49">
        <v>12.7</v>
      </c>
      <c r="L49" t="s">
        <v>47</v>
      </c>
      <c r="M49" t="s">
        <v>1886</v>
      </c>
      <c r="N49" t="s">
        <v>1887</v>
      </c>
    </row>
    <row r="50" spans="1:14" x14ac:dyDescent="0.35">
      <c r="A50" t="s">
        <v>1974</v>
      </c>
      <c r="B50" t="s">
        <v>1922</v>
      </c>
      <c r="C50" t="s">
        <v>406</v>
      </c>
      <c r="D50" t="s">
        <v>1890</v>
      </c>
      <c r="E50" t="s">
        <v>1931</v>
      </c>
      <c r="F50" t="s">
        <v>1946</v>
      </c>
      <c r="G50">
        <v>321651</v>
      </c>
      <c r="H50" s="1">
        <v>45070</v>
      </c>
      <c r="I50" s="1"/>
      <c r="L50" t="s">
        <v>15</v>
      </c>
      <c r="M50" t="s">
        <v>1893</v>
      </c>
      <c r="N50" t="s">
        <v>1887</v>
      </c>
    </row>
    <row r="51" spans="1:14" x14ac:dyDescent="0.35">
      <c r="A51" t="s">
        <v>1975</v>
      </c>
      <c r="B51" t="s">
        <v>1930</v>
      </c>
      <c r="C51" t="s">
        <v>344</v>
      </c>
      <c r="D51" t="s">
        <v>1899</v>
      </c>
      <c r="E51" t="s">
        <v>1884</v>
      </c>
      <c r="F51" t="s">
        <v>1892</v>
      </c>
      <c r="G51">
        <v>495204</v>
      </c>
      <c r="H51" s="1">
        <v>45734</v>
      </c>
      <c r="I51" s="1"/>
      <c r="L51" t="s">
        <v>47</v>
      </c>
      <c r="M51" t="s">
        <v>1912</v>
      </c>
      <c r="N51" t="s">
        <v>1887</v>
      </c>
    </row>
    <row r="52" spans="1:14" x14ac:dyDescent="0.35">
      <c r="A52" t="s">
        <v>1976</v>
      </c>
      <c r="B52" t="s">
        <v>1944</v>
      </c>
      <c r="C52" t="s">
        <v>92</v>
      </c>
      <c r="D52" t="s">
        <v>1883</v>
      </c>
      <c r="E52" t="s">
        <v>1587</v>
      </c>
      <c r="F52" t="s">
        <v>1946</v>
      </c>
      <c r="G52">
        <v>130238</v>
      </c>
      <c r="H52" s="1">
        <v>45191</v>
      </c>
      <c r="I52" s="1"/>
      <c r="L52" t="s">
        <v>30</v>
      </c>
      <c r="M52" t="s">
        <v>1932</v>
      </c>
      <c r="N52" t="s">
        <v>1887</v>
      </c>
    </row>
    <row r="53" spans="1:14" x14ac:dyDescent="0.35">
      <c r="A53" t="s">
        <v>1977</v>
      </c>
      <c r="B53" t="s">
        <v>1922</v>
      </c>
      <c r="C53" t="s">
        <v>328</v>
      </c>
      <c r="D53" t="s">
        <v>1899</v>
      </c>
      <c r="E53" t="s">
        <v>1931</v>
      </c>
      <c r="F53" t="s">
        <v>1895</v>
      </c>
      <c r="G53">
        <v>115669</v>
      </c>
      <c r="H53" s="1">
        <v>45076</v>
      </c>
      <c r="I53" s="1"/>
      <c r="K53">
        <v>3.1</v>
      </c>
      <c r="L53" t="s">
        <v>15</v>
      </c>
      <c r="M53" t="s">
        <v>1893</v>
      </c>
      <c r="N53" t="s">
        <v>1887</v>
      </c>
    </row>
    <row r="54" spans="1:14" x14ac:dyDescent="0.35">
      <c r="A54" t="s">
        <v>1978</v>
      </c>
      <c r="B54" t="s">
        <v>1911</v>
      </c>
      <c r="C54" t="s">
        <v>194</v>
      </c>
      <c r="D54" t="s">
        <v>1904</v>
      </c>
      <c r="E54" t="s">
        <v>1905</v>
      </c>
      <c r="F54" t="s">
        <v>1908</v>
      </c>
      <c r="G54">
        <v>154425</v>
      </c>
      <c r="H54" s="1">
        <v>44938</v>
      </c>
      <c r="I54" s="1"/>
      <c r="K54">
        <v>9.6</v>
      </c>
      <c r="L54" t="s">
        <v>47</v>
      </c>
      <c r="M54" t="s">
        <v>1896</v>
      </c>
      <c r="N54" t="s">
        <v>1887</v>
      </c>
    </row>
    <row r="55" spans="1:14" x14ac:dyDescent="0.35">
      <c r="A55" t="s">
        <v>1979</v>
      </c>
      <c r="B55" t="s">
        <v>1926</v>
      </c>
      <c r="C55" t="s">
        <v>473</v>
      </c>
      <c r="D55" t="s">
        <v>1927</v>
      </c>
      <c r="E55" t="s">
        <v>1678</v>
      </c>
      <c r="F55" t="s">
        <v>1895</v>
      </c>
      <c r="G55">
        <v>225199</v>
      </c>
      <c r="H55" s="1">
        <v>45735</v>
      </c>
      <c r="I55" s="1"/>
      <c r="L55" t="s">
        <v>21</v>
      </c>
      <c r="M55" t="s">
        <v>1912</v>
      </c>
      <c r="N55" t="s">
        <v>1887</v>
      </c>
    </row>
    <row r="56" spans="1:14" x14ac:dyDescent="0.35">
      <c r="A56" t="s">
        <v>1980</v>
      </c>
      <c r="B56" t="s">
        <v>1924</v>
      </c>
      <c r="C56" t="s">
        <v>122</v>
      </c>
      <c r="D56" t="s">
        <v>1883</v>
      </c>
      <c r="E56" t="s">
        <v>1931</v>
      </c>
      <c r="F56" t="s">
        <v>1946</v>
      </c>
      <c r="G56">
        <v>487991</v>
      </c>
      <c r="H56" s="1">
        <v>45655</v>
      </c>
      <c r="I56" s="1"/>
      <c r="L56" t="s">
        <v>30</v>
      </c>
      <c r="M56" t="s">
        <v>1901</v>
      </c>
      <c r="N56" t="s">
        <v>1887</v>
      </c>
    </row>
    <row r="57" spans="1:14" x14ac:dyDescent="0.35">
      <c r="A57" t="s">
        <v>1981</v>
      </c>
      <c r="B57" t="s">
        <v>1934</v>
      </c>
      <c r="C57" t="s">
        <v>431</v>
      </c>
      <c r="D57" t="s">
        <v>1927</v>
      </c>
      <c r="E57" t="s">
        <v>1905</v>
      </c>
      <c r="F57" t="s">
        <v>1900</v>
      </c>
      <c r="G57">
        <v>360231</v>
      </c>
      <c r="H57" s="1">
        <v>45708</v>
      </c>
      <c r="I57" s="1">
        <v>45855</v>
      </c>
      <c r="J57">
        <v>147</v>
      </c>
      <c r="K57">
        <v>19.5</v>
      </c>
      <c r="L57" t="s">
        <v>30</v>
      </c>
      <c r="M57" t="s">
        <v>1912</v>
      </c>
      <c r="N57" t="s">
        <v>1887</v>
      </c>
    </row>
    <row r="58" spans="1:14" x14ac:dyDescent="0.35">
      <c r="A58" t="s">
        <v>1982</v>
      </c>
      <c r="B58" t="s">
        <v>1944</v>
      </c>
      <c r="C58" t="s">
        <v>94</v>
      </c>
      <c r="D58" t="s">
        <v>1890</v>
      </c>
      <c r="E58" t="s">
        <v>1918</v>
      </c>
      <c r="F58" t="s">
        <v>1900</v>
      </c>
      <c r="G58">
        <v>128919</v>
      </c>
      <c r="H58" s="1">
        <v>45739</v>
      </c>
      <c r="I58" s="1">
        <v>45836</v>
      </c>
      <c r="J58">
        <v>97</v>
      </c>
      <c r="K58">
        <v>5</v>
      </c>
      <c r="L58" t="s">
        <v>30</v>
      </c>
      <c r="M58" t="s">
        <v>1912</v>
      </c>
      <c r="N58" t="s">
        <v>1887</v>
      </c>
    </row>
    <row r="59" spans="1:14" x14ac:dyDescent="0.35">
      <c r="A59" t="s">
        <v>1983</v>
      </c>
      <c r="B59" t="s">
        <v>1911</v>
      </c>
      <c r="C59" t="s">
        <v>351</v>
      </c>
      <c r="D59" t="s">
        <v>1904</v>
      </c>
      <c r="E59" t="s">
        <v>1884</v>
      </c>
      <c r="F59" t="s">
        <v>1895</v>
      </c>
      <c r="G59">
        <v>422278</v>
      </c>
      <c r="H59" s="1">
        <v>45532</v>
      </c>
      <c r="I59" s="1"/>
      <c r="K59">
        <v>13.7</v>
      </c>
      <c r="L59" t="s">
        <v>21</v>
      </c>
      <c r="M59" t="s">
        <v>1953</v>
      </c>
      <c r="N59" t="s">
        <v>1887</v>
      </c>
    </row>
    <row r="60" spans="1:14" x14ac:dyDescent="0.35">
      <c r="A60" t="s">
        <v>1984</v>
      </c>
      <c r="B60" t="s">
        <v>1882</v>
      </c>
      <c r="C60" t="s">
        <v>101</v>
      </c>
      <c r="D60" t="s">
        <v>1883</v>
      </c>
      <c r="E60" t="s">
        <v>1600</v>
      </c>
      <c r="F60" t="s">
        <v>1946</v>
      </c>
      <c r="G60">
        <v>36712</v>
      </c>
      <c r="H60" s="1">
        <v>45136</v>
      </c>
      <c r="I60" s="1"/>
      <c r="K60">
        <v>5.8</v>
      </c>
      <c r="L60" t="s">
        <v>15</v>
      </c>
      <c r="M60" t="s">
        <v>1932</v>
      </c>
      <c r="N60" t="s">
        <v>1887</v>
      </c>
    </row>
    <row r="61" spans="1:14" x14ac:dyDescent="0.35">
      <c r="A61" t="s">
        <v>1985</v>
      </c>
      <c r="B61" t="s">
        <v>1937</v>
      </c>
      <c r="C61" t="s">
        <v>328</v>
      </c>
      <c r="D61" t="s">
        <v>1899</v>
      </c>
      <c r="E61" t="s">
        <v>1587</v>
      </c>
      <c r="F61" t="s">
        <v>1908</v>
      </c>
      <c r="G61">
        <v>390892</v>
      </c>
      <c r="H61" s="1">
        <v>45327</v>
      </c>
      <c r="I61" s="1"/>
      <c r="K61">
        <v>6.7</v>
      </c>
      <c r="L61" t="s">
        <v>15</v>
      </c>
      <c r="M61" t="s">
        <v>1916</v>
      </c>
      <c r="N61" t="s">
        <v>1887</v>
      </c>
    </row>
    <row r="62" spans="1:14" x14ac:dyDescent="0.35">
      <c r="A62" t="s">
        <v>1986</v>
      </c>
      <c r="B62" t="s">
        <v>1922</v>
      </c>
      <c r="C62" t="s">
        <v>387</v>
      </c>
      <c r="D62" t="s">
        <v>1904</v>
      </c>
      <c r="E62" t="s">
        <v>1600</v>
      </c>
      <c r="F62" t="s">
        <v>1946</v>
      </c>
      <c r="G62">
        <v>12937</v>
      </c>
      <c r="H62" s="1">
        <v>45119</v>
      </c>
      <c r="I62" s="1"/>
      <c r="L62" t="s">
        <v>30</v>
      </c>
      <c r="M62" t="s">
        <v>1932</v>
      </c>
      <c r="N62" t="s">
        <v>1887</v>
      </c>
    </row>
    <row r="63" spans="1:14" x14ac:dyDescent="0.35">
      <c r="A63" t="s">
        <v>1987</v>
      </c>
      <c r="B63" t="s">
        <v>1924</v>
      </c>
      <c r="C63" t="s">
        <v>448</v>
      </c>
      <c r="D63" t="s">
        <v>1899</v>
      </c>
      <c r="E63" t="s">
        <v>1931</v>
      </c>
      <c r="F63" t="s">
        <v>1900</v>
      </c>
      <c r="G63">
        <v>324521</v>
      </c>
      <c r="H63" s="1">
        <v>45500</v>
      </c>
      <c r="I63" s="1">
        <v>45644</v>
      </c>
      <c r="J63">
        <v>144</v>
      </c>
      <c r="K63">
        <v>18.2</v>
      </c>
      <c r="L63" t="s">
        <v>30</v>
      </c>
      <c r="M63" t="s">
        <v>1953</v>
      </c>
      <c r="N63" t="s">
        <v>1887</v>
      </c>
    </row>
    <row r="64" spans="1:14" x14ac:dyDescent="0.35">
      <c r="A64" t="s">
        <v>1988</v>
      </c>
      <c r="B64" t="s">
        <v>1944</v>
      </c>
      <c r="C64" t="s">
        <v>473</v>
      </c>
      <c r="D64" t="s">
        <v>1890</v>
      </c>
      <c r="E64" t="s">
        <v>1884</v>
      </c>
      <c r="F64" t="s">
        <v>1895</v>
      </c>
      <c r="G64">
        <v>113876</v>
      </c>
      <c r="H64" s="1">
        <v>45744</v>
      </c>
      <c r="I64" s="1"/>
      <c r="L64" t="s">
        <v>15</v>
      </c>
      <c r="M64" t="s">
        <v>1912</v>
      </c>
      <c r="N64" t="s">
        <v>1887</v>
      </c>
    </row>
    <row r="65" spans="1:14" x14ac:dyDescent="0.35">
      <c r="A65" t="s">
        <v>1989</v>
      </c>
      <c r="B65" t="s">
        <v>1911</v>
      </c>
      <c r="C65" t="s">
        <v>230</v>
      </c>
      <c r="D65" t="s">
        <v>1915</v>
      </c>
      <c r="E65" t="s">
        <v>1600</v>
      </c>
      <c r="F65" t="s">
        <v>1895</v>
      </c>
      <c r="G65">
        <v>499086</v>
      </c>
      <c r="H65" s="1">
        <v>44931</v>
      </c>
      <c r="I65" s="1"/>
      <c r="K65">
        <v>4.9000000000000004</v>
      </c>
      <c r="L65" t="s">
        <v>21</v>
      </c>
      <c r="M65" t="s">
        <v>1896</v>
      </c>
      <c r="N65" t="s">
        <v>1887</v>
      </c>
    </row>
    <row r="66" spans="1:14" x14ac:dyDescent="0.35">
      <c r="A66" t="s">
        <v>1990</v>
      </c>
      <c r="B66" t="s">
        <v>1920</v>
      </c>
      <c r="C66" t="s">
        <v>219</v>
      </c>
      <c r="D66" t="s">
        <v>1915</v>
      </c>
      <c r="E66" t="s">
        <v>1905</v>
      </c>
      <c r="F66" t="s">
        <v>1885</v>
      </c>
      <c r="G66">
        <v>139182</v>
      </c>
      <c r="H66" s="1">
        <v>45317</v>
      </c>
      <c r="I66" s="1">
        <v>45343</v>
      </c>
      <c r="J66">
        <v>26</v>
      </c>
      <c r="L66" t="s">
        <v>47</v>
      </c>
      <c r="M66" t="s">
        <v>1916</v>
      </c>
      <c r="N66" t="s">
        <v>1887</v>
      </c>
    </row>
    <row r="67" spans="1:14" x14ac:dyDescent="0.35">
      <c r="A67" t="s">
        <v>1991</v>
      </c>
      <c r="B67" t="s">
        <v>1903</v>
      </c>
      <c r="C67" t="s">
        <v>219</v>
      </c>
      <c r="D67" t="s">
        <v>1927</v>
      </c>
      <c r="E67" t="s">
        <v>1600</v>
      </c>
      <c r="F67" t="s">
        <v>1892</v>
      </c>
      <c r="G67">
        <v>244478</v>
      </c>
      <c r="H67" s="1">
        <v>45052</v>
      </c>
      <c r="I67" s="1"/>
      <c r="K67">
        <v>0.6</v>
      </c>
      <c r="L67" t="s">
        <v>15</v>
      </c>
      <c r="M67" t="s">
        <v>1893</v>
      </c>
      <c r="N67" t="s">
        <v>1887</v>
      </c>
    </row>
    <row r="68" spans="1:14" x14ac:dyDescent="0.35">
      <c r="A68" t="s">
        <v>1992</v>
      </c>
      <c r="B68" t="s">
        <v>1898</v>
      </c>
      <c r="C68" t="s">
        <v>288</v>
      </c>
      <c r="D68" t="s">
        <v>1927</v>
      </c>
      <c r="E68" t="s">
        <v>1678</v>
      </c>
      <c r="F68" t="s">
        <v>1900</v>
      </c>
      <c r="G68">
        <v>108751</v>
      </c>
      <c r="H68" s="1">
        <v>45732</v>
      </c>
      <c r="I68" s="1">
        <v>45782</v>
      </c>
      <c r="J68">
        <v>50</v>
      </c>
      <c r="K68">
        <v>17.2</v>
      </c>
      <c r="L68" t="s">
        <v>15</v>
      </c>
      <c r="M68" t="s">
        <v>1912</v>
      </c>
      <c r="N68" t="s">
        <v>1887</v>
      </c>
    </row>
    <row r="69" spans="1:14" x14ac:dyDescent="0.35">
      <c r="A69" t="s">
        <v>1993</v>
      </c>
      <c r="B69" t="s">
        <v>1920</v>
      </c>
      <c r="C69" t="s">
        <v>112</v>
      </c>
      <c r="D69" t="s">
        <v>1883</v>
      </c>
      <c r="E69" t="s">
        <v>1918</v>
      </c>
      <c r="F69" t="s">
        <v>1895</v>
      </c>
      <c r="G69">
        <v>387686</v>
      </c>
      <c r="H69" s="1">
        <v>45006</v>
      </c>
      <c r="I69" s="1"/>
      <c r="K69">
        <v>8.5</v>
      </c>
      <c r="L69" t="s">
        <v>21</v>
      </c>
      <c r="M69" t="s">
        <v>1896</v>
      </c>
      <c r="N69" t="s">
        <v>1887</v>
      </c>
    </row>
    <row r="70" spans="1:14" x14ac:dyDescent="0.35">
      <c r="A70" t="s">
        <v>1994</v>
      </c>
      <c r="B70" t="s">
        <v>1934</v>
      </c>
      <c r="C70" t="s">
        <v>365</v>
      </c>
      <c r="D70" t="s">
        <v>1883</v>
      </c>
      <c r="E70" t="s">
        <v>1905</v>
      </c>
      <c r="F70" t="s">
        <v>1900</v>
      </c>
      <c r="G70">
        <v>42234</v>
      </c>
      <c r="H70" s="1">
        <v>45069</v>
      </c>
      <c r="I70" s="1">
        <v>45232</v>
      </c>
      <c r="J70">
        <v>163</v>
      </c>
      <c r="K70">
        <v>15.9</v>
      </c>
      <c r="L70" t="s">
        <v>47</v>
      </c>
      <c r="M70" t="s">
        <v>1893</v>
      </c>
      <c r="N70" t="s">
        <v>1887</v>
      </c>
    </row>
    <row r="71" spans="1:14" x14ac:dyDescent="0.35">
      <c r="A71" t="s">
        <v>1995</v>
      </c>
      <c r="B71" t="s">
        <v>1914</v>
      </c>
      <c r="C71" t="s">
        <v>300</v>
      </c>
      <c r="D71" t="s">
        <v>1927</v>
      </c>
      <c r="E71" t="s">
        <v>1918</v>
      </c>
      <c r="F71" t="s">
        <v>1908</v>
      </c>
      <c r="G71">
        <v>141423</v>
      </c>
      <c r="H71" s="1">
        <v>45602</v>
      </c>
      <c r="I71" s="1"/>
      <c r="K71">
        <v>4.5</v>
      </c>
      <c r="L71" t="s">
        <v>30</v>
      </c>
      <c r="M71" t="s">
        <v>1901</v>
      </c>
      <c r="N71" t="s">
        <v>1887</v>
      </c>
    </row>
    <row r="72" spans="1:14" x14ac:dyDescent="0.35">
      <c r="A72" t="s">
        <v>1996</v>
      </c>
      <c r="B72" t="s">
        <v>1924</v>
      </c>
      <c r="C72" t="s">
        <v>405</v>
      </c>
      <c r="D72" t="s">
        <v>1904</v>
      </c>
      <c r="E72" t="s">
        <v>1931</v>
      </c>
      <c r="F72" t="s">
        <v>1885</v>
      </c>
      <c r="G72">
        <v>233514</v>
      </c>
      <c r="H72" s="1">
        <v>45313</v>
      </c>
      <c r="I72" s="1">
        <v>45349</v>
      </c>
      <c r="J72">
        <v>36</v>
      </c>
      <c r="K72">
        <v>7.4</v>
      </c>
      <c r="L72" t="s">
        <v>30</v>
      </c>
      <c r="M72" t="s">
        <v>1916</v>
      </c>
      <c r="N72" t="s">
        <v>1887</v>
      </c>
    </row>
    <row r="73" spans="1:14" x14ac:dyDescent="0.35">
      <c r="A73" t="s">
        <v>1997</v>
      </c>
      <c r="B73" t="s">
        <v>1882</v>
      </c>
      <c r="C73" t="s">
        <v>182</v>
      </c>
      <c r="D73" t="s">
        <v>1915</v>
      </c>
      <c r="E73" t="s">
        <v>1587</v>
      </c>
      <c r="F73" t="s">
        <v>1908</v>
      </c>
      <c r="G73">
        <v>316458</v>
      </c>
      <c r="H73" s="1">
        <v>45594</v>
      </c>
      <c r="I73" s="1"/>
      <c r="K73">
        <v>11.3</v>
      </c>
      <c r="L73" t="s">
        <v>15</v>
      </c>
      <c r="M73" t="s">
        <v>1901</v>
      </c>
      <c r="N73" t="s">
        <v>1887</v>
      </c>
    </row>
    <row r="74" spans="1:14" x14ac:dyDescent="0.35">
      <c r="A74" t="s">
        <v>1998</v>
      </c>
      <c r="B74" t="s">
        <v>1934</v>
      </c>
      <c r="C74" t="s">
        <v>360</v>
      </c>
      <c r="D74" t="s">
        <v>1915</v>
      </c>
      <c r="E74" t="s">
        <v>1884</v>
      </c>
      <c r="F74" t="s">
        <v>1885</v>
      </c>
      <c r="G74">
        <v>274493</v>
      </c>
      <c r="H74" s="1">
        <v>45654</v>
      </c>
      <c r="I74" s="1">
        <v>45769</v>
      </c>
      <c r="J74">
        <v>115</v>
      </c>
      <c r="K74">
        <v>0.4</v>
      </c>
      <c r="L74" t="s">
        <v>21</v>
      </c>
      <c r="M74" t="s">
        <v>1901</v>
      </c>
      <c r="N74" t="s">
        <v>1887</v>
      </c>
    </row>
    <row r="75" spans="1:14" x14ac:dyDescent="0.35">
      <c r="A75" t="s">
        <v>1999</v>
      </c>
      <c r="B75" t="s">
        <v>1937</v>
      </c>
      <c r="C75" t="s">
        <v>326</v>
      </c>
      <c r="D75" t="s">
        <v>1915</v>
      </c>
      <c r="E75" t="s">
        <v>1587</v>
      </c>
      <c r="F75" t="s">
        <v>1946</v>
      </c>
      <c r="G75">
        <v>187167</v>
      </c>
      <c r="H75" s="1">
        <v>45073</v>
      </c>
      <c r="I75" s="1"/>
      <c r="L75" t="s">
        <v>15</v>
      </c>
      <c r="M75" t="s">
        <v>1893</v>
      </c>
      <c r="N75" t="s">
        <v>1887</v>
      </c>
    </row>
    <row r="76" spans="1:14" x14ac:dyDescent="0.35">
      <c r="A76" t="s">
        <v>2000</v>
      </c>
      <c r="B76" t="s">
        <v>1914</v>
      </c>
      <c r="C76" t="s">
        <v>314</v>
      </c>
      <c r="D76" t="s">
        <v>1883</v>
      </c>
      <c r="E76" t="s">
        <v>1918</v>
      </c>
      <c r="F76" t="s">
        <v>1885</v>
      </c>
      <c r="G76">
        <v>263320</v>
      </c>
      <c r="H76" s="1">
        <v>45404</v>
      </c>
      <c r="I76" s="1">
        <v>45429</v>
      </c>
      <c r="J76">
        <v>25</v>
      </c>
      <c r="L76" t="s">
        <v>47</v>
      </c>
      <c r="M76" t="s">
        <v>1935</v>
      </c>
      <c r="N76" t="s">
        <v>1887</v>
      </c>
    </row>
    <row r="77" spans="1:14" x14ac:dyDescent="0.35">
      <c r="A77" t="s">
        <v>2001</v>
      </c>
      <c r="B77" t="s">
        <v>1889</v>
      </c>
      <c r="C77" t="s">
        <v>171</v>
      </c>
      <c r="D77" t="s">
        <v>1915</v>
      </c>
      <c r="E77" t="s">
        <v>1884</v>
      </c>
      <c r="F77" t="s">
        <v>1892</v>
      </c>
      <c r="G77">
        <v>168215</v>
      </c>
      <c r="H77" s="1">
        <v>45370</v>
      </c>
      <c r="I77" s="1"/>
      <c r="K77">
        <v>12.7</v>
      </c>
      <c r="L77" t="s">
        <v>47</v>
      </c>
      <c r="M77" t="s">
        <v>1916</v>
      </c>
      <c r="N77" t="s">
        <v>1887</v>
      </c>
    </row>
    <row r="78" spans="1:14" x14ac:dyDescent="0.35">
      <c r="A78" t="s">
        <v>2002</v>
      </c>
      <c r="B78" t="s">
        <v>1889</v>
      </c>
      <c r="C78" t="s">
        <v>372</v>
      </c>
      <c r="D78" t="s">
        <v>1883</v>
      </c>
      <c r="E78" t="s">
        <v>1587</v>
      </c>
      <c r="F78" t="s">
        <v>1900</v>
      </c>
      <c r="G78">
        <v>20087</v>
      </c>
      <c r="H78" s="1">
        <v>45455</v>
      </c>
      <c r="I78" s="1">
        <v>45599</v>
      </c>
      <c r="J78">
        <v>144</v>
      </c>
      <c r="K78">
        <v>24.1</v>
      </c>
      <c r="L78" t="s">
        <v>15</v>
      </c>
      <c r="M78" t="s">
        <v>1935</v>
      </c>
      <c r="N78" t="s">
        <v>1887</v>
      </c>
    </row>
    <row r="79" spans="1:14" x14ac:dyDescent="0.35">
      <c r="A79" t="s">
        <v>2003</v>
      </c>
      <c r="B79" t="s">
        <v>1922</v>
      </c>
      <c r="C79" t="s">
        <v>415</v>
      </c>
      <c r="D79" t="s">
        <v>1890</v>
      </c>
      <c r="E79" t="s">
        <v>1884</v>
      </c>
      <c r="F79" t="s">
        <v>1900</v>
      </c>
      <c r="G79">
        <v>384150</v>
      </c>
      <c r="H79" s="1">
        <v>45434</v>
      </c>
      <c r="I79" s="1">
        <v>45583</v>
      </c>
      <c r="J79">
        <v>149</v>
      </c>
      <c r="K79">
        <v>13.1</v>
      </c>
      <c r="L79" t="s">
        <v>21</v>
      </c>
      <c r="M79" t="s">
        <v>1935</v>
      </c>
      <c r="N79" t="s">
        <v>1887</v>
      </c>
    </row>
    <row r="80" spans="1:14" x14ac:dyDescent="0.35">
      <c r="A80" t="s">
        <v>2004</v>
      </c>
      <c r="B80" t="s">
        <v>1920</v>
      </c>
      <c r="C80" t="s">
        <v>120</v>
      </c>
      <c r="D80" t="s">
        <v>1883</v>
      </c>
      <c r="E80" t="s">
        <v>1884</v>
      </c>
      <c r="F80" t="s">
        <v>1946</v>
      </c>
      <c r="G80">
        <v>354315</v>
      </c>
      <c r="H80" s="1">
        <v>44983</v>
      </c>
      <c r="I80" s="1"/>
      <c r="K80">
        <v>10.3</v>
      </c>
      <c r="L80" t="s">
        <v>21</v>
      </c>
      <c r="M80" t="s">
        <v>1896</v>
      </c>
      <c r="N80" t="s">
        <v>1887</v>
      </c>
    </row>
    <row r="81" spans="1:14" x14ac:dyDescent="0.35">
      <c r="A81" t="s">
        <v>2005</v>
      </c>
      <c r="B81" t="s">
        <v>1922</v>
      </c>
      <c r="C81" t="s">
        <v>101</v>
      </c>
      <c r="D81" t="s">
        <v>1890</v>
      </c>
      <c r="E81" t="s">
        <v>1587</v>
      </c>
      <c r="F81" t="s">
        <v>1900</v>
      </c>
      <c r="G81">
        <v>124965</v>
      </c>
      <c r="H81" s="1">
        <v>45213</v>
      </c>
      <c r="I81" s="1">
        <v>45273</v>
      </c>
      <c r="J81">
        <v>60</v>
      </c>
      <c r="K81">
        <v>0.4</v>
      </c>
      <c r="L81" t="s">
        <v>47</v>
      </c>
      <c r="M81" t="s">
        <v>1886</v>
      </c>
      <c r="N81" t="s">
        <v>1887</v>
      </c>
    </row>
    <row r="82" spans="1:14" x14ac:dyDescent="0.35">
      <c r="A82" t="s">
        <v>2006</v>
      </c>
      <c r="B82" t="s">
        <v>1911</v>
      </c>
      <c r="C82" t="s">
        <v>485</v>
      </c>
      <c r="D82" t="s">
        <v>1899</v>
      </c>
      <c r="E82" t="s">
        <v>1600</v>
      </c>
      <c r="F82" t="s">
        <v>1885</v>
      </c>
      <c r="G82">
        <v>410731</v>
      </c>
      <c r="H82" s="1">
        <v>44989</v>
      </c>
      <c r="I82" s="1">
        <v>45082</v>
      </c>
      <c r="J82">
        <v>93</v>
      </c>
      <c r="K82">
        <v>4.7</v>
      </c>
      <c r="L82" t="s">
        <v>15</v>
      </c>
      <c r="M82" t="s">
        <v>1896</v>
      </c>
      <c r="N82" t="s">
        <v>1887</v>
      </c>
    </row>
    <row r="83" spans="1:14" x14ac:dyDescent="0.35">
      <c r="A83" t="s">
        <v>2007</v>
      </c>
      <c r="B83" t="s">
        <v>1911</v>
      </c>
      <c r="C83" t="s">
        <v>85</v>
      </c>
      <c r="D83" t="s">
        <v>1890</v>
      </c>
      <c r="E83" t="s">
        <v>1905</v>
      </c>
      <c r="F83" t="s">
        <v>1885</v>
      </c>
      <c r="G83">
        <v>272141</v>
      </c>
      <c r="H83" s="1">
        <v>44958</v>
      </c>
      <c r="I83" s="1">
        <v>45038</v>
      </c>
      <c r="J83">
        <v>80</v>
      </c>
      <c r="K83">
        <v>12.9</v>
      </c>
      <c r="L83" t="s">
        <v>47</v>
      </c>
      <c r="M83" t="s">
        <v>1896</v>
      </c>
      <c r="N83" t="s">
        <v>1887</v>
      </c>
    </row>
    <row r="84" spans="1:14" x14ac:dyDescent="0.35">
      <c r="A84" t="s">
        <v>2008</v>
      </c>
      <c r="B84" t="s">
        <v>1920</v>
      </c>
      <c r="C84" t="s">
        <v>406</v>
      </c>
      <c r="D84" t="s">
        <v>1890</v>
      </c>
      <c r="E84" t="s">
        <v>1918</v>
      </c>
      <c r="F84" t="s">
        <v>1892</v>
      </c>
      <c r="G84">
        <v>400965</v>
      </c>
      <c r="H84" s="1">
        <v>45357</v>
      </c>
      <c r="I84" s="1"/>
      <c r="K84">
        <v>10.4</v>
      </c>
      <c r="L84" t="s">
        <v>30</v>
      </c>
      <c r="M84" t="s">
        <v>1916</v>
      </c>
      <c r="N84" t="s">
        <v>1887</v>
      </c>
    </row>
    <row r="85" spans="1:14" x14ac:dyDescent="0.35">
      <c r="A85" t="s">
        <v>2009</v>
      </c>
      <c r="B85" t="s">
        <v>1903</v>
      </c>
      <c r="C85" t="s">
        <v>472</v>
      </c>
      <c r="D85" t="s">
        <v>1915</v>
      </c>
      <c r="E85" t="s">
        <v>1891</v>
      </c>
      <c r="F85" t="s">
        <v>1946</v>
      </c>
      <c r="G85">
        <v>217920</v>
      </c>
      <c r="H85" s="1">
        <v>45628</v>
      </c>
      <c r="I85" s="1"/>
      <c r="L85" t="s">
        <v>30</v>
      </c>
      <c r="M85" t="s">
        <v>1901</v>
      </c>
      <c r="N85" t="s">
        <v>1887</v>
      </c>
    </row>
    <row r="86" spans="1:14" x14ac:dyDescent="0.35">
      <c r="A86" t="s">
        <v>2010</v>
      </c>
      <c r="B86" t="s">
        <v>1924</v>
      </c>
      <c r="C86" t="s">
        <v>130</v>
      </c>
      <c r="D86" t="s">
        <v>1904</v>
      </c>
      <c r="E86" t="s">
        <v>1678</v>
      </c>
      <c r="F86" t="s">
        <v>1885</v>
      </c>
      <c r="G86">
        <v>478494</v>
      </c>
      <c r="H86" s="1">
        <v>45545</v>
      </c>
      <c r="I86" s="1">
        <v>45668</v>
      </c>
      <c r="J86">
        <v>123</v>
      </c>
      <c r="K86">
        <v>6.8</v>
      </c>
      <c r="L86" t="s">
        <v>30</v>
      </c>
      <c r="M86" t="s">
        <v>1953</v>
      </c>
      <c r="N86" t="s">
        <v>1887</v>
      </c>
    </row>
    <row r="87" spans="1:14" x14ac:dyDescent="0.35">
      <c r="A87" t="s">
        <v>2011</v>
      </c>
      <c r="B87" t="s">
        <v>1898</v>
      </c>
      <c r="C87" t="s">
        <v>467</v>
      </c>
      <c r="D87" t="s">
        <v>1899</v>
      </c>
      <c r="E87" t="s">
        <v>1600</v>
      </c>
      <c r="F87" t="s">
        <v>1895</v>
      </c>
      <c r="G87">
        <v>366026</v>
      </c>
      <c r="H87" s="1">
        <v>45266</v>
      </c>
      <c r="I87" s="1"/>
      <c r="K87">
        <v>5.9</v>
      </c>
      <c r="L87" t="s">
        <v>21</v>
      </c>
      <c r="M87" t="s">
        <v>1886</v>
      </c>
      <c r="N87" t="s">
        <v>1887</v>
      </c>
    </row>
    <row r="88" spans="1:14" x14ac:dyDescent="0.35">
      <c r="A88" t="s">
        <v>2012</v>
      </c>
      <c r="B88" t="s">
        <v>1889</v>
      </c>
      <c r="C88" t="s">
        <v>330</v>
      </c>
      <c r="D88" t="s">
        <v>1890</v>
      </c>
      <c r="E88" t="s">
        <v>1905</v>
      </c>
      <c r="F88" t="s">
        <v>1900</v>
      </c>
      <c r="G88">
        <v>210971</v>
      </c>
      <c r="H88" s="1">
        <v>45503</v>
      </c>
      <c r="I88" s="1">
        <v>45562</v>
      </c>
      <c r="J88">
        <v>59</v>
      </c>
      <c r="K88">
        <v>19.3</v>
      </c>
      <c r="L88" t="s">
        <v>30</v>
      </c>
      <c r="M88" t="s">
        <v>1953</v>
      </c>
      <c r="N88" t="s">
        <v>1887</v>
      </c>
    </row>
    <row r="89" spans="1:14" x14ac:dyDescent="0.35">
      <c r="A89" t="s">
        <v>2013</v>
      </c>
      <c r="B89" t="s">
        <v>1889</v>
      </c>
      <c r="C89" t="s">
        <v>266</v>
      </c>
      <c r="D89" t="s">
        <v>1899</v>
      </c>
      <c r="E89" t="s">
        <v>1600</v>
      </c>
      <c r="F89" t="s">
        <v>1908</v>
      </c>
      <c r="G89">
        <v>392720</v>
      </c>
      <c r="H89" s="1">
        <v>45444</v>
      </c>
      <c r="I89" s="1"/>
      <c r="K89">
        <v>5.8</v>
      </c>
      <c r="L89" t="s">
        <v>15</v>
      </c>
      <c r="M89" t="s">
        <v>1935</v>
      </c>
      <c r="N89" t="s">
        <v>1887</v>
      </c>
    </row>
    <row r="90" spans="1:14" x14ac:dyDescent="0.35">
      <c r="A90" t="s">
        <v>2014</v>
      </c>
      <c r="B90" t="s">
        <v>1934</v>
      </c>
      <c r="C90" t="s">
        <v>498</v>
      </c>
      <c r="D90" t="s">
        <v>1899</v>
      </c>
      <c r="E90" t="s">
        <v>1918</v>
      </c>
      <c r="F90" t="s">
        <v>1946</v>
      </c>
      <c r="G90">
        <v>268444</v>
      </c>
      <c r="H90" s="1">
        <v>45424</v>
      </c>
      <c r="I90" s="1"/>
      <c r="L90" t="s">
        <v>21</v>
      </c>
      <c r="M90" t="s">
        <v>1935</v>
      </c>
      <c r="N90" t="s">
        <v>1887</v>
      </c>
    </row>
    <row r="91" spans="1:14" x14ac:dyDescent="0.35">
      <c r="A91" t="s">
        <v>2015</v>
      </c>
      <c r="B91" t="s">
        <v>1922</v>
      </c>
      <c r="C91" t="s">
        <v>106</v>
      </c>
      <c r="D91" t="s">
        <v>1915</v>
      </c>
      <c r="E91" t="s">
        <v>1587</v>
      </c>
      <c r="F91" t="s">
        <v>1908</v>
      </c>
      <c r="G91">
        <v>202104</v>
      </c>
      <c r="H91" s="1">
        <v>45686</v>
      </c>
      <c r="I91" s="1"/>
      <c r="K91">
        <v>8.8000000000000007</v>
      </c>
      <c r="L91" t="s">
        <v>21</v>
      </c>
      <c r="M91" t="s">
        <v>1912</v>
      </c>
      <c r="N91" t="s">
        <v>1887</v>
      </c>
    </row>
    <row r="92" spans="1:14" x14ac:dyDescent="0.35">
      <c r="A92" t="s">
        <v>2016</v>
      </c>
      <c r="B92" t="s">
        <v>1944</v>
      </c>
      <c r="C92" t="s">
        <v>314</v>
      </c>
      <c r="D92" t="s">
        <v>1890</v>
      </c>
      <c r="E92" t="s">
        <v>1884</v>
      </c>
      <c r="F92" t="s">
        <v>1908</v>
      </c>
      <c r="G92">
        <v>367272</v>
      </c>
      <c r="H92" s="1">
        <v>45118</v>
      </c>
      <c r="I92" s="1"/>
      <c r="K92">
        <v>5</v>
      </c>
      <c r="L92" t="s">
        <v>47</v>
      </c>
      <c r="M92" t="s">
        <v>1932</v>
      </c>
      <c r="N92" t="s">
        <v>1887</v>
      </c>
    </row>
    <row r="93" spans="1:14" x14ac:dyDescent="0.35">
      <c r="A93" t="s">
        <v>2017</v>
      </c>
      <c r="B93" t="s">
        <v>1963</v>
      </c>
      <c r="C93" t="s">
        <v>291</v>
      </c>
      <c r="D93" t="s">
        <v>1890</v>
      </c>
      <c r="E93" t="s">
        <v>1891</v>
      </c>
      <c r="F93" t="s">
        <v>1885</v>
      </c>
      <c r="G93">
        <v>199001</v>
      </c>
      <c r="H93" s="1">
        <v>45374</v>
      </c>
      <c r="I93" s="1">
        <v>45483</v>
      </c>
      <c r="J93">
        <v>109</v>
      </c>
      <c r="L93" t="s">
        <v>30</v>
      </c>
      <c r="M93" t="s">
        <v>1916</v>
      </c>
      <c r="N93" t="s">
        <v>1887</v>
      </c>
    </row>
    <row r="94" spans="1:14" x14ac:dyDescent="0.35">
      <c r="A94" t="s">
        <v>2018</v>
      </c>
      <c r="B94" t="s">
        <v>1903</v>
      </c>
      <c r="C94" t="s">
        <v>301</v>
      </c>
      <c r="D94" t="s">
        <v>1927</v>
      </c>
      <c r="E94" t="s">
        <v>1905</v>
      </c>
      <c r="F94" t="s">
        <v>1908</v>
      </c>
      <c r="G94">
        <v>321550</v>
      </c>
      <c r="H94" s="1">
        <v>45119</v>
      </c>
      <c r="I94" s="1"/>
      <c r="L94" t="s">
        <v>21</v>
      </c>
      <c r="M94" t="s">
        <v>1932</v>
      </c>
      <c r="N94" t="s">
        <v>1887</v>
      </c>
    </row>
    <row r="95" spans="1:14" x14ac:dyDescent="0.35">
      <c r="A95" t="s">
        <v>2019</v>
      </c>
      <c r="B95" t="s">
        <v>1920</v>
      </c>
      <c r="C95" t="s">
        <v>262</v>
      </c>
      <c r="D95" t="s">
        <v>1883</v>
      </c>
      <c r="E95" t="s">
        <v>1884</v>
      </c>
      <c r="F95" t="s">
        <v>1946</v>
      </c>
      <c r="G95">
        <v>376342</v>
      </c>
      <c r="H95" s="1">
        <v>45344</v>
      </c>
      <c r="I95" s="1"/>
      <c r="K95">
        <v>1.9</v>
      </c>
      <c r="L95" t="s">
        <v>21</v>
      </c>
      <c r="M95" t="s">
        <v>1916</v>
      </c>
      <c r="N95" t="s">
        <v>1887</v>
      </c>
    </row>
    <row r="96" spans="1:14" x14ac:dyDescent="0.35">
      <c r="A96" t="s">
        <v>2020</v>
      </c>
      <c r="B96" t="s">
        <v>1882</v>
      </c>
      <c r="C96" t="s">
        <v>439</v>
      </c>
      <c r="D96" t="s">
        <v>1927</v>
      </c>
      <c r="E96" t="s">
        <v>1884</v>
      </c>
      <c r="F96" t="s">
        <v>1885</v>
      </c>
      <c r="G96">
        <v>119352</v>
      </c>
      <c r="H96" s="1">
        <v>45346</v>
      </c>
      <c r="I96" s="1">
        <v>45410</v>
      </c>
      <c r="J96">
        <v>64</v>
      </c>
      <c r="K96">
        <v>5.9</v>
      </c>
      <c r="L96" t="s">
        <v>15</v>
      </c>
      <c r="M96" t="s">
        <v>1916</v>
      </c>
      <c r="N96" t="s">
        <v>1887</v>
      </c>
    </row>
    <row r="97" spans="1:14" x14ac:dyDescent="0.35">
      <c r="A97" t="s">
        <v>2021</v>
      </c>
      <c r="B97" t="s">
        <v>1911</v>
      </c>
      <c r="C97" t="s">
        <v>268</v>
      </c>
      <c r="D97" t="s">
        <v>1927</v>
      </c>
      <c r="E97" t="s">
        <v>1918</v>
      </c>
      <c r="F97" t="s">
        <v>1892</v>
      </c>
      <c r="G97">
        <v>313108</v>
      </c>
      <c r="H97" s="1">
        <v>45468</v>
      </c>
      <c r="I97" s="1"/>
      <c r="L97" t="s">
        <v>21</v>
      </c>
      <c r="M97" t="s">
        <v>1935</v>
      </c>
      <c r="N97" t="s">
        <v>1887</v>
      </c>
    </row>
    <row r="98" spans="1:14" x14ac:dyDescent="0.35">
      <c r="A98" t="s">
        <v>2022</v>
      </c>
      <c r="B98" t="s">
        <v>1920</v>
      </c>
      <c r="C98" t="s">
        <v>188</v>
      </c>
      <c r="D98" t="s">
        <v>1904</v>
      </c>
      <c r="E98" t="s">
        <v>1931</v>
      </c>
      <c r="F98" t="s">
        <v>1946</v>
      </c>
      <c r="G98">
        <v>254116</v>
      </c>
      <c r="H98" s="1">
        <v>45674</v>
      </c>
      <c r="I98" s="1"/>
      <c r="K98">
        <v>11</v>
      </c>
      <c r="L98" t="s">
        <v>30</v>
      </c>
      <c r="M98" t="s">
        <v>1912</v>
      </c>
      <c r="N98" t="s">
        <v>1887</v>
      </c>
    </row>
    <row r="99" spans="1:14" x14ac:dyDescent="0.35">
      <c r="A99" t="s">
        <v>2023</v>
      </c>
      <c r="B99" t="s">
        <v>1924</v>
      </c>
      <c r="C99" t="s">
        <v>388</v>
      </c>
      <c r="D99" t="s">
        <v>1915</v>
      </c>
      <c r="E99" t="s">
        <v>1918</v>
      </c>
      <c r="F99" t="s">
        <v>1946</v>
      </c>
      <c r="G99">
        <v>336032</v>
      </c>
      <c r="H99" s="1">
        <v>45124</v>
      </c>
      <c r="I99" s="1"/>
      <c r="K99">
        <v>4.5999999999999996</v>
      </c>
      <c r="L99" t="s">
        <v>47</v>
      </c>
      <c r="M99" t="s">
        <v>1932</v>
      </c>
      <c r="N99" t="s">
        <v>1887</v>
      </c>
    </row>
    <row r="100" spans="1:14" x14ac:dyDescent="0.35">
      <c r="A100" t="s">
        <v>2024</v>
      </c>
      <c r="B100" t="s">
        <v>1944</v>
      </c>
      <c r="C100" t="s">
        <v>283</v>
      </c>
      <c r="D100" t="s">
        <v>1927</v>
      </c>
      <c r="E100" t="s">
        <v>1587</v>
      </c>
      <c r="F100" t="s">
        <v>1900</v>
      </c>
      <c r="G100">
        <v>345065</v>
      </c>
      <c r="H100" s="1">
        <v>45194</v>
      </c>
      <c r="I100" s="1">
        <v>45267</v>
      </c>
      <c r="J100">
        <v>73</v>
      </c>
      <c r="K100">
        <v>2.5</v>
      </c>
      <c r="L100" t="s">
        <v>30</v>
      </c>
      <c r="M100" t="s">
        <v>1932</v>
      </c>
      <c r="N100" t="s">
        <v>1887</v>
      </c>
    </row>
    <row r="101" spans="1:14" x14ac:dyDescent="0.35">
      <c r="A101" t="s">
        <v>2025</v>
      </c>
      <c r="B101" t="s">
        <v>1898</v>
      </c>
      <c r="C101" t="s">
        <v>263</v>
      </c>
      <c r="D101" t="s">
        <v>1899</v>
      </c>
      <c r="E101" t="s">
        <v>1905</v>
      </c>
      <c r="F101" t="s">
        <v>1885</v>
      </c>
      <c r="G101">
        <v>217798</v>
      </c>
      <c r="H101" s="1">
        <v>45342</v>
      </c>
      <c r="I101" s="1">
        <v>45467</v>
      </c>
      <c r="J101">
        <v>125</v>
      </c>
      <c r="K101">
        <v>4.3</v>
      </c>
      <c r="L101" t="s">
        <v>15</v>
      </c>
      <c r="M101" t="s">
        <v>1916</v>
      </c>
      <c r="N101" t="s">
        <v>1887</v>
      </c>
    </row>
    <row r="102" spans="1:14" x14ac:dyDescent="0.35">
      <c r="A102" t="s">
        <v>2026</v>
      </c>
      <c r="B102" t="s">
        <v>1922</v>
      </c>
      <c r="C102" t="s">
        <v>57</v>
      </c>
      <c r="D102" t="s">
        <v>1899</v>
      </c>
      <c r="E102" t="s">
        <v>1918</v>
      </c>
      <c r="F102" t="s">
        <v>1946</v>
      </c>
      <c r="G102">
        <v>327452</v>
      </c>
      <c r="H102" s="1">
        <v>45585</v>
      </c>
      <c r="I102" s="1"/>
      <c r="K102">
        <v>14.1</v>
      </c>
      <c r="L102" t="s">
        <v>47</v>
      </c>
      <c r="M102" t="s">
        <v>1901</v>
      </c>
      <c r="N102" t="s">
        <v>1887</v>
      </c>
    </row>
    <row r="103" spans="1:14" x14ac:dyDescent="0.35">
      <c r="A103" t="s">
        <v>2027</v>
      </c>
      <c r="B103" t="s">
        <v>1922</v>
      </c>
      <c r="C103" t="s">
        <v>466</v>
      </c>
      <c r="D103" t="s">
        <v>1899</v>
      </c>
      <c r="E103" t="s">
        <v>1891</v>
      </c>
      <c r="F103" t="s">
        <v>1908</v>
      </c>
      <c r="G103">
        <v>102177</v>
      </c>
      <c r="H103" s="1">
        <v>45309</v>
      </c>
      <c r="I103" s="1"/>
      <c r="K103">
        <v>2.7</v>
      </c>
      <c r="L103" t="s">
        <v>30</v>
      </c>
      <c r="M103" t="s">
        <v>1916</v>
      </c>
      <c r="N103" t="s">
        <v>1887</v>
      </c>
    </row>
    <row r="104" spans="1:14" x14ac:dyDescent="0.35">
      <c r="A104" t="s">
        <v>2028</v>
      </c>
      <c r="B104" t="s">
        <v>1944</v>
      </c>
      <c r="C104" t="s">
        <v>344</v>
      </c>
      <c r="D104" t="s">
        <v>1927</v>
      </c>
      <c r="E104" t="s">
        <v>1891</v>
      </c>
      <c r="F104" t="s">
        <v>1895</v>
      </c>
      <c r="G104">
        <v>36694</v>
      </c>
      <c r="H104" s="1">
        <v>45526</v>
      </c>
      <c r="I104" s="1"/>
      <c r="K104">
        <v>1.8</v>
      </c>
      <c r="L104" t="s">
        <v>30</v>
      </c>
      <c r="M104" t="s">
        <v>1953</v>
      </c>
      <c r="N104" t="s">
        <v>1887</v>
      </c>
    </row>
    <row r="105" spans="1:14" x14ac:dyDescent="0.35">
      <c r="A105" t="s">
        <v>2029</v>
      </c>
      <c r="B105" t="s">
        <v>1937</v>
      </c>
      <c r="C105" t="s">
        <v>361</v>
      </c>
      <c r="D105" t="s">
        <v>1883</v>
      </c>
      <c r="E105" t="s">
        <v>1891</v>
      </c>
      <c r="F105" t="s">
        <v>1908</v>
      </c>
      <c r="G105">
        <v>406655</v>
      </c>
      <c r="H105" s="1">
        <v>45054</v>
      </c>
      <c r="I105" s="1"/>
      <c r="K105">
        <v>6.7</v>
      </c>
      <c r="L105" t="s">
        <v>47</v>
      </c>
      <c r="M105" t="s">
        <v>1893</v>
      </c>
      <c r="N105" t="s">
        <v>1887</v>
      </c>
    </row>
    <row r="106" spans="1:14" x14ac:dyDescent="0.35">
      <c r="A106" t="s">
        <v>2030</v>
      </c>
      <c r="B106" t="s">
        <v>1914</v>
      </c>
      <c r="C106" t="s">
        <v>42</v>
      </c>
      <c r="D106" t="s">
        <v>1915</v>
      </c>
      <c r="E106" t="s">
        <v>1931</v>
      </c>
      <c r="F106" t="s">
        <v>1892</v>
      </c>
      <c r="G106">
        <v>344033</v>
      </c>
      <c r="H106" s="1">
        <v>45352</v>
      </c>
      <c r="I106" s="1"/>
      <c r="K106">
        <v>5.7</v>
      </c>
      <c r="L106" t="s">
        <v>21</v>
      </c>
      <c r="M106" t="s">
        <v>1916</v>
      </c>
      <c r="N106" t="s">
        <v>1887</v>
      </c>
    </row>
    <row r="107" spans="1:14" x14ac:dyDescent="0.35">
      <c r="A107" t="s">
        <v>2031</v>
      </c>
      <c r="B107" t="s">
        <v>1911</v>
      </c>
      <c r="C107" t="s">
        <v>434</v>
      </c>
      <c r="D107" t="s">
        <v>1904</v>
      </c>
      <c r="E107" t="s">
        <v>1931</v>
      </c>
      <c r="F107" t="s">
        <v>1900</v>
      </c>
      <c r="G107">
        <v>431698</v>
      </c>
      <c r="H107" s="1">
        <v>45279</v>
      </c>
      <c r="I107" s="1">
        <v>45364</v>
      </c>
      <c r="J107">
        <v>85</v>
      </c>
      <c r="K107">
        <v>8.6999999999999993</v>
      </c>
      <c r="L107" t="s">
        <v>47</v>
      </c>
      <c r="M107" t="s">
        <v>1886</v>
      </c>
      <c r="N107" t="s">
        <v>1887</v>
      </c>
    </row>
    <row r="108" spans="1:14" x14ac:dyDescent="0.35">
      <c r="A108" t="s">
        <v>2032</v>
      </c>
      <c r="B108" t="s">
        <v>1920</v>
      </c>
      <c r="C108" t="s">
        <v>316</v>
      </c>
      <c r="D108" t="s">
        <v>1899</v>
      </c>
      <c r="E108" t="s">
        <v>1678</v>
      </c>
      <c r="F108" t="s">
        <v>1895</v>
      </c>
      <c r="G108">
        <v>131729</v>
      </c>
      <c r="H108" s="1">
        <v>45010</v>
      </c>
      <c r="I108" s="1"/>
      <c r="K108">
        <v>6.1</v>
      </c>
      <c r="L108" t="s">
        <v>15</v>
      </c>
      <c r="M108" t="s">
        <v>1896</v>
      </c>
      <c r="N108" t="s">
        <v>1887</v>
      </c>
    </row>
    <row r="109" spans="1:14" x14ac:dyDescent="0.35">
      <c r="A109" t="s">
        <v>2033</v>
      </c>
      <c r="B109" t="s">
        <v>1882</v>
      </c>
      <c r="C109" t="s">
        <v>242</v>
      </c>
      <c r="D109" t="s">
        <v>1927</v>
      </c>
      <c r="E109" t="s">
        <v>1918</v>
      </c>
      <c r="F109" t="s">
        <v>1892</v>
      </c>
      <c r="G109">
        <v>192170</v>
      </c>
      <c r="H109" s="1">
        <v>45304</v>
      </c>
      <c r="I109" s="1"/>
      <c r="K109">
        <v>4.9000000000000004</v>
      </c>
      <c r="L109" t="s">
        <v>21</v>
      </c>
      <c r="M109" t="s">
        <v>1916</v>
      </c>
      <c r="N109" t="s">
        <v>1887</v>
      </c>
    </row>
    <row r="110" spans="1:14" x14ac:dyDescent="0.35">
      <c r="A110" t="s">
        <v>2034</v>
      </c>
      <c r="B110" t="s">
        <v>1924</v>
      </c>
      <c r="C110" t="s">
        <v>494</v>
      </c>
      <c r="D110" t="s">
        <v>1883</v>
      </c>
      <c r="E110" t="s">
        <v>1918</v>
      </c>
      <c r="F110" t="s">
        <v>1946</v>
      </c>
      <c r="G110">
        <v>482743</v>
      </c>
      <c r="H110" s="1">
        <v>45564</v>
      </c>
      <c r="I110" s="1"/>
      <c r="L110" t="s">
        <v>15</v>
      </c>
      <c r="M110" t="s">
        <v>1953</v>
      </c>
      <c r="N110" t="s">
        <v>1887</v>
      </c>
    </row>
    <row r="111" spans="1:14" x14ac:dyDescent="0.35">
      <c r="A111" t="s">
        <v>2035</v>
      </c>
      <c r="B111" t="s">
        <v>1911</v>
      </c>
      <c r="C111" t="s">
        <v>305</v>
      </c>
      <c r="D111" t="s">
        <v>1915</v>
      </c>
      <c r="E111" t="s">
        <v>1600</v>
      </c>
      <c r="F111" t="s">
        <v>1908</v>
      </c>
      <c r="G111">
        <v>169868</v>
      </c>
      <c r="H111" s="1">
        <v>45237</v>
      </c>
      <c r="I111" s="1"/>
      <c r="L111" t="s">
        <v>15</v>
      </c>
      <c r="M111" t="s">
        <v>1886</v>
      </c>
      <c r="N111" t="s">
        <v>1887</v>
      </c>
    </row>
    <row r="112" spans="1:14" x14ac:dyDescent="0.35">
      <c r="A112" t="s">
        <v>2036</v>
      </c>
      <c r="B112" t="s">
        <v>1937</v>
      </c>
      <c r="C112" t="s">
        <v>214</v>
      </c>
      <c r="D112" t="s">
        <v>1890</v>
      </c>
      <c r="E112" t="s">
        <v>1884</v>
      </c>
      <c r="F112" t="s">
        <v>1892</v>
      </c>
      <c r="G112">
        <v>384629</v>
      </c>
      <c r="H112" s="1">
        <v>45190</v>
      </c>
      <c r="I112" s="1"/>
      <c r="K112">
        <v>0.2</v>
      </c>
      <c r="L112" t="s">
        <v>21</v>
      </c>
      <c r="M112" t="s">
        <v>1932</v>
      </c>
      <c r="N112" t="s">
        <v>1887</v>
      </c>
    </row>
    <row r="113" spans="1:14" x14ac:dyDescent="0.35">
      <c r="A113" t="s">
        <v>2037</v>
      </c>
      <c r="B113" t="s">
        <v>1889</v>
      </c>
      <c r="C113" t="s">
        <v>207</v>
      </c>
      <c r="D113" t="s">
        <v>1904</v>
      </c>
      <c r="E113" t="s">
        <v>1891</v>
      </c>
      <c r="F113" t="s">
        <v>1900</v>
      </c>
      <c r="G113">
        <v>219479</v>
      </c>
      <c r="H113" s="1">
        <v>44930</v>
      </c>
      <c r="I113" s="1">
        <v>45007</v>
      </c>
      <c r="J113">
        <v>77</v>
      </c>
      <c r="K113">
        <v>14.9</v>
      </c>
      <c r="L113" t="s">
        <v>47</v>
      </c>
      <c r="M113" t="s">
        <v>1896</v>
      </c>
      <c r="N113" t="s">
        <v>1887</v>
      </c>
    </row>
    <row r="114" spans="1:14" x14ac:dyDescent="0.35">
      <c r="A114" t="s">
        <v>2038</v>
      </c>
      <c r="B114" t="s">
        <v>1926</v>
      </c>
      <c r="C114" t="s">
        <v>433</v>
      </c>
      <c r="D114" t="s">
        <v>1915</v>
      </c>
      <c r="E114" t="s">
        <v>1678</v>
      </c>
      <c r="F114" t="s">
        <v>1900</v>
      </c>
      <c r="G114">
        <v>94909</v>
      </c>
      <c r="H114" s="1">
        <v>45394</v>
      </c>
      <c r="I114" s="1">
        <v>45499</v>
      </c>
      <c r="J114">
        <v>105</v>
      </c>
      <c r="K114">
        <v>21.5</v>
      </c>
      <c r="L114" t="s">
        <v>47</v>
      </c>
      <c r="M114" t="s">
        <v>1935</v>
      </c>
      <c r="N114" t="s">
        <v>1887</v>
      </c>
    </row>
    <row r="115" spans="1:14" x14ac:dyDescent="0.35">
      <c r="A115" t="s">
        <v>2039</v>
      </c>
      <c r="B115" t="s">
        <v>1882</v>
      </c>
      <c r="C115" t="s">
        <v>268</v>
      </c>
      <c r="D115" t="s">
        <v>1915</v>
      </c>
      <c r="E115" t="s">
        <v>1587</v>
      </c>
      <c r="F115" t="s">
        <v>1885</v>
      </c>
      <c r="G115">
        <v>251930</v>
      </c>
      <c r="H115" s="1">
        <v>45191</v>
      </c>
      <c r="I115" s="1">
        <v>45216</v>
      </c>
      <c r="J115">
        <v>25</v>
      </c>
      <c r="L115" t="s">
        <v>21</v>
      </c>
      <c r="M115" t="s">
        <v>1932</v>
      </c>
      <c r="N115" t="s">
        <v>1887</v>
      </c>
    </row>
    <row r="116" spans="1:14" x14ac:dyDescent="0.35">
      <c r="A116" t="s">
        <v>2040</v>
      </c>
      <c r="B116" t="s">
        <v>1914</v>
      </c>
      <c r="C116" t="s">
        <v>175</v>
      </c>
      <c r="D116" t="s">
        <v>1883</v>
      </c>
      <c r="E116" t="s">
        <v>1678</v>
      </c>
      <c r="F116" t="s">
        <v>1908</v>
      </c>
      <c r="G116">
        <v>172311</v>
      </c>
      <c r="H116" s="1">
        <v>45184</v>
      </c>
      <c r="I116" s="1"/>
      <c r="K116">
        <v>1.2</v>
      </c>
      <c r="L116" t="s">
        <v>30</v>
      </c>
      <c r="M116" t="s">
        <v>1932</v>
      </c>
      <c r="N116" t="s">
        <v>1887</v>
      </c>
    </row>
    <row r="117" spans="1:14" x14ac:dyDescent="0.35">
      <c r="A117" t="s">
        <v>2041</v>
      </c>
      <c r="B117" t="s">
        <v>1937</v>
      </c>
      <c r="C117" t="s">
        <v>330</v>
      </c>
      <c r="D117" t="s">
        <v>1915</v>
      </c>
      <c r="E117" t="s">
        <v>1587</v>
      </c>
      <c r="F117" t="s">
        <v>1900</v>
      </c>
      <c r="G117">
        <v>423559</v>
      </c>
      <c r="H117" s="1">
        <v>45186</v>
      </c>
      <c r="I117" s="1">
        <v>45342</v>
      </c>
      <c r="J117">
        <v>156</v>
      </c>
      <c r="K117">
        <v>16</v>
      </c>
      <c r="L117" t="s">
        <v>21</v>
      </c>
      <c r="M117" t="s">
        <v>1932</v>
      </c>
      <c r="N117" t="s">
        <v>1887</v>
      </c>
    </row>
    <row r="118" spans="1:14" x14ac:dyDescent="0.35">
      <c r="A118" t="s">
        <v>2042</v>
      </c>
      <c r="B118" t="s">
        <v>1922</v>
      </c>
      <c r="C118" t="s">
        <v>230</v>
      </c>
      <c r="D118" t="s">
        <v>1904</v>
      </c>
      <c r="E118" t="s">
        <v>1891</v>
      </c>
      <c r="F118" t="s">
        <v>1900</v>
      </c>
      <c r="G118">
        <v>310036</v>
      </c>
      <c r="H118" s="1">
        <v>45161</v>
      </c>
      <c r="I118" s="1">
        <v>45327</v>
      </c>
      <c r="J118">
        <v>166</v>
      </c>
      <c r="K118">
        <v>20.3</v>
      </c>
      <c r="L118" t="s">
        <v>15</v>
      </c>
      <c r="M118" t="s">
        <v>1932</v>
      </c>
      <c r="N118" t="s">
        <v>1887</v>
      </c>
    </row>
    <row r="119" spans="1:14" x14ac:dyDescent="0.35">
      <c r="A119" t="s">
        <v>2043</v>
      </c>
      <c r="B119" t="s">
        <v>1903</v>
      </c>
      <c r="C119" t="s">
        <v>42</v>
      </c>
      <c r="D119" t="s">
        <v>1890</v>
      </c>
      <c r="E119" t="s">
        <v>1905</v>
      </c>
      <c r="F119" t="s">
        <v>1900</v>
      </c>
      <c r="G119">
        <v>333247</v>
      </c>
      <c r="H119" s="1">
        <v>44951</v>
      </c>
      <c r="I119" s="1">
        <v>45009</v>
      </c>
      <c r="J119">
        <v>58</v>
      </c>
      <c r="K119">
        <v>16.5</v>
      </c>
      <c r="L119" t="s">
        <v>21</v>
      </c>
      <c r="M119" t="s">
        <v>1896</v>
      </c>
      <c r="N119" t="s">
        <v>1887</v>
      </c>
    </row>
    <row r="120" spans="1:14" x14ac:dyDescent="0.35">
      <c r="A120" t="s">
        <v>2044</v>
      </c>
      <c r="B120" t="s">
        <v>1911</v>
      </c>
      <c r="C120" t="s">
        <v>261</v>
      </c>
      <c r="D120" t="s">
        <v>1883</v>
      </c>
      <c r="E120" t="s">
        <v>1918</v>
      </c>
      <c r="F120" t="s">
        <v>1892</v>
      </c>
      <c r="G120">
        <v>358946</v>
      </c>
      <c r="H120" s="1">
        <v>45238</v>
      </c>
      <c r="I120" s="1"/>
      <c r="K120">
        <v>5.2</v>
      </c>
      <c r="L120" t="s">
        <v>15</v>
      </c>
      <c r="M120" t="s">
        <v>1886</v>
      </c>
      <c r="N120" t="s">
        <v>1887</v>
      </c>
    </row>
    <row r="121" spans="1:14" x14ac:dyDescent="0.35">
      <c r="A121" t="s">
        <v>2045</v>
      </c>
      <c r="B121" t="s">
        <v>1898</v>
      </c>
      <c r="C121" t="s">
        <v>82</v>
      </c>
      <c r="D121" t="s">
        <v>1899</v>
      </c>
      <c r="E121" t="s">
        <v>1905</v>
      </c>
      <c r="F121" t="s">
        <v>1946</v>
      </c>
      <c r="G121">
        <v>294548</v>
      </c>
      <c r="H121" s="1">
        <v>45121</v>
      </c>
      <c r="I121" s="1"/>
      <c r="K121">
        <v>8.5</v>
      </c>
      <c r="L121" t="s">
        <v>21</v>
      </c>
      <c r="M121" t="s">
        <v>1932</v>
      </c>
      <c r="N121" t="s">
        <v>1887</v>
      </c>
    </row>
    <row r="122" spans="1:14" x14ac:dyDescent="0.35">
      <c r="A122" t="s">
        <v>2046</v>
      </c>
      <c r="B122" t="s">
        <v>1924</v>
      </c>
      <c r="C122" t="s">
        <v>284</v>
      </c>
      <c r="D122" t="s">
        <v>1899</v>
      </c>
      <c r="E122" t="s">
        <v>1600</v>
      </c>
      <c r="F122" t="s">
        <v>1895</v>
      </c>
      <c r="G122">
        <v>455506</v>
      </c>
      <c r="H122" s="1">
        <v>45003</v>
      </c>
      <c r="I122" s="1"/>
      <c r="K122">
        <v>14.6</v>
      </c>
      <c r="L122" t="s">
        <v>30</v>
      </c>
      <c r="M122" t="s">
        <v>1896</v>
      </c>
      <c r="N122" t="s">
        <v>1887</v>
      </c>
    </row>
    <row r="123" spans="1:14" x14ac:dyDescent="0.35">
      <c r="A123" t="s">
        <v>2047</v>
      </c>
      <c r="B123" t="s">
        <v>1889</v>
      </c>
      <c r="C123" t="s">
        <v>32</v>
      </c>
      <c r="D123" t="s">
        <v>1904</v>
      </c>
      <c r="E123" t="s">
        <v>1678</v>
      </c>
      <c r="F123" t="s">
        <v>1900</v>
      </c>
      <c r="G123">
        <v>327220</v>
      </c>
      <c r="H123" s="1">
        <v>45359</v>
      </c>
      <c r="I123" s="1">
        <v>45446</v>
      </c>
      <c r="J123">
        <v>87</v>
      </c>
      <c r="K123">
        <v>8.1</v>
      </c>
      <c r="L123" t="s">
        <v>47</v>
      </c>
      <c r="M123" t="s">
        <v>1916</v>
      </c>
      <c r="N123" t="s">
        <v>1887</v>
      </c>
    </row>
    <row r="124" spans="1:14" x14ac:dyDescent="0.35">
      <c r="A124" t="s">
        <v>2048</v>
      </c>
      <c r="B124" t="s">
        <v>1911</v>
      </c>
      <c r="C124" t="s">
        <v>280</v>
      </c>
      <c r="D124" t="s">
        <v>1904</v>
      </c>
      <c r="E124" t="s">
        <v>1587</v>
      </c>
      <c r="F124" t="s">
        <v>1885</v>
      </c>
      <c r="G124">
        <v>95664</v>
      </c>
      <c r="H124" s="1">
        <v>45198</v>
      </c>
      <c r="I124" s="1">
        <v>45336</v>
      </c>
      <c r="J124">
        <v>138</v>
      </c>
      <c r="K124">
        <v>3.3</v>
      </c>
      <c r="L124" t="s">
        <v>15</v>
      </c>
      <c r="M124" t="s">
        <v>1932</v>
      </c>
      <c r="N124" t="s">
        <v>1887</v>
      </c>
    </row>
    <row r="125" spans="1:14" x14ac:dyDescent="0.35">
      <c r="A125" t="s">
        <v>2049</v>
      </c>
      <c r="B125" t="s">
        <v>1934</v>
      </c>
      <c r="C125" t="s">
        <v>337</v>
      </c>
      <c r="D125" t="s">
        <v>1890</v>
      </c>
      <c r="E125" t="s">
        <v>1905</v>
      </c>
      <c r="F125" t="s">
        <v>1908</v>
      </c>
      <c r="G125">
        <v>190014</v>
      </c>
      <c r="H125" s="1">
        <v>45516</v>
      </c>
      <c r="I125" s="1"/>
      <c r="K125">
        <v>2.6</v>
      </c>
      <c r="L125" t="s">
        <v>15</v>
      </c>
      <c r="M125" t="s">
        <v>1953</v>
      </c>
      <c r="N125" t="s">
        <v>1887</v>
      </c>
    </row>
    <row r="126" spans="1:14" x14ac:dyDescent="0.35">
      <c r="A126" t="s">
        <v>2050</v>
      </c>
      <c r="B126" t="s">
        <v>1914</v>
      </c>
      <c r="C126" t="s">
        <v>403</v>
      </c>
      <c r="D126" t="s">
        <v>1927</v>
      </c>
      <c r="E126" t="s">
        <v>1931</v>
      </c>
      <c r="F126" t="s">
        <v>1946</v>
      </c>
      <c r="G126">
        <v>427742</v>
      </c>
      <c r="H126" s="1">
        <v>45621</v>
      </c>
      <c r="I126" s="1"/>
      <c r="K126">
        <v>8.1</v>
      </c>
      <c r="L126" t="s">
        <v>30</v>
      </c>
      <c r="M126" t="s">
        <v>1901</v>
      </c>
      <c r="N126" t="s">
        <v>1887</v>
      </c>
    </row>
    <row r="127" spans="1:14" x14ac:dyDescent="0.35">
      <c r="A127" t="s">
        <v>2051</v>
      </c>
      <c r="B127" t="s">
        <v>1937</v>
      </c>
      <c r="C127" t="s">
        <v>138</v>
      </c>
      <c r="D127" t="s">
        <v>1883</v>
      </c>
      <c r="E127" t="s">
        <v>1891</v>
      </c>
      <c r="F127" t="s">
        <v>1895</v>
      </c>
      <c r="G127">
        <v>208673</v>
      </c>
      <c r="H127" s="1">
        <v>45703</v>
      </c>
      <c r="I127" s="1"/>
      <c r="K127">
        <v>6.4</v>
      </c>
      <c r="L127" t="s">
        <v>21</v>
      </c>
      <c r="M127" t="s">
        <v>1912</v>
      </c>
      <c r="N127" t="s">
        <v>1887</v>
      </c>
    </row>
    <row r="128" spans="1:14" x14ac:dyDescent="0.35">
      <c r="A128" t="s">
        <v>2052</v>
      </c>
      <c r="B128" t="s">
        <v>1889</v>
      </c>
      <c r="C128" t="s">
        <v>57</v>
      </c>
      <c r="D128" t="s">
        <v>1927</v>
      </c>
      <c r="E128" t="s">
        <v>1931</v>
      </c>
      <c r="F128" t="s">
        <v>1892</v>
      </c>
      <c r="G128">
        <v>427971</v>
      </c>
      <c r="H128" s="1">
        <v>45491</v>
      </c>
      <c r="I128" s="1"/>
      <c r="K128">
        <v>13.5</v>
      </c>
      <c r="L128" t="s">
        <v>15</v>
      </c>
      <c r="M128" t="s">
        <v>1953</v>
      </c>
      <c r="N128" t="s">
        <v>1887</v>
      </c>
    </row>
    <row r="129" spans="1:14" x14ac:dyDescent="0.35">
      <c r="A129" t="s">
        <v>2053</v>
      </c>
      <c r="B129" t="s">
        <v>1920</v>
      </c>
      <c r="C129" t="s">
        <v>271</v>
      </c>
      <c r="D129" t="s">
        <v>1899</v>
      </c>
      <c r="E129" t="s">
        <v>1678</v>
      </c>
      <c r="F129" t="s">
        <v>1946</v>
      </c>
      <c r="G129">
        <v>292458</v>
      </c>
      <c r="H129" s="1">
        <v>45472</v>
      </c>
      <c r="I129" s="1"/>
      <c r="L129" t="s">
        <v>47</v>
      </c>
      <c r="M129" t="s">
        <v>1935</v>
      </c>
      <c r="N129" t="s">
        <v>1887</v>
      </c>
    </row>
    <row r="130" spans="1:14" x14ac:dyDescent="0.35">
      <c r="A130" t="s">
        <v>2054</v>
      </c>
      <c r="B130" t="s">
        <v>1889</v>
      </c>
      <c r="C130" t="s">
        <v>130</v>
      </c>
      <c r="D130" t="s">
        <v>1890</v>
      </c>
      <c r="E130" t="s">
        <v>1678</v>
      </c>
      <c r="F130" t="s">
        <v>1895</v>
      </c>
      <c r="G130">
        <v>115388</v>
      </c>
      <c r="H130" s="1">
        <v>45172</v>
      </c>
      <c r="I130" s="1"/>
      <c r="K130">
        <v>13.3</v>
      </c>
      <c r="L130" t="s">
        <v>21</v>
      </c>
      <c r="M130" t="s">
        <v>1932</v>
      </c>
      <c r="N130" t="s">
        <v>1887</v>
      </c>
    </row>
    <row r="131" spans="1:14" x14ac:dyDescent="0.35">
      <c r="A131" t="s">
        <v>2055</v>
      </c>
      <c r="B131" t="s">
        <v>1898</v>
      </c>
      <c r="C131" t="s">
        <v>210</v>
      </c>
      <c r="D131" t="s">
        <v>1915</v>
      </c>
      <c r="E131" t="s">
        <v>1931</v>
      </c>
      <c r="F131" t="s">
        <v>1908</v>
      </c>
      <c r="G131">
        <v>375180</v>
      </c>
      <c r="H131" s="1">
        <v>44981</v>
      </c>
      <c r="I131" s="1"/>
      <c r="K131">
        <v>7</v>
      </c>
      <c r="L131" t="s">
        <v>47</v>
      </c>
      <c r="M131" t="s">
        <v>1896</v>
      </c>
      <c r="N131" t="s">
        <v>1887</v>
      </c>
    </row>
    <row r="132" spans="1:14" x14ac:dyDescent="0.35">
      <c r="A132" t="s">
        <v>2056</v>
      </c>
      <c r="B132" t="s">
        <v>1882</v>
      </c>
      <c r="C132" t="s">
        <v>365</v>
      </c>
      <c r="D132" t="s">
        <v>1890</v>
      </c>
      <c r="E132" t="s">
        <v>1678</v>
      </c>
      <c r="F132" t="s">
        <v>1908</v>
      </c>
      <c r="G132">
        <v>399496</v>
      </c>
      <c r="H132" s="1">
        <v>45286</v>
      </c>
      <c r="I132" s="1"/>
      <c r="K132">
        <v>11</v>
      </c>
      <c r="L132" t="s">
        <v>30</v>
      </c>
      <c r="M132" t="s">
        <v>1886</v>
      </c>
      <c r="N132" t="s">
        <v>1887</v>
      </c>
    </row>
    <row r="133" spans="1:14" x14ac:dyDescent="0.35">
      <c r="A133" t="s">
        <v>2057</v>
      </c>
      <c r="B133" t="s">
        <v>1922</v>
      </c>
      <c r="C133" t="s">
        <v>184</v>
      </c>
      <c r="D133" t="s">
        <v>1927</v>
      </c>
      <c r="E133" t="s">
        <v>1678</v>
      </c>
      <c r="F133" t="s">
        <v>1895</v>
      </c>
      <c r="G133">
        <v>471616</v>
      </c>
      <c r="H133" s="1">
        <v>45116</v>
      </c>
      <c r="I133" s="1"/>
      <c r="K133">
        <v>1.1000000000000001</v>
      </c>
      <c r="L133" t="s">
        <v>21</v>
      </c>
      <c r="M133" t="s">
        <v>1932</v>
      </c>
      <c r="N133" t="s">
        <v>1887</v>
      </c>
    </row>
    <row r="134" spans="1:14" x14ac:dyDescent="0.35">
      <c r="A134" t="s">
        <v>2058</v>
      </c>
      <c r="B134" t="s">
        <v>1963</v>
      </c>
      <c r="C134" t="s">
        <v>226</v>
      </c>
      <c r="D134" t="s">
        <v>1890</v>
      </c>
      <c r="E134" t="s">
        <v>1678</v>
      </c>
      <c r="F134" t="s">
        <v>1946</v>
      </c>
      <c r="G134">
        <v>289167</v>
      </c>
      <c r="H134" s="1">
        <v>45003</v>
      </c>
      <c r="I134" s="1"/>
      <c r="K134">
        <v>2.5</v>
      </c>
      <c r="L134" t="s">
        <v>30</v>
      </c>
      <c r="M134" t="s">
        <v>1896</v>
      </c>
      <c r="N134" t="s">
        <v>1887</v>
      </c>
    </row>
    <row r="135" spans="1:14" x14ac:dyDescent="0.35">
      <c r="A135" t="s">
        <v>2059</v>
      </c>
      <c r="B135" t="s">
        <v>1924</v>
      </c>
      <c r="C135" t="s">
        <v>474</v>
      </c>
      <c r="D135" t="s">
        <v>1899</v>
      </c>
      <c r="E135" t="s">
        <v>1678</v>
      </c>
      <c r="F135" t="s">
        <v>1946</v>
      </c>
      <c r="G135">
        <v>125873</v>
      </c>
      <c r="H135" s="1">
        <v>45309</v>
      </c>
      <c r="I135" s="1"/>
      <c r="K135">
        <v>1.3</v>
      </c>
      <c r="L135" t="s">
        <v>21</v>
      </c>
      <c r="M135" t="s">
        <v>1916</v>
      </c>
      <c r="N135" t="s">
        <v>1887</v>
      </c>
    </row>
    <row r="136" spans="1:14" x14ac:dyDescent="0.35">
      <c r="A136" t="s">
        <v>2060</v>
      </c>
      <c r="B136" t="s">
        <v>1911</v>
      </c>
      <c r="C136" t="s">
        <v>426</v>
      </c>
      <c r="D136" t="s">
        <v>1904</v>
      </c>
      <c r="E136" t="s">
        <v>1678</v>
      </c>
      <c r="F136" t="s">
        <v>1946</v>
      </c>
      <c r="G136">
        <v>94582</v>
      </c>
      <c r="H136" s="1">
        <v>45502</v>
      </c>
      <c r="I136" s="1"/>
      <c r="K136">
        <v>7.5</v>
      </c>
      <c r="L136" t="s">
        <v>21</v>
      </c>
      <c r="M136" t="s">
        <v>1953</v>
      </c>
      <c r="N136" t="s">
        <v>1887</v>
      </c>
    </row>
    <row r="137" spans="1:14" x14ac:dyDescent="0.35">
      <c r="A137" t="s">
        <v>2061</v>
      </c>
      <c r="B137" t="s">
        <v>1963</v>
      </c>
      <c r="C137" t="s">
        <v>250</v>
      </c>
      <c r="D137" t="s">
        <v>1890</v>
      </c>
      <c r="E137" t="s">
        <v>1918</v>
      </c>
      <c r="F137" t="s">
        <v>1908</v>
      </c>
      <c r="G137">
        <v>11502</v>
      </c>
      <c r="H137" s="1">
        <v>44944</v>
      </c>
      <c r="I137" s="1"/>
      <c r="K137">
        <v>5.4</v>
      </c>
      <c r="L137" t="s">
        <v>15</v>
      </c>
      <c r="M137" t="s">
        <v>1896</v>
      </c>
      <c r="N137" t="s">
        <v>1887</v>
      </c>
    </row>
    <row r="138" spans="1:14" x14ac:dyDescent="0.35">
      <c r="A138" t="s">
        <v>2062</v>
      </c>
      <c r="B138" t="s">
        <v>1889</v>
      </c>
      <c r="C138" t="s">
        <v>45</v>
      </c>
      <c r="D138" t="s">
        <v>1904</v>
      </c>
      <c r="E138" t="s">
        <v>1600</v>
      </c>
      <c r="F138" t="s">
        <v>1885</v>
      </c>
      <c r="G138">
        <v>29811</v>
      </c>
      <c r="H138" s="1">
        <v>45744</v>
      </c>
      <c r="I138" s="1">
        <v>45767</v>
      </c>
      <c r="J138">
        <v>23</v>
      </c>
      <c r="L138" t="s">
        <v>30</v>
      </c>
      <c r="M138" t="s">
        <v>1912</v>
      </c>
      <c r="N138" t="s">
        <v>1887</v>
      </c>
    </row>
    <row r="139" spans="1:14" x14ac:dyDescent="0.35">
      <c r="A139" t="s">
        <v>2063</v>
      </c>
      <c r="B139" t="s">
        <v>1926</v>
      </c>
      <c r="C139" t="s">
        <v>335</v>
      </c>
      <c r="D139" t="s">
        <v>1899</v>
      </c>
      <c r="E139" t="s">
        <v>1891</v>
      </c>
      <c r="F139" t="s">
        <v>1900</v>
      </c>
      <c r="G139">
        <v>304950</v>
      </c>
      <c r="H139" s="1">
        <v>45483</v>
      </c>
      <c r="I139" s="1">
        <v>45613</v>
      </c>
      <c r="J139">
        <v>130</v>
      </c>
      <c r="K139">
        <v>14.1</v>
      </c>
      <c r="L139" t="s">
        <v>15</v>
      </c>
      <c r="M139" t="s">
        <v>1953</v>
      </c>
      <c r="N139" t="s">
        <v>1887</v>
      </c>
    </row>
    <row r="140" spans="1:14" x14ac:dyDescent="0.35">
      <c r="A140" t="s">
        <v>2064</v>
      </c>
      <c r="B140" t="s">
        <v>1922</v>
      </c>
      <c r="C140" t="s">
        <v>319</v>
      </c>
      <c r="D140" t="s">
        <v>1927</v>
      </c>
      <c r="E140" t="s">
        <v>1918</v>
      </c>
      <c r="F140" t="s">
        <v>1895</v>
      </c>
      <c r="G140">
        <v>319777</v>
      </c>
      <c r="H140" s="1">
        <v>45740</v>
      </c>
      <c r="I140" s="1"/>
      <c r="K140">
        <v>3.7</v>
      </c>
      <c r="L140" t="s">
        <v>15</v>
      </c>
      <c r="M140" t="s">
        <v>1912</v>
      </c>
      <c r="N140" t="s">
        <v>1887</v>
      </c>
    </row>
    <row r="141" spans="1:14" x14ac:dyDescent="0.35">
      <c r="A141" t="s">
        <v>2065</v>
      </c>
      <c r="B141" t="s">
        <v>1963</v>
      </c>
      <c r="C141" t="s">
        <v>432</v>
      </c>
      <c r="D141" t="s">
        <v>1904</v>
      </c>
      <c r="E141" t="s">
        <v>1678</v>
      </c>
      <c r="F141" t="s">
        <v>1885</v>
      </c>
      <c r="G141">
        <v>451024</v>
      </c>
      <c r="H141" s="1">
        <v>45075</v>
      </c>
      <c r="I141" s="1">
        <v>45151</v>
      </c>
      <c r="J141">
        <v>76</v>
      </c>
      <c r="K141">
        <v>0.5</v>
      </c>
      <c r="L141" t="s">
        <v>30</v>
      </c>
      <c r="M141" t="s">
        <v>1893</v>
      </c>
      <c r="N141" t="s">
        <v>1887</v>
      </c>
    </row>
    <row r="142" spans="1:14" x14ac:dyDescent="0.35">
      <c r="A142" t="s">
        <v>2066</v>
      </c>
      <c r="B142" t="s">
        <v>1920</v>
      </c>
      <c r="C142" t="s">
        <v>381</v>
      </c>
      <c r="D142" t="s">
        <v>1915</v>
      </c>
      <c r="E142" t="s">
        <v>1931</v>
      </c>
      <c r="F142" t="s">
        <v>1885</v>
      </c>
      <c r="G142">
        <v>428759</v>
      </c>
      <c r="H142" s="1">
        <v>45089</v>
      </c>
      <c r="I142" s="1">
        <v>45141</v>
      </c>
      <c r="J142">
        <v>52</v>
      </c>
      <c r="K142">
        <v>3.4</v>
      </c>
      <c r="L142" t="s">
        <v>47</v>
      </c>
      <c r="M142" t="s">
        <v>1893</v>
      </c>
      <c r="N142" t="s">
        <v>1887</v>
      </c>
    </row>
    <row r="143" spans="1:14" x14ac:dyDescent="0.35">
      <c r="A143" t="s">
        <v>2067</v>
      </c>
      <c r="B143" t="s">
        <v>1934</v>
      </c>
      <c r="C143" t="s">
        <v>264</v>
      </c>
      <c r="D143" t="s">
        <v>1890</v>
      </c>
      <c r="E143" t="s">
        <v>1678</v>
      </c>
      <c r="F143" t="s">
        <v>1900</v>
      </c>
      <c r="G143">
        <v>194102</v>
      </c>
      <c r="H143" s="1">
        <v>45345</v>
      </c>
      <c r="I143" s="1">
        <v>45488</v>
      </c>
      <c r="J143">
        <v>143</v>
      </c>
      <c r="K143">
        <v>17.5</v>
      </c>
      <c r="L143" t="s">
        <v>47</v>
      </c>
      <c r="M143" t="s">
        <v>1916</v>
      </c>
      <c r="N143" t="s">
        <v>1887</v>
      </c>
    </row>
    <row r="144" spans="1:14" x14ac:dyDescent="0.35">
      <c r="A144" t="s">
        <v>2068</v>
      </c>
      <c r="B144" t="s">
        <v>1944</v>
      </c>
      <c r="C144" t="s">
        <v>112</v>
      </c>
      <c r="D144" t="s">
        <v>1904</v>
      </c>
      <c r="E144" t="s">
        <v>1891</v>
      </c>
      <c r="F144" t="s">
        <v>1908</v>
      </c>
      <c r="G144">
        <v>398021</v>
      </c>
      <c r="H144" s="1">
        <v>45624</v>
      </c>
      <c r="I144" s="1"/>
      <c r="K144">
        <v>10.7</v>
      </c>
      <c r="L144" t="s">
        <v>21</v>
      </c>
      <c r="M144" t="s">
        <v>1901</v>
      </c>
      <c r="N144" t="s">
        <v>1887</v>
      </c>
    </row>
    <row r="145" spans="1:14" x14ac:dyDescent="0.35">
      <c r="A145" t="s">
        <v>2069</v>
      </c>
      <c r="B145" t="s">
        <v>1924</v>
      </c>
      <c r="C145" t="s">
        <v>415</v>
      </c>
      <c r="D145" t="s">
        <v>1904</v>
      </c>
      <c r="E145" t="s">
        <v>1918</v>
      </c>
      <c r="F145" t="s">
        <v>1908</v>
      </c>
      <c r="G145">
        <v>212157</v>
      </c>
      <c r="H145" s="1">
        <v>45611</v>
      </c>
      <c r="I145" s="1"/>
      <c r="K145">
        <v>4.9000000000000004</v>
      </c>
      <c r="L145" t="s">
        <v>47</v>
      </c>
      <c r="M145" t="s">
        <v>1901</v>
      </c>
      <c r="N145" t="s">
        <v>1887</v>
      </c>
    </row>
    <row r="146" spans="1:14" x14ac:dyDescent="0.35">
      <c r="A146" t="s">
        <v>2070</v>
      </c>
      <c r="B146" t="s">
        <v>1963</v>
      </c>
      <c r="C146" t="s">
        <v>460</v>
      </c>
      <c r="D146" t="s">
        <v>1915</v>
      </c>
      <c r="E146" t="s">
        <v>1905</v>
      </c>
      <c r="F146" t="s">
        <v>1895</v>
      </c>
      <c r="G146">
        <v>350606</v>
      </c>
      <c r="H146" s="1">
        <v>45682</v>
      </c>
      <c r="I146" s="1"/>
      <c r="L146" t="s">
        <v>15</v>
      </c>
      <c r="M146" t="s">
        <v>1912</v>
      </c>
      <c r="N146" t="s">
        <v>1887</v>
      </c>
    </row>
    <row r="147" spans="1:14" x14ac:dyDescent="0.35">
      <c r="A147" t="s">
        <v>2071</v>
      </c>
      <c r="B147" t="s">
        <v>1926</v>
      </c>
      <c r="C147" t="s">
        <v>242</v>
      </c>
      <c r="D147" t="s">
        <v>1899</v>
      </c>
      <c r="E147" t="s">
        <v>1678</v>
      </c>
      <c r="F147" t="s">
        <v>1900</v>
      </c>
      <c r="G147">
        <v>119505</v>
      </c>
      <c r="H147" s="1">
        <v>45431</v>
      </c>
      <c r="I147" s="1">
        <v>45557</v>
      </c>
      <c r="J147">
        <v>126</v>
      </c>
      <c r="K147">
        <v>24.8</v>
      </c>
      <c r="L147" t="s">
        <v>15</v>
      </c>
      <c r="M147" t="s">
        <v>1935</v>
      </c>
      <c r="N147" t="s">
        <v>1887</v>
      </c>
    </row>
    <row r="148" spans="1:14" x14ac:dyDescent="0.35">
      <c r="A148" t="s">
        <v>2072</v>
      </c>
      <c r="B148" t="s">
        <v>1898</v>
      </c>
      <c r="C148" t="s">
        <v>156</v>
      </c>
      <c r="D148" t="s">
        <v>1890</v>
      </c>
      <c r="E148" t="s">
        <v>1918</v>
      </c>
      <c r="F148" t="s">
        <v>1895</v>
      </c>
      <c r="G148">
        <v>236631</v>
      </c>
      <c r="H148" s="1">
        <v>45015</v>
      </c>
      <c r="I148" s="1"/>
      <c r="K148">
        <v>13</v>
      </c>
      <c r="L148" t="s">
        <v>47</v>
      </c>
      <c r="M148" t="s">
        <v>1896</v>
      </c>
      <c r="N148" t="s">
        <v>1887</v>
      </c>
    </row>
    <row r="149" spans="1:14" x14ac:dyDescent="0.35">
      <c r="A149" t="s">
        <v>2073</v>
      </c>
      <c r="B149" t="s">
        <v>1930</v>
      </c>
      <c r="C149" t="s">
        <v>273</v>
      </c>
      <c r="D149" t="s">
        <v>1927</v>
      </c>
      <c r="E149" t="s">
        <v>1678</v>
      </c>
      <c r="F149" t="s">
        <v>1900</v>
      </c>
      <c r="G149">
        <v>22565</v>
      </c>
      <c r="H149" s="1">
        <v>45139</v>
      </c>
      <c r="I149" s="1">
        <v>45230</v>
      </c>
      <c r="J149">
        <v>91</v>
      </c>
      <c r="K149">
        <v>9.6</v>
      </c>
      <c r="L149" t="s">
        <v>30</v>
      </c>
      <c r="M149" t="s">
        <v>1932</v>
      </c>
      <c r="N149" t="s">
        <v>1887</v>
      </c>
    </row>
    <row r="150" spans="1:14" x14ac:dyDescent="0.35">
      <c r="A150" t="s">
        <v>2074</v>
      </c>
      <c r="B150" t="s">
        <v>1911</v>
      </c>
      <c r="C150" t="s">
        <v>477</v>
      </c>
      <c r="D150" t="s">
        <v>1890</v>
      </c>
      <c r="E150" t="s">
        <v>1884</v>
      </c>
      <c r="F150" t="s">
        <v>1895</v>
      </c>
      <c r="G150">
        <v>159178</v>
      </c>
      <c r="H150" s="1">
        <v>45659</v>
      </c>
      <c r="I150" s="1"/>
      <c r="L150" t="s">
        <v>30</v>
      </c>
      <c r="M150" t="s">
        <v>1912</v>
      </c>
      <c r="N150" t="s">
        <v>1887</v>
      </c>
    </row>
    <row r="151" spans="1:14" x14ac:dyDescent="0.35">
      <c r="A151" t="s">
        <v>2075</v>
      </c>
      <c r="B151" t="s">
        <v>1882</v>
      </c>
      <c r="C151" t="s">
        <v>52</v>
      </c>
      <c r="D151" t="s">
        <v>1899</v>
      </c>
      <c r="E151" t="s">
        <v>1931</v>
      </c>
      <c r="F151" t="s">
        <v>1900</v>
      </c>
      <c r="G151">
        <v>308386</v>
      </c>
      <c r="H151" s="1">
        <v>45505</v>
      </c>
      <c r="I151" s="1">
        <v>45644</v>
      </c>
      <c r="J151">
        <v>139</v>
      </c>
      <c r="K151">
        <v>5.7</v>
      </c>
      <c r="L151" t="s">
        <v>15</v>
      </c>
      <c r="M151" t="s">
        <v>1953</v>
      </c>
      <c r="N151" t="s">
        <v>1887</v>
      </c>
    </row>
    <row r="152" spans="1:14" x14ac:dyDescent="0.35">
      <c r="A152" t="s">
        <v>2076</v>
      </c>
      <c r="B152" t="s">
        <v>1920</v>
      </c>
      <c r="C152" t="s">
        <v>318</v>
      </c>
      <c r="D152" t="s">
        <v>1883</v>
      </c>
      <c r="E152" t="s">
        <v>1931</v>
      </c>
      <c r="F152" t="s">
        <v>1908</v>
      </c>
      <c r="G152">
        <v>408867</v>
      </c>
      <c r="H152" s="1">
        <v>45204</v>
      </c>
      <c r="I152" s="1"/>
      <c r="K152">
        <v>2.2999999999999998</v>
      </c>
      <c r="L152" t="s">
        <v>47</v>
      </c>
      <c r="M152" t="s">
        <v>1886</v>
      </c>
      <c r="N152" t="s">
        <v>1887</v>
      </c>
    </row>
    <row r="153" spans="1:14" x14ac:dyDescent="0.35">
      <c r="A153" t="s">
        <v>2077</v>
      </c>
      <c r="B153" t="s">
        <v>1930</v>
      </c>
      <c r="C153" t="s">
        <v>103</v>
      </c>
      <c r="D153" t="s">
        <v>1927</v>
      </c>
      <c r="E153" t="s">
        <v>1587</v>
      </c>
      <c r="F153" t="s">
        <v>1908</v>
      </c>
      <c r="G153">
        <v>284686</v>
      </c>
      <c r="H153" s="1">
        <v>45517</v>
      </c>
      <c r="I153" s="1"/>
      <c r="K153">
        <v>9.6</v>
      </c>
      <c r="L153" t="s">
        <v>47</v>
      </c>
      <c r="M153" t="s">
        <v>1953</v>
      </c>
      <c r="N153" t="s">
        <v>1887</v>
      </c>
    </row>
    <row r="154" spans="1:14" x14ac:dyDescent="0.35">
      <c r="A154" t="s">
        <v>2078</v>
      </c>
      <c r="B154" t="s">
        <v>1920</v>
      </c>
      <c r="C154" t="s">
        <v>240</v>
      </c>
      <c r="D154" t="s">
        <v>1915</v>
      </c>
      <c r="E154" t="s">
        <v>1587</v>
      </c>
      <c r="F154" t="s">
        <v>1900</v>
      </c>
      <c r="G154">
        <v>347300</v>
      </c>
      <c r="H154" s="1">
        <v>45511</v>
      </c>
      <c r="I154" s="1">
        <v>45597</v>
      </c>
      <c r="J154">
        <v>86</v>
      </c>
      <c r="K154">
        <v>19.899999999999999</v>
      </c>
      <c r="L154" t="s">
        <v>21</v>
      </c>
      <c r="M154" t="s">
        <v>1953</v>
      </c>
      <c r="N154" t="s">
        <v>1887</v>
      </c>
    </row>
    <row r="155" spans="1:14" x14ac:dyDescent="0.35">
      <c r="A155" t="s">
        <v>2079</v>
      </c>
      <c r="B155" t="s">
        <v>1922</v>
      </c>
      <c r="C155" t="s">
        <v>475</v>
      </c>
      <c r="D155" t="s">
        <v>1890</v>
      </c>
      <c r="E155" t="s">
        <v>1931</v>
      </c>
      <c r="F155" t="s">
        <v>1946</v>
      </c>
      <c r="G155">
        <v>208657</v>
      </c>
      <c r="H155" s="1">
        <v>45511</v>
      </c>
      <c r="I155" s="1"/>
      <c r="K155">
        <v>14.1</v>
      </c>
      <c r="L155" t="s">
        <v>47</v>
      </c>
      <c r="M155" t="s">
        <v>1953</v>
      </c>
      <c r="N155" t="s">
        <v>1887</v>
      </c>
    </row>
    <row r="156" spans="1:14" x14ac:dyDescent="0.35">
      <c r="A156" t="s">
        <v>2080</v>
      </c>
      <c r="B156" t="s">
        <v>1889</v>
      </c>
      <c r="C156" t="s">
        <v>230</v>
      </c>
      <c r="D156" t="s">
        <v>1883</v>
      </c>
      <c r="E156" t="s">
        <v>1905</v>
      </c>
      <c r="F156" t="s">
        <v>1892</v>
      </c>
      <c r="G156">
        <v>338265</v>
      </c>
      <c r="H156" s="1">
        <v>45185</v>
      </c>
      <c r="I156" s="1"/>
      <c r="L156" t="s">
        <v>47</v>
      </c>
      <c r="M156" t="s">
        <v>1932</v>
      </c>
      <c r="N156" t="s">
        <v>1887</v>
      </c>
    </row>
    <row r="157" spans="1:14" x14ac:dyDescent="0.35">
      <c r="A157" t="s">
        <v>2081</v>
      </c>
      <c r="B157" t="s">
        <v>1930</v>
      </c>
      <c r="C157" t="s">
        <v>334</v>
      </c>
      <c r="D157" t="s">
        <v>1890</v>
      </c>
      <c r="E157" t="s">
        <v>1587</v>
      </c>
      <c r="F157" t="s">
        <v>1900</v>
      </c>
      <c r="G157">
        <v>127549</v>
      </c>
      <c r="H157" s="1">
        <v>45068</v>
      </c>
      <c r="I157" s="1">
        <v>45183</v>
      </c>
      <c r="J157">
        <v>115</v>
      </c>
      <c r="K157">
        <v>4</v>
      </c>
      <c r="L157" t="s">
        <v>15</v>
      </c>
      <c r="M157" t="s">
        <v>1893</v>
      </c>
      <c r="N157" t="s">
        <v>1887</v>
      </c>
    </row>
    <row r="158" spans="1:14" x14ac:dyDescent="0.35">
      <c r="A158" t="s">
        <v>2082</v>
      </c>
      <c r="B158" t="s">
        <v>1934</v>
      </c>
      <c r="C158" t="s">
        <v>284</v>
      </c>
      <c r="D158" t="s">
        <v>1883</v>
      </c>
      <c r="E158" t="s">
        <v>1678</v>
      </c>
      <c r="F158" t="s">
        <v>1900</v>
      </c>
      <c r="G158">
        <v>468919</v>
      </c>
      <c r="H158" s="1">
        <v>45108</v>
      </c>
      <c r="I158" s="1">
        <v>45159</v>
      </c>
      <c r="J158">
        <v>51</v>
      </c>
      <c r="K158">
        <v>10.5</v>
      </c>
      <c r="L158" t="s">
        <v>15</v>
      </c>
      <c r="M158" t="s">
        <v>1932</v>
      </c>
      <c r="N158" t="s">
        <v>1887</v>
      </c>
    </row>
    <row r="159" spans="1:14" x14ac:dyDescent="0.35">
      <c r="A159" t="s">
        <v>2083</v>
      </c>
      <c r="B159" t="s">
        <v>1914</v>
      </c>
      <c r="C159" t="s">
        <v>455</v>
      </c>
      <c r="D159" t="s">
        <v>1899</v>
      </c>
      <c r="E159" t="s">
        <v>1884</v>
      </c>
      <c r="F159" t="s">
        <v>1946</v>
      </c>
      <c r="G159">
        <v>448823</v>
      </c>
      <c r="H159" s="1">
        <v>44941</v>
      </c>
      <c r="I159" s="1"/>
      <c r="K159">
        <v>11</v>
      </c>
      <c r="L159" t="s">
        <v>15</v>
      </c>
      <c r="M159" t="s">
        <v>1896</v>
      </c>
      <c r="N159" t="s">
        <v>1887</v>
      </c>
    </row>
    <row r="160" spans="1:14" x14ac:dyDescent="0.35">
      <c r="A160" t="s">
        <v>2084</v>
      </c>
      <c r="B160" t="s">
        <v>1934</v>
      </c>
      <c r="C160" t="s">
        <v>309</v>
      </c>
      <c r="D160" t="s">
        <v>1890</v>
      </c>
      <c r="E160" t="s">
        <v>1918</v>
      </c>
      <c r="F160" t="s">
        <v>1895</v>
      </c>
      <c r="G160">
        <v>448064</v>
      </c>
      <c r="H160" s="1">
        <v>45602</v>
      </c>
      <c r="I160" s="1"/>
      <c r="K160">
        <v>9.6999999999999993</v>
      </c>
      <c r="L160" t="s">
        <v>47</v>
      </c>
      <c r="M160" t="s">
        <v>1901</v>
      </c>
      <c r="N160" t="s">
        <v>1887</v>
      </c>
    </row>
    <row r="161" spans="1:14" x14ac:dyDescent="0.35">
      <c r="A161" t="s">
        <v>2085</v>
      </c>
      <c r="B161" t="s">
        <v>1922</v>
      </c>
      <c r="C161" t="s">
        <v>476</v>
      </c>
      <c r="D161" t="s">
        <v>1915</v>
      </c>
      <c r="E161" t="s">
        <v>1587</v>
      </c>
      <c r="F161" t="s">
        <v>1900</v>
      </c>
      <c r="G161">
        <v>123344</v>
      </c>
      <c r="H161" s="1">
        <v>45018</v>
      </c>
      <c r="I161" s="1">
        <v>45081</v>
      </c>
      <c r="J161">
        <v>63</v>
      </c>
      <c r="K161">
        <v>0.9</v>
      </c>
      <c r="L161" t="s">
        <v>30</v>
      </c>
      <c r="M161" t="s">
        <v>1893</v>
      </c>
      <c r="N161" t="s">
        <v>1887</v>
      </c>
    </row>
    <row r="162" spans="1:14" x14ac:dyDescent="0.35">
      <c r="A162" t="s">
        <v>2086</v>
      </c>
      <c r="B162" t="s">
        <v>1944</v>
      </c>
      <c r="C162" t="s">
        <v>493</v>
      </c>
      <c r="D162" t="s">
        <v>1899</v>
      </c>
      <c r="E162" t="s">
        <v>1884</v>
      </c>
      <c r="F162" t="s">
        <v>1908</v>
      </c>
      <c r="G162">
        <v>443307</v>
      </c>
      <c r="H162" s="1">
        <v>45228</v>
      </c>
      <c r="I162" s="1"/>
      <c r="L162" t="s">
        <v>15</v>
      </c>
      <c r="M162" t="s">
        <v>1886</v>
      </c>
      <c r="N162" t="s">
        <v>1887</v>
      </c>
    </row>
    <row r="163" spans="1:14" x14ac:dyDescent="0.35">
      <c r="A163" t="s">
        <v>2087</v>
      </c>
      <c r="B163" t="s">
        <v>1944</v>
      </c>
      <c r="C163" t="s">
        <v>106</v>
      </c>
      <c r="D163" t="s">
        <v>1890</v>
      </c>
      <c r="E163" t="s">
        <v>1931</v>
      </c>
      <c r="F163" t="s">
        <v>1885</v>
      </c>
      <c r="G163">
        <v>478035</v>
      </c>
      <c r="H163" s="1">
        <v>45218</v>
      </c>
      <c r="I163" s="1">
        <v>45373</v>
      </c>
      <c r="J163">
        <v>155</v>
      </c>
      <c r="K163">
        <v>8.5</v>
      </c>
      <c r="L163" t="s">
        <v>30</v>
      </c>
      <c r="M163" t="s">
        <v>1886</v>
      </c>
      <c r="N163" t="s">
        <v>1887</v>
      </c>
    </row>
    <row r="164" spans="1:14" x14ac:dyDescent="0.35">
      <c r="A164" t="s">
        <v>2088</v>
      </c>
      <c r="B164" t="s">
        <v>1882</v>
      </c>
      <c r="C164" t="s">
        <v>372</v>
      </c>
      <c r="D164" t="s">
        <v>1904</v>
      </c>
      <c r="E164" t="s">
        <v>1678</v>
      </c>
      <c r="F164" t="s">
        <v>1895</v>
      </c>
      <c r="G164">
        <v>111382</v>
      </c>
      <c r="H164" s="1">
        <v>45285</v>
      </c>
      <c r="I164" s="1"/>
      <c r="K164">
        <v>1.1000000000000001</v>
      </c>
      <c r="L164" t="s">
        <v>21</v>
      </c>
      <c r="M164" t="s">
        <v>1886</v>
      </c>
      <c r="N164" t="s">
        <v>1887</v>
      </c>
    </row>
    <row r="165" spans="1:14" x14ac:dyDescent="0.35">
      <c r="A165" t="s">
        <v>2089</v>
      </c>
      <c r="B165" t="s">
        <v>1944</v>
      </c>
      <c r="C165" t="s">
        <v>201</v>
      </c>
      <c r="D165" t="s">
        <v>1883</v>
      </c>
      <c r="E165" t="s">
        <v>1918</v>
      </c>
      <c r="F165" t="s">
        <v>1946</v>
      </c>
      <c r="G165">
        <v>370073</v>
      </c>
      <c r="H165" s="1">
        <v>45144</v>
      </c>
      <c r="I165" s="1"/>
      <c r="K165">
        <v>13.7</v>
      </c>
      <c r="L165" t="s">
        <v>30</v>
      </c>
      <c r="M165" t="s">
        <v>1932</v>
      </c>
      <c r="N165" t="s">
        <v>1887</v>
      </c>
    </row>
    <row r="166" spans="1:14" x14ac:dyDescent="0.35">
      <c r="A166" t="s">
        <v>2090</v>
      </c>
      <c r="B166" t="s">
        <v>1944</v>
      </c>
      <c r="C166" t="s">
        <v>318</v>
      </c>
      <c r="D166" t="s">
        <v>1915</v>
      </c>
      <c r="E166" t="s">
        <v>1678</v>
      </c>
      <c r="F166" t="s">
        <v>1900</v>
      </c>
      <c r="G166">
        <v>212195</v>
      </c>
      <c r="H166" s="1">
        <v>45363</v>
      </c>
      <c r="I166" s="1">
        <v>45386</v>
      </c>
      <c r="J166">
        <v>23</v>
      </c>
      <c r="K166">
        <v>8.3000000000000007</v>
      </c>
      <c r="L166" t="s">
        <v>47</v>
      </c>
      <c r="M166" t="s">
        <v>1916</v>
      </c>
      <c r="N166" t="s">
        <v>1887</v>
      </c>
    </row>
    <row r="167" spans="1:14" x14ac:dyDescent="0.35">
      <c r="A167" t="s">
        <v>2091</v>
      </c>
      <c r="B167" t="s">
        <v>1882</v>
      </c>
      <c r="C167" t="s">
        <v>147</v>
      </c>
      <c r="D167" t="s">
        <v>1883</v>
      </c>
      <c r="E167" t="s">
        <v>1678</v>
      </c>
      <c r="F167" t="s">
        <v>1900</v>
      </c>
      <c r="G167">
        <v>289770</v>
      </c>
      <c r="H167" s="1">
        <v>45168</v>
      </c>
      <c r="I167" s="1">
        <v>45257</v>
      </c>
      <c r="J167">
        <v>89</v>
      </c>
      <c r="K167">
        <v>6.3</v>
      </c>
      <c r="L167" t="s">
        <v>47</v>
      </c>
      <c r="M167" t="s">
        <v>1932</v>
      </c>
      <c r="N167" t="s">
        <v>1887</v>
      </c>
    </row>
    <row r="168" spans="1:14" x14ac:dyDescent="0.35">
      <c r="A168" t="s">
        <v>2092</v>
      </c>
      <c r="B168" t="s">
        <v>1889</v>
      </c>
      <c r="C168" t="s">
        <v>128</v>
      </c>
      <c r="D168" t="s">
        <v>1927</v>
      </c>
      <c r="E168" t="s">
        <v>1931</v>
      </c>
      <c r="F168" t="s">
        <v>1895</v>
      </c>
      <c r="G168">
        <v>181472</v>
      </c>
      <c r="H168" s="1">
        <v>45329</v>
      </c>
      <c r="I168" s="1"/>
      <c r="L168" t="s">
        <v>47</v>
      </c>
      <c r="M168" t="s">
        <v>1916</v>
      </c>
      <c r="N168" t="s">
        <v>1887</v>
      </c>
    </row>
    <row r="169" spans="1:14" x14ac:dyDescent="0.35">
      <c r="A169" t="s">
        <v>2093</v>
      </c>
      <c r="B169" t="s">
        <v>1963</v>
      </c>
      <c r="C169" t="s">
        <v>461</v>
      </c>
      <c r="D169" t="s">
        <v>1927</v>
      </c>
      <c r="E169" t="s">
        <v>1931</v>
      </c>
      <c r="F169" t="s">
        <v>1946</v>
      </c>
      <c r="G169">
        <v>406243</v>
      </c>
      <c r="H169" s="1">
        <v>45218</v>
      </c>
      <c r="I169" s="1"/>
      <c r="K169">
        <v>5</v>
      </c>
      <c r="L169" t="s">
        <v>47</v>
      </c>
      <c r="M169" t="s">
        <v>1886</v>
      </c>
      <c r="N169" t="s">
        <v>1887</v>
      </c>
    </row>
    <row r="170" spans="1:14" x14ac:dyDescent="0.35">
      <c r="A170" t="s">
        <v>2094</v>
      </c>
      <c r="B170" t="s">
        <v>1937</v>
      </c>
      <c r="C170" t="s">
        <v>335</v>
      </c>
      <c r="D170" t="s">
        <v>1890</v>
      </c>
      <c r="E170" t="s">
        <v>1587</v>
      </c>
      <c r="F170" t="s">
        <v>1895</v>
      </c>
      <c r="G170">
        <v>267549</v>
      </c>
      <c r="H170" s="1">
        <v>45072</v>
      </c>
      <c r="I170" s="1"/>
      <c r="L170" t="s">
        <v>30</v>
      </c>
      <c r="M170" t="s">
        <v>1893</v>
      </c>
      <c r="N170" t="s">
        <v>1887</v>
      </c>
    </row>
    <row r="171" spans="1:14" x14ac:dyDescent="0.35">
      <c r="A171" t="s">
        <v>2095</v>
      </c>
      <c r="B171" t="s">
        <v>1926</v>
      </c>
      <c r="C171" t="s">
        <v>455</v>
      </c>
      <c r="D171" t="s">
        <v>1883</v>
      </c>
      <c r="E171" t="s">
        <v>1931</v>
      </c>
      <c r="F171" t="s">
        <v>1908</v>
      </c>
      <c r="G171">
        <v>36858</v>
      </c>
      <c r="H171" s="1">
        <v>45311</v>
      </c>
      <c r="I171" s="1"/>
      <c r="K171">
        <v>1.2</v>
      </c>
      <c r="L171" t="s">
        <v>21</v>
      </c>
      <c r="M171" t="s">
        <v>1916</v>
      </c>
      <c r="N171" t="s">
        <v>1887</v>
      </c>
    </row>
    <row r="172" spans="1:14" x14ac:dyDescent="0.35">
      <c r="A172" t="s">
        <v>2096</v>
      </c>
      <c r="B172" t="s">
        <v>1963</v>
      </c>
      <c r="C172" t="s">
        <v>396</v>
      </c>
      <c r="D172" t="s">
        <v>1899</v>
      </c>
      <c r="E172" t="s">
        <v>1587</v>
      </c>
      <c r="F172" t="s">
        <v>1900</v>
      </c>
      <c r="G172">
        <v>463596</v>
      </c>
      <c r="H172" s="1">
        <v>45668</v>
      </c>
      <c r="I172" s="1">
        <v>45753</v>
      </c>
      <c r="J172">
        <v>85</v>
      </c>
      <c r="K172">
        <v>16</v>
      </c>
      <c r="L172" t="s">
        <v>21</v>
      </c>
      <c r="M172" t="s">
        <v>1912</v>
      </c>
      <c r="N172" t="s">
        <v>1887</v>
      </c>
    </row>
    <row r="173" spans="1:14" x14ac:dyDescent="0.35">
      <c r="A173" t="s">
        <v>2097</v>
      </c>
      <c r="B173" t="s">
        <v>1930</v>
      </c>
      <c r="C173" t="s">
        <v>257</v>
      </c>
      <c r="D173" t="s">
        <v>1904</v>
      </c>
      <c r="E173" t="s">
        <v>1891</v>
      </c>
      <c r="F173" t="s">
        <v>1895</v>
      </c>
      <c r="G173">
        <v>1820974</v>
      </c>
      <c r="H173" s="1">
        <v>45379</v>
      </c>
      <c r="I173" s="1"/>
      <c r="L173" t="s">
        <v>15</v>
      </c>
      <c r="M173" t="s">
        <v>1916</v>
      </c>
      <c r="N173" t="s">
        <v>1966</v>
      </c>
    </row>
    <row r="174" spans="1:14" x14ac:dyDescent="0.35">
      <c r="A174" t="s">
        <v>2098</v>
      </c>
      <c r="B174" t="s">
        <v>1963</v>
      </c>
      <c r="C174" t="s">
        <v>349</v>
      </c>
      <c r="D174" t="s">
        <v>1890</v>
      </c>
      <c r="E174" t="s">
        <v>1891</v>
      </c>
      <c r="F174" t="s">
        <v>1900</v>
      </c>
      <c r="G174">
        <v>394327</v>
      </c>
      <c r="H174" s="1">
        <v>45045</v>
      </c>
      <c r="I174" s="1">
        <v>45104</v>
      </c>
      <c r="J174">
        <v>59</v>
      </c>
      <c r="K174">
        <v>4.8</v>
      </c>
      <c r="L174" t="s">
        <v>47</v>
      </c>
      <c r="M174" t="s">
        <v>1893</v>
      </c>
      <c r="N174" t="s">
        <v>1887</v>
      </c>
    </row>
    <row r="175" spans="1:14" x14ac:dyDescent="0.35">
      <c r="A175" t="s">
        <v>2099</v>
      </c>
      <c r="B175" t="s">
        <v>1889</v>
      </c>
      <c r="C175" t="s">
        <v>62</v>
      </c>
      <c r="D175" t="s">
        <v>1899</v>
      </c>
      <c r="E175" t="s">
        <v>1600</v>
      </c>
      <c r="F175" t="s">
        <v>1900</v>
      </c>
      <c r="G175">
        <v>48104</v>
      </c>
      <c r="H175" s="1">
        <v>45690</v>
      </c>
      <c r="I175" s="1">
        <v>45759</v>
      </c>
      <c r="J175">
        <v>69</v>
      </c>
      <c r="K175">
        <v>4.4000000000000004</v>
      </c>
      <c r="L175" t="s">
        <v>15</v>
      </c>
      <c r="M175" t="s">
        <v>1912</v>
      </c>
      <c r="N175" t="s">
        <v>1887</v>
      </c>
    </row>
    <row r="176" spans="1:14" x14ac:dyDescent="0.35">
      <c r="A176" t="s">
        <v>2100</v>
      </c>
      <c r="B176" t="s">
        <v>1903</v>
      </c>
      <c r="C176" t="s">
        <v>138</v>
      </c>
      <c r="D176" t="s">
        <v>1927</v>
      </c>
      <c r="E176" t="s">
        <v>1678</v>
      </c>
      <c r="F176" t="s">
        <v>1900</v>
      </c>
      <c r="G176">
        <v>82177</v>
      </c>
      <c r="H176" s="1">
        <v>45721</v>
      </c>
      <c r="I176" s="1">
        <v>45774</v>
      </c>
      <c r="J176">
        <v>53</v>
      </c>
      <c r="K176">
        <v>24.2</v>
      </c>
      <c r="L176" t="s">
        <v>30</v>
      </c>
      <c r="M176" t="s">
        <v>1912</v>
      </c>
      <c r="N176" t="s">
        <v>1887</v>
      </c>
    </row>
    <row r="177" spans="1:14" x14ac:dyDescent="0.35">
      <c r="A177" t="s">
        <v>2101</v>
      </c>
      <c r="B177" t="s">
        <v>1924</v>
      </c>
      <c r="C177" t="s">
        <v>120</v>
      </c>
      <c r="D177" t="s">
        <v>1899</v>
      </c>
      <c r="E177" t="s">
        <v>1918</v>
      </c>
      <c r="F177" t="s">
        <v>1895</v>
      </c>
      <c r="G177">
        <v>273191</v>
      </c>
      <c r="H177" s="1">
        <v>44932</v>
      </c>
      <c r="I177" s="1"/>
      <c r="K177">
        <v>5.8</v>
      </c>
      <c r="L177" t="s">
        <v>21</v>
      </c>
      <c r="M177" t="s">
        <v>1896</v>
      </c>
      <c r="N177" t="s">
        <v>1887</v>
      </c>
    </row>
    <row r="178" spans="1:14" x14ac:dyDescent="0.35">
      <c r="A178" t="s">
        <v>2102</v>
      </c>
      <c r="B178" t="s">
        <v>1924</v>
      </c>
      <c r="C178" t="s">
        <v>424</v>
      </c>
      <c r="D178" t="s">
        <v>1904</v>
      </c>
      <c r="E178" t="s">
        <v>1931</v>
      </c>
      <c r="F178" t="s">
        <v>1900</v>
      </c>
      <c r="G178">
        <v>53328</v>
      </c>
      <c r="H178" s="1">
        <v>45716</v>
      </c>
      <c r="I178" s="1">
        <v>45749</v>
      </c>
      <c r="J178">
        <v>33</v>
      </c>
      <c r="K178">
        <v>8.3000000000000007</v>
      </c>
      <c r="L178" t="s">
        <v>15</v>
      </c>
      <c r="M178" t="s">
        <v>1912</v>
      </c>
      <c r="N178" t="s">
        <v>1887</v>
      </c>
    </row>
    <row r="179" spans="1:14" x14ac:dyDescent="0.35">
      <c r="A179" t="s">
        <v>2103</v>
      </c>
      <c r="B179" t="s">
        <v>1907</v>
      </c>
      <c r="C179" t="s">
        <v>312</v>
      </c>
      <c r="D179" t="s">
        <v>1883</v>
      </c>
      <c r="E179" t="s">
        <v>1678</v>
      </c>
      <c r="F179" t="s">
        <v>1885</v>
      </c>
      <c r="G179">
        <v>291242</v>
      </c>
      <c r="H179" s="1">
        <v>45038</v>
      </c>
      <c r="I179" s="1">
        <v>45165</v>
      </c>
      <c r="J179">
        <v>127</v>
      </c>
      <c r="L179" t="s">
        <v>30</v>
      </c>
      <c r="M179" t="s">
        <v>1893</v>
      </c>
      <c r="N179" t="s">
        <v>1887</v>
      </c>
    </row>
    <row r="180" spans="1:14" x14ac:dyDescent="0.35">
      <c r="A180" t="s">
        <v>2104</v>
      </c>
      <c r="B180" t="s">
        <v>1924</v>
      </c>
      <c r="C180" t="s">
        <v>433</v>
      </c>
      <c r="D180" t="s">
        <v>1915</v>
      </c>
      <c r="E180" t="s">
        <v>1600</v>
      </c>
      <c r="F180" t="s">
        <v>1895</v>
      </c>
      <c r="G180">
        <v>179270</v>
      </c>
      <c r="H180" s="1">
        <v>45714</v>
      </c>
      <c r="I180" s="1"/>
      <c r="K180">
        <v>3.1</v>
      </c>
      <c r="L180" t="s">
        <v>30</v>
      </c>
      <c r="M180" t="s">
        <v>1912</v>
      </c>
      <c r="N180" t="s">
        <v>1887</v>
      </c>
    </row>
    <row r="181" spans="1:14" x14ac:dyDescent="0.35">
      <c r="A181" t="s">
        <v>2105</v>
      </c>
      <c r="B181" t="s">
        <v>1937</v>
      </c>
      <c r="C181" t="s">
        <v>395</v>
      </c>
      <c r="D181" t="s">
        <v>1883</v>
      </c>
      <c r="E181" t="s">
        <v>1587</v>
      </c>
      <c r="F181" t="s">
        <v>1892</v>
      </c>
      <c r="G181">
        <v>82204</v>
      </c>
      <c r="H181" s="1">
        <v>45217</v>
      </c>
      <c r="I181" s="1"/>
      <c r="K181">
        <v>11.8</v>
      </c>
      <c r="L181" t="s">
        <v>15</v>
      </c>
      <c r="M181" t="s">
        <v>1886</v>
      </c>
      <c r="N181" t="s">
        <v>1887</v>
      </c>
    </row>
    <row r="182" spans="1:14" x14ac:dyDescent="0.35">
      <c r="A182" t="s">
        <v>2106</v>
      </c>
      <c r="B182" t="s">
        <v>1930</v>
      </c>
      <c r="C182" t="s">
        <v>152</v>
      </c>
      <c r="D182" t="s">
        <v>1904</v>
      </c>
      <c r="E182" t="s">
        <v>1891</v>
      </c>
      <c r="F182" t="s">
        <v>1900</v>
      </c>
      <c r="G182">
        <v>26242</v>
      </c>
      <c r="H182" s="1">
        <v>45423</v>
      </c>
      <c r="I182" s="1">
        <v>45547</v>
      </c>
      <c r="J182">
        <v>124</v>
      </c>
      <c r="K182">
        <v>23.6</v>
      </c>
      <c r="L182" t="s">
        <v>47</v>
      </c>
      <c r="M182" t="s">
        <v>1935</v>
      </c>
      <c r="N182" t="s">
        <v>1887</v>
      </c>
    </row>
    <row r="183" spans="1:14" x14ac:dyDescent="0.35">
      <c r="A183" t="s">
        <v>2107</v>
      </c>
      <c r="B183" t="s">
        <v>1963</v>
      </c>
      <c r="C183" t="s">
        <v>493</v>
      </c>
      <c r="D183" t="s">
        <v>1904</v>
      </c>
      <c r="E183" t="s">
        <v>1905</v>
      </c>
      <c r="F183" t="s">
        <v>1900</v>
      </c>
      <c r="G183">
        <v>388681</v>
      </c>
      <c r="H183" s="1">
        <v>45235</v>
      </c>
      <c r="I183" s="1">
        <v>45275</v>
      </c>
      <c r="J183">
        <v>40</v>
      </c>
      <c r="K183">
        <v>22.4</v>
      </c>
      <c r="L183" t="s">
        <v>30</v>
      </c>
      <c r="M183" t="s">
        <v>1886</v>
      </c>
      <c r="N183" t="s">
        <v>1887</v>
      </c>
    </row>
    <row r="184" spans="1:14" x14ac:dyDescent="0.35">
      <c r="A184" t="s">
        <v>2108</v>
      </c>
      <c r="B184" t="s">
        <v>1911</v>
      </c>
      <c r="C184" t="s">
        <v>355</v>
      </c>
      <c r="D184" t="s">
        <v>1899</v>
      </c>
      <c r="E184" t="s">
        <v>1918</v>
      </c>
      <c r="F184" t="s">
        <v>1885</v>
      </c>
      <c r="G184">
        <v>438571</v>
      </c>
      <c r="H184" s="1">
        <v>44964</v>
      </c>
      <c r="I184" s="1">
        <v>45069</v>
      </c>
      <c r="J184">
        <v>105</v>
      </c>
      <c r="L184" t="s">
        <v>15</v>
      </c>
      <c r="M184" t="s">
        <v>1896</v>
      </c>
      <c r="N184" t="s">
        <v>1887</v>
      </c>
    </row>
    <row r="185" spans="1:14" x14ac:dyDescent="0.35">
      <c r="A185" t="s">
        <v>2109</v>
      </c>
      <c r="B185" t="s">
        <v>1889</v>
      </c>
      <c r="C185" t="s">
        <v>57</v>
      </c>
      <c r="D185" t="s">
        <v>1927</v>
      </c>
      <c r="E185" t="s">
        <v>1891</v>
      </c>
      <c r="F185" t="s">
        <v>1908</v>
      </c>
      <c r="G185">
        <v>407996</v>
      </c>
      <c r="H185" s="1">
        <v>45575</v>
      </c>
      <c r="I185" s="1"/>
      <c r="K185">
        <v>13.6</v>
      </c>
      <c r="L185" t="s">
        <v>21</v>
      </c>
      <c r="M185" t="s">
        <v>1901</v>
      </c>
      <c r="N185" t="s">
        <v>1887</v>
      </c>
    </row>
    <row r="186" spans="1:14" x14ac:dyDescent="0.35">
      <c r="A186" t="s">
        <v>2110</v>
      </c>
      <c r="B186" t="s">
        <v>1937</v>
      </c>
      <c r="C186" t="s">
        <v>152</v>
      </c>
      <c r="D186" t="s">
        <v>1899</v>
      </c>
      <c r="E186" t="s">
        <v>1931</v>
      </c>
      <c r="F186" t="s">
        <v>1885</v>
      </c>
      <c r="G186">
        <v>377337</v>
      </c>
      <c r="H186" s="1">
        <v>44989</v>
      </c>
      <c r="I186" s="1">
        <v>45044</v>
      </c>
      <c r="J186">
        <v>55</v>
      </c>
      <c r="L186" t="s">
        <v>21</v>
      </c>
      <c r="M186" t="s">
        <v>1896</v>
      </c>
      <c r="N186" t="s">
        <v>1887</v>
      </c>
    </row>
    <row r="187" spans="1:14" x14ac:dyDescent="0.35">
      <c r="A187" t="s">
        <v>2111</v>
      </c>
      <c r="B187" t="s">
        <v>1930</v>
      </c>
      <c r="C187" t="s">
        <v>207</v>
      </c>
      <c r="D187" t="s">
        <v>1915</v>
      </c>
      <c r="E187" t="s">
        <v>1918</v>
      </c>
      <c r="F187" t="s">
        <v>1908</v>
      </c>
      <c r="G187">
        <v>382823</v>
      </c>
      <c r="H187" s="1">
        <v>44988</v>
      </c>
      <c r="I187" s="1"/>
      <c r="L187" t="s">
        <v>21</v>
      </c>
      <c r="M187" t="s">
        <v>1896</v>
      </c>
      <c r="N187" t="s">
        <v>1887</v>
      </c>
    </row>
    <row r="188" spans="1:14" x14ac:dyDescent="0.35">
      <c r="A188" t="s">
        <v>2112</v>
      </c>
      <c r="B188" t="s">
        <v>1963</v>
      </c>
      <c r="C188" t="s">
        <v>444</v>
      </c>
      <c r="D188" t="s">
        <v>1899</v>
      </c>
      <c r="E188" t="s">
        <v>1918</v>
      </c>
      <c r="F188" t="s">
        <v>1885</v>
      </c>
      <c r="G188">
        <v>207090</v>
      </c>
      <c r="H188" s="1">
        <v>45156</v>
      </c>
      <c r="I188" s="1">
        <v>45234</v>
      </c>
      <c r="J188">
        <v>78</v>
      </c>
      <c r="L188" t="s">
        <v>47</v>
      </c>
      <c r="M188" t="s">
        <v>1932</v>
      </c>
      <c r="N188" t="s">
        <v>1887</v>
      </c>
    </row>
    <row r="189" spans="1:14" x14ac:dyDescent="0.35">
      <c r="A189" t="s">
        <v>2113</v>
      </c>
      <c r="B189" t="s">
        <v>1937</v>
      </c>
      <c r="C189" t="s">
        <v>186</v>
      </c>
      <c r="D189" t="s">
        <v>1899</v>
      </c>
      <c r="E189" t="s">
        <v>1931</v>
      </c>
      <c r="F189" t="s">
        <v>1946</v>
      </c>
      <c r="G189">
        <v>438585</v>
      </c>
      <c r="H189" s="1">
        <v>45209</v>
      </c>
      <c r="I189" s="1"/>
      <c r="L189" t="s">
        <v>30</v>
      </c>
      <c r="M189" t="s">
        <v>1886</v>
      </c>
      <c r="N189" t="s">
        <v>1887</v>
      </c>
    </row>
    <row r="190" spans="1:14" x14ac:dyDescent="0.35">
      <c r="A190" t="s">
        <v>2114</v>
      </c>
      <c r="B190" t="s">
        <v>1898</v>
      </c>
      <c r="C190" t="s">
        <v>71</v>
      </c>
      <c r="D190" t="s">
        <v>1915</v>
      </c>
      <c r="E190" t="s">
        <v>1600</v>
      </c>
      <c r="F190" t="s">
        <v>1946</v>
      </c>
      <c r="G190">
        <v>254971</v>
      </c>
      <c r="H190" s="1">
        <v>45308</v>
      </c>
      <c r="I190" s="1"/>
      <c r="K190">
        <v>8.5</v>
      </c>
      <c r="L190" t="s">
        <v>47</v>
      </c>
      <c r="M190" t="s">
        <v>1916</v>
      </c>
      <c r="N190" t="s">
        <v>1887</v>
      </c>
    </row>
    <row r="191" spans="1:14" x14ac:dyDescent="0.35">
      <c r="A191" t="s">
        <v>2115</v>
      </c>
      <c r="B191" t="s">
        <v>1963</v>
      </c>
      <c r="C191" t="s">
        <v>193</v>
      </c>
      <c r="D191" t="s">
        <v>1883</v>
      </c>
      <c r="E191" t="s">
        <v>1891</v>
      </c>
      <c r="F191" t="s">
        <v>1895</v>
      </c>
      <c r="G191">
        <v>70375</v>
      </c>
      <c r="H191" s="1">
        <v>45443</v>
      </c>
      <c r="I191" s="1"/>
      <c r="K191">
        <v>9.6999999999999993</v>
      </c>
      <c r="L191" t="s">
        <v>21</v>
      </c>
      <c r="M191" t="s">
        <v>1935</v>
      </c>
      <c r="N191" t="s">
        <v>1887</v>
      </c>
    </row>
    <row r="192" spans="1:14" x14ac:dyDescent="0.35">
      <c r="A192" t="s">
        <v>2116</v>
      </c>
      <c r="B192" t="s">
        <v>1922</v>
      </c>
      <c r="C192" t="s">
        <v>410</v>
      </c>
      <c r="D192" t="s">
        <v>1927</v>
      </c>
      <c r="E192" t="s">
        <v>1678</v>
      </c>
      <c r="F192" t="s">
        <v>1885</v>
      </c>
      <c r="G192">
        <v>220483</v>
      </c>
      <c r="H192" s="1">
        <v>44933</v>
      </c>
      <c r="I192" s="1">
        <v>45107</v>
      </c>
      <c r="J192">
        <v>174</v>
      </c>
      <c r="L192" t="s">
        <v>30</v>
      </c>
      <c r="M192" t="s">
        <v>1896</v>
      </c>
      <c r="N192" t="s">
        <v>1887</v>
      </c>
    </row>
    <row r="193" spans="1:14" x14ac:dyDescent="0.35">
      <c r="A193" t="s">
        <v>2117</v>
      </c>
      <c r="B193" t="s">
        <v>1920</v>
      </c>
      <c r="C193" t="s">
        <v>460</v>
      </c>
      <c r="D193" t="s">
        <v>1927</v>
      </c>
      <c r="E193" t="s">
        <v>1891</v>
      </c>
      <c r="F193" t="s">
        <v>1885</v>
      </c>
      <c r="G193">
        <v>96300</v>
      </c>
      <c r="H193" s="1">
        <v>45616</v>
      </c>
      <c r="I193" s="1">
        <v>45780</v>
      </c>
      <c r="J193">
        <v>164</v>
      </c>
      <c r="L193" t="s">
        <v>21</v>
      </c>
      <c r="M193" t="s">
        <v>1901</v>
      </c>
      <c r="N193" t="s">
        <v>1887</v>
      </c>
    </row>
    <row r="194" spans="1:14" x14ac:dyDescent="0.35">
      <c r="A194" t="s">
        <v>2118</v>
      </c>
      <c r="B194" t="s">
        <v>1934</v>
      </c>
      <c r="C194" t="s">
        <v>349</v>
      </c>
      <c r="D194" t="s">
        <v>1904</v>
      </c>
      <c r="E194" t="s">
        <v>1905</v>
      </c>
      <c r="F194" t="s">
        <v>1895</v>
      </c>
      <c r="G194">
        <v>287459</v>
      </c>
      <c r="H194" s="1">
        <v>45051</v>
      </c>
      <c r="I194" s="1"/>
      <c r="K194">
        <v>10.4</v>
      </c>
      <c r="L194" t="s">
        <v>47</v>
      </c>
      <c r="M194" t="s">
        <v>1893</v>
      </c>
      <c r="N194" t="s">
        <v>1887</v>
      </c>
    </row>
    <row r="195" spans="1:14" x14ac:dyDescent="0.35">
      <c r="A195" t="s">
        <v>2119</v>
      </c>
      <c r="B195" t="s">
        <v>1898</v>
      </c>
      <c r="C195" t="s">
        <v>176</v>
      </c>
      <c r="D195" t="s">
        <v>1899</v>
      </c>
      <c r="E195" t="s">
        <v>1918</v>
      </c>
      <c r="F195" t="s">
        <v>1900</v>
      </c>
      <c r="G195">
        <v>217156</v>
      </c>
      <c r="H195" s="1">
        <v>45692</v>
      </c>
      <c r="I195" s="1">
        <v>45856</v>
      </c>
      <c r="J195">
        <v>164</v>
      </c>
      <c r="K195">
        <v>9.1</v>
      </c>
      <c r="L195" t="s">
        <v>15</v>
      </c>
      <c r="M195" t="s">
        <v>1912</v>
      </c>
      <c r="N195" t="s">
        <v>1887</v>
      </c>
    </row>
    <row r="196" spans="1:14" x14ac:dyDescent="0.35">
      <c r="A196" t="s">
        <v>2120</v>
      </c>
      <c r="B196" t="s">
        <v>1924</v>
      </c>
      <c r="C196" t="s">
        <v>454</v>
      </c>
      <c r="D196" t="s">
        <v>1904</v>
      </c>
      <c r="E196" t="s">
        <v>1905</v>
      </c>
      <c r="F196" t="s">
        <v>1908</v>
      </c>
      <c r="G196">
        <v>422364</v>
      </c>
      <c r="H196" s="1">
        <v>45151</v>
      </c>
      <c r="I196" s="1"/>
      <c r="L196" t="s">
        <v>21</v>
      </c>
      <c r="M196" t="s">
        <v>1932</v>
      </c>
      <c r="N196" t="s">
        <v>1887</v>
      </c>
    </row>
    <row r="197" spans="1:14" x14ac:dyDescent="0.35">
      <c r="A197" t="s">
        <v>2121</v>
      </c>
      <c r="B197" t="s">
        <v>1930</v>
      </c>
      <c r="C197" t="s">
        <v>366</v>
      </c>
      <c r="D197" t="s">
        <v>1927</v>
      </c>
      <c r="E197" t="s">
        <v>1931</v>
      </c>
      <c r="F197" t="s">
        <v>1900</v>
      </c>
      <c r="G197">
        <v>464417</v>
      </c>
      <c r="H197" s="1">
        <v>45275</v>
      </c>
      <c r="I197" s="1">
        <v>45440</v>
      </c>
      <c r="J197">
        <v>165</v>
      </c>
      <c r="K197">
        <v>7.8</v>
      </c>
      <c r="L197" t="s">
        <v>47</v>
      </c>
      <c r="M197" t="s">
        <v>1886</v>
      </c>
      <c r="N197" t="s">
        <v>1887</v>
      </c>
    </row>
    <row r="198" spans="1:14" x14ac:dyDescent="0.35">
      <c r="A198" t="s">
        <v>2122</v>
      </c>
      <c r="B198" t="s">
        <v>1922</v>
      </c>
      <c r="C198" t="s">
        <v>152</v>
      </c>
      <c r="D198" t="s">
        <v>1904</v>
      </c>
      <c r="E198" t="s">
        <v>1600</v>
      </c>
      <c r="F198" t="s">
        <v>1885</v>
      </c>
      <c r="G198">
        <v>461713</v>
      </c>
      <c r="H198" s="1">
        <v>44997</v>
      </c>
      <c r="I198" s="1">
        <v>45143</v>
      </c>
      <c r="J198">
        <v>146</v>
      </c>
      <c r="L198" t="s">
        <v>15</v>
      </c>
      <c r="M198" t="s">
        <v>1896</v>
      </c>
      <c r="N198" t="s">
        <v>1887</v>
      </c>
    </row>
    <row r="199" spans="1:14" x14ac:dyDescent="0.35">
      <c r="A199" t="s">
        <v>2123</v>
      </c>
      <c r="B199" t="s">
        <v>1934</v>
      </c>
      <c r="C199" t="s">
        <v>406</v>
      </c>
      <c r="D199" t="s">
        <v>1899</v>
      </c>
      <c r="E199" t="s">
        <v>1891</v>
      </c>
      <c r="F199" t="s">
        <v>1900</v>
      </c>
      <c r="G199">
        <v>387265</v>
      </c>
      <c r="H199" s="1">
        <v>45337</v>
      </c>
      <c r="I199" s="1">
        <v>45416</v>
      </c>
      <c r="J199">
        <v>79</v>
      </c>
      <c r="K199">
        <v>9.9</v>
      </c>
      <c r="L199" t="s">
        <v>21</v>
      </c>
      <c r="M199" t="s">
        <v>1916</v>
      </c>
      <c r="N199" t="s">
        <v>1887</v>
      </c>
    </row>
    <row r="200" spans="1:14" x14ac:dyDescent="0.35">
      <c r="A200" t="s">
        <v>2124</v>
      </c>
      <c r="B200" t="s">
        <v>1920</v>
      </c>
      <c r="C200" t="s">
        <v>247</v>
      </c>
      <c r="D200" t="s">
        <v>1883</v>
      </c>
      <c r="E200" t="s">
        <v>1587</v>
      </c>
      <c r="F200" t="s">
        <v>1908</v>
      </c>
      <c r="G200">
        <v>480423</v>
      </c>
      <c r="H200" s="1">
        <v>44930</v>
      </c>
      <c r="I200" s="1"/>
      <c r="L200" t="s">
        <v>47</v>
      </c>
      <c r="M200" t="s">
        <v>1896</v>
      </c>
      <c r="N200" t="s">
        <v>1887</v>
      </c>
    </row>
    <row r="201" spans="1:14" x14ac:dyDescent="0.35">
      <c r="A201" t="s">
        <v>2125</v>
      </c>
      <c r="B201" t="s">
        <v>1944</v>
      </c>
      <c r="C201" t="s">
        <v>460</v>
      </c>
      <c r="D201" t="s">
        <v>1883</v>
      </c>
      <c r="E201" t="s">
        <v>1918</v>
      </c>
      <c r="F201" t="s">
        <v>1895</v>
      </c>
      <c r="G201">
        <v>232183</v>
      </c>
      <c r="H201" s="1">
        <v>45179</v>
      </c>
      <c r="I201" s="1"/>
      <c r="K201">
        <v>14.4</v>
      </c>
      <c r="L201" t="s">
        <v>15</v>
      </c>
      <c r="M201" t="s">
        <v>1932</v>
      </c>
      <c r="N201" t="s">
        <v>1887</v>
      </c>
    </row>
    <row r="202" spans="1:14" x14ac:dyDescent="0.35">
      <c r="A202" t="s">
        <v>2126</v>
      </c>
      <c r="B202" t="s">
        <v>1889</v>
      </c>
      <c r="C202" t="s">
        <v>481</v>
      </c>
      <c r="D202" t="s">
        <v>1904</v>
      </c>
      <c r="E202" t="s">
        <v>1587</v>
      </c>
      <c r="F202" t="s">
        <v>1885</v>
      </c>
      <c r="G202">
        <v>493976</v>
      </c>
      <c r="H202" s="1">
        <v>45553</v>
      </c>
      <c r="I202" s="1">
        <v>45728</v>
      </c>
      <c r="J202">
        <v>175</v>
      </c>
      <c r="K202">
        <v>1.3</v>
      </c>
      <c r="L202" t="s">
        <v>21</v>
      </c>
      <c r="M202" t="s">
        <v>1953</v>
      </c>
      <c r="N202" t="s">
        <v>1887</v>
      </c>
    </row>
    <row r="203" spans="1:14" x14ac:dyDescent="0.35">
      <c r="A203" t="s">
        <v>2127</v>
      </c>
      <c r="B203" t="s">
        <v>1914</v>
      </c>
      <c r="C203" t="s">
        <v>423</v>
      </c>
      <c r="D203" t="s">
        <v>1915</v>
      </c>
      <c r="E203" t="s">
        <v>1931</v>
      </c>
      <c r="F203" t="s">
        <v>1900</v>
      </c>
      <c r="G203">
        <v>480459</v>
      </c>
      <c r="H203" s="1">
        <v>45071</v>
      </c>
      <c r="I203" s="1">
        <v>45149</v>
      </c>
      <c r="J203">
        <v>78</v>
      </c>
      <c r="K203">
        <v>0.2</v>
      </c>
      <c r="L203" t="s">
        <v>15</v>
      </c>
      <c r="M203" t="s">
        <v>1893</v>
      </c>
      <c r="N203" t="s">
        <v>1887</v>
      </c>
    </row>
    <row r="204" spans="1:14" x14ac:dyDescent="0.35">
      <c r="A204" t="s">
        <v>2128</v>
      </c>
      <c r="B204" t="s">
        <v>1963</v>
      </c>
      <c r="C204" t="s">
        <v>171</v>
      </c>
      <c r="D204" t="s">
        <v>1904</v>
      </c>
      <c r="E204" t="s">
        <v>1891</v>
      </c>
      <c r="F204" t="s">
        <v>1900</v>
      </c>
      <c r="G204">
        <v>434729</v>
      </c>
      <c r="H204" s="1">
        <v>44950</v>
      </c>
      <c r="I204" s="1">
        <v>45044</v>
      </c>
      <c r="J204">
        <v>94</v>
      </c>
      <c r="K204">
        <v>19.7</v>
      </c>
      <c r="L204" t="s">
        <v>47</v>
      </c>
      <c r="M204" t="s">
        <v>1896</v>
      </c>
      <c r="N204" t="s">
        <v>1887</v>
      </c>
    </row>
    <row r="205" spans="1:14" x14ac:dyDescent="0.35">
      <c r="A205" t="s">
        <v>2129</v>
      </c>
      <c r="B205" t="s">
        <v>1922</v>
      </c>
      <c r="C205" t="s">
        <v>366</v>
      </c>
      <c r="D205" t="s">
        <v>1890</v>
      </c>
      <c r="E205" t="s">
        <v>1905</v>
      </c>
      <c r="F205" t="s">
        <v>1946</v>
      </c>
      <c r="G205">
        <v>454599</v>
      </c>
      <c r="H205" s="1">
        <v>45031</v>
      </c>
      <c r="I205" s="1"/>
      <c r="L205" t="s">
        <v>21</v>
      </c>
      <c r="M205" t="s">
        <v>1893</v>
      </c>
      <c r="N205" t="s">
        <v>1887</v>
      </c>
    </row>
    <row r="206" spans="1:14" x14ac:dyDescent="0.35">
      <c r="A206" t="s">
        <v>2130</v>
      </c>
      <c r="B206" t="s">
        <v>1937</v>
      </c>
      <c r="C206" t="s">
        <v>142</v>
      </c>
      <c r="D206" t="s">
        <v>1927</v>
      </c>
      <c r="E206" t="s">
        <v>1891</v>
      </c>
      <c r="F206" t="s">
        <v>1885</v>
      </c>
      <c r="G206">
        <v>236380</v>
      </c>
      <c r="H206" s="1">
        <v>45594</v>
      </c>
      <c r="I206" s="1">
        <v>45678</v>
      </c>
      <c r="J206">
        <v>84</v>
      </c>
      <c r="L206" t="s">
        <v>30</v>
      </c>
      <c r="M206" t="s">
        <v>1901</v>
      </c>
      <c r="N206" t="s">
        <v>1887</v>
      </c>
    </row>
    <row r="207" spans="1:14" x14ac:dyDescent="0.35">
      <c r="A207" t="s">
        <v>2131</v>
      </c>
      <c r="B207" t="s">
        <v>1963</v>
      </c>
      <c r="C207" t="s">
        <v>238</v>
      </c>
      <c r="D207" t="s">
        <v>1883</v>
      </c>
      <c r="E207" t="s">
        <v>1884</v>
      </c>
      <c r="F207" t="s">
        <v>1900</v>
      </c>
      <c r="G207">
        <v>492788</v>
      </c>
      <c r="H207" s="1">
        <v>45354</v>
      </c>
      <c r="I207" s="1">
        <v>45404</v>
      </c>
      <c r="J207">
        <v>50</v>
      </c>
      <c r="K207">
        <v>3.1</v>
      </c>
      <c r="L207" t="s">
        <v>30</v>
      </c>
      <c r="M207" t="s">
        <v>1916</v>
      </c>
      <c r="N207" t="s">
        <v>1887</v>
      </c>
    </row>
    <row r="208" spans="1:14" x14ac:dyDescent="0.35">
      <c r="A208" t="s">
        <v>2132</v>
      </c>
      <c r="B208" t="s">
        <v>1898</v>
      </c>
      <c r="C208" t="s">
        <v>175</v>
      </c>
      <c r="D208" t="s">
        <v>1927</v>
      </c>
      <c r="E208" t="s">
        <v>1678</v>
      </c>
      <c r="F208" t="s">
        <v>1946</v>
      </c>
      <c r="G208">
        <v>74160</v>
      </c>
      <c r="H208" s="1">
        <v>45005</v>
      </c>
      <c r="I208" s="1"/>
      <c r="K208">
        <v>3.8</v>
      </c>
      <c r="L208" t="s">
        <v>30</v>
      </c>
      <c r="M208" t="s">
        <v>1896</v>
      </c>
      <c r="N208" t="s">
        <v>1887</v>
      </c>
    </row>
    <row r="209" spans="1:14" x14ac:dyDescent="0.35">
      <c r="A209" t="s">
        <v>2133</v>
      </c>
      <c r="B209" t="s">
        <v>1911</v>
      </c>
      <c r="C209" t="s">
        <v>169</v>
      </c>
      <c r="D209" t="s">
        <v>1904</v>
      </c>
      <c r="E209" t="s">
        <v>1678</v>
      </c>
      <c r="F209" t="s">
        <v>1946</v>
      </c>
      <c r="G209">
        <v>339015</v>
      </c>
      <c r="H209" s="1">
        <v>45433</v>
      </c>
      <c r="I209" s="1"/>
      <c r="K209">
        <v>14.9</v>
      </c>
      <c r="L209" t="s">
        <v>15</v>
      </c>
      <c r="M209" t="s">
        <v>1935</v>
      </c>
      <c r="N209" t="s">
        <v>1887</v>
      </c>
    </row>
    <row r="210" spans="1:14" x14ac:dyDescent="0.35">
      <c r="A210" t="s">
        <v>2134</v>
      </c>
      <c r="B210" t="s">
        <v>1926</v>
      </c>
      <c r="C210" t="s">
        <v>360</v>
      </c>
      <c r="D210" t="s">
        <v>1899</v>
      </c>
      <c r="E210" t="s">
        <v>1891</v>
      </c>
      <c r="F210" t="s">
        <v>1900</v>
      </c>
      <c r="G210">
        <v>309376</v>
      </c>
      <c r="H210" s="1">
        <v>45459</v>
      </c>
      <c r="I210" s="1">
        <v>45506</v>
      </c>
      <c r="J210">
        <v>47</v>
      </c>
      <c r="K210">
        <v>18.5</v>
      </c>
      <c r="L210" t="s">
        <v>47</v>
      </c>
      <c r="M210" t="s">
        <v>1935</v>
      </c>
      <c r="N210" t="s">
        <v>1887</v>
      </c>
    </row>
    <row r="211" spans="1:14" x14ac:dyDescent="0.35">
      <c r="A211" t="s">
        <v>2135</v>
      </c>
      <c r="B211" t="s">
        <v>1922</v>
      </c>
      <c r="C211" t="s">
        <v>494</v>
      </c>
      <c r="D211" t="s">
        <v>1883</v>
      </c>
      <c r="E211" t="s">
        <v>1678</v>
      </c>
      <c r="F211" t="s">
        <v>1900</v>
      </c>
      <c r="G211">
        <v>280306</v>
      </c>
      <c r="H211" s="1">
        <v>45140</v>
      </c>
      <c r="I211" s="1">
        <v>45299</v>
      </c>
      <c r="J211">
        <v>159</v>
      </c>
      <c r="K211">
        <v>24.3</v>
      </c>
      <c r="L211" t="s">
        <v>21</v>
      </c>
      <c r="M211" t="s">
        <v>1932</v>
      </c>
      <c r="N211" t="s">
        <v>1887</v>
      </c>
    </row>
    <row r="212" spans="1:14" x14ac:dyDescent="0.35">
      <c r="A212" t="s">
        <v>2136</v>
      </c>
      <c r="B212" t="s">
        <v>1963</v>
      </c>
      <c r="C212" t="s">
        <v>319</v>
      </c>
      <c r="D212" t="s">
        <v>1904</v>
      </c>
      <c r="E212" t="s">
        <v>1891</v>
      </c>
      <c r="F212" t="s">
        <v>1900</v>
      </c>
      <c r="G212">
        <v>426211</v>
      </c>
      <c r="H212" s="1">
        <v>45340</v>
      </c>
      <c r="I212" s="1">
        <v>45422</v>
      </c>
      <c r="J212">
        <v>82</v>
      </c>
      <c r="K212">
        <v>18.2</v>
      </c>
      <c r="L212" t="s">
        <v>21</v>
      </c>
      <c r="M212" t="s">
        <v>1916</v>
      </c>
      <c r="N212" t="s">
        <v>1887</v>
      </c>
    </row>
    <row r="213" spans="1:14" x14ac:dyDescent="0.35">
      <c r="A213" t="s">
        <v>2137</v>
      </c>
      <c r="B213" t="s">
        <v>1889</v>
      </c>
      <c r="C213" t="s">
        <v>130</v>
      </c>
      <c r="D213" t="s">
        <v>1927</v>
      </c>
      <c r="E213" t="s">
        <v>1891</v>
      </c>
      <c r="F213" t="s">
        <v>1895</v>
      </c>
      <c r="G213">
        <v>110529</v>
      </c>
      <c r="H213" s="1">
        <v>45128</v>
      </c>
      <c r="I213" s="1"/>
      <c r="K213">
        <v>6.5</v>
      </c>
      <c r="L213" t="s">
        <v>47</v>
      </c>
      <c r="M213" t="s">
        <v>1932</v>
      </c>
      <c r="N213" t="s">
        <v>1887</v>
      </c>
    </row>
    <row r="214" spans="1:14" x14ac:dyDescent="0.35">
      <c r="A214" t="s">
        <v>2138</v>
      </c>
      <c r="B214" t="s">
        <v>1937</v>
      </c>
      <c r="C214" t="s">
        <v>208</v>
      </c>
      <c r="D214" t="s">
        <v>1899</v>
      </c>
      <c r="E214" t="s">
        <v>1931</v>
      </c>
      <c r="F214" t="s">
        <v>1900</v>
      </c>
      <c r="G214">
        <v>436814</v>
      </c>
      <c r="H214" s="1">
        <v>45172</v>
      </c>
      <c r="I214" s="1">
        <v>45330</v>
      </c>
      <c r="J214">
        <v>158</v>
      </c>
      <c r="K214">
        <v>24</v>
      </c>
      <c r="L214" t="s">
        <v>21</v>
      </c>
      <c r="M214" t="s">
        <v>1932</v>
      </c>
      <c r="N214" t="s">
        <v>1887</v>
      </c>
    </row>
    <row r="215" spans="1:14" x14ac:dyDescent="0.35">
      <c r="A215" t="s">
        <v>2139</v>
      </c>
      <c r="B215" t="s">
        <v>1934</v>
      </c>
      <c r="C215" t="s">
        <v>269</v>
      </c>
      <c r="D215" t="s">
        <v>1890</v>
      </c>
      <c r="E215" t="s">
        <v>1678</v>
      </c>
      <c r="F215" t="s">
        <v>1895</v>
      </c>
      <c r="G215">
        <v>296634</v>
      </c>
      <c r="H215" s="1">
        <v>45441</v>
      </c>
      <c r="I215" s="1"/>
      <c r="K215">
        <v>14.5</v>
      </c>
      <c r="L215" t="s">
        <v>15</v>
      </c>
      <c r="M215" t="s">
        <v>1935</v>
      </c>
      <c r="N215" t="s">
        <v>1887</v>
      </c>
    </row>
    <row r="216" spans="1:14" x14ac:dyDescent="0.35">
      <c r="A216" t="s">
        <v>2140</v>
      </c>
      <c r="B216" t="s">
        <v>1911</v>
      </c>
      <c r="C216" t="s">
        <v>349</v>
      </c>
      <c r="D216" t="s">
        <v>1904</v>
      </c>
      <c r="E216" t="s">
        <v>1918</v>
      </c>
      <c r="F216" t="s">
        <v>1900</v>
      </c>
      <c r="G216">
        <v>467671</v>
      </c>
      <c r="H216" s="1">
        <v>44930</v>
      </c>
      <c r="I216" s="1">
        <v>44975</v>
      </c>
      <c r="J216">
        <v>45</v>
      </c>
      <c r="K216">
        <v>3.9</v>
      </c>
      <c r="L216" t="s">
        <v>30</v>
      </c>
      <c r="M216" t="s">
        <v>1896</v>
      </c>
      <c r="N216" t="s">
        <v>1887</v>
      </c>
    </row>
    <row r="217" spans="1:14" x14ac:dyDescent="0.35">
      <c r="A217" t="s">
        <v>2141</v>
      </c>
      <c r="B217" t="s">
        <v>1937</v>
      </c>
      <c r="C217" t="s">
        <v>222</v>
      </c>
      <c r="D217" t="s">
        <v>1927</v>
      </c>
      <c r="E217" t="s">
        <v>1600</v>
      </c>
      <c r="F217" t="s">
        <v>1895</v>
      </c>
      <c r="G217">
        <v>94981</v>
      </c>
      <c r="H217" s="1">
        <v>45179</v>
      </c>
      <c r="I217" s="1"/>
      <c r="K217">
        <v>10</v>
      </c>
      <c r="L217" t="s">
        <v>30</v>
      </c>
      <c r="M217" t="s">
        <v>1932</v>
      </c>
      <c r="N217" t="s">
        <v>1887</v>
      </c>
    </row>
    <row r="218" spans="1:14" x14ac:dyDescent="0.35">
      <c r="A218" t="s">
        <v>2142</v>
      </c>
      <c r="B218" t="s">
        <v>1882</v>
      </c>
      <c r="C218" t="s">
        <v>343</v>
      </c>
      <c r="D218" t="s">
        <v>1915</v>
      </c>
      <c r="E218" t="s">
        <v>1600</v>
      </c>
      <c r="F218" t="s">
        <v>1946</v>
      </c>
      <c r="G218">
        <v>310933</v>
      </c>
      <c r="H218" s="1">
        <v>45378</v>
      </c>
      <c r="I218" s="1"/>
      <c r="K218">
        <v>10.6</v>
      </c>
      <c r="L218" t="s">
        <v>15</v>
      </c>
      <c r="M218" t="s">
        <v>1916</v>
      </c>
      <c r="N218" t="s">
        <v>1887</v>
      </c>
    </row>
    <row r="219" spans="1:14" x14ac:dyDescent="0.35">
      <c r="A219" t="s">
        <v>2143</v>
      </c>
      <c r="B219" t="s">
        <v>1882</v>
      </c>
      <c r="C219" t="s">
        <v>66</v>
      </c>
      <c r="D219" t="s">
        <v>1904</v>
      </c>
      <c r="E219" t="s">
        <v>1931</v>
      </c>
      <c r="F219" t="s">
        <v>1908</v>
      </c>
      <c r="G219">
        <v>16326</v>
      </c>
      <c r="H219" s="1">
        <v>45665</v>
      </c>
      <c r="I219" s="1"/>
      <c r="K219">
        <v>7.6</v>
      </c>
      <c r="L219" t="s">
        <v>30</v>
      </c>
      <c r="M219" t="s">
        <v>1912</v>
      </c>
      <c r="N219" t="s">
        <v>1887</v>
      </c>
    </row>
    <row r="220" spans="1:14" x14ac:dyDescent="0.35">
      <c r="A220" t="s">
        <v>2144</v>
      </c>
      <c r="B220" t="s">
        <v>1937</v>
      </c>
      <c r="C220" t="s">
        <v>264</v>
      </c>
      <c r="D220" t="s">
        <v>1915</v>
      </c>
      <c r="E220" t="s">
        <v>1931</v>
      </c>
      <c r="F220" t="s">
        <v>1885</v>
      </c>
      <c r="G220">
        <v>198085</v>
      </c>
      <c r="H220" s="1">
        <v>45473</v>
      </c>
      <c r="I220" s="1">
        <v>45617</v>
      </c>
      <c r="J220">
        <v>144</v>
      </c>
      <c r="K220">
        <v>11.4</v>
      </c>
      <c r="L220" t="s">
        <v>30</v>
      </c>
      <c r="M220" t="s">
        <v>1935</v>
      </c>
      <c r="N220" t="s">
        <v>1887</v>
      </c>
    </row>
    <row r="221" spans="1:14" x14ac:dyDescent="0.35">
      <c r="A221" t="s">
        <v>2145</v>
      </c>
      <c r="B221" t="s">
        <v>1911</v>
      </c>
      <c r="C221" t="s">
        <v>467</v>
      </c>
      <c r="D221" t="s">
        <v>1927</v>
      </c>
      <c r="E221" t="s">
        <v>1931</v>
      </c>
      <c r="F221" t="s">
        <v>1892</v>
      </c>
      <c r="G221">
        <v>453079</v>
      </c>
      <c r="H221" s="1">
        <v>45339</v>
      </c>
      <c r="I221" s="1"/>
      <c r="K221">
        <v>10.1</v>
      </c>
      <c r="L221" t="s">
        <v>30</v>
      </c>
      <c r="M221" t="s">
        <v>1916</v>
      </c>
      <c r="N221" t="s">
        <v>1887</v>
      </c>
    </row>
    <row r="222" spans="1:14" x14ac:dyDescent="0.35">
      <c r="A222" t="s">
        <v>2146</v>
      </c>
      <c r="B222" t="s">
        <v>1914</v>
      </c>
      <c r="C222" t="s">
        <v>351</v>
      </c>
      <c r="D222" t="s">
        <v>1904</v>
      </c>
      <c r="E222" t="s">
        <v>1905</v>
      </c>
      <c r="F222" t="s">
        <v>1900</v>
      </c>
      <c r="G222">
        <v>88112</v>
      </c>
      <c r="H222" s="1">
        <v>45618</v>
      </c>
      <c r="I222" s="1">
        <v>45730</v>
      </c>
      <c r="J222">
        <v>112</v>
      </c>
      <c r="K222">
        <v>20.2</v>
      </c>
      <c r="L222" t="s">
        <v>21</v>
      </c>
      <c r="M222" t="s">
        <v>1901</v>
      </c>
      <c r="N222" t="s">
        <v>1887</v>
      </c>
    </row>
    <row r="223" spans="1:14" x14ac:dyDescent="0.35">
      <c r="A223" t="s">
        <v>2147</v>
      </c>
      <c r="B223" t="s">
        <v>1889</v>
      </c>
      <c r="C223" t="s">
        <v>337</v>
      </c>
      <c r="D223" t="s">
        <v>1904</v>
      </c>
      <c r="E223" t="s">
        <v>1587</v>
      </c>
      <c r="F223" t="s">
        <v>1946</v>
      </c>
      <c r="G223">
        <v>93684</v>
      </c>
      <c r="H223" s="1">
        <v>45354</v>
      </c>
      <c r="I223" s="1"/>
      <c r="L223" t="s">
        <v>15</v>
      </c>
      <c r="M223" t="s">
        <v>1916</v>
      </c>
      <c r="N223" t="s">
        <v>1887</v>
      </c>
    </row>
    <row r="224" spans="1:14" x14ac:dyDescent="0.35">
      <c r="A224" t="s">
        <v>2148</v>
      </c>
      <c r="B224" t="s">
        <v>1922</v>
      </c>
      <c r="C224" t="s">
        <v>414</v>
      </c>
      <c r="D224" t="s">
        <v>1904</v>
      </c>
      <c r="E224" t="s">
        <v>1905</v>
      </c>
      <c r="F224" t="s">
        <v>1908</v>
      </c>
      <c r="G224">
        <v>213109</v>
      </c>
      <c r="H224" s="1">
        <v>45142</v>
      </c>
      <c r="I224" s="1"/>
      <c r="K224">
        <v>4.4000000000000004</v>
      </c>
      <c r="L224" t="s">
        <v>47</v>
      </c>
      <c r="M224" t="s">
        <v>1932</v>
      </c>
      <c r="N224" t="s">
        <v>1887</v>
      </c>
    </row>
    <row r="225" spans="1:14" x14ac:dyDescent="0.35">
      <c r="A225" t="s">
        <v>2149</v>
      </c>
      <c r="B225" t="s">
        <v>1903</v>
      </c>
      <c r="C225" t="s">
        <v>243</v>
      </c>
      <c r="D225" t="s">
        <v>1927</v>
      </c>
      <c r="E225" t="s">
        <v>1587</v>
      </c>
      <c r="F225" t="s">
        <v>1900</v>
      </c>
      <c r="G225">
        <v>172067</v>
      </c>
      <c r="H225" s="1">
        <v>45133</v>
      </c>
      <c r="I225" s="1">
        <v>45311</v>
      </c>
      <c r="J225">
        <v>178</v>
      </c>
      <c r="K225">
        <v>6</v>
      </c>
      <c r="L225" t="s">
        <v>47</v>
      </c>
      <c r="M225" t="s">
        <v>1932</v>
      </c>
      <c r="N225" t="s">
        <v>1887</v>
      </c>
    </row>
    <row r="226" spans="1:14" x14ac:dyDescent="0.35">
      <c r="A226" t="s">
        <v>2150</v>
      </c>
      <c r="B226" t="s">
        <v>1963</v>
      </c>
      <c r="C226" t="s">
        <v>144</v>
      </c>
      <c r="D226" t="s">
        <v>1904</v>
      </c>
      <c r="E226" t="s">
        <v>1905</v>
      </c>
      <c r="F226" t="s">
        <v>1895</v>
      </c>
      <c r="G226">
        <v>319005</v>
      </c>
      <c r="H226" s="1">
        <v>45616</v>
      </c>
      <c r="I226" s="1"/>
      <c r="L226" t="s">
        <v>21</v>
      </c>
      <c r="M226" t="s">
        <v>1901</v>
      </c>
      <c r="N226" t="s">
        <v>1887</v>
      </c>
    </row>
    <row r="227" spans="1:14" x14ac:dyDescent="0.35">
      <c r="A227" t="s">
        <v>2151</v>
      </c>
      <c r="B227" t="s">
        <v>1924</v>
      </c>
      <c r="C227" t="s">
        <v>184</v>
      </c>
      <c r="D227" t="s">
        <v>1904</v>
      </c>
      <c r="E227" t="s">
        <v>1587</v>
      </c>
      <c r="F227" t="s">
        <v>1895</v>
      </c>
      <c r="G227">
        <v>202243</v>
      </c>
      <c r="H227" s="1">
        <v>45367</v>
      </c>
      <c r="I227" s="1"/>
      <c r="K227">
        <v>0.3</v>
      </c>
      <c r="L227" t="s">
        <v>21</v>
      </c>
      <c r="M227" t="s">
        <v>1916</v>
      </c>
      <c r="N227" t="s">
        <v>1887</v>
      </c>
    </row>
    <row r="228" spans="1:14" x14ac:dyDescent="0.35">
      <c r="A228" t="s">
        <v>2152</v>
      </c>
      <c r="B228" t="s">
        <v>1963</v>
      </c>
      <c r="C228" t="s">
        <v>362</v>
      </c>
      <c r="D228" t="s">
        <v>1899</v>
      </c>
      <c r="E228" t="s">
        <v>1905</v>
      </c>
      <c r="F228" t="s">
        <v>1895</v>
      </c>
      <c r="G228">
        <v>318443</v>
      </c>
      <c r="H228" s="1">
        <v>44966</v>
      </c>
      <c r="I228" s="1"/>
      <c r="L228" t="s">
        <v>15</v>
      </c>
      <c r="M228" t="s">
        <v>1896</v>
      </c>
      <c r="N228" t="s">
        <v>1887</v>
      </c>
    </row>
    <row r="229" spans="1:14" x14ac:dyDescent="0.35">
      <c r="A229" t="s">
        <v>2153</v>
      </c>
      <c r="B229" t="s">
        <v>1926</v>
      </c>
      <c r="C229" t="s">
        <v>493</v>
      </c>
      <c r="D229" t="s">
        <v>1904</v>
      </c>
      <c r="E229" t="s">
        <v>1905</v>
      </c>
      <c r="F229" t="s">
        <v>1900</v>
      </c>
      <c r="G229">
        <v>872105</v>
      </c>
      <c r="H229" s="1">
        <v>45632</v>
      </c>
      <c r="I229" s="1">
        <v>45683</v>
      </c>
      <c r="J229">
        <v>51</v>
      </c>
      <c r="K229">
        <v>9.8000000000000007</v>
      </c>
      <c r="L229" t="s">
        <v>47</v>
      </c>
      <c r="M229" t="s">
        <v>1901</v>
      </c>
      <c r="N229" t="s">
        <v>1887</v>
      </c>
    </row>
    <row r="230" spans="1:14" x14ac:dyDescent="0.35">
      <c r="A230" t="s">
        <v>2154</v>
      </c>
      <c r="B230" t="s">
        <v>1903</v>
      </c>
      <c r="C230" t="s">
        <v>201</v>
      </c>
      <c r="D230" t="s">
        <v>1927</v>
      </c>
      <c r="E230" t="s">
        <v>1918</v>
      </c>
      <c r="F230" t="s">
        <v>1885</v>
      </c>
      <c r="G230">
        <v>303608</v>
      </c>
      <c r="H230" s="1">
        <v>45491</v>
      </c>
      <c r="I230" s="1">
        <v>45590</v>
      </c>
      <c r="J230">
        <v>99</v>
      </c>
      <c r="K230">
        <v>1.7</v>
      </c>
      <c r="L230" t="s">
        <v>47</v>
      </c>
      <c r="M230" t="s">
        <v>1953</v>
      </c>
      <c r="N230" t="s">
        <v>1887</v>
      </c>
    </row>
    <row r="231" spans="1:14" x14ac:dyDescent="0.35">
      <c r="A231" t="s">
        <v>2155</v>
      </c>
      <c r="B231" t="s">
        <v>1889</v>
      </c>
      <c r="C231" t="s">
        <v>357</v>
      </c>
      <c r="D231" t="s">
        <v>1915</v>
      </c>
      <c r="E231" t="s">
        <v>1884</v>
      </c>
      <c r="F231" t="s">
        <v>1908</v>
      </c>
      <c r="G231">
        <v>419456</v>
      </c>
      <c r="H231" s="1">
        <v>45712</v>
      </c>
      <c r="I231" s="1"/>
      <c r="K231">
        <v>3.4</v>
      </c>
      <c r="L231" t="s">
        <v>30</v>
      </c>
      <c r="M231" t="s">
        <v>1912</v>
      </c>
      <c r="N231" t="s">
        <v>1887</v>
      </c>
    </row>
    <row r="232" spans="1:14" x14ac:dyDescent="0.35">
      <c r="A232" t="s">
        <v>2156</v>
      </c>
      <c r="B232" t="s">
        <v>1903</v>
      </c>
      <c r="C232" t="s">
        <v>106</v>
      </c>
      <c r="D232" t="s">
        <v>1883</v>
      </c>
      <c r="E232" t="s">
        <v>1931</v>
      </c>
      <c r="F232" t="s">
        <v>1946</v>
      </c>
      <c r="G232">
        <v>268888</v>
      </c>
      <c r="H232" s="1">
        <v>45404</v>
      </c>
      <c r="I232" s="1"/>
      <c r="L232" t="s">
        <v>30</v>
      </c>
      <c r="M232" t="s">
        <v>1935</v>
      </c>
      <c r="N232" t="s">
        <v>1887</v>
      </c>
    </row>
    <row r="233" spans="1:14" x14ac:dyDescent="0.35">
      <c r="A233" t="s">
        <v>2157</v>
      </c>
      <c r="B233" t="s">
        <v>1924</v>
      </c>
      <c r="C233" t="s">
        <v>390</v>
      </c>
      <c r="D233" t="s">
        <v>1927</v>
      </c>
      <c r="E233" t="s">
        <v>1587</v>
      </c>
      <c r="F233" t="s">
        <v>1908</v>
      </c>
      <c r="G233">
        <v>199584</v>
      </c>
      <c r="H233" s="1">
        <v>45591</v>
      </c>
      <c r="I233" s="1"/>
      <c r="L233" t="s">
        <v>30</v>
      </c>
      <c r="M233" t="s">
        <v>1901</v>
      </c>
      <c r="N233" t="s">
        <v>1887</v>
      </c>
    </row>
    <row r="234" spans="1:14" x14ac:dyDescent="0.35">
      <c r="A234" t="s">
        <v>2158</v>
      </c>
      <c r="B234" t="s">
        <v>1920</v>
      </c>
      <c r="C234" t="s">
        <v>207</v>
      </c>
      <c r="D234" t="s">
        <v>1915</v>
      </c>
      <c r="E234" t="s">
        <v>1891</v>
      </c>
      <c r="F234" t="s">
        <v>1946</v>
      </c>
      <c r="G234">
        <v>460736</v>
      </c>
      <c r="H234" s="1">
        <v>45075</v>
      </c>
      <c r="I234" s="1"/>
      <c r="K234">
        <v>9</v>
      </c>
      <c r="L234" t="s">
        <v>15</v>
      </c>
      <c r="M234" t="s">
        <v>1893</v>
      </c>
      <c r="N234" t="s">
        <v>1887</v>
      </c>
    </row>
    <row r="235" spans="1:14" x14ac:dyDescent="0.35">
      <c r="A235" t="s">
        <v>2159</v>
      </c>
      <c r="B235" t="s">
        <v>1922</v>
      </c>
      <c r="C235" t="s">
        <v>291</v>
      </c>
      <c r="D235" t="s">
        <v>1904</v>
      </c>
      <c r="E235" t="s">
        <v>1931</v>
      </c>
      <c r="F235" t="s">
        <v>1885</v>
      </c>
      <c r="G235">
        <v>182325</v>
      </c>
      <c r="H235" s="1">
        <v>45713</v>
      </c>
      <c r="I235" s="1">
        <v>45820</v>
      </c>
      <c r="J235">
        <v>107</v>
      </c>
      <c r="K235">
        <v>4.7</v>
      </c>
      <c r="L235" t="s">
        <v>15</v>
      </c>
      <c r="M235" t="s">
        <v>1912</v>
      </c>
      <c r="N235" t="s">
        <v>1887</v>
      </c>
    </row>
    <row r="236" spans="1:14" x14ac:dyDescent="0.35">
      <c r="A236" t="s">
        <v>2160</v>
      </c>
      <c r="B236" t="s">
        <v>1937</v>
      </c>
      <c r="C236" t="s">
        <v>169</v>
      </c>
      <c r="D236" t="s">
        <v>1890</v>
      </c>
      <c r="E236" t="s">
        <v>1931</v>
      </c>
      <c r="F236" t="s">
        <v>1895</v>
      </c>
      <c r="G236">
        <v>32800</v>
      </c>
      <c r="H236" s="1">
        <v>45557</v>
      </c>
      <c r="I236" s="1"/>
      <c r="L236" t="s">
        <v>30</v>
      </c>
      <c r="M236" t="s">
        <v>1953</v>
      </c>
      <c r="N236" t="s">
        <v>1887</v>
      </c>
    </row>
    <row r="237" spans="1:14" x14ac:dyDescent="0.35">
      <c r="A237" t="s">
        <v>2161</v>
      </c>
      <c r="B237" t="s">
        <v>1963</v>
      </c>
      <c r="C237" t="s">
        <v>386</v>
      </c>
      <c r="D237" t="s">
        <v>1915</v>
      </c>
      <c r="E237" t="s">
        <v>1587</v>
      </c>
      <c r="F237" t="s">
        <v>1900</v>
      </c>
      <c r="G237">
        <v>294005</v>
      </c>
      <c r="H237" s="1">
        <v>45082</v>
      </c>
      <c r="I237" s="1">
        <v>45121</v>
      </c>
      <c r="J237">
        <v>39</v>
      </c>
      <c r="K237">
        <v>19.8</v>
      </c>
      <c r="L237" t="s">
        <v>15</v>
      </c>
      <c r="M237" t="s">
        <v>1893</v>
      </c>
      <c r="N237" t="s">
        <v>1887</v>
      </c>
    </row>
    <row r="238" spans="1:14" x14ac:dyDescent="0.35">
      <c r="A238" t="s">
        <v>2162</v>
      </c>
      <c r="B238" t="s">
        <v>1889</v>
      </c>
      <c r="C238" t="s">
        <v>175</v>
      </c>
      <c r="D238" t="s">
        <v>1899</v>
      </c>
      <c r="E238" t="s">
        <v>1931</v>
      </c>
      <c r="F238" t="s">
        <v>1908</v>
      </c>
      <c r="G238">
        <v>285629</v>
      </c>
      <c r="H238" s="1">
        <v>45289</v>
      </c>
      <c r="I238" s="1"/>
      <c r="K238">
        <v>0.2</v>
      </c>
      <c r="L238" t="s">
        <v>15</v>
      </c>
      <c r="M238" t="s">
        <v>1886</v>
      </c>
      <c r="N238" t="s">
        <v>1887</v>
      </c>
    </row>
    <row r="239" spans="1:14" x14ac:dyDescent="0.35">
      <c r="A239" t="s">
        <v>2163</v>
      </c>
      <c r="B239" t="s">
        <v>1926</v>
      </c>
      <c r="C239" t="s">
        <v>236</v>
      </c>
      <c r="D239" t="s">
        <v>1927</v>
      </c>
      <c r="E239" t="s">
        <v>1884</v>
      </c>
      <c r="F239" t="s">
        <v>1900</v>
      </c>
      <c r="G239">
        <v>348997</v>
      </c>
      <c r="H239" s="1">
        <v>45397</v>
      </c>
      <c r="I239" s="1">
        <v>45428</v>
      </c>
      <c r="J239">
        <v>31</v>
      </c>
      <c r="K239">
        <v>10.1</v>
      </c>
      <c r="L239" t="s">
        <v>15</v>
      </c>
      <c r="M239" t="s">
        <v>1935</v>
      </c>
      <c r="N239" t="s">
        <v>1887</v>
      </c>
    </row>
    <row r="240" spans="1:14" x14ac:dyDescent="0.35">
      <c r="A240" t="s">
        <v>2164</v>
      </c>
      <c r="B240" t="s">
        <v>1889</v>
      </c>
      <c r="C240" t="s">
        <v>130</v>
      </c>
      <c r="D240" t="s">
        <v>1927</v>
      </c>
      <c r="E240" t="s">
        <v>1891</v>
      </c>
      <c r="F240" t="s">
        <v>1908</v>
      </c>
      <c r="G240">
        <v>268643</v>
      </c>
      <c r="H240" s="1">
        <v>44980</v>
      </c>
      <c r="I240" s="1"/>
      <c r="K240">
        <v>4.7</v>
      </c>
      <c r="L240" t="s">
        <v>47</v>
      </c>
      <c r="M240" t="s">
        <v>1896</v>
      </c>
      <c r="N240" t="s">
        <v>1887</v>
      </c>
    </row>
    <row r="241" spans="1:14" x14ac:dyDescent="0.35">
      <c r="A241" t="s">
        <v>2165</v>
      </c>
      <c r="B241" t="s">
        <v>1922</v>
      </c>
      <c r="C241" t="s">
        <v>158</v>
      </c>
      <c r="D241" t="s">
        <v>1904</v>
      </c>
      <c r="E241" t="s">
        <v>1918</v>
      </c>
      <c r="F241" t="s">
        <v>1885</v>
      </c>
      <c r="G241">
        <v>230636</v>
      </c>
      <c r="H241" s="1">
        <v>45146</v>
      </c>
      <c r="I241" s="1">
        <v>45240</v>
      </c>
      <c r="J241">
        <v>94</v>
      </c>
      <c r="K241">
        <v>2.5</v>
      </c>
      <c r="L241" t="s">
        <v>30</v>
      </c>
      <c r="M241" t="s">
        <v>1932</v>
      </c>
      <c r="N241" t="s">
        <v>1887</v>
      </c>
    </row>
    <row r="242" spans="1:14" x14ac:dyDescent="0.35">
      <c r="A242" t="s">
        <v>2166</v>
      </c>
      <c r="B242" t="s">
        <v>1911</v>
      </c>
      <c r="C242" t="s">
        <v>432</v>
      </c>
      <c r="D242" t="s">
        <v>1883</v>
      </c>
      <c r="E242" t="s">
        <v>1905</v>
      </c>
      <c r="F242" t="s">
        <v>1885</v>
      </c>
      <c r="G242">
        <v>55605</v>
      </c>
      <c r="H242" s="1">
        <v>44992</v>
      </c>
      <c r="I242" s="1">
        <v>45169</v>
      </c>
      <c r="J242">
        <v>177</v>
      </c>
      <c r="K242">
        <v>7.9</v>
      </c>
      <c r="L242" t="s">
        <v>15</v>
      </c>
      <c r="M242" t="s">
        <v>1896</v>
      </c>
      <c r="N242" t="s">
        <v>1887</v>
      </c>
    </row>
    <row r="243" spans="1:14" x14ac:dyDescent="0.35">
      <c r="A243" t="s">
        <v>2167</v>
      </c>
      <c r="B243" t="s">
        <v>1898</v>
      </c>
      <c r="C243" t="s">
        <v>484</v>
      </c>
      <c r="D243" t="s">
        <v>1883</v>
      </c>
      <c r="E243" t="s">
        <v>1600</v>
      </c>
      <c r="F243" t="s">
        <v>1885</v>
      </c>
      <c r="G243">
        <v>32067</v>
      </c>
      <c r="H243" s="1">
        <v>45717</v>
      </c>
      <c r="I243" s="1">
        <v>45799</v>
      </c>
      <c r="J243">
        <v>82</v>
      </c>
      <c r="K243">
        <v>0.8</v>
      </c>
      <c r="L243" t="s">
        <v>15</v>
      </c>
      <c r="M243" t="s">
        <v>1912</v>
      </c>
      <c r="N243" t="s">
        <v>1887</v>
      </c>
    </row>
    <row r="244" spans="1:14" x14ac:dyDescent="0.35">
      <c r="A244" t="s">
        <v>2168</v>
      </c>
      <c r="B244" t="s">
        <v>1920</v>
      </c>
      <c r="C244" t="s">
        <v>348</v>
      </c>
      <c r="D244" t="s">
        <v>1890</v>
      </c>
      <c r="E244" t="s">
        <v>1678</v>
      </c>
      <c r="F244" t="s">
        <v>1900</v>
      </c>
      <c r="G244">
        <v>458096</v>
      </c>
      <c r="H244" s="1">
        <v>45433</v>
      </c>
      <c r="I244" s="1">
        <v>45503</v>
      </c>
      <c r="J244">
        <v>70</v>
      </c>
      <c r="K244">
        <v>9.8000000000000007</v>
      </c>
      <c r="L244" t="s">
        <v>21</v>
      </c>
      <c r="M244" t="s">
        <v>1935</v>
      </c>
      <c r="N244" t="s">
        <v>1887</v>
      </c>
    </row>
    <row r="245" spans="1:14" x14ac:dyDescent="0.35">
      <c r="A245" t="s">
        <v>2169</v>
      </c>
      <c r="B245" t="s">
        <v>1926</v>
      </c>
      <c r="C245" t="s">
        <v>94</v>
      </c>
      <c r="D245" t="s">
        <v>1904</v>
      </c>
      <c r="E245" t="s">
        <v>1905</v>
      </c>
      <c r="F245" t="s">
        <v>1908</v>
      </c>
      <c r="G245">
        <v>264788</v>
      </c>
      <c r="H245" s="1">
        <v>45719</v>
      </c>
      <c r="I245" s="1"/>
      <c r="K245">
        <v>4</v>
      </c>
      <c r="L245" t="s">
        <v>47</v>
      </c>
      <c r="M245" t="s">
        <v>1912</v>
      </c>
      <c r="N245" t="s">
        <v>1887</v>
      </c>
    </row>
    <row r="246" spans="1:14" x14ac:dyDescent="0.35">
      <c r="A246" t="s">
        <v>2170</v>
      </c>
      <c r="B246" t="s">
        <v>1924</v>
      </c>
      <c r="C246" t="s">
        <v>493</v>
      </c>
      <c r="D246" t="s">
        <v>1927</v>
      </c>
      <c r="E246" t="s">
        <v>1905</v>
      </c>
      <c r="F246" t="s">
        <v>1885</v>
      </c>
      <c r="G246">
        <v>255377</v>
      </c>
      <c r="H246" s="1">
        <v>45685</v>
      </c>
      <c r="I246" s="1">
        <v>45770</v>
      </c>
      <c r="J246">
        <v>85</v>
      </c>
      <c r="L246" t="s">
        <v>21</v>
      </c>
      <c r="M246" t="s">
        <v>1912</v>
      </c>
      <c r="N246" t="s">
        <v>1887</v>
      </c>
    </row>
    <row r="247" spans="1:14" x14ac:dyDescent="0.35">
      <c r="A247" t="s">
        <v>2171</v>
      </c>
      <c r="B247" t="s">
        <v>1920</v>
      </c>
      <c r="C247" t="s">
        <v>108</v>
      </c>
      <c r="D247" t="s">
        <v>1883</v>
      </c>
      <c r="E247" t="s">
        <v>1918</v>
      </c>
      <c r="F247" t="s">
        <v>1900</v>
      </c>
      <c r="G247">
        <v>326859</v>
      </c>
      <c r="H247" s="1">
        <v>45408</v>
      </c>
      <c r="I247" s="1">
        <v>45467</v>
      </c>
      <c r="J247">
        <v>59</v>
      </c>
      <c r="K247">
        <v>17.7</v>
      </c>
      <c r="L247" t="s">
        <v>15</v>
      </c>
      <c r="M247" t="s">
        <v>1935</v>
      </c>
      <c r="N247" t="s">
        <v>1887</v>
      </c>
    </row>
    <row r="248" spans="1:14" x14ac:dyDescent="0.35">
      <c r="A248" t="s">
        <v>2172</v>
      </c>
      <c r="B248" t="s">
        <v>1898</v>
      </c>
      <c r="C248" t="s">
        <v>193</v>
      </c>
      <c r="D248" t="s">
        <v>1883</v>
      </c>
      <c r="E248" t="s">
        <v>1884</v>
      </c>
      <c r="F248" t="s">
        <v>1892</v>
      </c>
      <c r="G248">
        <v>427129</v>
      </c>
      <c r="H248" s="1">
        <v>45056</v>
      </c>
      <c r="I248" s="1"/>
      <c r="K248">
        <v>12.8</v>
      </c>
      <c r="L248" t="s">
        <v>30</v>
      </c>
      <c r="M248" t="s">
        <v>1893</v>
      </c>
      <c r="N248" t="s">
        <v>1887</v>
      </c>
    </row>
    <row r="249" spans="1:14" x14ac:dyDescent="0.35">
      <c r="A249" t="s">
        <v>2173</v>
      </c>
      <c r="B249" t="s">
        <v>1924</v>
      </c>
      <c r="C249" t="s">
        <v>142</v>
      </c>
      <c r="D249" t="s">
        <v>1883</v>
      </c>
      <c r="E249" t="s">
        <v>1678</v>
      </c>
      <c r="F249" t="s">
        <v>1885</v>
      </c>
      <c r="G249">
        <v>274020</v>
      </c>
      <c r="H249" s="1">
        <v>45720</v>
      </c>
      <c r="I249" s="1">
        <v>45773</v>
      </c>
      <c r="J249">
        <v>53</v>
      </c>
      <c r="K249">
        <v>11.9</v>
      </c>
      <c r="L249" t="s">
        <v>47</v>
      </c>
      <c r="M249" t="s">
        <v>1912</v>
      </c>
      <c r="N249" t="s">
        <v>1887</v>
      </c>
    </row>
    <row r="250" spans="1:14" x14ac:dyDescent="0.35">
      <c r="A250" t="s">
        <v>2174</v>
      </c>
      <c r="B250" t="s">
        <v>1920</v>
      </c>
      <c r="C250" t="s">
        <v>408</v>
      </c>
      <c r="D250" t="s">
        <v>1915</v>
      </c>
      <c r="E250" t="s">
        <v>1918</v>
      </c>
      <c r="F250" t="s">
        <v>1908</v>
      </c>
      <c r="G250">
        <v>316943</v>
      </c>
      <c r="H250" s="1">
        <v>45639</v>
      </c>
      <c r="I250" s="1"/>
      <c r="K250">
        <v>8.1999999999999993</v>
      </c>
      <c r="L250" t="s">
        <v>21</v>
      </c>
      <c r="M250" t="s">
        <v>1901</v>
      </c>
      <c r="N250" t="s">
        <v>1887</v>
      </c>
    </row>
    <row r="251" spans="1:14" x14ac:dyDescent="0.35">
      <c r="A251" t="s">
        <v>2175</v>
      </c>
      <c r="B251" t="s">
        <v>1911</v>
      </c>
      <c r="C251" t="s">
        <v>140</v>
      </c>
      <c r="D251" t="s">
        <v>1899</v>
      </c>
      <c r="E251" t="s">
        <v>1587</v>
      </c>
      <c r="F251" t="s">
        <v>1908</v>
      </c>
      <c r="G251">
        <v>466413</v>
      </c>
      <c r="H251" s="1">
        <v>45570</v>
      </c>
      <c r="I251" s="1"/>
      <c r="K251">
        <v>8.1</v>
      </c>
      <c r="L251" t="s">
        <v>47</v>
      </c>
      <c r="M251" t="s">
        <v>1901</v>
      </c>
      <c r="N251" t="s">
        <v>1887</v>
      </c>
    </row>
    <row r="252" spans="1:14" x14ac:dyDescent="0.35">
      <c r="A252" t="s">
        <v>2176</v>
      </c>
      <c r="B252" t="s">
        <v>1903</v>
      </c>
      <c r="C252" t="s">
        <v>38</v>
      </c>
      <c r="D252" t="s">
        <v>1927</v>
      </c>
      <c r="E252" t="s">
        <v>1918</v>
      </c>
      <c r="F252" t="s">
        <v>1946</v>
      </c>
      <c r="G252">
        <v>450810</v>
      </c>
      <c r="H252" s="1">
        <v>45513</v>
      </c>
      <c r="I252" s="1"/>
      <c r="K252">
        <v>1.9</v>
      </c>
      <c r="L252" t="s">
        <v>21</v>
      </c>
      <c r="M252" t="s">
        <v>1953</v>
      </c>
      <c r="N252" t="s">
        <v>1887</v>
      </c>
    </row>
    <row r="253" spans="1:14" x14ac:dyDescent="0.35">
      <c r="A253" t="s">
        <v>2177</v>
      </c>
      <c r="B253" t="s">
        <v>1930</v>
      </c>
      <c r="C253" t="s">
        <v>169</v>
      </c>
      <c r="D253" t="s">
        <v>1890</v>
      </c>
      <c r="E253" t="s">
        <v>1918</v>
      </c>
      <c r="F253" t="s">
        <v>1908</v>
      </c>
      <c r="G253">
        <v>334379</v>
      </c>
      <c r="H253" s="1">
        <v>45702</v>
      </c>
      <c r="I253" s="1"/>
      <c r="K253">
        <v>0.8</v>
      </c>
      <c r="L253" t="s">
        <v>15</v>
      </c>
      <c r="M253" t="s">
        <v>1912</v>
      </c>
      <c r="N253" t="s">
        <v>1887</v>
      </c>
    </row>
    <row r="254" spans="1:14" x14ac:dyDescent="0.35">
      <c r="A254" t="s">
        <v>2178</v>
      </c>
      <c r="B254" t="s">
        <v>1926</v>
      </c>
      <c r="C254" t="s">
        <v>305</v>
      </c>
      <c r="D254" t="s">
        <v>1915</v>
      </c>
      <c r="E254" t="s">
        <v>1884</v>
      </c>
      <c r="F254" t="s">
        <v>1900</v>
      </c>
      <c r="G254">
        <v>489851</v>
      </c>
      <c r="H254" s="1">
        <v>45108</v>
      </c>
      <c r="I254" s="1">
        <v>45222</v>
      </c>
      <c r="J254">
        <v>114</v>
      </c>
      <c r="K254">
        <v>9.3000000000000007</v>
      </c>
      <c r="L254" t="s">
        <v>30</v>
      </c>
      <c r="M254" t="s">
        <v>1932</v>
      </c>
      <c r="N254" t="s">
        <v>1887</v>
      </c>
    </row>
    <row r="255" spans="1:14" x14ac:dyDescent="0.35">
      <c r="A255" t="s">
        <v>2179</v>
      </c>
      <c r="B255" t="s">
        <v>1944</v>
      </c>
      <c r="C255" t="s">
        <v>371</v>
      </c>
      <c r="D255" t="s">
        <v>1915</v>
      </c>
      <c r="E255" t="s">
        <v>1931</v>
      </c>
      <c r="F255" t="s">
        <v>1946</v>
      </c>
      <c r="G255">
        <v>447387</v>
      </c>
      <c r="H255" s="1">
        <v>44943</v>
      </c>
      <c r="I255" s="1"/>
      <c r="L255" t="s">
        <v>47</v>
      </c>
      <c r="M255" t="s">
        <v>1896</v>
      </c>
      <c r="N255" t="s">
        <v>1887</v>
      </c>
    </row>
    <row r="256" spans="1:14" x14ac:dyDescent="0.35">
      <c r="A256" t="s">
        <v>2180</v>
      </c>
      <c r="B256" t="s">
        <v>1926</v>
      </c>
      <c r="C256" t="s">
        <v>399</v>
      </c>
      <c r="D256" t="s">
        <v>1915</v>
      </c>
      <c r="E256" t="s">
        <v>1905</v>
      </c>
      <c r="F256" t="s">
        <v>1895</v>
      </c>
      <c r="G256">
        <v>498286</v>
      </c>
      <c r="H256" s="1">
        <v>45736</v>
      </c>
      <c r="I256" s="1"/>
      <c r="K256">
        <v>0.3</v>
      </c>
      <c r="L256" t="s">
        <v>15</v>
      </c>
      <c r="M256" t="s">
        <v>1912</v>
      </c>
      <c r="N256" t="s">
        <v>1887</v>
      </c>
    </row>
    <row r="257" spans="1:14" x14ac:dyDescent="0.35">
      <c r="A257" t="s">
        <v>2181</v>
      </c>
      <c r="B257" t="s">
        <v>1920</v>
      </c>
      <c r="C257" t="s">
        <v>289</v>
      </c>
      <c r="D257" t="s">
        <v>1883</v>
      </c>
      <c r="E257" t="s">
        <v>1678</v>
      </c>
      <c r="F257" t="s">
        <v>1946</v>
      </c>
      <c r="G257">
        <v>148099</v>
      </c>
      <c r="H257" s="1">
        <v>45411</v>
      </c>
      <c r="I257" s="1"/>
      <c r="L257" t="s">
        <v>15</v>
      </c>
      <c r="M257" t="s">
        <v>1935</v>
      </c>
      <c r="N257" t="s">
        <v>1887</v>
      </c>
    </row>
    <row r="258" spans="1:14" x14ac:dyDescent="0.35">
      <c r="A258" t="s">
        <v>2182</v>
      </c>
      <c r="B258" t="s">
        <v>1907</v>
      </c>
      <c r="C258" t="s">
        <v>366</v>
      </c>
      <c r="D258" t="s">
        <v>1927</v>
      </c>
      <c r="E258" t="s">
        <v>1678</v>
      </c>
      <c r="F258" t="s">
        <v>1885</v>
      </c>
      <c r="G258">
        <v>25978</v>
      </c>
      <c r="H258" s="1">
        <v>45573</v>
      </c>
      <c r="I258" s="1">
        <v>45657</v>
      </c>
      <c r="J258">
        <v>84</v>
      </c>
      <c r="K258">
        <v>12</v>
      </c>
      <c r="L258" t="s">
        <v>47</v>
      </c>
      <c r="M258" t="s">
        <v>1901</v>
      </c>
      <c r="N258" t="s">
        <v>1887</v>
      </c>
    </row>
    <row r="259" spans="1:14" x14ac:dyDescent="0.35">
      <c r="A259" t="s">
        <v>2183</v>
      </c>
      <c r="B259" t="s">
        <v>1934</v>
      </c>
      <c r="C259" t="s">
        <v>262</v>
      </c>
      <c r="D259" t="s">
        <v>1927</v>
      </c>
      <c r="E259" t="s">
        <v>1891</v>
      </c>
      <c r="F259" t="s">
        <v>1885</v>
      </c>
      <c r="G259">
        <v>199807</v>
      </c>
      <c r="H259" s="1">
        <v>45201</v>
      </c>
      <c r="I259" s="1">
        <v>45228</v>
      </c>
      <c r="J259">
        <v>27</v>
      </c>
      <c r="L259" t="s">
        <v>21</v>
      </c>
      <c r="M259" t="s">
        <v>1886</v>
      </c>
      <c r="N259" t="s">
        <v>1887</v>
      </c>
    </row>
    <row r="260" spans="1:14" x14ac:dyDescent="0.35">
      <c r="A260" t="s">
        <v>2184</v>
      </c>
      <c r="B260" t="s">
        <v>1930</v>
      </c>
      <c r="C260" t="s">
        <v>156</v>
      </c>
      <c r="D260" t="s">
        <v>1927</v>
      </c>
      <c r="E260" t="s">
        <v>1891</v>
      </c>
      <c r="F260" t="s">
        <v>1885</v>
      </c>
      <c r="G260">
        <v>486514</v>
      </c>
      <c r="H260" s="1">
        <v>45400</v>
      </c>
      <c r="I260" s="1">
        <v>45432</v>
      </c>
      <c r="J260">
        <v>32</v>
      </c>
      <c r="K260">
        <v>0.5</v>
      </c>
      <c r="L260" t="s">
        <v>30</v>
      </c>
      <c r="M260" t="s">
        <v>1935</v>
      </c>
      <c r="N260" t="s">
        <v>1887</v>
      </c>
    </row>
    <row r="261" spans="1:14" x14ac:dyDescent="0.35">
      <c r="A261" t="s">
        <v>2185</v>
      </c>
      <c r="B261" t="s">
        <v>1930</v>
      </c>
      <c r="C261" t="s">
        <v>471</v>
      </c>
      <c r="D261" t="s">
        <v>1883</v>
      </c>
      <c r="E261" t="s">
        <v>1891</v>
      </c>
      <c r="F261" t="s">
        <v>1900</v>
      </c>
      <c r="G261">
        <v>93900</v>
      </c>
      <c r="H261" s="1">
        <v>45742</v>
      </c>
      <c r="I261" s="1">
        <v>45895</v>
      </c>
      <c r="J261">
        <v>153</v>
      </c>
      <c r="K261">
        <v>6</v>
      </c>
      <c r="L261" t="s">
        <v>21</v>
      </c>
      <c r="M261" t="s">
        <v>1912</v>
      </c>
      <c r="N261" t="s">
        <v>1887</v>
      </c>
    </row>
    <row r="262" spans="1:14" x14ac:dyDescent="0.35">
      <c r="A262" t="s">
        <v>2186</v>
      </c>
      <c r="B262" t="s">
        <v>1930</v>
      </c>
      <c r="C262" t="s">
        <v>291</v>
      </c>
      <c r="D262" t="s">
        <v>1899</v>
      </c>
      <c r="E262" t="s">
        <v>1678</v>
      </c>
      <c r="F262" t="s">
        <v>1946</v>
      </c>
      <c r="G262">
        <v>327064</v>
      </c>
      <c r="H262" s="1">
        <v>44931</v>
      </c>
      <c r="I262" s="1"/>
      <c r="K262">
        <v>12.2</v>
      </c>
      <c r="L262" t="s">
        <v>47</v>
      </c>
      <c r="M262" t="s">
        <v>1896</v>
      </c>
      <c r="N262" t="s">
        <v>1887</v>
      </c>
    </row>
    <row r="263" spans="1:14" x14ac:dyDescent="0.35">
      <c r="A263" t="s">
        <v>2187</v>
      </c>
      <c r="B263" t="s">
        <v>1963</v>
      </c>
      <c r="C263" t="s">
        <v>308</v>
      </c>
      <c r="D263" t="s">
        <v>1927</v>
      </c>
      <c r="E263" t="s">
        <v>1931</v>
      </c>
      <c r="F263" t="s">
        <v>1946</v>
      </c>
      <c r="G263">
        <v>70360</v>
      </c>
      <c r="H263" s="1">
        <v>45260</v>
      </c>
      <c r="I263" s="1"/>
      <c r="K263">
        <v>11.1</v>
      </c>
      <c r="L263" t="s">
        <v>15</v>
      </c>
      <c r="M263" t="s">
        <v>1886</v>
      </c>
      <c r="N263" t="s">
        <v>1887</v>
      </c>
    </row>
    <row r="264" spans="1:14" x14ac:dyDescent="0.35">
      <c r="A264" t="s">
        <v>2188</v>
      </c>
      <c r="B264" t="s">
        <v>1944</v>
      </c>
      <c r="C264" t="s">
        <v>319</v>
      </c>
      <c r="D264" t="s">
        <v>1915</v>
      </c>
      <c r="E264" t="s">
        <v>1891</v>
      </c>
      <c r="F264" t="s">
        <v>1885</v>
      </c>
      <c r="G264">
        <v>150024</v>
      </c>
      <c r="H264" s="1">
        <v>45405</v>
      </c>
      <c r="I264" s="1">
        <v>45519</v>
      </c>
      <c r="J264">
        <v>114</v>
      </c>
      <c r="L264" t="s">
        <v>21</v>
      </c>
      <c r="M264" t="s">
        <v>1935</v>
      </c>
      <c r="N264" t="s">
        <v>1887</v>
      </c>
    </row>
    <row r="265" spans="1:14" x14ac:dyDescent="0.35">
      <c r="A265" t="s">
        <v>2189</v>
      </c>
      <c r="B265" t="s">
        <v>1934</v>
      </c>
      <c r="C265" t="s">
        <v>392</v>
      </c>
      <c r="D265" t="s">
        <v>1904</v>
      </c>
      <c r="E265" t="s">
        <v>1945</v>
      </c>
      <c r="F265" t="s">
        <v>1885</v>
      </c>
      <c r="G265">
        <v>454636</v>
      </c>
      <c r="H265" s="1">
        <v>45483</v>
      </c>
      <c r="I265" s="1">
        <v>45579</v>
      </c>
      <c r="J265">
        <v>96</v>
      </c>
      <c r="K265">
        <v>5.0999999999999996</v>
      </c>
      <c r="L265" t="s">
        <v>30</v>
      </c>
      <c r="M265" t="s">
        <v>1953</v>
      </c>
      <c r="N265" t="s">
        <v>1887</v>
      </c>
    </row>
    <row r="266" spans="1:14" x14ac:dyDescent="0.35">
      <c r="A266" t="s">
        <v>2190</v>
      </c>
      <c r="B266" t="s">
        <v>1882</v>
      </c>
      <c r="C266" t="s">
        <v>461</v>
      </c>
      <c r="D266" t="s">
        <v>1904</v>
      </c>
      <c r="E266" t="s">
        <v>1678</v>
      </c>
      <c r="F266" t="s">
        <v>1900</v>
      </c>
      <c r="G266">
        <v>355640</v>
      </c>
      <c r="H266" s="1">
        <v>45011</v>
      </c>
      <c r="I266" s="1">
        <v>45062</v>
      </c>
      <c r="J266">
        <v>51</v>
      </c>
      <c r="K266">
        <v>16</v>
      </c>
      <c r="L266" t="s">
        <v>47</v>
      </c>
      <c r="M266" t="s">
        <v>1896</v>
      </c>
      <c r="N266" t="s">
        <v>1887</v>
      </c>
    </row>
    <row r="267" spans="1:14" x14ac:dyDescent="0.35">
      <c r="A267" t="s">
        <v>2191</v>
      </c>
      <c r="B267" t="s">
        <v>1922</v>
      </c>
      <c r="C267" t="s">
        <v>114</v>
      </c>
      <c r="D267" t="s">
        <v>1927</v>
      </c>
      <c r="E267" t="s">
        <v>1891</v>
      </c>
      <c r="F267" t="s">
        <v>1900</v>
      </c>
      <c r="G267">
        <v>478302</v>
      </c>
      <c r="H267" s="1">
        <v>45362</v>
      </c>
      <c r="I267" s="1">
        <v>45454</v>
      </c>
      <c r="J267">
        <v>92</v>
      </c>
      <c r="K267">
        <v>1.1000000000000001</v>
      </c>
      <c r="L267" t="s">
        <v>21</v>
      </c>
      <c r="M267" t="s">
        <v>1916</v>
      </c>
      <c r="N267" t="s">
        <v>1887</v>
      </c>
    </row>
    <row r="268" spans="1:14" x14ac:dyDescent="0.35">
      <c r="A268" t="s">
        <v>2192</v>
      </c>
      <c r="B268" t="s">
        <v>1934</v>
      </c>
      <c r="C268" t="s">
        <v>383</v>
      </c>
      <c r="D268" t="s">
        <v>1899</v>
      </c>
      <c r="E268" t="s">
        <v>1918</v>
      </c>
      <c r="F268" t="s">
        <v>1900</v>
      </c>
      <c r="G268">
        <v>134630</v>
      </c>
      <c r="H268" s="1">
        <v>45475</v>
      </c>
      <c r="I268" s="1">
        <v>45601</v>
      </c>
      <c r="J268">
        <v>126</v>
      </c>
      <c r="K268">
        <v>8.5</v>
      </c>
      <c r="L268" t="s">
        <v>47</v>
      </c>
      <c r="M268" t="s">
        <v>1953</v>
      </c>
      <c r="N268" t="s">
        <v>1887</v>
      </c>
    </row>
    <row r="269" spans="1:14" x14ac:dyDescent="0.35">
      <c r="A269" t="s">
        <v>2193</v>
      </c>
      <c r="B269" t="s">
        <v>1920</v>
      </c>
      <c r="C269" t="s">
        <v>135</v>
      </c>
      <c r="D269" t="s">
        <v>1927</v>
      </c>
      <c r="E269" t="s">
        <v>1678</v>
      </c>
      <c r="F269" t="s">
        <v>1946</v>
      </c>
      <c r="G269">
        <v>120897</v>
      </c>
      <c r="H269" s="1">
        <v>45388</v>
      </c>
      <c r="I269" s="1"/>
      <c r="K269">
        <v>8.1999999999999993</v>
      </c>
      <c r="L269" t="s">
        <v>15</v>
      </c>
      <c r="M269" t="s">
        <v>1935</v>
      </c>
      <c r="N269" t="s">
        <v>1887</v>
      </c>
    </row>
    <row r="270" spans="1:14" x14ac:dyDescent="0.35">
      <c r="A270" t="s">
        <v>2194</v>
      </c>
      <c r="B270" t="s">
        <v>1889</v>
      </c>
      <c r="C270" t="s">
        <v>348</v>
      </c>
      <c r="D270" t="s">
        <v>1883</v>
      </c>
      <c r="E270" t="s">
        <v>1891</v>
      </c>
      <c r="F270" t="s">
        <v>1885</v>
      </c>
      <c r="G270">
        <v>416074</v>
      </c>
      <c r="H270" s="1">
        <v>45537</v>
      </c>
      <c r="I270" s="1">
        <v>45675</v>
      </c>
      <c r="J270">
        <v>138</v>
      </c>
      <c r="K270">
        <v>10.3</v>
      </c>
      <c r="L270" t="s">
        <v>47</v>
      </c>
      <c r="M270" t="s">
        <v>1953</v>
      </c>
      <c r="N270" t="s">
        <v>1887</v>
      </c>
    </row>
    <row r="271" spans="1:14" x14ac:dyDescent="0.35">
      <c r="A271" t="s">
        <v>2195</v>
      </c>
      <c r="B271" t="s">
        <v>1926</v>
      </c>
      <c r="C271" t="s">
        <v>426</v>
      </c>
      <c r="D271" t="s">
        <v>1899</v>
      </c>
      <c r="E271" t="s">
        <v>1587</v>
      </c>
      <c r="F271" t="s">
        <v>1900</v>
      </c>
      <c r="G271">
        <v>262442</v>
      </c>
      <c r="H271" s="1">
        <v>45398</v>
      </c>
      <c r="I271" s="1">
        <v>45550</v>
      </c>
      <c r="J271">
        <v>152</v>
      </c>
      <c r="K271">
        <v>11.6</v>
      </c>
      <c r="L271" t="s">
        <v>30</v>
      </c>
      <c r="M271" t="s">
        <v>1935</v>
      </c>
      <c r="N271" t="s">
        <v>1887</v>
      </c>
    </row>
    <row r="272" spans="1:14" x14ac:dyDescent="0.35">
      <c r="A272" t="s">
        <v>2196</v>
      </c>
      <c r="B272" t="s">
        <v>1924</v>
      </c>
      <c r="C272" t="s">
        <v>498</v>
      </c>
      <c r="D272" t="s">
        <v>1899</v>
      </c>
      <c r="E272" t="s">
        <v>1891</v>
      </c>
      <c r="F272" t="s">
        <v>1946</v>
      </c>
      <c r="G272">
        <v>49032</v>
      </c>
      <c r="H272" s="1">
        <v>45651</v>
      </c>
      <c r="I272" s="1"/>
      <c r="K272">
        <v>13.2</v>
      </c>
      <c r="L272" t="s">
        <v>21</v>
      </c>
      <c r="M272" t="s">
        <v>1901</v>
      </c>
      <c r="N272" t="s">
        <v>1887</v>
      </c>
    </row>
    <row r="273" spans="1:14" x14ac:dyDescent="0.35">
      <c r="A273" t="s">
        <v>2197</v>
      </c>
      <c r="B273" t="s">
        <v>1937</v>
      </c>
      <c r="C273" t="s">
        <v>112</v>
      </c>
      <c r="D273" t="s">
        <v>1883</v>
      </c>
      <c r="E273" t="s">
        <v>1931</v>
      </c>
      <c r="F273" t="s">
        <v>1892</v>
      </c>
      <c r="G273">
        <v>355099</v>
      </c>
      <c r="H273" s="1">
        <v>45335</v>
      </c>
      <c r="I273" s="1"/>
      <c r="K273">
        <v>2.2000000000000002</v>
      </c>
      <c r="L273" t="s">
        <v>47</v>
      </c>
      <c r="M273" t="s">
        <v>1916</v>
      </c>
      <c r="N273" t="s">
        <v>1887</v>
      </c>
    </row>
    <row r="274" spans="1:14" x14ac:dyDescent="0.35">
      <c r="A274" t="s">
        <v>2198</v>
      </c>
      <c r="B274" t="s">
        <v>1934</v>
      </c>
      <c r="C274" t="s">
        <v>277</v>
      </c>
      <c r="D274" t="s">
        <v>1927</v>
      </c>
      <c r="E274" t="s">
        <v>1884</v>
      </c>
      <c r="F274" t="s">
        <v>1892</v>
      </c>
      <c r="G274">
        <v>114932</v>
      </c>
      <c r="H274" s="1">
        <v>45690</v>
      </c>
      <c r="I274" s="1"/>
      <c r="K274">
        <v>2.8</v>
      </c>
      <c r="L274" t="s">
        <v>47</v>
      </c>
      <c r="M274" t="s">
        <v>1912</v>
      </c>
      <c r="N274" t="s">
        <v>1887</v>
      </c>
    </row>
    <row r="275" spans="1:14" x14ac:dyDescent="0.35">
      <c r="A275" t="s">
        <v>2199</v>
      </c>
      <c r="B275" t="s">
        <v>1926</v>
      </c>
      <c r="C275" t="s">
        <v>395</v>
      </c>
      <c r="D275" t="s">
        <v>1899</v>
      </c>
      <c r="E275" t="s">
        <v>1931</v>
      </c>
      <c r="F275" t="s">
        <v>1885</v>
      </c>
      <c r="G275">
        <v>36906</v>
      </c>
      <c r="H275" s="1">
        <v>45685</v>
      </c>
      <c r="I275" s="1">
        <v>45725</v>
      </c>
      <c r="J275">
        <v>40</v>
      </c>
      <c r="K275">
        <v>6</v>
      </c>
      <c r="L275" t="s">
        <v>30</v>
      </c>
      <c r="M275" t="s">
        <v>1912</v>
      </c>
      <c r="N275" t="s">
        <v>1887</v>
      </c>
    </row>
    <row r="276" spans="1:14" x14ac:dyDescent="0.35">
      <c r="A276" t="s">
        <v>2200</v>
      </c>
      <c r="B276" t="s">
        <v>1926</v>
      </c>
      <c r="C276" t="s">
        <v>448</v>
      </c>
      <c r="D276" t="s">
        <v>1890</v>
      </c>
      <c r="E276" t="s">
        <v>1678</v>
      </c>
      <c r="F276" t="s">
        <v>1900</v>
      </c>
      <c r="G276">
        <v>328490</v>
      </c>
      <c r="H276" s="1">
        <v>44974</v>
      </c>
      <c r="I276" s="1">
        <v>45051</v>
      </c>
      <c r="J276">
        <v>77</v>
      </c>
      <c r="K276">
        <v>1.1000000000000001</v>
      </c>
      <c r="L276" t="s">
        <v>30</v>
      </c>
      <c r="M276" t="s">
        <v>1896</v>
      </c>
      <c r="N276" t="s">
        <v>1887</v>
      </c>
    </row>
    <row r="277" spans="1:14" x14ac:dyDescent="0.35">
      <c r="A277" t="s">
        <v>2201</v>
      </c>
      <c r="B277" t="s">
        <v>1922</v>
      </c>
      <c r="C277" t="s">
        <v>414</v>
      </c>
      <c r="D277" t="s">
        <v>1890</v>
      </c>
      <c r="E277" t="s">
        <v>1905</v>
      </c>
      <c r="F277" t="s">
        <v>1946</v>
      </c>
      <c r="G277">
        <v>460181</v>
      </c>
      <c r="H277" s="1">
        <v>45677</v>
      </c>
      <c r="I277" s="1"/>
      <c r="L277" t="s">
        <v>47</v>
      </c>
      <c r="M277" t="s">
        <v>1912</v>
      </c>
      <c r="N277" t="s">
        <v>1887</v>
      </c>
    </row>
    <row r="278" spans="1:14" x14ac:dyDescent="0.35">
      <c r="A278" t="s">
        <v>2202</v>
      </c>
      <c r="B278" t="s">
        <v>1930</v>
      </c>
      <c r="C278" t="s">
        <v>255</v>
      </c>
      <c r="D278" t="s">
        <v>1904</v>
      </c>
      <c r="E278" t="s">
        <v>1884</v>
      </c>
      <c r="F278" t="s">
        <v>1946</v>
      </c>
      <c r="G278">
        <v>90351</v>
      </c>
      <c r="H278" s="1">
        <v>45641</v>
      </c>
      <c r="I278" s="1"/>
      <c r="K278">
        <v>8.1</v>
      </c>
      <c r="L278" t="s">
        <v>30</v>
      </c>
      <c r="M278" t="s">
        <v>1901</v>
      </c>
      <c r="N278" t="s">
        <v>1887</v>
      </c>
    </row>
    <row r="279" spans="1:14" x14ac:dyDescent="0.35">
      <c r="A279" t="s">
        <v>2203</v>
      </c>
      <c r="B279" t="s">
        <v>1914</v>
      </c>
      <c r="C279" t="s">
        <v>193</v>
      </c>
      <c r="D279" t="s">
        <v>1890</v>
      </c>
      <c r="E279" t="s">
        <v>1931</v>
      </c>
      <c r="F279" t="s">
        <v>1900</v>
      </c>
      <c r="G279">
        <v>160473</v>
      </c>
      <c r="H279" s="1">
        <v>45033</v>
      </c>
      <c r="I279" s="1">
        <v>45117</v>
      </c>
      <c r="J279">
        <v>84</v>
      </c>
      <c r="K279">
        <v>16.5</v>
      </c>
      <c r="L279" t="s">
        <v>21</v>
      </c>
      <c r="M279" t="s">
        <v>1893</v>
      </c>
      <c r="N279" t="s">
        <v>1887</v>
      </c>
    </row>
    <row r="280" spans="1:14" x14ac:dyDescent="0.35">
      <c r="A280" t="s">
        <v>2204</v>
      </c>
      <c r="B280" t="s">
        <v>1926</v>
      </c>
      <c r="C280" t="s">
        <v>263</v>
      </c>
      <c r="D280" t="s">
        <v>1915</v>
      </c>
      <c r="E280" t="s">
        <v>1891</v>
      </c>
      <c r="F280" t="s">
        <v>1885</v>
      </c>
      <c r="G280">
        <v>436123</v>
      </c>
      <c r="H280" s="1">
        <v>45102</v>
      </c>
      <c r="I280" s="1">
        <v>45183</v>
      </c>
      <c r="J280">
        <v>81</v>
      </c>
      <c r="L280" t="s">
        <v>47</v>
      </c>
      <c r="M280" t="s">
        <v>1893</v>
      </c>
      <c r="N280" t="s">
        <v>1887</v>
      </c>
    </row>
    <row r="281" spans="1:14" x14ac:dyDescent="0.35">
      <c r="A281" t="s">
        <v>2205</v>
      </c>
      <c r="B281" t="s">
        <v>1903</v>
      </c>
      <c r="C281" t="s">
        <v>122</v>
      </c>
      <c r="D281" t="s">
        <v>1927</v>
      </c>
      <c r="E281" t="s">
        <v>1905</v>
      </c>
      <c r="F281" t="s">
        <v>1908</v>
      </c>
      <c r="G281">
        <v>50606</v>
      </c>
      <c r="H281" s="1">
        <v>45260</v>
      </c>
      <c r="I281" s="1"/>
      <c r="K281">
        <v>8.6</v>
      </c>
      <c r="L281" t="s">
        <v>30</v>
      </c>
      <c r="M281" t="s">
        <v>1886</v>
      </c>
      <c r="N281" t="s">
        <v>1887</v>
      </c>
    </row>
    <row r="282" spans="1:14" x14ac:dyDescent="0.35">
      <c r="A282" t="s">
        <v>2206</v>
      </c>
      <c r="B282" t="s">
        <v>1937</v>
      </c>
      <c r="C282" t="s">
        <v>191</v>
      </c>
      <c r="D282" t="s">
        <v>1904</v>
      </c>
      <c r="E282" t="s">
        <v>1600</v>
      </c>
      <c r="F282" t="s">
        <v>1895</v>
      </c>
      <c r="G282">
        <v>52139</v>
      </c>
      <c r="H282" s="1">
        <v>45135</v>
      </c>
      <c r="I282" s="1"/>
      <c r="K282">
        <v>6.5</v>
      </c>
      <c r="L282" t="s">
        <v>15</v>
      </c>
      <c r="M282" t="s">
        <v>1932</v>
      </c>
      <c r="N282" t="s">
        <v>1887</v>
      </c>
    </row>
    <row r="283" spans="1:14" x14ac:dyDescent="0.35">
      <c r="A283" t="s">
        <v>2207</v>
      </c>
      <c r="B283" t="s">
        <v>1924</v>
      </c>
      <c r="C283" t="s">
        <v>324</v>
      </c>
      <c r="D283" t="s">
        <v>1904</v>
      </c>
      <c r="E283" t="s">
        <v>1678</v>
      </c>
      <c r="F283" t="s">
        <v>1900</v>
      </c>
      <c r="G283">
        <v>480821</v>
      </c>
      <c r="H283" s="1">
        <v>45617</v>
      </c>
      <c r="I283" s="1">
        <v>45740</v>
      </c>
      <c r="J283">
        <v>123</v>
      </c>
      <c r="K283">
        <v>13.4</v>
      </c>
      <c r="L283" t="s">
        <v>21</v>
      </c>
      <c r="M283" t="s">
        <v>1901</v>
      </c>
      <c r="N283" t="s">
        <v>1887</v>
      </c>
    </row>
    <row r="284" spans="1:14" x14ac:dyDescent="0.35">
      <c r="A284" t="s">
        <v>2208</v>
      </c>
      <c r="B284" t="s">
        <v>1911</v>
      </c>
      <c r="C284" t="s">
        <v>332</v>
      </c>
      <c r="D284" t="s">
        <v>1927</v>
      </c>
      <c r="E284" t="s">
        <v>1600</v>
      </c>
      <c r="F284" t="s">
        <v>1885</v>
      </c>
      <c r="G284">
        <v>435908</v>
      </c>
      <c r="H284" s="1">
        <v>45120</v>
      </c>
      <c r="I284" s="1">
        <v>45190</v>
      </c>
      <c r="J284">
        <v>70</v>
      </c>
      <c r="L284" t="s">
        <v>15</v>
      </c>
      <c r="M284" t="s">
        <v>1932</v>
      </c>
      <c r="N284" t="s">
        <v>1887</v>
      </c>
    </row>
    <row r="285" spans="1:14" x14ac:dyDescent="0.35">
      <c r="A285" t="s">
        <v>2209</v>
      </c>
      <c r="B285" t="s">
        <v>1889</v>
      </c>
      <c r="C285" t="s">
        <v>18</v>
      </c>
      <c r="D285" t="s">
        <v>1883</v>
      </c>
      <c r="E285" t="s">
        <v>1587</v>
      </c>
      <c r="F285" t="s">
        <v>1946</v>
      </c>
      <c r="G285">
        <v>338156</v>
      </c>
      <c r="H285" s="1">
        <v>45119</v>
      </c>
      <c r="I285" s="1"/>
      <c r="K285">
        <v>13.7</v>
      </c>
      <c r="L285" t="s">
        <v>30</v>
      </c>
      <c r="M285" t="s">
        <v>1932</v>
      </c>
      <c r="N285" t="s">
        <v>1887</v>
      </c>
    </row>
    <row r="286" spans="1:14" x14ac:dyDescent="0.35">
      <c r="A286" t="s">
        <v>2210</v>
      </c>
      <c r="B286" t="s">
        <v>1926</v>
      </c>
      <c r="C286" t="s">
        <v>386</v>
      </c>
      <c r="D286" t="s">
        <v>1915</v>
      </c>
      <c r="E286" t="s">
        <v>1884</v>
      </c>
      <c r="F286" t="s">
        <v>1895</v>
      </c>
      <c r="G286">
        <v>329680</v>
      </c>
      <c r="H286" s="1">
        <v>45064</v>
      </c>
      <c r="I286" s="1"/>
      <c r="L286" t="s">
        <v>47</v>
      </c>
      <c r="M286" t="s">
        <v>1893</v>
      </c>
      <c r="N286" t="s">
        <v>1887</v>
      </c>
    </row>
    <row r="287" spans="1:14" x14ac:dyDescent="0.35">
      <c r="A287" t="s">
        <v>2211</v>
      </c>
      <c r="B287" t="s">
        <v>1889</v>
      </c>
      <c r="C287" t="s">
        <v>403</v>
      </c>
      <c r="D287" t="s">
        <v>1883</v>
      </c>
      <c r="E287" t="s">
        <v>1587</v>
      </c>
      <c r="F287" t="s">
        <v>1895</v>
      </c>
      <c r="G287">
        <v>245397</v>
      </c>
      <c r="H287" s="1">
        <v>45287</v>
      </c>
      <c r="I287" s="1"/>
      <c r="K287">
        <v>1.2</v>
      </c>
      <c r="L287" t="s">
        <v>15</v>
      </c>
      <c r="M287" t="s">
        <v>1886</v>
      </c>
      <c r="N287" t="s">
        <v>1887</v>
      </c>
    </row>
    <row r="288" spans="1:14" x14ac:dyDescent="0.35">
      <c r="A288" t="s">
        <v>2212</v>
      </c>
      <c r="B288" t="s">
        <v>1882</v>
      </c>
      <c r="C288" t="s">
        <v>114</v>
      </c>
      <c r="D288" t="s">
        <v>1890</v>
      </c>
      <c r="E288" t="s">
        <v>1678</v>
      </c>
      <c r="F288" t="s">
        <v>1892</v>
      </c>
      <c r="G288">
        <v>311860</v>
      </c>
      <c r="H288" s="1">
        <v>45457</v>
      </c>
      <c r="I288" s="1"/>
      <c r="K288">
        <v>14.7</v>
      </c>
      <c r="L288" t="s">
        <v>47</v>
      </c>
      <c r="M288" t="s">
        <v>1935</v>
      </c>
      <c r="N288" t="s">
        <v>1887</v>
      </c>
    </row>
    <row r="289" spans="1:14" x14ac:dyDescent="0.35">
      <c r="A289" t="s">
        <v>2213</v>
      </c>
      <c r="B289" t="s">
        <v>1924</v>
      </c>
      <c r="C289" t="s">
        <v>412</v>
      </c>
      <c r="D289" t="s">
        <v>1899</v>
      </c>
      <c r="E289" t="s">
        <v>1884</v>
      </c>
      <c r="F289" t="s">
        <v>1885</v>
      </c>
      <c r="G289">
        <v>102961</v>
      </c>
      <c r="H289" s="1">
        <v>45138</v>
      </c>
      <c r="I289" s="1">
        <v>45281</v>
      </c>
      <c r="J289">
        <v>143</v>
      </c>
      <c r="K289">
        <v>5.8</v>
      </c>
      <c r="L289" t="s">
        <v>15</v>
      </c>
      <c r="M289" t="s">
        <v>1932</v>
      </c>
      <c r="N289" t="s">
        <v>1887</v>
      </c>
    </row>
    <row r="290" spans="1:14" x14ac:dyDescent="0.35">
      <c r="A290" t="s">
        <v>2214</v>
      </c>
      <c r="B290" t="s">
        <v>1924</v>
      </c>
      <c r="C290" t="s">
        <v>205</v>
      </c>
      <c r="D290" t="s">
        <v>1883</v>
      </c>
      <c r="E290" t="s">
        <v>1891</v>
      </c>
      <c r="F290" t="s">
        <v>1895</v>
      </c>
      <c r="G290">
        <v>112836</v>
      </c>
      <c r="H290" s="1">
        <v>45120</v>
      </c>
      <c r="I290" s="1"/>
      <c r="K290">
        <v>10.6</v>
      </c>
      <c r="L290" t="s">
        <v>47</v>
      </c>
      <c r="M290" t="s">
        <v>1932</v>
      </c>
      <c r="N290" t="s">
        <v>1887</v>
      </c>
    </row>
    <row r="291" spans="1:14" x14ac:dyDescent="0.35">
      <c r="A291" t="s">
        <v>2215</v>
      </c>
      <c r="B291" t="s">
        <v>1922</v>
      </c>
      <c r="C291" t="s">
        <v>461</v>
      </c>
      <c r="D291" t="s">
        <v>1890</v>
      </c>
      <c r="E291" t="s">
        <v>1931</v>
      </c>
      <c r="F291" t="s">
        <v>1895</v>
      </c>
      <c r="G291">
        <v>149251</v>
      </c>
      <c r="H291" s="1">
        <v>45309</v>
      </c>
      <c r="I291" s="1"/>
      <c r="L291" t="s">
        <v>47</v>
      </c>
      <c r="M291" t="s">
        <v>1916</v>
      </c>
      <c r="N291" t="s">
        <v>1887</v>
      </c>
    </row>
    <row r="292" spans="1:14" x14ac:dyDescent="0.35">
      <c r="A292" t="s">
        <v>2216</v>
      </c>
      <c r="B292" t="s">
        <v>1937</v>
      </c>
      <c r="C292" t="s">
        <v>68</v>
      </c>
      <c r="D292" t="s">
        <v>1927</v>
      </c>
      <c r="E292" t="s">
        <v>1918</v>
      </c>
      <c r="F292" t="s">
        <v>1895</v>
      </c>
      <c r="G292">
        <v>174034</v>
      </c>
      <c r="H292" s="1">
        <v>45241</v>
      </c>
      <c r="I292" s="1"/>
      <c r="L292" t="s">
        <v>47</v>
      </c>
      <c r="M292" t="s">
        <v>1886</v>
      </c>
      <c r="N292" t="s">
        <v>1887</v>
      </c>
    </row>
    <row r="293" spans="1:14" x14ac:dyDescent="0.35">
      <c r="A293" t="s">
        <v>2217</v>
      </c>
      <c r="B293" t="s">
        <v>1926</v>
      </c>
      <c r="C293" t="s">
        <v>461</v>
      </c>
      <c r="D293" t="s">
        <v>1927</v>
      </c>
      <c r="E293" t="s">
        <v>1600</v>
      </c>
      <c r="F293" t="s">
        <v>1895</v>
      </c>
      <c r="G293">
        <v>451178</v>
      </c>
      <c r="H293" s="1">
        <v>45217</v>
      </c>
      <c r="I293" s="1"/>
      <c r="L293" t="s">
        <v>47</v>
      </c>
      <c r="M293" t="s">
        <v>1886</v>
      </c>
      <c r="N293" t="s">
        <v>1887</v>
      </c>
    </row>
    <row r="294" spans="1:14" x14ac:dyDescent="0.35">
      <c r="A294" t="s">
        <v>2218</v>
      </c>
      <c r="B294" t="s">
        <v>1922</v>
      </c>
      <c r="C294" t="s">
        <v>158</v>
      </c>
      <c r="D294" t="s">
        <v>1890</v>
      </c>
      <c r="E294" t="s">
        <v>1905</v>
      </c>
      <c r="F294" t="s">
        <v>1885</v>
      </c>
      <c r="G294">
        <v>83097</v>
      </c>
      <c r="H294" s="1">
        <v>45046</v>
      </c>
      <c r="I294" s="1">
        <v>45139</v>
      </c>
      <c r="J294">
        <v>93</v>
      </c>
      <c r="L294" t="s">
        <v>21</v>
      </c>
      <c r="M294" t="s">
        <v>1893</v>
      </c>
      <c r="N294" t="s">
        <v>1887</v>
      </c>
    </row>
    <row r="295" spans="1:14" x14ac:dyDescent="0.35">
      <c r="A295" t="s">
        <v>2219</v>
      </c>
      <c r="B295" t="s">
        <v>1944</v>
      </c>
      <c r="C295" t="s">
        <v>207</v>
      </c>
      <c r="D295" t="s">
        <v>1915</v>
      </c>
      <c r="E295" t="s">
        <v>1884</v>
      </c>
      <c r="F295" t="s">
        <v>1946</v>
      </c>
      <c r="G295">
        <v>379458</v>
      </c>
      <c r="H295" s="1">
        <v>45168</v>
      </c>
      <c r="I295" s="1"/>
      <c r="L295" t="s">
        <v>21</v>
      </c>
      <c r="M295" t="s">
        <v>1932</v>
      </c>
      <c r="N295" t="s">
        <v>1887</v>
      </c>
    </row>
    <row r="296" spans="1:14" x14ac:dyDescent="0.35">
      <c r="A296" t="s">
        <v>2220</v>
      </c>
      <c r="B296" t="s">
        <v>1898</v>
      </c>
      <c r="C296" t="s">
        <v>108</v>
      </c>
      <c r="D296" t="s">
        <v>1927</v>
      </c>
      <c r="E296" t="s">
        <v>1600</v>
      </c>
      <c r="F296" t="s">
        <v>1895</v>
      </c>
      <c r="G296">
        <v>480569</v>
      </c>
      <c r="H296" s="1">
        <v>45171</v>
      </c>
      <c r="I296" s="1"/>
      <c r="K296">
        <v>1.3</v>
      </c>
      <c r="L296" t="s">
        <v>47</v>
      </c>
      <c r="M296" t="s">
        <v>1932</v>
      </c>
      <c r="N296" t="s">
        <v>1887</v>
      </c>
    </row>
    <row r="297" spans="1:14" x14ac:dyDescent="0.35">
      <c r="A297" t="s">
        <v>2221</v>
      </c>
      <c r="B297" t="s">
        <v>1898</v>
      </c>
      <c r="C297" t="s">
        <v>220</v>
      </c>
      <c r="D297" t="s">
        <v>1904</v>
      </c>
      <c r="E297" t="s">
        <v>1600</v>
      </c>
      <c r="F297" t="s">
        <v>1885</v>
      </c>
      <c r="G297">
        <v>101283</v>
      </c>
      <c r="H297" s="1">
        <v>45451</v>
      </c>
      <c r="I297" s="1">
        <v>45467</v>
      </c>
      <c r="J297">
        <v>16</v>
      </c>
      <c r="K297">
        <v>4.0999999999999996</v>
      </c>
      <c r="L297" t="s">
        <v>15</v>
      </c>
      <c r="M297" t="s">
        <v>1935</v>
      </c>
      <c r="N297" t="s">
        <v>1887</v>
      </c>
    </row>
    <row r="298" spans="1:14" x14ac:dyDescent="0.35">
      <c r="A298" t="s">
        <v>2222</v>
      </c>
      <c r="B298" t="s">
        <v>1920</v>
      </c>
      <c r="C298" t="s">
        <v>319</v>
      </c>
      <c r="D298" t="s">
        <v>1883</v>
      </c>
      <c r="E298" t="s">
        <v>1600</v>
      </c>
      <c r="F298" t="s">
        <v>1900</v>
      </c>
      <c r="G298">
        <v>32117</v>
      </c>
      <c r="H298" s="1">
        <v>45489</v>
      </c>
      <c r="I298" s="1">
        <v>45637</v>
      </c>
      <c r="J298">
        <v>148</v>
      </c>
      <c r="K298">
        <v>12</v>
      </c>
      <c r="L298" t="s">
        <v>21</v>
      </c>
      <c r="M298" t="s">
        <v>1953</v>
      </c>
      <c r="N298" t="s">
        <v>1887</v>
      </c>
    </row>
    <row r="299" spans="1:14" x14ac:dyDescent="0.35">
      <c r="A299" t="s">
        <v>2223</v>
      </c>
      <c r="B299" t="s">
        <v>1898</v>
      </c>
      <c r="C299" t="s">
        <v>193</v>
      </c>
      <c r="D299" t="s">
        <v>1904</v>
      </c>
      <c r="E299" t="s">
        <v>1931</v>
      </c>
      <c r="F299" t="s">
        <v>1900</v>
      </c>
      <c r="G299">
        <v>284250</v>
      </c>
      <c r="H299" s="1">
        <v>45509</v>
      </c>
      <c r="I299" s="1">
        <v>45536</v>
      </c>
      <c r="J299">
        <v>27</v>
      </c>
      <c r="K299">
        <v>22.9</v>
      </c>
      <c r="L299" t="s">
        <v>47</v>
      </c>
      <c r="M299" t="s">
        <v>1953</v>
      </c>
      <c r="N299" t="s">
        <v>1887</v>
      </c>
    </row>
    <row r="300" spans="1:14" x14ac:dyDescent="0.35">
      <c r="A300" t="s">
        <v>2224</v>
      </c>
      <c r="B300" t="s">
        <v>1926</v>
      </c>
      <c r="C300" t="s">
        <v>260</v>
      </c>
      <c r="D300" t="s">
        <v>1883</v>
      </c>
      <c r="E300" t="s">
        <v>1918</v>
      </c>
      <c r="F300" t="s">
        <v>1885</v>
      </c>
      <c r="G300">
        <v>223130</v>
      </c>
      <c r="H300" s="1">
        <v>45019</v>
      </c>
      <c r="I300" s="1">
        <v>45196</v>
      </c>
      <c r="J300">
        <v>177</v>
      </c>
      <c r="K300">
        <v>10.9</v>
      </c>
      <c r="L300" t="s">
        <v>15</v>
      </c>
      <c r="M300" t="s">
        <v>1893</v>
      </c>
      <c r="N300" t="s">
        <v>1887</v>
      </c>
    </row>
    <row r="301" spans="1:14" x14ac:dyDescent="0.35">
      <c r="A301" t="s">
        <v>2225</v>
      </c>
      <c r="B301" t="s">
        <v>1937</v>
      </c>
      <c r="C301" t="s">
        <v>402</v>
      </c>
      <c r="D301" t="s">
        <v>1883</v>
      </c>
      <c r="E301" t="s">
        <v>1905</v>
      </c>
      <c r="F301" t="s">
        <v>1946</v>
      </c>
      <c r="G301">
        <v>68977</v>
      </c>
      <c r="H301" s="1">
        <v>45078</v>
      </c>
      <c r="I301" s="1"/>
      <c r="L301" t="s">
        <v>21</v>
      </c>
      <c r="M301" t="s">
        <v>1893</v>
      </c>
      <c r="N301" t="s">
        <v>1887</v>
      </c>
    </row>
    <row r="302" spans="1:14" x14ac:dyDescent="0.35">
      <c r="A302" t="s">
        <v>2226</v>
      </c>
      <c r="B302" t="s">
        <v>1898</v>
      </c>
      <c r="C302" t="s">
        <v>130</v>
      </c>
      <c r="D302" t="s">
        <v>1883</v>
      </c>
      <c r="E302" t="s">
        <v>1905</v>
      </c>
      <c r="F302" t="s">
        <v>1946</v>
      </c>
      <c r="G302">
        <v>207114</v>
      </c>
      <c r="H302" s="1">
        <v>45374</v>
      </c>
      <c r="I302" s="1"/>
      <c r="K302">
        <v>1.4</v>
      </c>
      <c r="L302" t="s">
        <v>21</v>
      </c>
      <c r="M302" t="s">
        <v>1916</v>
      </c>
      <c r="N302" t="s">
        <v>1887</v>
      </c>
    </row>
    <row r="303" spans="1:14" x14ac:dyDescent="0.35">
      <c r="A303" t="s">
        <v>2227</v>
      </c>
      <c r="B303" t="s">
        <v>1930</v>
      </c>
      <c r="C303" t="s">
        <v>140</v>
      </c>
      <c r="D303" t="s">
        <v>1899</v>
      </c>
      <c r="E303" t="s">
        <v>1600</v>
      </c>
      <c r="F303" t="s">
        <v>1900</v>
      </c>
      <c r="G303">
        <v>52628</v>
      </c>
      <c r="H303" s="1">
        <v>45400</v>
      </c>
      <c r="I303" s="1">
        <v>45569</v>
      </c>
      <c r="J303">
        <v>169</v>
      </c>
      <c r="K303">
        <v>23.7</v>
      </c>
      <c r="L303" t="s">
        <v>21</v>
      </c>
      <c r="M303" t="s">
        <v>1935</v>
      </c>
      <c r="N303" t="s">
        <v>1887</v>
      </c>
    </row>
    <row r="304" spans="1:14" x14ac:dyDescent="0.35">
      <c r="A304" t="s">
        <v>2228</v>
      </c>
      <c r="B304" t="s">
        <v>1898</v>
      </c>
      <c r="C304" t="s">
        <v>180</v>
      </c>
      <c r="D304" t="s">
        <v>1883</v>
      </c>
      <c r="E304" t="s">
        <v>1678</v>
      </c>
      <c r="F304" t="s">
        <v>1908</v>
      </c>
      <c r="G304">
        <v>446479</v>
      </c>
      <c r="H304" s="1">
        <v>45628</v>
      </c>
      <c r="I304" s="1"/>
      <c r="K304">
        <v>4.7</v>
      </c>
      <c r="L304" t="s">
        <v>21</v>
      </c>
      <c r="M304" t="s">
        <v>1901</v>
      </c>
      <c r="N304" t="s">
        <v>1887</v>
      </c>
    </row>
    <row r="305" spans="1:14" x14ac:dyDescent="0.35">
      <c r="A305" t="s">
        <v>2229</v>
      </c>
      <c r="B305" t="s">
        <v>1944</v>
      </c>
      <c r="C305" t="s">
        <v>158</v>
      </c>
      <c r="D305" t="s">
        <v>1890</v>
      </c>
      <c r="E305" t="s">
        <v>1918</v>
      </c>
      <c r="F305" t="s">
        <v>1908</v>
      </c>
      <c r="G305">
        <v>241527</v>
      </c>
      <c r="H305" s="1">
        <v>45175</v>
      </c>
      <c r="I305" s="1"/>
      <c r="K305">
        <v>8.5</v>
      </c>
      <c r="L305" t="s">
        <v>21</v>
      </c>
      <c r="M305" t="s">
        <v>1932</v>
      </c>
      <c r="N305" t="s">
        <v>1887</v>
      </c>
    </row>
    <row r="306" spans="1:14" x14ac:dyDescent="0.35">
      <c r="A306" t="s">
        <v>2230</v>
      </c>
      <c r="B306" t="s">
        <v>1920</v>
      </c>
      <c r="C306" t="s">
        <v>457</v>
      </c>
      <c r="D306" t="s">
        <v>1927</v>
      </c>
      <c r="E306" t="s">
        <v>1587</v>
      </c>
      <c r="F306" t="s">
        <v>1908</v>
      </c>
      <c r="G306">
        <v>351044</v>
      </c>
      <c r="H306" s="1">
        <v>45717</v>
      </c>
      <c r="I306" s="1"/>
      <c r="K306">
        <v>8.6999999999999993</v>
      </c>
      <c r="L306" t="s">
        <v>15</v>
      </c>
      <c r="M306" t="s">
        <v>1912</v>
      </c>
      <c r="N306" t="s">
        <v>1887</v>
      </c>
    </row>
    <row r="307" spans="1:14" x14ac:dyDescent="0.35">
      <c r="A307" t="s">
        <v>2231</v>
      </c>
      <c r="B307" t="s">
        <v>1924</v>
      </c>
      <c r="C307" t="s">
        <v>432</v>
      </c>
      <c r="D307" t="s">
        <v>1890</v>
      </c>
      <c r="E307" t="s">
        <v>1587</v>
      </c>
      <c r="F307" t="s">
        <v>1900</v>
      </c>
      <c r="G307">
        <v>77558</v>
      </c>
      <c r="H307" s="1">
        <v>45488</v>
      </c>
      <c r="I307" s="1">
        <v>45527</v>
      </c>
      <c r="J307">
        <v>39</v>
      </c>
      <c r="K307">
        <v>1</v>
      </c>
      <c r="L307" t="s">
        <v>47</v>
      </c>
      <c r="M307" t="s">
        <v>1953</v>
      </c>
      <c r="N307" t="s">
        <v>1887</v>
      </c>
    </row>
    <row r="308" spans="1:14" x14ac:dyDescent="0.35">
      <c r="A308" t="s">
        <v>2232</v>
      </c>
      <c r="B308" t="s">
        <v>1963</v>
      </c>
      <c r="C308" t="s">
        <v>292</v>
      </c>
      <c r="D308" t="s">
        <v>1899</v>
      </c>
      <c r="E308" t="s">
        <v>1587</v>
      </c>
      <c r="F308" t="s">
        <v>1908</v>
      </c>
      <c r="G308">
        <v>106435</v>
      </c>
      <c r="H308" s="1">
        <v>45643</v>
      </c>
      <c r="I308" s="1"/>
      <c r="L308" t="s">
        <v>15</v>
      </c>
      <c r="M308" t="s">
        <v>1901</v>
      </c>
      <c r="N308" t="s">
        <v>1887</v>
      </c>
    </row>
    <row r="309" spans="1:14" x14ac:dyDescent="0.35">
      <c r="A309" t="s">
        <v>2233</v>
      </c>
      <c r="B309" t="s">
        <v>1944</v>
      </c>
      <c r="C309" t="s">
        <v>214</v>
      </c>
      <c r="D309" t="s">
        <v>1927</v>
      </c>
      <c r="E309" t="s">
        <v>1918</v>
      </c>
      <c r="F309" t="s">
        <v>1900</v>
      </c>
      <c r="G309">
        <v>93029</v>
      </c>
      <c r="H309" s="1">
        <v>45261</v>
      </c>
      <c r="I309" s="1">
        <v>45424</v>
      </c>
      <c r="J309">
        <v>163</v>
      </c>
      <c r="K309">
        <v>8.4</v>
      </c>
      <c r="L309" t="s">
        <v>15</v>
      </c>
      <c r="M309" t="s">
        <v>1886</v>
      </c>
      <c r="N309" t="s">
        <v>1887</v>
      </c>
    </row>
    <row r="310" spans="1:14" x14ac:dyDescent="0.35">
      <c r="A310" t="s">
        <v>2234</v>
      </c>
      <c r="B310" t="s">
        <v>1882</v>
      </c>
      <c r="C310" t="s">
        <v>218</v>
      </c>
      <c r="D310" t="s">
        <v>1904</v>
      </c>
      <c r="E310" t="s">
        <v>1891</v>
      </c>
      <c r="F310" t="s">
        <v>1895</v>
      </c>
      <c r="G310">
        <v>272907</v>
      </c>
      <c r="H310" s="1">
        <v>45552</v>
      </c>
      <c r="I310" s="1"/>
      <c r="K310">
        <v>9</v>
      </c>
      <c r="L310" t="s">
        <v>47</v>
      </c>
      <c r="M310" t="s">
        <v>1953</v>
      </c>
      <c r="N310" t="s">
        <v>1887</v>
      </c>
    </row>
    <row r="311" spans="1:14" x14ac:dyDescent="0.35">
      <c r="A311" t="s">
        <v>2235</v>
      </c>
      <c r="B311" t="s">
        <v>1911</v>
      </c>
      <c r="C311" t="s">
        <v>135</v>
      </c>
      <c r="D311" t="s">
        <v>1899</v>
      </c>
      <c r="E311" t="s">
        <v>1600</v>
      </c>
      <c r="F311" t="s">
        <v>1892</v>
      </c>
      <c r="G311">
        <v>164922</v>
      </c>
      <c r="H311" s="1">
        <v>45541</v>
      </c>
      <c r="I311" s="1"/>
      <c r="L311" t="s">
        <v>21</v>
      </c>
      <c r="M311" t="s">
        <v>1953</v>
      </c>
      <c r="N311" t="s">
        <v>1887</v>
      </c>
    </row>
    <row r="312" spans="1:14" x14ac:dyDescent="0.35">
      <c r="A312" t="s">
        <v>2236</v>
      </c>
      <c r="B312" t="s">
        <v>1903</v>
      </c>
      <c r="C312" t="s">
        <v>460</v>
      </c>
      <c r="D312" t="s">
        <v>1883</v>
      </c>
      <c r="E312" t="s">
        <v>1891</v>
      </c>
      <c r="F312" t="s">
        <v>1895</v>
      </c>
      <c r="G312">
        <v>239946</v>
      </c>
      <c r="H312" s="1">
        <v>45251</v>
      </c>
      <c r="I312" s="1"/>
      <c r="L312" t="s">
        <v>15</v>
      </c>
      <c r="M312" t="s">
        <v>1886</v>
      </c>
      <c r="N312" t="s">
        <v>1887</v>
      </c>
    </row>
    <row r="313" spans="1:14" x14ac:dyDescent="0.35">
      <c r="A313" t="s">
        <v>2237</v>
      </c>
      <c r="B313" t="s">
        <v>1934</v>
      </c>
      <c r="C313" t="s">
        <v>85</v>
      </c>
      <c r="D313" t="s">
        <v>1899</v>
      </c>
      <c r="E313" t="s">
        <v>1884</v>
      </c>
      <c r="F313" t="s">
        <v>1885</v>
      </c>
      <c r="G313">
        <v>344897</v>
      </c>
      <c r="H313" s="1">
        <v>45162</v>
      </c>
      <c r="I313" s="1">
        <v>45296</v>
      </c>
      <c r="J313">
        <v>134</v>
      </c>
      <c r="K313">
        <v>3.6</v>
      </c>
      <c r="L313" t="s">
        <v>21</v>
      </c>
      <c r="M313" t="s">
        <v>1932</v>
      </c>
      <c r="N313" t="s">
        <v>1887</v>
      </c>
    </row>
    <row r="314" spans="1:14" x14ac:dyDescent="0.35">
      <c r="A314" t="s">
        <v>2238</v>
      </c>
      <c r="B314" t="s">
        <v>1889</v>
      </c>
      <c r="C314" t="s">
        <v>130</v>
      </c>
      <c r="D314" t="s">
        <v>1915</v>
      </c>
      <c r="E314" t="s">
        <v>1587</v>
      </c>
      <c r="F314" t="s">
        <v>1908</v>
      </c>
      <c r="G314">
        <v>335584</v>
      </c>
      <c r="H314" s="1">
        <v>45221</v>
      </c>
      <c r="I314" s="1"/>
      <c r="K314">
        <v>0.2</v>
      </c>
      <c r="L314" t="s">
        <v>47</v>
      </c>
      <c r="M314" t="s">
        <v>1886</v>
      </c>
      <c r="N314" t="s">
        <v>1887</v>
      </c>
    </row>
    <row r="315" spans="1:14" x14ac:dyDescent="0.35">
      <c r="A315" t="s">
        <v>2239</v>
      </c>
      <c r="B315" t="s">
        <v>1882</v>
      </c>
      <c r="C315" t="s">
        <v>128</v>
      </c>
      <c r="D315" t="s">
        <v>1915</v>
      </c>
      <c r="E315" t="s">
        <v>1600</v>
      </c>
      <c r="F315" t="s">
        <v>1895</v>
      </c>
      <c r="G315">
        <v>457082</v>
      </c>
      <c r="H315" s="1">
        <v>45694</v>
      </c>
      <c r="I315" s="1"/>
      <c r="K315">
        <v>0.4</v>
      </c>
      <c r="L315" t="s">
        <v>30</v>
      </c>
      <c r="M315" t="s">
        <v>1912</v>
      </c>
      <c r="N315" t="s">
        <v>1887</v>
      </c>
    </row>
    <row r="316" spans="1:14" x14ac:dyDescent="0.35">
      <c r="A316" t="s">
        <v>2240</v>
      </c>
      <c r="B316" t="s">
        <v>1963</v>
      </c>
      <c r="C316" t="s">
        <v>400</v>
      </c>
      <c r="D316" t="s">
        <v>1915</v>
      </c>
      <c r="E316" t="s">
        <v>1905</v>
      </c>
      <c r="F316" t="s">
        <v>1892</v>
      </c>
      <c r="G316">
        <v>138857</v>
      </c>
      <c r="H316" s="1">
        <v>45221</v>
      </c>
      <c r="I316" s="1"/>
      <c r="L316" t="s">
        <v>21</v>
      </c>
      <c r="M316" t="s">
        <v>1886</v>
      </c>
      <c r="N316" t="s">
        <v>1887</v>
      </c>
    </row>
    <row r="317" spans="1:14" x14ac:dyDescent="0.35">
      <c r="A317" t="s">
        <v>2241</v>
      </c>
      <c r="B317" t="s">
        <v>1889</v>
      </c>
      <c r="C317" t="s">
        <v>383</v>
      </c>
      <c r="D317" t="s">
        <v>1890</v>
      </c>
      <c r="E317" t="s">
        <v>1884</v>
      </c>
      <c r="F317" t="s">
        <v>1946</v>
      </c>
      <c r="G317">
        <v>441652</v>
      </c>
      <c r="H317" s="1">
        <v>45212</v>
      </c>
      <c r="I317" s="1"/>
      <c r="K317">
        <v>13.6</v>
      </c>
      <c r="L317" t="s">
        <v>30</v>
      </c>
      <c r="M317" t="s">
        <v>1886</v>
      </c>
      <c r="N317" t="s">
        <v>1887</v>
      </c>
    </row>
    <row r="318" spans="1:14" x14ac:dyDescent="0.35">
      <c r="A318" t="s">
        <v>2242</v>
      </c>
      <c r="B318" t="s">
        <v>1911</v>
      </c>
      <c r="C318" t="s">
        <v>432</v>
      </c>
      <c r="D318" t="s">
        <v>1883</v>
      </c>
      <c r="E318" t="s">
        <v>1891</v>
      </c>
      <c r="F318" t="s">
        <v>1892</v>
      </c>
      <c r="G318">
        <v>1945320</v>
      </c>
      <c r="H318" s="1">
        <v>45372</v>
      </c>
      <c r="I318" s="1"/>
      <c r="L318" t="s">
        <v>30</v>
      </c>
      <c r="M318" t="s">
        <v>1916</v>
      </c>
      <c r="N318" t="s">
        <v>1966</v>
      </c>
    </row>
    <row r="319" spans="1:14" x14ac:dyDescent="0.35">
      <c r="A319" t="s">
        <v>2243</v>
      </c>
      <c r="B319" t="s">
        <v>1911</v>
      </c>
      <c r="C319" t="s">
        <v>226</v>
      </c>
      <c r="D319" t="s">
        <v>1883</v>
      </c>
      <c r="E319" t="s">
        <v>1905</v>
      </c>
      <c r="F319" t="s">
        <v>1895</v>
      </c>
      <c r="G319">
        <v>45712</v>
      </c>
      <c r="H319" s="1">
        <v>45587</v>
      </c>
      <c r="I319" s="1"/>
      <c r="K319">
        <v>12.5</v>
      </c>
      <c r="L319" t="s">
        <v>30</v>
      </c>
      <c r="M319" t="s">
        <v>1901</v>
      </c>
      <c r="N319" t="s">
        <v>1887</v>
      </c>
    </row>
    <row r="320" spans="1:14" x14ac:dyDescent="0.35">
      <c r="A320" t="s">
        <v>2244</v>
      </c>
      <c r="B320" t="s">
        <v>1898</v>
      </c>
      <c r="C320" t="s">
        <v>249</v>
      </c>
      <c r="D320" t="s">
        <v>1927</v>
      </c>
      <c r="E320" t="s">
        <v>1891</v>
      </c>
      <c r="F320" t="s">
        <v>1895</v>
      </c>
      <c r="G320">
        <v>346250</v>
      </c>
      <c r="H320" s="1">
        <v>45222</v>
      </c>
      <c r="I320" s="1"/>
      <c r="L320" t="s">
        <v>47</v>
      </c>
      <c r="M320" t="s">
        <v>1886</v>
      </c>
      <c r="N320" t="s">
        <v>1887</v>
      </c>
    </row>
    <row r="321" spans="1:14" x14ac:dyDescent="0.35">
      <c r="A321" t="s">
        <v>2245</v>
      </c>
      <c r="B321" t="s">
        <v>1911</v>
      </c>
      <c r="C321" t="s">
        <v>201</v>
      </c>
      <c r="D321" t="s">
        <v>1904</v>
      </c>
      <c r="E321" t="s">
        <v>1600</v>
      </c>
      <c r="F321" t="s">
        <v>1895</v>
      </c>
      <c r="G321">
        <v>393963</v>
      </c>
      <c r="H321" s="1">
        <v>45288</v>
      </c>
      <c r="I321" s="1"/>
      <c r="K321">
        <v>7.2</v>
      </c>
      <c r="L321" t="s">
        <v>21</v>
      </c>
      <c r="M321" t="s">
        <v>1886</v>
      </c>
      <c r="N321" t="s">
        <v>1887</v>
      </c>
    </row>
    <row r="322" spans="1:14" x14ac:dyDescent="0.35">
      <c r="A322" t="s">
        <v>2246</v>
      </c>
      <c r="B322" t="s">
        <v>1926</v>
      </c>
      <c r="C322" t="s">
        <v>99</v>
      </c>
      <c r="D322" t="s">
        <v>1883</v>
      </c>
      <c r="E322" t="s">
        <v>1600</v>
      </c>
      <c r="F322" t="s">
        <v>1895</v>
      </c>
      <c r="G322">
        <v>221926</v>
      </c>
      <c r="H322" s="1">
        <v>45146</v>
      </c>
      <c r="I322" s="1"/>
      <c r="K322">
        <v>10.8</v>
      </c>
      <c r="L322" t="s">
        <v>30</v>
      </c>
      <c r="M322" t="s">
        <v>1932</v>
      </c>
      <c r="N322" t="s">
        <v>1887</v>
      </c>
    </row>
    <row r="323" spans="1:14" x14ac:dyDescent="0.35">
      <c r="A323" t="s">
        <v>2247</v>
      </c>
      <c r="B323" t="s">
        <v>1922</v>
      </c>
      <c r="C323" t="s">
        <v>301</v>
      </c>
      <c r="D323" t="s">
        <v>1883</v>
      </c>
      <c r="E323" t="s">
        <v>1587</v>
      </c>
      <c r="F323" t="s">
        <v>1908</v>
      </c>
      <c r="G323">
        <v>222242</v>
      </c>
      <c r="H323" s="1">
        <v>45494</v>
      </c>
      <c r="I323" s="1"/>
      <c r="L323" t="s">
        <v>15</v>
      </c>
      <c r="M323" t="s">
        <v>1953</v>
      </c>
      <c r="N323" t="s">
        <v>1887</v>
      </c>
    </row>
    <row r="324" spans="1:14" x14ac:dyDescent="0.35">
      <c r="A324" t="s">
        <v>2248</v>
      </c>
      <c r="B324" t="s">
        <v>1937</v>
      </c>
      <c r="C324" t="s">
        <v>457</v>
      </c>
      <c r="D324" t="s">
        <v>1904</v>
      </c>
      <c r="E324" t="s">
        <v>1905</v>
      </c>
      <c r="F324" t="s">
        <v>1946</v>
      </c>
      <c r="G324">
        <v>29541</v>
      </c>
      <c r="H324" s="1">
        <v>45214</v>
      </c>
      <c r="I324" s="1"/>
      <c r="K324">
        <v>6</v>
      </c>
      <c r="L324" t="s">
        <v>30</v>
      </c>
      <c r="M324" t="s">
        <v>1886</v>
      </c>
      <c r="N324" t="s">
        <v>1887</v>
      </c>
    </row>
    <row r="325" spans="1:14" x14ac:dyDescent="0.35">
      <c r="A325" t="s">
        <v>2249</v>
      </c>
      <c r="B325" t="s">
        <v>1922</v>
      </c>
      <c r="C325" t="s">
        <v>249</v>
      </c>
      <c r="D325" t="s">
        <v>1904</v>
      </c>
      <c r="E325" t="s">
        <v>1905</v>
      </c>
      <c r="F325" t="s">
        <v>1895</v>
      </c>
      <c r="G325">
        <v>433685</v>
      </c>
      <c r="H325" s="1">
        <v>45340</v>
      </c>
      <c r="I325" s="1"/>
      <c r="L325" t="s">
        <v>30</v>
      </c>
      <c r="M325" t="s">
        <v>1916</v>
      </c>
      <c r="N325" t="s">
        <v>1887</v>
      </c>
    </row>
    <row r="326" spans="1:14" x14ac:dyDescent="0.35">
      <c r="A326" t="s">
        <v>2250</v>
      </c>
      <c r="B326" t="s">
        <v>1944</v>
      </c>
      <c r="C326" t="s">
        <v>440</v>
      </c>
      <c r="D326" t="s">
        <v>1899</v>
      </c>
      <c r="E326" t="s">
        <v>1587</v>
      </c>
      <c r="F326" t="s">
        <v>1892</v>
      </c>
      <c r="G326">
        <v>106903</v>
      </c>
      <c r="H326" s="1">
        <v>44954</v>
      </c>
      <c r="I326" s="1"/>
      <c r="L326" t="s">
        <v>47</v>
      </c>
      <c r="M326" t="s">
        <v>1896</v>
      </c>
      <c r="N326" t="s">
        <v>1887</v>
      </c>
    </row>
    <row r="327" spans="1:14" x14ac:dyDescent="0.35">
      <c r="A327" t="s">
        <v>2251</v>
      </c>
      <c r="B327" t="s">
        <v>1924</v>
      </c>
      <c r="C327" t="s">
        <v>428</v>
      </c>
      <c r="D327" t="s">
        <v>1890</v>
      </c>
      <c r="E327" t="s">
        <v>1918</v>
      </c>
      <c r="F327" t="s">
        <v>1900</v>
      </c>
      <c r="G327">
        <v>495555</v>
      </c>
      <c r="H327" s="1">
        <v>45373</v>
      </c>
      <c r="I327" s="1">
        <v>45491</v>
      </c>
      <c r="J327">
        <v>118</v>
      </c>
      <c r="K327">
        <v>3.9</v>
      </c>
      <c r="L327" t="s">
        <v>30</v>
      </c>
      <c r="M327" t="s">
        <v>1916</v>
      </c>
      <c r="N327" t="s">
        <v>1887</v>
      </c>
    </row>
    <row r="328" spans="1:14" x14ac:dyDescent="0.35">
      <c r="A328" t="s">
        <v>2252</v>
      </c>
      <c r="B328" t="s">
        <v>1920</v>
      </c>
      <c r="C328" t="s">
        <v>433</v>
      </c>
      <c r="D328" t="s">
        <v>1890</v>
      </c>
      <c r="E328" t="s">
        <v>1905</v>
      </c>
      <c r="F328" t="s">
        <v>1946</v>
      </c>
      <c r="G328">
        <v>457926</v>
      </c>
      <c r="H328" s="1">
        <v>44984</v>
      </c>
      <c r="I328" s="1"/>
      <c r="K328">
        <v>5.9</v>
      </c>
      <c r="L328" t="s">
        <v>30</v>
      </c>
      <c r="M328" t="s">
        <v>1896</v>
      </c>
      <c r="N328" t="s">
        <v>1887</v>
      </c>
    </row>
    <row r="329" spans="1:14" x14ac:dyDescent="0.35">
      <c r="A329" t="s">
        <v>2253</v>
      </c>
      <c r="B329" t="s">
        <v>1930</v>
      </c>
      <c r="C329" t="s">
        <v>400</v>
      </c>
      <c r="D329" t="s">
        <v>1904</v>
      </c>
      <c r="E329" t="s">
        <v>1931</v>
      </c>
      <c r="F329" t="s">
        <v>1895</v>
      </c>
      <c r="G329">
        <v>499112</v>
      </c>
      <c r="H329" s="1">
        <v>45145</v>
      </c>
      <c r="I329" s="1"/>
      <c r="L329" t="s">
        <v>15</v>
      </c>
      <c r="M329" t="s">
        <v>1932</v>
      </c>
      <c r="N329" t="s">
        <v>1887</v>
      </c>
    </row>
    <row r="330" spans="1:14" x14ac:dyDescent="0.35">
      <c r="A330" t="s">
        <v>2254</v>
      </c>
      <c r="B330" t="s">
        <v>1914</v>
      </c>
      <c r="C330" t="s">
        <v>124</v>
      </c>
      <c r="D330" t="s">
        <v>1904</v>
      </c>
      <c r="E330" t="s">
        <v>1884</v>
      </c>
      <c r="F330" t="s">
        <v>1946</v>
      </c>
      <c r="G330">
        <v>367175</v>
      </c>
      <c r="H330" s="1">
        <v>45044</v>
      </c>
      <c r="I330" s="1"/>
      <c r="K330">
        <v>14</v>
      </c>
      <c r="L330" t="s">
        <v>47</v>
      </c>
      <c r="M330" t="s">
        <v>1893</v>
      </c>
      <c r="N330" t="s">
        <v>1887</v>
      </c>
    </row>
    <row r="331" spans="1:14" x14ac:dyDescent="0.35">
      <c r="A331" t="s">
        <v>2255</v>
      </c>
      <c r="B331" t="s">
        <v>1924</v>
      </c>
      <c r="C331" t="s">
        <v>310</v>
      </c>
      <c r="D331" t="s">
        <v>1899</v>
      </c>
      <c r="E331" t="s">
        <v>1931</v>
      </c>
      <c r="F331" t="s">
        <v>1908</v>
      </c>
      <c r="G331">
        <v>423910</v>
      </c>
      <c r="H331" s="1">
        <v>45048</v>
      </c>
      <c r="I331" s="1"/>
      <c r="K331">
        <v>5.3</v>
      </c>
      <c r="L331" t="s">
        <v>30</v>
      </c>
      <c r="M331" t="s">
        <v>1893</v>
      </c>
      <c r="N331" t="s">
        <v>1887</v>
      </c>
    </row>
    <row r="332" spans="1:14" x14ac:dyDescent="0.35">
      <c r="A332" t="s">
        <v>2256</v>
      </c>
      <c r="B332" t="s">
        <v>1924</v>
      </c>
      <c r="C332" t="s">
        <v>77</v>
      </c>
      <c r="D332" t="s">
        <v>1883</v>
      </c>
      <c r="E332" t="s">
        <v>1918</v>
      </c>
      <c r="F332" t="s">
        <v>1895</v>
      </c>
      <c r="G332">
        <v>24321</v>
      </c>
      <c r="H332" s="1">
        <v>44989</v>
      </c>
      <c r="I332" s="1"/>
      <c r="K332">
        <v>12.4</v>
      </c>
      <c r="L332" t="s">
        <v>21</v>
      </c>
      <c r="M332" t="s">
        <v>1896</v>
      </c>
      <c r="N332" t="s">
        <v>1887</v>
      </c>
    </row>
    <row r="333" spans="1:14" x14ac:dyDescent="0.35">
      <c r="A333" t="s">
        <v>2257</v>
      </c>
      <c r="B333" t="s">
        <v>1944</v>
      </c>
      <c r="C333" t="s">
        <v>386</v>
      </c>
      <c r="D333" t="s">
        <v>1899</v>
      </c>
      <c r="E333" t="s">
        <v>1931</v>
      </c>
      <c r="F333" t="s">
        <v>1908</v>
      </c>
      <c r="G333">
        <v>391682</v>
      </c>
      <c r="H333" s="1">
        <v>45361</v>
      </c>
      <c r="I333" s="1"/>
      <c r="K333">
        <v>10.9</v>
      </c>
      <c r="L333" t="s">
        <v>47</v>
      </c>
      <c r="M333" t="s">
        <v>1916</v>
      </c>
      <c r="N333" t="s">
        <v>1887</v>
      </c>
    </row>
    <row r="334" spans="1:14" x14ac:dyDescent="0.35">
      <c r="A334" t="s">
        <v>2258</v>
      </c>
      <c r="B334" t="s">
        <v>1934</v>
      </c>
      <c r="C334" t="s">
        <v>394</v>
      </c>
      <c r="D334" t="s">
        <v>1899</v>
      </c>
      <c r="E334" t="s">
        <v>1587</v>
      </c>
      <c r="F334" t="s">
        <v>1885</v>
      </c>
      <c r="G334">
        <v>463002</v>
      </c>
      <c r="H334" s="1">
        <v>45445</v>
      </c>
      <c r="I334" s="1">
        <v>45566</v>
      </c>
      <c r="J334">
        <v>121</v>
      </c>
      <c r="K334">
        <v>6.7</v>
      </c>
      <c r="L334" t="s">
        <v>21</v>
      </c>
      <c r="M334" t="s">
        <v>1935</v>
      </c>
      <c r="N334" t="s">
        <v>1887</v>
      </c>
    </row>
    <row r="335" spans="1:14" x14ac:dyDescent="0.35">
      <c r="A335" t="s">
        <v>2259</v>
      </c>
      <c r="B335" t="s">
        <v>1914</v>
      </c>
      <c r="C335" t="s">
        <v>346</v>
      </c>
      <c r="D335" t="s">
        <v>1915</v>
      </c>
      <c r="E335" t="s">
        <v>1884</v>
      </c>
      <c r="F335" t="s">
        <v>1908</v>
      </c>
      <c r="G335">
        <v>349782</v>
      </c>
      <c r="H335" s="1">
        <v>45013</v>
      </c>
      <c r="I335" s="1"/>
      <c r="L335" t="s">
        <v>21</v>
      </c>
      <c r="M335" t="s">
        <v>1896</v>
      </c>
      <c r="N335" t="s">
        <v>1887</v>
      </c>
    </row>
    <row r="336" spans="1:14" x14ac:dyDescent="0.35">
      <c r="A336" t="s">
        <v>2260</v>
      </c>
      <c r="B336" t="s">
        <v>1944</v>
      </c>
      <c r="C336" t="s">
        <v>275</v>
      </c>
      <c r="D336" t="s">
        <v>1890</v>
      </c>
      <c r="E336" t="s">
        <v>1600</v>
      </c>
      <c r="F336" t="s">
        <v>1885</v>
      </c>
      <c r="G336">
        <v>363001</v>
      </c>
      <c r="H336" s="1">
        <v>45129</v>
      </c>
      <c r="I336" s="1">
        <v>45249</v>
      </c>
      <c r="J336">
        <v>120</v>
      </c>
      <c r="K336">
        <v>9.6</v>
      </c>
      <c r="L336" t="s">
        <v>21</v>
      </c>
      <c r="M336" t="s">
        <v>1932</v>
      </c>
      <c r="N336" t="s">
        <v>1887</v>
      </c>
    </row>
    <row r="337" spans="1:14" x14ac:dyDescent="0.35">
      <c r="A337" t="s">
        <v>2261</v>
      </c>
      <c r="B337" t="s">
        <v>1944</v>
      </c>
      <c r="C337" t="s">
        <v>293</v>
      </c>
      <c r="D337" t="s">
        <v>1899</v>
      </c>
      <c r="E337" t="s">
        <v>1905</v>
      </c>
      <c r="F337" t="s">
        <v>1895</v>
      </c>
      <c r="G337">
        <v>208828</v>
      </c>
      <c r="H337" s="1">
        <v>45523</v>
      </c>
      <c r="I337" s="1"/>
      <c r="K337">
        <v>13.5</v>
      </c>
      <c r="L337" t="s">
        <v>21</v>
      </c>
      <c r="M337" t="s">
        <v>1953</v>
      </c>
      <c r="N337" t="s">
        <v>1887</v>
      </c>
    </row>
    <row r="338" spans="1:14" x14ac:dyDescent="0.35">
      <c r="A338" t="s">
        <v>2262</v>
      </c>
      <c r="B338" t="s">
        <v>1924</v>
      </c>
      <c r="C338" t="s">
        <v>176</v>
      </c>
      <c r="D338" t="s">
        <v>1890</v>
      </c>
      <c r="E338" t="s">
        <v>1884</v>
      </c>
      <c r="F338" t="s">
        <v>1885</v>
      </c>
      <c r="G338">
        <v>42559</v>
      </c>
      <c r="H338" s="1">
        <v>45403</v>
      </c>
      <c r="I338" s="1">
        <v>45425</v>
      </c>
      <c r="J338">
        <v>22</v>
      </c>
      <c r="L338" t="s">
        <v>47</v>
      </c>
      <c r="M338" t="s">
        <v>1935</v>
      </c>
      <c r="N338" t="s">
        <v>1887</v>
      </c>
    </row>
    <row r="339" spans="1:14" x14ac:dyDescent="0.35">
      <c r="A339" t="s">
        <v>2263</v>
      </c>
      <c r="B339" t="s">
        <v>1934</v>
      </c>
      <c r="C339" t="s">
        <v>303</v>
      </c>
      <c r="D339" t="s">
        <v>1890</v>
      </c>
      <c r="E339" t="s">
        <v>1587</v>
      </c>
      <c r="F339" t="s">
        <v>1946</v>
      </c>
      <c r="G339">
        <v>31827</v>
      </c>
      <c r="H339" s="1">
        <v>45018</v>
      </c>
      <c r="I339" s="1"/>
      <c r="K339">
        <v>4.5999999999999996</v>
      </c>
      <c r="L339" t="s">
        <v>15</v>
      </c>
      <c r="M339" t="s">
        <v>1893</v>
      </c>
      <c r="N339" t="s">
        <v>1887</v>
      </c>
    </row>
    <row r="340" spans="1:14" x14ac:dyDescent="0.35">
      <c r="A340" t="s">
        <v>2264</v>
      </c>
      <c r="B340" t="s">
        <v>1926</v>
      </c>
      <c r="C340" t="s">
        <v>247</v>
      </c>
      <c r="D340" t="s">
        <v>1904</v>
      </c>
      <c r="E340" t="s">
        <v>1600</v>
      </c>
      <c r="F340" t="s">
        <v>1946</v>
      </c>
      <c r="G340">
        <v>459747</v>
      </c>
      <c r="H340" s="1">
        <v>45517</v>
      </c>
      <c r="I340" s="1"/>
      <c r="L340" t="s">
        <v>30</v>
      </c>
      <c r="M340" t="s">
        <v>1953</v>
      </c>
      <c r="N340" t="s">
        <v>1887</v>
      </c>
    </row>
    <row r="341" spans="1:14" x14ac:dyDescent="0.35">
      <c r="A341" t="s">
        <v>2265</v>
      </c>
      <c r="B341" t="s">
        <v>1920</v>
      </c>
      <c r="C341" t="s">
        <v>376</v>
      </c>
      <c r="D341" t="s">
        <v>1883</v>
      </c>
      <c r="E341" t="s">
        <v>1905</v>
      </c>
      <c r="F341" t="s">
        <v>1900</v>
      </c>
      <c r="G341">
        <v>41745</v>
      </c>
      <c r="H341" s="1">
        <v>44952</v>
      </c>
      <c r="I341" s="1">
        <v>44985</v>
      </c>
      <c r="J341">
        <v>33</v>
      </c>
      <c r="K341">
        <v>22.1</v>
      </c>
      <c r="L341" t="s">
        <v>47</v>
      </c>
      <c r="M341" t="s">
        <v>1896</v>
      </c>
      <c r="N341" t="s">
        <v>1887</v>
      </c>
    </row>
    <row r="342" spans="1:14" x14ac:dyDescent="0.35">
      <c r="A342" t="s">
        <v>2266</v>
      </c>
      <c r="B342" t="s">
        <v>1937</v>
      </c>
      <c r="C342" t="s">
        <v>426</v>
      </c>
      <c r="D342" t="s">
        <v>1927</v>
      </c>
      <c r="E342" t="s">
        <v>1918</v>
      </c>
      <c r="F342" t="s">
        <v>1946</v>
      </c>
      <c r="G342">
        <v>452750</v>
      </c>
      <c r="H342" s="1">
        <v>45677</v>
      </c>
      <c r="I342" s="1"/>
      <c r="K342">
        <v>14.6</v>
      </c>
      <c r="L342" t="s">
        <v>47</v>
      </c>
      <c r="M342" t="s">
        <v>1912</v>
      </c>
      <c r="N342" t="s">
        <v>1887</v>
      </c>
    </row>
    <row r="343" spans="1:14" x14ac:dyDescent="0.35">
      <c r="A343" t="s">
        <v>2267</v>
      </c>
      <c r="B343" t="s">
        <v>1914</v>
      </c>
      <c r="C343" t="s">
        <v>346</v>
      </c>
      <c r="D343" t="s">
        <v>1927</v>
      </c>
      <c r="E343" t="s">
        <v>1678</v>
      </c>
      <c r="F343" t="s">
        <v>1900</v>
      </c>
      <c r="G343">
        <v>428641</v>
      </c>
      <c r="H343" s="1">
        <v>45269</v>
      </c>
      <c r="I343" s="1">
        <v>45416</v>
      </c>
      <c r="J343">
        <v>147</v>
      </c>
      <c r="K343">
        <v>18.5</v>
      </c>
      <c r="L343" t="s">
        <v>30</v>
      </c>
      <c r="M343" t="s">
        <v>1886</v>
      </c>
      <c r="N343" t="s">
        <v>1887</v>
      </c>
    </row>
    <row r="344" spans="1:14" x14ac:dyDescent="0.35">
      <c r="A344" t="s">
        <v>2268</v>
      </c>
      <c r="B344" t="s">
        <v>1911</v>
      </c>
      <c r="C344" t="s">
        <v>461</v>
      </c>
      <c r="D344" t="s">
        <v>1899</v>
      </c>
      <c r="E344" t="s">
        <v>1884</v>
      </c>
      <c r="F344" t="s">
        <v>1900</v>
      </c>
      <c r="G344">
        <v>236384</v>
      </c>
      <c r="H344" s="1">
        <v>45209</v>
      </c>
      <c r="I344" s="1">
        <v>45232</v>
      </c>
      <c r="J344">
        <v>23</v>
      </c>
      <c r="K344">
        <v>20</v>
      </c>
      <c r="L344" t="s">
        <v>15</v>
      </c>
      <c r="M344" t="s">
        <v>1886</v>
      </c>
      <c r="N344" t="s">
        <v>1887</v>
      </c>
    </row>
    <row r="345" spans="1:14" x14ac:dyDescent="0.35">
      <c r="A345" t="s">
        <v>2269</v>
      </c>
      <c r="B345" t="s">
        <v>1914</v>
      </c>
      <c r="C345" t="s">
        <v>339</v>
      </c>
      <c r="D345" t="s">
        <v>1915</v>
      </c>
      <c r="E345" t="s">
        <v>1905</v>
      </c>
      <c r="F345" t="s">
        <v>1908</v>
      </c>
      <c r="G345">
        <v>94789</v>
      </c>
      <c r="H345" s="1">
        <v>45364</v>
      </c>
      <c r="I345" s="1"/>
      <c r="K345">
        <v>2.1</v>
      </c>
      <c r="L345" t="s">
        <v>47</v>
      </c>
      <c r="M345" t="s">
        <v>1916</v>
      </c>
      <c r="N345" t="s">
        <v>1887</v>
      </c>
    </row>
    <row r="346" spans="1:14" x14ac:dyDescent="0.35">
      <c r="A346" t="s">
        <v>2270</v>
      </c>
      <c r="B346" t="s">
        <v>1914</v>
      </c>
      <c r="C346" t="s">
        <v>477</v>
      </c>
      <c r="D346" t="s">
        <v>1883</v>
      </c>
      <c r="E346" t="s">
        <v>1884</v>
      </c>
      <c r="F346" t="s">
        <v>1900</v>
      </c>
      <c r="G346">
        <v>11209</v>
      </c>
      <c r="H346" s="1">
        <v>45279</v>
      </c>
      <c r="I346" s="1">
        <v>45327</v>
      </c>
      <c r="J346">
        <v>48</v>
      </c>
      <c r="K346">
        <v>10.9</v>
      </c>
      <c r="L346" t="s">
        <v>30</v>
      </c>
      <c r="M346" t="s">
        <v>1886</v>
      </c>
      <c r="N346" t="s">
        <v>1887</v>
      </c>
    </row>
    <row r="347" spans="1:14" x14ac:dyDescent="0.35">
      <c r="A347" t="s">
        <v>2271</v>
      </c>
      <c r="B347" t="s">
        <v>1920</v>
      </c>
      <c r="C347" t="s">
        <v>424</v>
      </c>
      <c r="D347" t="s">
        <v>1883</v>
      </c>
      <c r="E347" t="s">
        <v>1678</v>
      </c>
      <c r="F347" t="s">
        <v>1895</v>
      </c>
      <c r="G347">
        <v>286742</v>
      </c>
      <c r="H347" s="1">
        <v>45216</v>
      </c>
      <c r="I347" s="1"/>
      <c r="L347" t="s">
        <v>30</v>
      </c>
      <c r="M347" t="s">
        <v>1886</v>
      </c>
      <c r="N347" t="s">
        <v>1887</v>
      </c>
    </row>
    <row r="348" spans="1:14" x14ac:dyDescent="0.35">
      <c r="A348" t="s">
        <v>2272</v>
      </c>
      <c r="B348" t="s">
        <v>1944</v>
      </c>
      <c r="C348" t="s">
        <v>178</v>
      </c>
      <c r="D348" t="s">
        <v>1904</v>
      </c>
      <c r="E348" t="s">
        <v>1891</v>
      </c>
      <c r="F348" t="s">
        <v>1885</v>
      </c>
      <c r="G348">
        <v>255523</v>
      </c>
      <c r="H348" s="1">
        <v>45271</v>
      </c>
      <c r="I348" s="1">
        <v>45388</v>
      </c>
      <c r="J348">
        <v>117</v>
      </c>
      <c r="L348" t="s">
        <v>30</v>
      </c>
      <c r="M348" t="s">
        <v>1886</v>
      </c>
      <c r="N348" t="s">
        <v>1887</v>
      </c>
    </row>
    <row r="349" spans="1:14" x14ac:dyDescent="0.35">
      <c r="A349" t="s">
        <v>2273</v>
      </c>
      <c r="B349" t="s">
        <v>1934</v>
      </c>
      <c r="C349" t="s">
        <v>218</v>
      </c>
      <c r="D349" t="s">
        <v>1904</v>
      </c>
      <c r="E349" t="s">
        <v>1587</v>
      </c>
      <c r="F349" t="s">
        <v>1900</v>
      </c>
      <c r="G349">
        <v>269509</v>
      </c>
      <c r="H349" s="1">
        <v>45266</v>
      </c>
      <c r="I349" s="1">
        <v>45303</v>
      </c>
      <c r="J349">
        <v>37</v>
      </c>
      <c r="K349">
        <v>10.1</v>
      </c>
      <c r="L349" t="s">
        <v>30</v>
      </c>
      <c r="M349" t="s">
        <v>1886</v>
      </c>
      <c r="N349" t="s">
        <v>1887</v>
      </c>
    </row>
    <row r="350" spans="1:14" x14ac:dyDescent="0.35">
      <c r="A350" t="s">
        <v>2274</v>
      </c>
      <c r="B350" t="s">
        <v>1914</v>
      </c>
      <c r="C350" t="s">
        <v>410</v>
      </c>
      <c r="D350" t="s">
        <v>1904</v>
      </c>
      <c r="E350" t="s">
        <v>1945</v>
      </c>
      <c r="F350" t="s">
        <v>1900</v>
      </c>
      <c r="G350">
        <v>11760</v>
      </c>
      <c r="H350" s="1">
        <v>45512</v>
      </c>
      <c r="I350" s="1">
        <v>45672</v>
      </c>
      <c r="J350">
        <v>160</v>
      </c>
      <c r="K350">
        <v>3</v>
      </c>
      <c r="L350" t="s">
        <v>47</v>
      </c>
      <c r="M350" t="s">
        <v>1953</v>
      </c>
      <c r="N350" t="s">
        <v>1887</v>
      </c>
    </row>
    <row r="351" spans="1:14" x14ac:dyDescent="0.35">
      <c r="A351" t="s">
        <v>2275</v>
      </c>
      <c r="B351" t="s">
        <v>1937</v>
      </c>
      <c r="C351" t="s">
        <v>291</v>
      </c>
      <c r="D351" t="s">
        <v>1927</v>
      </c>
      <c r="E351" t="s">
        <v>1884</v>
      </c>
      <c r="F351" t="s">
        <v>1900</v>
      </c>
      <c r="G351">
        <v>316965</v>
      </c>
      <c r="H351" s="1">
        <v>45092</v>
      </c>
      <c r="I351" s="1">
        <v>45258</v>
      </c>
      <c r="J351">
        <v>166</v>
      </c>
      <c r="K351">
        <v>8.6</v>
      </c>
      <c r="L351" t="s">
        <v>21</v>
      </c>
      <c r="M351" t="s">
        <v>1893</v>
      </c>
      <c r="N351" t="s">
        <v>1887</v>
      </c>
    </row>
    <row r="352" spans="1:14" x14ac:dyDescent="0.35">
      <c r="A352" t="s">
        <v>2276</v>
      </c>
      <c r="B352" t="s">
        <v>1882</v>
      </c>
      <c r="C352" t="s">
        <v>110</v>
      </c>
      <c r="D352" t="s">
        <v>1890</v>
      </c>
      <c r="E352" t="s">
        <v>1931</v>
      </c>
      <c r="F352" t="s">
        <v>1900</v>
      </c>
      <c r="G352">
        <v>203451</v>
      </c>
      <c r="H352" s="1">
        <v>45150</v>
      </c>
      <c r="I352" s="1">
        <v>45270</v>
      </c>
      <c r="J352">
        <v>120</v>
      </c>
      <c r="K352">
        <v>15</v>
      </c>
      <c r="L352" t="s">
        <v>47</v>
      </c>
      <c r="M352" t="s">
        <v>1932</v>
      </c>
      <c r="N352" t="s">
        <v>1887</v>
      </c>
    </row>
    <row r="353" spans="1:14" x14ac:dyDescent="0.35">
      <c r="A353" t="s">
        <v>2277</v>
      </c>
      <c r="B353" t="s">
        <v>1922</v>
      </c>
      <c r="C353" t="s">
        <v>291</v>
      </c>
      <c r="D353" t="s">
        <v>1915</v>
      </c>
      <c r="E353" t="s">
        <v>1905</v>
      </c>
      <c r="F353" t="s">
        <v>1892</v>
      </c>
      <c r="G353">
        <v>303743</v>
      </c>
      <c r="H353" s="1">
        <v>45018</v>
      </c>
      <c r="I353" s="1"/>
      <c r="K353">
        <v>5.0999999999999996</v>
      </c>
      <c r="L353" t="s">
        <v>15</v>
      </c>
      <c r="M353" t="s">
        <v>1893</v>
      </c>
      <c r="N353" t="s">
        <v>1887</v>
      </c>
    </row>
    <row r="354" spans="1:14" x14ac:dyDescent="0.35">
      <c r="A354" t="s">
        <v>2278</v>
      </c>
      <c r="B354" t="s">
        <v>1922</v>
      </c>
      <c r="C354" t="s">
        <v>175</v>
      </c>
      <c r="D354" t="s">
        <v>1927</v>
      </c>
      <c r="E354" t="s">
        <v>1587</v>
      </c>
      <c r="F354" t="s">
        <v>1900</v>
      </c>
      <c r="G354">
        <v>213943</v>
      </c>
      <c r="H354" s="1">
        <v>45016</v>
      </c>
      <c r="I354" s="1">
        <v>45172</v>
      </c>
      <c r="J354">
        <v>156</v>
      </c>
      <c r="K354">
        <v>13.6</v>
      </c>
      <c r="L354" t="s">
        <v>21</v>
      </c>
      <c r="M354" t="s">
        <v>1896</v>
      </c>
      <c r="N354" t="s">
        <v>1887</v>
      </c>
    </row>
    <row r="355" spans="1:14" x14ac:dyDescent="0.35">
      <c r="A355" t="s">
        <v>2279</v>
      </c>
      <c r="B355" t="s">
        <v>1920</v>
      </c>
      <c r="C355" t="s">
        <v>492</v>
      </c>
      <c r="D355" t="s">
        <v>1904</v>
      </c>
      <c r="E355" t="s">
        <v>1891</v>
      </c>
      <c r="F355" t="s">
        <v>1900</v>
      </c>
      <c r="G355">
        <v>104328</v>
      </c>
      <c r="H355" s="1">
        <v>44937</v>
      </c>
      <c r="I355" s="1">
        <v>44954</v>
      </c>
      <c r="J355">
        <v>17</v>
      </c>
      <c r="K355">
        <v>0.3</v>
      </c>
      <c r="L355" t="s">
        <v>47</v>
      </c>
      <c r="M355" t="s">
        <v>1896</v>
      </c>
      <c r="N355" t="s">
        <v>1887</v>
      </c>
    </row>
    <row r="356" spans="1:14" x14ac:dyDescent="0.35">
      <c r="A356" t="s">
        <v>2280</v>
      </c>
      <c r="B356" t="s">
        <v>1926</v>
      </c>
      <c r="C356" t="s">
        <v>250</v>
      </c>
      <c r="D356" t="s">
        <v>1927</v>
      </c>
      <c r="E356" t="s">
        <v>1600</v>
      </c>
      <c r="F356" t="s">
        <v>1946</v>
      </c>
      <c r="G356">
        <v>161239</v>
      </c>
      <c r="H356" s="1">
        <v>44973</v>
      </c>
      <c r="I356" s="1"/>
      <c r="L356" t="s">
        <v>47</v>
      </c>
      <c r="M356" t="s">
        <v>1896</v>
      </c>
      <c r="N356" t="s">
        <v>1887</v>
      </c>
    </row>
    <row r="357" spans="1:14" x14ac:dyDescent="0.35">
      <c r="A357" t="s">
        <v>2281</v>
      </c>
      <c r="B357" t="s">
        <v>1926</v>
      </c>
      <c r="C357" t="s">
        <v>342</v>
      </c>
      <c r="D357" t="s">
        <v>1883</v>
      </c>
      <c r="E357" t="s">
        <v>1884</v>
      </c>
      <c r="F357" t="s">
        <v>1900</v>
      </c>
      <c r="G357">
        <v>212754</v>
      </c>
      <c r="H357" s="1">
        <v>45654</v>
      </c>
      <c r="I357" s="1">
        <v>45830</v>
      </c>
      <c r="J357">
        <v>176</v>
      </c>
      <c r="K357">
        <v>2.9</v>
      </c>
      <c r="L357" t="s">
        <v>21</v>
      </c>
      <c r="M357" t="s">
        <v>1901</v>
      </c>
      <c r="N357" t="s">
        <v>1887</v>
      </c>
    </row>
    <row r="358" spans="1:14" x14ac:dyDescent="0.35">
      <c r="A358" t="s">
        <v>2282</v>
      </c>
      <c r="B358" t="s">
        <v>1911</v>
      </c>
      <c r="C358" t="s">
        <v>120</v>
      </c>
      <c r="D358" t="s">
        <v>1883</v>
      </c>
      <c r="E358" t="s">
        <v>1884</v>
      </c>
      <c r="F358" t="s">
        <v>1885</v>
      </c>
      <c r="G358">
        <v>844566</v>
      </c>
      <c r="H358" s="1">
        <v>45297</v>
      </c>
      <c r="I358" s="1">
        <v>45384</v>
      </c>
      <c r="J358">
        <v>87</v>
      </c>
      <c r="L358" t="s">
        <v>47</v>
      </c>
      <c r="M358" t="s">
        <v>1916</v>
      </c>
      <c r="N358" t="s">
        <v>1887</v>
      </c>
    </row>
    <row r="359" spans="1:14" x14ac:dyDescent="0.35">
      <c r="A359" t="s">
        <v>2283</v>
      </c>
      <c r="B359" t="s">
        <v>1911</v>
      </c>
      <c r="C359" t="s">
        <v>355</v>
      </c>
      <c r="D359" t="s">
        <v>1899</v>
      </c>
      <c r="E359" t="s">
        <v>1918</v>
      </c>
      <c r="F359" t="s">
        <v>1892</v>
      </c>
      <c r="G359">
        <v>371462</v>
      </c>
      <c r="H359" s="1">
        <v>45440</v>
      </c>
      <c r="I359" s="1"/>
      <c r="K359">
        <v>8.5</v>
      </c>
      <c r="L359" t="s">
        <v>21</v>
      </c>
      <c r="M359" t="s">
        <v>1935</v>
      </c>
      <c r="N359" t="s">
        <v>1887</v>
      </c>
    </row>
    <row r="360" spans="1:14" x14ac:dyDescent="0.35">
      <c r="A360" t="s">
        <v>2284</v>
      </c>
      <c r="B360" t="s">
        <v>1922</v>
      </c>
      <c r="C360" t="s">
        <v>66</v>
      </c>
      <c r="D360" t="s">
        <v>1915</v>
      </c>
      <c r="E360" t="s">
        <v>1918</v>
      </c>
      <c r="F360" t="s">
        <v>1892</v>
      </c>
      <c r="G360">
        <v>127411</v>
      </c>
      <c r="H360" s="1">
        <v>45269</v>
      </c>
      <c r="I360" s="1"/>
      <c r="K360">
        <v>4.5999999999999996</v>
      </c>
      <c r="L360" t="s">
        <v>21</v>
      </c>
      <c r="M360" t="s">
        <v>1886</v>
      </c>
      <c r="N360" t="s">
        <v>1887</v>
      </c>
    </row>
    <row r="361" spans="1:14" x14ac:dyDescent="0.35">
      <c r="A361" t="s">
        <v>2285</v>
      </c>
      <c r="B361" t="s">
        <v>1903</v>
      </c>
      <c r="C361" t="s">
        <v>269</v>
      </c>
      <c r="D361" t="s">
        <v>1904</v>
      </c>
      <c r="E361" t="s">
        <v>1891</v>
      </c>
      <c r="F361" t="s">
        <v>1900</v>
      </c>
      <c r="G361">
        <v>388150</v>
      </c>
      <c r="H361" s="1">
        <v>44974</v>
      </c>
      <c r="I361" s="1">
        <v>45088</v>
      </c>
      <c r="J361">
        <v>114</v>
      </c>
      <c r="K361">
        <v>22.7</v>
      </c>
      <c r="L361" t="s">
        <v>30</v>
      </c>
      <c r="M361" t="s">
        <v>1896</v>
      </c>
      <c r="N361" t="s">
        <v>1887</v>
      </c>
    </row>
    <row r="362" spans="1:14" x14ac:dyDescent="0.35">
      <c r="A362" t="s">
        <v>2286</v>
      </c>
      <c r="B362" t="s">
        <v>1914</v>
      </c>
      <c r="C362" t="s">
        <v>208</v>
      </c>
      <c r="D362" t="s">
        <v>1915</v>
      </c>
      <c r="E362" t="s">
        <v>1905</v>
      </c>
      <c r="F362" t="s">
        <v>1895</v>
      </c>
      <c r="G362">
        <v>16614</v>
      </c>
      <c r="H362" s="1">
        <v>44989</v>
      </c>
      <c r="I362" s="1"/>
      <c r="L362" t="s">
        <v>30</v>
      </c>
      <c r="M362" t="s">
        <v>1896</v>
      </c>
      <c r="N362" t="s">
        <v>1887</v>
      </c>
    </row>
    <row r="363" spans="1:14" x14ac:dyDescent="0.35">
      <c r="A363" t="s">
        <v>2287</v>
      </c>
      <c r="B363" t="s">
        <v>1920</v>
      </c>
      <c r="C363" t="s">
        <v>261</v>
      </c>
      <c r="D363" t="s">
        <v>1899</v>
      </c>
      <c r="E363" t="s">
        <v>1945</v>
      </c>
      <c r="F363" t="s">
        <v>1895</v>
      </c>
      <c r="G363">
        <v>120355</v>
      </c>
      <c r="H363" s="1">
        <v>45533</v>
      </c>
      <c r="I363" s="1"/>
      <c r="K363">
        <v>4</v>
      </c>
      <c r="L363" t="s">
        <v>21</v>
      </c>
      <c r="M363" t="s">
        <v>1953</v>
      </c>
      <c r="N363" t="s">
        <v>1887</v>
      </c>
    </row>
    <row r="364" spans="1:14" x14ac:dyDescent="0.35">
      <c r="A364" t="s">
        <v>2288</v>
      </c>
      <c r="B364" t="s">
        <v>1937</v>
      </c>
      <c r="C364" t="s">
        <v>483</v>
      </c>
      <c r="D364" t="s">
        <v>1883</v>
      </c>
      <c r="E364" t="s">
        <v>1918</v>
      </c>
      <c r="F364" t="s">
        <v>1892</v>
      </c>
      <c r="G364">
        <v>56550</v>
      </c>
      <c r="H364" s="1">
        <v>45570</v>
      </c>
      <c r="I364" s="1"/>
      <c r="L364" t="s">
        <v>47</v>
      </c>
      <c r="M364" t="s">
        <v>1901</v>
      </c>
      <c r="N364" t="s">
        <v>1887</v>
      </c>
    </row>
    <row r="365" spans="1:14" x14ac:dyDescent="0.35">
      <c r="A365" t="s">
        <v>2289</v>
      </c>
      <c r="B365" t="s">
        <v>1930</v>
      </c>
      <c r="C365" t="s">
        <v>222</v>
      </c>
      <c r="D365" t="s">
        <v>1915</v>
      </c>
      <c r="E365" t="s">
        <v>1931</v>
      </c>
      <c r="F365" t="s">
        <v>1946</v>
      </c>
      <c r="G365">
        <v>252937</v>
      </c>
      <c r="H365" s="1">
        <v>45638</v>
      </c>
      <c r="I365" s="1"/>
      <c r="L365" t="s">
        <v>30</v>
      </c>
      <c r="M365" t="s">
        <v>1901</v>
      </c>
      <c r="N365" t="s">
        <v>1887</v>
      </c>
    </row>
    <row r="366" spans="1:14" x14ac:dyDescent="0.35">
      <c r="A366" t="s">
        <v>2290</v>
      </c>
      <c r="B366" t="s">
        <v>1889</v>
      </c>
      <c r="C366" t="s">
        <v>413</v>
      </c>
      <c r="D366" t="s">
        <v>1915</v>
      </c>
      <c r="E366" t="s">
        <v>1891</v>
      </c>
      <c r="F366" t="s">
        <v>1895</v>
      </c>
      <c r="G366">
        <v>219576</v>
      </c>
      <c r="H366" s="1">
        <v>45205</v>
      </c>
      <c r="I366" s="1"/>
      <c r="K366">
        <v>3.4</v>
      </c>
      <c r="L366" t="s">
        <v>21</v>
      </c>
      <c r="M366" t="s">
        <v>1886</v>
      </c>
      <c r="N366" t="s">
        <v>1887</v>
      </c>
    </row>
    <row r="367" spans="1:14" x14ac:dyDescent="0.35">
      <c r="A367" t="s">
        <v>2291</v>
      </c>
      <c r="B367" t="s">
        <v>1898</v>
      </c>
      <c r="C367" t="s">
        <v>128</v>
      </c>
      <c r="D367" t="s">
        <v>1915</v>
      </c>
      <c r="E367" t="s">
        <v>1600</v>
      </c>
      <c r="F367" t="s">
        <v>1895</v>
      </c>
      <c r="G367">
        <v>442318</v>
      </c>
      <c r="H367" s="1">
        <v>45179</v>
      </c>
      <c r="I367" s="1"/>
      <c r="K367">
        <v>7.9</v>
      </c>
      <c r="L367" t="s">
        <v>30</v>
      </c>
      <c r="M367" t="s">
        <v>1932</v>
      </c>
      <c r="N367" t="s">
        <v>1887</v>
      </c>
    </row>
    <row r="368" spans="1:14" x14ac:dyDescent="0.35">
      <c r="A368" t="s">
        <v>2292</v>
      </c>
      <c r="B368" t="s">
        <v>1907</v>
      </c>
      <c r="C368" t="s">
        <v>71</v>
      </c>
      <c r="D368" t="s">
        <v>1904</v>
      </c>
      <c r="E368" t="s">
        <v>1918</v>
      </c>
      <c r="F368" t="s">
        <v>1900</v>
      </c>
      <c r="G368">
        <v>317426</v>
      </c>
      <c r="H368" s="1">
        <v>44973</v>
      </c>
      <c r="I368" s="1">
        <v>45065</v>
      </c>
      <c r="J368">
        <v>92</v>
      </c>
      <c r="K368">
        <v>23.4</v>
      </c>
      <c r="L368" t="s">
        <v>21</v>
      </c>
      <c r="M368" t="s">
        <v>1896</v>
      </c>
      <c r="N368" t="s">
        <v>1887</v>
      </c>
    </row>
    <row r="369" spans="1:14" x14ac:dyDescent="0.35">
      <c r="A369" t="s">
        <v>2293</v>
      </c>
      <c r="B369" t="s">
        <v>1934</v>
      </c>
      <c r="C369" t="s">
        <v>319</v>
      </c>
      <c r="D369" t="s">
        <v>1904</v>
      </c>
      <c r="E369" t="s">
        <v>1600</v>
      </c>
      <c r="F369" t="s">
        <v>1908</v>
      </c>
      <c r="G369">
        <v>213136</v>
      </c>
      <c r="H369" s="1">
        <v>45687</v>
      </c>
      <c r="I369" s="1"/>
      <c r="L369" t="s">
        <v>21</v>
      </c>
      <c r="M369" t="s">
        <v>1912</v>
      </c>
      <c r="N369" t="s">
        <v>1887</v>
      </c>
    </row>
    <row r="370" spans="1:14" x14ac:dyDescent="0.35">
      <c r="A370" t="s">
        <v>2294</v>
      </c>
      <c r="B370" t="s">
        <v>1922</v>
      </c>
      <c r="C370" t="s">
        <v>389</v>
      </c>
      <c r="D370" t="s">
        <v>1890</v>
      </c>
      <c r="E370" t="s">
        <v>1678</v>
      </c>
      <c r="F370" t="s">
        <v>1885</v>
      </c>
      <c r="G370">
        <v>278128</v>
      </c>
      <c r="H370" s="1">
        <v>45713</v>
      </c>
      <c r="I370" s="1">
        <v>45844</v>
      </c>
      <c r="J370">
        <v>131</v>
      </c>
      <c r="K370">
        <v>3.8</v>
      </c>
      <c r="L370" t="s">
        <v>15</v>
      </c>
      <c r="M370" t="s">
        <v>1912</v>
      </c>
      <c r="N370" t="s">
        <v>1887</v>
      </c>
    </row>
    <row r="371" spans="1:14" x14ac:dyDescent="0.35">
      <c r="A371" t="s">
        <v>2295</v>
      </c>
      <c r="B371" t="s">
        <v>1882</v>
      </c>
      <c r="C371" t="s">
        <v>219</v>
      </c>
      <c r="D371" t="s">
        <v>1899</v>
      </c>
      <c r="E371" t="s">
        <v>1587</v>
      </c>
      <c r="F371" t="s">
        <v>1900</v>
      </c>
      <c r="G371">
        <v>341107</v>
      </c>
      <c r="H371" s="1">
        <v>45278</v>
      </c>
      <c r="I371" s="1">
        <v>45450</v>
      </c>
      <c r="J371">
        <v>172</v>
      </c>
      <c r="K371">
        <v>0.1</v>
      </c>
      <c r="L371" t="s">
        <v>30</v>
      </c>
      <c r="M371" t="s">
        <v>1886</v>
      </c>
      <c r="N371" t="s">
        <v>1887</v>
      </c>
    </row>
    <row r="372" spans="1:14" x14ac:dyDescent="0.35">
      <c r="A372" t="s">
        <v>2296</v>
      </c>
      <c r="B372" t="s">
        <v>1963</v>
      </c>
      <c r="C372" t="s">
        <v>284</v>
      </c>
      <c r="D372" t="s">
        <v>1927</v>
      </c>
      <c r="E372" t="s">
        <v>1678</v>
      </c>
      <c r="F372" t="s">
        <v>1946</v>
      </c>
      <c r="G372">
        <v>70282</v>
      </c>
      <c r="H372" s="1">
        <v>45047</v>
      </c>
      <c r="I372" s="1"/>
      <c r="K372">
        <v>7.5</v>
      </c>
      <c r="L372" t="s">
        <v>47</v>
      </c>
      <c r="M372" t="s">
        <v>1893</v>
      </c>
      <c r="N372" t="s">
        <v>1887</v>
      </c>
    </row>
    <row r="373" spans="1:14" x14ac:dyDescent="0.35">
      <c r="A373" t="s">
        <v>2297</v>
      </c>
      <c r="B373" t="s">
        <v>1937</v>
      </c>
      <c r="C373" t="s">
        <v>446</v>
      </c>
      <c r="D373" t="s">
        <v>1883</v>
      </c>
      <c r="E373" t="s">
        <v>1918</v>
      </c>
      <c r="F373" t="s">
        <v>1900</v>
      </c>
      <c r="G373">
        <v>159822</v>
      </c>
      <c r="H373" s="1">
        <v>44943</v>
      </c>
      <c r="I373" s="1">
        <v>45073</v>
      </c>
      <c r="J373">
        <v>130</v>
      </c>
      <c r="K373">
        <v>14.6</v>
      </c>
      <c r="L373" t="s">
        <v>15</v>
      </c>
      <c r="M373" t="s">
        <v>1896</v>
      </c>
      <c r="N373" t="s">
        <v>1887</v>
      </c>
    </row>
    <row r="374" spans="1:14" x14ac:dyDescent="0.35">
      <c r="A374" t="s">
        <v>2298</v>
      </c>
      <c r="B374" t="s">
        <v>1889</v>
      </c>
      <c r="C374" t="s">
        <v>470</v>
      </c>
      <c r="D374" t="s">
        <v>1883</v>
      </c>
      <c r="E374" t="s">
        <v>1884</v>
      </c>
      <c r="F374" t="s">
        <v>1908</v>
      </c>
      <c r="G374">
        <v>328151</v>
      </c>
      <c r="H374" s="1">
        <v>45370</v>
      </c>
      <c r="I374" s="1"/>
      <c r="K374">
        <v>6.5</v>
      </c>
      <c r="L374" t="s">
        <v>30</v>
      </c>
      <c r="M374" t="s">
        <v>1916</v>
      </c>
      <c r="N374" t="s">
        <v>1887</v>
      </c>
    </row>
    <row r="375" spans="1:14" x14ac:dyDescent="0.35">
      <c r="A375" t="s">
        <v>2299</v>
      </c>
      <c r="B375" t="s">
        <v>1944</v>
      </c>
      <c r="C375" t="s">
        <v>247</v>
      </c>
      <c r="D375" t="s">
        <v>1904</v>
      </c>
      <c r="E375" t="s">
        <v>1678</v>
      </c>
      <c r="F375" t="s">
        <v>1900</v>
      </c>
      <c r="G375">
        <v>128341</v>
      </c>
      <c r="H375" s="1">
        <v>45343</v>
      </c>
      <c r="I375" s="1">
        <v>45366</v>
      </c>
      <c r="J375">
        <v>23</v>
      </c>
      <c r="K375">
        <v>23.9</v>
      </c>
      <c r="L375" t="s">
        <v>30</v>
      </c>
      <c r="M375" t="s">
        <v>1916</v>
      </c>
      <c r="N375" t="s">
        <v>1887</v>
      </c>
    </row>
    <row r="376" spans="1:14" x14ac:dyDescent="0.35">
      <c r="A376" t="s">
        <v>2300</v>
      </c>
      <c r="B376" t="s">
        <v>1889</v>
      </c>
      <c r="C376" t="s">
        <v>92</v>
      </c>
      <c r="D376" t="s">
        <v>1915</v>
      </c>
      <c r="E376" t="s">
        <v>1891</v>
      </c>
      <c r="F376" t="s">
        <v>1895</v>
      </c>
      <c r="G376">
        <v>201122</v>
      </c>
      <c r="H376" s="1">
        <v>45173</v>
      </c>
      <c r="I376" s="1"/>
      <c r="K376">
        <v>11.9</v>
      </c>
      <c r="L376" t="s">
        <v>21</v>
      </c>
      <c r="M376" t="s">
        <v>1932</v>
      </c>
      <c r="N376" t="s">
        <v>1887</v>
      </c>
    </row>
    <row r="377" spans="1:14" x14ac:dyDescent="0.35">
      <c r="A377" t="s">
        <v>2301</v>
      </c>
      <c r="B377" t="s">
        <v>1934</v>
      </c>
      <c r="C377" t="s">
        <v>57</v>
      </c>
      <c r="D377" t="s">
        <v>1890</v>
      </c>
      <c r="E377" t="s">
        <v>1600</v>
      </c>
      <c r="F377" t="s">
        <v>1885</v>
      </c>
      <c r="G377">
        <v>280537</v>
      </c>
      <c r="H377" s="1">
        <v>45316</v>
      </c>
      <c r="I377" s="1">
        <v>45342</v>
      </c>
      <c r="J377">
        <v>26</v>
      </c>
      <c r="K377">
        <v>0.4</v>
      </c>
      <c r="L377" t="s">
        <v>15</v>
      </c>
      <c r="M377" t="s">
        <v>1916</v>
      </c>
      <c r="N377" t="s">
        <v>1887</v>
      </c>
    </row>
    <row r="378" spans="1:14" x14ac:dyDescent="0.35">
      <c r="A378" t="s">
        <v>2302</v>
      </c>
      <c r="B378" t="s">
        <v>1924</v>
      </c>
      <c r="C378" t="s">
        <v>334</v>
      </c>
      <c r="D378" t="s">
        <v>1890</v>
      </c>
      <c r="E378" t="s">
        <v>1931</v>
      </c>
      <c r="F378" t="s">
        <v>1946</v>
      </c>
      <c r="G378">
        <v>476399</v>
      </c>
      <c r="H378" s="1">
        <v>45531</v>
      </c>
      <c r="I378" s="1"/>
      <c r="K378">
        <v>9.1999999999999993</v>
      </c>
      <c r="L378" t="s">
        <v>30</v>
      </c>
      <c r="M378" t="s">
        <v>1953</v>
      </c>
      <c r="N378" t="s">
        <v>1887</v>
      </c>
    </row>
    <row r="379" spans="1:14" x14ac:dyDescent="0.35">
      <c r="A379" t="s">
        <v>2303</v>
      </c>
      <c r="B379" t="s">
        <v>1911</v>
      </c>
      <c r="C379" t="s">
        <v>214</v>
      </c>
      <c r="D379" t="s">
        <v>1927</v>
      </c>
      <c r="E379" t="s">
        <v>1905</v>
      </c>
      <c r="F379" t="s">
        <v>1900</v>
      </c>
      <c r="G379">
        <v>148918</v>
      </c>
      <c r="H379" s="1">
        <v>45718</v>
      </c>
      <c r="I379" s="1">
        <v>45828</v>
      </c>
      <c r="J379">
        <v>110</v>
      </c>
      <c r="K379">
        <v>17.100000000000001</v>
      </c>
      <c r="L379" t="s">
        <v>15</v>
      </c>
      <c r="M379" t="s">
        <v>1912</v>
      </c>
      <c r="N379" t="s">
        <v>1887</v>
      </c>
    </row>
    <row r="380" spans="1:14" x14ac:dyDescent="0.35">
      <c r="A380" t="s">
        <v>2304</v>
      </c>
      <c r="B380" t="s">
        <v>1930</v>
      </c>
      <c r="C380" t="s">
        <v>451</v>
      </c>
      <c r="D380" t="s">
        <v>1899</v>
      </c>
      <c r="E380" t="s">
        <v>1678</v>
      </c>
      <c r="F380" t="s">
        <v>1900</v>
      </c>
      <c r="G380">
        <v>183921</v>
      </c>
      <c r="H380" s="1">
        <v>45603</v>
      </c>
      <c r="I380" s="1">
        <v>45656</v>
      </c>
      <c r="J380">
        <v>53</v>
      </c>
      <c r="K380">
        <v>4.2</v>
      </c>
      <c r="L380" t="s">
        <v>15</v>
      </c>
      <c r="M380" t="s">
        <v>1901</v>
      </c>
      <c r="N380" t="s">
        <v>1887</v>
      </c>
    </row>
    <row r="381" spans="1:14" x14ac:dyDescent="0.35">
      <c r="A381" t="s">
        <v>2305</v>
      </c>
      <c r="B381" t="s">
        <v>1903</v>
      </c>
      <c r="C381" t="s">
        <v>184</v>
      </c>
      <c r="D381" t="s">
        <v>1904</v>
      </c>
      <c r="E381" t="s">
        <v>1918</v>
      </c>
      <c r="F381" t="s">
        <v>1895</v>
      </c>
      <c r="G381">
        <v>430111</v>
      </c>
      <c r="H381" s="1">
        <v>44969</v>
      </c>
      <c r="I381" s="1"/>
      <c r="L381" t="s">
        <v>21</v>
      </c>
      <c r="M381" t="s">
        <v>1896</v>
      </c>
      <c r="N381" t="s">
        <v>1887</v>
      </c>
    </row>
    <row r="382" spans="1:14" x14ac:dyDescent="0.35">
      <c r="A382" t="s">
        <v>2306</v>
      </c>
      <c r="B382" t="s">
        <v>1903</v>
      </c>
      <c r="C382" t="s">
        <v>360</v>
      </c>
      <c r="D382" t="s">
        <v>1899</v>
      </c>
      <c r="E382" t="s">
        <v>1600</v>
      </c>
      <c r="F382" t="s">
        <v>1946</v>
      </c>
      <c r="G382">
        <v>380531</v>
      </c>
      <c r="H382" s="1">
        <v>45146</v>
      </c>
      <c r="I382" s="1"/>
      <c r="K382">
        <v>10.5</v>
      </c>
      <c r="L382" t="s">
        <v>47</v>
      </c>
      <c r="M382" t="s">
        <v>1932</v>
      </c>
      <c r="N382" t="s">
        <v>1887</v>
      </c>
    </row>
    <row r="383" spans="1:14" x14ac:dyDescent="0.35">
      <c r="A383" t="s">
        <v>2307</v>
      </c>
      <c r="B383" t="s">
        <v>1924</v>
      </c>
      <c r="C383" t="s">
        <v>337</v>
      </c>
      <c r="D383" t="s">
        <v>1915</v>
      </c>
      <c r="E383" t="s">
        <v>1905</v>
      </c>
      <c r="F383" t="s">
        <v>1946</v>
      </c>
      <c r="G383">
        <v>35853</v>
      </c>
      <c r="H383" s="1">
        <v>45195</v>
      </c>
      <c r="I383" s="1"/>
      <c r="K383">
        <v>1.3</v>
      </c>
      <c r="L383" t="s">
        <v>15</v>
      </c>
      <c r="M383" t="s">
        <v>1932</v>
      </c>
      <c r="N383" t="s">
        <v>1887</v>
      </c>
    </row>
    <row r="384" spans="1:14" x14ac:dyDescent="0.35">
      <c r="A384" t="s">
        <v>2308</v>
      </c>
      <c r="B384" t="s">
        <v>1934</v>
      </c>
      <c r="C384" t="s">
        <v>372</v>
      </c>
      <c r="D384" t="s">
        <v>1904</v>
      </c>
      <c r="E384" t="s">
        <v>1884</v>
      </c>
      <c r="F384" t="s">
        <v>1946</v>
      </c>
      <c r="G384">
        <v>482655</v>
      </c>
      <c r="H384" s="1">
        <v>45032</v>
      </c>
      <c r="I384" s="1"/>
      <c r="L384" t="s">
        <v>47</v>
      </c>
      <c r="M384" t="s">
        <v>1893</v>
      </c>
      <c r="N384" t="s">
        <v>1887</v>
      </c>
    </row>
    <row r="385" spans="1:14" x14ac:dyDescent="0.35">
      <c r="A385" t="s">
        <v>2309</v>
      </c>
      <c r="B385" t="s">
        <v>1911</v>
      </c>
      <c r="C385" t="s">
        <v>97</v>
      </c>
      <c r="D385" t="s">
        <v>1883</v>
      </c>
      <c r="E385" t="s">
        <v>1587</v>
      </c>
      <c r="F385" t="s">
        <v>1946</v>
      </c>
      <c r="G385">
        <v>278783</v>
      </c>
      <c r="H385" s="1">
        <v>45514</v>
      </c>
      <c r="I385" s="1"/>
      <c r="K385">
        <v>11</v>
      </c>
      <c r="L385" t="s">
        <v>21</v>
      </c>
      <c r="M385" t="s">
        <v>1953</v>
      </c>
      <c r="N385" t="s">
        <v>1887</v>
      </c>
    </row>
    <row r="386" spans="1:14" x14ac:dyDescent="0.35">
      <c r="A386" t="s">
        <v>2310</v>
      </c>
      <c r="B386" t="s">
        <v>1882</v>
      </c>
      <c r="C386" t="s">
        <v>410</v>
      </c>
      <c r="D386" t="s">
        <v>1883</v>
      </c>
      <c r="E386" t="s">
        <v>1884</v>
      </c>
      <c r="F386" t="s">
        <v>1946</v>
      </c>
      <c r="G386">
        <v>292000</v>
      </c>
      <c r="H386" s="1">
        <v>45640</v>
      </c>
      <c r="I386" s="1"/>
      <c r="L386" t="s">
        <v>47</v>
      </c>
      <c r="M386" t="s">
        <v>1901</v>
      </c>
      <c r="N386" t="s">
        <v>1887</v>
      </c>
    </row>
    <row r="387" spans="1:14" x14ac:dyDescent="0.35">
      <c r="A387" t="s">
        <v>2311</v>
      </c>
      <c r="B387" t="s">
        <v>1926</v>
      </c>
      <c r="C387" t="s">
        <v>86</v>
      </c>
      <c r="D387" t="s">
        <v>1904</v>
      </c>
      <c r="E387" t="s">
        <v>1931</v>
      </c>
      <c r="F387" t="s">
        <v>1892</v>
      </c>
      <c r="G387">
        <v>184544</v>
      </c>
      <c r="H387" s="1">
        <v>45056</v>
      </c>
      <c r="I387" s="1"/>
      <c r="K387">
        <v>11.8</v>
      </c>
      <c r="L387" t="s">
        <v>47</v>
      </c>
      <c r="M387" t="s">
        <v>1893</v>
      </c>
      <c r="N387" t="s">
        <v>1887</v>
      </c>
    </row>
    <row r="388" spans="1:14" x14ac:dyDescent="0.35">
      <c r="A388" t="s">
        <v>2312</v>
      </c>
      <c r="B388" t="s">
        <v>1898</v>
      </c>
      <c r="C388" t="s">
        <v>324</v>
      </c>
      <c r="D388" t="s">
        <v>1915</v>
      </c>
      <c r="E388" t="s">
        <v>1678</v>
      </c>
      <c r="F388" t="s">
        <v>1946</v>
      </c>
      <c r="G388">
        <v>411571</v>
      </c>
      <c r="H388" s="1">
        <v>44939</v>
      </c>
      <c r="I388" s="1"/>
      <c r="K388">
        <v>5.9</v>
      </c>
      <c r="L388" t="s">
        <v>15</v>
      </c>
      <c r="M388" t="s">
        <v>1896</v>
      </c>
      <c r="N388" t="s">
        <v>1887</v>
      </c>
    </row>
    <row r="389" spans="1:14" x14ac:dyDescent="0.35">
      <c r="A389" t="s">
        <v>2313</v>
      </c>
      <c r="B389" t="s">
        <v>1963</v>
      </c>
      <c r="C389" t="s">
        <v>62</v>
      </c>
      <c r="D389" t="s">
        <v>1927</v>
      </c>
      <c r="E389" t="s">
        <v>1678</v>
      </c>
      <c r="F389" t="s">
        <v>1908</v>
      </c>
      <c r="G389">
        <v>433966</v>
      </c>
      <c r="H389" s="1">
        <v>44954</v>
      </c>
      <c r="I389" s="1"/>
      <c r="K389">
        <v>0.1</v>
      </c>
      <c r="L389" t="s">
        <v>21</v>
      </c>
      <c r="M389" t="s">
        <v>1896</v>
      </c>
      <c r="N389" t="s">
        <v>1887</v>
      </c>
    </row>
    <row r="390" spans="1:14" x14ac:dyDescent="0.35">
      <c r="A390" t="s">
        <v>2314</v>
      </c>
      <c r="B390" t="s">
        <v>1911</v>
      </c>
      <c r="C390" t="s">
        <v>398</v>
      </c>
      <c r="D390" t="s">
        <v>1927</v>
      </c>
      <c r="E390" t="s">
        <v>1905</v>
      </c>
      <c r="F390" t="s">
        <v>1900</v>
      </c>
      <c r="G390">
        <v>385164</v>
      </c>
      <c r="H390" s="1">
        <v>44975</v>
      </c>
      <c r="I390" s="1">
        <v>45063</v>
      </c>
      <c r="J390">
        <v>88</v>
      </c>
      <c r="K390">
        <v>15</v>
      </c>
      <c r="L390" t="s">
        <v>30</v>
      </c>
      <c r="M390" t="s">
        <v>1896</v>
      </c>
      <c r="N390" t="s">
        <v>1887</v>
      </c>
    </row>
    <row r="391" spans="1:14" x14ac:dyDescent="0.35">
      <c r="A391" t="s">
        <v>2315</v>
      </c>
      <c r="B391" t="s">
        <v>1914</v>
      </c>
      <c r="C391" t="s">
        <v>368</v>
      </c>
      <c r="D391" t="s">
        <v>1890</v>
      </c>
      <c r="E391" t="s">
        <v>1905</v>
      </c>
      <c r="F391" t="s">
        <v>1895</v>
      </c>
      <c r="G391">
        <v>449693</v>
      </c>
      <c r="H391" s="1">
        <v>45470</v>
      </c>
      <c r="I391" s="1"/>
      <c r="K391">
        <v>1.2</v>
      </c>
      <c r="L391" t="s">
        <v>15</v>
      </c>
      <c r="M391" t="s">
        <v>1935</v>
      </c>
      <c r="N391" t="s">
        <v>1887</v>
      </c>
    </row>
    <row r="392" spans="1:14" x14ac:dyDescent="0.35">
      <c r="A392" t="s">
        <v>2316</v>
      </c>
      <c r="B392" t="s">
        <v>1926</v>
      </c>
      <c r="C392" t="s">
        <v>190</v>
      </c>
      <c r="D392" t="s">
        <v>1927</v>
      </c>
      <c r="E392" t="s">
        <v>1918</v>
      </c>
      <c r="F392" t="s">
        <v>1892</v>
      </c>
      <c r="G392">
        <v>246801</v>
      </c>
      <c r="H392" s="1">
        <v>45452</v>
      </c>
      <c r="I392" s="1"/>
      <c r="K392">
        <v>2.4</v>
      </c>
      <c r="L392" t="s">
        <v>15</v>
      </c>
      <c r="M392" t="s">
        <v>1935</v>
      </c>
      <c r="N392" t="s">
        <v>1887</v>
      </c>
    </row>
    <row r="393" spans="1:14" x14ac:dyDescent="0.35">
      <c r="A393" t="s">
        <v>2317</v>
      </c>
      <c r="B393" t="s">
        <v>1920</v>
      </c>
      <c r="C393" t="s">
        <v>305</v>
      </c>
      <c r="D393" t="s">
        <v>1899</v>
      </c>
      <c r="E393" t="s">
        <v>1884</v>
      </c>
      <c r="F393" t="s">
        <v>1908</v>
      </c>
      <c r="G393">
        <v>248356</v>
      </c>
      <c r="H393" s="1">
        <v>45044</v>
      </c>
      <c r="I393" s="1"/>
      <c r="K393">
        <v>2.9</v>
      </c>
      <c r="L393" t="s">
        <v>47</v>
      </c>
      <c r="M393" t="s">
        <v>1893</v>
      </c>
      <c r="N393" t="s">
        <v>1887</v>
      </c>
    </row>
    <row r="394" spans="1:14" x14ac:dyDescent="0.35">
      <c r="A394" t="s">
        <v>2318</v>
      </c>
      <c r="B394" t="s">
        <v>1903</v>
      </c>
      <c r="C394" t="s">
        <v>167</v>
      </c>
      <c r="D394" t="s">
        <v>1890</v>
      </c>
      <c r="E394" t="s">
        <v>1600</v>
      </c>
      <c r="F394" t="s">
        <v>1900</v>
      </c>
      <c r="G394">
        <v>312272</v>
      </c>
      <c r="H394" s="1">
        <v>45076</v>
      </c>
      <c r="I394" s="1">
        <v>45153</v>
      </c>
      <c r="J394">
        <v>77</v>
      </c>
      <c r="K394">
        <v>16.2</v>
      </c>
      <c r="L394" t="s">
        <v>15</v>
      </c>
      <c r="M394" t="s">
        <v>1893</v>
      </c>
      <c r="N394" t="s">
        <v>1887</v>
      </c>
    </row>
    <row r="395" spans="1:14" x14ac:dyDescent="0.35">
      <c r="A395" t="s">
        <v>2319</v>
      </c>
      <c r="B395" t="s">
        <v>1898</v>
      </c>
      <c r="C395" t="s">
        <v>406</v>
      </c>
      <c r="D395" t="s">
        <v>1904</v>
      </c>
      <c r="E395" t="s">
        <v>1600</v>
      </c>
      <c r="F395" t="s">
        <v>1895</v>
      </c>
      <c r="G395">
        <v>11749</v>
      </c>
      <c r="H395" s="1">
        <v>45269</v>
      </c>
      <c r="I395" s="1"/>
      <c r="K395">
        <v>11.4</v>
      </c>
      <c r="L395" t="s">
        <v>47</v>
      </c>
      <c r="M395" t="s">
        <v>1886</v>
      </c>
      <c r="N395" t="s">
        <v>1887</v>
      </c>
    </row>
    <row r="396" spans="1:14" x14ac:dyDescent="0.35">
      <c r="A396" t="s">
        <v>2320</v>
      </c>
      <c r="B396" t="s">
        <v>1924</v>
      </c>
      <c r="C396" t="s">
        <v>152</v>
      </c>
      <c r="D396" t="s">
        <v>1915</v>
      </c>
      <c r="E396" t="s">
        <v>1891</v>
      </c>
      <c r="F396" t="s">
        <v>1900</v>
      </c>
      <c r="G396">
        <v>460919</v>
      </c>
      <c r="H396" s="1">
        <v>44937</v>
      </c>
      <c r="I396" s="1">
        <v>45033</v>
      </c>
      <c r="J396">
        <v>96</v>
      </c>
      <c r="K396">
        <v>5.2</v>
      </c>
      <c r="L396" t="s">
        <v>15</v>
      </c>
      <c r="M396" t="s">
        <v>1896</v>
      </c>
      <c r="N396" t="s">
        <v>1887</v>
      </c>
    </row>
    <row r="397" spans="1:14" x14ac:dyDescent="0.35">
      <c r="A397" t="s">
        <v>2321</v>
      </c>
      <c r="B397" t="s">
        <v>1889</v>
      </c>
      <c r="C397" t="s">
        <v>337</v>
      </c>
      <c r="D397" t="s">
        <v>1890</v>
      </c>
      <c r="E397" t="s">
        <v>1905</v>
      </c>
      <c r="F397" t="s">
        <v>1885</v>
      </c>
      <c r="G397">
        <v>344478</v>
      </c>
      <c r="H397" s="1">
        <v>45123</v>
      </c>
      <c r="I397" s="1">
        <v>45275</v>
      </c>
      <c r="J397">
        <v>152</v>
      </c>
      <c r="L397" t="s">
        <v>15</v>
      </c>
      <c r="M397" t="s">
        <v>1932</v>
      </c>
      <c r="N397" t="s">
        <v>1887</v>
      </c>
    </row>
    <row r="398" spans="1:14" x14ac:dyDescent="0.35">
      <c r="A398" t="s">
        <v>2322</v>
      </c>
      <c r="B398" t="s">
        <v>1930</v>
      </c>
      <c r="C398" t="s">
        <v>147</v>
      </c>
      <c r="D398" t="s">
        <v>1899</v>
      </c>
      <c r="E398" t="s">
        <v>1945</v>
      </c>
      <c r="F398" t="s">
        <v>1895</v>
      </c>
      <c r="G398">
        <v>1591455</v>
      </c>
      <c r="H398" s="1">
        <v>45712</v>
      </c>
      <c r="I398" s="1"/>
      <c r="L398" t="s">
        <v>15</v>
      </c>
      <c r="M398" t="s">
        <v>1912</v>
      </c>
      <c r="N398" t="s">
        <v>1966</v>
      </c>
    </row>
    <row r="399" spans="1:14" x14ac:dyDescent="0.35">
      <c r="A399" t="s">
        <v>2323</v>
      </c>
      <c r="B399" t="s">
        <v>1914</v>
      </c>
      <c r="C399" t="s">
        <v>481</v>
      </c>
      <c r="D399" t="s">
        <v>1904</v>
      </c>
      <c r="E399" t="s">
        <v>1884</v>
      </c>
      <c r="F399" t="s">
        <v>1908</v>
      </c>
      <c r="G399">
        <v>149595</v>
      </c>
      <c r="H399" s="1">
        <v>45258</v>
      </c>
      <c r="I399" s="1"/>
      <c r="K399">
        <v>10.3</v>
      </c>
      <c r="L399" t="s">
        <v>47</v>
      </c>
      <c r="M399" t="s">
        <v>1886</v>
      </c>
      <c r="N399" t="s">
        <v>1887</v>
      </c>
    </row>
    <row r="400" spans="1:14" x14ac:dyDescent="0.35">
      <c r="A400" t="s">
        <v>2324</v>
      </c>
      <c r="B400" t="s">
        <v>1922</v>
      </c>
      <c r="C400" t="s">
        <v>230</v>
      </c>
      <c r="D400" t="s">
        <v>1883</v>
      </c>
      <c r="E400" t="s">
        <v>1905</v>
      </c>
      <c r="F400" t="s">
        <v>1885</v>
      </c>
      <c r="G400">
        <v>96367</v>
      </c>
      <c r="H400" s="1">
        <v>45470</v>
      </c>
      <c r="I400" s="1">
        <v>45636</v>
      </c>
      <c r="J400">
        <v>166</v>
      </c>
      <c r="K400">
        <v>12.4</v>
      </c>
      <c r="L400" t="s">
        <v>30</v>
      </c>
      <c r="M400" t="s">
        <v>1935</v>
      </c>
      <c r="N400" t="s">
        <v>1887</v>
      </c>
    </row>
    <row r="401" spans="1:14" x14ac:dyDescent="0.35">
      <c r="A401" t="s">
        <v>2325</v>
      </c>
      <c r="B401" t="s">
        <v>1930</v>
      </c>
      <c r="C401" t="s">
        <v>147</v>
      </c>
      <c r="D401" t="s">
        <v>1927</v>
      </c>
      <c r="E401" t="s">
        <v>1600</v>
      </c>
      <c r="F401" t="s">
        <v>1900</v>
      </c>
      <c r="G401">
        <v>278062</v>
      </c>
      <c r="H401" s="1">
        <v>45317</v>
      </c>
      <c r="I401" s="1">
        <v>45497</v>
      </c>
      <c r="J401">
        <v>180</v>
      </c>
      <c r="K401">
        <v>16.8</v>
      </c>
      <c r="L401" t="s">
        <v>15</v>
      </c>
      <c r="M401" t="s">
        <v>1916</v>
      </c>
      <c r="N401" t="s">
        <v>1887</v>
      </c>
    </row>
    <row r="402" spans="1:14" x14ac:dyDescent="0.35">
      <c r="A402" t="s">
        <v>2326</v>
      </c>
      <c r="B402" t="s">
        <v>1926</v>
      </c>
      <c r="C402" t="s">
        <v>448</v>
      </c>
      <c r="D402" t="s">
        <v>1899</v>
      </c>
      <c r="E402" t="s">
        <v>1678</v>
      </c>
      <c r="F402" t="s">
        <v>1895</v>
      </c>
      <c r="G402">
        <v>375563</v>
      </c>
      <c r="H402" s="1">
        <v>45555</v>
      </c>
      <c r="I402" s="1"/>
      <c r="L402" t="s">
        <v>15</v>
      </c>
      <c r="M402" t="s">
        <v>1953</v>
      </c>
      <c r="N402" t="s">
        <v>1887</v>
      </c>
    </row>
    <row r="403" spans="1:14" x14ac:dyDescent="0.35">
      <c r="A403" t="s">
        <v>2327</v>
      </c>
      <c r="B403" t="s">
        <v>1926</v>
      </c>
      <c r="C403" t="s">
        <v>293</v>
      </c>
      <c r="D403" t="s">
        <v>1904</v>
      </c>
      <c r="E403" t="s">
        <v>1587</v>
      </c>
      <c r="F403" t="s">
        <v>1946</v>
      </c>
      <c r="G403">
        <v>166750</v>
      </c>
      <c r="H403" s="1">
        <v>45021</v>
      </c>
      <c r="I403" s="1"/>
      <c r="L403" t="s">
        <v>30</v>
      </c>
      <c r="M403" t="s">
        <v>1893</v>
      </c>
      <c r="N403" t="s">
        <v>1887</v>
      </c>
    </row>
    <row r="404" spans="1:14" x14ac:dyDescent="0.35">
      <c r="A404" t="s">
        <v>2328</v>
      </c>
      <c r="B404" t="s">
        <v>1963</v>
      </c>
      <c r="C404" t="s">
        <v>196</v>
      </c>
      <c r="D404" t="s">
        <v>1904</v>
      </c>
      <c r="E404" t="s">
        <v>1918</v>
      </c>
      <c r="F404" t="s">
        <v>1895</v>
      </c>
      <c r="G404">
        <v>207879</v>
      </c>
      <c r="H404" s="1">
        <v>45436</v>
      </c>
      <c r="I404" s="1"/>
      <c r="K404">
        <v>6.5</v>
      </c>
      <c r="L404" t="s">
        <v>15</v>
      </c>
      <c r="M404" t="s">
        <v>1935</v>
      </c>
      <c r="N404" t="s">
        <v>1887</v>
      </c>
    </row>
    <row r="405" spans="1:14" x14ac:dyDescent="0.35">
      <c r="A405" t="s">
        <v>2329</v>
      </c>
      <c r="B405" t="s">
        <v>1911</v>
      </c>
      <c r="C405" t="s">
        <v>247</v>
      </c>
      <c r="D405" t="s">
        <v>1927</v>
      </c>
      <c r="E405" t="s">
        <v>1905</v>
      </c>
      <c r="F405" t="s">
        <v>1895</v>
      </c>
      <c r="G405">
        <v>15034</v>
      </c>
      <c r="H405" s="1">
        <v>45041</v>
      </c>
      <c r="I405" s="1"/>
      <c r="K405">
        <v>10.8</v>
      </c>
      <c r="L405" t="s">
        <v>15</v>
      </c>
      <c r="M405" t="s">
        <v>1893</v>
      </c>
      <c r="N405" t="s">
        <v>1887</v>
      </c>
    </row>
    <row r="406" spans="1:14" x14ac:dyDescent="0.35">
      <c r="A406" t="s">
        <v>2330</v>
      </c>
      <c r="B406" t="s">
        <v>1914</v>
      </c>
      <c r="C406" t="s">
        <v>461</v>
      </c>
      <c r="D406" t="s">
        <v>1883</v>
      </c>
      <c r="E406" t="s">
        <v>1678</v>
      </c>
      <c r="F406" t="s">
        <v>1895</v>
      </c>
      <c r="G406">
        <v>337736</v>
      </c>
      <c r="H406" s="1">
        <v>45375</v>
      </c>
      <c r="I406" s="1"/>
      <c r="K406">
        <v>5.8</v>
      </c>
      <c r="L406" t="s">
        <v>15</v>
      </c>
      <c r="M406" t="s">
        <v>1916</v>
      </c>
      <c r="N406" t="s">
        <v>1887</v>
      </c>
    </row>
    <row r="407" spans="1:14" x14ac:dyDescent="0.35">
      <c r="A407" t="s">
        <v>2331</v>
      </c>
      <c r="B407" t="s">
        <v>1920</v>
      </c>
      <c r="C407" t="s">
        <v>401</v>
      </c>
      <c r="D407" t="s">
        <v>1890</v>
      </c>
      <c r="E407" t="s">
        <v>1600</v>
      </c>
      <c r="F407" t="s">
        <v>1908</v>
      </c>
      <c r="G407">
        <v>395016</v>
      </c>
      <c r="H407" s="1">
        <v>44982</v>
      </c>
      <c r="I407" s="1"/>
      <c r="K407">
        <v>9.6</v>
      </c>
      <c r="L407" t="s">
        <v>47</v>
      </c>
      <c r="M407" t="s">
        <v>1896</v>
      </c>
      <c r="N407" t="s">
        <v>1887</v>
      </c>
    </row>
    <row r="408" spans="1:14" x14ac:dyDescent="0.35">
      <c r="A408" t="s">
        <v>2332</v>
      </c>
      <c r="B408" t="s">
        <v>1889</v>
      </c>
      <c r="C408" t="s">
        <v>175</v>
      </c>
      <c r="D408" t="s">
        <v>1899</v>
      </c>
      <c r="E408" t="s">
        <v>1678</v>
      </c>
      <c r="F408" t="s">
        <v>1885</v>
      </c>
      <c r="G408">
        <v>340981</v>
      </c>
      <c r="H408" s="1">
        <v>45614</v>
      </c>
      <c r="I408" s="1">
        <v>45632</v>
      </c>
      <c r="J408">
        <v>18</v>
      </c>
      <c r="K408">
        <v>0.6</v>
      </c>
      <c r="L408" t="s">
        <v>47</v>
      </c>
      <c r="M408" t="s">
        <v>1901</v>
      </c>
      <c r="N408" t="s">
        <v>1887</v>
      </c>
    </row>
    <row r="409" spans="1:14" x14ac:dyDescent="0.35">
      <c r="A409" t="s">
        <v>2333</v>
      </c>
      <c r="B409" t="s">
        <v>1907</v>
      </c>
      <c r="C409" t="s">
        <v>66</v>
      </c>
      <c r="D409" t="s">
        <v>1890</v>
      </c>
      <c r="E409" t="s">
        <v>1600</v>
      </c>
      <c r="F409" t="s">
        <v>1895</v>
      </c>
      <c r="G409">
        <v>248797</v>
      </c>
      <c r="H409" s="1">
        <v>45077</v>
      </c>
      <c r="I409" s="1"/>
      <c r="K409">
        <v>3.8</v>
      </c>
      <c r="L409" t="s">
        <v>15</v>
      </c>
      <c r="M409" t="s">
        <v>1893</v>
      </c>
      <c r="N409" t="s">
        <v>1887</v>
      </c>
    </row>
    <row r="410" spans="1:14" x14ac:dyDescent="0.35">
      <c r="A410" t="s">
        <v>2334</v>
      </c>
      <c r="B410" t="s">
        <v>1944</v>
      </c>
      <c r="C410" t="s">
        <v>156</v>
      </c>
      <c r="D410" t="s">
        <v>1915</v>
      </c>
      <c r="E410" t="s">
        <v>1918</v>
      </c>
      <c r="F410" t="s">
        <v>1900</v>
      </c>
      <c r="G410">
        <v>32004</v>
      </c>
      <c r="H410" s="1">
        <v>45098</v>
      </c>
      <c r="I410" s="1">
        <v>45274</v>
      </c>
      <c r="J410">
        <v>176</v>
      </c>
      <c r="K410">
        <v>5.0999999999999996</v>
      </c>
      <c r="L410" t="s">
        <v>21</v>
      </c>
      <c r="M410" t="s">
        <v>1893</v>
      </c>
      <c r="N410" t="s">
        <v>1887</v>
      </c>
    </row>
    <row r="411" spans="1:14" x14ac:dyDescent="0.35">
      <c r="A411" t="s">
        <v>2335</v>
      </c>
      <c r="B411" t="s">
        <v>1914</v>
      </c>
      <c r="C411" t="s">
        <v>216</v>
      </c>
      <c r="D411" t="s">
        <v>1904</v>
      </c>
      <c r="E411" t="s">
        <v>1891</v>
      </c>
      <c r="F411" t="s">
        <v>1895</v>
      </c>
      <c r="G411">
        <v>319334</v>
      </c>
      <c r="H411" s="1">
        <v>45542</v>
      </c>
      <c r="I411" s="1"/>
      <c r="L411" t="s">
        <v>15</v>
      </c>
      <c r="M411" t="s">
        <v>1953</v>
      </c>
      <c r="N411" t="s">
        <v>1887</v>
      </c>
    </row>
    <row r="412" spans="1:14" x14ac:dyDescent="0.35">
      <c r="A412" t="s">
        <v>2336</v>
      </c>
      <c r="B412" t="s">
        <v>1926</v>
      </c>
      <c r="C412" t="s">
        <v>384</v>
      </c>
      <c r="D412" t="s">
        <v>1927</v>
      </c>
      <c r="E412" t="s">
        <v>1931</v>
      </c>
      <c r="F412" t="s">
        <v>1908</v>
      </c>
      <c r="G412">
        <v>89412</v>
      </c>
      <c r="H412" s="1">
        <v>45046</v>
      </c>
      <c r="I412" s="1"/>
      <c r="K412">
        <v>1.3</v>
      </c>
      <c r="L412" t="s">
        <v>15</v>
      </c>
      <c r="M412" t="s">
        <v>1893</v>
      </c>
      <c r="N412" t="s">
        <v>1887</v>
      </c>
    </row>
    <row r="413" spans="1:14" x14ac:dyDescent="0.35">
      <c r="A413" t="s">
        <v>2337</v>
      </c>
      <c r="B413" t="s">
        <v>1934</v>
      </c>
      <c r="C413" t="s">
        <v>142</v>
      </c>
      <c r="D413" t="s">
        <v>1904</v>
      </c>
      <c r="E413" t="s">
        <v>1931</v>
      </c>
      <c r="F413" t="s">
        <v>1946</v>
      </c>
      <c r="G413">
        <v>35316</v>
      </c>
      <c r="H413" s="1">
        <v>45464</v>
      </c>
      <c r="I413" s="1"/>
      <c r="K413">
        <v>8.6999999999999993</v>
      </c>
      <c r="L413" t="s">
        <v>30</v>
      </c>
      <c r="M413" t="s">
        <v>1935</v>
      </c>
      <c r="N413" t="s">
        <v>1887</v>
      </c>
    </row>
    <row r="414" spans="1:14" x14ac:dyDescent="0.35">
      <c r="A414" t="s">
        <v>2338</v>
      </c>
      <c r="B414" t="s">
        <v>1924</v>
      </c>
      <c r="C414" t="s">
        <v>360</v>
      </c>
      <c r="D414" t="s">
        <v>1883</v>
      </c>
      <c r="E414" t="s">
        <v>1918</v>
      </c>
      <c r="F414" t="s">
        <v>1908</v>
      </c>
      <c r="G414">
        <v>279648</v>
      </c>
      <c r="H414" s="1">
        <v>45222</v>
      </c>
      <c r="I414" s="1"/>
      <c r="K414">
        <v>11</v>
      </c>
      <c r="L414" t="s">
        <v>15</v>
      </c>
      <c r="M414" t="s">
        <v>1886</v>
      </c>
      <c r="N414" t="s">
        <v>1887</v>
      </c>
    </row>
    <row r="415" spans="1:14" x14ac:dyDescent="0.35">
      <c r="A415" t="s">
        <v>2339</v>
      </c>
      <c r="B415" t="s">
        <v>1937</v>
      </c>
      <c r="C415" t="s">
        <v>382</v>
      </c>
      <c r="D415" t="s">
        <v>1890</v>
      </c>
      <c r="E415" t="s">
        <v>1918</v>
      </c>
      <c r="F415" t="s">
        <v>1900</v>
      </c>
      <c r="G415">
        <v>337652</v>
      </c>
      <c r="H415" s="1">
        <v>45062</v>
      </c>
      <c r="I415" s="1">
        <v>45139</v>
      </c>
      <c r="J415">
        <v>77</v>
      </c>
      <c r="K415">
        <v>2.8</v>
      </c>
      <c r="L415" t="s">
        <v>30</v>
      </c>
      <c r="M415" t="s">
        <v>1893</v>
      </c>
      <c r="N415" t="s">
        <v>1887</v>
      </c>
    </row>
    <row r="416" spans="1:14" x14ac:dyDescent="0.35">
      <c r="A416" t="s">
        <v>2340</v>
      </c>
      <c r="B416" t="s">
        <v>1911</v>
      </c>
      <c r="C416" t="s">
        <v>210</v>
      </c>
      <c r="D416" t="s">
        <v>1883</v>
      </c>
      <c r="E416" t="s">
        <v>1918</v>
      </c>
      <c r="F416" t="s">
        <v>1946</v>
      </c>
      <c r="G416">
        <v>340759</v>
      </c>
      <c r="H416" s="1">
        <v>45621</v>
      </c>
      <c r="I416" s="1"/>
      <c r="K416">
        <v>13.9</v>
      </c>
      <c r="L416" t="s">
        <v>15</v>
      </c>
      <c r="M416" t="s">
        <v>1901</v>
      </c>
      <c r="N416" t="s">
        <v>1887</v>
      </c>
    </row>
    <row r="417" spans="1:14" x14ac:dyDescent="0.35">
      <c r="A417" t="s">
        <v>2341</v>
      </c>
      <c r="B417" t="s">
        <v>1898</v>
      </c>
      <c r="C417" t="s">
        <v>401</v>
      </c>
      <c r="D417" t="s">
        <v>1883</v>
      </c>
      <c r="E417" t="s">
        <v>1905</v>
      </c>
      <c r="F417" t="s">
        <v>1895</v>
      </c>
      <c r="G417">
        <v>489202</v>
      </c>
      <c r="H417" s="1">
        <v>45599</v>
      </c>
      <c r="I417" s="1"/>
      <c r="L417" t="s">
        <v>47</v>
      </c>
      <c r="M417" t="s">
        <v>1901</v>
      </c>
      <c r="N417" t="s">
        <v>1887</v>
      </c>
    </row>
    <row r="418" spans="1:14" x14ac:dyDescent="0.35">
      <c r="A418" t="s">
        <v>2342</v>
      </c>
      <c r="B418" t="s">
        <v>1911</v>
      </c>
      <c r="C418" t="s">
        <v>498</v>
      </c>
      <c r="D418" t="s">
        <v>1915</v>
      </c>
      <c r="E418" t="s">
        <v>1931</v>
      </c>
      <c r="F418" t="s">
        <v>1892</v>
      </c>
      <c r="G418">
        <v>284717</v>
      </c>
      <c r="H418" s="1">
        <v>45196</v>
      </c>
      <c r="I418" s="1"/>
      <c r="L418" t="s">
        <v>15</v>
      </c>
      <c r="M418" t="s">
        <v>1932</v>
      </c>
      <c r="N418" t="s">
        <v>1887</v>
      </c>
    </row>
    <row r="419" spans="1:14" x14ac:dyDescent="0.35">
      <c r="A419" t="s">
        <v>2343</v>
      </c>
      <c r="B419" t="s">
        <v>1898</v>
      </c>
      <c r="C419" t="s">
        <v>108</v>
      </c>
      <c r="D419" t="s">
        <v>1915</v>
      </c>
      <c r="E419" t="s">
        <v>1884</v>
      </c>
      <c r="F419" t="s">
        <v>1895</v>
      </c>
      <c r="G419">
        <v>157274</v>
      </c>
      <c r="H419" s="1">
        <v>45700</v>
      </c>
      <c r="I419" s="1"/>
      <c r="L419" t="s">
        <v>47</v>
      </c>
      <c r="M419" t="s">
        <v>1912</v>
      </c>
      <c r="N419" t="s">
        <v>1887</v>
      </c>
    </row>
    <row r="420" spans="1:14" x14ac:dyDescent="0.35">
      <c r="A420" t="s">
        <v>2344</v>
      </c>
      <c r="B420" t="s">
        <v>1937</v>
      </c>
      <c r="C420" t="s">
        <v>193</v>
      </c>
      <c r="D420" t="s">
        <v>1904</v>
      </c>
      <c r="E420" t="s">
        <v>1587</v>
      </c>
      <c r="F420" t="s">
        <v>1946</v>
      </c>
      <c r="G420">
        <v>309184</v>
      </c>
      <c r="H420" s="1">
        <v>45616</v>
      </c>
      <c r="I420" s="1"/>
      <c r="K420">
        <v>5.8</v>
      </c>
      <c r="L420" t="s">
        <v>15</v>
      </c>
      <c r="M420" t="s">
        <v>1901</v>
      </c>
      <c r="N420" t="s">
        <v>1887</v>
      </c>
    </row>
    <row r="421" spans="1:14" x14ac:dyDescent="0.35">
      <c r="A421" t="s">
        <v>2345</v>
      </c>
      <c r="B421" t="s">
        <v>1922</v>
      </c>
      <c r="C421" t="s">
        <v>99</v>
      </c>
      <c r="D421" t="s">
        <v>1890</v>
      </c>
      <c r="E421" t="s">
        <v>1884</v>
      </c>
      <c r="F421" t="s">
        <v>1946</v>
      </c>
      <c r="G421">
        <v>466808</v>
      </c>
      <c r="H421" s="1">
        <v>45429</v>
      </c>
      <c r="I421" s="1"/>
      <c r="L421" t="s">
        <v>30</v>
      </c>
      <c r="M421" t="s">
        <v>1935</v>
      </c>
      <c r="N421" t="s">
        <v>1887</v>
      </c>
    </row>
    <row r="422" spans="1:14" x14ac:dyDescent="0.35">
      <c r="A422" t="s">
        <v>2346</v>
      </c>
      <c r="B422" t="s">
        <v>1963</v>
      </c>
      <c r="C422" t="s">
        <v>361</v>
      </c>
      <c r="D422" t="s">
        <v>1890</v>
      </c>
      <c r="E422" t="s">
        <v>1600</v>
      </c>
      <c r="F422" t="s">
        <v>1895</v>
      </c>
      <c r="G422">
        <v>189879</v>
      </c>
      <c r="H422" s="1">
        <v>45527</v>
      </c>
      <c r="I422" s="1"/>
      <c r="K422">
        <v>5.6</v>
      </c>
      <c r="L422" t="s">
        <v>47</v>
      </c>
      <c r="M422" t="s">
        <v>1953</v>
      </c>
      <c r="N422" t="s">
        <v>1887</v>
      </c>
    </row>
    <row r="423" spans="1:14" x14ac:dyDescent="0.35">
      <c r="A423" t="s">
        <v>2347</v>
      </c>
      <c r="B423" t="s">
        <v>1903</v>
      </c>
      <c r="C423" t="s">
        <v>499</v>
      </c>
      <c r="D423" t="s">
        <v>1927</v>
      </c>
      <c r="E423" t="s">
        <v>1891</v>
      </c>
      <c r="F423" t="s">
        <v>1900</v>
      </c>
      <c r="G423">
        <v>182871</v>
      </c>
      <c r="H423" s="1">
        <v>45704</v>
      </c>
      <c r="I423" s="1">
        <v>45865</v>
      </c>
      <c r="J423">
        <v>161</v>
      </c>
      <c r="K423">
        <v>7.7</v>
      </c>
      <c r="L423" t="s">
        <v>47</v>
      </c>
      <c r="M423" t="s">
        <v>1912</v>
      </c>
      <c r="N423" t="s">
        <v>1887</v>
      </c>
    </row>
    <row r="424" spans="1:14" x14ac:dyDescent="0.35">
      <c r="A424" t="s">
        <v>2348</v>
      </c>
      <c r="B424" t="s">
        <v>1937</v>
      </c>
      <c r="C424" t="s">
        <v>301</v>
      </c>
      <c r="D424" t="s">
        <v>1890</v>
      </c>
      <c r="E424" t="s">
        <v>1918</v>
      </c>
      <c r="F424" t="s">
        <v>1895</v>
      </c>
      <c r="G424">
        <v>319507</v>
      </c>
      <c r="H424" s="1">
        <v>45035</v>
      </c>
      <c r="I424" s="1"/>
      <c r="L424" t="s">
        <v>47</v>
      </c>
      <c r="M424" t="s">
        <v>1893</v>
      </c>
      <c r="N424" t="s">
        <v>1887</v>
      </c>
    </row>
    <row r="425" spans="1:14" x14ac:dyDescent="0.35">
      <c r="A425" t="s">
        <v>2349</v>
      </c>
      <c r="B425" t="s">
        <v>1934</v>
      </c>
      <c r="C425" t="s">
        <v>38</v>
      </c>
      <c r="D425" t="s">
        <v>1915</v>
      </c>
      <c r="E425" t="s">
        <v>1931</v>
      </c>
      <c r="F425" t="s">
        <v>1946</v>
      </c>
      <c r="G425">
        <v>178290</v>
      </c>
      <c r="H425" s="1">
        <v>45110</v>
      </c>
      <c r="I425" s="1"/>
      <c r="L425" t="s">
        <v>47</v>
      </c>
      <c r="M425" t="s">
        <v>1932</v>
      </c>
      <c r="N425" t="s">
        <v>1887</v>
      </c>
    </row>
    <row r="426" spans="1:14" x14ac:dyDescent="0.35">
      <c r="A426" t="s">
        <v>2350</v>
      </c>
      <c r="B426" t="s">
        <v>1889</v>
      </c>
      <c r="C426" t="s">
        <v>27</v>
      </c>
      <c r="D426" t="s">
        <v>1883</v>
      </c>
      <c r="E426" t="s">
        <v>1945</v>
      </c>
      <c r="F426" t="s">
        <v>1892</v>
      </c>
      <c r="G426">
        <v>25737</v>
      </c>
      <c r="H426" s="1">
        <v>45072</v>
      </c>
      <c r="I426" s="1"/>
      <c r="L426" t="s">
        <v>21</v>
      </c>
      <c r="M426" t="s">
        <v>1893</v>
      </c>
      <c r="N426" t="s">
        <v>1887</v>
      </c>
    </row>
    <row r="427" spans="1:14" x14ac:dyDescent="0.35">
      <c r="A427" t="s">
        <v>2351</v>
      </c>
      <c r="B427" t="s">
        <v>1903</v>
      </c>
      <c r="C427" t="s">
        <v>169</v>
      </c>
      <c r="D427" t="s">
        <v>1927</v>
      </c>
      <c r="E427" t="s">
        <v>1931</v>
      </c>
      <c r="F427" t="s">
        <v>1895</v>
      </c>
      <c r="G427">
        <v>295436</v>
      </c>
      <c r="H427" s="1">
        <v>45600</v>
      </c>
      <c r="I427" s="1"/>
      <c r="K427">
        <v>0</v>
      </c>
      <c r="L427" t="s">
        <v>21</v>
      </c>
      <c r="M427" t="s">
        <v>1901</v>
      </c>
      <c r="N427" t="s">
        <v>1887</v>
      </c>
    </row>
    <row r="428" spans="1:14" x14ac:dyDescent="0.35">
      <c r="A428" t="s">
        <v>2352</v>
      </c>
      <c r="B428" t="s">
        <v>1898</v>
      </c>
      <c r="C428" t="s">
        <v>474</v>
      </c>
      <c r="D428" t="s">
        <v>1904</v>
      </c>
      <c r="E428" t="s">
        <v>1905</v>
      </c>
      <c r="F428" t="s">
        <v>1895</v>
      </c>
      <c r="G428">
        <v>414485</v>
      </c>
      <c r="H428" s="1">
        <v>45714</v>
      </c>
      <c r="I428" s="1"/>
      <c r="L428" t="s">
        <v>21</v>
      </c>
      <c r="M428" t="s">
        <v>1912</v>
      </c>
      <c r="N428" t="s">
        <v>1887</v>
      </c>
    </row>
    <row r="429" spans="1:14" x14ac:dyDescent="0.35">
      <c r="A429" t="s">
        <v>2353</v>
      </c>
      <c r="B429" t="s">
        <v>1930</v>
      </c>
      <c r="C429" t="s">
        <v>388</v>
      </c>
      <c r="D429" t="s">
        <v>1899</v>
      </c>
      <c r="E429" t="s">
        <v>1918</v>
      </c>
      <c r="F429" t="s">
        <v>1885</v>
      </c>
      <c r="G429">
        <v>211869</v>
      </c>
      <c r="H429" s="1">
        <v>45415</v>
      </c>
      <c r="I429" s="1">
        <v>45470</v>
      </c>
      <c r="J429">
        <v>55</v>
      </c>
      <c r="K429">
        <v>1</v>
      </c>
      <c r="L429" t="s">
        <v>47</v>
      </c>
      <c r="M429" t="s">
        <v>1935</v>
      </c>
      <c r="N429" t="s">
        <v>1887</v>
      </c>
    </row>
    <row r="430" spans="1:14" x14ac:dyDescent="0.35">
      <c r="A430" t="s">
        <v>2354</v>
      </c>
      <c r="B430" t="s">
        <v>1889</v>
      </c>
      <c r="C430" t="s">
        <v>23</v>
      </c>
      <c r="D430" t="s">
        <v>1904</v>
      </c>
      <c r="E430" t="s">
        <v>1918</v>
      </c>
      <c r="F430" t="s">
        <v>1895</v>
      </c>
      <c r="G430">
        <v>72511</v>
      </c>
      <c r="H430" s="1">
        <v>45473</v>
      </c>
      <c r="I430" s="1"/>
      <c r="K430">
        <v>6.9</v>
      </c>
      <c r="L430" t="s">
        <v>21</v>
      </c>
      <c r="M430" t="s">
        <v>1935</v>
      </c>
      <c r="N430" t="s">
        <v>1887</v>
      </c>
    </row>
    <row r="431" spans="1:14" x14ac:dyDescent="0.35">
      <c r="A431" t="s">
        <v>2355</v>
      </c>
      <c r="B431" t="s">
        <v>1926</v>
      </c>
      <c r="C431" t="s">
        <v>471</v>
      </c>
      <c r="D431" t="s">
        <v>1883</v>
      </c>
      <c r="E431" t="s">
        <v>1884</v>
      </c>
      <c r="F431" t="s">
        <v>1908</v>
      </c>
      <c r="G431">
        <v>300303</v>
      </c>
      <c r="H431" s="1">
        <v>45707</v>
      </c>
      <c r="I431" s="1"/>
      <c r="K431">
        <v>3.3</v>
      </c>
      <c r="L431" t="s">
        <v>30</v>
      </c>
      <c r="M431" t="s">
        <v>1912</v>
      </c>
      <c r="N431" t="s">
        <v>1887</v>
      </c>
    </row>
    <row r="432" spans="1:14" x14ac:dyDescent="0.35">
      <c r="A432" t="s">
        <v>2356</v>
      </c>
      <c r="B432" t="s">
        <v>1903</v>
      </c>
      <c r="C432" t="s">
        <v>310</v>
      </c>
      <c r="D432" t="s">
        <v>1883</v>
      </c>
      <c r="E432" t="s">
        <v>1905</v>
      </c>
      <c r="F432" t="s">
        <v>1895</v>
      </c>
      <c r="G432">
        <v>66288</v>
      </c>
      <c r="H432" s="1">
        <v>45357</v>
      </c>
      <c r="I432" s="1"/>
      <c r="K432">
        <v>14.4</v>
      </c>
      <c r="L432" t="s">
        <v>15</v>
      </c>
      <c r="M432" t="s">
        <v>1916</v>
      </c>
      <c r="N432" t="s">
        <v>1887</v>
      </c>
    </row>
    <row r="433" spans="1:14" x14ac:dyDescent="0.35">
      <c r="A433" t="s">
        <v>2357</v>
      </c>
      <c r="B433" t="s">
        <v>1907</v>
      </c>
      <c r="C433" t="s">
        <v>406</v>
      </c>
      <c r="D433" t="s">
        <v>1904</v>
      </c>
      <c r="E433" t="s">
        <v>1678</v>
      </c>
      <c r="F433" t="s">
        <v>1892</v>
      </c>
      <c r="G433">
        <v>35041</v>
      </c>
      <c r="H433" s="1">
        <v>45207</v>
      </c>
      <c r="I433" s="1"/>
      <c r="K433">
        <v>8</v>
      </c>
      <c r="L433" t="s">
        <v>30</v>
      </c>
      <c r="M433" t="s">
        <v>1886</v>
      </c>
      <c r="N433" t="s">
        <v>1887</v>
      </c>
    </row>
    <row r="434" spans="1:14" x14ac:dyDescent="0.35">
      <c r="A434" t="s">
        <v>2358</v>
      </c>
      <c r="B434" t="s">
        <v>1924</v>
      </c>
      <c r="C434" t="s">
        <v>165</v>
      </c>
      <c r="D434" t="s">
        <v>1883</v>
      </c>
      <c r="E434" t="s">
        <v>1884</v>
      </c>
      <c r="F434" t="s">
        <v>1946</v>
      </c>
      <c r="G434">
        <v>481779</v>
      </c>
      <c r="H434" s="1">
        <v>45545</v>
      </c>
      <c r="I434" s="1"/>
      <c r="K434">
        <v>3.1</v>
      </c>
      <c r="L434" t="s">
        <v>47</v>
      </c>
      <c r="M434" t="s">
        <v>1953</v>
      </c>
      <c r="N434" t="s">
        <v>1887</v>
      </c>
    </row>
    <row r="435" spans="1:14" x14ac:dyDescent="0.35">
      <c r="A435" t="s">
        <v>2359</v>
      </c>
      <c r="B435" t="s">
        <v>1903</v>
      </c>
      <c r="C435" t="s">
        <v>114</v>
      </c>
      <c r="D435" t="s">
        <v>1890</v>
      </c>
      <c r="E435" t="s">
        <v>1891</v>
      </c>
      <c r="F435" t="s">
        <v>1946</v>
      </c>
      <c r="G435">
        <v>26597</v>
      </c>
      <c r="H435" s="1">
        <v>45071</v>
      </c>
      <c r="I435" s="1"/>
      <c r="K435">
        <v>13.5</v>
      </c>
      <c r="L435" t="s">
        <v>47</v>
      </c>
      <c r="M435" t="s">
        <v>1893</v>
      </c>
      <c r="N435" t="s">
        <v>1887</v>
      </c>
    </row>
    <row r="436" spans="1:14" x14ac:dyDescent="0.35">
      <c r="A436" t="s">
        <v>2360</v>
      </c>
      <c r="B436" t="s">
        <v>1907</v>
      </c>
      <c r="C436" t="s">
        <v>348</v>
      </c>
      <c r="D436" t="s">
        <v>1890</v>
      </c>
      <c r="E436" t="s">
        <v>1884</v>
      </c>
      <c r="F436" t="s">
        <v>1885</v>
      </c>
      <c r="G436">
        <v>87782</v>
      </c>
      <c r="H436" s="1">
        <v>45582</v>
      </c>
      <c r="I436" s="1">
        <v>45710</v>
      </c>
      <c r="J436">
        <v>128</v>
      </c>
      <c r="K436">
        <v>9.1999999999999993</v>
      </c>
      <c r="L436" t="s">
        <v>15</v>
      </c>
      <c r="M436" t="s">
        <v>1901</v>
      </c>
      <c r="N436" t="s">
        <v>1887</v>
      </c>
    </row>
    <row r="437" spans="1:14" x14ac:dyDescent="0.35">
      <c r="A437" t="s">
        <v>2361</v>
      </c>
      <c r="B437" t="s">
        <v>1889</v>
      </c>
      <c r="C437" t="s">
        <v>488</v>
      </c>
      <c r="D437" t="s">
        <v>1927</v>
      </c>
      <c r="E437" t="s">
        <v>1918</v>
      </c>
      <c r="F437" t="s">
        <v>1946</v>
      </c>
      <c r="G437">
        <v>280341</v>
      </c>
      <c r="H437" s="1">
        <v>45142</v>
      </c>
      <c r="I437" s="1"/>
      <c r="L437" t="s">
        <v>15</v>
      </c>
      <c r="M437" t="s">
        <v>1932</v>
      </c>
      <c r="N437" t="s">
        <v>1887</v>
      </c>
    </row>
    <row r="438" spans="1:14" x14ac:dyDescent="0.35">
      <c r="A438" t="s">
        <v>2362</v>
      </c>
      <c r="B438" t="s">
        <v>1882</v>
      </c>
      <c r="C438" t="s">
        <v>296</v>
      </c>
      <c r="D438" t="s">
        <v>1899</v>
      </c>
      <c r="E438" t="s">
        <v>1587</v>
      </c>
      <c r="F438" t="s">
        <v>1895</v>
      </c>
      <c r="G438">
        <v>376532</v>
      </c>
      <c r="H438" s="1">
        <v>45196</v>
      </c>
      <c r="I438" s="1"/>
      <c r="L438" t="s">
        <v>21</v>
      </c>
      <c r="M438" t="s">
        <v>1932</v>
      </c>
      <c r="N438" t="s">
        <v>1887</v>
      </c>
    </row>
    <row r="439" spans="1:14" x14ac:dyDescent="0.35">
      <c r="A439" t="s">
        <v>2363</v>
      </c>
      <c r="B439" t="s">
        <v>1963</v>
      </c>
      <c r="C439" t="s">
        <v>164</v>
      </c>
      <c r="D439" t="s">
        <v>1927</v>
      </c>
      <c r="E439" t="s">
        <v>1905</v>
      </c>
      <c r="F439" t="s">
        <v>1895</v>
      </c>
      <c r="G439">
        <v>185450</v>
      </c>
      <c r="H439" s="1">
        <v>45554</v>
      </c>
      <c r="I439" s="1"/>
      <c r="K439">
        <v>6.1</v>
      </c>
      <c r="L439" t="s">
        <v>47</v>
      </c>
      <c r="M439" t="s">
        <v>1953</v>
      </c>
      <c r="N439" t="s">
        <v>1887</v>
      </c>
    </row>
    <row r="440" spans="1:14" x14ac:dyDescent="0.35">
      <c r="A440" t="s">
        <v>2364</v>
      </c>
      <c r="B440" t="s">
        <v>1934</v>
      </c>
      <c r="C440" t="s">
        <v>287</v>
      </c>
      <c r="D440" t="s">
        <v>1899</v>
      </c>
      <c r="E440" t="s">
        <v>1891</v>
      </c>
      <c r="F440" t="s">
        <v>1895</v>
      </c>
      <c r="G440">
        <v>495231</v>
      </c>
      <c r="H440" s="1">
        <v>45254</v>
      </c>
      <c r="I440" s="1"/>
      <c r="L440" t="s">
        <v>15</v>
      </c>
      <c r="M440" t="s">
        <v>1886</v>
      </c>
      <c r="N440" t="s">
        <v>1887</v>
      </c>
    </row>
    <row r="441" spans="1:14" x14ac:dyDescent="0.35">
      <c r="A441" t="s">
        <v>2365</v>
      </c>
      <c r="B441" t="s">
        <v>1898</v>
      </c>
      <c r="C441" t="s">
        <v>319</v>
      </c>
      <c r="D441" t="s">
        <v>1899</v>
      </c>
      <c r="E441" t="s">
        <v>1600</v>
      </c>
      <c r="F441" t="s">
        <v>1885</v>
      </c>
      <c r="G441">
        <v>106639</v>
      </c>
      <c r="H441" s="1">
        <v>45271</v>
      </c>
      <c r="I441" s="1">
        <v>45360</v>
      </c>
      <c r="J441">
        <v>89</v>
      </c>
      <c r="K441">
        <v>5.9</v>
      </c>
      <c r="L441" t="s">
        <v>21</v>
      </c>
      <c r="M441" t="s">
        <v>1886</v>
      </c>
      <c r="N441" t="s">
        <v>1887</v>
      </c>
    </row>
    <row r="442" spans="1:14" x14ac:dyDescent="0.35">
      <c r="A442" t="s">
        <v>2366</v>
      </c>
      <c r="B442" t="s">
        <v>1920</v>
      </c>
      <c r="C442" t="s">
        <v>108</v>
      </c>
      <c r="D442" t="s">
        <v>1927</v>
      </c>
      <c r="E442" t="s">
        <v>1884</v>
      </c>
      <c r="F442" t="s">
        <v>1946</v>
      </c>
      <c r="G442">
        <v>158544</v>
      </c>
      <c r="H442" s="1">
        <v>45387</v>
      </c>
      <c r="I442" s="1"/>
      <c r="K442">
        <v>7.8</v>
      </c>
      <c r="L442" t="s">
        <v>30</v>
      </c>
      <c r="M442" t="s">
        <v>1935</v>
      </c>
      <c r="N442" t="s">
        <v>1887</v>
      </c>
    </row>
    <row r="443" spans="1:14" x14ac:dyDescent="0.35">
      <c r="A443" t="s">
        <v>2367</v>
      </c>
      <c r="B443" t="s">
        <v>1911</v>
      </c>
      <c r="C443" t="s">
        <v>60</v>
      </c>
      <c r="D443" t="s">
        <v>1890</v>
      </c>
      <c r="E443" t="s">
        <v>1918</v>
      </c>
      <c r="F443" t="s">
        <v>1908</v>
      </c>
      <c r="G443">
        <v>434677</v>
      </c>
      <c r="H443" s="1">
        <v>44932</v>
      </c>
      <c r="I443" s="1"/>
      <c r="K443">
        <v>5.4</v>
      </c>
      <c r="L443" t="s">
        <v>47</v>
      </c>
      <c r="M443" t="s">
        <v>1896</v>
      </c>
      <c r="N443" t="s">
        <v>1887</v>
      </c>
    </row>
    <row r="444" spans="1:14" x14ac:dyDescent="0.35">
      <c r="A444" t="s">
        <v>2368</v>
      </c>
      <c r="B444" t="s">
        <v>1907</v>
      </c>
      <c r="C444" t="s">
        <v>498</v>
      </c>
      <c r="D444" t="s">
        <v>1904</v>
      </c>
      <c r="E444" t="s">
        <v>1884</v>
      </c>
      <c r="F444" t="s">
        <v>1900</v>
      </c>
      <c r="G444">
        <v>202967</v>
      </c>
      <c r="H444" s="1">
        <v>45701</v>
      </c>
      <c r="I444" s="1">
        <v>45844</v>
      </c>
      <c r="J444">
        <v>143</v>
      </c>
      <c r="K444">
        <v>4.8</v>
      </c>
      <c r="L444" t="s">
        <v>47</v>
      </c>
      <c r="M444" t="s">
        <v>1912</v>
      </c>
      <c r="N444" t="s">
        <v>1887</v>
      </c>
    </row>
    <row r="445" spans="1:14" x14ac:dyDescent="0.35">
      <c r="A445" t="s">
        <v>2369</v>
      </c>
      <c r="B445" t="s">
        <v>1889</v>
      </c>
      <c r="C445" t="s">
        <v>450</v>
      </c>
      <c r="D445" t="s">
        <v>1883</v>
      </c>
      <c r="E445" t="s">
        <v>1918</v>
      </c>
      <c r="F445" t="s">
        <v>1900</v>
      </c>
      <c r="G445">
        <v>452042</v>
      </c>
      <c r="H445" s="1">
        <v>45332</v>
      </c>
      <c r="I445" s="1">
        <v>45492</v>
      </c>
      <c r="J445">
        <v>160</v>
      </c>
      <c r="K445">
        <v>9</v>
      </c>
      <c r="L445" t="s">
        <v>21</v>
      </c>
      <c r="M445" t="s">
        <v>1916</v>
      </c>
      <c r="N445" t="s">
        <v>1887</v>
      </c>
    </row>
    <row r="446" spans="1:14" x14ac:dyDescent="0.35">
      <c r="A446" t="s">
        <v>2370</v>
      </c>
      <c r="B446" t="s">
        <v>1911</v>
      </c>
      <c r="C446" t="s">
        <v>80</v>
      </c>
      <c r="D446" t="s">
        <v>1927</v>
      </c>
      <c r="E446" t="s">
        <v>1918</v>
      </c>
      <c r="F446" t="s">
        <v>1900</v>
      </c>
      <c r="G446">
        <v>173402</v>
      </c>
      <c r="H446" s="1">
        <v>45037</v>
      </c>
      <c r="I446" s="1">
        <v>45141</v>
      </c>
      <c r="J446">
        <v>104</v>
      </c>
      <c r="K446">
        <v>14.8</v>
      </c>
      <c r="L446" t="s">
        <v>15</v>
      </c>
      <c r="M446" t="s">
        <v>1893</v>
      </c>
      <c r="N446" t="s">
        <v>1887</v>
      </c>
    </row>
    <row r="447" spans="1:14" x14ac:dyDescent="0.35">
      <c r="A447" t="s">
        <v>2371</v>
      </c>
      <c r="B447" t="s">
        <v>1934</v>
      </c>
      <c r="C447" t="s">
        <v>214</v>
      </c>
      <c r="D447" t="s">
        <v>1915</v>
      </c>
      <c r="E447" t="s">
        <v>1587</v>
      </c>
      <c r="F447" t="s">
        <v>1946</v>
      </c>
      <c r="G447">
        <v>199843</v>
      </c>
      <c r="H447" s="1">
        <v>45087</v>
      </c>
      <c r="I447" s="1"/>
      <c r="K447">
        <v>12.6</v>
      </c>
      <c r="L447" t="s">
        <v>15</v>
      </c>
      <c r="M447" t="s">
        <v>1893</v>
      </c>
      <c r="N447" t="s">
        <v>1887</v>
      </c>
    </row>
    <row r="448" spans="1:14" x14ac:dyDescent="0.35">
      <c r="A448" t="s">
        <v>2372</v>
      </c>
      <c r="B448" t="s">
        <v>1911</v>
      </c>
      <c r="C448" t="s">
        <v>456</v>
      </c>
      <c r="D448" t="s">
        <v>1890</v>
      </c>
      <c r="E448" t="s">
        <v>1884</v>
      </c>
      <c r="F448" t="s">
        <v>1900</v>
      </c>
      <c r="G448">
        <v>42155</v>
      </c>
      <c r="H448" s="1">
        <v>45178</v>
      </c>
      <c r="I448" s="1">
        <v>45240</v>
      </c>
      <c r="J448">
        <v>62</v>
      </c>
      <c r="K448">
        <v>10.8</v>
      </c>
      <c r="L448" t="s">
        <v>21</v>
      </c>
      <c r="M448" t="s">
        <v>1932</v>
      </c>
      <c r="N448" t="s">
        <v>1887</v>
      </c>
    </row>
    <row r="449" spans="1:14" x14ac:dyDescent="0.35">
      <c r="A449" t="s">
        <v>2373</v>
      </c>
      <c r="B449" t="s">
        <v>1934</v>
      </c>
      <c r="C449" t="s">
        <v>466</v>
      </c>
      <c r="D449" t="s">
        <v>1890</v>
      </c>
      <c r="E449" t="s">
        <v>1891</v>
      </c>
      <c r="F449" t="s">
        <v>1900</v>
      </c>
      <c r="G449">
        <v>400358</v>
      </c>
      <c r="H449" s="1">
        <v>45607</v>
      </c>
      <c r="I449" s="1">
        <v>45686</v>
      </c>
      <c r="J449">
        <v>79</v>
      </c>
      <c r="K449">
        <v>16.3</v>
      </c>
      <c r="L449" t="s">
        <v>15</v>
      </c>
      <c r="M449" t="s">
        <v>1901</v>
      </c>
      <c r="N449" t="s">
        <v>1887</v>
      </c>
    </row>
    <row r="450" spans="1:14" x14ac:dyDescent="0.35">
      <c r="A450" t="s">
        <v>2374</v>
      </c>
      <c r="B450" t="s">
        <v>1926</v>
      </c>
      <c r="C450" t="s">
        <v>310</v>
      </c>
      <c r="D450" t="s">
        <v>1927</v>
      </c>
      <c r="E450" t="s">
        <v>1678</v>
      </c>
      <c r="F450" t="s">
        <v>1892</v>
      </c>
      <c r="G450">
        <v>35269</v>
      </c>
      <c r="H450" s="1">
        <v>45452</v>
      </c>
      <c r="I450" s="1"/>
      <c r="K450">
        <v>5.9</v>
      </c>
      <c r="L450" t="s">
        <v>30</v>
      </c>
      <c r="M450" t="s">
        <v>1935</v>
      </c>
      <c r="N450" t="s">
        <v>1887</v>
      </c>
    </row>
    <row r="451" spans="1:14" x14ac:dyDescent="0.35">
      <c r="A451" t="s">
        <v>2375</v>
      </c>
      <c r="B451" t="s">
        <v>1911</v>
      </c>
      <c r="C451" t="s">
        <v>495</v>
      </c>
      <c r="D451" t="s">
        <v>1927</v>
      </c>
      <c r="E451" t="s">
        <v>1905</v>
      </c>
      <c r="F451" t="s">
        <v>1908</v>
      </c>
      <c r="G451">
        <v>241172</v>
      </c>
      <c r="H451" s="1">
        <v>45257</v>
      </c>
      <c r="I451" s="1"/>
      <c r="K451">
        <v>3.2</v>
      </c>
      <c r="L451" t="s">
        <v>30</v>
      </c>
      <c r="M451" t="s">
        <v>1886</v>
      </c>
      <c r="N451" t="s">
        <v>1887</v>
      </c>
    </row>
    <row r="452" spans="1:14" x14ac:dyDescent="0.35">
      <c r="A452" t="s">
        <v>2376</v>
      </c>
      <c r="B452" t="s">
        <v>1930</v>
      </c>
      <c r="C452" t="s">
        <v>488</v>
      </c>
      <c r="D452" t="s">
        <v>1904</v>
      </c>
      <c r="E452" t="s">
        <v>1884</v>
      </c>
      <c r="F452" t="s">
        <v>1900</v>
      </c>
      <c r="G452">
        <v>92529</v>
      </c>
      <c r="H452" s="1">
        <v>45046</v>
      </c>
      <c r="I452" s="1">
        <v>45138</v>
      </c>
      <c r="J452">
        <v>92</v>
      </c>
      <c r="K452">
        <v>22.2</v>
      </c>
      <c r="L452" t="s">
        <v>15</v>
      </c>
      <c r="M452" t="s">
        <v>1893</v>
      </c>
      <c r="N452" t="s">
        <v>1887</v>
      </c>
    </row>
    <row r="453" spans="1:14" x14ac:dyDescent="0.35">
      <c r="A453" t="s">
        <v>2377</v>
      </c>
      <c r="B453" t="s">
        <v>1911</v>
      </c>
      <c r="C453" t="s">
        <v>292</v>
      </c>
      <c r="D453" t="s">
        <v>1915</v>
      </c>
      <c r="E453" t="s">
        <v>1600</v>
      </c>
      <c r="F453" t="s">
        <v>1885</v>
      </c>
      <c r="G453">
        <v>489127</v>
      </c>
      <c r="H453" s="1">
        <v>45674</v>
      </c>
      <c r="I453" s="1">
        <v>45693</v>
      </c>
      <c r="J453">
        <v>19</v>
      </c>
      <c r="K453">
        <v>4.5999999999999996</v>
      </c>
      <c r="L453" t="s">
        <v>30</v>
      </c>
      <c r="M453" t="s">
        <v>1912</v>
      </c>
      <c r="N453" t="s">
        <v>1887</v>
      </c>
    </row>
    <row r="454" spans="1:14" x14ac:dyDescent="0.35">
      <c r="A454" t="s">
        <v>2378</v>
      </c>
      <c r="B454" t="s">
        <v>1920</v>
      </c>
      <c r="C454" t="s">
        <v>252</v>
      </c>
      <c r="D454" t="s">
        <v>1927</v>
      </c>
      <c r="E454" t="s">
        <v>1931</v>
      </c>
      <c r="F454" t="s">
        <v>1900</v>
      </c>
      <c r="G454">
        <v>156882</v>
      </c>
      <c r="H454" s="1">
        <v>45245</v>
      </c>
      <c r="I454" s="1">
        <v>45354</v>
      </c>
      <c r="J454">
        <v>109</v>
      </c>
      <c r="K454">
        <v>13.4</v>
      </c>
      <c r="L454" t="s">
        <v>47</v>
      </c>
      <c r="M454" t="s">
        <v>1886</v>
      </c>
      <c r="N454" t="s">
        <v>1887</v>
      </c>
    </row>
    <row r="455" spans="1:14" x14ac:dyDescent="0.35">
      <c r="A455" t="s">
        <v>2379</v>
      </c>
      <c r="B455" t="s">
        <v>1922</v>
      </c>
      <c r="C455" t="s">
        <v>492</v>
      </c>
      <c r="D455" t="s">
        <v>1899</v>
      </c>
      <c r="E455" t="s">
        <v>1905</v>
      </c>
      <c r="F455" t="s">
        <v>1900</v>
      </c>
      <c r="G455">
        <v>896630</v>
      </c>
      <c r="H455" s="1">
        <v>45373</v>
      </c>
      <c r="I455" s="1">
        <v>45498</v>
      </c>
      <c r="J455">
        <v>125</v>
      </c>
      <c r="K455">
        <v>16.7</v>
      </c>
      <c r="L455" t="s">
        <v>30</v>
      </c>
      <c r="M455" t="s">
        <v>1916</v>
      </c>
      <c r="N455" t="s">
        <v>1887</v>
      </c>
    </row>
    <row r="456" spans="1:14" x14ac:dyDescent="0.35">
      <c r="A456" t="s">
        <v>2380</v>
      </c>
      <c r="B456" t="s">
        <v>1963</v>
      </c>
      <c r="C456" t="s">
        <v>440</v>
      </c>
      <c r="D456" t="s">
        <v>1904</v>
      </c>
      <c r="E456" t="s">
        <v>1891</v>
      </c>
      <c r="F456" t="s">
        <v>1908</v>
      </c>
      <c r="G456">
        <v>276659</v>
      </c>
      <c r="H456" s="1">
        <v>45569</v>
      </c>
      <c r="I456" s="1"/>
      <c r="K456">
        <v>7.6</v>
      </c>
      <c r="L456" t="s">
        <v>30</v>
      </c>
      <c r="M456" t="s">
        <v>1901</v>
      </c>
      <c r="N456" t="s">
        <v>1887</v>
      </c>
    </row>
    <row r="457" spans="1:14" x14ac:dyDescent="0.35">
      <c r="A457" t="s">
        <v>2381</v>
      </c>
      <c r="B457" t="s">
        <v>1937</v>
      </c>
      <c r="C457" t="s">
        <v>373</v>
      </c>
      <c r="D457" t="s">
        <v>1883</v>
      </c>
      <c r="E457" t="s">
        <v>1905</v>
      </c>
      <c r="F457" t="s">
        <v>1946</v>
      </c>
      <c r="G457">
        <v>346119</v>
      </c>
      <c r="H457" s="1">
        <v>45051</v>
      </c>
      <c r="I457" s="1"/>
      <c r="K457">
        <v>12.6</v>
      </c>
      <c r="L457" t="s">
        <v>47</v>
      </c>
      <c r="M457" t="s">
        <v>1893</v>
      </c>
      <c r="N457" t="s">
        <v>1887</v>
      </c>
    </row>
    <row r="458" spans="1:14" x14ac:dyDescent="0.35">
      <c r="A458" t="s">
        <v>2382</v>
      </c>
      <c r="B458" t="s">
        <v>1889</v>
      </c>
      <c r="C458" t="s">
        <v>498</v>
      </c>
      <c r="D458" t="s">
        <v>1883</v>
      </c>
      <c r="E458" t="s">
        <v>1891</v>
      </c>
      <c r="F458" t="s">
        <v>1885</v>
      </c>
      <c r="G458">
        <v>35706</v>
      </c>
      <c r="H458" s="1">
        <v>45109</v>
      </c>
      <c r="I458" s="1">
        <v>45165</v>
      </c>
      <c r="J458">
        <v>56</v>
      </c>
      <c r="K458">
        <v>9.1999999999999993</v>
      </c>
      <c r="L458" t="s">
        <v>15</v>
      </c>
      <c r="M458" t="s">
        <v>1932</v>
      </c>
      <c r="N458" t="s">
        <v>1887</v>
      </c>
    </row>
    <row r="459" spans="1:14" x14ac:dyDescent="0.35">
      <c r="A459" t="s">
        <v>2383</v>
      </c>
      <c r="B459" t="s">
        <v>1903</v>
      </c>
      <c r="C459" t="s">
        <v>395</v>
      </c>
      <c r="D459" t="s">
        <v>1899</v>
      </c>
      <c r="E459" t="s">
        <v>1884</v>
      </c>
      <c r="F459" t="s">
        <v>1892</v>
      </c>
      <c r="G459">
        <v>279651</v>
      </c>
      <c r="H459" s="1">
        <v>45347</v>
      </c>
      <c r="I459" s="1"/>
      <c r="K459">
        <v>1.9</v>
      </c>
      <c r="L459" t="s">
        <v>15</v>
      </c>
      <c r="M459" t="s">
        <v>1916</v>
      </c>
      <c r="N459" t="s">
        <v>1887</v>
      </c>
    </row>
    <row r="460" spans="1:14" x14ac:dyDescent="0.35">
      <c r="A460" t="s">
        <v>2384</v>
      </c>
      <c r="B460" t="s">
        <v>1898</v>
      </c>
      <c r="C460" t="s">
        <v>433</v>
      </c>
      <c r="D460" t="s">
        <v>1883</v>
      </c>
      <c r="E460" t="s">
        <v>1918</v>
      </c>
      <c r="F460" t="s">
        <v>1900</v>
      </c>
      <c r="G460">
        <v>176717</v>
      </c>
      <c r="H460" s="1">
        <v>45001</v>
      </c>
      <c r="I460" s="1">
        <v>45065</v>
      </c>
      <c r="J460">
        <v>64</v>
      </c>
      <c r="K460">
        <v>15.5</v>
      </c>
      <c r="L460" t="s">
        <v>30</v>
      </c>
      <c r="M460" t="s">
        <v>1896</v>
      </c>
      <c r="N460" t="s">
        <v>1887</v>
      </c>
    </row>
    <row r="461" spans="1:14" x14ac:dyDescent="0.35">
      <c r="A461" t="s">
        <v>2385</v>
      </c>
      <c r="B461" t="s">
        <v>1924</v>
      </c>
      <c r="C461" t="s">
        <v>85</v>
      </c>
      <c r="D461" t="s">
        <v>1883</v>
      </c>
      <c r="E461" t="s">
        <v>1678</v>
      </c>
      <c r="F461" t="s">
        <v>1946</v>
      </c>
      <c r="G461">
        <v>354336</v>
      </c>
      <c r="H461" s="1">
        <v>45440</v>
      </c>
      <c r="I461" s="1"/>
      <c r="K461">
        <v>5.8</v>
      </c>
      <c r="L461" t="s">
        <v>47</v>
      </c>
      <c r="M461" t="s">
        <v>1935</v>
      </c>
      <c r="N461" t="s">
        <v>1887</v>
      </c>
    </row>
    <row r="462" spans="1:14" x14ac:dyDescent="0.35">
      <c r="A462" t="s">
        <v>2386</v>
      </c>
      <c r="B462" t="s">
        <v>1898</v>
      </c>
      <c r="C462" t="s">
        <v>425</v>
      </c>
      <c r="D462" t="s">
        <v>1883</v>
      </c>
      <c r="E462" t="s">
        <v>1905</v>
      </c>
      <c r="F462" t="s">
        <v>1885</v>
      </c>
      <c r="G462">
        <v>219263</v>
      </c>
      <c r="H462" s="1">
        <v>45548</v>
      </c>
      <c r="I462" s="1">
        <v>45650</v>
      </c>
      <c r="J462">
        <v>102</v>
      </c>
      <c r="L462" t="s">
        <v>47</v>
      </c>
      <c r="M462" t="s">
        <v>1953</v>
      </c>
      <c r="N462" t="s">
        <v>1887</v>
      </c>
    </row>
    <row r="463" spans="1:14" x14ac:dyDescent="0.35">
      <c r="A463" t="s">
        <v>2387</v>
      </c>
      <c r="B463" t="s">
        <v>1926</v>
      </c>
      <c r="C463" t="s">
        <v>219</v>
      </c>
      <c r="D463" t="s">
        <v>1899</v>
      </c>
      <c r="E463" t="s">
        <v>1587</v>
      </c>
      <c r="F463" t="s">
        <v>1908</v>
      </c>
      <c r="G463">
        <v>229480</v>
      </c>
      <c r="H463" s="1">
        <v>45494</v>
      </c>
      <c r="I463" s="1"/>
      <c r="K463">
        <v>10.7</v>
      </c>
      <c r="L463" t="s">
        <v>47</v>
      </c>
      <c r="M463" t="s">
        <v>1953</v>
      </c>
      <c r="N463" t="s">
        <v>1887</v>
      </c>
    </row>
    <row r="464" spans="1:14" x14ac:dyDescent="0.35">
      <c r="A464" t="s">
        <v>2388</v>
      </c>
      <c r="B464" t="s">
        <v>1920</v>
      </c>
      <c r="C464" t="s">
        <v>345</v>
      </c>
      <c r="D464" t="s">
        <v>1927</v>
      </c>
      <c r="E464" t="s">
        <v>1905</v>
      </c>
      <c r="F464" t="s">
        <v>1895</v>
      </c>
      <c r="G464">
        <v>367969</v>
      </c>
      <c r="H464" s="1">
        <v>44932</v>
      </c>
      <c r="I464" s="1"/>
      <c r="K464">
        <v>8.8000000000000007</v>
      </c>
      <c r="L464" t="s">
        <v>47</v>
      </c>
      <c r="M464" t="s">
        <v>1896</v>
      </c>
      <c r="N464" t="s">
        <v>1887</v>
      </c>
    </row>
    <row r="465" spans="1:14" x14ac:dyDescent="0.35">
      <c r="A465" t="s">
        <v>2389</v>
      </c>
      <c r="B465" t="s">
        <v>1934</v>
      </c>
      <c r="C465" t="s">
        <v>473</v>
      </c>
      <c r="D465" t="s">
        <v>1927</v>
      </c>
      <c r="E465" t="s">
        <v>1884</v>
      </c>
      <c r="F465" t="s">
        <v>1900</v>
      </c>
      <c r="G465">
        <v>279535</v>
      </c>
      <c r="H465" s="1">
        <v>45298</v>
      </c>
      <c r="I465" s="1">
        <v>45474</v>
      </c>
      <c r="J465">
        <v>176</v>
      </c>
      <c r="K465">
        <v>2.2999999999999998</v>
      </c>
      <c r="L465" t="s">
        <v>30</v>
      </c>
      <c r="M465" t="s">
        <v>1916</v>
      </c>
      <c r="N465" t="s">
        <v>1887</v>
      </c>
    </row>
    <row r="466" spans="1:14" x14ac:dyDescent="0.35">
      <c r="A466" t="s">
        <v>2390</v>
      </c>
      <c r="B466" t="s">
        <v>1926</v>
      </c>
      <c r="C466" t="s">
        <v>350</v>
      </c>
      <c r="D466" t="s">
        <v>1927</v>
      </c>
      <c r="E466" t="s">
        <v>1945</v>
      </c>
      <c r="F466" t="s">
        <v>1946</v>
      </c>
      <c r="G466">
        <v>240872</v>
      </c>
      <c r="H466" s="1">
        <v>45309</v>
      </c>
      <c r="I466" s="1"/>
      <c r="L466" t="s">
        <v>15</v>
      </c>
      <c r="M466" t="s">
        <v>1916</v>
      </c>
      <c r="N466" t="s">
        <v>1887</v>
      </c>
    </row>
    <row r="467" spans="1:14" x14ac:dyDescent="0.35">
      <c r="A467" t="s">
        <v>2391</v>
      </c>
      <c r="B467" t="s">
        <v>1937</v>
      </c>
      <c r="C467" t="s">
        <v>424</v>
      </c>
      <c r="D467" t="s">
        <v>1890</v>
      </c>
      <c r="E467" t="s">
        <v>1600</v>
      </c>
      <c r="F467" t="s">
        <v>1900</v>
      </c>
      <c r="G467">
        <v>480728</v>
      </c>
      <c r="H467" s="1">
        <v>45603</v>
      </c>
      <c r="I467" s="1">
        <v>45747</v>
      </c>
      <c r="J467">
        <v>144</v>
      </c>
      <c r="K467">
        <v>11.3</v>
      </c>
      <c r="L467" t="s">
        <v>47</v>
      </c>
      <c r="M467" t="s">
        <v>1901</v>
      </c>
      <c r="N467" t="s">
        <v>1887</v>
      </c>
    </row>
    <row r="468" spans="1:14" x14ac:dyDescent="0.35">
      <c r="A468" t="s">
        <v>2392</v>
      </c>
      <c r="B468" t="s">
        <v>1911</v>
      </c>
      <c r="C468" t="s">
        <v>349</v>
      </c>
      <c r="D468" t="s">
        <v>1904</v>
      </c>
      <c r="E468" t="s">
        <v>1945</v>
      </c>
      <c r="F468" t="s">
        <v>1946</v>
      </c>
      <c r="G468">
        <v>341275</v>
      </c>
      <c r="H468" s="1">
        <v>45111</v>
      </c>
      <c r="I468" s="1"/>
      <c r="L468" t="s">
        <v>21</v>
      </c>
      <c r="M468" t="s">
        <v>1932</v>
      </c>
      <c r="N468" t="s">
        <v>1887</v>
      </c>
    </row>
    <row r="469" spans="1:14" x14ac:dyDescent="0.35">
      <c r="A469" t="s">
        <v>2393</v>
      </c>
      <c r="B469" t="s">
        <v>1944</v>
      </c>
      <c r="C469" t="s">
        <v>485</v>
      </c>
      <c r="D469" t="s">
        <v>1899</v>
      </c>
      <c r="E469" t="s">
        <v>1678</v>
      </c>
      <c r="F469" t="s">
        <v>1900</v>
      </c>
      <c r="G469">
        <v>293258</v>
      </c>
      <c r="H469" s="1">
        <v>44960</v>
      </c>
      <c r="I469" s="1">
        <v>45116</v>
      </c>
      <c r="J469">
        <v>156</v>
      </c>
      <c r="K469">
        <v>24.7</v>
      </c>
      <c r="L469" t="s">
        <v>21</v>
      </c>
      <c r="M469" t="s">
        <v>1896</v>
      </c>
      <c r="N469" t="s">
        <v>1887</v>
      </c>
    </row>
    <row r="470" spans="1:14" x14ac:dyDescent="0.35">
      <c r="A470" t="s">
        <v>2394</v>
      </c>
      <c r="B470" t="s">
        <v>1934</v>
      </c>
      <c r="C470" t="s">
        <v>331</v>
      </c>
      <c r="D470" t="s">
        <v>1927</v>
      </c>
      <c r="E470" t="s">
        <v>1905</v>
      </c>
      <c r="F470" t="s">
        <v>1900</v>
      </c>
      <c r="G470">
        <v>115031</v>
      </c>
      <c r="H470" s="1">
        <v>45515</v>
      </c>
      <c r="I470" s="1">
        <v>45620</v>
      </c>
      <c r="J470">
        <v>105</v>
      </c>
      <c r="K470">
        <v>17.899999999999999</v>
      </c>
      <c r="L470" t="s">
        <v>15</v>
      </c>
      <c r="M470" t="s">
        <v>1953</v>
      </c>
      <c r="N470" t="s">
        <v>1887</v>
      </c>
    </row>
    <row r="471" spans="1:14" x14ac:dyDescent="0.35">
      <c r="A471" t="s">
        <v>2395</v>
      </c>
      <c r="B471" t="s">
        <v>1914</v>
      </c>
      <c r="C471" t="s">
        <v>152</v>
      </c>
      <c r="D471" t="s">
        <v>1890</v>
      </c>
      <c r="E471" t="s">
        <v>1891</v>
      </c>
      <c r="F471" t="s">
        <v>1900</v>
      </c>
      <c r="G471">
        <v>472633</v>
      </c>
      <c r="H471" s="1">
        <v>45426</v>
      </c>
      <c r="I471" s="1">
        <v>45448</v>
      </c>
      <c r="J471">
        <v>22</v>
      </c>
      <c r="K471">
        <v>2.8</v>
      </c>
      <c r="L471" t="s">
        <v>30</v>
      </c>
      <c r="M471" t="s">
        <v>1935</v>
      </c>
      <c r="N471" t="s">
        <v>1887</v>
      </c>
    </row>
    <row r="472" spans="1:14" x14ac:dyDescent="0.35">
      <c r="A472" t="s">
        <v>2396</v>
      </c>
      <c r="B472" t="s">
        <v>1963</v>
      </c>
      <c r="C472" t="s">
        <v>264</v>
      </c>
      <c r="D472" t="s">
        <v>1890</v>
      </c>
      <c r="E472" t="s">
        <v>1884</v>
      </c>
      <c r="F472" t="s">
        <v>1892</v>
      </c>
      <c r="G472">
        <v>377759</v>
      </c>
      <c r="H472" s="1">
        <v>44985</v>
      </c>
      <c r="I472" s="1"/>
      <c r="K472">
        <v>10.3</v>
      </c>
      <c r="L472" t="s">
        <v>47</v>
      </c>
      <c r="M472" t="s">
        <v>1896</v>
      </c>
      <c r="N472" t="s">
        <v>1887</v>
      </c>
    </row>
    <row r="473" spans="1:14" x14ac:dyDescent="0.35">
      <c r="A473" t="s">
        <v>2397</v>
      </c>
      <c r="B473" t="s">
        <v>1882</v>
      </c>
      <c r="C473" t="s">
        <v>411</v>
      </c>
      <c r="D473" t="s">
        <v>1883</v>
      </c>
      <c r="E473" t="s">
        <v>1884</v>
      </c>
      <c r="F473" t="s">
        <v>1946</v>
      </c>
      <c r="G473">
        <v>237928</v>
      </c>
      <c r="H473" s="1">
        <v>45071</v>
      </c>
      <c r="I473" s="1"/>
      <c r="K473">
        <v>12.7</v>
      </c>
      <c r="L473" t="s">
        <v>47</v>
      </c>
      <c r="M473" t="s">
        <v>1893</v>
      </c>
      <c r="N473" t="s">
        <v>1887</v>
      </c>
    </row>
    <row r="474" spans="1:14" x14ac:dyDescent="0.35">
      <c r="A474" t="s">
        <v>2398</v>
      </c>
      <c r="B474" t="s">
        <v>1926</v>
      </c>
      <c r="C474" t="s">
        <v>370</v>
      </c>
      <c r="D474" t="s">
        <v>1899</v>
      </c>
      <c r="E474" t="s">
        <v>1600</v>
      </c>
      <c r="F474" t="s">
        <v>1895</v>
      </c>
      <c r="G474">
        <v>187605</v>
      </c>
      <c r="H474" s="1">
        <v>45087</v>
      </c>
      <c r="I474" s="1"/>
      <c r="K474">
        <v>9.6</v>
      </c>
      <c r="L474" t="s">
        <v>30</v>
      </c>
      <c r="M474" t="s">
        <v>1893</v>
      </c>
      <c r="N474" t="s">
        <v>1887</v>
      </c>
    </row>
    <row r="475" spans="1:14" x14ac:dyDescent="0.35">
      <c r="A475" t="s">
        <v>2399</v>
      </c>
      <c r="B475" t="s">
        <v>1924</v>
      </c>
      <c r="C475" t="s">
        <v>147</v>
      </c>
      <c r="D475" t="s">
        <v>1915</v>
      </c>
      <c r="E475" t="s">
        <v>1600</v>
      </c>
      <c r="F475" t="s">
        <v>1892</v>
      </c>
      <c r="G475">
        <v>69045</v>
      </c>
      <c r="H475" s="1">
        <v>45359</v>
      </c>
      <c r="I475" s="1"/>
      <c r="K475">
        <v>3.6</v>
      </c>
      <c r="L475" t="s">
        <v>21</v>
      </c>
      <c r="M475" t="s">
        <v>1916</v>
      </c>
      <c r="N475" t="s">
        <v>1887</v>
      </c>
    </row>
    <row r="476" spans="1:14" x14ac:dyDescent="0.35">
      <c r="A476" t="s">
        <v>2400</v>
      </c>
      <c r="B476" t="s">
        <v>1903</v>
      </c>
      <c r="C476" t="s">
        <v>321</v>
      </c>
      <c r="D476" t="s">
        <v>1927</v>
      </c>
      <c r="E476" t="s">
        <v>1931</v>
      </c>
      <c r="F476" t="s">
        <v>1885</v>
      </c>
      <c r="G476">
        <v>335459</v>
      </c>
      <c r="H476" s="1">
        <v>45510</v>
      </c>
      <c r="I476" s="1">
        <v>45610</v>
      </c>
      <c r="J476">
        <v>100</v>
      </c>
      <c r="L476" t="s">
        <v>30</v>
      </c>
      <c r="M476" t="s">
        <v>1953</v>
      </c>
      <c r="N476" t="s">
        <v>1887</v>
      </c>
    </row>
    <row r="477" spans="1:14" x14ac:dyDescent="0.35">
      <c r="A477" t="s">
        <v>2401</v>
      </c>
      <c r="B477" t="s">
        <v>1934</v>
      </c>
      <c r="C477" t="s">
        <v>318</v>
      </c>
      <c r="D477" t="s">
        <v>1899</v>
      </c>
      <c r="E477" t="s">
        <v>1905</v>
      </c>
      <c r="F477" t="s">
        <v>1946</v>
      </c>
      <c r="G477">
        <v>238659</v>
      </c>
      <c r="H477" s="1">
        <v>44964</v>
      </c>
      <c r="I477" s="1"/>
      <c r="L477" t="s">
        <v>47</v>
      </c>
      <c r="M477" t="s">
        <v>1896</v>
      </c>
      <c r="N477" t="s">
        <v>1887</v>
      </c>
    </row>
    <row r="478" spans="1:14" x14ac:dyDescent="0.35">
      <c r="A478" t="s">
        <v>2402</v>
      </c>
      <c r="B478" t="s">
        <v>1911</v>
      </c>
      <c r="C478" t="s">
        <v>302</v>
      </c>
      <c r="D478" t="s">
        <v>1915</v>
      </c>
      <c r="E478" t="s">
        <v>1931</v>
      </c>
      <c r="F478" t="s">
        <v>1908</v>
      </c>
      <c r="G478">
        <v>218143</v>
      </c>
      <c r="H478" s="1">
        <v>45278</v>
      </c>
      <c r="I478" s="1"/>
      <c r="K478">
        <v>12.6</v>
      </c>
      <c r="L478" t="s">
        <v>30</v>
      </c>
      <c r="M478" t="s">
        <v>1886</v>
      </c>
      <c r="N478" t="s">
        <v>1887</v>
      </c>
    </row>
    <row r="479" spans="1:14" x14ac:dyDescent="0.35">
      <c r="A479" t="s">
        <v>2403</v>
      </c>
      <c r="B479" t="s">
        <v>1882</v>
      </c>
      <c r="C479" t="s">
        <v>297</v>
      </c>
      <c r="D479" t="s">
        <v>1904</v>
      </c>
      <c r="E479" t="s">
        <v>1587</v>
      </c>
      <c r="F479" t="s">
        <v>1908</v>
      </c>
      <c r="G479">
        <v>455136</v>
      </c>
      <c r="H479" s="1">
        <v>45063</v>
      </c>
      <c r="I479" s="1"/>
      <c r="K479">
        <v>10.199999999999999</v>
      </c>
      <c r="L479" t="s">
        <v>21</v>
      </c>
      <c r="M479" t="s">
        <v>1893</v>
      </c>
      <c r="N479" t="s">
        <v>1887</v>
      </c>
    </row>
    <row r="480" spans="1:14" x14ac:dyDescent="0.35">
      <c r="A480" t="s">
        <v>2404</v>
      </c>
      <c r="B480" t="s">
        <v>1934</v>
      </c>
      <c r="C480" t="s">
        <v>402</v>
      </c>
      <c r="D480" t="s">
        <v>1899</v>
      </c>
      <c r="E480" t="s">
        <v>1600</v>
      </c>
      <c r="F480" t="s">
        <v>1892</v>
      </c>
      <c r="G480">
        <v>335811</v>
      </c>
      <c r="H480" s="1">
        <v>45361</v>
      </c>
      <c r="I480" s="1"/>
      <c r="L480" t="s">
        <v>30</v>
      </c>
      <c r="M480" t="s">
        <v>1916</v>
      </c>
      <c r="N480" t="s">
        <v>1887</v>
      </c>
    </row>
    <row r="481" spans="1:14" x14ac:dyDescent="0.35">
      <c r="A481" t="s">
        <v>2405</v>
      </c>
      <c r="B481" t="s">
        <v>1924</v>
      </c>
      <c r="C481" t="s">
        <v>232</v>
      </c>
      <c r="D481" t="s">
        <v>1904</v>
      </c>
      <c r="E481" t="s">
        <v>1891</v>
      </c>
      <c r="F481" t="s">
        <v>1895</v>
      </c>
      <c r="G481">
        <v>231081</v>
      </c>
      <c r="H481" s="1">
        <v>45658</v>
      </c>
      <c r="I481" s="1"/>
      <c r="K481">
        <v>12.6</v>
      </c>
      <c r="L481" t="s">
        <v>30</v>
      </c>
      <c r="M481" t="s">
        <v>1912</v>
      </c>
      <c r="N481" t="s">
        <v>1887</v>
      </c>
    </row>
    <row r="482" spans="1:14" x14ac:dyDescent="0.35">
      <c r="A482" t="s">
        <v>2406</v>
      </c>
      <c r="B482" t="s">
        <v>1926</v>
      </c>
      <c r="C482" t="s">
        <v>461</v>
      </c>
      <c r="D482" t="s">
        <v>1915</v>
      </c>
      <c r="E482" t="s">
        <v>1918</v>
      </c>
      <c r="F482" t="s">
        <v>1900</v>
      </c>
      <c r="G482">
        <v>433642</v>
      </c>
      <c r="H482" s="1">
        <v>45659</v>
      </c>
      <c r="I482" s="1">
        <v>45804</v>
      </c>
      <c r="J482">
        <v>145</v>
      </c>
      <c r="K482">
        <v>17.8</v>
      </c>
      <c r="L482" t="s">
        <v>15</v>
      </c>
      <c r="M482" t="s">
        <v>1912</v>
      </c>
      <c r="N482" t="s">
        <v>1887</v>
      </c>
    </row>
    <row r="483" spans="1:14" x14ac:dyDescent="0.35">
      <c r="A483" t="s">
        <v>2407</v>
      </c>
      <c r="B483" t="s">
        <v>1911</v>
      </c>
      <c r="C483" t="s">
        <v>360</v>
      </c>
      <c r="D483" t="s">
        <v>1883</v>
      </c>
      <c r="E483" t="s">
        <v>1918</v>
      </c>
      <c r="F483" t="s">
        <v>1900</v>
      </c>
      <c r="G483">
        <v>71114</v>
      </c>
      <c r="H483" s="1">
        <v>45000</v>
      </c>
      <c r="I483" s="1">
        <v>45071</v>
      </c>
      <c r="J483">
        <v>71</v>
      </c>
      <c r="K483">
        <v>8.4</v>
      </c>
      <c r="L483" t="s">
        <v>15</v>
      </c>
      <c r="M483" t="s">
        <v>1896</v>
      </c>
      <c r="N483" t="s">
        <v>1887</v>
      </c>
    </row>
    <row r="484" spans="1:14" x14ac:dyDescent="0.35">
      <c r="A484" t="s">
        <v>2408</v>
      </c>
      <c r="B484" t="s">
        <v>1907</v>
      </c>
      <c r="C484" t="s">
        <v>269</v>
      </c>
      <c r="D484" t="s">
        <v>1890</v>
      </c>
      <c r="E484" t="s">
        <v>1931</v>
      </c>
      <c r="F484" t="s">
        <v>1895</v>
      </c>
      <c r="G484">
        <v>246396</v>
      </c>
      <c r="H484" s="1">
        <v>45515</v>
      </c>
      <c r="I484" s="1"/>
      <c r="K484">
        <v>13.2</v>
      </c>
      <c r="L484" t="s">
        <v>21</v>
      </c>
      <c r="M484" t="s">
        <v>1953</v>
      </c>
      <c r="N484" t="s">
        <v>1887</v>
      </c>
    </row>
    <row r="485" spans="1:14" x14ac:dyDescent="0.35">
      <c r="A485" t="s">
        <v>2409</v>
      </c>
      <c r="B485" t="s">
        <v>1914</v>
      </c>
      <c r="C485" t="s">
        <v>218</v>
      </c>
      <c r="D485" t="s">
        <v>1883</v>
      </c>
      <c r="E485" t="s">
        <v>1587</v>
      </c>
      <c r="F485" t="s">
        <v>1900</v>
      </c>
      <c r="G485">
        <v>179876</v>
      </c>
      <c r="H485" s="1">
        <v>45509</v>
      </c>
      <c r="I485" s="1">
        <v>45534</v>
      </c>
      <c r="J485">
        <v>25</v>
      </c>
      <c r="K485">
        <v>1.4</v>
      </c>
      <c r="L485" t="s">
        <v>15</v>
      </c>
      <c r="M485" t="s">
        <v>1953</v>
      </c>
      <c r="N485" t="s">
        <v>1887</v>
      </c>
    </row>
    <row r="486" spans="1:14" x14ac:dyDescent="0.35">
      <c r="A486" t="s">
        <v>2410</v>
      </c>
      <c r="B486" t="s">
        <v>1911</v>
      </c>
      <c r="C486" t="s">
        <v>380</v>
      </c>
      <c r="D486" t="s">
        <v>1890</v>
      </c>
      <c r="E486" t="s">
        <v>1587</v>
      </c>
      <c r="F486" t="s">
        <v>1900</v>
      </c>
      <c r="G486">
        <v>261898</v>
      </c>
      <c r="H486" s="1">
        <v>45385</v>
      </c>
      <c r="I486" s="1">
        <v>45534</v>
      </c>
      <c r="J486">
        <v>149</v>
      </c>
      <c r="K486">
        <v>19.8</v>
      </c>
      <c r="L486" t="s">
        <v>21</v>
      </c>
      <c r="M486" t="s">
        <v>1935</v>
      </c>
      <c r="N486" t="s">
        <v>1887</v>
      </c>
    </row>
    <row r="487" spans="1:14" x14ac:dyDescent="0.35">
      <c r="A487" t="s">
        <v>2411</v>
      </c>
      <c r="B487" t="s">
        <v>1924</v>
      </c>
      <c r="C487" t="s">
        <v>394</v>
      </c>
      <c r="D487" t="s">
        <v>1899</v>
      </c>
      <c r="E487" t="s">
        <v>1678</v>
      </c>
      <c r="F487" t="s">
        <v>1885</v>
      </c>
      <c r="G487">
        <v>456898</v>
      </c>
      <c r="H487" s="1">
        <v>45625</v>
      </c>
      <c r="I487" s="1">
        <v>45732</v>
      </c>
      <c r="J487">
        <v>107</v>
      </c>
      <c r="K487">
        <v>6.6</v>
      </c>
      <c r="L487" t="s">
        <v>47</v>
      </c>
      <c r="M487" t="s">
        <v>1901</v>
      </c>
      <c r="N487" t="s">
        <v>1887</v>
      </c>
    </row>
    <row r="488" spans="1:14" x14ac:dyDescent="0.35">
      <c r="A488" t="s">
        <v>2412</v>
      </c>
      <c r="B488" t="s">
        <v>1911</v>
      </c>
      <c r="C488" t="s">
        <v>74</v>
      </c>
      <c r="D488" t="s">
        <v>1915</v>
      </c>
      <c r="E488" t="s">
        <v>1600</v>
      </c>
      <c r="F488" t="s">
        <v>1946</v>
      </c>
      <c r="G488">
        <v>494705</v>
      </c>
      <c r="H488" s="1">
        <v>45517</v>
      </c>
      <c r="I488" s="1"/>
      <c r="L488" t="s">
        <v>21</v>
      </c>
      <c r="M488" t="s">
        <v>1953</v>
      </c>
      <c r="N488" t="s">
        <v>1887</v>
      </c>
    </row>
    <row r="489" spans="1:14" x14ac:dyDescent="0.35">
      <c r="A489" t="s">
        <v>2413</v>
      </c>
      <c r="B489" t="s">
        <v>1963</v>
      </c>
      <c r="C489" t="s">
        <v>462</v>
      </c>
      <c r="D489" t="s">
        <v>1904</v>
      </c>
      <c r="E489" t="s">
        <v>1884</v>
      </c>
      <c r="F489" t="s">
        <v>1946</v>
      </c>
      <c r="G489">
        <v>403402</v>
      </c>
      <c r="H489" s="1">
        <v>45421</v>
      </c>
      <c r="I489" s="1"/>
      <c r="K489">
        <v>9.3000000000000007</v>
      </c>
      <c r="L489" t="s">
        <v>47</v>
      </c>
      <c r="M489" t="s">
        <v>1935</v>
      </c>
      <c r="N489" t="s">
        <v>1887</v>
      </c>
    </row>
    <row r="490" spans="1:14" x14ac:dyDescent="0.35">
      <c r="A490" t="s">
        <v>2414</v>
      </c>
      <c r="B490" t="s">
        <v>1914</v>
      </c>
      <c r="C490" t="s">
        <v>184</v>
      </c>
      <c r="D490" t="s">
        <v>1904</v>
      </c>
      <c r="E490" t="s">
        <v>1600</v>
      </c>
      <c r="F490" t="s">
        <v>1908</v>
      </c>
      <c r="G490">
        <v>104888</v>
      </c>
      <c r="H490" s="1">
        <v>45587</v>
      </c>
      <c r="I490" s="1"/>
      <c r="L490" t="s">
        <v>15</v>
      </c>
      <c r="M490" t="s">
        <v>1901</v>
      </c>
      <c r="N490" t="s">
        <v>1887</v>
      </c>
    </row>
    <row r="491" spans="1:14" x14ac:dyDescent="0.35">
      <c r="A491" t="s">
        <v>2415</v>
      </c>
      <c r="B491" t="s">
        <v>1963</v>
      </c>
      <c r="C491" t="s">
        <v>191</v>
      </c>
      <c r="D491" t="s">
        <v>1904</v>
      </c>
      <c r="E491" t="s">
        <v>1905</v>
      </c>
      <c r="F491" t="s">
        <v>1946</v>
      </c>
      <c r="G491">
        <v>79235</v>
      </c>
      <c r="H491" s="1">
        <v>45336</v>
      </c>
      <c r="I491" s="1"/>
      <c r="K491">
        <v>10.199999999999999</v>
      </c>
      <c r="L491" t="s">
        <v>15</v>
      </c>
      <c r="M491" t="s">
        <v>1916</v>
      </c>
      <c r="N491" t="s">
        <v>1887</v>
      </c>
    </row>
    <row r="492" spans="1:14" x14ac:dyDescent="0.35">
      <c r="A492" t="s">
        <v>2416</v>
      </c>
      <c r="B492" t="s">
        <v>1922</v>
      </c>
      <c r="C492" t="s">
        <v>234</v>
      </c>
      <c r="D492" t="s">
        <v>1915</v>
      </c>
      <c r="E492" t="s">
        <v>1905</v>
      </c>
      <c r="F492" t="s">
        <v>1892</v>
      </c>
      <c r="G492">
        <v>267215</v>
      </c>
      <c r="H492" s="1">
        <v>44981</v>
      </c>
      <c r="I492" s="1"/>
      <c r="K492">
        <v>2.2000000000000002</v>
      </c>
      <c r="L492" t="s">
        <v>47</v>
      </c>
      <c r="M492" t="s">
        <v>1896</v>
      </c>
      <c r="N492" t="s">
        <v>1887</v>
      </c>
    </row>
    <row r="493" spans="1:14" x14ac:dyDescent="0.35">
      <c r="A493" t="s">
        <v>2417</v>
      </c>
      <c r="B493" t="s">
        <v>1882</v>
      </c>
      <c r="C493" t="s">
        <v>429</v>
      </c>
      <c r="D493" t="s">
        <v>1883</v>
      </c>
      <c r="E493" t="s">
        <v>1931</v>
      </c>
      <c r="F493" t="s">
        <v>1900</v>
      </c>
      <c r="G493">
        <v>34808</v>
      </c>
      <c r="H493" s="1">
        <v>45218</v>
      </c>
      <c r="I493" s="1">
        <v>45349</v>
      </c>
      <c r="J493">
        <v>131</v>
      </c>
      <c r="K493">
        <v>15.5</v>
      </c>
      <c r="L493" t="s">
        <v>15</v>
      </c>
      <c r="M493" t="s">
        <v>1886</v>
      </c>
      <c r="N493" t="s">
        <v>1887</v>
      </c>
    </row>
    <row r="494" spans="1:14" x14ac:dyDescent="0.35">
      <c r="A494" t="s">
        <v>2418</v>
      </c>
      <c r="B494" t="s">
        <v>1907</v>
      </c>
      <c r="C494" t="s">
        <v>446</v>
      </c>
      <c r="D494" t="s">
        <v>1927</v>
      </c>
      <c r="E494" t="s">
        <v>1891</v>
      </c>
      <c r="F494" t="s">
        <v>1900</v>
      </c>
      <c r="G494">
        <v>70365</v>
      </c>
      <c r="H494" s="1">
        <v>45072</v>
      </c>
      <c r="I494" s="1">
        <v>45165</v>
      </c>
      <c r="J494">
        <v>93</v>
      </c>
      <c r="K494">
        <v>19.399999999999999</v>
      </c>
      <c r="L494" t="s">
        <v>30</v>
      </c>
      <c r="M494" t="s">
        <v>1893</v>
      </c>
      <c r="N494" t="s">
        <v>1887</v>
      </c>
    </row>
    <row r="495" spans="1:14" x14ac:dyDescent="0.35">
      <c r="A495" t="s">
        <v>2419</v>
      </c>
      <c r="B495" t="s">
        <v>1911</v>
      </c>
      <c r="C495" t="s">
        <v>395</v>
      </c>
      <c r="D495" t="s">
        <v>1927</v>
      </c>
      <c r="E495" t="s">
        <v>1600</v>
      </c>
      <c r="F495" t="s">
        <v>1900</v>
      </c>
      <c r="G495">
        <v>29232</v>
      </c>
      <c r="H495" s="1">
        <v>45337</v>
      </c>
      <c r="I495" s="1">
        <v>45453</v>
      </c>
      <c r="J495">
        <v>116</v>
      </c>
      <c r="K495">
        <v>6.8</v>
      </c>
      <c r="L495" t="s">
        <v>21</v>
      </c>
      <c r="M495" t="s">
        <v>1916</v>
      </c>
      <c r="N495" t="s">
        <v>1887</v>
      </c>
    </row>
    <row r="496" spans="1:14" x14ac:dyDescent="0.35">
      <c r="A496" t="s">
        <v>2420</v>
      </c>
      <c r="B496" t="s">
        <v>1930</v>
      </c>
      <c r="C496" t="s">
        <v>440</v>
      </c>
      <c r="D496" t="s">
        <v>1927</v>
      </c>
      <c r="E496" t="s">
        <v>1600</v>
      </c>
      <c r="F496" t="s">
        <v>1900</v>
      </c>
      <c r="G496">
        <v>154406</v>
      </c>
      <c r="H496" s="1">
        <v>45064</v>
      </c>
      <c r="I496" s="1">
        <v>45198</v>
      </c>
      <c r="J496">
        <v>134</v>
      </c>
      <c r="K496">
        <v>17.399999999999999</v>
      </c>
      <c r="L496" t="s">
        <v>21</v>
      </c>
      <c r="M496" t="s">
        <v>1893</v>
      </c>
      <c r="N496" t="s">
        <v>1887</v>
      </c>
    </row>
    <row r="497" spans="1:14" x14ac:dyDescent="0.35">
      <c r="A497" t="s">
        <v>2421</v>
      </c>
      <c r="B497" t="s">
        <v>1922</v>
      </c>
      <c r="C497" t="s">
        <v>224</v>
      </c>
      <c r="D497" t="s">
        <v>1899</v>
      </c>
      <c r="E497" t="s">
        <v>1678</v>
      </c>
      <c r="F497" t="s">
        <v>1908</v>
      </c>
      <c r="G497">
        <v>245914</v>
      </c>
      <c r="H497" s="1">
        <v>44957</v>
      </c>
      <c r="I497" s="1"/>
      <c r="K497">
        <v>5.6</v>
      </c>
      <c r="L497" t="s">
        <v>15</v>
      </c>
      <c r="M497" t="s">
        <v>1896</v>
      </c>
      <c r="N497" t="s">
        <v>1887</v>
      </c>
    </row>
    <row r="498" spans="1:14" x14ac:dyDescent="0.35">
      <c r="A498" t="s">
        <v>2422</v>
      </c>
      <c r="B498" t="s">
        <v>1934</v>
      </c>
      <c r="C498" t="s">
        <v>421</v>
      </c>
      <c r="D498" t="s">
        <v>1890</v>
      </c>
      <c r="E498" t="s">
        <v>1905</v>
      </c>
      <c r="F498" t="s">
        <v>1946</v>
      </c>
      <c r="G498">
        <v>1219562</v>
      </c>
      <c r="H498" s="1">
        <v>45028</v>
      </c>
      <c r="I498" s="1"/>
      <c r="K498">
        <v>5.7</v>
      </c>
      <c r="L498" t="s">
        <v>30</v>
      </c>
      <c r="M498" t="s">
        <v>1893</v>
      </c>
      <c r="N498" t="s">
        <v>1966</v>
      </c>
    </row>
    <row r="499" spans="1:14" x14ac:dyDescent="0.35">
      <c r="A499" t="s">
        <v>2423</v>
      </c>
      <c r="B499" t="s">
        <v>1934</v>
      </c>
      <c r="C499" t="s">
        <v>446</v>
      </c>
      <c r="D499" t="s">
        <v>1890</v>
      </c>
      <c r="E499" t="s">
        <v>1891</v>
      </c>
      <c r="F499" t="s">
        <v>1892</v>
      </c>
      <c r="G499">
        <v>411651</v>
      </c>
      <c r="H499" s="1">
        <v>45121</v>
      </c>
      <c r="I499" s="1"/>
      <c r="K499">
        <v>11.8</v>
      </c>
      <c r="L499" t="s">
        <v>21</v>
      </c>
      <c r="M499" t="s">
        <v>1932</v>
      </c>
      <c r="N499" t="s">
        <v>1887</v>
      </c>
    </row>
    <row r="500" spans="1:14" x14ac:dyDescent="0.35">
      <c r="A500" t="s">
        <v>2424</v>
      </c>
      <c r="B500" t="s">
        <v>1922</v>
      </c>
      <c r="C500" t="s">
        <v>160</v>
      </c>
      <c r="D500" t="s">
        <v>1904</v>
      </c>
      <c r="E500" t="s">
        <v>1587</v>
      </c>
      <c r="F500" t="s">
        <v>1895</v>
      </c>
      <c r="G500">
        <v>125218</v>
      </c>
      <c r="H500" s="1">
        <v>45635</v>
      </c>
      <c r="I500" s="1"/>
      <c r="L500" t="s">
        <v>30</v>
      </c>
      <c r="M500" t="s">
        <v>1901</v>
      </c>
      <c r="N500" t="s">
        <v>1887</v>
      </c>
    </row>
    <row r="501" spans="1:14" x14ac:dyDescent="0.35">
      <c r="A501" t="s">
        <v>2425</v>
      </c>
      <c r="B501" t="s">
        <v>1930</v>
      </c>
      <c r="C501" t="s">
        <v>178</v>
      </c>
      <c r="D501" t="s">
        <v>1915</v>
      </c>
      <c r="E501" t="s">
        <v>1931</v>
      </c>
      <c r="F501" t="s">
        <v>1946</v>
      </c>
      <c r="G501">
        <v>366848</v>
      </c>
      <c r="H501" s="1">
        <v>45074</v>
      </c>
      <c r="I501" s="1"/>
      <c r="L501" t="s">
        <v>15</v>
      </c>
      <c r="M501" t="s">
        <v>1893</v>
      </c>
      <c r="N501" t="s">
        <v>1887</v>
      </c>
    </row>
    <row r="502" spans="1:14" x14ac:dyDescent="0.35">
      <c r="A502" t="s">
        <v>2426</v>
      </c>
      <c r="B502" t="s">
        <v>1926</v>
      </c>
      <c r="C502" t="s">
        <v>396</v>
      </c>
      <c r="D502" t="s">
        <v>1915</v>
      </c>
      <c r="E502" t="s">
        <v>1931</v>
      </c>
      <c r="F502" t="s">
        <v>1895</v>
      </c>
      <c r="G502">
        <v>278729</v>
      </c>
      <c r="H502" s="1">
        <v>44968</v>
      </c>
      <c r="I502" s="1"/>
      <c r="K502">
        <v>14</v>
      </c>
      <c r="L502" t="s">
        <v>30</v>
      </c>
      <c r="M502" t="s">
        <v>1896</v>
      </c>
      <c r="N502" t="s">
        <v>1887</v>
      </c>
    </row>
    <row r="503" spans="1:14" x14ac:dyDescent="0.35">
      <c r="A503" t="s">
        <v>2427</v>
      </c>
      <c r="B503" t="s">
        <v>1903</v>
      </c>
      <c r="C503" t="s">
        <v>400</v>
      </c>
      <c r="D503" t="s">
        <v>1899</v>
      </c>
      <c r="E503" t="s">
        <v>1884</v>
      </c>
      <c r="F503" t="s">
        <v>1900</v>
      </c>
      <c r="G503">
        <v>1419979</v>
      </c>
      <c r="H503" s="1">
        <v>45109</v>
      </c>
      <c r="I503" s="1">
        <v>45241</v>
      </c>
      <c r="J503">
        <v>132</v>
      </c>
      <c r="K503">
        <v>18</v>
      </c>
      <c r="L503" t="s">
        <v>47</v>
      </c>
      <c r="M503" t="s">
        <v>1932</v>
      </c>
      <c r="N503" t="s">
        <v>1966</v>
      </c>
    </row>
    <row r="504" spans="1:14" x14ac:dyDescent="0.35">
      <c r="A504" t="s">
        <v>2428</v>
      </c>
      <c r="B504" t="s">
        <v>1920</v>
      </c>
      <c r="C504" t="s">
        <v>191</v>
      </c>
      <c r="D504" t="s">
        <v>1899</v>
      </c>
      <c r="E504" t="s">
        <v>1918</v>
      </c>
      <c r="F504" t="s">
        <v>1908</v>
      </c>
      <c r="G504">
        <v>49327</v>
      </c>
      <c r="H504" s="1">
        <v>45306</v>
      </c>
      <c r="I504" s="1"/>
      <c r="K504">
        <v>9.8000000000000007</v>
      </c>
      <c r="L504" t="s">
        <v>47</v>
      </c>
      <c r="M504" t="s">
        <v>1916</v>
      </c>
      <c r="N504" t="s">
        <v>1887</v>
      </c>
    </row>
    <row r="505" spans="1:14" x14ac:dyDescent="0.35">
      <c r="A505" t="s">
        <v>2429</v>
      </c>
      <c r="B505" t="s">
        <v>1920</v>
      </c>
      <c r="C505" t="s">
        <v>142</v>
      </c>
      <c r="D505" t="s">
        <v>1899</v>
      </c>
      <c r="E505" t="s">
        <v>1905</v>
      </c>
      <c r="F505" t="s">
        <v>1908</v>
      </c>
      <c r="G505">
        <v>433821</v>
      </c>
      <c r="H505" s="1">
        <v>45350</v>
      </c>
      <c r="I505" s="1"/>
      <c r="K505">
        <v>0.1</v>
      </c>
      <c r="L505" t="s">
        <v>30</v>
      </c>
      <c r="M505" t="s">
        <v>1916</v>
      </c>
      <c r="N505" t="s">
        <v>1887</v>
      </c>
    </row>
    <row r="506" spans="1:14" x14ac:dyDescent="0.35">
      <c r="A506" t="s">
        <v>2430</v>
      </c>
      <c r="B506" t="s">
        <v>1889</v>
      </c>
      <c r="C506" t="s">
        <v>384</v>
      </c>
      <c r="D506" t="s">
        <v>1883</v>
      </c>
      <c r="E506" t="s">
        <v>1931</v>
      </c>
      <c r="F506" t="s">
        <v>1900</v>
      </c>
      <c r="G506">
        <v>145086</v>
      </c>
      <c r="H506" s="1">
        <v>45499</v>
      </c>
      <c r="I506" s="1">
        <v>45563</v>
      </c>
      <c r="J506">
        <v>64</v>
      </c>
      <c r="K506">
        <v>19.100000000000001</v>
      </c>
      <c r="L506" t="s">
        <v>30</v>
      </c>
      <c r="M506" t="s">
        <v>1953</v>
      </c>
      <c r="N506" t="s">
        <v>1887</v>
      </c>
    </row>
    <row r="507" spans="1:14" x14ac:dyDescent="0.35">
      <c r="A507" t="s">
        <v>2431</v>
      </c>
      <c r="B507" t="s">
        <v>1907</v>
      </c>
      <c r="C507" t="s">
        <v>436</v>
      </c>
      <c r="D507" t="s">
        <v>1927</v>
      </c>
      <c r="E507" t="s">
        <v>1905</v>
      </c>
      <c r="F507" t="s">
        <v>1895</v>
      </c>
      <c r="G507">
        <v>346869</v>
      </c>
      <c r="H507" s="1">
        <v>44969</v>
      </c>
      <c r="I507" s="1"/>
      <c r="L507" t="s">
        <v>21</v>
      </c>
      <c r="M507" t="s">
        <v>1896</v>
      </c>
      <c r="N507" t="s">
        <v>1887</v>
      </c>
    </row>
    <row r="508" spans="1:14" x14ac:dyDescent="0.35">
      <c r="A508" t="s">
        <v>2432</v>
      </c>
      <c r="B508" t="s">
        <v>1937</v>
      </c>
      <c r="C508" t="s">
        <v>218</v>
      </c>
      <c r="D508" t="s">
        <v>1927</v>
      </c>
      <c r="E508" t="s">
        <v>1905</v>
      </c>
      <c r="F508" t="s">
        <v>1895</v>
      </c>
      <c r="G508">
        <v>369019</v>
      </c>
      <c r="H508" s="1">
        <v>44948</v>
      </c>
      <c r="I508" s="1"/>
      <c r="L508" t="s">
        <v>47</v>
      </c>
      <c r="M508" t="s">
        <v>1896</v>
      </c>
      <c r="N508" t="s">
        <v>1887</v>
      </c>
    </row>
    <row r="509" spans="1:14" x14ac:dyDescent="0.35">
      <c r="A509" t="s">
        <v>2433</v>
      </c>
      <c r="B509" t="s">
        <v>1926</v>
      </c>
      <c r="C509" t="s">
        <v>348</v>
      </c>
      <c r="D509" t="s">
        <v>1890</v>
      </c>
      <c r="E509" t="s">
        <v>1678</v>
      </c>
      <c r="F509" t="s">
        <v>1908</v>
      </c>
      <c r="G509">
        <v>169774</v>
      </c>
      <c r="H509" s="1">
        <v>45667</v>
      </c>
      <c r="I509" s="1"/>
      <c r="K509">
        <v>4.0999999999999996</v>
      </c>
      <c r="L509" t="s">
        <v>15</v>
      </c>
      <c r="M509" t="s">
        <v>1912</v>
      </c>
      <c r="N509" t="s">
        <v>1887</v>
      </c>
    </row>
    <row r="510" spans="1:14" x14ac:dyDescent="0.35">
      <c r="A510" t="s">
        <v>2434</v>
      </c>
      <c r="B510" t="s">
        <v>1924</v>
      </c>
      <c r="C510" t="s">
        <v>99</v>
      </c>
      <c r="D510" t="s">
        <v>1915</v>
      </c>
      <c r="E510" t="s">
        <v>1600</v>
      </c>
      <c r="F510" t="s">
        <v>1908</v>
      </c>
      <c r="G510">
        <v>270263</v>
      </c>
      <c r="H510" s="1">
        <v>45004</v>
      </c>
      <c r="I510" s="1"/>
      <c r="K510">
        <v>7.2</v>
      </c>
      <c r="L510" t="s">
        <v>21</v>
      </c>
      <c r="M510" t="s">
        <v>1896</v>
      </c>
      <c r="N510" t="s">
        <v>1887</v>
      </c>
    </row>
    <row r="511" spans="1:14" x14ac:dyDescent="0.35">
      <c r="A511" t="s">
        <v>2435</v>
      </c>
      <c r="B511" t="s">
        <v>1914</v>
      </c>
      <c r="C511" t="s">
        <v>112</v>
      </c>
      <c r="D511" t="s">
        <v>1890</v>
      </c>
      <c r="E511" t="s">
        <v>1587</v>
      </c>
      <c r="F511" t="s">
        <v>1895</v>
      </c>
      <c r="G511">
        <v>230399</v>
      </c>
      <c r="H511" s="1">
        <v>45166</v>
      </c>
      <c r="I511" s="1"/>
      <c r="L511" t="s">
        <v>30</v>
      </c>
      <c r="M511" t="s">
        <v>1932</v>
      </c>
      <c r="N511" t="s">
        <v>1887</v>
      </c>
    </row>
    <row r="512" spans="1:14" x14ac:dyDescent="0.35">
      <c r="A512" t="s">
        <v>2436</v>
      </c>
      <c r="B512" t="s">
        <v>1926</v>
      </c>
      <c r="C512" t="s">
        <v>361</v>
      </c>
      <c r="D512" t="s">
        <v>1890</v>
      </c>
      <c r="E512" t="s">
        <v>1600</v>
      </c>
      <c r="F512" t="s">
        <v>1895</v>
      </c>
      <c r="G512">
        <v>345184</v>
      </c>
      <c r="H512" s="1">
        <v>45105</v>
      </c>
      <c r="I512" s="1"/>
      <c r="K512">
        <v>8.6999999999999993</v>
      </c>
      <c r="L512" t="s">
        <v>21</v>
      </c>
      <c r="M512" t="s">
        <v>1893</v>
      </c>
      <c r="N512" t="s">
        <v>1887</v>
      </c>
    </row>
    <row r="513" spans="1:14" x14ac:dyDescent="0.35">
      <c r="A513" t="s">
        <v>2437</v>
      </c>
      <c r="B513" t="s">
        <v>1963</v>
      </c>
      <c r="C513" t="s">
        <v>124</v>
      </c>
      <c r="D513" t="s">
        <v>1890</v>
      </c>
      <c r="E513" t="s">
        <v>1678</v>
      </c>
      <c r="F513" t="s">
        <v>1895</v>
      </c>
      <c r="G513">
        <v>399857</v>
      </c>
      <c r="H513" s="1">
        <v>45662</v>
      </c>
      <c r="I513" s="1"/>
      <c r="L513" t="s">
        <v>21</v>
      </c>
      <c r="M513" t="s">
        <v>1912</v>
      </c>
      <c r="N513" t="s">
        <v>1887</v>
      </c>
    </row>
    <row r="514" spans="1:14" x14ac:dyDescent="0.35">
      <c r="A514" t="s">
        <v>2438</v>
      </c>
      <c r="B514" t="s">
        <v>1944</v>
      </c>
      <c r="C514" t="s">
        <v>264</v>
      </c>
      <c r="D514" t="s">
        <v>1883</v>
      </c>
      <c r="E514" t="s">
        <v>1587</v>
      </c>
      <c r="F514" t="s">
        <v>1892</v>
      </c>
      <c r="G514">
        <v>143147</v>
      </c>
      <c r="H514" s="1">
        <v>45543</v>
      </c>
      <c r="I514" s="1"/>
      <c r="K514">
        <v>7.3</v>
      </c>
      <c r="L514" t="s">
        <v>30</v>
      </c>
      <c r="M514" t="s">
        <v>1953</v>
      </c>
      <c r="N514" t="s">
        <v>1887</v>
      </c>
    </row>
    <row r="515" spans="1:14" x14ac:dyDescent="0.35">
      <c r="A515" t="s">
        <v>2439</v>
      </c>
      <c r="B515" t="s">
        <v>1920</v>
      </c>
      <c r="C515" t="s">
        <v>401</v>
      </c>
      <c r="D515" t="s">
        <v>1899</v>
      </c>
      <c r="E515" t="s">
        <v>1918</v>
      </c>
      <c r="F515" t="s">
        <v>1908</v>
      </c>
      <c r="G515">
        <v>454108</v>
      </c>
      <c r="H515" s="1">
        <v>45520</v>
      </c>
      <c r="I515" s="1"/>
      <c r="L515" t="s">
        <v>15</v>
      </c>
      <c r="M515" t="s">
        <v>1953</v>
      </c>
      <c r="N515" t="s">
        <v>1887</v>
      </c>
    </row>
    <row r="516" spans="1:14" x14ac:dyDescent="0.35">
      <c r="A516" t="s">
        <v>2440</v>
      </c>
      <c r="B516" t="s">
        <v>1934</v>
      </c>
      <c r="C516" t="s">
        <v>156</v>
      </c>
      <c r="D516" t="s">
        <v>1883</v>
      </c>
      <c r="E516" t="s">
        <v>1884</v>
      </c>
      <c r="F516" t="s">
        <v>1895</v>
      </c>
      <c r="G516">
        <v>135907</v>
      </c>
      <c r="H516" s="1">
        <v>45308</v>
      </c>
      <c r="I516" s="1"/>
      <c r="K516">
        <v>9.9</v>
      </c>
      <c r="L516" t="s">
        <v>30</v>
      </c>
      <c r="M516" t="s">
        <v>1916</v>
      </c>
      <c r="N516" t="s">
        <v>1887</v>
      </c>
    </row>
    <row r="517" spans="1:14" x14ac:dyDescent="0.35">
      <c r="A517" t="s">
        <v>2441</v>
      </c>
      <c r="B517" t="s">
        <v>1914</v>
      </c>
      <c r="C517" t="s">
        <v>152</v>
      </c>
      <c r="D517" t="s">
        <v>1890</v>
      </c>
      <c r="E517" t="s">
        <v>1918</v>
      </c>
      <c r="F517" t="s">
        <v>1900</v>
      </c>
      <c r="G517">
        <v>393004</v>
      </c>
      <c r="H517" s="1">
        <v>45545</v>
      </c>
      <c r="I517" s="1">
        <v>45723</v>
      </c>
      <c r="J517">
        <v>178</v>
      </c>
      <c r="K517">
        <v>22.1</v>
      </c>
      <c r="L517" t="s">
        <v>15</v>
      </c>
      <c r="M517" t="s">
        <v>1953</v>
      </c>
      <c r="N517" t="s">
        <v>1887</v>
      </c>
    </row>
    <row r="518" spans="1:14" x14ac:dyDescent="0.35">
      <c r="A518" t="s">
        <v>2442</v>
      </c>
      <c r="B518" t="s">
        <v>1903</v>
      </c>
      <c r="C518" t="s">
        <v>38</v>
      </c>
      <c r="D518" t="s">
        <v>1927</v>
      </c>
      <c r="E518" t="s">
        <v>1678</v>
      </c>
      <c r="F518" t="s">
        <v>1908</v>
      </c>
      <c r="G518">
        <v>105642</v>
      </c>
      <c r="H518" s="1">
        <v>45070</v>
      </c>
      <c r="I518" s="1"/>
      <c r="K518">
        <v>11.2</v>
      </c>
      <c r="L518" t="s">
        <v>21</v>
      </c>
      <c r="M518" t="s">
        <v>1893</v>
      </c>
      <c r="N518" t="s">
        <v>1887</v>
      </c>
    </row>
    <row r="519" spans="1:14" x14ac:dyDescent="0.35">
      <c r="A519" t="s">
        <v>2443</v>
      </c>
      <c r="B519" t="s">
        <v>1882</v>
      </c>
      <c r="C519" t="s">
        <v>118</v>
      </c>
      <c r="D519" t="s">
        <v>1899</v>
      </c>
      <c r="E519" t="s">
        <v>1884</v>
      </c>
      <c r="F519" t="s">
        <v>1885</v>
      </c>
      <c r="G519">
        <v>207023</v>
      </c>
      <c r="H519" s="1">
        <v>45438</v>
      </c>
      <c r="I519" s="1">
        <v>45460</v>
      </c>
      <c r="J519">
        <v>22</v>
      </c>
      <c r="L519" t="s">
        <v>21</v>
      </c>
      <c r="M519" t="s">
        <v>1935</v>
      </c>
      <c r="N519" t="s">
        <v>1887</v>
      </c>
    </row>
    <row r="520" spans="1:14" x14ac:dyDescent="0.35">
      <c r="A520" t="s">
        <v>2444</v>
      </c>
      <c r="B520" t="s">
        <v>1937</v>
      </c>
      <c r="C520" t="s">
        <v>355</v>
      </c>
      <c r="D520" t="s">
        <v>1927</v>
      </c>
      <c r="E520" t="s">
        <v>1931</v>
      </c>
      <c r="F520" t="s">
        <v>1900</v>
      </c>
      <c r="G520">
        <v>214988</v>
      </c>
      <c r="H520" s="1">
        <v>45007</v>
      </c>
      <c r="I520" s="1">
        <v>45092</v>
      </c>
      <c r="J520">
        <v>85</v>
      </c>
      <c r="K520">
        <v>15.3</v>
      </c>
      <c r="L520" t="s">
        <v>47</v>
      </c>
      <c r="M520" t="s">
        <v>1896</v>
      </c>
      <c r="N520" t="s">
        <v>1887</v>
      </c>
    </row>
    <row r="521" spans="1:14" x14ac:dyDescent="0.35">
      <c r="A521" t="s">
        <v>2445</v>
      </c>
      <c r="B521" t="s">
        <v>1930</v>
      </c>
      <c r="C521" t="s">
        <v>287</v>
      </c>
      <c r="D521" t="s">
        <v>1899</v>
      </c>
      <c r="E521" t="s">
        <v>1918</v>
      </c>
      <c r="F521" t="s">
        <v>1895</v>
      </c>
      <c r="G521">
        <v>298438</v>
      </c>
      <c r="H521" s="1">
        <v>45383</v>
      </c>
      <c r="I521" s="1"/>
      <c r="K521">
        <v>9.6</v>
      </c>
      <c r="L521" t="s">
        <v>15</v>
      </c>
      <c r="M521" t="s">
        <v>1935</v>
      </c>
      <c r="N521" t="s">
        <v>1887</v>
      </c>
    </row>
    <row r="522" spans="1:14" x14ac:dyDescent="0.35">
      <c r="A522" t="s">
        <v>2446</v>
      </c>
      <c r="B522" t="s">
        <v>1963</v>
      </c>
      <c r="C522" t="s">
        <v>140</v>
      </c>
      <c r="D522" t="s">
        <v>1927</v>
      </c>
      <c r="E522" t="s">
        <v>1918</v>
      </c>
      <c r="F522" t="s">
        <v>1885</v>
      </c>
      <c r="G522">
        <v>477342</v>
      </c>
      <c r="H522" s="1">
        <v>45370</v>
      </c>
      <c r="I522" s="1">
        <v>45404</v>
      </c>
      <c r="J522">
        <v>34</v>
      </c>
      <c r="K522">
        <v>9.5</v>
      </c>
      <c r="L522" t="s">
        <v>21</v>
      </c>
      <c r="M522" t="s">
        <v>1916</v>
      </c>
      <c r="N522" t="s">
        <v>1887</v>
      </c>
    </row>
    <row r="523" spans="1:14" x14ac:dyDescent="0.35">
      <c r="A523" t="s">
        <v>2447</v>
      </c>
      <c r="B523" t="s">
        <v>1898</v>
      </c>
      <c r="C523" t="s">
        <v>353</v>
      </c>
      <c r="D523" t="s">
        <v>1927</v>
      </c>
      <c r="E523" t="s">
        <v>1931</v>
      </c>
      <c r="F523" t="s">
        <v>1908</v>
      </c>
      <c r="G523">
        <v>374780</v>
      </c>
      <c r="H523" s="1">
        <v>45324</v>
      </c>
      <c r="I523" s="1"/>
      <c r="L523" t="s">
        <v>21</v>
      </c>
      <c r="M523" t="s">
        <v>1916</v>
      </c>
      <c r="N523" t="s">
        <v>1887</v>
      </c>
    </row>
    <row r="524" spans="1:14" x14ac:dyDescent="0.35">
      <c r="A524" t="s">
        <v>2448</v>
      </c>
      <c r="B524" t="s">
        <v>1934</v>
      </c>
      <c r="C524" t="s">
        <v>245</v>
      </c>
      <c r="D524" t="s">
        <v>1899</v>
      </c>
      <c r="E524" t="s">
        <v>1905</v>
      </c>
      <c r="F524" t="s">
        <v>1900</v>
      </c>
      <c r="G524">
        <v>203201</v>
      </c>
      <c r="H524" s="1">
        <v>45228</v>
      </c>
      <c r="I524" s="1">
        <v>45352</v>
      </c>
      <c r="J524">
        <v>124</v>
      </c>
      <c r="K524">
        <v>1.8</v>
      </c>
      <c r="L524" t="s">
        <v>47</v>
      </c>
      <c r="M524" t="s">
        <v>1886</v>
      </c>
      <c r="N524" t="s">
        <v>1887</v>
      </c>
    </row>
    <row r="525" spans="1:14" x14ac:dyDescent="0.35">
      <c r="A525" t="s">
        <v>2449</v>
      </c>
      <c r="B525" t="s">
        <v>1934</v>
      </c>
      <c r="C525" t="s">
        <v>220</v>
      </c>
      <c r="D525" t="s">
        <v>1904</v>
      </c>
      <c r="E525" t="s">
        <v>1905</v>
      </c>
      <c r="F525" t="s">
        <v>1900</v>
      </c>
      <c r="G525">
        <v>363868</v>
      </c>
      <c r="H525" s="1">
        <v>45398</v>
      </c>
      <c r="I525" s="1">
        <v>45499</v>
      </c>
      <c r="J525">
        <v>101</v>
      </c>
      <c r="K525">
        <v>24.1</v>
      </c>
      <c r="L525" t="s">
        <v>30</v>
      </c>
      <c r="M525" t="s">
        <v>1935</v>
      </c>
      <c r="N525" t="s">
        <v>1887</v>
      </c>
    </row>
    <row r="526" spans="1:14" x14ac:dyDescent="0.35">
      <c r="A526" t="s">
        <v>2450</v>
      </c>
      <c r="B526" t="s">
        <v>1922</v>
      </c>
      <c r="C526" t="s">
        <v>408</v>
      </c>
      <c r="D526" t="s">
        <v>1883</v>
      </c>
      <c r="E526" t="s">
        <v>1945</v>
      </c>
      <c r="F526" t="s">
        <v>1946</v>
      </c>
      <c r="G526">
        <v>101757</v>
      </c>
      <c r="H526" s="1">
        <v>45730</v>
      </c>
      <c r="I526" s="1"/>
      <c r="L526" t="s">
        <v>47</v>
      </c>
      <c r="M526" t="s">
        <v>1912</v>
      </c>
      <c r="N526" t="s">
        <v>1887</v>
      </c>
    </row>
    <row r="527" spans="1:14" x14ac:dyDescent="0.35">
      <c r="A527" t="s">
        <v>2451</v>
      </c>
      <c r="B527" t="s">
        <v>1926</v>
      </c>
      <c r="C527" t="s">
        <v>257</v>
      </c>
      <c r="D527" t="s">
        <v>1890</v>
      </c>
      <c r="E527" t="s">
        <v>1918</v>
      </c>
      <c r="F527" t="s">
        <v>1900</v>
      </c>
      <c r="G527">
        <v>155313</v>
      </c>
      <c r="H527" s="1">
        <v>45583</v>
      </c>
      <c r="I527" s="1">
        <v>45617</v>
      </c>
      <c r="J527">
        <v>34</v>
      </c>
      <c r="K527">
        <v>0.8</v>
      </c>
      <c r="L527" t="s">
        <v>30</v>
      </c>
      <c r="M527" t="s">
        <v>1901</v>
      </c>
      <c r="N527" t="s">
        <v>1887</v>
      </c>
    </row>
    <row r="528" spans="1:14" x14ac:dyDescent="0.35">
      <c r="A528" t="s">
        <v>2452</v>
      </c>
      <c r="B528" t="s">
        <v>1903</v>
      </c>
      <c r="C528" t="s">
        <v>454</v>
      </c>
      <c r="D528" t="s">
        <v>1915</v>
      </c>
      <c r="E528" t="s">
        <v>1884</v>
      </c>
      <c r="F528" t="s">
        <v>1908</v>
      </c>
      <c r="G528">
        <v>258377</v>
      </c>
      <c r="H528" s="1">
        <v>45444</v>
      </c>
      <c r="I528" s="1"/>
      <c r="L528" t="s">
        <v>47</v>
      </c>
      <c r="M528" t="s">
        <v>1935</v>
      </c>
      <c r="N528" t="s">
        <v>1887</v>
      </c>
    </row>
    <row r="529" spans="1:14" x14ac:dyDescent="0.35">
      <c r="A529" t="s">
        <v>2453</v>
      </c>
      <c r="B529" t="s">
        <v>1937</v>
      </c>
      <c r="C529" t="s">
        <v>423</v>
      </c>
      <c r="D529" t="s">
        <v>1890</v>
      </c>
      <c r="E529" t="s">
        <v>1600</v>
      </c>
      <c r="F529" t="s">
        <v>1885</v>
      </c>
      <c r="G529">
        <v>129316</v>
      </c>
      <c r="H529" s="1">
        <v>45694</v>
      </c>
      <c r="I529" s="1">
        <v>45762</v>
      </c>
      <c r="J529">
        <v>68</v>
      </c>
      <c r="K529">
        <v>7.7</v>
      </c>
      <c r="L529" t="s">
        <v>30</v>
      </c>
      <c r="M529" t="s">
        <v>1912</v>
      </c>
      <c r="N529" t="s">
        <v>1887</v>
      </c>
    </row>
    <row r="530" spans="1:14" x14ac:dyDescent="0.35">
      <c r="A530" t="s">
        <v>2454</v>
      </c>
      <c r="B530" t="s">
        <v>1944</v>
      </c>
      <c r="C530" t="s">
        <v>362</v>
      </c>
      <c r="D530" t="s">
        <v>1899</v>
      </c>
      <c r="E530" t="s">
        <v>1600</v>
      </c>
      <c r="F530" t="s">
        <v>1885</v>
      </c>
      <c r="G530">
        <v>481825</v>
      </c>
      <c r="H530" s="1">
        <v>45530</v>
      </c>
      <c r="I530" s="1">
        <v>45580</v>
      </c>
      <c r="J530">
        <v>50</v>
      </c>
      <c r="K530">
        <v>12.5</v>
      </c>
      <c r="L530" t="s">
        <v>15</v>
      </c>
      <c r="M530" t="s">
        <v>1953</v>
      </c>
      <c r="N530" t="s">
        <v>1887</v>
      </c>
    </row>
    <row r="531" spans="1:14" x14ac:dyDescent="0.35">
      <c r="A531" t="s">
        <v>2455</v>
      </c>
      <c r="B531" t="s">
        <v>1937</v>
      </c>
      <c r="C531" t="s">
        <v>234</v>
      </c>
      <c r="D531" t="s">
        <v>1883</v>
      </c>
      <c r="E531" t="s">
        <v>1931</v>
      </c>
      <c r="F531" t="s">
        <v>1900</v>
      </c>
      <c r="G531">
        <v>175025</v>
      </c>
      <c r="H531" s="1">
        <v>45273</v>
      </c>
      <c r="I531" s="1">
        <v>45433</v>
      </c>
      <c r="J531">
        <v>160</v>
      </c>
      <c r="K531">
        <v>10.3</v>
      </c>
      <c r="L531" t="s">
        <v>30</v>
      </c>
      <c r="M531" t="s">
        <v>1886</v>
      </c>
      <c r="N531" t="s">
        <v>1887</v>
      </c>
    </row>
    <row r="532" spans="1:14" x14ac:dyDescent="0.35">
      <c r="A532" t="s">
        <v>2456</v>
      </c>
      <c r="B532" t="s">
        <v>1937</v>
      </c>
      <c r="C532" t="s">
        <v>146</v>
      </c>
      <c r="D532" t="s">
        <v>1915</v>
      </c>
      <c r="E532" t="s">
        <v>1891</v>
      </c>
      <c r="F532" t="s">
        <v>1895</v>
      </c>
      <c r="G532">
        <v>203697</v>
      </c>
      <c r="H532" s="1">
        <v>45218</v>
      </c>
      <c r="I532" s="1"/>
      <c r="L532" t="s">
        <v>47</v>
      </c>
      <c r="M532" t="s">
        <v>1886</v>
      </c>
      <c r="N532" t="s">
        <v>1887</v>
      </c>
    </row>
    <row r="533" spans="1:14" x14ac:dyDescent="0.35">
      <c r="A533" t="s">
        <v>2457</v>
      </c>
      <c r="B533" t="s">
        <v>1898</v>
      </c>
      <c r="C533" t="s">
        <v>210</v>
      </c>
      <c r="D533" t="s">
        <v>1927</v>
      </c>
      <c r="E533" t="s">
        <v>1678</v>
      </c>
      <c r="F533" t="s">
        <v>1900</v>
      </c>
      <c r="G533">
        <v>299691</v>
      </c>
      <c r="H533" s="1">
        <v>45567</v>
      </c>
      <c r="I533" s="1">
        <v>45702</v>
      </c>
      <c r="J533">
        <v>135</v>
      </c>
      <c r="K533">
        <v>5.2</v>
      </c>
      <c r="L533" t="s">
        <v>30</v>
      </c>
      <c r="M533" t="s">
        <v>1901</v>
      </c>
      <c r="N533" t="s">
        <v>1887</v>
      </c>
    </row>
    <row r="534" spans="1:14" x14ac:dyDescent="0.35">
      <c r="A534" t="s">
        <v>2458</v>
      </c>
      <c r="B534" t="s">
        <v>1924</v>
      </c>
      <c r="C534" t="s">
        <v>439</v>
      </c>
      <c r="D534" t="s">
        <v>1915</v>
      </c>
      <c r="E534" t="s">
        <v>1891</v>
      </c>
      <c r="F534" t="s">
        <v>1895</v>
      </c>
      <c r="G534">
        <v>292190</v>
      </c>
      <c r="H534" s="1">
        <v>45160</v>
      </c>
      <c r="I534" s="1"/>
      <c r="K534">
        <v>4.7</v>
      </c>
      <c r="L534" t="s">
        <v>47</v>
      </c>
      <c r="M534" t="s">
        <v>1932</v>
      </c>
      <c r="N534" t="s">
        <v>1887</v>
      </c>
    </row>
    <row r="535" spans="1:14" x14ac:dyDescent="0.35">
      <c r="A535" t="s">
        <v>2459</v>
      </c>
      <c r="B535" t="s">
        <v>1907</v>
      </c>
      <c r="C535" t="s">
        <v>342</v>
      </c>
      <c r="D535" t="s">
        <v>1899</v>
      </c>
      <c r="E535" t="s">
        <v>1918</v>
      </c>
      <c r="F535" t="s">
        <v>1908</v>
      </c>
      <c r="G535">
        <v>214153</v>
      </c>
      <c r="H535" s="1">
        <v>45116</v>
      </c>
      <c r="I535" s="1"/>
      <c r="L535" t="s">
        <v>15</v>
      </c>
      <c r="M535" t="s">
        <v>1932</v>
      </c>
      <c r="N535" t="s">
        <v>1887</v>
      </c>
    </row>
    <row r="536" spans="1:14" x14ac:dyDescent="0.35">
      <c r="A536" t="s">
        <v>2460</v>
      </c>
      <c r="B536" t="s">
        <v>1926</v>
      </c>
      <c r="C536" t="s">
        <v>446</v>
      </c>
      <c r="D536" t="s">
        <v>1890</v>
      </c>
      <c r="E536" t="s">
        <v>1931</v>
      </c>
      <c r="F536" t="s">
        <v>1900</v>
      </c>
      <c r="G536">
        <v>238505</v>
      </c>
      <c r="H536" s="1">
        <v>45442</v>
      </c>
      <c r="I536" s="1">
        <v>45588</v>
      </c>
      <c r="J536">
        <v>146</v>
      </c>
      <c r="K536">
        <v>9.8000000000000007</v>
      </c>
      <c r="L536" t="s">
        <v>21</v>
      </c>
      <c r="M536" t="s">
        <v>1935</v>
      </c>
      <c r="N536" t="s">
        <v>1887</v>
      </c>
    </row>
    <row r="537" spans="1:14" x14ac:dyDescent="0.35">
      <c r="A537" t="s">
        <v>2461</v>
      </c>
      <c r="B537" t="s">
        <v>1963</v>
      </c>
      <c r="C537" t="s">
        <v>426</v>
      </c>
      <c r="D537" t="s">
        <v>1883</v>
      </c>
      <c r="E537" t="s">
        <v>1918</v>
      </c>
      <c r="F537" t="s">
        <v>1908</v>
      </c>
      <c r="G537">
        <v>381243</v>
      </c>
      <c r="H537" s="1">
        <v>45420</v>
      </c>
      <c r="I537" s="1"/>
      <c r="K537">
        <v>11.4</v>
      </c>
      <c r="L537" t="s">
        <v>47</v>
      </c>
      <c r="M537" t="s">
        <v>1935</v>
      </c>
      <c r="N537" t="s">
        <v>1887</v>
      </c>
    </row>
    <row r="538" spans="1:14" x14ac:dyDescent="0.35">
      <c r="A538" t="s">
        <v>2462</v>
      </c>
      <c r="B538" t="s">
        <v>1889</v>
      </c>
      <c r="C538" t="s">
        <v>465</v>
      </c>
      <c r="D538" t="s">
        <v>1915</v>
      </c>
      <c r="E538" t="s">
        <v>1931</v>
      </c>
      <c r="F538" t="s">
        <v>1895</v>
      </c>
      <c r="G538">
        <v>163902</v>
      </c>
      <c r="H538" s="1">
        <v>44929</v>
      </c>
      <c r="I538" s="1"/>
      <c r="K538">
        <v>11.1</v>
      </c>
      <c r="L538" t="s">
        <v>15</v>
      </c>
      <c r="M538" t="s">
        <v>1896</v>
      </c>
      <c r="N538" t="s">
        <v>1887</v>
      </c>
    </row>
    <row r="539" spans="1:14" x14ac:dyDescent="0.35">
      <c r="A539" t="s">
        <v>2463</v>
      </c>
      <c r="B539" t="s">
        <v>1934</v>
      </c>
      <c r="C539" t="s">
        <v>410</v>
      </c>
      <c r="D539" t="s">
        <v>1915</v>
      </c>
      <c r="E539" t="s">
        <v>1918</v>
      </c>
      <c r="F539" t="s">
        <v>1900</v>
      </c>
      <c r="G539">
        <v>494893</v>
      </c>
      <c r="H539" s="1">
        <v>45088</v>
      </c>
      <c r="I539" s="1">
        <v>45110</v>
      </c>
      <c r="J539">
        <v>22</v>
      </c>
      <c r="K539">
        <v>2.9</v>
      </c>
      <c r="L539" t="s">
        <v>15</v>
      </c>
      <c r="M539" t="s">
        <v>1893</v>
      </c>
      <c r="N539" t="s">
        <v>1887</v>
      </c>
    </row>
    <row r="540" spans="1:14" x14ac:dyDescent="0.35">
      <c r="A540" t="s">
        <v>2464</v>
      </c>
      <c r="B540" t="s">
        <v>1920</v>
      </c>
      <c r="C540" t="s">
        <v>309</v>
      </c>
      <c r="D540" t="s">
        <v>1883</v>
      </c>
      <c r="E540" t="s">
        <v>1945</v>
      </c>
      <c r="F540" t="s">
        <v>1885</v>
      </c>
      <c r="G540">
        <v>185137</v>
      </c>
      <c r="H540" s="1">
        <v>45304</v>
      </c>
      <c r="I540" s="1">
        <v>45438</v>
      </c>
      <c r="J540">
        <v>134</v>
      </c>
      <c r="K540">
        <v>7.5</v>
      </c>
      <c r="L540" t="s">
        <v>30</v>
      </c>
      <c r="M540" t="s">
        <v>1916</v>
      </c>
      <c r="N540" t="s">
        <v>1887</v>
      </c>
    </row>
    <row r="541" spans="1:14" x14ac:dyDescent="0.35">
      <c r="A541" t="s">
        <v>2465</v>
      </c>
      <c r="B541" t="s">
        <v>1903</v>
      </c>
      <c r="C541" t="s">
        <v>432</v>
      </c>
      <c r="D541" t="s">
        <v>1899</v>
      </c>
      <c r="E541" t="s">
        <v>1931</v>
      </c>
      <c r="F541" t="s">
        <v>1908</v>
      </c>
      <c r="G541">
        <v>226464</v>
      </c>
      <c r="H541" s="1">
        <v>45101</v>
      </c>
      <c r="I541" s="1"/>
      <c r="K541">
        <v>7.7</v>
      </c>
      <c r="L541" t="s">
        <v>21</v>
      </c>
      <c r="M541" t="s">
        <v>1893</v>
      </c>
      <c r="N541" t="s">
        <v>1887</v>
      </c>
    </row>
    <row r="542" spans="1:14" x14ac:dyDescent="0.35">
      <c r="A542" t="s">
        <v>2466</v>
      </c>
      <c r="B542" t="s">
        <v>1930</v>
      </c>
      <c r="C542" t="s">
        <v>264</v>
      </c>
      <c r="D542" t="s">
        <v>1927</v>
      </c>
      <c r="E542" t="s">
        <v>1600</v>
      </c>
      <c r="F542" t="s">
        <v>1885</v>
      </c>
      <c r="G542">
        <v>485495</v>
      </c>
      <c r="H542" s="1">
        <v>45262</v>
      </c>
      <c r="I542" s="1">
        <v>45307</v>
      </c>
      <c r="J542">
        <v>45</v>
      </c>
      <c r="K542">
        <v>7</v>
      </c>
      <c r="L542" t="s">
        <v>21</v>
      </c>
      <c r="M542" t="s">
        <v>1886</v>
      </c>
      <c r="N542" t="s">
        <v>1887</v>
      </c>
    </row>
    <row r="543" spans="1:14" x14ac:dyDescent="0.35">
      <c r="A543" t="s">
        <v>2467</v>
      </c>
      <c r="B543" t="s">
        <v>1937</v>
      </c>
      <c r="C543" t="s">
        <v>240</v>
      </c>
      <c r="D543" t="s">
        <v>1927</v>
      </c>
      <c r="E543" t="s">
        <v>1884</v>
      </c>
      <c r="F543" t="s">
        <v>1895</v>
      </c>
      <c r="G543">
        <v>330655</v>
      </c>
      <c r="H543" s="1">
        <v>45373</v>
      </c>
      <c r="I543" s="1"/>
      <c r="K543">
        <v>9</v>
      </c>
      <c r="L543" t="s">
        <v>47</v>
      </c>
      <c r="M543" t="s">
        <v>1916</v>
      </c>
      <c r="N543" t="s">
        <v>1887</v>
      </c>
    </row>
    <row r="544" spans="1:14" x14ac:dyDescent="0.35">
      <c r="A544" t="s">
        <v>2468</v>
      </c>
      <c r="B544" t="s">
        <v>1911</v>
      </c>
      <c r="C544" t="s">
        <v>470</v>
      </c>
      <c r="D544" t="s">
        <v>1883</v>
      </c>
      <c r="E544" t="s">
        <v>1891</v>
      </c>
      <c r="F544" t="s">
        <v>1895</v>
      </c>
      <c r="G544">
        <v>223268</v>
      </c>
      <c r="H544" s="1">
        <v>45651</v>
      </c>
      <c r="I544" s="1"/>
      <c r="K544">
        <v>6.5</v>
      </c>
      <c r="L544" t="s">
        <v>21</v>
      </c>
      <c r="M544" t="s">
        <v>1901</v>
      </c>
      <c r="N544" t="s">
        <v>1887</v>
      </c>
    </row>
    <row r="545" spans="1:14" x14ac:dyDescent="0.35">
      <c r="A545" t="s">
        <v>2469</v>
      </c>
      <c r="B545" t="s">
        <v>1924</v>
      </c>
      <c r="C545" t="s">
        <v>110</v>
      </c>
      <c r="D545" t="s">
        <v>1904</v>
      </c>
      <c r="E545" t="s">
        <v>1678</v>
      </c>
      <c r="F545" t="s">
        <v>1900</v>
      </c>
      <c r="G545">
        <v>164744</v>
      </c>
      <c r="H545" s="1">
        <v>45461</v>
      </c>
      <c r="I545" s="1">
        <v>45622</v>
      </c>
      <c r="J545">
        <v>161</v>
      </c>
      <c r="K545">
        <v>16.7</v>
      </c>
      <c r="L545" t="s">
        <v>21</v>
      </c>
      <c r="M545" t="s">
        <v>1935</v>
      </c>
      <c r="N545" t="s">
        <v>1887</v>
      </c>
    </row>
    <row r="546" spans="1:14" x14ac:dyDescent="0.35">
      <c r="A546" t="s">
        <v>2470</v>
      </c>
      <c r="B546" t="s">
        <v>1937</v>
      </c>
      <c r="C546" t="s">
        <v>328</v>
      </c>
      <c r="D546" t="s">
        <v>1899</v>
      </c>
      <c r="E546" t="s">
        <v>1931</v>
      </c>
      <c r="F546" t="s">
        <v>1900</v>
      </c>
      <c r="G546">
        <v>1443027</v>
      </c>
      <c r="H546" s="1">
        <v>45570</v>
      </c>
      <c r="I546" s="1">
        <v>45744</v>
      </c>
      <c r="J546">
        <v>174</v>
      </c>
      <c r="K546">
        <v>16.899999999999999</v>
      </c>
      <c r="L546" t="s">
        <v>47</v>
      </c>
      <c r="M546" t="s">
        <v>1901</v>
      </c>
      <c r="N546" t="s">
        <v>1966</v>
      </c>
    </row>
    <row r="547" spans="1:14" x14ac:dyDescent="0.35">
      <c r="A547" t="s">
        <v>2471</v>
      </c>
      <c r="B547" t="s">
        <v>1903</v>
      </c>
      <c r="C547" t="s">
        <v>142</v>
      </c>
      <c r="D547" t="s">
        <v>1927</v>
      </c>
      <c r="E547" t="s">
        <v>1918</v>
      </c>
      <c r="F547" t="s">
        <v>1892</v>
      </c>
      <c r="G547">
        <v>78039</v>
      </c>
      <c r="H547" s="1">
        <v>44959</v>
      </c>
      <c r="I547" s="1"/>
      <c r="K547">
        <v>3</v>
      </c>
      <c r="L547" t="s">
        <v>47</v>
      </c>
      <c r="M547" t="s">
        <v>1896</v>
      </c>
      <c r="N547" t="s">
        <v>1887</v>
      </c>
    </row>
    <row r="548" spans="1:14" x14ac:dyDescent="0.35">
      <c r="A548" t="s">
        <v>2472</v>
      </c>
      <c r="B548" t="s">
        <v>1963</v>
      </c>
      <c r="C548" t="s">
        <v>222</v>
      </c>
      <c r="D548" t="s">
        <v>1904</v>
      </c>
      <c r="E548" t="s">
        <v>1891</v>
      </c>
      <c r="F548" t="s">
        <v>1908</v>
      </c>
      <c r="G548">
        <v>71213</v>
      </c>
      <c r="H548" s="1">
        <v>45404</v>
      </c>
      <c r="I548" s="1"/>
      <c r="K548">
        <v>14.5</v>
      </c>
      <c r="L548" t="s">
        <v>15</v>
      </c>
      <c r="M548" t="s">
        <v>1935</v>
      </c>
      <c r="N548" t="s">
        <v>1887</v>
      </c>
    </row>
    <row r="549" spans="1:14" x14ac:dyDescent="0.35">
      <c r="A549" t="s">
        <v>2473</v>
      </c>
      <c r="B549" t="s">
        <v>1930</v>
      </c>
      <c r="C549" t="s">
        <v>297</v>
      </c>
      <c r="D549" t="s">
        <v>1899</v>
      </c>
      <c r="E549" t="s">
        <v>1931</v>
      </c>
      <c r="F549" t="s">
        <v>1885</v>
      </c>
      <c r="G549">
        <v>289552</v>
      </c>
      <c r="H549" s="1">
        <v>45318</v>
      </c>
      <c r="I549" s="1">
        <v>45337</v>
      </c>
      <c r="J549">
        <v>19</v>
      </c>
      <c r="K549">
        <v>10.9</v>
      </c>
      <c r="L549" t="s">
        <v>47</v>
      </c>
      <c r="M549" t="s">
        <v>1916</v>
      </c>
      <c r="N549" t="s">
        <v>1887</v>
      </c>
    </row>
    <row r="550" spans="1:14" x14ac:dyDescent="0.35">
      <c r="A550" t="s">
        <v>2474</v>
      </c>
      <c r="B550" t="s">
        <v>1944</v>
      </c>
      <c r="C550" t="s">
        <v>279</v>
      </c>
      <c r="D550" t="s">
        <v>1883</v>
      </c>
      <c r="E550" t="s">
        <v>1931</v>
      </c>
      <c r="F550" t="s">
        <v>1946</v>
      </c>
      <c r="G550">
        <v>372216</v>
      </c>
      <c r="H550" s="1">
        <v>45036</v>
      </c>
      <c r="I550" s="1"/>
      <c r="K550">
        <v>10.4</v>
      </c>
      <c r="L550" t="s">
        <v>30</v>
      </c>
      <c r="M550" t="s">
        <v>1893</v>
      </c>
      <c r="N550" t="s">
        <v>1887</v>
      </c>
    </row>
    <row r="551" spans="1:14" x14ac:dyDescent="0.35">
      <c r="A551" t="s">
        <v>2475</v>
      </c>
      <c r="B551" t="s">
        <v>1911</v>
      </c>
      <c r="C551" t="s">
        <v>350</v>
      </c>
      <c r="D551" t="s">
        <v>1915</v>
      </c>
      <c r="E551" t="s">
        <v>1931</v>
      </c>
      <c r="F551" t="s">
        <v>1885</v>
      </c>
      <c r="G551">
        <v>399974</v>
      </c>
      <c r="H551" s="1">
        <v>44957</v>
      </c>
      <c r="I551" s="1">
        <v>45100</v>
      </c>
      <c r="J551">
        <v>143</v>
      </c>
      <c r="L551" t="s">
        <v>47</v>
      </c>
      <c r="M551" t="s">
        <v>1896</v>
      </c>
      <c r="N551" t="s">
        <v>1887</v>
      </c>
    </row>
    <row r="552" spans="1:14" x14ac:dyDescent="0.35">
      <c r="A552" t="s">
        <v>2476</v>
      </c>
      <c r="B552" t="s">
        <v>1922</v>
      </c>
      <c r="C552" t="s">
        <v>201</v>
      </c>
      <c r="D552" t="s">
        <v>1904</v>
      </c>
      <c r="E552" t="s">
        <v>1884</v>
      </c>
      <c r="F552" t="s">
        <v>1908</v>
      </c>
      <c r="G552">
        <v>90382</v>
      </c>
      <c r="H552" s="1">
        <v>45166</v>
      </c>
      <c r="I552" s="1"/>
      <c r="L552" t="s">
        <v>21</v>
      </c>
      <c r="M552" t="s">
        <v>1932</v>
      </c>
      <c r="N552" t="s">
        <v>1887</v>
      </c>
    </row>
    <row r="553" spans="1:14" x14ac:dyDescent="0.35">
      <c r="A553" t="s">
        <v>2477</v>
      </c>
      <c r="B553" t="s">
        <v>1903</v>
      </c>
      <c r="C553" t="s">
        <v>449</v>
      </c>
      <c r="D553" t="s">
        <v>1890</v>
      </c>
      <c r="E553" t="s">
        <v>1918</v>
      </c>
      <c r="F553" t="s">
        <v>1895</v>
      </c>
      <c r="G553">
        <v>299308</v>
      </c>
      <c r="H553" s="1">
        <v>45220</v>
      </c>
      <c r="I553" s="1"/>
      <c r="L553" t="s">
        <v>21</v>
      </c>
      <c r="M553" t="s">
        <v>1886</v>
      </c>
      <c r="N553" t="s">
        <v>1887</v>
      </c>
    </row>
    <row r="554" spans="1:14" x14ac:dyDescent="0.35">
      <c r="A554" t="s">
        <v>2478</v>
      </c>
      <c r="B554" t="s">
        <v>1937</v>
      </c>
      <c r="C554" t="s">
        <v>484</v>
      </c>
      <c r="D554" t="s">
        <v>1899</v>
      </c>
      <c r="E554" t="s">
        <v>1884</v>
      </c>
      <c r="F554" t="s">
        <v>1900</v>
      </c>
      <c r="G554">
        <v>151164</v>
      </c>
      <c r="H554" s="1">
        <v>45486</v>
      </c>
      <c r="I554" s="1">
        <v>45648</v>
      </c>
      <c r="J554">
        <v>162</v>
      </c>
      <c r="K554">
        <v>24.5</v>
      </c>
      <c r="L554" t="s">
        <v>30</v>
      </c>
      <c r="M554" t="s">
        <v>1953</v>
      </c>
      <c r="N554" t="s">
        <v>1887</v>
      </c>
    </row>
    <row r="555" spans="1:14" x14ac:dyDescent="0.35">
      <c r="A555" t="s">
        <v>2479</v>
      </c>
      <c r="B555" t="s">
        <v>1930</v>
      </c>
      <c r="C555" t="s">
        <v>477</v>
      </c>
      <c r="D555" t="s">
        <v>1927</v>
      </c>
      <c r="E555" t="s">
        <v>1918</v>
      </c>
      <c r="F555" t="s">
        <v>1885</v>
      </c>
      <c r="G555">
        <v>90389</v>
      </c>
      <c r="H555" s="1">
        <v>45313</v>
      </c>
      <c r="I555" s="1">
        <v>45412</v>
      </c>
      <c r="J555">
        <v>99</v>
      </c>
      <c r="K555">
        <v>6.6</v>
      </c>
      <c r="L555" t="s">
        <v>21</v>
      </c>
      <c r="M555" t="s">
        <v>1916</v>
      </c>
      <c r="N555" t="s">
        <v>1887</v>
      </c>
    </row>
    <row r="556" spans="1:14" x14ac:dyDescent="0.35">
      <c r="A556" t="s">
        <v>2480</v>
      </c>
      <c r="B556" t="s">
        <v>1934</v>
      </c>
      <c r="C556" t="s">
        <v>297</v>
      </c>
      <c r="D556" t="s">
        <v>1890</v>
      </c>
      <c r="E556" t="s">
        <v>1587</v>
      </c>
      <c r="F556" t="s">
        <v>1885</v>
      </c>
      <c r="G556">
        <v>468072</v>
      </c>
      <c r="H556" s="1">
        <v>45645</v>
      </c>
      <c r="I556" s="1">
        <v>45729</v>
      </c>
      <c r="J556">
        <v>84</v>
      </c>
      <c r="K556">
        <v>13.5</v>
      </c>
      <c r="L556" t="s">
        <v>47</v>
      </c>
      <c r="M556" t="s">
        <v>1901</v>
      </c>
      <c r="N556" t="s">
        <v>1887</v>
      </c>
    </row>
    <row r="557" spans="1:14" x14ac:dyDescent="0.35">
      <c r="A557" t="s">
        <v>2481</v>
      </c>
      <c r="B557" t="s">
        <v>1920</v>
      </c>
      <c r="C557" t="s">
        <v>484</v>
      </c>
      <c r="D557" t="s">
        <v>1899</v>
      </c>
      <c r="E557" t="s">
        <v>1945</v>
      </c>
      <c r="F557" t="s">
        <v>1895</v>
      </c>
      <c r="G557">
        <v>1208311</v>
      </c>
      <c r="H557" s="1">
        <v>45705</v>
      </c>
      <c r="I557" s="1"/>
      <c r="K557">
        <v>2.7</v>
      </c>
      <c r="L557" t="s">
        <v>47</v>
      </c>
      <c r="M557" t="s">
        <v>1912</v>
      </c>
      <c r="N557" t="s">
        <v>1966</v>
      </c>
    </row>
    <row r="558" spans="1:14" x14ac:dyDescent="0.35">
      <c r="A558" t="s">
        <v>2482</v>
      </c>
      <c r="B558" t="s">
        <v>1934</v>
      </c>
      <c r="C558" t="s">
        <v>186</v>
      </c>
      <c r="D558" t="s">
        <v>1899</v>
      </c>
      <c r="E558" t="s">
        <v>1884</v>
      </c>
      <c r="F558" t="s">
        <v>1946</v>
      </c>
      <c r="G558">
        <v>220130</v>
      </c>
      <c r="H558" s="1">
        <v>45686</v>
      </c>
      <c r="I558" s="1"/>
      <c r="K558">
        <v>6</v>
      </c>
      <c r="L558" t="s">
        <v>30</v>
      </c>
      <c r="M558" t="s">
        <v>1912</v>
      </c>
      <c r="N558" t="s">
        <v>1887</v>
      </c>
    </row>
    <row r="559" spans="1:14" x14ac:dyDescent="0.35">
      <c r="A559" t="s">
        <v>2483</v>
      </c>
      <c r="B559" t="s">
        <v>1920</v>
      </c>
      <c r="C559" t="s">
        <v>230</v>
      </c>
      <c r="D559" t="s">
        <v>1915</v>
      </c>
      <c r="E559" t="s">
        <v>1918</v>
      </c>
      <c r="F559" t="s">
        <v>1946</v>
      </c>
      <c r="G559">
        <v>223630</v>
      </c>
      <c r="H559" s="1">
        <v>45634</v>
      </c>
      <c r="I559" s="1"/>
      <c r="K559">
        <v>11.3</v>
      </c>
      <c r="L559" t="s">
        <v>30</v>
      </c>
      <c r="M559" t="s">
        <v>1901</v>
      </c>
      <c r="N559" t="s">
        <v>1887</v>
      </c>
    </row>
    <row r="560" spans="1:14" x14ac:dyDescent="0.35">
      <c r="A560" t="s">
        <v>2484</v>
      </c>
      <c r="B560" t="s">
        <v>1882</v>
      </c>
      <c r="C560" t="s">
        <v>412</v>
      </c>
      <c r="D560" t="s">
        <v>1915</v>
      </c>
      <c r="E560" t="s">
        <v>1918</v>
      </c>
      <c r="F560" t="s">
        <v>1946</v>
      </c>
      <c r="G560">
        <v>165039</v>
      </c>
      <c r="H560" s="1">
        <v>45282</v>
      </c>
      <c r="I560" s="1"/>
      <c r="K560">
        <v>4.5999999999999996</v>
      </c>
      <c r="L560" t="s">
        <v>47</v>
      </c>
      <c r="M560" t="s">
        <v>1886</v>
      </c>
      <c r="N560" t="s">
        <v>1887</v>
      </c>
    </row>
    <row r="561" spans="1:14" x14ac:dyDescent="0.35">
      <c r="A561" t="s">
        <v>2485</v>
      </c>
      <c r="B561" t="s">
        <v>1924</v>
      </c>
      <c r="C561" t="s">
        <v>390</v>
      </c>
      <c r="D561" t="s">
        <v>1890</v>
      </c>
      <c r="E561" t="s">
        <v>1600</v>
      </c>
      <c r="F561" t="s">
        <v>1892</v>
      </c>
      <c r="G561">
        <v>323641</v>
      </c>
      <c r="H561" s="1">
        <v>45721</v>
      </c>
      <c r="I561" s="1"/>
      <c r="K561">
        <v>8.1999999999999993</v>
      </c>
      <c r="L561" t="s">
        <v>30</v>
      </c>
      <c r="M561" t="s">
        <v>1912</v>
      </c>
      <c r="N561" t="s">
        <v>1887</v>
      </c>
    </row>
    <row r="562" spans="1:14" x14ac:dyDescent="0.35">
      <c r="A562" t="s">
        <v>2486</v>
      </c>
      <c r="B562" t="s">
        <v>1937</v>
      </c>
      <c r="C562" t="s">
        <v>496</v>
      </c>
      <c r="D562" t="s">
        <v>1899</v>
      </c>
      <c r="E562" t="s">
        <v>1600</v>
      </c>
      <c r="F562" t="s">
        <v>1908</v>
      </c>
      <c r="G562">
        <v>1419993</v>
      </c>
      <c r="H562" s="1">
        <v>45732</v>
      </c>
      <c r="I562" s="1"/>
      <c r="K562">
        <v>4.4000000000000004</v>
      </c>
      <c r="L562" t="s">
        <v>21</v>
      </c>
      <c r="M562" t="s">
        <v>1912</v>
      </c>
      <c r="N562" t="s">
        <v>1966</v>
      </c>
    </row>
    <row r="563" spans="1:14" x14ac:dyDescent="0.35">
      <c r="A563" t="s">
        <v>2487</v>
      </c>
      <c r="B563" t="s">
        <v>1944</v>
      </c>
      <c r="C563" t="s">
        <v>238</v>
      </c>
      <c r="D563" t="s">
        <v>1904</v>
      </c>
      <c r="E563" t="s">
        <v>1884</v>
      </c>
      <c r="F563" t="s">
        <v>1900</v>
      </c>
      <c r="G563">
        <v>56862</v>
      </c>
      <c r="H563" s="1">
        <v>45566</v>
      </c>
      <c r="I563" s="1">
        <v>45694</v>
      </c>
      <c r="J563">
        <v>128</v>
      </c>
      <c r="K563">
        <v>18</v>
      </c>
      <c r="L563" t="s">
        <v>47</v>
      </c>
      <c r="M563" t="s">
        <v>1901</v>
      </c>
      <c r="N563" t="s">
        <v>1887</v>
      </c>
    </row>
    <row r="564" spans="1:14" x14ac:dyDescent="0.35">
      <c r="A564" t="s">
        <v>2488</v>
      </c>
      <c r="B564" t="s">
        <v>1930</v>
      </c>
      <c r="C564" t="s">
        <v>175</v>
      </c>
      <c r="D564" t="s">
        <v>1883</v>
      </c>
      <c r="E564" t="s">
        <v>1891</v>
      </c>
      <c r="F564" t="s">
        <v>1900</v>
      </c>
      <c r="G564">
        <v>199469</v>
      </c>
      <c r="H564" s="1">
        <v>45530</v>
      </c>
      <c r="I564" s="1">
        <v>45680</v>
      </c>
      <c r="J564">
        <v>150</v>
      </c>
      <c r="K564">
        <v>6</v>
      </c>
      <c r="L564" t="s">
        <v>21</v>
      </c>
      <c r="M564" t="s">
        <v>1953</v>
      </c>
      <c r="N564" t="s">
        <v>1887</v>
      </c>
    </row>
    <row r="565" spans="1:14" x14ac:dyDescent="0.35">
      <c r="A565" t="s">
        <v>2489</v>
      </c>
      <c r="B565" t="s">
        <v>1907</v>
      </c>
      <c r="C565" t="s">
        <v>207</v>
      </c>
      <c r="D565" t="s">
        <v>1899</v>
      </c>
      <c r="E565" t="s">
        <v>1931</v>
      </c>
      <c r="F565" t="s">
        <v>1895</v>
      </c>
      <c r="G565">
        <v>222577</v>
      </c>
      <c r="H565" s="1">
        <v>45122</v>
      </c>
      <c r="I565" s="1"/>
      <c r="K565">
        <v>9</v>
      </c>
      <c r="L565" t="s">
        <v>21</v>
      </c>
      <c r="M565" t="s">
        <v>1932</v>
      </c>
      <c r="N565" t="s">
        <v>1887</v>
      </c>
    </row>
    <row r="566" spans="1:14" x14ac:dyDescent="0.35">
      <c r="A566" t="s">
        <v>2490</v>
      </c>
      <c r="B566" t="s">
        <v>1924</v>
      </c>
      <c r="C566" t="s">
        <v>167</v>
      </c>
      <c r="D566" t="s">
        <v>1883</v>
      </c>
      <c r="E566" t="s">
        <v>1678</v>
      </c>
      <c r="F566" t="s">
        <v>1900</v>
      </c>
      <c r="G566">
        <v>320458</v>
      </c>
      <c r="H566" s="1">
        <v>45728</v>
      </c>
      <c r="I566" s="1">
        <v>45856</v>
      </c>
      <c r="J566">
        <v>128</v>
      </c>
      <c r="K566">
        <v>8.1</v>
      </c>
      <c r="L566" t="s">
        <v>21</v>
      </c>
      <c r="M566" t="s">
        <v>1912</v>
      </c>
      <c r="N566" t="s">
        <v>1887</v>
      </c>
    </row>
    <row r="567" spans="1:14" x14ac:dyDescent="0.35">
      <c r="A567" t="s">
        <v>2491</v>
      </c>
      <c r="B567" t="s">
        <v>1944</v>
      </c>
      <c r="C567" t="s">
        <v>479</v>
      </c>
      <c r="D567" t="s">
        <v>1890</v>
      </c>
      <c r="E567" t="s">
        <v>1918</v>
      </c>
      <c r="F567" t="s">
        <v>1946</v>
      </c>
      <c r="G567">
        <v>252748</v>
      </c>
      <c r="H567" s="1">
        <v>45019</v>
      </c>
      <c r="I567" s="1"/>
      <c r="L567" t="s">
        <v>21</v>
      </c>
      <c r="M567" t="s">
        <v>1893</v>
      </c>
      <c r="N567" t="s">
        <v>1887</v>
      </c>
    </row>
    <row r="568" spans="1:14" x14ac:dyDescent="0.35">
      <c r="A568" t="s">
        <v>2492</v>
      </c>
      <c r="B568" t="s">
        <v>1944</v>
      </c>
      <c r="C568" t="s">
        <v>492</v>
      </c>
      <c r="D568" t="s">
        <v>1883</v>
      </c>
      <c r="E568" t="s">
        <v>1884</v>
      </c>
      <c r="F568" t="s">
        <v>1892</v>
      </c>
      <c r="G568">
        <v>468672</v>
      </c>
      <c r="H568" s="1">
        <v>45223</v>
      </c>
      <c r="I568" s="1"/>
      <c r="K568">
        <v>0.2</v>
      </c>
      <c r="L568" t="s">
        <v>15</v>
      </c>
      <c r="M568" t="s">
        <v>1886</v>
      </c>
      <c r="N568" t="s">
        <v>1887</v>
      </c>
    </row>
    <row r="569" spans="1:14" x14ac:dyDescent="0.35">
      <c r="A569" t="s">
        <v>2493</v>
      </c>
      <c r="B569" t="s">
        <v>1914</v>
      </c>
      <c r="C569" t="s">
        <v>302</v>
      </c>
      <c r="D569" t="s">
        <v>1927</v>
      </c>
      <c r="E569" t="s">
        <v>1931</v>
      </c>
      <c r="F569" t="s">
        <v>1895</v>
      </c>
      <c r="G569">
        <v>365115</v>
      </c>
      <c r="H569" s="1">
        <v>45526</v>
      </c>
      <c r="I569" s="1"/>
      <c r="K569">
        <v>8.4</v>
      </c>
      <c r="L569" t="s">
        <v>30</v>
      </c>
      <c r="M569" t="s">
        <v>1953</v>
      </c>
      <c r="N569" t="s">
        <v>1887</v>
      </c>
    </row>
    <row r="570" spans="1:14" x14ac:dyDescent="0.35">
      <c r="A570" t="s">
        <v>2494</v>
      </c>
      <c r="B570" t="s">
        <v>1889</v>
      </c>
      <c r="C570" t="s">
        <v>342</v>
      </c>
      <c r="D570" t="s">
        <v>1904</v>
      </c>
      <c r="E570" t="s">
        <v>1918</v>
      </c>
      <c r="F570" t="s">
        <v>1895</v>
      </c>
      <c r="G570">
        <v>103014</v>
      </c>
      <c r="H570" s="1">
        <v>45185</v>
      </c>
      <c r="I570" s="1"/>
      <c r="L570" t="s">
        <v>30</v>
      </c>
      <c r="M570" t="s">
        <v>1932</v>
      </c>
      <c r="N570" t="s">
        <v>1887</v>
      </c>
    </row>
    <row r="571" spans="1:14" x14ac:dyDescent="0.35">
      <c r="A571" t="s">
        <v>2495</v>
      </c>
      <c r="B571" t="s">
        <v>1930</v>
      </c>
      <c r="C571" t="s">
        <v>296</v>
      </c>
      <c r="D571" t="s">
        <v>1890</v>
      </c>
      <c r="E571" t="s">
        <v>1884</v>
      </c>
      <c r="F571" t="s">
        <v>1908</v>
      </c>
      <c r="G571">
        <v>72254</v>
      </c>
      <c r="H571" s="1">
        <v>45667</v>
      </c>
      <c r="I571" s="1"/>
      <c r="K571">
        <v>12.5</v>
      </c>
      <c r="L571" t="s">
        <v>47</v>
      </c>
      <c r="M571" t="s">
        <v>1912</v>
      </c>
      <c r="N571" t="s">
        <v>1887</v>
      </c>
    </row>
    <row r="572" spans="1:14" x14ac:dyDescent="0.35">
      <c r="A572" t="s">
        <v>2496</v>
      </c>
      <c r="B572" t="s">
        <v>1944</v>
      </c>
      <c r="C572" t="s">
        <v>436</v>
      </c>
      <c r="D572" t="s">
        <v>1883</v>
      </c>
      <c r="E572" t="s">
        <v>1891</v>
      </c>
      <c r="F572" t="s">
        <v>1895</v>
      </c>
      <c r="G572">
        <v>385572</v>
      </c>
      <c r="H572" s="1">
        <v>45480</v>
      </c>
      <c r="I572" s="1"/>
      <c r="K572">
        <v>0.1</v>
      </c>
      <c r="L572" t="s">
        <v>47</v>
      </c>
      <c r="M572" t="s">
        <v>1953</v>
      </c>
      <c r="N572" t="s">
        <v>1887</v>
      </c>
    </row>
    <row r="573" spans="1:14" x14ac:dyDescent="0.35">
      <c r="A573" t="s">
        <v>2497</v>
      </c>
      <c r="B573" t="s">
        <v>1920</v>
      </c>
      <c r="C573" t="s">
        <v>474</v>
      </c>
      <c r="D573" t="s">
        <v>1883</v>
      </c>
      <c r="E573" t="s">
        <v>1600</v>
      </c>
      <c r="F573" t="s">
        <v>1895</v>
      </c>
      <c r="G573">
        <v>374713</v>
      </c>
      <c r="H573" s="1">
        <v>45022</v>
      </c>
      <c r="I573" s="1"/>
      <c r="K573">
        <v>1.4</v>
      </c>
      <c r="L573" t="s">
        <v>30</v>
      </c>
      <c r="M573" t="s">
        <v>1893</v>
      </c>
      <c r="N573" t="s">
        <v>1887</v>
      </c>
    </row>
    <row r="574" spans="1:14" x14ac:dyDescent="0.35">
      <c r="A574" t="s">
        <v>2498</v>
      </c>
      <c r="B574" t="s">
        <v>1911</v>
      </c>
      <c r="C574" t="s">
        <v>238</v>
      </c>
      <c r="D574" t="s">
        <v>1883</v>
      </c>
      <c r="E574" t="s">
        <v>1600</v>
      </c>
      <c r="F574" t="s">
        <v>1900</v>
      </c>
      <c r="G574">
        <v>325072</v>
      </c>
      <c r="H574" s="1">
        <v>45626</v>
      </c>
      <c r="I574" s="1">
        <v>45737</v>
      </c>
      <c r="J574">
        <v>111</v>
      </c>
      <c r="K574">
        <v>10.1</v>
      </c>
      <c r="L574" t="s">
        <v>15</v>
      </c>
      <c r="M574" t="s">
        <v>1901</v>
      </c>
      <c r="N574" t="s">
        <v>1887</v>
      </c>
    </row>
    <row r="575" spans="1:14" x14ac:dyDescent="0.35">
      <c r="A575" t="s">
        <v>2499</v>
      </c>
      <c r="B575" t="s">
        <v>1944</v>
      </c>
      <c r="C575" t="s">
        <v>343</v>
      </c>
      <c r="D575" t="s">
        <v>1890</v>
      </c>
      <c r="E575" t="s">
        <v>1678</v>
      </c>
      <c r="F575" t="s">
        <v>1900</v>
      </c>
      <c r="G575">
        <v>471884</v>
      </c>
      <c r="H575" s="1">
        <v>44964</v>
      </c>
      <c r="I575" s="1">
        <v>45116</v>
      </c>
      <c r="J575">
        <v>152</v>
      </c>
      <c r="K575">
        <v>18.100000000000001</v>
      </c>
      <c r="L575" t="s">
        <v>15</v>
      </c>
      <c r="M575" t="s">
        <v>1896</v>
      </c>
      <c r="N575" t="s">
        <v>1887</v>
      </c>
    </row>
    <row r="576" spans="1:14" x14ac:dyDescent="0.35">
      <c r="A576" t="s">
        <v>2500</v>
      </c>
      <c r="B576" t="s">
        <v>1920</v>
      </c>
      <c r="C576" t="s">
        <v>357</v>
      </c>
      <c r="D576" t="s">
        <v>1899</v>
      </c>
      <c r="E576" t="s">
        <v>1918</v>
      </c>
      <c r="F576" t="s">
        <v>1908</v>
      </c>
      <c r="G576">
        <v>25981</v>
      </c>
      <c r="H576" s="1">
        <v>45037</v>
      </c>
      <c r="I576" s="1"/>
      <c r="K576">
        <v>14.6</v>
      </c>
      <c r="L576" t="s">
        <v>30</v>
      </c>
      <c r="M576" t="s">
        <v>1893</v>
      </c>
      <c r="N576" t="s">
        <v>1887</v>
      </c>
    </row>
    <row r="577" spans="1:14" x14ac:dyDescent="0.35">
      <c r="A577" t="s">
        <v>2501</v>
      </c>
      <c r="B577" t="s">
        <v>1898</v>
      </c>
      <c r="C577" t="s">
        <v>263</v>
      </c>
      <c r="D577" t="s">
        <v>1904</v>
      </c>
      <c r="E577" t="s">
        <v>1587</v>
      </c>
      <c r="F577" t="s">
        <v>1885</v>
      </c>
      <c r="G577">
        <v>198107</v>
      </c>
      <c r="H577" s="1">
        <v>45292</v>
      </c>
      <c r="I577" s="1">
        <v>45347</v>
      </c>
      <c r="J577">
        <v>55</v>
      </c>
      <c r="K577">
        <v>12.9</v>
      </c>
      <c r="L577" t="s">
        <v>47</v>
      </c>
      <c r="M577" t="s">
        <v>1916</v>
      </c>
      <c r="N577" t="s">
        <v>1887</v>
      </c>
    </row>
    <row r="578" spans="1:14" x14ac:dyDescent="0.35">
      <c r="A578" t="s">
        <v>2502</v>
      </c>
      <c r="B578" t="s">
        <v>1898</v>
      </c>
      <c r="C578" t="s">
        <v>42</v>
      </c>
      <c r="D578" t="s">
        <v>1915</v>
      </c>
      <c r="E578" t="s">
        <v>1931</v>
      </c>
      <c r="F578" t="s">
        <v>1895</v>
      </c>
      <c r="G578">
        <v>446198</v>
      </c>
      <c r="H578" s="1">
        <v>45733</v>
      </c>
      <c r="I578" s="1"/>
      <c r="K578">
        <v>7</v>
      </c>
      <c r="L578" t="s">
        <v>47</v>
      </c>
      <c r="M578" t="s">
        <v>1912</v>
      </c>
      <c r="N578" t="s">
        <v>1887</v>
      </c>
    </row>
    <row r="579" spans="1:14" x14ac:dyDescent="0.35">
      <c r="A579" t="s">
        <v>2503</v>
      </c>
      <c r="B579" t="s">
        <v>1882</v>
      </c>
      <c r="C579" t="s">
        <v>387</v>
      </c>
      <c r="D579" t="s">
        <v>1883</v>
      </c>
      <c r="E579" t="s">
        <v>1905</v>
      </c>
      <c r="F579" t="s">
        <v>1895</v>
      </c>
      <c r="G579">
        <v>197213</v>
      </c>
      <c r="H579" s="1">
        <v>45265</v>
      </c>
      <c r="I579" s="1"/>
      <c r="L579" t="s">
        <v>21</v>
      </c>
      <c r="M579" t="s">
        <v>1886</v>
      </c>
      <c r="N579" t="s">
        <v>1887</v>
      </c>
    </row>
    <row r="580" spans="1:14" x14ac:dyDescent="0.35">
      <c r="A580" t="s">
        <v>2504</v>
      </c>
      <c r="B580" t="s">
        <v>1914</v>
      </c>
      <c r="C580" t="s">
        <v>474</v>
      </c>
      <c r="D580" t="s">
        <v>1927</v>
      </c>
      <c r="E580" t="s">
        <v>1587</v>
      </c>
      <c r="F580" t="s">
        <v>1895</v>
      </c>
      <c r="G580">
        <v>255162</v>
      </c>
      <c r="H580" s="1">
        <v>45455</v>
      </c>
      <c r="I580" s="1"/>
      <c r="K580">
        <v>6.5</v>
      </c>
      <c r="L580" t="s">
        <v>47</v>
      </c>
      <c r="M580" t="s">
        <v>1935</v>
      </c>
      <c r="N580" t="s">
        <v>1887</v>
      </c>
    </row>
    <row r="581" spans="1:14" x14ac:dyDescent="0.35">
      <c r="A581" t="s">
        <v>2505</v>
      </c>
      <c r="B581" t="s">
        <v>1907</v>
      </c>
      <c r="C581" t="s">
        <v>27</v>
      </c>
      <c r="D581" t="s">
        <v>1904</v>
      </c>
      <c r="E581" t="s">
        <v>1931</v>
      </c>
      <c r="F581" t="s">
        <v>1946</v>
      </c>
      <c r="G581">
        <v>363231</v>
      </c>
      <c r="H581" s="1">
        <v>45489</v>
      </c>
      <c r="I581" s="1"/>
      <c r="K581">
        <v>5.5</v>
      </c>
      <c r="L581" t="s">
        <v>47</v>
      </c>
      <c r="M581" t="s">
        <v>1953</v>
      </c>
      <c r="N581" t="s">
        <v>1887</v>
      </c>
    </row>
    <row r="582" spans="1:14" x14ac:dyDescent="0.35">
      <c r="A582" t="s">
        <v>2506</v>
      </c>
      <c r="B582" t="s">
        <v>1926</v>
      </c>
      <c r="C582" t="s">
        <v>101</v>
      </c>
      <c r="D582" t="s">
        <v>1890</v>
      </c>
      <c r="E582" t="s">
        <v>1931</v>
      </c>
      <c r="F582" t="s">
        <v>1900</v>
      </c>
      <c r="G582">
        <v>116637</v>
      </c>
      <c r="H582" s="1">
        <v>45387</v>
      </c>
      <c r="I582" s="1">
        <v>45475</v>
      </c>
      <c r="J582">
        <v>88</v>
      </c>
      <c r="K582">
        <v>24.9</v>
      </c>
      <c r="L582" t="s">
        <v>15</v>
      </c>
      <c r="M582" t="s">
        <v>1935</v>
      </c>
      <c r="N582" t="s">
        <v>1887</v>
      </c>
    </row>
    <row r="583" spans="1:14" x14ac:dyDescent="0.35">
      <c r="A583" t="s">
        <v>2507</v>
      </c>
      <c r="B583" t="s">
        <v>1930</v>
      </c>
      <c r="C583" t="s">
        <v>130</v>
      </c>
      <c r="D583" t="s">
        <v>1883</v>
      </c>
      <c r="E583" t="s">
        <v>1600</v>
      </c>
      <c r="F583" t="s">
        <v>1908</v>
      </c>
      <c r="G583">
        <v>96840</v>
      </c>
      <c r="H583" s="1">
        <v>45560</v>
      </c>
      <c r="I583" s="1"/>
      <c r="K583">
        <v>3.4</v>
      </c>
      <c r="L583" t="s">
        <v>15</v>
      </c>
      <c r="M583" t="s">
        <v>1953</v>
      </c>
      <c r="N583" t="s">
        <v>1887</v>
      </c>
    </row>
    <row r="584" spans="1:14" x14ac:dyDescent="0.35">
      <c r="A584" t="s">
        <v>2508</v>
      </c>
      <c r="B584" t="s">
        <v>1944</v>
      </c>
      <c r="C584" t="s">
        <v>235</v>
      </c>
      <c r="D584" t="s">
        <v>1883</v>
      </c>
      <c r="E584" t="s">
        <v>1600</v>
      </c>
      <c r="F584" t="s">
        <v>1895</v>
      </c>
      <c r="G584">
        <v>478947</v>
      </c>
      <c r="H584" s="1">
        <v>45518</v>
      </c>
      <c r="I584" s="1"/>
      <c r="L584" t="s">
        <v>30</v>
      </c>
      <c r="M584" t="s">
        <v>1953</v>
      </c>
      <c r="N584" t="s">
        <v>1887</v>
      </c>
    </row>
    <row r="585" spans="1:14" x14ac:dyDescent="0.35">
      <c r="A585" t="s">
        <v>2509</v>
      </c>
      <c r="B585" t="s">
        <v>1920</v>
      </c>
      <c r="C585" t="s">
        <v>413</v>
      </c>
      <c r="D585" t="s">
        <v>1899</v>
      </c>
      <c r="E585" t="s">
        <v>1931</v>
      </c>
      <c r="F585" t="s">
        <v>1946</v>
      </c>
      <c r="G585">
        <v>251317</v>
      </c>
      <c r="H585" s="1">
        <v>45301</v>
      </c>
      <c r="I585" s="1"/>
      <c r="L585" t="s">
        <v>21</v>
      </c>
      <c r="M585" t="s">
        <v>1916</v>
      </c>
      <c r="N585" t="s">
        <v>1887</v>
      </c>
    </row>
    <row r="586" spans="1:14" x14ac:dyDescent="0.35">
      <c r="A586" t="s">
        <v>2510</v>
      </c>
      <c r="B586" t="s">
        <v>1924</v>
      </c>
      <c r="C586" t="s">
        <v>469</v>
      </c>
      <c r="D586" t="s">
        <v>1899</v>
      </c>
      <c r="E586" t="s">
        <v>1905</v>
      </c>
      <c r="F586" t="s">
        <v>1900</v>
      </c>
      <c r="G586">
        <v>99042</v>
      </c>
      <c r="H586" s="1">
        <v>45082</v>
      </c>
      <c r="I586" s="1">
        <v>45105</v>
      </c>
      <c r="J586">
        <v>23</v>
      </c>
      <c r="K586">
        <v>8.4</v>
      </c>
      <c r="L586" t="s">
        <v>15</v>
      </c>
      <c r="M586" t="s">
        <v>1893</v>
      </c>
      <c r="N586" t="s">
        <v>1887</v>
      </c>
    </row>
    <row r="587" spans="1:14" x14ac:dyDescent="0.35">
      <c r="A587" t="s">
        <v>2511</v>
      </c>
      <c r="B587" t="s">
        <v>1930</v>
      </c>
      <c r="C587" t="s">
        <v>410</v>
      </c>
      <c r="D587" t="s">
        <v>1904</v>
      </c>
      <c r="E587" t="s">
        <v>1587</v>
      </c>
      <c r="F587" t="s">
        <v>1900</v>
      </c>
      <c r="G587">
        <v>307976</v>
      </c>
      <c r="H587" s="1">
        <v>44979</v>
      </c>
      <c r="I587" s="1">
        <v>45115</v>
      </c>
      <c r="J587">
        <v>136</v>
      </c>
      <c r="K587">
        <v>21</v>
      </c>
      <c r="L587" t="s">
        <v>30</v>
      </c>
      <c r="M587" t="s">
        <v>1896</v>
      </c>
      <c r="N587" t="s">
        <v>1887</v>
      </c>
    </row>
    <row r="588" spans="1:14" x14ac:dyDescent="0.35">
      <c r="A588" t="s">
        <v>2512</v>
      </c>
      <c r="B588" t="s">
        <v>1926</v>
      </c>
      <c r="C588" t="s">
        <v>400</v>
      </c>
      <c r="D588" t="s">
        <v>1904</v>
      </c>
      <c r="E588" t="s">
        <v>1884</v>
      </c>
      <c r="F588" t="s">
        <v>1895</v>
      </c>
      <c r="G588">
        <v>336120</v>
      </c>
      <c r="H588" s="1">
        <v>45329</v>
      </c>
      <c r="I588" s="1"/>
      <c r="L588" t="s">
        <v>30</v>
      </c>
      <c r="M588" t="s">
        <v>1916</v>
      </c>
      <c r="N588" t="s">
        <v>1887</v>
      </c>
    </row>
    <row r="589" spans="1:14" x14ac:dyDescent="0.35">
      <c r="A589" t="s">
        <v>2513</v>
      </c>
      <c r="B589" t="s">
        <v>1914</v>
      </c>
      <c r="C589" t="s">
        <v>461</v>
      </c>
      <c r="D589" t="s">
        <v>1915</v>
      </c>
      <c r="E589" t="s">
        <v>1918</v>
      </c>
      <c r="F589" t="s">
        <v>1895</v>
      </c>
      <c r="G589">
        <v>331117</v>
      </c>
      <c r="H589" s="1">
        <v>45131</v>
      </c>
      <c r="I589" s="1"/>
      <c r="K589">
        <v>7.7</v>
      </c>
      <c r="L589" t="s">
        <v>47</v>
      </c>
      <c r="M589" t="s">
        <v>1932</v>
      </c>
      <c r="N589" t="s">
        <v>1887</v>
      </c>
    </row>
    <row r="590" spans="1:14" x14ac:dyDescent="0.35">
      <c r="A590" t="s">
        <v>2514</v>
      </c>
      <c r="B590" t="s">
        <v>1920</v>
      </c>
      <c r="C590" t="s">
        <v>275</v>
      </c>
      <c r="D590" t="s">
        <v>1904</v>
      </c>
      <c r="E590" t="s">
        <v>1600</v>
      </c>
      <c r="F590" t="s">
        <v>1908</v>
      </c>
      <c r="G590">
        <v>89773</v>
      </c>
      <c r="H590" s="1">
        <v>45707</v>
      </c>
      <c r="I590" s="1"/>
      <c r="K590">
        <v>12</v>
      </c>
      <c r="L590" t="s">
        <v>30</v>
      </c>
      <c r="M590" t="s">
        <v>1912</v>
      </c>
      <c r="N590" t="s">
        <v>1887</v>
      </c>
    </row>
    <row r="591" spans="1:14" x14ac:dyDescent="0.35">
      <c r="A591" t="s">
        <v>2515</v>
      </c>
      <c r="B591" t="s">
        <v>1926</v>
      </c>
      <c r="C591" t="s">
        <v>62</v>
      </c>
      <c r="D591" t="s">
        <v>1899</v>
      </c>
      <c r="E591" t="s">
        <v>1905</v>
      </c>
      <c r="F591" t="s">
        <v>1900</v>
      </c>
      <c r="G591">
        <v>310047</v>
      </c>
      <c r="H591" s="1">
        <v>45609</v>
      </c>
      <c r="I591" s="1">
        <v>45683</v>
      </c>
      <c r="J591">
        <v>74</v>
      </c>
      <c r="K591">
        <v>4.5</v>
      </c>
      <c r="L591" t="s">
        <v>47</v>
      </c>
      <c r="M591" t="s">
        <v>1901</v>
      </c>
      <c r="N591" t="s">
        <v>1887</v>
      </c>
    </row>
    <row r="592" spans="1:14" x14ac:dyDescent="0.35">
      <c r="A592" t="s">
        <v>2516</v>
      </c>
      <c r="B592" t="s">
        <v>1922</v>
      </c>
      <c r="C592" t="s">
        <v>288</v>
      </c>
      <c r="D592" t="s">
        <v>1927</v>
      </c>
      <c r="E592" t="s">
        <v>1587</v>
      </c>
      <c r="F592" t="s">
        <v>1885</v>
      </c>
      <c r="G592">
        <v>1744701</v>
      </c>
      <c r="H592" s="1">
        <v>45138</v>
      </c>
      <c r="I592" s="1">
        <v>45183</v>
      </c>
      <c r="J592">
        <v>45</v>
      </c>
      <c r="K592">
        <v>11</v>
      </c>
      <c r="L592" t="s">
        <v>15</v>
      </c>
      <c r="M592" t="s">
        <v>1932</v>
      </c>
      <c r="N592" t="s">
        <v>1966</v>
      </c>
    </row>
    <row r="593" spans="1:14" x14ac:dyDescent="0.35">
      <c r="A593" t="s">
        <v>2517</v>
      </c>
      <c r="B593" t="s">
        <v>1903</v>
      </c>
      <c r="C593" t="s">
        <v>339</v>
      </c>
      <c r="D593" t="s">
        <v>1899</v>
      </c>
      <c r="E593" t="s">
        <v>1945</v>
      </c>
      <c r="F593" t="s">
        <v>1946</v>
      </c>
      <c r="G593">
        <v>20695</v>
      </c>
      <c r="H593" s="1">
        <v>44989</v>
      </c>
      <c r="I593" s="1"/>
      <c r="L593" t="s">
        <v>21</v>
      </c>
      <c r="M593" t="s">
        <v>1896</v>
      </c>
      <c r="N593" t="s">
        <v>1887</v>
      </c>
    </row>
    <row r="594" spans="1:14" x14ac:dyDescent="0.35">
      <c r="A594" t="s">
        <v>2518</v>
      </c>
      <c r="B594" t="s">
        <v>1898</v>
      </c>
      <c r="C594" t="s">
        <v>498</v>
      </c>
      <c r="D594" t="s">
        <v>1883</v>
      </c>
      <c r="E594" t="s">
        <v>1918</v>
      </c>
      <c r="F594" t="s">
        <v>1895</v>
      </c>
      <c r="G594">
        <v>390228</v>
      </c>
      <c r="H594" s="1">
        <v>45523</v>
      </c>
      <c r="I594" s="1"/>
      <c r="K594">
        <v>1</v>
      </c>
      <c r="L594" t="s">
        <v>21</v>
      </c>
      <c r="M594" t="s">
        <v>1953</v>
      </c>
      <c r="N594" t="s">
        <v>1887</v>
      </c>
    </row>
    <row r="595" spans="1:14" x14ac:dyDescent="0.35">
      <c r="A595" t="s">
        <v>2519</v>
      </c>
      <c r="B595" t="s">
        <v>1889</v>
      </c>
      <c r="C595" t="s">
        <v>367</v>
      </c>
      <c r="D595" t="s">
        <v>1899</v>
      </c>
      <c r="E595" t="s">
        <v>1587</v>
      </c>
      <c r="F595" t="s">
        <v>1885</v>
      </c>
      <c r="G595">
        <v>211674</v>
      </c>
      <c r="H595" s="1">
        <v>45156</v>
      </c>
      <c r="I595" s="1">
        <v>45223</v>
      </c>
      <c r="J595">
        <v>67</v>
      </c>
      <c r="K595">
        <v>9.9</v>
      </c>
      <c r="L595" t="s">
        <v>21</v>
      </c>
      <c r="M595" t="s">
        <v>1932</v>
      </c>
      <c r="N595" t="s">
        <v>1887</v>
      </c>
    </row>
    <row r="596" spans="1:14" x14ac:dyDescent="0.35">
      <c r="A596" t="s">
        <v>2520</v>
      </c>
      <c r="B596" t="s">
        <v>1930</v>
      </c>
      <c r="C596" t="s">
        <v>458</v>
      </c>
      <c r="D596" t="s">
        <v>1890</v>
      </c>
      <c r="E596" t="s">
        <v>1905</v>
      </c>
      <c r="F596" t="s">
        <v>1946</v>
      </c>
      <c r="G596">
        <v>24372</v>
      </c>
      <c r="H596" s="1">
        <v>44970</v>
      </c>
      <c r="I596" s="1"/>
      <c r="K596">
        <v>3.4</v>
      </c>
      <c r="L596" t="s">
        <v>15</v>
      </c>
      <c r="M596" t="s">
        <v>1896</v>
      </c>
      <c r="N596" t="s">
        <v>1887</v>
      </c>
    </row>
    <row r="597" spans="1:14" x14ac:dyDescent="0.35">
      <c r="A597" t="s">
        <v>2521</v>
      </c>
      <c r="B597" t="s">
        <v>1930</v>
      </c>
      <c r="C597" t="s">
        <v>335</v>
      </c>
      <c r="D597" t="s">
        <v>1915</v>
      </c>
      <c r="E597" t="s">
        <v>1678</v>
      </c>
      <c r="F597" t="s">
        <v>1892</v>
      </c>
      <c r="G597">
        <v>224675</v>
      </c>
      <c r="H597" s="1">
        <v>45206</v>
      </c>
      <c r="I597" s="1"/>
      <c r="K597">
        <v>6.2</v>
      </c>
      <c r="L597" t="s">
        <v>15</v>
      </c>
      <c r="M597" t="s">
        <v>1886</v>
      </c>
      <c r="N597" t="s">
        <v>1887</v>
      </c>
    </row>
    <row r="598" spans="1:14" x14ac:dyDescent="0.35">
      <c r="A598" t="s">
        <v>2522</v>
      </c>
      <c r="B598" t="s">
        <v>1911</v>
      </c>
      <c r="C598" t="s">
        <v>339</v>
      </c>
      <c r="D598" t="s">
        <v>1890</v>
      </c>
      <c r="E598" t="s">
        <v>1884</v>
      </c>
      <c r="F598" t="s">
        <v>1946</v>
      </c>
      <c r="G598">
        <v>230842</v>
      </c>
      <c r="H598" s="1">
        <v>45424</v>
      </c>
      <c r="I598" s="1"/>
      <c r="K598">
        <v>12.1</v>
      </c>
      <c r="L598" t="s">
        <v>15</v>
      </c>
      <c r="M598" t="s">
        <v>1935</v>
      </c>
      <c r="N598" t="s">
        <v>1887</v>
      </c>
    </row>
    <row r="599" spans="1:14" x14ac:dyDescent="0.35">
      <c r="A599" t="s">
        <v>2523</v>
      </c>
      <c r="B599" t="s">
        <v>1930</v>
      </c>
      <c r="C599" t="s">
        <v>86</v>
      </c>
      <c r="D599" t="s">
        <v>1904</v>
      </c>
      <c r="E599" t="s">
        <v>1587</v>
      </c>
      <c r="F599" t="s">
        <v>1900</v>
      </c>
      <c r="G599">
        <v>128695</v>
      </c>
      <c r="H599" s="1">
        <v>45473</v>
      </c>
      <c r="I599" s="1">
        <v>45653</v>
      </c>
      <c r="J599">
        <v>180</v>
      </c>
      <c r="K599">
        <v>7.4</v>
      </c>
      <c r="L599" t="s">
        <v>21</v>
      </c>
      <c r="M599" t="s">
        <v>1935</v>
      </c>
      <c r="N599" t="s">
        <v>1887</v>
      </c>
    </row>
    <row r="600" spans="1:14" x14ac:dyDescent="0.35">
      <c r="A600" t="s">
        <v>2524</v>
      </c>
      <c r="B600" t="s">
        <v>1920</v>
      </c>
      <c r="C600" t="s">
        <v>110</v>
      </c>
      <c r="D600" t="s">
        <v>1904</v>
      </c>
      <c r="E600" t="s">
        <v>1678</v>
      </c>
      <c r="F600" t="s">
        <v>1900</v>
      </c>
      <c r="G600">
        <v>348203</v>
      </c>
      <c r="H600" s="1">
        <v>45310</v>
      </c>
      <c r="I600" s="1">
        <v>45452</v>
      </c>
      <c r="J600">
        <v>142</v>
      </c>
      <c r="K600">
        <v>4.5</v>
      </c>
      <c r="L600" t="s">
        <v>21</v>
      </c>
      <c r="M600" t="s">
        <v>1916</v>
      </c>
      <c r="N600" t="s">
        <v>1887</v>
      </c>
    </row>
    <row r="601" spans="1:14" x14ac:dyDescent="0.35">
      <c r="A601" t="s">
        <v>2525</v>
      </c>
      <c r="B601" t="s">
        <v>1930</v>
      </c>
      <c r="C601" t="s">
        <v>307</v>
      </c>
      <c r="D601" t="s">
        <v>1890</v>
      </c>
      <c r="E601" t="s">
        <v>1600</v>
      </c>
      <c r="F601" t="s">
        <v>1895</v>
      </c>
      <c r="G601">
        <v>327507</v>
      </c>
      <c r="H601" s="1">
        <v>45680</v>
      </c>
      <c r="I601" s="1"/>
      <c r="K601">
        <v>9.1</v>
      </c>
      <c r="L601" t="s">
        <v>47</v>
      </c>
      <c r="M601" t="s">
        <v>1912</v>
      </c>
      <c r="N601" t="s">
        <v>1887</v>
      </c>
    </row>
    <row r="602" spans="1:14" x14ac:dyDescent="0.35">
      <c r="A602" t="s">
        <v>2526</v>
      </c>
      <c r="B602" t="s">
        <v>1922</v>
      </c>
      <c r="C602" t="s">
        <v>142</v>
      </c>
      <c r="D602" t="s">
        <v>1883</v>
      </c>
      <c r="E602" t="s">
        <v>1884</v>
      </c>
      <c r="F602" t="s">
        <v>1946</v>
      </c>
      <c r="G602">
        <v>468580</v>
      </c>
      <c r="H602" s="1">
        <v>45100</v>
      </c>
      <c r="I602" s="1"/>
      <c r="L602" t="s">
        <v>47</v>
      </c>
      <c r="M602" t="s">
        <v>1893</v>
      </c>
      <c r="N602" t="s">
        <v>1887</v>
      </c>
    </row>
    <row r="603" spans="1:14" x14ac:dyDescent="0.35">
      <c r="A603" t="s">
        <v>2527</v>
      </c>
      <c r="B603" t="s">
        <v>1903</v>
      </c>
      <c r="C603" t="s">
        <v>277</v>
      </c>
      <c r="D603" t="s">
        <v>1904</v>
      </c>
      <c r="E603" t="s">
        <v>1678</v>
      </c>
      <c r="F603" t="s">
        <v>1946</v>
      </c>
      <c r="G603">
        <v>226296</v>
      </c>
      <c r="H603" s="1">
        <v>45033</v>
      </c>
      <c r="I603" s="1"/>
      <c r="L603" t="s">
        <v>47</v>
      </c>
      <c r="M603" t="s">
        <v>1893</v>
      </c>
      <c r="N603" t="s">
        <v>1887</v>
      </c>
    </row>
    <row r="604" spans="1:14" x14ac:dyDescent="0.35">
      <c r="A604" t="s">
        <v>2528</v>
      </c>
      <c r="B604" t="s">
        <v>1926</v>
      </c>
      <c r="C604" t="s">
        <v>451</v>
      </c>
      <c r="D604" t="s">
        <v>1883</v>
      </c>
      <c r="E604" t="s">
        <v>1587</v>
      </c>
      <c r="F604" t="s">
        <v>1946</v>
      </c>
      <c r="G604">
        <v>327702</v>
      </c>
      <c r="H604" s="1">
        <v>45513</v>
      </c>
      <c r="I604" s="1"/>
      <c r="K604">
        <v>14.5</v>
      </c>
      <c r="L604" t="s">
        <v>21</v>
      </c>
      <c r="M604" t="s">
        <v>1953</v>
      </c>
      <c r="N604" t="s">
        <v>1887</v>
      </c>
    </row>
    <row r="605" spans="1:14" x14ac:dyDescent="0.35">
      <c r="A605" t="s">
        <v>2529</v>
      </c>
      <c r="B605" t="s">
        <v>1903</v>
      </c>
      <c r="C605" t="s">
        <v>292</v>
      </c>
      <c r="D605" t="s">
        <v>1927</v>
      </c>
      <c r="E605" t="s">
        <v>1931</v>
      </c>
      <c r="F605" t="s">
        <v>1885</v>
      </c>
      <c r="G605">
        <v>105930</v>
      </c>
      <c r="H605" s="1">
        <v>45063</v>
      </c>
      <c r="I605" s="1">
        <v>45127</v>
      </c>
      <c r="J605">
        <v>64</v>
      </c>
      <c r="L605" t="s">
        <v>21</v>
      </c>
      <c r="M605" t="s">
        <v>1893</v>
      </c>
      <c r="N605" t="s">
        <v>1887</v>
      </c>
    </row>
    <row r="606" spans="1:14" x14ac:dyDescent="0.35">
      <c r="A606" t="s">
        <v>2530</v>
      </c>
      <c r="B606" t="s">
        <v>1920</v>
      </c>
      <c r="C606" t="s">
        <v>362</v>
      </c>
      <c r="D606" t="s">
        <v>1899</v>
      </c>
      <c r="E606" t="s">
        <v>1884</v>
      </c>
      <c r="F606" t="s">
        <v>1900</v>
      </c>
      <c r="G606">
        <v>174665</v>
      </c>
      <c r="H606" s="1">
        <v>45075</v>
      </c>
      <c r="I606" s="1">
        <v>45227</v>
      </c>
      <c r="J606">
        <v>152</v>
      </c>
      <c r="K606">
        <v>9.3000000000000007</v>
      </c>
      <c r="L606" t="s">
        <v>47</v>
      </c>
      <c r="M606" t="s">
        <v>1893</v>
      </c>
      <c r="N606" t="s">
        <v>1887</v>
      </c>
    </row>
    <row r="607" spans="1:14" x14ac:dyDescent="0.35">
      <c r="A607" t="s">
        <v>2531</v>
      </c>
      <c r="B607" t="s">
        <v>1882</v>
      </c>
      <c r="C607" t="s">
        <v>264</v>
      </c>
      <c r="D607" t="s">
        <v>1890</v>
      </c>
      <c r="E607" t="s">
        <v>1884</v>
      </c>
      <c r="F607" t="s">
        <v>1946</v>
      </c>
      <c r="G607">
        <v>343024</v>
      </c>
      <c r="H607" s="1">
        <v>45001</v>
      </c>
      <c r="I607" s="1"/>
      <c r="L607" t="s">
        <v>30</v>
      </c>
      <c r="M607" t="s">
        <v>1896</v>
      </c>
      <c r="N607" t="s">
        <v>1887</v>
      </c>
    </row>
    <row r="608" spans="1:14" x14ac:dyDescent="0.35">
      <c r="A608" t="s">
        <v>2532</v>
      </c>
      <c r="B608" t="s">
        <v>1930</v>
      </c>
      <c r="C608" t="s">
        <v>249</v>
      </c>
      <c r="D608" t="s">
        <v>1899</v>
      </c>
      <c r="E608" t="s">
        <v>1931</v>
      </c>
      <c r="F608" t="s">
        <v>1946</v>
      </c>
      <c r="G608">
        <v>194687</v>
      </c>
      <c r="H608" s="1">
        <v>45128</v>
      </c>
      <c r="I608" s="1"/>
      <c r="K608">
        <v>0.6</v>
      </c>
      <c r="L608" t="s">
        <v>47</v>
      </c>
      <c r="M608" t="s">
        <v>1932</v>
      </c>
      <c r="N608" t="s">
        <v>1887</v>
      </c>
    </row>
    <row r="609" spans="1:14" x14ac:dyDescent="0.35">
      <c r="A609" t="s">
        <v>2533</v>
      </c>
      <c r="B609" t="s">
        <v>1922</v>
      </c>
      <c r="C609" t="s">
        <v>341</v>
      </c>
      <c r="D609" t="s">
        <v>1883</v>
      </c>
      <c r="E609" t="s">
        <v>1891</v>
      </c>
      <c r="F609" t="s">
        <v>1900</v>
      </c>
      <c r="G609">
        <v>89575</v>
      </c>
      <c r="H609" s="1">
        <v>45687</v>
      </c>
      <c r="I609" s="1">
        <v>45829</v>
      </c>
      <c r="J609">
        <v>142</v>
      </c>
      <c r="K609">
        <v>17.399999999999999</v>
      </c>
      <c r="L609" t="s">
        <v>30</v>
      </c>
      <c r="M609" t="s">
        <v>1912</v>
      </c>
      <c r="N609" t="s">
        <v>1887</v>
      </c>
    </row>
    <row r="610" spans="1:14" x14ac:dyDescent="0.35">
      <c r="A610" t="s">
        <v>2534</v>
      </c>
      <c r="B610" t="s">
        <v>1898</v>
      </c>
      <c r="C610" t="s">
        <v>92</v>
      </c>
      <c r="D610" t="s">
        <v>1890</v>
      </c>
      <c r="E610" t="s">
        <v>1678</v>
      </c>
      <c r="F610" t="s">
        <v>1946</v>
      </c>
      <c r="G610">
        <v>268446</v>
      </c>
      <c r="H610" s="1">
        <v>45297</v>
      </c>
      <c r="I610" s="1"/>
      <c r="L610" t="s">
        <v>21</v>
      </c>
      <c r="M610" t="s">
        <v>1916</v>
      </c>
      <c r="N610" t="s">
        <v>1887</v>
      </c>
    </row>
    <row r="611" spans="1:14" x14ac:dyDescent="0.35">
      <c r="A611" t="s">
        <v>2535</v>
      </c>
      <c r="B611" t="s">
        <v>1922</v>
      </c>
      <c r="C611" t="s">
        <v>363</v>
      </c>
      <c r="D611" t="s">
        <v>1915</v>
      </c>
      <c r="E611" t="s">
        <v>1884</v>
      </c>
      <c r="F611" t="s">
        <v>1908</v>
      </c>
      <c r="G611">
        <v>48973</v>
      </c>
      <c r="H611" s="1">
        <v>45485</v>
      </c>
      <c r="I611" s="1"/>
      <c r="L611" t="s">
        <v>47</v>
      </c>
      <c r="M611" t="s">
        <v>1953</v>
      </c>
      <c r="N611" t="s">
        <v>1887</v>
      </c>
    </row>
    <row r="612" spans="1:14" x14ac:dyDescent="0.35">
      <c r="A612" t="s">
        <v>2536</v>
      </c>
      <c r="B612" t="s">
        <v>1882</v>
      </c>
      <c r="C612" t="s">
        <v>392</v>
      </c>
      <c r="D612" t="s">
        <v>1899</v>
      </c>
      <c r="E612" t="s">
        <v>1891</v>
      </c>
      <c r="F612" t="s">
        <v>1892</v>
      </c>
      <c r="G612">
        <v>335462</v>
      </c>
      <c r="H612" s="1">
        <v>45080</v>
      </c>
      <c r="I612" s="1"/>
      <c r="K612">
        <v>10.5</v>
      </c>
      <c r="L612" t="s">
        <v>47</v>
      </c>
      <c r="M612" t="s">
        <v>1893</v>
      </c>
      <c r="N612" t="s">
        <v>1887</v>
      </c>
    </row>
    <row r="613" spans="1:14" x14ac:dyDescent="0.35">
      <c r="A613" t="s">
        <v>2537</v>
      </c>
      <c r="B613" t="s">
        <v>1924</v>
      </c>
      <c r="C613" t="s">
        <v>429</v>
      </c>
      <c r="D613" t="s">
        <v>1904</v>
      </c>
      <c r="E613" t="s">
        <v>1600</v>
      </c>
      <c r="F613" t="s">
        <v>1885</v>
      </c>
      <c r="G613">
        <v>452376</v>
      </c>
      <c r="H613" s="1">
        <v>44974</v>
      </c>
      <c r="I613" s="1">
        <v>45148</v>
      </c>
      <c r="J613">
        <v>174</v>
      </c>
      <c r="K613">
        <v>14.9</v>
      </c>
      <c r="L613" t="s">
        <v>47</v>
      </c>
      <c r="M613" t="s">
        <v>1896</v>
      </c>
      <c r="N613" t="s">
        <v>1887</v>
      </c>
    </row>
    <row r="614" spans="1:14" x14ac:dyDescent="0.35">
      <c r="A614" t="s">
        <v>2538</v>
      </c>
      <c r="B614" t="s">
        <v>1920</v>
      </c>
      <c r="C614" t="s">
        <v>301</v>
      </c>
      <c r="D614" t="s">
        <v>1890</v>
      </c>
      <c r="E614" t="s">
        <v>1587</v>
      </c>
      <c r="F614" t="s">
        <v>1885</v>
      </c>
      <c r="G614">
        <v>470136</v>
      </c>
      <c r="H614" s="1">
        <v>45059</v>
      </c>
      <c r="I614" s="1">
        <v>45196</v>
      </c>
      <c r="J614">
        <v>137</v>
      </c>
      <c r="L614" t="s">
        <v>47</v>
      </c>
      <c r="M614" t="s">
        <v>1893</v>
      </c>
      <c r="N614" t="s">
        <v>1887</v>
      </c>
    </row>
    <row r="615" spans="1:14" x14ac:dyDescent="0.35">
      <c r="A615" t="s">
        <v>2539</v>
      </c>
      <c r="B615" t="s">
        <v>1934</v>
      </c>
      <c r="C615" t="s">
        <v>405</v>
      </c>
      <c r="D615" t="s">
        <v>1899</v>
      </c>
      <c r="E615" t="s">
        <v>1918</v>
      </c>
      <c r="F615" t="s">
        <v>1900</v>
      </c>
      <c r="G615">
        <v>482126</v>
      </c>
      <c r="H615" s="1">
        <v>44931</v>
      </c>
      <c r="I615" s="1">
        <v>45081</v>
      </c>
      <c r="J615">
        <v>150</v>
      </c>
      <c r="K615">
        <v>12.4</v>
      </c>
      <c r="L615" t="s">
        <v>47</v>
      </c>
      <c r="M615" t="s">
        <v>1896</v>
      </c>
      <c r="N615" t="s">
        <v>1887</v>
      </c>
    </row>
    <row r="616" spans="1:14" x14ac:dyDescent="0.35">
      <c r="A616" t="s">
        <v>2540</v>
      </c>
      <c r="B616" t="s">
        <v>1914</v>
      </c>
      <c r="C616" t="s">
        <v>462</v>
      </c>
      <c r="D616" t="s">
        <v>1904</v>
      </c>
      <c r="E616" t="s">
        <v>1918</v>
      </c>
      <c r="F616" t="s">
        <v>1895</v>
      </c>
      <c r="G616">
        <v>252968</v>
      </c>
      <c r="H616" s="1">
        <v>45359</v>
      </c>
      <c r="I616" s="1"/>
      <c r="L616" t="s">
        <v>15</v>
      </c>
      <c r="M616" t="s">
        <v>1916</v>
      </c>
      <c r="N616" t="s">
        <v>1887</v>
      </c>
    </row>
    <row r="617" spans="1:14" x14ac:dyDescent="0.35">
      <c r="A617" t="s">
        <v>2541</v>
      </c>
      <c r="B617" t="s">
        <v>1911</v>
      </c>
      <c r="C617" t="s">
        <v>57</v>
      </c>
      <c r="D617" t="s">
        <v>1899</v>
      </c>
      <c r="E617" t="s">
        <v>1931</v>
      </c>
      <c r="F617" t="s">
        <v>1900</v>
      </c>
      <c r="G617">
        <v>84826</v>
      </c>
      <c r="H617" s="1">
        <v>45348</v>
      </c>
      <c r="I617" s="1">
        <v>45471</v>
      </c>
      <c r="J617">
        <v>123</v>
      </c>
      <c r="K617">
        <v>24.9</v>
      </c>
      <c r="L617" t="s">
        <v>47</v>
      </c>
      <c r="M617" t="s">
        <v>1916</v>
      </c>
      <c r="N617" t="s">
        <v>1887</v>
      </c>
    </row>
    <row r="618" spans="1:14" x14ac:dyDescent="0.35">
      <c r="A618" t="s">
        <v>2542</v>
      </c>
      <c r="B618" t="s">
        <v>1934</v>
      </c>
      <c r="C618" t="s">
        <v>120</v>
      </c>
      <c r="D618" t="s">
        <v>1927</v>
      </c>
      <c r="E618" t="s">
        <v>1884</v>
      </c>
      <c r="F618" t="s">
        <v>1895</v>
      </c>
      <c r="G618">
        <v>34920</v>
      </c>
      <c r="H618" s="1">
        <v>45514</v>
      </c>
      <c r="I618" s="1"/>
      <c r="L618" t="s">
        <v>47</v>
      </c>
      <c r="M618" t="s">
        <v>1953</v>
      </c>
      <c r="N618" t="s">
        <v>1887</v>
      </c>
    </row>
    <row r="619" spans="1:14" x14ac:dyDescent="0.35">
      <c r="A619" t="s">
        <v>2543</v>
      </c>
      <c r="B619" t="s">
        <v>1934</v>
      </c>
      <c r="C619" t="s">
        <v>279</v>
      </c>
      <c r="D619" t="s">
        <v>1904</v>
      </c>
      <c r="E619" t="s">
        <v>1587</v>
      </c>
      <c r="F619" t="s">
        <v>1892</v>
      </c>
      <c r="G619">
        <v>89128</v>
      </c>
      <c r="H619" s="1">
        <v>45628</v>
      </c>
      <c r="I619" s="1"/>
      <c r="K619">
        <v>7.7</v>
      </c>
      <c r="L619" t="s">
        <v>30</v>
      </c>
      <c r="M619" t="s">
        <v>1901</v>
      </c>
      <c r="N619" t="s">
        <v>1887</v>
      </c>
    </row>
    <row r="620" spans="1:14" x14ac:dyDescent="0.35">
      <c r="A620" t="s">
        <v>2544</v>
      </c>
      <c r="B620" t="s">
        <v>1922</v>
      </c>
      <c r="C620" t="s">
        <v>494</v>
      </c>
      <c r="D620" t="s">
        <v>1915</v>
      </c>
      <c r="E620" t="s">
        <v>1905</v>
      </c>
      <c r="F620" t="s">
        <v>1892</v>
      </c>
      <c r="G620">
        <v>138833</v>
      </c>
      <c r="H620" s="1">
        <v>45704</v>
      </c>
      <c r="I620" s="1"/>
      <c r="L620" t="s">
        <v>15</v>
      </c>
      <c r="M620" t="s">
        <v>1912</v>
      </c>
      <c r="N620" t="s">
        <v>1887</v>
      </c>
    </row>
    <row r="621" spans="1:14" x14ac:dyDescent="0.35">
      <c r="A621" t="s">
        <v>2545</v>
      </c>
      <c r="B621" t="s">
        <v>1882</v>
      </c>
      <c r="C621" t="s">
        <v>68</v>
      </c>
      <c r="D621" t="s">
        <v>1904</v>
      </c>
      <c r="E621" t="s">
        <v>1891</v>
      </c>
      <c r="F621" t="s">
        <v>1900</v>
      </c>
      <c r="G621">
        <v>455079</v>
      </c>
      <c r="H621" s="1">
        <v>45720</v>
      </c>
      <c r="I621" s="1">
        <v>45755</v>
      </c>
      <c r="J621">
        <v>35</v>
      </c>
      <c r="K621">
        <v>15.2</v>
      </c>
      <c r="L621" t="s">
        <v>30</v>
      </c>
      <c r="M621" t="s">
        <v>1912</v>
      </c>
      <c r="N621" t="s">
        <v>1887</v>
      </c>
    </row>
    <row r="622" spans="1:14" x14ac:dyDescent="0.35">
      <c r="A622" t="s">
        <v>2546</v>
      </c>
      <c r="B622" t="s">
        <v>1930</v>
      </c>
      <c r="C622" t="s">
        <v>337</v>
      </c>
      <c r="D622" t="s">
        <v>1890</v>
      </c>
      <c r="E622" t="s">
        <v>1931</v>
      </c>
      <c r="F622" t="s">
        <v>1946</v>
      </c>
      <c r="G622">
        <v>188014</v>
      </c>
      <c r="H622" s="1">
        <v>45359</v>
      </c>
      <c r="I622" s="1"/>
      <c r="K622">
        <v>14.5</v>
      </c>
      <c r="L622" t="s">
        <v>21</v>
      </c>
      <c r="M622" t="s">
        <v>1916</v>
      </c>
      <c r="N622" t="s">
        <v>1887</v>
      </c>
    </row>
    <row r="623" spans="1:14" x14ac:dyDescent="0.35">
      <c r="A623" t="s">
        <v>2547</v>
      </c>
      <c r="B623" t="s">
        <v>1926</v>
      </c>
      <c r="C623" t="s">
        <v>214</v>
      </c>
      <c r="D623" t="s">
        <v>1904</v>
      </c>
      <c r="E623" t="s">
        <v>1918</v>
      </c>
      <c r="F623" t="s">
        <v>1946</v>
      </c>
      <c r="G623">
        <v>245606</v>
      </c>
      <c r="H623" s="1">
        <v>45196</v>
      </c>
      <c r="I623" s="1"/>
      <c r="K623">
        <v>8.1</v>
      </c>
      <c r="L623" t="s">
        <v>30</v>
      </c>
      <c r="M623" t="s">
        <v>1932</v>
      </c>
      <c r="N623" t="s">
        <v>1887</v>
      </c>
    </row>
    <row r="624" spans="1:14" x14ac:dyDescent="0.35">
      <c r="A624" t="s">
        <v>2548</v>
      </c>
      <c r="B624" t="s">
        <v>1914</v>
      </c>
      <c r="C624" t="s">
        <v>182</v>
      </c>
      <c r="D624" t="s">
        <v>1904</v>
      </c>
      <c r="E624" t="s">
        <v>1891</v>
      </c>
      <c r="F624" t="s">
        <v>1895</v>
      </c>
      <c r="G624">
        <v>90630</v>
      </c>
      <c r="H624" s="1">
        <v>45153</v>
      </c>
      <c r="I624" s="1"/>
      <c r="K624">
        <v>6.2</v>
      </c>
      <c r="L624" t="s">
        <v>47</v>
      </c>
      <c r="M624" t="s">
        <v>1932</v>
      </c>
      <c r="N624" t="s">
        <v>1887</v>
      </c>
    </row>
    <row r="625" spans="1:14" x14ac:dyDescent="0.35">
      <c r="A625" t="s">
        <v>2549</v>
      </c>
      <c r="B625" t="s">
        <v>1926</v>
      </c>
      <c r="C625" t="s">
        <v>313</v>
      </c>
      <c r="D625" t="s">
        <v>1899</v>
      </c>
      <c r="E625" t="s">
        <v>1678</v>
      </c>
      <c r="F625" t="s">
        <v>1892</v>
      </c>
      <c r="G625">
        <v>401520</v>
      </c>
      <c r="H625" s="1">
        <v>45595</v>
      </c>
      <c r="I625" s="1"/>
      <c r="L625" t="s">
        <v>30</v>
      </c>
      <c r="M625" t="s">
        <v>1901</v>
      </c>
      <c r="N625" t="s">
        <v>1887</v>
      </c>
    </row>
    <row r="626" spans="1:14" x14ac:dyDescent="0.35">
      <c r="A626" t="s">
        <v>2550</v>
      </c>
      <c r="B626" t="s">
        <v>1898</v>
      </c>
      <c r="C626" t="s">
        <v>120</v>
      </c>
      <c r="D626" t="s">
        <v>1927</v>
      </c>
      <c r="E626" t="s">
        <v>1884</v>
      </c>
      <c r="F626" t="s">
        <v>1908</v>
      </c>
      <c r="G626">
        <v>395890</v>
      </c>
      <c r="H626" s="1">
        <v>45118</v>
      </c>
      <c r="I626" s="1"/>
      <c r="K626">
        <v>10.7</v>
      </c>
      <c r="L626" t="s">
        <v>21</v>
      </c>
      <c r="M626" t="s">
        <v>1932</v>
      </c>
      <c r="N626" t="s">
        <v>1887</v>
      </c>
    </row>
    <row r="627" spans="1:14" x14ac:dyDescent="0.35">
      <c r="A627" t="s">
        <v>2551</v>
      </c>
      <c r="B627" t="s">
        <v>1930</v>
      </c>
      <c r="C627" t="s">
        <v>45</v>
      </c>
      <c r="D627" t="s">
        <v>1890</v>
      </c>
      <c r="E627" t="s">
        <v>1918</v>
      </c>
      <c r="F627" t="s">
        <v>1900</v>
      </c>
      <c r="G627">
        <v>322078</v>
      </c>
      <c r="H627" s="1">
        <v>45571</v>
      </c>
      <c r="I627" s="1">
        <v>45675</v>
      </c>
      <c r="J627">
        <v>104</v>
      </c>
      <c r="K627">
        <v>7.1</v>
      </c>
      <c r="L627" t="s">
        <v>21</v>
      </c>
      <c r="M627" t="s">
        <v>1901</v>
      </c>
      <c r="N627" t="s">
        <v>1887</v>
      </c>
    </row>
    <row r="628" spans="1:14" x14ac:dyDescent="0.35">
      <c r="A628" t="s">
        <v>2552</v>
      </c>
      <c r="B628" t="s">
        <v>1911</v>
      </c>
      <c r="C628" t="s">
        <v>474</v>
      </c>
      <c r="D628" t="s">
        <v>1927</v>
      </c>
      <c r="E628" t="s">
        <v>1918</v>
      </c>
      <c r="F628" t="s">
        <v>1908</v>
      </c>
      <c r="G628">
        <v>193667</v>
      </c>
      <c r="H628" s="1">
        <v>45204</v>
      </c>
      <c r="I628" s="1"/>
      <c r="K628">
        <v>2.1</v>
      </c>
      <c r="L628" t="s">
        <v>21</v>
      </c>
      <c r="M628" t="s">
        <v>1886</v>
      </c>
      <c r="N628" t="s">
        <v>1887</v>
      </c>
    </row>
    <row r="629" spans="1:14" x14ac:dyDescent="0.35">
      <c r="A629" t="s">
        <v>2553</v>
      </c>
      <c r="B629" t="s">
        <v>1924</v>
      </c>
      <c r="C629" t="s">
        <v>458</v>
      </c>
      <c r="D629" t="s">
        <v>1915</v>
      </c>
      <c r="E629" t="s">
        <v>1891</v>
      </c>
      <c r="F629" t="s">
        <v>1908</v>
      </c>
      <c r="G629">
        <v>242818</v>
      </c>
      <c r="H629" s="1">
        <v>45236</v>
      </c>
      <c r="I629" s="1"/>
      <c r="K629">
        <v>14.6</v>
      </c>
      <c r="L629" t="s">
        <v>47</v>
      </c>
      <c r="M629" t="s">
        <v>1886</v>
      </c>
      <c r="N629" t="s">
        <v>1887</v>
      </c>
    </row>
    <row r="630" spans="1:14" x14ac:dyDescent="0.35">
      <c r="A630" t="s">
        <v>2554</v>
      </c>
      <c r="B630" t="s">
        <v>1882</v>
      </c>
      <c r="C630" t="s">
        <v>429</v>
      </c>
      <c r="D630" t="s">
        <v>1904</v>
      </c>
      <c r="E630" t="s">
        <v>1931</v>
      </c>
      <c r="F630" t="s">
        <v>1892</v>
      </c>
      <c r="G630">
        <v>346611</v>
      </c>
      <c r="H630" s="1">
        <v>45396</v>
      </c>
      <c r="I630" s="1"/>
      <c r="K630">
        <v>13.5</v>
      </c>
      <c r="L630" t="s">
        <v>15</v>
      </c>
      <c r="M630" t="s">
        <v>1935</v>
      </c>
      <c r="N630" t="s">
        <v>1887</v>
      </c>
    </row>
    <row r="631" spans="1:14" x14ac:dyDescent="0.35">
      <c r="A631" t="s">
        <v>2555</v>
      </c>
      <c r="B631" t="s">
        <v>1937</v>
      </c>
      <c r="C631" t="s">
        <v>178</v>
      </c>
      <c r="D631" t="s">
        <v>1927</v>
      </c>
      <c r="E631" t="s">
        <v>1884</v>
      </c>
      <c r="F631" t="s">
        <v>1946</v>
      </c>
      <c r="G631">
        <v>105268</v>
      </c>
      <c r="H631" s="1">
        <v>45089</v>
      </c>
      <c r="I631" s="1"/>
      <c r="K631">
        <v>8.1999999999999993</v>
      </c>
      <c r="L631" t="s">
        <v>30</v>
      </c>
      <c r="M631" t="s">
        <v>1893</v>
      </c>
      <c r="N631" t="s">
        <v>1887</v>
      </c>
    </row>
    <row r="632" spans="1:14" x14ac:dyDescent="0.35">
      <c r="A632" t="s">
        <v>2556</v>
      </c>
      <c r="B632" t="s">
        <v>1889</v>
      </c>
      <c r="C632" t="s">
        <v>417</v>
      </c>
      <c r="D632" t="s">
        <v>1915</v>
      </c>
      <c r="E632" t="s">
        <v>1918</v>
      </c>
      <c r="F632" t="s">
        <v>1908</v>
      </c>
      <c r="G632">
        <v>66805</v>
      </c>
      <c r="H632" s="1">
        <v>45333</v>
      </c>
      <c r="I632" s="1"/>
      <c r="L632" t="s">
        <v>21</v>
      </c>
      <c r="M632" t="s">
        <v>1916</v>
      </c>
      <c r="N632" t="s">
        <v>1887</v>
      </c>
    </row>
    <row r="633" spans="1:14" x14ac:dyDescent="0.35">
      <c r="A633" t="s">
        <v>2557</v>
      </c>
      <c r="B633" t="s">
        <v>1930</v>
      </c>
      <c r="C633" t="s">
        <v>493</v>
      </c>
      <c r="D633" t="s">
        <v>1890</v>
      </c>
      <c r="E633" t="s">
        <v>1931</v>
      </c>
      <c r="F633" t="s">
        <v>1900</v>
      </c>
      <c r="G633">
        <v>234610</v>
      </c>
      <c r="H633" s="1">
        <v>44974</v>
      </c>
      <c r="I633" s="1">
        <v>44999</v>
      </c>
      <c r="J633">
        <v>25</v>
      </c>
      <c r="K633">
        <v>3.2</v>
      </c>
      <c r="L633" t="s">
        <v>21</v>
      </c>
      <c r="M633" t="s">
        <v>1896</v>
      </c>
      <c r="N633" t="s">
        <v>1887</v>
      </c>
    </row>
    <row r="634" spans="1:14" x14ac:dyDescent="0.35">
      <c r="A634" t="s">
        <v>2558</v>
      </c>
      <c r="B634" t="s">
        <v>1914</v>
      </c>
      <c r="C634" t="s">
        <v>285</v>
      </c>
      <c r="D634" t="s">
        <v>1890</v>
      </c>
      <c r="E634" t="s">
        <v>1931</v>
      </c>
      <c r="F634" t="s">
        <v>1885</v>
      </c>
      <c r="G634">
        <v>148395</v>
      </c>
      <c r="H634" s="1">
        <v>45351</v>
      </c>
      <c r="I634" s="1">
        <v>45423</v>
      </c>
      <c r="J634">
        <v>72</v>
      </c>
      <c r="K634">
        <v>0.5</v>
      </c>
      <c r="L634" t="s">
        <v>21</v>
      </c>
      <c r="M634" t="s">
        <v>1916</v>
      </c>
      <c r="N634" t="s">
        <v>1887</v>
      </c>
    </row>
    <row r="635" spans="1:14" x14ac:dyDescent="0.35">
      <c r="A635" t="s">
        <v>2559</v>
      </c>
      <c r="B635" t="s">
        <v>1963</v>
      </c>
      <c r="C635" t="s">
        <v>273</v>
      </c>
      <c r="D635" t="s">
        <v>1915</v>
      </c>
      <c r="E635" t="s">
        <v>1931</v>
      </c>
      <c r="F635" t="s">
        <v>1900</v>
      </c>
      <c r="G635">
        <v>436243</v>
      </c>
      <c r="H635" s="1">
        <v>45598</v>
      </c>
      <c r="I635" s="1">
        <v>45715</v>
      </c>
      <c r="J635">
        <v>117</v>
      </c>
      <c r="K635">
        <v>18.5</v>
      </c>
      <c r="L635" t="s">
        <v>21</v>
      </c>
      <c r="M635" t="s">
        <v>1901</v>
      </c>
      <c r="N635" t="s">
        <v>1887</v>
      </c>
    </row>
    <row r="636" spans="1:14" x14ac:dyDescent="0.35">
      <c r="A636" t="s">
        <v>2560</v>
      </c>
      <c r="B636" t="s">
        <v>1926</v>
      </c>
      <c r="C636" t="s">
        <v>208</v>
      </c>
      <c r="D636" t="s">
        <v>1915</v>
      </c>
      <c r="E636" t="s">
        <v>1891</v>
      </c>
      <c r="F636" t="s">
        <v>1885</v>
      </c>
      <c r="G636">
        <v>187540</v>
      </c>
      <c r="H636" s="1">
        <v>45340</v>
      </c>
      <c r="I636" s="1">
        <v>45386</v>
      </c>
      <c r="J636">
        <v>46</v>
      </c>
      <c r="K636">
        <v>6.4</v>
      </c>
      <c r="L636" t="s">
        <v>21</v>
      </c>
      <c r="M636" t="s">
        <v>1916</v>
      </c>
      <c r="N636" t="s">
        <v>1887</v>
      </c>
    </row>
    <row r="637" spans="1:14" x14ac:dyDescent="0.35">
      <c r="A637" t="s">
        <v>2561</v>
      </c>
      <c r="B637" t="s">
        <v>1907</v>
      </c>
      <c r="C637" t="s">
        <v>471</v>
      </c>
      <c r="D637" t="s">
        <v>1883</v>
      </c>
      <c r="E637" t="s">
        <v>1905</v>
      </c>
      <c r="F637" t="s">
        <v>1895</v>
      </c>
      <c r="G637">
        <v>438009</v>
      </c>
      <c r="H637" s="1">
        <v>44987</v>
      </c>
      <c r="I637" s="1"/>
      <c r="K637">
        <v>3.7</v>
      </c>
      <c r="L637" t="s">
        <v>30</v>
      </c>
      <c r="M637" t="s">
        <v>1896</v>
      </c>
      <c r="N637" t="s">
        <v>1887</v>
      </c>
    </row>
    <row r="638" spans="1:14" x14ac:dyDescent="0.35">
      <c r="A638" t="s">
        <v>2562</v>
      </c>
      <c r="B638" t="s">
        <v>1924</v>
      </c>
      <c r="C638" t="s">
        <v>45</v>
      </c>
      <c r="D638" t="s">
        <v>1899</v>
      </c>
      <c r="E638" t="s">
        <v>1891</v>
      </c>
      <c r="F638" t="s">
        <v>1895</v>
      </c>
      <c r="G638">
        <v>200090</v>
      </c>
      <c r="H638" s="1">
        <v>45379</v>
      </c>
      <c r="I638" s="1"/>
      <c r="K638">
        <v>13.3</v>
      </c>
      <c r="L638" t="s">
        <v>21</v>
      </c>
      <c r="M638" t="s">
        <v>1916</v>
      </c>
      <c r="N638" t="s">
        <v>1887</v>
      </c>
    </row>
    <row r="639" spans="1:14" x14ac:dyDescent="0.35">
      <c r="A639" t="s">
        <v>2563</v>
      </c>
      <c r="B639" t="s">
        <v>1920</v>
      </c>
      <c r="C639" t="s">
        <v>188</v>
      </c>
      <c r="D639" t="s">
        <v>1915</v>
      </c>
      <c r="E639" t="s">
        <v>1891</v>
      </c>
      <c r="F639" t="s">
        <v>1908</v>
      </c>
      <c r="G639">
        <v>156695</v>
      </c>
      <c r="H639" s="1">
        <v>45434</v>
      </c>
      <c r="I639" s="1"/>
      <c r="K639">
        <v>6.6</v>
      </c>
      <c r="L639" t="s">
        <v>30</v>
      </c>
      <c r="M639" t="s">
        <v>1935</v>
      </c>
      <c r="N639" t="s">
        <v>1887</v>
      </c>
    </row>
    <row r="640" spans="1:14" x14ac:dyDescent="0.35">
      <c r="A640" t="s">
        <v>2564</v>
      </c>
      <c r="B640" t="s">
        <v>1882</v>
      </c>
      <c r="C640" t="s">
        <v>437</v>
      </c>
      <c r="D640" t="s">
        <v>1904</v>
      </c>
      <c r="E640" t="s">
        <v>1918</v>
      </c>
      <c r="F640" t="s">
        <v>1892</v>
      </c>
      <c r="G640">
        <v>327889</v>
      </c>
      <c r="H640" s="1">
        <v>45137</v>
      </c>
      <c r="I640" s="1"/>
      <c r="K640">
        <v>3.6</v>
      </c>
      <c r="L640" t="s">
        <v>47</v>
      </c>
      <c r="M640" t="s">
        <v>1932</v>
      </c>
      <c r="N640" t="s">
        <v>1887</v>
      </c>
    </row>
    <row r="641" spans="1:14" x14ac:dyDescent="0.35">
      <c r="A641" t="s">
        <v>2565</v>
      </c>
      <c r="B641" t="s">
        <v>1898</v>
      </c>
      <c r="C641" t="s">
        <v>32</v>
      </c>
      <c r="D641" t="s">
        <v>1915</v>
      </c>
      <c r="E641" t="s">
        <v>1918</v>
      </c>
      <c r="F641" t="s">
        <v>1946</v>
      </c>
      <c r="G641">
        <v>147438</v>
      </c>
      <c r="H641" s="1">
        <v>44986</v>
      </c>
      <c r="I641" s="1"/>
      <c r="K641">
        <v>5.8</v>
      </c>
      <c r="L641" t="s">
        <v>15</v>
      </c>
      <c r="M641" t="s">
        <v>1896</v>
      </c>
      <c r="N641" t="s">
        <v>1887</v>
      </c>
    </row>
    <row r="642" spans="1:14" x14ac:dyDescent="0.35">
      <c r="A642" t="s">
        <v>2566</v>
      </c>
      <c r="B642" t="s">
        <v>1898</v>
      </c>
      <c r="C642" t="s">
        <v>310</v>
      </c>
      <c r="D642" t="s">
        <v>1899</v>
      </c>
      <c r="E642" t="s">
        <v>1931</v>
      </c>
      <c r="F642" t="s">
        <v>1900</v>
      </c>
      <c r="G642">
        <v>85696</v>
      </c>
      <c r="H642" s="1">
        <v>45525</v>
      </c>
      <c r="I642" s="1">
        <v>45541</v>
      </c>
      <c r="J642">
        <v>16</v>
      </c>
      <c r="K642">
        <v>1.8</v>
      </c>
      <c r="L642" t="s">
        <v>21</v>
      </c>
      <c r="M642" t="s">
        <v>1953</v>
      </c>
      <c r="N642" t="s">
        <v>1887</v>
      </c>
    </row>
    <row r="643" spans="1:14" x14ac:dyDescent="0.35">
      <c r="A643" t="s">
        <v>2567</v>
      </c>
      <c r="B643" t="s">
        <v>1924</v>
      </c>
      <c r="C643" t="s">
        <v>226</v>
      </c>
      <c r="D643" t="s">
        <v>1915</v>
      </c>
      <c r="E643" t="s">
        <v>1678</v>
      </c>
      <c r="F643" t="s">
        <v>1892</v>
      </c>
      <c r="G643">
        <v>486983</v>
      </c>
      <c r="H643" s="1">
        <v>44980</v>
      </c>
      <c r="I643" s="1"/>
      <c r="K643">
        <v>2.8</v>
      </c>
      <c r="L643" t="s">
        <v>15</v>
      </c>
      <c r="M643" t="s">
        <v>1896</v>
      </c>
      <c r="N643" t="s">
        <v>1887</v>
      </c>
    </row>
    <row r="644" spans="1:14" x14ac:dyDescent="0.35">
      <c r="A644" t="s">
        <v>2568</v>
      </c>
      <c r="B644" t="s">
        <v>1882</v>
      </c>
      <c r="C644" t="s">
        <v>99</v>
      </c>
      <c r="D644" t="s">
        <v>1927</v>
      </c>
      <c r="E644" t="s">
        <v>1931</v>
      </c>
      <c r="F644" t="s">
        <v>1900</v>
      </c>
      <c r="G644">
        <v>74527</v>
      </c>
      <c r="H644" s="1">
        <v>44972</v>
      </c>
      <c r="I644" s="1">
        <v>45013</v>
      </c>
      <c r="J644">
        <v>41</v>
      </c>
      <c r="K644">
        <v>2.6</v>
      </c>
      <c r="L644" t="s">
        <v>30</v>
      </c>
      <c r="M644" t="s">
        <v>1896</v>
      </c>
      <c r="N644" t="s">
        <v>1887</v>
      </c>
    </row>
    <row r="645" spans="1:14" x14ac:dyDescent="0.35">
      <c r="A645" t="s">
        <v>2569</v>
      </c>
      <c r="B645" t="s">
        <v>1930</v>
      </c>
      <c r="C645" t="s">
        <v>291</v>
      </c>
      <c r="D645" t="s">
        <v>1904</v>
      </c>
      <c r="E645" t="s">
        <v>1678</v>
      </c>
      <c r="F645" t="s">
        <v>1900</v>
      </c>
      <c r="G645">
        <v>415397</v>
      </c>
      <c r="H645" s="1">
        <v>45483</v>
      </c>
      <c r="I645" s="1">
        <v>45550</v>
      </c>
      <c r="J645">
        <v>67</v>
      </c>
      <c r="K645">
        <v>18.8</v>
      </c>
      <c r="L645" t="s">
        <v>30</v>
      </c>
      <c r="M645" t="s">
        <v>1953</v>
      </c>
      <c r="N645" t="s">
        <v>1887</v>
      </c>
    </row>
    <row r="646" spans="1:14" x14ac:dyDescent="0.35">
      <c r="A646" t="s">
        <v>2570</v>
      </c>
      <c r="B646" t="s">
        <v>1898</v>
      </c>
      <c r="C646" t="s">
        <v>412</v>
      </c>
      <c r="D646" t="s">
        <v>1915</v>
      </c>
      <c r="E646" t="s">
        <v>1884</v>
      </c>
      <c r="F646" t="s">
        <v>1892</v>
      </c>
      <c r="G646">
        <v>409519</v>
      </c>
      <c r="H646" s="1">
        <v>45529</v>
      </c>
      <c r="I646" s="1"/>
      <c r="L646" t="s">
        <v>30</v>
      </c>
      <c r="M646" t="s">
        <v>1953</v>
      </c>
      <c r="N646" t="s">
        <v>1887</v>
      </c>
    </row>
    <row r="647" spans="1:14" x14ac:dyDescent="0.35">
      <c r="A647" t="s">
        <v>2571</v>
      </c>
      <c r="B647" t="s">
        <v>1889</v>
      </c>
      <c r="C647" t="s">
        <v>238</v>
      </c>
      <c r="D647" t="s">
        <v>1904</v>
      </c>
      <c r="E647" t="s">
        <v>1884</v>
      </c>
      <c r="F647" t="s">
        <v>1895</v>
      </c>
      <c r="G647">
        <v>438813</v>
      </c>
      <c r="H647" s="1">
        <v>45413</v>
      </c>
      <c r="I647" s="1"/>
      <c r="K647">
        <v>2.4</v>
      </c>
      <c r="L647" t="s">
        <v>21</v>
      </c>
      <c r="M647" t="s">
        <v>1935</v>
      </c>
      <c r="N647" t="s">
        <v>1887</v>
      </c>
    </row>
    <row r="648" spans="1:14" x14ac:dyDescent="0.35">
      <c r="A648" t="s">
        <v>2572</v>
      </c>
      <c r="B648" t="s">
        <v>1926</v>
      </c>
      <c r="C648" t="s">
        <v>343</v>
      </c>
      <c r="D648" t="s">
        <v>1899</v>
      </c>
      <c r="E648" t="s">
        <v>1918</v>
      </c>
      <c r="F648" t="s">
        <v>1885</v>
      </c>
      <c r="G648">
        <v>483038</v>
      </c>
      <c r="H648" s="1">
        <v>45551</v>
      </c>
      <c r="I648" s="1">
        <v>45677</v>
      </c>
      <c r="J648">
        <v>126</v>
      </c>
      <c r="K648">
        <v>8.1999999999999993</v>
      </c>
      <c r="L648" t="s">
        <v>15</v>
      </c>
      <c r="M648" t="s">
        <v>1953</v>
      </c>
      <c r="N648" t="s">
        <v>1887</v>
      </c>
    </row>
    <row r="649" spans="1:14" x14ac:dyDescent="0.35">
      <c r="A649" t="s">
        <v>2573</v>
      </c>
      <c r="B649" t="s">
        <v>1934</v>
      </c>
      <c r="C649" t="s">
        <v>454</v>
      </c>
      <c r="D649" t="s">
        <v>1899</v>
      </c>
      <c r="E649" t="s">
        <v>1884</v>
      </c>
      <c r="F649" t="s">
        <v>1892</v>
      </c>
      <c r="G649">
        <v>45317</v>
      </c>
      <c r="H649" s="1">
        <v>45739</v>
      </c>
      <c r="I649" s="1"/>
      <c r="L649" t="s">
        <v>47</v>
      </c>
      <c r="M649" t="s">
        <v>1912</v>
      </c>
      <c r="N649" t="s">
        <v>1887</v>
      </c>
    </row>
    <row r="650" spans="1:14" x14ac:dyDescent="0.35">
      <c r="A650" t="s">
        <v>2574</v>
      </c>
      <c r="B650" t="s">
        <v>1937</v>
      </c>
      <c r="C650" t="s">
        <v>97</v>
      </c>
      <c r="D650" t="s">
        <v>1915</v>
      </c>
      <c r="E650" t="s">
        <v>1905</v>
      </c>
      <c r="F650" t="s">
        <v>1892</v>
      </c>
      <c r="G650">
        <v>301601</v>
      </c>
      <c r="H650" s="1">
        <v>45032</v>
      </c>
      <c r="I650" s="1"/>
      <c r="K650">
        <v>1.9</v>
      </c>
      <c r="L650" t="s">
        <v>21</v>
      </c>
      <c r="M650" t="s">
        <v>1893</v>
      </c>
      <c r="N650" t="s">
        <v>1887</v>
      </c>
    </row>
    <row r="651" spans="1:14" x14ac:dyDescent="0.35">
      <c r="A651" t="s">
        <v>2575</v>
      </c>
      <c r="B651" t="s">
        <v>1911</v>
      </c>
      <c r="C651" t="s">
        <v>492</v>
      </c>
      <c r="D651" t="s">
        <v>1915</v>
      </c>
      <c r="E651" t="s">
        <v>1884</v>
      </c>
      <c r="F651" t="s">
        <v>1900</v>
      </c>
      <c r="G651">
        <v>83149</v>
      </c>
      <c r="H651" s="1">
        <v>45482</v>
      </c>
      <c r="I651" s="1">
        <v>45611</v>
      </c>
      <c r="J651">
        <v>129</v>
      </c>
      <c r="K651">
        <v>24.7</v>
      </c>
      <c r="L651" t="s">
        <v>30</v>
      </c>
      <c r="M651" t="s">
        <v>1953</v>
      </c>
      <c r="N651" t="s">
        <v>1887</v>
      </c>
    </row>
    <row r="652" spans="1:14" x14ac:dyDescent="0.35">
      <c r="A652" t="s">
        <v>2576</v>
      </c>
      <c r="B652" t="s">
        <v>1907</v>
      </c>
      <c r="C652" t="s">
        <v>321</v>
      </c>
      <c r="D652" t="s">
        <v>1883</v>
      </c>
      <c r="E652" t="s">
        <v>1600</v>
      </c>
      <c r="F652" t="s">
        <v>1908</v>
      </c>
      <c r="G652">
        <v>490153</v>
      </c>
      <c r="H652" s="1">
        <v>45038</v>
      </c>
      <c r="I652" s="1"/>
      <c r="K652">
        <v>7</v>
      </c>
      <c r="L652" t="s">
        <v>30</v>
      </c>
      <c r="M652" t="s">
        <v>1893</v>
      </c>
      <c r="N652" t="s">
        <v>1887</v>
      </c>
    </row>
    <row r="653" spans="1:14" x14ac:dyDescent="0.35">
      <c r="A653" t="s">
        <v>2577</v>
      </c>
      <c r="B653" t="s">
        <v>1926</v>
      </c>
      <c r="C653" t="s">
        <v>152</v>
      </c>
      <c r="D653" t="s">
        <v>1883</v>
      </c>
      <c r="E653" t="s">
        <v>1587</v>
      </c>
      <c r="F653" t="s">
        <v>1895</v>
      </c>
      <c r="G653">
        <v>345449</v>
      </c>
      <c r="H653" s="1">
        <v>45476</v>
      </c>
      <c r="I653" s="1"/>
      <c r="K653">
        <v>13.1</v>
      </c>
      <c r="L653" t="s">
        <v>30</v>
      </c>
      <c r="M653" t="s">
        <v>1953</v>
      </c>
      <c r="N653" t="s">
        <v>1887</v>
      </c>
    </row>
    <row r="654" spans="1:14" x14ac:dyDescent="0.35">
      <c r="A654" t="s">
        <v>2578</v>
      </c>
      <c r="B654" t="s">
        <v>1944</v>
      </c>
      <c r="C654" t="s">
        <v>341</v>
      </c>
      <c r="D654" t="s">
        <v>1883</v>
      </c>
      <c r="E654" t="s">
        <v>1600</v>
      </c>
      <c r="F654" t="s">
        <v>1892</v>
      </c>
      <c r="G654">
        <v>205263</v>
      </c>
      <c r="H654" s="1">
        <v>45351</v>
      </c>
      <c r="I654" s="1"/>
      <c r="K654">
        <v>5.4</v>
      </c>
      <c r="L654" t="s">
        <v>15</v>
      </c>
      <c r="M654" t="s">
        <v>1916</v>
      </c>
      <c r="N654" t="s">
        <v>1887</v>
      </c>
    </row>
    <row r="655" spans="1:14" x14ac:dyDescent="0.35">
      <c r="A655" t="s">
        <v>2579</v>
      </c>
      <c r="B655" t="s">
        <v>1911</v>
      </c>
      <c r="C655" t="s">
        <v>373</v>
      </c>
      <c r="D655" t="s">
        <v>1899</v>
      </c>
      <c r="E655" t="s">
        <v>1945</v>
      </c>
      <c r="F655" t="s">
        <v>1900</v>
      </c>
      <c r="G655">
        <v>221854</v>
      </c>
      <c r="H655" s="1">
        <v>45345</v>
      </c>
      <c r="I655" s="1">
        <v>45450</v>
      </c>
      <c r="J655">
        <v>105</v>
      </c>
      <c r="K655">
        <v>3.5</v>
      </c>
      <c r="L655" t="s">
        <v>30</v>
      </c>
      <c r="M655" t="s">
        <v>1916</v>
      </c>
      <c r="N655" t="s">
        <v>1887</v>
      </c>
    </row>
    <row r="656" spans="1:14" x14ac:dyDescent="0.35">
      <c r="A656" t="s">
        <v>2580</v>
      </c>
      <c r="B656" t="s">
        <v>1914</v>
      </c>
      <c r="C656" t="s">
        <v>193</v>
      </c>
      <c r="D656" t="s">
        <v>1915</v>
      </c>
      <c r="E656" t="s">
        <v>1891</v>
      </c>
      <c r="F656" t="s">
        <v>1946</v>
      </c>
      <c r="G656">
        <v>285049</v>
      </c>
      <c r="H656" s="1">
        <v>45068</v>
      </c>
      <c r="I656" s="1"/>
      <c r="K656">
        <v>10.5</v>
      </c>
      <c r="L656" t="s">
        <v>47</v>
      </c>
      <c r="M656" t="s">
        <v>1893</v>
      </c>
      <c r="N656" t="s">
        <v>1887</v>
      </c>
    </row>
    <row r="657" spans="1:14" x14ac:dyDescent="0.35">
      <c r="A657" t="s">
        <v>2581</v>
      </c>
      <c r="B657" t="s">
        <v>1922</v>
      </c>
      <c r="C657" t="s">
        <v>285</v>
      </c>
      <c r="D657" t="s">
        <v>1927</v>
      </c>
      <c r="E657" t="s">
        <v>1678</v>
      </c>
      <c r="F657" t="s">
        <v>1900</v>
      </c>
      <c r="G657">
        <v>110850</v>
      </c>
      <c r="H657" s="1">
        <v>45684</v>
      </c>
      <c r="I657" s="1">
        <v>45699</v>
      </c>
      <c r="J657">
        <v>15</v>
      </c>
      <c r="K657">
        <v>20.399999999999999</v>
      </c>
      <c r="L657" t="s">
        <v>15</v>
      </c>
      <c r="M657" t="s">
        <v>1912</v>
      </c>
      <c r="N657" t="s">
        <v>1887</v>
      </c>
    </row>
    <row r="658" spans="1:14" x14ac:dyDescent="0.35">
      <c r="A658" t="s">
        <v>2582</v>
      </c>
      <c r="B658" t="s">
        <v>1898</v>
      </c>
      <c r="C658" t="s">
        <v>240</v>
      </c>
      <c r="D658" t="s">
        <v>1883</v>
      </c>
      <c r="E658" t="s">
        <v>1587</v>
      </c>
      <c r="F658" t="s">
        <v>1908</v>
      </c>
      <c r="G658">
        <v>291312</v>
      </c>
      <c r="H658" s="1">
        <v>45302</v>
      </c>
      <c r="I658" s="1"/>
      <c r="L658" t="s">
        <v>21</v>
      </c>
      <c r="M658" t="s">
        <v>1916</v>
      </c>
      <c r="N658" t="s">
        <v>1887</v>
      </c>
    </row>
    <row r="659" spans="1:14" x14ac:dyDescent="0.35">
      <c r="A659" t="s">
        <v>2583</v>
      </c>
      <c r="B659" t="s">
        <v>1924</v>
      </c>
      <c r="C659" t="s">
        <v>364</v>
      </c>
      <c r="D659" t="s">
        <v>1890</v>
      </c>
      <c r="E659" t="s">
        <v>1587</v>
      </c>
      <c r="F659" t="s">
        <v>1900</v>
      </c>
      <c r="G659">
        <v>232669</v>
      </c>
      <c r="H659" s="1">
        <v>45645</v>
      </c>
      <c r="I659" s="1">
        <v>45687</v>
      </c>
      <c r="J659">
        <v>42</v>
      </c>
      <c r="K659">
        <v>1.8</v>
      </c>
      <c r="L659" t="s">
        <v>15</v>
      </c>
      <c r="M659" t="s">
        <v>1901</v>
      </c>
      <c r="N659" t="s">
        <v>1887</v>
      </c>
    </row>
    <row r="660" spans="1:14" x14ac:dyDescent="0.35">
      <c r="A660" t="s">
        <v>2584</v>
      </c>
      <c r="B660" t="s">
        <v>1914</v>
      </c>
      <c r="C660" t="s">
        <v>131</v>
      </c>
      <c r="D660" t="s">
        <v>1904</v>
      </c>
      <c r="E660" t="s">
        <v>1905</v>
      </c>
      <c r="F660" t="s">
        <v>1885</v>
      </c>
      <c r="G660">
        <v>90296</v>
      </c>
      <c r="H660" s="1">
        <v>45085</v>
      </c>
      <c r="I660" s="1">
        <v>45202</v>
      </c>
      <c r="J660">
        <v>117</v>
      </c>
      <c r="L660" t="s">
        <v>15</v>
      </c>
      <c r="M660" t="s">
        <v>1893</v>
      </c>
      <c r="N660" t="s">
        <v>1887</v>
      </c>
    </row>
    <row r="661" spans="1:14" x14ac:dyDescent="0.35">
      <c r="A661" t="s">
        <v>2585</v>
      </c>
      <c r="B661" t="s">
        <v>1907</v>
      </c>
      <c r="C661" t="s">
        <v>496</v>
      </c>
      <c r="D661" t="s">
        <v>1904</v>
      </c>
      <c r="E661" t="s">
        <v>1905</v>
      </c>
      <c r="F661" t="s">
        <v>1892</v>
      </c>
      <c r="G661">
        <v>227492</v>
      </c>
      <c r="H661" s="1">
        <v>45716</v>
      </c>
      <c r="I661" s="1"/>
      <c r="K661">
        <v>10.6</v>
      </c>
      <c r="L661" t="s">
        <v>47</v>
      </c>
      <c r="M661" t="s">
        <v>1912</v>
      </c>
      <c r="N661" t="s">
        <v>1887</v>
      </c>
    </row>
    <row r="662" spans="1:14" x14ac:dyDescent="0.35">
      <c r="A662" t="s">
        <v>2586</v>
      </c>
      <c r="B662" t="s">
        <v>1924</v>
      </c>
      <c r="C662" t="s">
        <v>216</v>
      </c>
      <c r="D662" t="s">
        <v>1883</v>
      </c>
      <c r="E662" t="s">
        <v>1600</v>
      </c>
      <c r="F662" t="s">
        <v>1900</v>
      </c>
      <c r="G662">
        <v>113819</v>
      </c>
      <c r="H662" s="1">
        <v>45441</v>
      </c>
      <c r="I662" s="1">
        <v>45484</v>
      </c>
      <c r="J662">
        <v>43</v>
      </c>
      <c r="K662">
        <v>20.399999999999999</v>
      </c>
      <c r="L662" t="s">
        <v>15</v>
      </c>
      <c r="M662" t="s">
        <v>1935</v>
      </c>
      <c r="N662" t="s">
        <v>1887</v>
      </c>
    </row>
    <row r="663" spans="1:14" x14ac:dyDescent="0.35">
      <c r="A663" t="s">
        <v>2587</v>
      </c>
      <c r="B663" t="s">
        <v>1911</v>
      </c>
      <c r="C663" t="s">
        <v>323</v>
      </c>
      <c r="D663" t="s">
        <v>1927</v>
      </c>
      <c r="E663" t="s">
        <v>1918</v>
      </c>
      <c r="F663" t="s">
        <v>1895</v>
      </c>
      <c r="G663">
        <v>349896</v>
      </c>
      <c r="H663" s="1">
        <v>45411</v>
      </c>
      <c r="I663" s="1"/>
      <c r="K663">
        <v>1.8</v>
      </c>
      <c r="L663" t="s">
        <v>21</v>
      </c>
      <c r="M663" t="s">
        <v>1935</v>
      </c>
      <c r="N663" t="s">
        <v>1887</v>
      </c>
    </row>
    <row r="664" spans="1:14" x14ac:dyDescent="0.35">
      <c r="A664" t="s">
        <v>2588</v>
      </c>
      <c r="B664" t="s">
        <v>1898</v>
      </c>
      <c r="C664" t="s">
        <v>207</v>
      </c>
      <c r="D664" t="s">
        <v>1899</v>
      </c>
      <c r="E664" t="s">
        <v>1931</v>
      </c>
      <c r="F664" t="s">
        <v>1885</v>
      </c>
      <c r="G664">
        <v>128861</v>
      </c>
      <c r="H664" s="1">
        <v>45615</v>
      </c>
      <c r="I664" s="1">
        <v>45687</v>
      </c>
      <c r="J664">
        <v>72</v>
      </c>
      <c r="K664">
        <v>10.7</v>
      </c>
      <c r="L664" t="s">
        <v>30</v>
      </c>
      <c r="M664" t="s">
        <v>1901</v>
      </c>
      <c r="N664" t="s">
        <v>1887</v>
      </c>
    </row>
    <row r="665" spans="1:14" x14ac:dyDescent="0.35">
      <c r="A665" t="s">
        <v>2589</v>
      </c>
      <c r="B665" t="s">
        <v>1911</v>
      </c>
      <c r="C665" t="s">
        <v>214</v>
      </c>
      <c r="D665" t="s">
        <v>1883</v>
      </c>
      <c r="E665" t="s">
        <v>1587</v>
      </c>
      <c r="F665" t="s">
        <v>1946</v>
      </c>
      <c r="G665">
        <v>264856</v>
      </c>
      <c r="H665" s="1">
        <v>45669</v>
      </c>
      <c r="I665" s="1"/>
      <c r="K665">
        <v>9.1999999999999993</v>
      </c>
      <c r="L665" t="s">
        <v>30</v>
      </c>
      <c r="M665" t="s">
        <v>1912</v>
      </c>
      <c r="N665" t="s">
        <v>1887</v>
      </c>
    </row>
    <row r="666" spans="1:14" x14ac:dyDescent="0.35">
      <c r="A666" t="s">
        <v>2590</v>
      </c>
      <c r="B666" t="s">
        <v>1934</v>
      </c>
      <c r="C666" t="s">
        <v>372</v>
      </c>
      <c r="D666" t="s">
        <v>1899</v>
      </c>
      <c r="E666" t="s">
        <v>1678</v>
      </c>
      <c r="F666" t="s">
        <v>1885</v>
      </c>
      <c r="G666">
        <v>264788</v>
      </c>
      <c r="H666" s="1">
        <v>45281</v>
      </c>
      <c r="I666" s="1">
        <v>45379</v>
      </c>
      <c r="J666">
        <v>98</v>
      </c>
      <c r="L666" t="s">
        <v>15</v>
      </c>
      <c r="M666" t="s">
        <v>1886</v>
      </c>
      <c r="N666" t="s">
        <v>1887</v>
      </c>
    </row>
    <row r="667" spans="1:14" x14ac:dyDescent="0.35">
      <c r="A667" t="s">
        <v>2591</v>
      </c>
      <c r="B667" t="s">
        <v>1911</v>
      </c>
      <c r="C667" t="s">
        <v>482</v>
      </c>
      <c r="D667" t="s">
        <v>1915</v>
      </c>
      <c r="E667" t="s">
        <v>1918</v>
      </c>
      <c r="F667" t="s">
        <v>1946</v>
      </c>
      <c r="G667">
        <v>90298</v>
      </c>
      <c r="H667" s="1">
        <v>45284</v>
      </c>
      <c r="I667" s="1"/>
      <c r="K667">
        <v>6.1</v>
      </c>
      <c r="L667" t="s">
        <v>15</v>
      </c>
      <c r="M667" t="s">
        <v>1886</v>
      </c>
      <c r="N667" t="s">
        <v>1887</v>
      </c>
    </row>
    <row r="668" spans="1:14" x14ac:dyDescent="0.35">
      <c r="A668" t="s">
        <v>2592</v>
      </c>
      <c r="B668" t="s">
        <v>1926</v>
      </c>
      <c r="C668" t="s">
        <v>305</v>
      </c>
      <c r="D668" t="s">
        <v>1915</v>
      </c>
      <c r="E668" t="s">
        <v>1905</v>
      </c>
      <c r="F668" t="s">
        <v>1908</v>
      </c>
      <c r="G668">
        <v>419316</v>
      </c>
      <c r="H668" s="1">
        <v>45421</v>
      </c>
      <c r="I668" s="1"/>
      <c r="L668" t="s">
        <v>47</v>
      </c>
      <c r="M668" t="s">
        <v>1935</v>
      </c>
      <c r="N668" t="s">
        <v>1887</v>
      </c>
    </row>
    <row r="669" spans="1:14" x14ac:dyDescent="0.35">
      <c r="A669" t="s">
        <v>2593</v>
      </c>
      <c r="B669" t="s">
        <v>1944</v>
      </c>
      <c r="C669" t="s">
        <v>238</v>
      </c>
      <c r="D669" t="s">
        <v>1890</v>
      </c>
      <c r="E669" t="s">
        <v>1931</v>
      </c>
      <c r="F669" t="s">
        <v>1946</v>
      </c>
      <c r="G669">
        <v>62633</v>
      </c>
      <c r="H669" s="1">
        <v>45503</v>
      </c>
      <c r="I669" s="1"/>
      <c r="K669">
        <v>8.1999999999999993</v>
      </c>
      <c r="L669" t="s">
        <v>47</v>
      </c>
      <c r="M669" t="s">
        <v>1953</v>
      </c>
      <c r="N669" t="s">
        <v>1887</v>
      </c>
    </row>
    <row r="670" spans="1:14" x14ac:dyDescent="0.35">
      <c r="A670" t="s">
        <v>2594</v>
      </c>
      <c r="B670" t="s">
        <v>1926</v>
      </c>
      <c r="C670" t="s">
        <v>271</v>
      </c>
      <c r="D670" t="s">
        <v>1883</v>
      </c>
      <c r="E670" t="s">
        <v>1891</v>
      </c>
      <c r="F670" t="s">
        <v>1900</v>
      </c>
      <c r="G670">
        <v>422706</v>
      </c>
      <c r="H670" s="1">
        <v>45481</v>
      </c>
      <c r="I670" s="1">
        <v>45547</v>
      </c>
      <c r="J670">
        <v>66</v>
      </c>
      <c r="K670">
        <v>12.1</v>
      </c>
      <c r="L670" t="s">
        <v>30</v>
      </c>
      <c r="M670" t="s">
        <v>1953</v>
      </c>
      <c r="N670" t="s">
        <v>1887</v>
      </c>
    </row>
    <row r="671" spans="1:14" x14ac:dyDescent="0.35">
      <c r="A671" t="s">
        <v>2595</v>
      </c>
      <c r="B671" t="s">
        <v>1922</v>
      </c>
      <c r="C671" t="s">
        <v>236</v>
      </c>
      <c r="D671" t="s">
        <v>1899</v>
      </c>
      <c r="E671" t="s">
        <v>1600</v>
      </c>
      <c r="F671" t="s">
        <v>1908</v>
      </c>
      <c r="G671">
        <v>388925</v>
      </c>
      <c r="H671" s="1">
        <v>45580</v>
      </c>
      <c r="I671" s="1"/>
      <c r="K671">
        <v>3.7</v>
      </c>
      <c r="L671" t="s">
        <v>21</v>
      </c>
      <c r="M671" t="s">
        <v>1901</v>
      </c>
      <c r="N671" t="s">
        <v>1887</v>
      </c>
    </row>
    <row r="672" spans="1:14" x14ac:dyDescent="0.35">
      <c r="A672" t="s">
        <v>2596</v>
      </c>
      <c r="B672" t="s">
        <v>1882</v>
      </c>
      <c r="C672" t="s">
        <v>203</v>
      </c>
      <c r="D672" t="s">
        <v>1927</v>
      </c>
      <c r="E672" t="s">
        <v>1891</v>
      </c>
      <c r="F672" t="s">
        <v>1908</v>
      </c>
      <c r="G672">
        <v>217633</v>
      </c>
      <c r="H672" s="1">
        <v>45025</v>
      </c>
      <c r="I672" s="1"/>
      <c r="K672">
        <v>0.1</v>
      </c>
      <c r="L672" t="s">
        <v>21</v>
      </c>
      <c r="M672" t="s">
        <v>1893</v>
      </c>
      <c r="N672" t="s">
        <v>1887</v>
      </c>
    </row>
    <row r="673" spans="1:14" x14ac:dyDescent="0.35">
      <c r="A673" t="s">
        <v>2597</v>
      </c>
      <c r="B673" t="s">
        <v>1930</v>
      </c>
      <c r="C673" t="s">
        <v>316</v>
      </c>
      <c r="D673" t="s">
        <v>1904</v>
      </c>
      <c r="E673" t="s">
        <v>1884</v>
      </c>
      <c r="F673" t="s">
        <v>1946</v>
      </c>
      <c r="G673">
        <v>110895</v>
      </c>
      <c r="H673" s="1">
        <v>45105</v>
      </c>
      <c r="I673" s="1"/>
      <c r="K673">
        <v>5.5</v>
      </c>
      <c r="L673" t="s">
        <v>47</v>
      </c>
      <c r="M673" t="s">
        <v>1893</v>
      </c>
      <c r="N673" t="s">
        <v>1887</v>
      </c>
    </row>
    <row r="674" spans="1:14" x14ac:dyDescent="0.35">
      <c r="A674" t="s">
        <v>2598</v>
      </c>
      <c r="B674" t="s">
        <v>1911</v>
      </c>
      <c r="C674" t="s">
        <v>146</v>
      </c>
      <c r="D674" t="s">
        <v>1899</v>
      </c>
      <c r="E674" t="s">
        <v>1891</v>
      </c>
      <c r="F674" t="s">
        <v>1946</v>
      </c>
      <c r="G674">
        <v>104916</v>
      </c>
      <c r="H674" s="1">
        <v>45180</v>
      </c>
      <c r="I674" s="1"/>
      <c r="L674" t="s">
        <v>47</v>
      </c>
      <c r="M674" t="s">
        <v>1932</v>
      </c>
      <c r="N674" t="s">
        <v>1887</v>
      </c>
    </row>
    <row r="675" spans="1:14" x14ac:dyDescent="0.35">
      <c r="A675" t="s">
        <v>2599</v>
      </c>
      <c r="B675" t="s">
        <v>1924</v>
      </c>
      <c r="C675" t="s">
        <v>493</v>
      </c>
      <c r="D675" t="s">
        <v>1890</v>
      </c>
      <c r="E675" t="s">
        <v>1587</v>
      </c>
      <c r="F675" t="s">
        <v>1885</v>
      </c>
      <c r="G675">
        <v>243009</v>
      </c>
      <c r="H675" s="1">
        <v>45112</v>
      </c>
      <c r="I675" s="1">
        <v>45245</v>
      </c>
      <c r="J675">
        <v>133</v>
      </c>
      <c r="K675">
        <v>8.5</v>
      </c>
      <c r="L675" t="s">
        <v>47</v>
      </c>
      <c r="M675" t="s">
        <v>1932</v>
      </c>
      <c r="N675" t="s">
        <v>1887</v>
      </c>
    </row>
    <row r="676" spans="1:14" x14ac:dyDescent="0.35">
      <c r="A676" t="s">
        <v>2600</v>
      </c>
      <c r="B676" t="s">
        <v>1963</v>
      </c>
      <c r="C676" t="s">
        <v>376</v>
      </c>
      <c r="D676" t="s">
        <v>1890</v>
      </c>
      <c r="E676" t="s">
        <v>1931</v>
      </c>
      <c r="F676" t="s">
        <v>1892</v>
      </c>
      <c r="G676">
        <v>98289</v>
      </c>
      <c r="H676" s="1">
        <v>44928</v>
      </c>
      <c r="I676" s="1"/>
      <c r="K676">
        <v>1.5</v>
      </c>
      <c r="L676" t="s">
        <v>30</v>
      </c>
      <c r="M676" t="s">
        <v>1896</v>
      </c>
      <c r="N676" t="s">
        <v>1887</v>
      </c>
    </row>
    <row r="677" spans="1:14" x14ac:dyDescent="0.35">
      <c r="A677" t="s">
        <v>2601</v>
      </c>
      <c r="B677" t="s">
        <v>1922</v>
      </c>
      <c r="C677" t="s">
        <v>190</v>
      </c>
      <c r="D677" t="s">
        <v>1899</v>
      </c>
      <c r="E677" t="s">
        <v>1918</v>
      </c>
      <c r="F677" t="s">
        <v>1892</v>
      </c>
      <c r="G677">
        <v>71111</v>
      </c>
      <c r="H677" s="1">
        <v>44985</v>
      </c>
      <c r="I677" s="1"/>
      <c r="K677">
        <v>13.7</v>
      </c>
      <c r="L677" t="s">
        <v>47</v>
      </c>
      <c r="M677" t="s">
        <v>1896</v>
      </c>
      <c r="N677" t="s">
        <v>1887</v>
      </c>
    </row>
    <row r="678" spans="1:14" x14ac:dyDescent="0.35">
      <c r="A678" t="s">
        <v>2602</v>
      </c>
      <c r="B678" t="s">
        <v>1937</v>
      </c>
      <c r="C678" t="s">
        <v>472</v>
      </c>
      <c r="D678" t="s">
        <v>1927</v>
      </c>
      <c r="E678" t="s">
        <v>1600</v>
      </c>
      <c r="F678" t="s">
        <v>1900</v>
      </c>
      <c r="G678">
        <v>111301</v>
      </c>
      <c r="H678" s="1">
        <v>45237</v>
      </c>
      <c r="I678" s="1">
        <v>45348</v>
      </c>
      <c r="J678">
        <v>111</v>
      </c>
      <c r="K678">
        <v>15.6</v>
      </c>
      <c r="L678" t="s">
        <v>30</v>
      </c>
      <c r="M678" t="s">
        <v>1886</v>
      </c>
      <c r="N678" t="s">
        <v>1887</v>
      </c>
    </row>
    <row r="679" spans="1:14" x14ac:dyDescent="0.35">
      <c r="A679" t="s">
        <v>2603</v>
      </c>
      <c r="B679" t="s">
        <v>1963</v>
      </c>
      <c r="C679" t="s">
        <v>232</v>
      </c>
      <c r="D679" t="s">
        <v>1899</v>
      </c>
      <c r="E679" t="s">
        <v>1918</v>
      </c>
      <c r="F679" t="s">
        <v>1895</v>
      </c>
      <c r="G679">
        <v>26848</v>
      </c>
      <c r="H679" s="1">
        <v>45290</v>
      </c>
      <c r="I679" s="1"/>
      <c r="K679">
        <v>3.7</v>
      </c>
      <c r="L679" t="s">
        <v>30</v>
      </c>
      <c r="M679" t="s">
        <v>1886</v>
      </c>
      <c r="N679" t="s">
        <v>1887</v>
      </c>
    </row>
    <row r="680" spans="1:14" x14ac:dyDescent="0.35">
      <c r="A680" t="s">
        <v>2604</v>
      </c>
      <c r="B680" t="s">
        <v>1903</v>
      </c>
      <c r="C680" t="s">
        <v>474</v>
      </c>
      <c r="D680" t="s">
        <v>1904</v>
      </c>
      <c r="E680" t="s">
        <v>1891</v>
      </c>
      <c r="F680" t="s">
        <v>1885</v>
      </c>
      <c r="G680">
        <v>371590</v>
      </c>
      <c r="H680" s="1">
        <v>45683</v>
      </c>
      <c r="I680" s="1">
        <v>45791</v>
      </c>
      <c r="J680">
        <v>108</v>
      </c>
      <c r="K680">
        <v>14</v>
      </c>
      <c r="L680" t="s">
        <v>15</v>
      </c>
      <c r="M680" t="s">
        <v>1912</v>
      </c>
      <c r="N680" t="s">
        <v>1887</v>
      </c>
    </row>
    <row r="681" spans="1:14" x14ac:dyDescent="0.35">
      <c r="A681" t="s">
        <v>2605</v>
      </c>
      <c r="B681" t="s">
        <v>1898</v>
      </c>
      <c r="C681" t="s">
        <v>162</v>
      </c>
      <c r="D681" t="s">
        <v>1883</v>
      </c>
      <c r="E681" t="s">
        <v>1587</v>
      </c>
      <c r="F681" t="s">
        <v>1885</v>
      </c>
      <c r="G681">
        <v>271730</v>
      </c>
      <c r="H681" s="1">
        <v>45214</v>
      </c>
      <c r="I681" s="1">
        <v>45321</v>
      </c>
      <c r="J681">
        <v>107</v>
      </c>
      <c r="K681">
        <v>4.2</v>
      </c>
      <c r="L681" t="s">
        <v>21</v>
      </c>
      <c r="M681" t="s">
        <v>1886</v>
      </c>
      <c r="N681" t="s">
        <v>1887</v>
      </c>
    </row>
    <row r="682" spans="1:14" x14ac:dyDescent="0.35">
      <c r="A682" t="s">
        <v>2606</v>
      </c>
      <c r="B682" t="s">
        <v>1934</v>
      </c>
      <c r="C682" t="s">
        <v>323</v>
      </c>
      <c r="D682" t="s">
        <v>1927</v>
      </c>
      <c r="E682" t="s">
        <v>1918</v>
      </c>
      <c r="F682" t="s">
        <v>1895</v>
      </c>
      <c r="G682">
        <v>64345</v>
      </c>
      <c r="H682" s="1">
        <v>45214</v>
      </c>
      <c r="I682" s="1"/>
      <c r="L682" t="s">
        <v>21</v>
      </c>
      <c r="M682" t="s">
        <v>1886</v>
      </c>
      <c r="N682" t="s">
        <v>1887</v>
      </c>
    </row>
    <row r="683" spans="1:14" x14ac:dyDescent="0.35">
      <c r="A683" t="s">
        <v>2607</v>
      </c>
      <c r="B683" t="s">
        <v>1889</v>
      </c>
      <c r="C683" t="s">
        <v>394</v>
      </c>
      <c r="D683" t="s">
        <v>1915</v>
      </c>
      <c r="E683" t="s">
        <v>1600</v>
      </c>
      <c r="F683" t="s">
        <v>1900</v>
      </c>
      <c r="G683">
        <v>386714</v>
      </c>
      <c r="H683" s="1">
        <v>45331</v>
      </c>
      <c r="I683" s="1">
        <v>45511</v>
      </c>
      <c r="J683">
        <v>180</v>
      </c>
      <c r="K683">
        <v>4.3</v>
      </c>
      <c r="L683" t="s">
        <v>15</v>
      </c>
      <c r="M683" t="s">
        <v>1916</v>
      </c>
      <c r="N683" t="s">
        <v>1887</v>
      </c>
    </row>
    <row r="684" spans="1:14" x14ac:dyDescent="0.35">
      <c r="A684" t="s">
        <v>2608</v>
      </c>
      <c r="B684" t="s">
        <v>1926</v>
      </c>
      <c r="C684" t="s">
        <v>190</v>
      </c>
      <c r="D684" t="s">
        <v>1915</v>
      </c>
      <c r="E684" t="s">
        <v>1945</v>
      </c>
      <c r="F684" t="s">
        <v>1900</v>
      </c>
      <c r="G684">
        <v>283693</v>
      </c>
      <c r="H684" s="1">
        <v>45028</v>
      </c>
      <c r="I684" s="1">
        <v>45112</v>
      </c>
      <c r="J684">
        <v>84</v>
      </c>
      <c r="K684">
        <v>12.9</v>
      </c>
      <c r="L684" t="s">
        <v>21</v>
      </c>
      <c r="M684" t="s">
        <v>1893</v>
      </c>
      <c r="N684" t="s">
        <v>1887</v>
      </c>
    </row>
    <row r="685" spans="1:14" x14ac:dyDescent="0.35">
      <c r="A685" t="s">
        <v>2609</v>
      </c>
      <c r="B685" t="s">
        <v>1911</v>
      </c>
      <c r="C685" t="s">
        <v>328</v>
      </c>
      <c r="D685" t="s">
        <v>1904</v>
      </c>
      <c r="E685" t="s">
        <v>1918</v>
      </c>
      <c r="F685" t="s">
        <v>1895</v>
      </c>
      <c r="G685">
        <v>325517</v>
      </c>
      <c r="H685" s="1">
        <v>45149</v>
      </c>
      <c r="I685" s="1"/>
      <c r="L685" t="s">
        <v>47</v>
      </c>
      <c r="M685" t="s">
        <v>1932</v>
      </c>
      <c r="N685" t="s">
        <v>1887</v>
      </c>
    </row>
    <row r="686" spans="1:14" x14ac:dyDescent="0.35">
      <c r="A686" t="s">
        <v>2610</v>
      </c>
      <c r="B686" t="s">
        <v>1903</v>
      </c>
      <c r="C686" t="s">
        <v>400</v>
      </c>
      <c r="D686" t="s">
        <v>1904</v>
      </c>
      <c r="E686" t="s">
        <v>1905</v>
      </c>
      <c r="F686" t="s">
        <v>1895</v>
      </c>
      <c r="G686">
        <v>128091</v>
      </c>
      <c r="H686" s="1">
        <v>45244</v>
      </c>
      <c r="I686" s="1"/>
      <c r="L686" t="s">
        <v>30</v>
      </c>
      <c r="M686" t="s">
        <v>1886</v>
      </c>
      <c r="N686" t="s">
        <v>1887</v>
      </c>
    </row>
    <row r="687" spans="1:14" x14ac:dyDescent="0.35">
      <c r="A687" t="s">
        <v>2611</v>
      </c>
      <c r="B687" t="s">
        <v>1924</v>
      </c>
      <c r="C687" t="s">
        <v>431</v>
      </c>
      <c r="D687" t="s">
        <v>1927</v>
      </c>
      <c r="E687" t="s">
        <v>1891</v>
      </c>
      <c r="F687" t="s">
        <v>1900</v>
      </c>
      <c r="G687">
        <v>312200</v>
      </c>
      <c r="H687" s="1">
        <v>45653</v>
      </c>
      <c r="I687" s="1">
        <v>45699</v>
      </c>
      <c r="J687">
        <v>46</v>
      </c>
      <c r="K687">
        <v>4.5</v>
      </c>
      <c r="L687" t="s">
        <v>21</v>
      </c>
      <c r="M687" t="s">
        <v>1901</v>
      </c>
      <c r="N687" t="s">
        <v>1887</v>
      </c>
    </row>
    <row r="688" spans="1:14" x14ac:dyDescent="0.35">
      <c r="A688" t="s">
        <v>2612</v>
      </c>
      <c r="B688" t="s">
        <v>1889</v>
      </c>
      <c r="C688" t="s">
        <v>250</v>
      </c>
      <c r="D688" t="s">
        <v>1899</v>
      </c>
      <c r="E688" t="s">
        <v>1931</v>
      </c>
      <c r="F688" t="s">
        <v>1885</v>
      </c>
      <c r="G688">
        <v>419053</v>
      </c>
      <c r="H688" s="1">
        <v>45596</v>
      </c>
      <c r="I688" s="1">
        <v>45673</v>
      </c>
      <c r="J688">
        <v>77</v>
      </c>
      <c r="K688">
        <v>4</v>
      </c>
      <c r="L688" t="s">
        <v>47</v>
      </c>
      <c r="M688" t="s">
        <v>1901</v>
      </c>
      <c r="N688" t="s">
        <v>1887</v>
      </c>
    </row>
    <row r="689" spans="1:14" x14ac:dyDescent="0.35">
      <c r="A689" t="s">
        <v>2613</v>
      </c>
      <c r="B689" t="s">
        <v>1924</v>
      </c>
      <c r="C689" t="s">
        <v>318</v>
      </c>
      <c r="D689" t="s">
        <v>1904</v>
      </c>
      <c r="E689" t="s">
        <v>1905</v>
      </c>
      <c r="F689" t="s">
        <v>1895</v>
      </c>
      <c r="G689">
        <v>90060</v>
      </c>
      <c r="H689" s="1">
        <v>45287</v>
      </c>
      <c r="I689" s="1"/>
      <c r="K689">
        <v>8.5</v>
      </c>
      <c r="L689" t="s">
        <v>30</v>
      </c>
      <c r="M689" t="s">
        <v>1886</v>
      </c>
      <c r="N689" t="s">
        <v>1887</v>
      </c>
    </row>
    <row r="690" spans="1:14" x14ac:dyDescent="0.35">
      <c r="A690" t="s">
        <v>2614</v>
      </c>
      <c r="B690" t="s">
        <v>1926</v>
      </c>
      <c r="C690" t="s">
        <v>38</v>
      </c>
      <c r="D690" t="s">
        <v>1890</v>
      </c>
      <c r="E690" t="s">
        <v>1884</v>
      </c>
      <c r="F690" t="s">
        <v>1900</v>
      </c>
      <c r="G690">
        <v>200610</v>
      </c>
      <c r="H690" s="1">
        <v>45335</v>
      </c>
      <c r="I690" s="1">
        <v>45510</v>
      </c>
      <c r="J690">
        <v>175</v>
      </c>
      <c r="K690">
        <v>8.1999999999999993</v>
      </c>
      <c r="L690" t="s">
        <v>47</v>
      </c>
      <c r="M690" t="s">
        <v>1916</v>
      </c>
      <c r="N690" t="s">
        <v>1887</v>
      </c>
    </row>
    <row r="691" spans="1:14" x14ac:dyDescent="0.35">
      <c r="A691" t="s">
        <v>2615</v>
      </c>
      <c r="B691" t="s">
        <v>1937</v>
      </c>
      <c r="C691" t="s">
        <v>406</v>
      </c>
      <c r="D691" t="s">
        <v>1927</v>
      </c>
      <c r="E691" t="s">
        <v>1884</v>
      </c>
      <c r="F691" t="s">
        <v>1908</v>
      </c>
      <c r="G691">
        <v>308545</v>
      </c>
      <c r="H691" s="1">
        <v>45328</v>
      </c>
      <c r="I691" s="1"/>
      <c r="L691" t="s">
        <v>30</v>
      </c>
      <c r="M691" t="s">
        <v>1916</v>
      </c>
      <c r="N691" t="s">
        <v>1887</v>
      </c>
    </row>
    <row r="692" spans="1:14" x14ac:dyDescent="0.35">
      <c r="A692" t="s">
        <v>2616</v>
      </c>
      <c r="B692" t="s">
        <v>1882</v>
      </c>
      <c r="C692" t="s">
        <v>86</v>
      </c>
      <c r="D692" t="s">
        <v>1915</v>
      </c>
      <c r="E692" t="s">
        <v>1678</v>
      </c>
      <c r="F692" t="s">
        <v>1885</v>
      </c>
      <c r="G692">
        <v>159784</v>
      </c>
      <c r="H692" s="1">
        <v>45464</v>
      </c>
      <c r="I692" s="1">
        <v>45640</v>
      </c>
      <c r="J692">
        <v>176</v>
      </c>
      <c r="L692" t="s">
        <v>30</v>
      </c>
      <c r="M692" t="s">
        <v>1935</v>
      </c>
      <c r="N692" t="s">
        <v>1887</v>
      </c>
    </row>
    <row r="693" spans="1:14" x14ac:dyDescent="0.35">
      <c r="A693" t="s">
        <v>2617</v>
      </c>
      <c r="B693" t="s">
        <v>1926</v>
      </c>
      <c r="C693" t="s">
        <v>465</v>
      </c>
      <c r="D693" t="s">
        <v>1927</v>
      </c>
      <c r="E693" t="s">
        <v>1884</v>
      </c>
      <c r="F693" t="s">
        <v>1885</v>
      </c>
      <c r="G693">
        <v>153360</v>
      </c>
      <c r="H693" s="1">
        <v>45197</v>
      </c>
      <c r="I693" s="1">
        <v>45302</v>
      </c>
      <c r="J693">
        <v>105</v>
      </c>
      <c r="K693">
        <v>12.3</v>
      </c>
      <c r="L693" t="s">
        <v>15</v>
      </c>
      <c r="M693" t="s">
        <v>1932</v>
      </c>
      <c r="N693" t="s">
        <v>1887</v>
      </c>
    </row>
    <row r="694" spans="1:14" x14ac:dyDescent="0.35">
      <c r="A694" t="s">
        <v>2618</v>
      </c>
      <c r="B694" t="s">
        <v>1911</v>
      </c>
      <c r="C694" t="s">
        <v>45</v>
      </c>
      <c r="D694" t="s">
        <v>1927</v>
      </c>
      <c r="E694" t="s">
        <v>1884</v>
      </c>
      <c r="F694" t="s">
        <v>1900</v>
      </c>
      <c r="G694">
        <v>368486</v>
      </c>
      <c r="H694" s="1">
        <v>45094</v>
      </c>
      <c r="I694" s="1">
        <v>45133</v>
      </c>
      <c r="J694">
        <v>39</v>
      </c>
      <c r="K694">
        <v>13.5</v>
      </c>
      <c r="L694" t="s">
        <v>30</v>
      </c>
      <c r="M694" t="s">
        <v>1893</v>
      </c>
      <c r="N694" t="s">
        <v>1887</v>
      </c>
    </row>
    <row r="695" spans="1:14" x14ac:dyDescent="0.35">
      <c r="A695" t="s">
        <v>2619</v>
      </c>
      <c r="B695" t="s">
        <v>1898</v>
      </c>
      <c r="C695" t="s">
        <v>447</v>
      </c>
      <c r="D695" t="s">
        <v>1915</v>
      </c>
      <c r="E695" t="s">
        <v>1891</v>
      </c>
      <c r="F695" t="s">
        <v>1908</v>
      </c>
      <c r="G695">
        <v>219243</v>
      </c>
      <c r="H695" s="1">
        <v>45257</v>
      </c>
      <c r="I695" s="1"/>
      <c r="K695">
        <v>11.8</v>
      </c>
      <c r="L695" t="s">
        <v>30</v>
      </c>
      <c r="M695" t="s">
        <v>1886</v>
      </c>
      <c r="N695" t="s">
        <v>1887</v>
      </c>
    </row>
    <row r="696" spans="1:14" x14ac:dyDescent="0.35">
      <c r="A696" t="s">
        <v>2620</v>
      </c>
      <c r="B696" t="s">
        <v>1907</v>
      </c>
      <c r="C696" t="s">
        <v>266</v>
      </c>
      <c r="D696" t="s">
        <v>1899</v>
      </c>
      <c r="E696" t="s">
        <v>1884</v>
      </c>
      <c r="F696" t="s">
        <v>1895</v>
      </c>
      <c r="G696">
        <v>338034</v>
      </c>
      <c r="H696" s="1">
        <v>44994</v>
      </c>
      <c r="I696" s="1"/>
      <c r="K696">
        <v>6.2</v>
      </c>
      <c r="L696" t="s">
        <v>21</v>
      </c>
      <c r="M696" t="s">
        <v>1896</v>
      </c>
      <c r="N696" t="s">
        <v>1887</v>
      </c>
    </row>
    <row r="697" spans="1:14" x14ac:dyDescent="0.35">
      <c r="A697" t="s">
        <v>2621</v>
      </c>
      <c r="B697" t="s">
        <v>1937</v>
      </c>
      <c r="C697" t="s">
        <v>194</v>
      </c>
      <c r="D697" t="s">
        <v>1899</v>
      </c>
      <c r="E697" t="s">
        <v>1600</v>
      </c>
      <c r="F697" t="s">
        <v>1900</v>
      </c>
      <c r="G697">
        <v>44452</v>
      </c>
      <c r="H697" s="1">
        <v>45254</v>
      </c>
      <c r="I697" s="1">
        <v>45387</v>
      </c>
      <c r="J697">
        <v>133</v>
      </c>
      <c r="K697">
        <v>23.6</v>
      </c>
      <c r="L697" t="s">
        <v>47</v>
      </c>
      <c r="M697" t="s">
        <v>1886</v>
      </c>
      <c r="N697" t="s">
        <v>1887</v>
      </c>
    </row>
    <row r="698" spans="1:14" x14ac:dyDescent="0.35">
      <c r="A698" t="s">
        <v>2622</v>
      </c>
      <c r="B698" t="s">
        <v>1914</v>
      </c>
      <c r="C698" t="s">
        <v>348</v>
      </c>
      <c r="D698" t="s">
        <v>1899</v>
      </c>
      <c r="E698" t="s">
        <v>1678</v>
      </c>
      <c r="F698" t="s">
        <v>1900</v>
      </c>
      <c r="G698">
        <v>82176</v>
      </c>
      <c r="H698" s="1">
        <v>45097</v>
      </c>
      <c r="I698" s="1">
        <v>45146</v>
      </c>
      <c r="J698">
        <v>49</v>
      </c>
      <c r="K698">
        <v>20.100000000000001</v>
      </c>
      <c r="L698" t="s">
        <v>30</v>
      </c>
      <c r="M698" t="s">
        <v>1893</v>
      </c>
      <c r="N698" t="s">
        <v>1887</v>
      </c>
    </row>
    <row r="699" spans="1:14" x14ac:dyDescent="0.35">
      <c r="A699" t="s">
        <v>2623</v>
      </c>
      <c r="B699" t="s">
        <v>1934</v>
      </c>
      <c r="C699" t="s">
        <v>261</v>
      </c>
      <c r="D699" t="s">
        <v>1915</v>
      </c>
      <c r="E699" t="s">
        <v>1587</v>
      </c>
      <c r="F699" t="s">
        <v>1895</v>
      </c>
      <c r="G699">
        <v>125285</v>
      </c>
      <c r="H699" s="1">
        <v>45544</v>
      </c>
      <c r="I699" s="1"/>
      <c r="L699" t="s">
        <v>15</v>
      </c>
      <c r="M699" t="s">
        <v>1953</v>
      </c>
      <c r="N699" t="s">
        <v>1887</v>
      </c>
    </row>
    <row r="700" spans="1:14" x14ac:dyDescent="0.35">
      <c r="A700" t="s">
        <v>2624</v>
      </c>
      <c r="B700" t="s">
        <v>1926</v>
      </c>
      <c r="C700" t="s">
        <v>486</v>
      </c>
      <c r="D700" t="s">
        <v>1915</v>
      </c>
      <c r="E700" t="s">
        <v>1587</v>
      </c>
      <c r="F700" t="s">
        <v>1946</v>
      </c>
      <c r="G700">
        <v>401023</v>
      </c>
      <c r="H700" s="1">
        <v>45039</v>
      </c>
      <c r="I700" s="1"/>
      <c r="K700">
        <v>10.6</v>
      </c>
      <c r="L700" t="s">
        <v>21</v>
      </c>
      <c r="M700" t="s">
        <v>1893</v>
      </c>
      <c r="N700" t="s">
        <v>1887</v>
      </c>
    </row>
    <row r="701" spans="1:14" x14ac:dyDescent="0.35">
      <c r="A701" t="s">
        <v>2625</v>
      </c>
      <c r="B701" t="s">
        <v>1882</v>
      </c>
      <c r="C701" t="s">
        <v>283</v>
      </c>
      <c r="D701" t="s">
        <v>1883</v>
      </c>
      <c r="E701" t="s">
        <v>1891</v>
      </c>
      <c r="F701" t="s">
        <v>1892</v>
      </c>
      <c r="G701">
        <v>234132</v>
      </c>
      <c r="H701" s="1">
        <v>45260</v>
      </c>
      <c r="I701" s="1"/>
      <c r="K701">
        <v>8.4</v>
      </c>
      <c r="L701" t="s">
        <v>15</v>
      </c>
      <c r="M701" t="s">
        <v>1886</v>
      </c>
      <c r="N701" t="s">
        <v>1887</v>
      </c>
    </row>
    <row r="702" spans="1:14" x14ac:dyDescent="0.35">
      <c r="A702" t="s">
        <v>2626</v>
      </c>
      <c r="B702" t="s">
        <v>1924</v>
      </c>
      <c r="C702" t="s">
        <v>66</v>
      </c>
      <c r="D702" t="s">
        <v>1915</v>
      </c>
      <c r="E702" t="s">
        <v>1931</v>
      </c>
      <c r="F702" t="s">
        <v>1900</v>
      </c>
      <c r="G702">
        <v>137837</v>
      </c>
      <c r="H702" s="1">
        <v>45258</v>
      </c>
      <c r="I702" s="1">
        <v>45341</v>
      </c>
      <c r="J702">
        <v>83</v>
      </c>
      <c r="K702">
        <v>22.5</v>
      </c>
      <c r="L702" t="s">
        <v>47</v>
      </c>
      <c r="M702" t="s">
        <v>1886</v>
      </c>
      <c r="N702" t="s">
        <v>1887</v>
      </c>
    </row>
    <row r="703" spans="1:14" x14ac:dyDescent="0.35">
      <c r="A703" t="s">
        <v>2627</v>
      </c>
      <c r="B703" t="s">
        <v>1914</v>
      </c>
      <c r="C703" t="s">
        <v>456</v>
      </c>
      <c r="D703" t="s">
        <v>1883</v>
      </c>
      <c r="E703" t="s">
        <v>1678</v>
      </c>
      <c r="F703" t="s">
        <v>1895</v>
      </c>
      <c r="G703">
        <v>183365</v>
      </c>
      <c r="H703" s="1">
        <v>44981</v>
      </c>
      <c r="I703" s="1"/>
      <c r="K703">
        <v>6.1</v>
      </c>
      <c r="L703" t="s">
        <v>47</v>
      </c>
      <c r="M703" t="s">
        <v>1896</v>
      </c>
      <c r="N703" t="s">
        <v>1887</v>
      </c>
    </row>
    <row r="704" spans="1:14" x14ac:dyDescent="0.35">
      <c r="A704" t="s">
        <v>2628</v>
      </c>
      <c r="B704" t="s">
        <v>1934</v>
      </c>
      <c r="C704" t="s">
        <v>446</v>
      </c>
      <c r="D704" t="s">
        <v>1915</v>
      </c>
      <c r="E704" t="s">
        <v>1931</v>
      </c>
      <c r="F704" t="s">
        <v>1892</v>
      </c>
      <c r="G704">
        <v>116944</v>
      </c>
      <c r="H704" s="1">
        <v>45234</v>
      </c>
      <c r="I704" s="1"/>
      <c r="L704" t="s">
        <v>21</v>
      </c>
      <c r="M704" t="s">
        <v>1886</v>
      </c>
      <c r="N704" t="s">
        <v>1887</v>
      </c>
    </row>
    <row r="705" spans="1:14" x14ac:dyDescent="0.35">
      <c r="A705" t="s">
        <v>2629</v>
      </c>
      <c r="B705" t="s">
        <v>1882</v>
      </c>
      <c r="C705" t="s">
        <v>371</v>
      </c>
      <c r="D705" t="s">
        <v>1883</v>
      </c>
      <c r="E705" t="s">
        <v>1884</v>
      </c>
      <c r="F705" t="s">
        <v>1900</v>
      </c>
      <c r="G705">
        <v>53362</v>
      </c>
      <c r="H705" s="1">
        <v>45689</v>
      </c>
      <c r="I705" s="1">
        <v>45836</v>
      </c>
      <c r="J705">
        <v>147</v>
      </c>
      <c r="K705">
        <v>15.6</v>
      </c>
      <c r="L705" t="s">
        <v>21</v>
      </c>
      <c r="M705" t="s">
        <v>1912</v>
      </c>
      <c r="N705" t="s">
        <v>1887</v>
      </c>
    </row>
    <row r="706" spans="1:14" x14ac:dyDescent="0.35">
      <c r="A706" t="s">
        <v>2630</v>
      </c>
      <c r="B706" t="s">
        <v>1963</v>
      </c>
      <c r="C706" t="s">
        <v>186</v>
      </c>
      <c r="D706" t="s">
        <v>1899</v>
      </c>
      <c r="E706" t="s">
        <v>1891</v>
      </c>
      <c r="F706" t="s">
        <v>1946</v>
      </c>
      <c r="G706">
        <v>465789</v>
      </c>
      <c r="H706" s="1">
        <v>45573</v>
      </c>
      <c r="I706" s="1"/>
      <c r="L706" t="s">
        <v>21</v>
      </c>
      <c r="M706" t="s">
        <v>1901</v>
      </c>
      <c r="N706" t="s">
        <v>1887</v>
      </c>
    </row>
    <row r="707" spans="1:14" x14ac:dyDescent="0.35">
      <c r="A707" t="s">
        <v>2631</v>
      </c>
      <c r="B707" t="s">
        <v>1898</v>
      </c>
      <c r="C707" t="s">
        <v>249</v>
      </c>
      <c r="D707" t="s">
        <v>1883</v>
      </c>
      <c r="E707" t="s">
        <v>1945</v>
      </c>
      <c r="F707" t="s">
        <v>1900</v>
      </c>
      <c r="G707">
        <v>106406</v>
      </c>
      <c r="H707" s="1">
        <v>45269</v>
      </c>
      <c r="I707" s="1">
        <v>45417</v>
      </c>
      <c r="J707">
        <v>148</v>
      </c>
      <c r="K707">
        <v>21.9</v>
      </c>
      <c r="L707" t="s">
        <v>47</v>
      </c>
      <c r="M707" t="s">
        <v>1886</v>
      </c>
      <c r="N707" t="s">
        <v>1887</v>
      </c>
    </row>
    <row r="708" spans="1:14" x14ac:dyDescent="0.35">
      <c r="A708" t="s">
        <v>2632</v>
      </c>
      <c r="B708" t="s">
        <v>1903</v>
      </c>
      <c r="C708" t="s">
        <v>378</v>
      </c>
      <c r="D708" t="s">
        <v>1883</v>
      </c>
      <c r="E708" t="s">
        <v>1918</v>
      </c>
      <c r="F708" t="s">
        <v>1908</v>
      </c>
      <c r="G708">
        <v>326977</v>
      </c>
      <c r="H708" s="1">
        <v>45596</v>
      </c>
      <c r="I708" s="1"/>
      <c r="K708">
        <v>5.5</v>
      </c>
      <c r="L708" t="s">
        <v>15</v>
      </c>
      <c r="M708" t="s">
        <v>1901</v>
      </c>
      <c r="N708" t="s">
        <v>1887</v>
      </c>
    </row>
    <row r="709" spans="1:14" x14ac:dyDescent="0.35">
      <c r="A709" t="s">
        <v>2633</v>
      </c>
      <c r="B709" t="s">
        <v>1882</v>
      </c>
      <c r="C709" t="s">
        <v>389</v>
      </c>
      <c r="D709" t="s">
        <v>1915</v>
      </c>
      <c r="E709" t="s">
        <v>1931</v>
      </c>
      <c r="F709" t="s">
        <v>1946</v>
      </c>
      <c r="G709">
        <v>295779</v>
      </c>
      <c r="H709" s="1">
        <v>45408</v>
      </c>
      <c r="I709" s="1"/>
      <c r="L709" t="s">
        <v>47</v>
      </c>
      <c r="M709" t="s">
        <v>1935</v>
      </c>
      <c r="N709" t="s">
        <v>1887</v>
      </c>
    </row>
    <row r="710" spans="1:14" x14ac:dyDescent="0.35">
      <c r="A710" t="s">
        <v>2634</v>
      </c>
      <c r="B710" t="s">
        <v>1911</v>
      </c>
      <c r="C710" t="s">
        <v>454</v>
      </c>
      <c r="D710" t="s">
        <v>1883</v>
      </c>
      <c r="E710" t="s">
        <v>1905</v>
      </c>
      <c r="F710" t="s">
        <v>1946</v>
      </c>
      <c r="G710">
        <v>186700</v>
      </c>
      <c r="H710" s="1">
        <v>45271</v>
      </c>
      <c r="I710" s="1"/>
      <c r="K710">
        <v>5.6</v>
      </c>
      <c r="L710" t="s">
        <v>21</v>
      </c>
      <c r="M710" t="s">
        <v>1886</v>
      </c>
      <c r="N710" t="s">
        <v>1887</v>
      </c>
    </row>
    <row r="711" spans="1:14" x14ac:dyDescent="0.35">
      <c r="A711" t="s">
        <v>2635</v>
      </c>
      <c r="B711" t="s">
        <v>1920</v>
      </c>
      <c r="C711" t="s">
        <v>328</v>
      </c>
      <c r="D711" t="s">
        <v>1883</v>
      </c>
      <c r="E711" t="s">
        <v>1931</v>
      </c>
      <c r="F711" t="s">
        <v>1885</v>
      </c>
      <c r="G711">
        <v>319610</v>
      </c>
      <c r="H711" s="1">
        <v>44971</v>
      </c>
      <c r="I711" s="1">
        <v>45067</v>
      </c>
      <c r="J711">
        <v>96</v>
      </c>
      <c r="K711">
        <v>8.4</v>
      </c>
      <c r="L711" t="s">
        <v>21</v>
      </c>
      <c r="M711" t="s">
        <v>1896</v>
      </c>
      <c r="N711" t="s">
        <v>1887</v>
      </c>
    </row>
    <row r="712" spans="1:14" x14ac:dyDescent="0.35">
      <c r="A712" t="s">
        <v>2636</v>
      </c>
      <c r="B712" t="s">
        <v>1911</v>
      </c>
      <c r="C712" t="s">
        <v>473</v>
      </c>
      <c r="D712" t="s">
        <v>1890</v>
      </c>
      <c r="E712" t="s">
        <v>1600</v>
      </c>
      <c r="F712" t="s">
        <v>1895</v>
      </c>
      <c r="G712">
        <v>161131</v>
      </c>
      <c r="H712" s="1">
        <v>45228</v>
      </c>
      <c r="I712" s="1"/>
      <c r="L712" t="s">
        <v>21</v>
      </c>
      <c r="M712" t="s">
        <v>1886</v>
      </c>
      <c r="N712" t="s">
        <v>1887</v>
      </c>
    </row>
    <row r="713" spans="1:14" x14ac:dyDescent="0.35">
      <c r="A713" t="s">
        <v>2637</v>
      </c>
      <c r="B713" t="s">
        <v>1944</v>
      </c>
      <c r="C713" t="s">
        <v>18</v>
      </c>
      <c r="D713" t="s">
        <v>1915</v>
      </c>
      <c r="E713" t="s">
        <v>1931</v>
      </c>
      <c r="F713" t="s">
        <v>1892</v>
      </c>
      <c r="G713">
        <v>138885</v>
      </c>
      <c r="H713" s="1">
        <v>45747</v>
      </c>
      <c r="I713" s="1"/>
      <c r="K713">
        <v>0.2</v>
      </c>
      <c r="L713" t="s">
        <v>21</v>
      </c>
      <c r="M713" t="s">
        <v>1912</v>
      </c>
      <c r="N713" t="s">
        <v>1887</v>
      </c>
    </row>
    <row r="714" spans="1:14" x14ac:dyDescent="0.35">
      <c r="A714" t="s">
        <v>2638</v>
      </c>
      <c r="B714" t="s">
        <v>1944</v>
      </c>
      <c r="C714" t="s">
        <v>62</v>
      </c>
      <c r="D714" t="s">
        <v>1904</v>
      </c>
      <c r="E714" t="s">
        <v>1678</v>
      </c>
      <c r="F714" t="s">
        <v>1900</v>
      </c>
      <c r="G714">
        <v>181419</v>
      </c>
      <c r="H714" s="1">
        <v>45563</v>
      </c>
      <c r="I714" s="1">
        <v>45737</v>
      </c>
      <c r="J714">
        <v>174</v>
      </c>
      <c r="K714">
        <v>1.9</v>
      </c>
      <c r="L714" t="s">
        <v>30</v>
      </c>
      <c r="M714" t="s">
        <v>1953</v>
      </c>
      <c r="N714" t="s">
        <v>1887</v>
      </c>
    </row>
    <row r="715" spans="1:14" x14ac:dyDescent="0.35">
      <c r="A715" t="s">
        <v>2639</v>
      </c>
      <c r="B715" t="s">
        <v>1882</v>
      </c>
      <c r="C715" t="s">
        <v>319</v>
      </c>
      <c r="D715" t="s">
        <v>1899</v>
      </c>
      <c r="E715" t="s">
        <v>1678</v>
      </c>
      <c r="F715" t="s">
        <v>1946</v>
      </c>
      <c r="G715">
        <v>247141</v>
      </c>
      <c r="H715" s="1">
        <v>45324</v>
      </c>
      <c r="I715" s="1"/>
      <c r="K715">
        <v>7</v>
      </c>
      <c r="L715" t="s">
        <v>30</v>
      </c>
      <c r="M715" t="s">
        <v>1916</v>
      </c>
      <c r="N715" t="s">
        <v>1887</v>
      </c>
    </row>
    <row r="716" spans="1:14" x14ac:dyDescent="0.35">
      <c r="A716" t="s">
        <v>2640</v>
      </c>
      <c r="B716" t="s">
        <v>1914</v>
      </c>
      <c r="C716" t="s">
        <v>149</v>
      </c>
      <c r="D716" t="s">
        <v>1927</v>
      </c>
      <c r="E716" t="s">
        <v>1678</v>
      </c>
      <c r="F716" t="s">
        <v>1908</v>
      </c>
      <c r="G716">
        <v>109690</v>
      </c>
      <c r="H716" s="1">
        <v>45422</v>
      </c>
      <c r="I716" s="1"/>
      <c r="K716">
        <v>11.6</v>
      </c>
      <c r="L716" t="s">
        <v>47</v>
      </c>
      <c r="M716" t="s">
        <v>1935</v>
      </c>
      <c r="N716" t="s">
        <v>1887</v>
      </c>
    </row>
    <row r="717" spans="1:14" x14ac:dyDescent="0.35">
      <c r="A717" t="s">
        <v>2641</v>
      </c>
      <c r="B717" t="s">
        <v>1889</v>
      </c>
      <c r="C717" t="s">
        <v>426</v>
      </c>
      <c r="D717" t="s">
        <v>1927</v>
      </c>
      <c r="E717" t="s">
        <v>1905</v>
      </c>
      <c r="F717" t="s">
        <v>1885</v>
      </c>
      <c r="G717">
        <v>317711</v>
      </c>
      <c r="H717" s="1">
        <v>45693</v>
      </c>
      <c r="I717" s="1">
        <v>45746</v>
      </c>
      <c r="J717">
        <v>53</v>
      </c>
      <c r="K717">
        <v>10.8</v>
      </c>
      <c r="L717" t="s">
        <v>21</v>
      </c>
      <c r="M717" t="s">
        <v>1912</v>
      </c>
      <c r="N717" t="s">
        <v>1887</v>
      </c>
    </row>
    <row r="718" spans="1:14" x14ac:dyDescent="0.35">
      <c r="A718" t="s">
        <v>2642</v>
      </c>
      <c r="B718" t="s">
        <v>1926</v>
      </c>
      <c r="C718" t="s">
        <v>90</v>
      </c>
      <c r="D718" t="s">
        <v>1915</v>
      </c>
      <c r="E718" t="s">
        <v>1587</v>
      </c>
      <c r="F718" t="s">
        <v>1908</v>
      </c>
      <c r="G718">
        <v>497875</v>
      </c>
      <c r="H718" s="1">
        <v>45433</v>
      </c>
      <c r="I718" s="1"/>
      <c r="K718">
        <v>12.2</v>
      </c>
      <c r="L718" t="s">
        <v>47</v>
      </c>
      <c r="M718" t="s">
        <v>1935</v>
      </c>
      <c r="N718" t="s">
        <v>1887</v>
      </c>
    </row>
    <row r="719" spans="1:14" x14ac:dyDescent="0.35">
      <c r="A719" t="s">
        <v>2643</v>
      </c>
      <c r="B719" t="s">
        <v>1889</v>
      </c>
      <c r="C719" t="s">
        <v>277</v>
      </c>
      <c r="D719" t="s">
        <v>1883</v>
      </c>
      <c r="E719" t="s">
        <v>1884</v>
      </c>
      <c r="F719" t="s">
        <v>1885</v>
      </c>
      <c r="G719">
        <v>392101</v>
      </c>
      <c r="H719" s="1">
        <v>45538</v>
      </c>
      <c r="I719" s="1">
        <v>45639</v>
      </c>
      <c r="J719">
        <v>101</v>
      </c>
      <c r="L719" t="s">
        <v>21</v>
      </c>
      <c r="M719" t="s">
        <v>1953</v>
      </c>
      <c r="N719" t="s">
        <v>1887</v>
      </c>
    </row>
    <row r="720" spans="1:14" x14ac:dyDescent="0.35">
      <c r="A720" t="s">
        <v>2644</v>
      </c>
      <c r="B720" t="s">
        <v>1926</v>
      </c>
      <c r="C720" t="s">
        <v>453</v>
      </c>
      <c r="D720" t="s">
        <v>1899</v>
      </c>
      <c r="E720" t="s">
        <v>1884</v>
      </c>
      <c r="F720" t="s">
        <v>1900</v>
      </c>
      <c r="G720">
        <v>376827</v>
      </c>
      <c r="H720" s="1">
        <v>45747</v>
      </c>
      <c r="I720" s="1">
        <v>45802</v>
      </c>
      <c r="J720">
        <v>55</v>
      </c>
      <c r="K720">
        <v>14.2</v>
      </c>
      <c r="L720" t="s">
        <v>30</v>
      </c>
      <c r="M720" t="s">
        <v>1912</v>
      </c>
      <c r="N720" t="s">
        <v>1887</v>
      </c>
    </row>
    <row r="721" spans="1:14" x14ac:dyDescent="0.35">
      <c r="A721" t="s">
        <v>2645</v>
      </c>
      <c r="B721" t="s">
        <v>1924</v>
      </c>
      <c r="C721" t="s">
        <v>458</v>
      </c>
      <c r="D721" t="s">
        <v>1890</v>
      </c>
      <c r="E721" t="s">
        <v>1918</v>
      </c>
      <c r="F721" t="s">
        <v>1900</v>
      </c>
      <c r="G721">
        <v>234885</v>
      </c>
      <c r="H721" s="1">
        <v>44935</v>
      </c>
      <c r="I721" s="1">
        <v>45109</v>
      </c>
      <c r="J721">
        <v>174</v>
      </c>
      <c r="K721">
        <v>3</v>
      </c>
      <c r="L721" t="s">
        <v>15</v>
      </c>
      <c r="M721" t="s">
        <v>1896</v>
      </c>
      <c r="N721" t="s">
        <v>1887</v>
      </c>
    </row>
    <row r="722" spans="1:14" x14ac:dyDescent="0.35">
      <c r="A722" t="s">
        <v>2646</v>
      </c>
      <c r="B722" t="s">
        <v>1882</v>
      </c>
      <c r="C722" t="s">
        <v>142</v>
      </c>
      <c r="D722" t="s">
        <v>1890</v>
      </c>
      <c r="E722" t="s">
        <v>1918</v>
      </c>
      <c r="F722" t="s">
        <v>1946</v>
      </c>
      <c r="G722">
        <v>366160</v>
      </c>
      <c r="H722" s="1">
        <v>45705</v>
      </c>
      <c r="I722" s="1"/>
      <c r="K722">
        <v>3.5</v>
      </c>
      <c r="L722" t="s">
        <v>15</v>
      </c>
      <c r="M722" t="s">
        <v>1912</v>
      </c>
      <c r="N722" t="s">
        <v>1887</v>
      </c>
    </row>
    <row r="723" spans="1:14" x14ac:dyDescent="0.35">
      <c r="A723" t="s">
        <v>2647</v>
      </c>
      <c r="B723" t="s">
        <v>1914</v>
      </c>
      <c r="C723" t="s">
        <v>310</v>
      </c>
      <c r="D723" t="s">
        <v>1883</v>
      </c>
      <c r="E723" t="s">
        <v>1905</v>
      </c>
      <c r="F723" t="s">
        <v>1900</v>
      </c>
      <c r="G723">
        <v>245902</v>
      </c>
      <c r="H723" s="1">
        <v>45198</v>
      </c>
      <c r="I723" s="1">
        <v>45300</v>
      </c>
      <c r="J723">
        <v>102</v>
      </c>
      <c r="K723">
        <v>21.8</v>
      </c>
      <c r="L723" t="s">
        <v>15</v>
      </c>
      <c r="M723" t="s">
        <v>1932</v>
      </c>
      <c r="N723" t="s">
        <v>1887</v>
      </c>
    </row>
    <row r="724" spans="1:14" x14ac:dyDescent="0.35">
      <c r="A724" t="s">
        <v>2648</v>
      </c>
      <c r="B724" t="s">
        <v>1920</v>
      </c>
      <c r="C724" t="s">
        <v>319</v>
      </c>
      <c r="D724" t="s">
        <v>1883</v>
      </c>
      <c r="E724" t="s">
        <v>1600</v>
      </c>
      <c r="F724" t="s">
        <v>1946</v>
      </c>
      <c r="G724">
        <v>266319</v>
      </c>
      <c r="H724" s="1">
        <v>45682</v>
      </c>
      <c r="I724" s="1"/>
      <c r="K724">
        <v>10.6</v>
      </c>
      <c r="L724" t="s">
        <v>47</v>
      </c>
      <c r="M724" t="s">
        <v>1912</v>
      </c>
      <c r="N724" t="s">
        <v>1887</v>
      </c>
    </row>
    <row r="725" spans="1:14" x14ac:dyDescent="0.35">
      <c r="A725" t="s">
        <v>2649</v>
      </c>
      <c r="B725" t="s">
        <v>1937</v>
      </c>
      <c r="C725" t="s">
        <v>299</v>
      </c>
      <c r="D725" t="s">
        <v>1904</v>
      </c>
      <c r="E725" t="s">
        <v>1918</v>
      </c>
      <c r="F725" t="s">
        <v>1885</v>
      </c>
      <c r="G725">
        <v>250427</v>
      </c>
      <c r="H725" s="1">
        <v>45705</v>
      </c>
      <c r="I725" s="1">
        <v>45807</v>
      </c>
      <c r="J725">
        <v>102</v>
      </c>
      <c r="L725" t="s">
        <v>15</v>
      </c>
      <c r="M725" t="s">
        <v>1912</v>
      </c>
      <c r="N725" t="s">
        <v>1887</v>
      </c>
    </row>
    <row r="726" spans="1:14" x14ac:dyDescent="0.35">
      <c r="A726" t="s">
        <v>2650</v>
      </c>
      <c r="B726" t="s">
        <v>1924</v>
      </c>
      <c r="C726" t="s">
        <v>122</v>
      </c>
      <c r="D726" t="s">
        <v>1890</v>
      </c>
      <c r="E726" t="s">
        <v>1587</v>
      </c>
      <c r="F726" t="s">
        <v>1900</v>
      </c>
      <c r="G726">
        <v>90476</v>
      </c>
      <c r="H726" s="1">
        <v>45109</v>
      </c>
      <c r="I726" s="1">
        <v>45179</v>
      </c>
      <c r="J726">
        <v>70</v>
      </c>
      <c r="K726">
        <v>22.3</v>
      </c>
      <c r="L726" t="s">
        <v>15</v>
      </c>
      <c r="M726" t="s">
        <v>1932</v>
      </c>
      <c r="N726" t="s">
        <v>1887</v>
      </c>
    </row>
    <row r="727" spans="1:14" x14ac:dyDescent="0.35">
      <c r="A727" t="s">
        <v>2651</v>
      </c>
      <c r="B727" t="s">
        <v>1924</v>
      </c>
      <c r="C727" t="s">
        <v>308</v>
      </c>
      <c r="D727" t="s">
        <v>1904</v>
      </c>
      <c r="E727" t="s">
        <v>1678</v>
      </c>
      <c r="F727" t="s">
        <v>1895</v>
      </c>
      <c r="G727">
        <v>490228</v>
      </c>
      <c r="H727" s="1">
        <v>45346</v>
      </c>
      <c r="I727" s="1"/>
      <c r="K727">
        <v>4.7</v>
      </c>
      <c r="L727" t="s">
        <v>15</v>
      </c>
      <c r="M727" t="s">
        <v>1916</v>
      </c>
      <c r="N727" t="s">
        <v>1887</v>
      </c>
    </row>
    <row r="728" spans="1:14" x14ac:dyDescent="0.35">
      <c r="A728" t="s">
        <v>2652</v>
      </c>
      <c r="B728" t="s">
        <v>1944</v>
      </c>
      <c r="C728" t="s">
        <v>454</v>
      </c>
      <c r="D728" t="s">
        <v>1883</v>
      </c>
      <c r="E728" t="s">
        <v>1678</v>
      </c>
      <c r="F728" t="s">
        <v>1900</v>
      </c>
      <c r="G728">
        <v>284449</v>
      </c>
      <c r="H728" s="1">
        <v>45097</v>
      </c>
      <c r="I728" s="1">
        <v>45240</v>
      </c>
      <c r="J728">
        <v>143</v>
      </c>
      <c r="K728">
        <v>3.2</v>
      </c>
      <c r="L728" t="s">
        <v>47</v>
      </c>
      <c r="M728" t="s">
        <v>1893</v>
      </c>
      <c r="N728" t="s">
        <v>1887</v>
      </c>
    </row>
    <row r="729" spans="1:14" x14ac:dyDescent="0.35">
      <c r="A729" t="s">
        <v>2653</v>
      </c>
      <c r="B729" t="s">
        <v>1924</v>
      </c>
      <c r="C729" t="s">
        <v>247</v>
      </c>
      <c r="D729" t="s">
        <v>1899</v>
      </c>
      <c r="E729" t="s">
        <v>1931</v>
      </c>
      <c r="F729" t="s">
        <v>1885</v>
      </c>
      <c r="G729">
        <v>264290</v>
      </c>
      <c r="H729" s="1">
        <v>45199</v>
      </c>
      <c r="I729" s="1">
        <v>45277</v>
      </c>
      <c r="J729">
        <v>78</v>
      </c>
      <c r="K729">
        <v>2.6</v>
      </c>
      <c r="L729" t="s">
        <v>15</v>
      </c>
      <c r="M729" t="s">
        <v>1932</v>
      </c>
      <c r="N729" t="s">
        <v>1887</v>
      </c>
    </row>
    <row r="730" spans="1:14" x14ac:dyDescent="0.35">
      <c r="A730" t="s">
        <v>2654</v>
      </c>
      <c r="B730" t="s">
        <v>1944</v>
      </c>
      <c r="C730" t="s">
        <v>198</v>
      </c>
      <c r="D730" t="s">
        <v>1899</v>
      </c>
      <c r="E730" t="s">
        <v>1918</v>
      </c>
      <c r="F730" t="s">
        <v>1946</v>
      </c>
      <c r="G730">
        <v>228997</v>
      </c>
      <c r="H730" s="1">
        <v>44958</v>
      </c>
      <c r="I730" s="1"/>
      <c r="L730" t="s">
        <v>15</v>
      </c>
      <c r="M730" t="s">
        <v>1896</v>
      </c>
      <c r="N730" t="s">
        <v>1887</v>
      </c>
    </row>
    <row r="731" spans="1:14" x14ac:dyDescent="0.35">
      <c r="A731" t="s">
        <v>2655</v>
      </c>
      <c r="B731" t="s">
        <v>1934</v>
      </c>
      <c r="C731" t="s">
        <v>329</v>
      </c>
      <c r="D731" t="s">
        <v>1883</v>
      </c>
      <c r="E731" t="s">
        <v>1600</v>
      </c>
      <c r="F731" t="s">
        <v>1900</v>
      </c>
      <c r="G731">
        <v>155378</v>
      </c>
      <c r="H731" s="1">
        <v>45318</v>
      </c>
      <c r="I731" s="1">
        <v>45432</v>
      </c>
      <c r="J731">
        <v>114</v>
      </c>
      <c r="K731">
        <v>1.5</v>
      </c>
      <c r="L731" t="s">
        <v>21</v>
      </c>
      <c r="M731" t="s">
        <v>1916</v>
      </c>
      <c r="N731" t="s">
        <v>1887</v>
      </c>
    </row>
    <row r="732" spans="1:14" x14ac:dyDescent="0.35">
      <c r="A732" t="s">
        <v>2656</v>
      </c>
      <c r="B732" t="s">
        <v>1889</v>
      </c>
      <c r="C732" t="s">
        <v>343</v>
      </c>
      <c r="D732" t="s">
        <v>1899</v>
      </c>
      <c r="E732" t="s">
        <v>1931</v>
      </c>
      <c r="F732" t="s">
        <v>1900</v>
      </c>
      <c r="G732">
        <v>199857</v>
      </c>
      <c r="H732" s="1">
        <v>45027</v>
      </c>
      <c r="I732" s="1">
        <v>45146</v>
      </c>
      <c r="J732">
        <v>119</v>
      </c>
      <c r="K732">
        <v>3.9</v>
      </c>
      <c r="L732" t="s">
        <v>21</v>
      </c>
      <c r="M732" t="s">
        <v>1893</v>
      </c>
      <c r="N732" t="s">
        <v>1887</v>
      </c>
    </row>
    <row r="733" spans="1:14" x14ac:dyDescent="0.35">
      <c r="A733" t="s">
        <v>2657</v>
      </c>
      <c r="B733" t="s">
        <v>1926</v>
      </c>
      <c r="C733" t="s">
        <v>158</v>
      </c>
      <c r="D733" t="s">
        <v>1927</v>
      </c>
      <c r="E733" t="s">
        <v>1678</v>
      </c>
      <c r="F733" t="s">
        <v>1895</v>
      </c>
      <c r="G733">
        <v>323970</v>
      </c>
      <c r="H733" s="1">
        <v>45666</v>
      </c>
      <c r="I733" s="1"/>
      <c r="K733">
        <v>0.1</v>
      </c>
      <c r="L733" t="s">
        <v>15</v>
      </c>
      <c r="M733" t="s">
        <v>1912</v>
      </c>
      <c r="N733" t="s">
        <v>1887</v>
      </c>
    </row>
    <row r="734" spans="1:14" x14ac:dyDescent="0.35">
      <c r="A734" t="s">
        <v>2658</v>
      </c>
      <c r="B734" t="s">
        <v>1920</v>
      </c>
      <c r="C734" t="s">
        <v>226</v>
      </c>
      <c r="D734" t="s">
        <v>1927</v>
      </c>
      <c r="E734" t="s">
        <v>1945</v>
      </c>
      <c r="F734" t="s">
        <v>1885</v>
      </c>
      <c r="G734">
        <v>217127</v>
      </c>
      <c r="H734" s="1">
        <v>45050</v>
      </c>
      <c r="I734" s="1">
        <v>45124</v>
      </c>
      <c r="J734">
        <v>74</v>
      </c>
      <c r="L734" t="s">
        <v>30</v>
      </c>
      <c r="M734" t="s">
        <v>1893</v>
      </c>
      <c r="N734" t="s">
        <v>1887</v>
      </c>
    </row>
    <row r="735" spans="1:14" x14ac:dyDescent="0.35">
      <c r="A735" t="s">
        <v>2659</v>
      </c>
      <c r="B735" t="s">
        <v>1944</v>
      </c>
      <c r="C735" t="s">
        <v>459</v>
      </c>
      <c r="D735" t="s">
        <v>1904</v>
      </c>
      <c r="E735" t="s">
        <v>1678</v>
      </c>
      <c r="F735" t="s">
        <v>1900</v>
      </c>
      <c r="G735">
        <v>214509</v>
      </c>
      <c r="H735" s="1">
        <v>45075</v>
      </c>
      <c r="I735" s="1">
        <v>45225</v>
      </c>
      <c r="J735">
        <v>150</v>
      </c>
      <c r="K735">
        <v>0.3</v>
      </c>
      <c r="L735" t="s">
        <v>30</v>
      </c>
      <c r="M735" t="s">
        <v>1893</v>
      </c>
      <c r="N735" t="s">
        <v>1887</v>
      </c>
    </row>
    <row r="736" spans="1:14" x14ac:dyDescent="0.35">
      <c r="A736" t="s">
        <v>2660</v>
      </c>
      <c r="B736" t="s">
        <v>1882</v>
      </c>
      <c r="C736" t="s">
        <v>169</v>
      </c>
      <c r="D736" t="s">
        <v>1904</v>
      </c>
      <c r="E736" t="s">
        <v>1931</v>
      </c>
      <c r="F736" t="s">
        <v>1908</v>
      </c>
      <c r="G736">
        <v>368986</v>
      </c>
      <c r="H736" s="1">
        <v>45309</v>
      </c>
      <c r="I736" s="1"/>
      <c r="L736" t="s">
        <v>30</v>
      </c>
      <c r="M736" t="s">
        <v>1916</v>
      </c>
      <c r="N736" t="s">
        <v>1887</v>
      </c>
    </row>
    <row r="737" spans="1:14" x14ac:dyDescent="0.35">
      <c r="A737" t="s">
        <v>2661</v>
      </c>
      <c r="B737" t="s">
        <v>1920</v>
      </c>
      <c r="C737" t="s">
        <v>68</v>
      </c>
      <c r="D737" t="s">
        <v>1904</v>
      </c>
      <c r="E737" t="s">
        <v>1891</v>
      </c>
      <c r="F737" t="s">
        <v>1892</v>
      </c>
      <c r="G737">
        <v>238543</v>
      </c>
      <c r="H737" s="1">
        <v>45681</v>
      </c>
      <c r="I737" s="1"/>
      <c r="K737">
        <v>9.6999999999999993</v>
      </c>
      <c r="L737" t="s">
        <v>47</v>
      </c>
      <c r="M737" t="s">
        <v>1912</v>
      </c>
      <c r="N737" t="s">
        <v>1887</v>
      </c>
    </row>
    <row r="738" spans="1:14" x14ac:dyDescent="0.35">
      <c r="A738" t="s">
        <v>2662</v>
      </c>
      <c r="B738" t="s">
        <v>1926</v>
      </c>
      <c r="C738" t="s">
        <v>345</v>
      </c>
      <c r="D738" t="s">
        <v>1927</v>
      </c>
      <c r="E738" t="s">
        <v>1905</v>
      </c>
      <c r="F738" t="s">
        <v>1900</v>
      </c>
      <c r="G738">
        <v>203032</v>
      </c>
      <c r="H738" s="1">
        <v>45593</v>
      </c>
      <c r="I738" s="1">
        <v>45706</v>
      </c>
      <c r="J738">
        <v>113</v>
      </c>
      <c r="K738">
        <v>18.399999999999999</v>
      </c>
      <c r="L738" t="s">
        <v>15</v>
      </c>
      <c r="M738" t="s">
        <v>1901</v>
      </c>
      <c r="N738" t="s">
        <v>1887</v>
      </c>
    </row>
    <row r="739" spans="1:14" x14ac:dyDescent="0.35">
      <c r="A739" t="s">
        <v>2663</v>
      </c>
      <c r="B739" t="s">
        <v>1924</v>
      </c>
      <c r="C739" t="s">
        <v>395</v>
      </c>
      <c r="D739" t="s">
        <v>1904</v>
      </c>
      <c r="E739" t="s">
        <v>1600</v>
      </c>
      <c r="F739" t="s">
        <v>1895</v>
      </c>
      <c r="G739">
        <v>302206</v>
      </c>
      <c r="H739" s="1">
        <v>45663</v>
      </c>
      <c r="I739" s="1"/>
      <c r="K739">
        <v>1.8</v>
      </c>
      <c r="L739" t="s">
        <v>15</v>
      </c>
      <c r="M739" t="s">
        <v>1912</v>
      </c>
      <c r="N739" t="s">
        <v>1887</v>
      </c>
    </row>
    <row r="740" spans="1:14" x14ac:dyDescent="0.35">
      <c r="A740" t="s">
        <v>2664</v>
      </c>
      <c r="B740" t="s">
        <v>1898</v>
      </c>
      <c r="C740" t="s">
        <v>488</v>
      </c>
      <c r="D740" t="s">
        <v>1927</v>
      </c>
      <c r="E740" t="s">
        <v>1678</v>
      </c>
      <c r="F740" t="s">
        <v>1895</v>
      </c>
      <c r="G740">
        <v>150311</v>
      </c>
      <c r="H740" s="1">
        <v>44982</v>
      </c>
      <c r="I740" s="1"/>
      <c r="K740">
        <v>10.9</v>
      </c>
      <c r="L740" t="s">
        <v>21</v>
      </c>
      <c r="M740" t="s">
        <v>1896</v>
      </c>
      <c r="N740" t="s">
        <v>1887</v>
      </c>
    </row>
    <row r="741" spans="1:14" x14ac:dyDescent="0.35">
      <c r="A741" t="s">
        <v>2665</v>
      </c>
      <c r="B741" t="s">
        <v>1930</v>
      </c>
      <c r="C741" t="s">
        <v>412</v>
      </c>
      <c r="D741" t="s">
        <v>1890</v>
      </c>
      <c r="E741" t="s">
        <v>1600</v>
      </c>
      <c r="F741" t="s">
        <v>1900</v>
      </c>
      <c r="G741">
        <v>132151</v>
      </c>
      <c r="H741" s="1">
        <v>44964</v>
      </c>
      <c r="I741" s="1">
        <v>45015</v>
      </c>
      <c r="J741">
        <v>51</v>
      </c>
      <c r="K741">
        <v>0.5</v>
      </c>
      <c r="L741" t="s">
        <v>47</v>
      </c>
      <c r="M741" t="s">
        <v>1896</v>
      </c>
      <c r="N741" t="s">
        <v>1887</v>
      </c>
    </row>
    <row r="742" spans="1:14" x14ac:dyDescent="0.35">
      <c r="A742" t="s">
        <v>2666</v>
      </c>
      <c r="B742" t="s">
        <v>1926</v>
      </c>
      <c r="C742" t="s">
        <v>77</v>
      </c>
      <c r="D742" t="s">
        <v>1899</v>
      </c>
      <c r="E742" t="s">
        <v>1918</v>
      </c>
      <c r="F742" t="s">
        <v>1908</v>
      </c>
      <c r="G742">
        <v>473977</v>
      </c>
      <c r="H742" s="1">
        <v>45036</v>
      </c>
      <c r="I742" s="1"/>
      <c r="K742">
        <v>8.6</v>
      </c>
      <c r="L742" t="s">
        <v>47</v>
      </c>
      <c r="M742" t="s">
        <v>1893</v>
      </c>
      <c r="N742" t="s">
        <v>1887</v>
      </c>
    </row>
    <row r="743" spans="1:14" x14ac:dyDescent="0.35">
      <c r="A743" t="s">
        <v>2667</v>
      </c>
      <c r="B743" t="s">
        <v>1930</v>
      </c>
      <c r="C743" t="s">
        <v>164</v>
      </c>
      <c r="D743" t="s">
        <v>1904</v>
      </c>
      <c r="E743" t="s">
        <v>1884</v>
      </c>
      <c r="F743" t="s">
        <v>1892</v>
      </c>
      <c r="G743">
        <v>134894</v>
      </c>
      <c r="H743" s="1">
        <v>45581</v>
      </c>
      <c r="I743" s="1"/>
      <c r="K743">
        <v>2.2000000000000002</v>
      </c>
      <c r="L743" t="s">
        <v>15</v>
      </c>
      <c r="M743" t="s">
        <v>1901</v>
      </c>
      <c r="N743" t="s">
        <v>1887</v>
      </c>
    </row>
    <row r="744" spans="1:14" x14ac:dyDescent="0.35">
      <c r="A744" t="s">
        <v>2668</v>
      </c>
      <c r="B744" t="s">
        <v>1914</v>
      </c>
      <c r="C744" t="s">
        <v>200</v>
      </c>
      <c r="D744" t="s">
        <v>1927</v>
      </c>
      <c r="E744" t="s">
        <v>1945</v>
      </c>
      <c r="F744" t="s">
        <v>1885</v>
      </c>
      <c r="G744">
        <v>281099</v>
      </c>
      <c r="H744" s="1">
        <v>44977</v>
      </c>
      <c r="I744" s="1">
        <v>45139</v>
      </c>
      <c r="J744">
        <v>162</v>
      </c>
      <c r="L744" t="s">
        <v>47</v>
      </c>
      <c r="M744" t="s">
        <v>1896</v>
      </c>
      <c r="N744" t="s">
        <v>1887</v>
      </c>
    </row>
    <row r="745" spans="1:14" x14ac:dyDescent="0.35">
      <c r="A745" t="s">
        <v>2669</v>
      </c>
      <c r="B745" t="s">
        <v>1898</v>
      </c>
      <c r="C745" t="s">
        <v>365</v>
      </c>
      <c r="D745" t="s">
        <v>1883</v>
      </c>
      <c r="E745" t="s">
        <v>1884</v>
      </c>
      <c r="F745" t="s">
        <v>1946</v>
      </c>
      <c r="G745">
        <v>277559</v>
      </c>
      <c r="H745" s="1">
        <v>45092</v>
      </c>
      <c r="I745" s="1"/>
      <c r="K745">
        <v>11.1</v>
      </c>
      <c r="L745" t="s">
        <v>21</v>
      </c>
      <c r="M745" t="s">
        <v>1893</v>
      </c>
      <c r="N745" t="s">
        <v>1887</v>
      </c>
    </row>
    <row r="746" spans="1:14" x14ac:dyDescent="0.35">
      <c r="A746" t="s">
        <v>2670</v>
      </c>
      <c r="B746" t="s">
        <v>1924</v>
      </c>
      <c r="C746" t="s">
        <v>292</v>
      </c>
      <c r="D746" t="s">
        <v>1883</v>
      </c>
      <c r="E746" t="s">
        <v>1891</v>
      </c>
      <c r="F746" t="s">
        <v>1946</v>
      </c>
      <c r="G746">
        <v>193896</v>
      </c>
      <c r="H746" s="1">
        <v>44964</v>
      </c>
      <c r="I746" s="1"/>
      <c r="L746" t="s">
        <v>47</v>
      </c>
      <c r="M746" t="s">
        <v>1896</v>
      </c>
      <c r="N746" t="s">
        <v>1887</v>
      </c>
    </row>
    <row r="747" spans="1:14" x14ac:dyDescent="0.35">
      <c r="A747" t="s">
        <v>2671</v>
      </c>
      <c r="B747" t="s">
        <v>1930</v>
      </c>
      <c r="C747" t="s">
        <v>146</v>
      </c>
      <c r="D747" t="s">
        <v>1927</v>
      </c>
      <c r="E747" t="s">
        <v>1918</v>
      </c>
      <c r="F747" t="s">
        <v>1892</v>
      </c>
      <c r="G747">
        <v>181830</v>
      </c>
      <c r="H747" s="1">
        <v>45065</v>
      </c>
      <c r="I747" s="1"/>
      <c r="K747">
        <v>4.5</v>
      </c>
      <c r="L747" t="s">
        <v>15</v>
      </c>
      <c r="M747" t="s">
        <v>1893</v>
      </c>
      <c r="N747" t="s">
        <v>1887</v>
      </c>
    </row>
    <row r="748" spans="1:14" x14ac:dyDescent="0.35">
      <c r="A748" t="s">
        <v>2672</v>
      </c>
      <c r="B748" t="s">
        <v>1924</v>
      </c>
      <c r="C748" t="s">
        <v>85</v>
      </c>
      <c r="D748" t="s">
        <v>1890</v>
      </c>
      <c r="E748" t="s">
        <v>1884</v>
      </c>
      <c r="F748" t="s">
        <v>1895</v>
      </c>
      <c r="G748">
        <v>155886</v>
      </c>
      <c r="H748" s="1">
        <v>45557</v>
      </c>
      <c r="I748" s="1"/>
      <c r="K748">
        <v>4.7</v>
      </c>
      <c r="L748" t="s">
        <v>15</v>
      </c>
      <c r="M748" t="s">
        <v>1953</v>
      </c>
      <c r="N748" t="s">
        <v>1887</v>
      </c>
    </row>
    <row r="749" spans="1:14" x14ac:dyDescent="0.35">
      <c r="A749" t="s">
        <v>2673</v>
      </c>
      <c r="B749" t="s">
        <v>1903</v>
      </c>
      <c r="C749" t="s">
        <v>460</v>
      </c>
      <c r="D749" t="s">
        <v>1904</v>
      </c>
      <c r="E749" t="s">
        <v>1891</v>
      </c>
      <c r="F749" t="s">
        <v>1900</v>
      </c>
      <c r="G749">
        <v>357963</v>
      </c>
      <c r="H749" s="1">
        <v>45342</v>
      </c>
      <c r="I749" s="1">
        <v>45400</v>
      </c>
      <c r="J749">
        <v>58</v>
      </c>
      <c r="K749">
        <v>24.7</v>
      </c>
      <c r="L749" t="s">
        <v>30</v>
      </c>
      <c r="M749" t="s">
        <v>1916</v>
      </c>
      <c r="N749" t="s">
        <v>1887</v>
      </c>
    </row>
    <row r="750" spans="1:14" x14ac:dyDescent="0.35">
      <c r="A750" t="s">
        <v>2674</v>
      </c>
      <c r="B750" t="s">
        <v>1889</v>
      </c>
      <c r="C750" t="s">
        <v>472</v>
      </c>
      <c r="D750" t="s">
        <v>1904</v>
      </c>
      <c r="E750" t="s">
        <v>1678</v>
      </c>
      <c r="F750" t="s">
        <v>1892</v>
      </c>
      <c r="G750">
        <v>51705</v>
      </c>
      <c r="H750" s="1">
        <v>45551</v>
      </c>
      <c r="I750" s="1"/>
      <c r="K750">
        <v>8.3000000000000007</v>
      </c>
      <c r="L750" t="s">
        <v>30</v>
      </c>
      <c r="M750" t="s">
        <v>1953</v>
      </c>
      <c r="N750" t="s">
        <v>1887</v>
      </c>
    </row>
    <row r="751" spans="1:14" x14ac:dyDescent="0.35">
      <c r="A751" t="s">
        <v>2675</v>
      </c>
      <c r="B751" t="s">
        <v>1926</v>
      </c>
      <c r="C751" t="s">
        <v>426</v>
      </c>
      <c r="D751" t="s">
        <v>1890</v>
      </c>
      <c r="E751" t="s">
        <v>1918</v>
      </c>
      <c r="F751" t="s">
        <v>1900</v>
      </c>
      <c r="G751">
        <v>57685</v>
      </c>
      <c r="H751" s="1">
        <v>45255</v>
      </c>
      <c r="I751" s="1">
        <v>45404</v>
      </c>
      <c r="J751">
        <v>149</v>
      </c>
      <c r="K751">
        <v>17.600000000000001</v>
      </c>
      <c r="L751" t="s">
        <v>30</v>
      </c>
      <c r="M751" t="s">
        <v>1886</v>
      </c>
      <c r="N751" t="s">
        <v>1887</v>
      </c>
    </row>
    <row r="752" spans="1:14" x14ac:dyDescent="0.35">
      <c r="A752" t="s">
        <v>2676</v>
      </c>
      <c r="B752" t="s">
        <v>1937</v>
      </c>
      <c r="C752" t="s">
        <v>368</v>
      </c>
      <c r="D752" t="s">
        <v>1927</v>
      </c>
      <c r="E752" t="s">
        <v>1905</v>
      </c>
      <c r="F752" t="s">
        <v>1895</v>
      </c>
      <c r="G752">
        <v>422560</v>
      </c>
      <c r="H752" s="1">
        <v>45470</v>
      </c>
      <c r="I752" s="1"/>
      <c r="L752" t="s">
        <v>47</v>
      </c>
      <c r="M752" t="s">
        <v>1935</v>
      </c>
      <c r="N752" t="s">
        <v>1887</v>
      </c>
    </row>
    <row r="753" spans="1:14" x14ac:dyDescent="0.35">
      <c r="A753" t="s">
        <v>2677</v>
      </c>
      <c r="B753" t="s">
        <v>1963</v>
      </c>
      <c r="C753" t="s">
        <v>314</v>
      </c>
      <c r="D753" t="s">
        <v>1899</v>
      </c>
      <c r="E753" t="s">
        <v>1678</v>
      </c>
      <c r="F753" t="s">
        <v>1908</v>
      </c>
      <c r="G753">
        <v>188185</v>
      </c>
      <c r="H753" s="1">
        <v>45619</v>
      </c>
      <c r="I753" s="1"/>
      <c r="K753">
        <v>3</v>
      </c>
      <c r="L753" t="s">
        <v>47</v>
      </c>
      <c r="M753" t="s">
        <v>1901</v>
      </c>
      <c r="N753" t="s">
        <v>1887</v>
      </c>
    </row>
    <row r="754" spans="1:14" x14ac:dyDescent="0.35">
      <c r="A754" t="s">
        <v>2678</v>
      </c>
      <c r="B754" t="s">
        <v>1930</v>
      </c>
      <c r="C754" t="s">
        <v>331</v>
      </c>
      <c r="D754" t="s">
        <v>1927</v>
      </c>
      <c r="E754" t="s">
        <v>1905</v>
      </c>
      <c r="F754" t="s">
        <v>1895</v>
      </c>
      <c r="G754">
        <v>184982</v>
      </c>
      <c r="H754" s="1">
        <v>45679</v>
      </c>
      <c r="I754" s="1"/>
      <c r="L754" t="s">
        <v>47</v>
      </c>
      <c r="M754" t="s">
        <v>1912</v>
      </c>
      <c r="N754" t="s">
        <v>1887</v>
      </c>
    </row>
    <row r="755" spans="1:14" x14ac:dyDescent="0.35">
      <c r="A755" t="s">
        <v>2679</v>
      </c>
      <c r="B755" t="s">
        <v>1903</v>
      </c>
      <c r="C755" t="s">
        <v>86</v>
      </c>
      <c r="D755" t="s">
        <v>1915</v>
      </c>
      <c r="E755" t="s">
        <v>1918</v>
      </c>
      <c r="F755" t="s">
        <v>1892</v>
      </c>
      <c r="G755">
        <v>218124</v>
      </c>
      <c r="H755" s="1">
        <v>45082</v>
      </c>
      <c r="I755" s="1"/>
      <c r="L755" t="s">
        <v>47</v>
      </c>
      <c r="M755" t="s">
        <v>1893</v>
      </c>
      <c r="N755" t="s">
        <v>1887</v>
      </c>
    </row>
    <row r="756" spans="1:14" x14ac:dyDescent="0.35">
      <c r="A756" t="s">
        <v>2680</v>
      </c>
      <c r="B756" t="s">
        <v>1911</v>
      </c>
      <c r="C756" t="s">
        <v>382</v>
      </c>
      <c r="D756" t="s">
        <v>1890</v>
      </c>
      <c r="E756" t="s">
        <v>1891</v>
      </c>
      <c r="F756" t="s">
        <v>1895</v>
      </c>
      <c r="G756">
        <v>94808</v>
      </c>
      <c r="H756" s="1">
        <v>45038</v>
      </c>
      <c r="I756" s="1"/>
      <c r="K756">
        <v>7.2</v>
      </c>
      <c r="L756" t="s">
        <v>15</v>
      </c>
      <c r="M756" t="s">
        <v>1893</v>
      </c>
      <c r="N756" t="s">
        <v>1887</v>
      </c>
    </row>
    <row r="757" spans="1:14" x14ac:dyDescent="0.35">
      <c r="A757" t="s">
        <v>2681</v>
      </c>
      <c r="B757" t="s">
        <v>1882</v>
      </c>
      <c r="C757" t="s">
        <v>66</v>
      </c>
      <c r="D757" t="s">
        <v>1883</v>
      </c>
      <c r="E757" t="s">
        <v>1891</v>
      </c>
      <c r="F757" t="s">
        <v>1946</v>
      </c>
      <c r="G757">
        <v>311351</v>
      </c>
      <c r="H757" s="1">
        <v>45542</v>
      </c>
      <c r="I757" s="1"/>
      <c r="K757">
        <v>9.6</v>
      </c>
      <c r="L757" t="s">
        <v>15</v>
      </c>
      <c r="M757" t="s">
        <v>1953</v>
      </c>
      <c r="N757" t="s">
        <v>1887</v>
      </c>
    </row>
    <row r="758" spans="1:14" x14ac:dyDescent="0.35">
      <c r="A758" t="s">
        <v>2682</v>
      </c>
      <c r="B758" t="s">
        <v>1930</v>
      </c>
      <c r="C758" t="s">
        <v>275</v>
      </c>
      <c r="D758" t="s">
        <v>1904</v>
      </c>
      <c r="E758" t="s">
        <v>1905</v>
      </c>
      <c r="F758" t="s">
        <v>1895</v>
      </c>
      <c r="G758">
        <v>478589</v>
      </c>
      <c r="H758" s="1">
        <v>45493</v>
      </c>
      <c r="I758" s="1"/>
      <c r="K758">
        <v>8.4</v>
      </c>
      <c r="L758" t="s">
        <v>30</v>
      </c>
      <c r="M758" t="s">
        <v>1953</v>
      </c>
      <c r="N758" t="s">
        <v>1887</v>
      </c>
    </row>
    <row r="759" spans="1:14" x14ac:dyDescent="0.35">
      <c r="A759" t="s">
        <v>2683</v>
      </c>
      <c r="B759" t="s">
        <v>1963</v>
      </c>
      <c r="C759" t="s">
        <v>353</v>
      </c>
      <c r="D759" t="s">
        <v>1927</v>
      </c>
      <c r="E759" t="s">
        <v>1884</v>
      </c>
      <c r="F759" t="s">
        <v>1946</v>
      </c>
      <c r="G759">
        <v>412868</v>
      </c>
      <c r="H759" s="1">
        <v>45310</v>
      </c>
      <c r="I759" s="1"/>
      <c r="K759">
        <v>8.1999999999999993</v>
      </c>
      <c r="L759" t="s">
        <v>47</v>
      </c>
      <c r="M759" t="s">
        <v>1916</v>
      </c>
      <c r="N759" t="s">
        <v>1887</v>
      </c>
    </row>
    <row r="760" spans="1:14" x14ac:dyDescent="0.35">
      <c r="A760" t="s">
        <v>2684</v>
      </c>
      <c r="B760" t="s">
        <v>1926</v>
      </c>
      <c r="C760" t="s">
        <v>367</v>
      </c>
      <c r="D760" t="s">
        <v>1899</v>
      </c>
      <c r="E760" t="s">
        <v>1918</v>
      </c>
      <c r="F760" t="s">
        <v>1946</v>
      </c>
      <c r="G760">
        <v>108997</v>
      </c>
      <c r="H760" s="1">
        <v>45096</v>
      </c>
      <c r="I760" s="1"/>
      <c r="L760" t="s">
        <v>21</v>
      </c>
      <c r="M760" t="s">
        <v>1893</v>
      </c>
      <c r="N760" t="s">
        <v>1887</v>
      </c>
    </row>
    <row r="761" spans="1:14" x14ac:dyDescent="0.35">
      <c r="A761" t="s">
        <v>2685</v>
      </c>
      <c r="B761" t="s">
        <v>1963</v>
      </c>
      <c r="C761" t="s">
        <v>167</v>
      </c>
      <c r="D761" t="s">
        <v>1904</v>
      </c>
      <c r="E761" t="s">
        <v>1884</v>
      </c>
      <c r="F761" t="s">
        <v>1895</v>
      </c>
      <c r="G761">
        <v>69592</v>
      </c>
      <c r="H761" s="1">
        <v>45361</v>
      </c>
      <c r="I761" s="1"/>
      <c r="K761">
        <v>7.4</v>
      </c>
      <c r="L761" t="s">
        <v>30</v>
      </c>
      <c r="M761" t="s">
        <v>1916</v>
      </c>
      <c r="N761" t="s">
        <v>1887</v>
      </c>
    </row>
    <row r="762" spans="1:14" x14ac:dyDescent="0.35">
      <c r="A762" t="s">
        <v>2686</v>
      </c>
      <c r="B762" t="s">
        <v>1914</v>
      </c>
      <c r="C762" t="s">
        <v>188</v>
      </c>
      <c r="D762" t="s">
        <v>1927</v>
      </c>
      <c r="E762" t="s">
        <v>1884</v>
      </c>
      <c r="F762" t="s">
        <v>1892</v>
      </c>
      <c r="G762">
        <v>394132</v>
      </c>
      <c r="H762" s="1">
        <v>45575</v>
      </c>
      <c r="I762" s="1"/>
      <c r="L762" t="s">
        <v>21</v>
      </c>
      <c r="M762" t="s">
        <v>1901</v>
      </c>
      <c r="N762" t="s">
        <v>1887</v>
      </c>
    </row>
    <row r="763" spans="1:14" x14ac:dyDescent="0.35">
      <c r="A763" t="s">
        <v>2687</v>
      </c>
      <c r="B763" t="s">
        <v>1922</v>
      </c>
      <c r="C763" t="s">
        <v>266</v>
      </c>
      <c r="D763" t="s">
        <v>1904</v>
      </c>
      <c r="E763" t="s">
        <v>1678</v>
      </c>
      <c r="F763" t="s">
        <v>1885</v>
      </c>
      <c r="G763">
        <v>479641</v>
      </c>
      <c r="H763" s="1">
        <v>45312</v>
      </c>
      <c r="I763" s="1">
        <v>45485</v>
      </c>
      <c r="J763">
        <v>173</v>
      </c>
      <c r="L763" t="s">
        <v>30</v>
      </c>
      <c r="M763" t="s">
        <v>1916</v>
      </c>
      <c r="N763" t="s">
        <v>1887</v>
      </c>
    </row>
    <row r="764" spans="1:14" x14ac:dyDescent="0.35">
      <c r="A764" t="s">
        <v>2688</v>
      </c>
      <c r="B764" t="s">
        <v>1963</v>
      </c>
      <c r="C764" t="s">
        <v>257</v>
      </c>
      <c r="D764" t="s">
        <v>1899</v>
      </c>
      <c r="E764" t="s">
        <v>1587</v>
      </c>
      <c r="F764" t="s">
        <v>1908</v>
      </c>
      <c r="G764">
        <v>305973</v>
      </c>
      <c r="H764" s="1">
        <v>45291</v>
      </c>
      <c r="I764" s="1"/>
      <c r="K764">
        <v>6.4</v>
      </c>
      <c r="L764" t="s">
        <v>21</v>
      </c>
      <c r="M764" t="s">
        <v>1886</v>
      </c>
      <c r="N764" t="s">
        <v>1887</v>
      </c>
    </row>
    <row r="765" spans="1:14" x14ac:dyDescent="0.35">
      <c r="A765" t="s">
        <v>2689</v>
      </c>
      <c r="B765" t="s">
        <v>1926</v>
      </c>
      <c r="C765" t="s">
        <v>411</v>
      </c>
      <c r="D765" t="s">
        <v>1904</v>
      </c>
      <c r="E765" t="s">
        <v>1600</v>
      </c>
      <c r="F765" t="s">
        <v>1900</v>
      </c>
      <c r="G765">
        <v>282645</v>
      </c>
      <c r="H765" s="1">
        <v>45549</v>
      </c>
      <c r="I765" s="1">
        <v>45671</v>
      </c>
      <c r="J765">
        <v>122</v>
      </c>
      <c r="K765">
        <v>14.5</v>
      </c>
      <c r="L765" t="s">
        <v>47</v>
      </c>
      <c r="M765" t="s">
        <v>1953</v>
      </c>
      <c r="N765" t="s">
        <v>1887</v>
      </c>
    </row>
    <row r="766" spans="1:14" x14ac:dyDescent="0.35">
      <c r="A766" t="s">
        <v>2690</v>
      </c>
      <c r="B766" t="s">
        <v>1934</v>
      </c>
      <c r="C766" t="s">
        <v>344</v>
      </c>
      <c r="D766" t="s">
        <v>1890</v>
      </c>
      <c r="E766" t="s">
        <v>1678</v>
      </c>
      <c r="F766" t="s">
        <v>1908</v>
      </c>
      <c r="G766">
        <v>303493</v>
      </c>
      <c r="H766" s="1">
        <v>45122</v>
      </c>
      <c r="I766" s="1"/>
      <c r="L766" t="s">
        <v>47</v>
      </c>
      <c r="M766" t="s">
        <v>1932</v>
      </c>
      <c r="N766" t="s">
        <v>1887</v>
      </c>
    </row>
    <row r="767" spans="1:14" x14ac:dyDescent="0.35">
      <c r="A767" t="s">
        <v>2691</v>
      </c>
      <c r="B767" t="s">
        <v>1889</v>
      </c>
      <c r="C767" t="s">
        <v>66</v>
      </c>
      <c r="D767" t="s">
        <v>1883</v>
      </c>
      <c r="E767" t="s">
        <v>1884</v>
      </c>
      <c r="F767" t="s">
        <v>1895</v>
      </c>
      <c r="G767">
        <v>143999</v>
      </c>
      <c r="H767" s="1">
        <v>45479</v>
      </c>
      <c r="I767" s="1"/>
      <c r="K767">
        <v>1</v>
      </c>
      <c r="L767" t="s">
        <v>21</v>
      </c>
      <c r="M767" t="s">
        <v>1953</v>
      </c>
      <c r="N767" t="s">
        <v>1887</v>
      </c>
    </row>
    <row r="768" spans="1:14" x14ac:dyDescent="0.35">
      <c r="A768" t="s">
        <v>2692</v>
      </c>
      <c r="B768" t="s">
        <v>1963</v>
      </c>
      <c r="C768" t="s">
        <v>299</v>
      </c>
      <c r="D768" t="s">
        <v>1890</v>
      </c>
      <c r="E768" t="s">
        <v>1678</v>
      </c>
      <c r="F768" t="s">
        <v>1900</v>
      </c>
      <c r="G768">
        <v>270035</v>
      </c>
      <c r="H768" s="1">
        <v>45098</v>
      </c>
      <c r="I768" s="1">
        <v>45253</v>
      </c>
      <c r="J768">
        <v>155</v>
      </c>
      <c r="K768">
        <v>24.1</v>
      </c>
      <c r="L768" t="s">
        <v>30</v>
      </c>
      <c r="M768" t="s">
        <v>1893</v>
      </c>
      <c r="N768" t="s">
        <v>1887</v>
      </c>
    </row>
    <row r="769" spans="1:14" x14ac:dyDescent="0.35">
      <c r="A769" t="s">
        <v>2693</v>
      </c>
      <c r="B769" t="s">
        <v>1903</v>
      </c>
      <c r="C769" t="s">
        <v>492</v>
      </c>
      <c r="D769" t="s">
        <v>1883</v>
      </c>
      <c r="E769" t="s">
        <v>1905</v>
      </c>
      <c r="F769" t="s">
        <v>1900</v>
      </c>
      <c r="G769">
        <v>256648</v>
      </c>
      <c r="H769" s="1">
        <v>45634</v>
      </c>
      <c r="I769" s="1">
        <v>45673</v>
      </c>
      <c r="J769">
        <v>39</v>
      </c>
      <c r="K769">
        <v>12.9</v>
      </c>
      <c r="L769" t="s">
        <v>47</v>
      </c>
      <c r="M769" t="s">
        <v>1901</v>
      </c>
      <c r="N769" t="s">
        <v>1887</v>
      </c>
    </row>
    <row r="770" spans="1:14" x14ac:dyDescent="0.35">
      <c r="A770" t="s">
        <v>2694</v>
      </c>
      <c r="B770" t="s">
        <v>1882</v>
      </c>
      <c r="C770" t="s">
        <v>402</v>
      </c>
      <c r="D770" t="s">
        <v>1899</v>
      </c>
      <c r="E770" t="s">
        <v>1587</v>
      </c>
      <c r="F770" t="s">
        <v>1885</v>
      </c>
      <c r="G770">
        <v>216032</v>
      </c>
      <c r="H770" s="1">
        <v>45188</v>
      </c>
      <c r="I770" s="1">
        <v>45280</v>
      </c>
      <c r="J770">
        <v>92</v>
      </c>
      <c r="L770" t="s">
        <v>15</v>
      </c>
      <c r="M770" t="s">
        <v>1932</v>
      </c>
      <c r="N770" t="s">
        <v>1887</v>
      </c>
    </row>
    <row r="771" spans="1:14" x14ac:dyDescent="0.35">
      <c r="A771" t="s">
        <v>2695</v>
      </c>
      <c r="B771" t="s">
        <v>1914</v>
      </c>
      <c r="C771" t="s">
        <v>360</v>
      </c>
      <c r="D771" t="s">
        <v>1904</v>
      </c>
      <c r="E771" t="s">
        <v>1587</v>
      </c>
      <c r="F771" t="s">
        <v>1946</v>
      </c>
      <c r="G771">
        <v>146467</v>
      </c>
      <c r="H771" s="1">
        <v>45431</v>
      </c>
      <c r="I771" s="1"/>
      <c r="K771">
        <v>14</v>
      </c>
      <c r="L771" t="s">
        <v>15</v>
      </c>
      <c r="M771" t="s">
        <v>1935</v>
      </c>
      <c r="N771" t="s">
        <v>1887</v>
      </c>
    </row>
    <row r="772" spans="1:14" x14ac:dyDescent="0.35">
      <c r="A772" t="s">
        <v>2696</v>
      </c>
      <c r="B772" t="s">
        <v>1924</v>
      </c>
      <c r="C772" t="s">
        <v>459</v>
      </c>
      <c r="D772" t="s">
        <v>1890</v>
      </c>
      <c r="E772" t="s">
        <v>1600</v>
      </c>
      <c r="F772" t="s">
        <v>1892</v>
      </c>
      <c r="G772">
        <v>416294</v>
      </c>
      <c r="H772" s="1">
        <v>45622</v>
      </c>
      <c r="I772" s="1"/>
      <c r="K772">
        <v>9.5</v>
      </c>
      <c r="L772" t="s">
        <v>15</v>
      </c>
      <c r="M772" t="s">
        <v>1901</v>
      </c>
      <c r="N772" t="s">
        <v>1887</v>
      </c>
    </row>
    <row r="773" spans="1:14" x14ac:dyDescent="0.35">
      <c r="A773" t="s">
        <v>2697</v>
      </c>
      <c r="B773" t="s">
        <v>1889</v>
      </c>
      <c r="C773" t="s">
        <v>436</v>
      </c>
      <c r="D773" t="s">
        <v>1904</v>
      </c>
      <c r="E773" t="s">
        <v>1884</v>
      </c>
      <c r="F773" t="s">
        <v>1900</v>
      </c>
      <c r="G773">
        <v>87018</v>
      </c>
      <c r="H773" s="1">
        <v>45598</v>
      </c>
      <c r="I773" s="1">
        <v>45625</v>
      </c>
      <c r="J773">
        <v>27</v>
      </c>
      <c r="K773">
        <v>16.399999999999999</v>
      </c>
      <c r="L773" t="s">
        <v>15</v>
      </c>
      <c r="M773" t="s">
        <v>1901</v>
      </c>
      <c r="N773" t="s">
        <v>1887</v>
      </c>
    </row>
    <row r="774" spans="1:14" x14ac:dyDescent="0.35">
      <c r="A774" t="s">
        <v>2698</v>
      </c>
      <c r="B774" t="s">
        <v>1920</v>
      </c>
      <c r="C774" t="s">
        <v>101</v>
      </c>
      <c r="D774" t="s">
        <v>1927</v>
      </c>
      <c r="E774" t="s">
        <v>1945</v>
      </c>
      <c r="F774" t="s">
        <v>1885</v>
      </c>
      <c r="G774">
        <v>496316</v>
      </c>
      <c r="H774" s="1">
        <v>45549</v>
      </c>
      <c r="I774" s="1">
        <v>45725</v>
      </c>
      <c r="J774">
        <v>176</v>
      </c>
      <c r="K774">
        <v>2.6</v>
      </c>
      <c r="L774" t="s">
        <v>47</v>
      </c>
      <c r="M774" t="s">
        <v>1953</v>
      </c>
      <c r="N774" t="s">
        <v>1887</v>
      </c>
    </row>
    <row r="775" spans="1:14" x14ac:dyDescent="0.35">
      <c r="A775" t="s">
        <v>2699</v>
      </c>
      <c r="B775" t="s">
        <v>1903</v>
      </c>
      <c r="C775" t="s">
        <v>38</v>
      </c>
      <c r="D775" t="s">
        <v>1915</v>
      </c>
      <c r="E775" t="s">
        <v>1905</v>
      </c>
      <c r="F775" t="s">
        <v>1908</v>
      </c>
      <c r="G775">
        <v>269510</v>
      </c>
      <c r="H775" s="1">
        <v>45371</v>
      </c>
      <c r="I775" s="1"/>
      <c r="L775" t="s">
        <v>30</v>
      </c>
      <c r="M775" t="s">
        <v>1916</v>
      </c>
      <c r="N775" t="s">
        <v>1887</v>
      </c>
    </row>
    <row r="776" spans="1:14" x14ac:dyDescent="0.35">
      <c r="A776" t="s">
        <v>2700</v>
      </c>
      <c r="B776" t="s">
        <v>1898</v>
      </c>
      <c r="C776" t="s">
        <v>484</v>
      </c>
      <c r="D776" t="s">
        <v>1890</v>
      </c>
      <c r="E776" t="s">
        <v>1918</v>
      </c>
      <c r="F776" t="s">
        <v>1908</v>
      </c>
      <c r="G776">
        <v>469379</v>
      </c>
      <c r="H776" s="1">
        <v>45039</v>
      </c>
      <c r="I776" s="1"/>
      <c r="K776">
        <v>3.6</v>
      </c>
      <c r="L776" t="s">
        <v>15</v>
      </c>
      <c r="M776" t="s">
        <v>1893</v>
      </c>
      <c r="N776" t="s">
        <v>1887</v>
      </c>
    </row>
    <row r="777" spans="1:14" x14ac:dyDescent="0.35">
      <c r="A777" t="s">
        <v>2701</v>
      </c>
      <c r="B777" t="s">
        <v>1920</v>
      </c>
      <c r="C777" t="s">
        <v>349</v>
      </c>
      <c r="D777" t="s">
        <v>1915</v>
      </c>
      <c r="E777" t="s">
        <v>1918</v>
      </c>
      <c r="F777" t="s">
        <v>1892</v>
      </c>
      <c r="G777">
        <v>225336</v>
      </c>
      <c r="H777" s="1">
        <v>45277</v>
      </c>
      <c r="I777" s="1"/>
      <c r="L777" t="s">
        <v>30</v>
      </c>
      <c r="M777" t="s">
        <v>1886</v>
      </c>
      <c r="N777" t="s">
        <v>1887</v>
      </c>
    </row>
    <row r="778" spans="1:14" x14ac:dyDescent="0.35">
      <c r="A778" t="s">
        <v>2702</v>
      </c>
      <c r="B778" t="s">
        <v>1934</v>
      </c>
      <c r="C778" t="s">
        <v>242</v>
      </c>
      <c r="D778" t="s">
        <v>1890</v>
      </c>
      <c r="E778" t="s">
        <v>1931</v>
      </c>
      <c r="F778" t="s">
        <v>1908</v>
      </c>
      <c r="G778">
        <v>411518</v>
      </c>
      <c r="H778" s="1">
        <v>45409</v>
      </c>
      <c r="I778" s="1"/>
      <c r="L778" t="s">
        <v>30</v>
      </c>
      <c r="M778" t="s">
        <v>1935</v>
      </c>
      <c r="N778" t="s">
        <v>1887</v>
      </c>
    </row>
    <row r="779" spans="1:14" x14ac:dyDescent="0.35">
      <c r="A779" t="s">
        <v>2703</v>
      </c>
      <c r="B779" t="s">
        <v>1926</v>
      </c>
      <c r="C779" t="s">
        <v>208</v>
      </c>
      <c r="D779" t="s">
        <v>1927</v>
      </c>
      <c r="E779" t="s">
        <v>1905</v>
      </c>
      <c r="F779" t="s">
        <v>1946</v>
      </c>
      <c r="G779">
        <v>29564</v>
      </c>
      <c r="H779" s="1">
        <v>45293</v>
      </c>
      <c r="I779" s="1"/>
      <c r="L779" t="s">
        <v>47</v>
      </c>
      <c r="M779" t="s">
        <v>1916</v>
      </c>
      <c r="N779" t="s">
        <v>1887</v>
      </c>
    </row>
    <row r="780" spans="1:14" x14ac:dyDescent="0.35">
      <c r="A780" t="s">
        <v>2704</v>
      </c>
      <c r="B780" t="s">
        <v>1920</v>
      </c>
      <c r="C780" t="s">
        <v>152</v>
      </c>
      <c r="D780" t="s">
        <v>1883</v>
      </c>
      <c r="E780" t="s">
        <v>1918</v>
      </c>
      <c r="F780" t="s">
        <v>1900</v>
      </c>
      <c r="G780">
        <v>306455</v>
      </c>
      <c r="H780" s="1">
        <v>45266</v>
      </c>
      <c r="I780" s="1">
        <v>45296</v>
      </c>
      <c r="J780">
        <v>30</v>
      </c>
      <c r="K780">
        <v>14.6</v>
      </c>
      <c r="L780" t="s">
        <v>47</v>
      </c>
      <c r="M780" t="s">
        <v>1886</v>
      </c>
      <c r="N780" t="s">
        <v>1887</v>
      </c>
    </row>
    <row r="781" spans="1:14" x14ac:dyDescent="0.35">
      <c r="A781" t="s">
        <v>2705</v>
      </c>
      <c r="B781" t="s">
        <v>1930</v>
      </c>
      <c r="C781" t="s">
        <v>390</v>
      </c>
      <c r="D781" t="s">
        <v>1927</v>
      </c>
      <c r="E781" t="s">
        <v>1905</v>
      </c>
      <c r="F781" t="s">
        <v>1892</v>
      </c>
      <c r="G781">
        <v>436059</v>
      </c>
      <c r="H781" s="1">
        <v>45562</v>
      </c>
      <c r="I781" s="1"/>
      <c r="K781">
        <v>4.3</v>
      </c>
      <c r="L781" t="s">
        <v>47</v>
      </c>
      <c r="M781" t="s">
        <v>1953</v>
      </c>
      <c r="N781" t="s">
        <v>1887</v>
      </c>
    </row>
    <row r="782" spans="1:14" x14ac:dyDescent="0.35">
      <c r="A782" t="s">
        <v>2706</v>
      </c>
      <c r="B782" t="s">
        <v>1924</v>
      </c>
      <c r="C782" t="s">
        <v>439</v>
      </c>
      <c r="D782" t="s">
        <v>1890</v>
      </c>
      <c r="E782" t="s">
        <v>1945</v>
      </c>
      <c r="F782" t="s">
        <v>1895</v>
      </c>
      <c r="G782">
        <v>481266</v>
      </c>
      <c r="H782" s="1">
        <v>45378</v>
      </c>
      <c r="I782" s="1"/>
      <c r="L782" t="s">
        <v>30</v>
      </c>
      <c r="M782" t="s">
        <v>1916</v>
      </c>
      <c r="N782" t="s">
        <v>1887</v>
      </c>
    </row>
    <row r="783" spans="1:14" x14ac:dyDescent="0.35">
      <c r="A783" t="s">
        <v>2707</v>
      </c>
      <c r="B783" t="s">
        <v>1911</v>
      </c>
      <c r="C783" t="s">
        <v>305</v>
      </c>
      <c r="D783" t="s">
        <v>1883</v>
      </c>
      <c r="E783" t="s">
        <v>1918</v>
      </c>
      <c r="F783" t="s">
        <v>1946</v>
      </c>
      <c r="G783">
        <v>405043</v>
      </c>
      <c r="H783" s="1">
        <v>45397</v>
      </c>
      <c r="I783" s="1"/>
      <c r="K783">
        <v>12.1</v>
      </c>
      <c r="L783" t="s">
        <v>21</v>
      </c>
      <c r="M783" t="s">
        <v>1935</v>
      </c>
      <c r="N783" t="s">
        <v>1887</v>
      </c>
    </row>
    <row r="784" spans="1:14" x14ac:dyDescent="0.35">
      <c r="A784" t="s">
        <v>2708</v>
      </c>
      <c r="B784" t="s">
        <v>1911</v>
      </c>
      <c r="C784" t="s">
        <v>82</v>
      </c>
      <c r="D784" t="s">
        <v>1883</v>
      </c>
      <c r="E784" t="s">
        <v>1891</v>
      </c>
      <c r="F784" t="s">
        <v>1908</v>
      </c>
      <c r="G784">
        <v>302967</v>
      </c>
      <c r="H784" s="1">
        <v>45501</v>
      </c>
      <c r="I784" s="1"/>
      <c r="L784" t="s">
        <v>21</v>
      </c>
      <c r="M784" t="s">
        <v>1953</v>
      </c>
      <c r="N784" t="s">
        <v>1887</v>
      </c>
    </row>
    <row r="785" spans="1:14" x14ac:dyDescent="0.35">
      <c r="A785" t="s">
        <v>2709</v>
      </c>
      <c r="B785" t="s">
        <v>1963</v>
      </c>
      <c r="C785" t="s">
        <v>110</v>
      </c>
      <c r="D785" t="s">
        <v>1904</v>
      </c>
      <c r="E785" t="s">
        <v>1587</v>
      </c>
      <c r="F785" t="s">
        <v>1885</v>
      </c>
      <c r="G785">
        <v>241692</v>
      </c>
      <c r="H785" s="1">
        <v>45552</v>
      </c>
      <c r="I785" s="1">
        <v>45727</v>
      </c>
      <c r="J785">
        <v>175</v>
      </c>
      <c r="L785" t="s">
        <v>47</v>
      </c>
      <c r="M785" t="s">
        <v>1953</v>
      </c>
      <c r="N785" t="s">
        <v>1887</v>
      </c>
    </row>
    <row r="786" spans="1:14" x14ac:dyDescent="0.35">
      <c r="A786" t="s">
        <v>2710</v>
      </c>
      <c r="B786" t="s">
        <v>1914</v>
      </c>
      <c r="C786" t="s">
        <v>303</v>
      </c>
      <c r="D786" t="s">
        <v>1915</v>
      </c>
      <c r="E786" t="s">
        <v>1905</v>
      </c>
      <c r="F786" t="s">
        <v>1895</v>
      </c>
      <c r="G786">
        <v>344535</v>
      </c>
      <c r="H786" s="1">
        <v>45662</v>
      </c>
      <c r="I786" s="1"/>
      <c r="L786" t="s">
        <v>15</v>
      </c>
      <c r="M786" t="s">
        <v>1912</v>
      </c>
      <c r="N786" t="s">
        <v>1887</v>
      </c>
    </row>
    <row r="787" spans="1:14" x14ac:dyDescent="0.35">
      <c r="A787" t="s">
        <v>2711</v>
      </c>
      <c r="B787" t="s">
        <v>1937</v>
      </c>
      <c r="C787" t="s">
        <v>329</v>
      </c>
      <c r="D787" t="s">
        <v>1904</v>
      </c>
      <c r="E787" t="s">
        <v>1600</v>
      </c>
      <c r="F787" t="s">
        <v>1895</v>
      </c>
      <c r="G787">
        <v>384313</v>
      </c>
      <c r="H787" s="1">
        <v>45742</v>
      </c>
      <c r="I787" s="1"/>
      <c r="K787">
        <v>6.5</v>
      </c>
      <c r="L787" t="s">
        <v>30</v>
      </c>
      <c r="M787" t="s">
        <v>1912</v>
      </c>
      <c r="N787" t="s">
        <v>1887</v>
      </c>
    </row>
    <row r="788" spans="1:14" x14ac:dyDescent="0.35">
      <c r="A788" t="s">
        <v>2712</v>
      </c>
      <c r="B788" t="s">
        <v>1944</v>
      </c>
      <c r="C788" t="s">
        <v>291</v>
      </c>
      <c r="D788" t="s">
        <v>1890</v>
      </c>
      <c r="E788" t="s">
        <v>1678</v>
      </c>
      <c r="F788" t="s">
        <v>1885</v>
      </c>
      <c r="G788">
        <v>390955</v>
      </c>
      <c r="H788" s="1">
        <v>45461</v>
      </c>
      <c r="I788" s="1">
        <v>45527</v>
      </c>
      <c r="J788">
        <v>66</v>
      </c>
      <c r="L788" t="s">
        <v>21</v>
      </c>
      <c r="M788" t="s">
        <v>1935</v>
      </c>
      <c r="N788" t="s">
        <v>1887</v>
      </c>
    </row>
    <row r="789" spans="1:14" x14ac:dyDescent="0.35">
      <c r="A789" t="s">
        <v>2713</v>
      </c>
      <c r="B789" t="s">
        <v>1882</v>
      </c>
      <c r="C789" t="s">
        <v>388</v>
      </c>
      <c r="D789" t="s">
        <v>1899</v>
      </c>
      <c r="E789" t="s">
        <v>1891</v>
      </c>
      <c r="F789" t="s">
        <v>1900</v>
      </c>
      <c r="G789">
        <v>246390</v>
      </c>
      <c r="H789" s="1">
        <v>45111</v>
      </c>
      <c r="I789" s="1">
        <v>45202</v>
      </c>
      <c r="J789">
        <v>91</v>
      </c>
      <c r="K789">
        <v>4.5</v>
      </c>
      <c r="L789" t="s">
        <v>47</v>
      </c>
      <c r="M789" t="s">
        <v>1932</v>
      </c>
      <c r="N789" t="s">
        <v>1887</v>
      </c>
    </row>
    <row r="790" spans="1:14" x14ac:dyDescent="0.35">
      <c r="A790" t="s">
        <v>2714</v>
      </c>
      <c r="B790" t="s">
        <v>1920</v>
      </c>
      <c r="C790" t="s">
        <v>335</v>
      </c>
      <c r="D790" t="s">
        <v>1904</v>
      </c>
      <c r="E790" t="s">
        <v>1884</v>
      </c>
      <c r="F790" t="s">
        <v>1908</v>
      </c>
      <c r="G790">
        <v>33949</v>
      </c>
      <c r="H790" s="1">
        <v>45527</v>
      </c>
      <c r="I790" s="1"/>
      <c r="K790">
        <v>1</v>
      </c>
      <c r="L790" t="s">
        <v>21</v>
      </c>
      <c r="M790" t="s">
        <v>1953</v>
      </c>
      <c r="N790" t="s">
        <v>1887</v>
      </c>
    </row>
    <row r="791" spans="1:14" x14ac:dyDescent="0.35">
      <c r="A791" t="s">
        <v>2715</v>
      </c>
      <c r="B791" t="s">
        <v>1920</v>
      </c>
      <c r="C791" t="s">
        <v>472</v>
      </c>
      <c r="D791" t="s">
        <v>1927</v>
      </c>
      <c r="E791" t="s">
        <v>1945</v>
      </c>
      <c r="F791" t="s">
        <v>1908</v>
      </c>
      <c r="G791">
        <v>54639</v>
      </c>
      <c r="H791" s="1">
        <v>45662</v>
      </c>
      <c r="I791" s="1"/>
      <c r="K791">
        <v>0.7</v>
      </c>
      <c r="L791" t="s">
        <v>15</v>
      </c>
      <c r="M791" t="s">
        <v>1912</v>
      </c>
      <c r="N791" t="s">
        <v>1887</v>
      </c>
    </row>
    <row r="792" spans="1:14" x14ac:dyDescent="0.35">
      <c r="A792" t="s">
        <v>2716</v>
      </c>
      <c r="B792" t="s">
        <v>1889</v>
      </c>
      <c r="C792" t="s">
        <v>331</v>
      </c>
      <c r="D792" t="s">
        <v>1904</v>
      </c>
      <c r="E792" t="s">
        <v>1884</v>
      </c>
      <c r="F792" t="s">
        <v>1908</v>
      </c>
      <c r="G792">
        <v>24721</v>
      </c>
      <c r="H792" s="1">
        <v>45697</v>
      </c>
      <c r="I792" s="1"/>
      <c r="L792" t="s">
        <v>21</v>
      </c>
      <c r="M792" t="s">
        <v>1912</v>
      </c>
      <c r="N792" t="s">
        <v>1887</v>
      </c>
    </row>
    <row r="793" spans="1:14" x14ac:dyDescent="0.35">
      <c r="A793" t="s">
        <v>2717</v>
      </c>
      <c r="B793" t="s">
        <v>1924</v>
      </c>
      <c r="C793" t="s">
        <v>196</v>
      </c>
      <c r="D793" t="s">
        <v>1883</v>
      </c>
      <c r="E793" t="s">
        <v>1678</v>
      </c>
      <c r="F793" t="s">
        <v>1885</v>
      </c>
      <c r="G793">
        <v>117062</v>
      </c>
      <c r="H793" s="1">
        <v>44992</v>
      </c>
      <c r="I793" s="1">
        <v>45143</v>
      </c>
      <c r="J793">
        <v>151</v>
      </c>
      <c r="K793">
        <v>7.1</v>
      </c>
      <c r="L793" t="s">
        <v>30</v>
      </c>
      <c r="M793" t="s">
        <v>1896</v>
      </c>
      <c r="N793" t="s">
        <v>1887</v>
      </c>
    </row>
    <row r="794" spans="1:14" x14ac:dyDescent="0.35">
      <c r="A794" t="s">
        <v>2718</v>
      </c>
      <c r="B794" t="s">
        <v>1930</v>
      </c>
      <c r="C794" t="s">
        <v>164</v>
      </c>
      <c r="D794" t="s">
        <v>1890</v>
      </c>
      <c r="E794" t="s">
        <v>1945</v>
      </c>
      <c r="F794" t="s">
        <v>1900</v>
      </c>
      <c r="G794">
        <v>338895</v>
      </c>
      <c r="H794" s="1">
        <v>45493</v>
      </c>
      <c r="I794" s="1">
        <v>45548</v>
      </c>
      <c r="J794">
        <v>55</v>
      </c>
      <c r="K794">
        <v>5.0999999999999996</v>
      </c>
      <c r="L794" t="s">
        <v>47</v>
      </c>
      <c r="M794" t="s">
        <v>1953</v>
      </c>
      <c r="N794" t="s">
        <v>1887</v>
      </c>
    </row>
    <row r="795" spans="1:14" x14ac:dyDescent="0.35">
      <c r="A795" t="s">
        <v>2719</v>
      </c>
      <c r="B795" t="s">
        <v>1882</v>
      </c>
      <c r="C795" t="s">
        <v>301</v>
      </c>
      <c r="D795" t="s">
        <v>1899</v>
      </c>
      <c r="E795" t="s">
        <v>1891</v>
      </c>
      <c r="F795" t="s">
        <v>1900</v>
      </c>
      <c r="G795">
        <v>127582</v>
      </c>
      <c r="H795" s="1">
        <v>45134</v>
      </c>
      <c r="I795" s="1">
        <v>45209</v>
      </c>
      <c r="J795">
        <v>75</v>
      </c>
      <c r="K795">
        <v>12</v>
      </c>
      <c r="L795" t="s">
        <v>21</v>
      </c>
      <c r="M795" t="s">
        <v>1932</v>
      </c>
      <c r="N795" t="s">
        <v>1887</v>
      </c>
    </row>
    <row r="796" spans="1:14" x14ac:dyDescent="0.35">
      <c r="A796" t="s">
        <v>2720</v>
      </c>
      <c r="B796" t="s">
        <v>1882</v>
      </c>
      <c r="C796" t="s">
        <v>485</v>
      </c>
      <c r="D796" t="s">
        <v>1904</v>
      </c>
      <c r="E796" t="s">
        <v>1905</v>
      </c>
      <c r="F796" t="s">
        <v>1946</v>
      </c>
      <c r="G796">
        <v>164094</v>
      </c>
      <c r="H796" s="1">
        <v>45424</v>
      </c>
      <c r="I796" s="1"/>
      <c r="L796" t="s">
        <v>30</v>
      </c>
      <c r="M796" t="s">
        <v>1935</v>
      </c>
      <c r="N796" t="s">
        <v>1887</v>
      </c>
    </row>
    <row r="797" spans="1:14" x14ac:dyDescent="0.35">
      <c r="A797" t="s">
        <v>2721</v>
      </c>
      <c r="B797" t="s">
        <v>1920</v>
      </c>
      <c r="C797" t="s">
        <v>247</v>
      </c>
      <c r="D797" t="s">
        <v>1899</v>
      </c>
      <c r="E797" t="s">
        <v>1905</v>
      </c>
      <c r="F797" t="s">
        <v>1892</v>
      </c>
      <c r="G797">
        <v>382498</v>
      </c>
      <c r="H797" s="1">
        <v>45078</v>
      </c>
      <c r="I797" s="1"/>
      <c r="K797">
        <v>14.4</v>
      </c>
      <c r="L797" t="s">
        <v>30</v>
      </c>
      <c r="M797" t="s">
        <v>1893</v>
      </c>
      <c r="N797" t="s">
        <v>1887</v>
      </c>
    </row>
    <row r="798" spans="1:14" x14ac:dyDescent="0.35">
      <c r="A798" t="s">
        <v>2722</v>
      </c>
      <c r="B798" t="s">
        <v>1911</v>
      </c>
      <c r="C798" t="s">
        <v>289</v>
      </c>
      <c r="D798" t="s">
        <v>1927</v>
      </c>
      <c r="E798" t="s">
        <v>1931</v>
      </c>
      <c r="F798" t="s">
        <v>1892</v>
      </c>
      <c r="G798">
        <v>109622</v>
      </c>
      <c r="H798" s="1">
        <v>44992</v>
      </c>
      <c r="I798" s="1"/>
      <c r="L798" t="s">
        <v>21</v>
      </c>
      <c r="M798" t="s">
        <v>1896</v>
      </c>
      <c r="N798" t="s">
        <v>1887</v>
      </c>
    </row>
    <row r="799" spans="1:14" x14ac:dyDescent="0.35">
      <c r="A799" t="s">
        <v>2723</v>
      </c>
      <c r="B799" t="s">
        <v>1898</v>
      </c>
      <c r="C799" t="s">
        <v>337</v>
      </c>
      <c r="D799" t="s">
        <v>1883</v>
      </c>
      <c r="E799" t="s">
        <v>1884</v>
      </c>
      <c r="F799" t="s">
        <v>1946</v>
      </c>
      <c r="G799">
        <v>286439</v>
      </c>
      <c r="H799" s="1">
        <v>45410</v>
      </c>
      <c r="I799" s="1"/>
      <c r="K799">
        <v>2.4</v>
      </c>
      <c r="L799" t="s">
        <v>30</v>
      </c>
      <c r="M799" t="s">
        <v>1935</v>
      </c>
      <c r="N799" t="s">
        <v>1887</v>
      </c>
    </row>
    <row r="800" spans="1:14" x14ac:dyDescent="0.35">
      <c r="A800" t="s">
        <v>2724</v>
      </c>
      <c r="B800" t="s">
        <v>1914</v>
      </c>
      <c r="C800" t="s">
        <v>361</v>
      </c>
      <c r="D800" t="s">
        <v>1915</v>
      </c>
      <c r="E800" t="s">
        <v>1931</v>
      </c>
      <c r="F800" t="s">
        <v>1895</v>
      </c>
      <c r="G800">
        <v>21741</v>
      </c>
      <c r="H800" s="1">
        <v>44962</v>
      </c>
      <c r="I800" s="1"/>
      <c r="K800">
        <v>13.5</v>
      </c>
      <c r="L800" t="s">
        <v>21</v>
      </c>
      <c r="M800" t="s">
        <v>1896</v>
      </c>
      <c r="N800" t="s">
        <v>1887</v>
      </c>
    </row>
    <row r="801" spans="1:14" x14ac:dyDescent="0.35">
      <c r="A801" t="s">
        <v>2725</v>
      </c>
      <c r="B801" t="s">
        <v>1937</v>
      </c>
      <c r="C801" t="s">
        <v>426</v>
      </c>
      <c r="D801" t="s">
        <v>1890</v>
      </c>
      <c r="E801" t="s">
        <v>1931</v>
      </c>
      <c r="F801" t="s">
        <v>1908</v>
      </c>
      <c r="G801">
        <v>250796</v>
      </c>
      <c r="H801" s="1">
        <v>45692</v>
      </c>
      <c r="I801" s="1"/>
      <c r="K801">
        <v>8.8000000000000007</v>
      </c>
      <c r="L801" t="s">
        <v>30</v>
      </c>
      <c r="M801" t="s">
        <v>1912</v>
      </c>
      <c r="N801" t="s">
        <v>1887</v>
      </c>
    </row>
    <row r="802" spans="1:14" x14ac:dyDescent="0.35">
      <c r="A802" t="s">
        <v>2726</v>
      </c>
      <c r="B802" t="s">
        <v>1889</v>
      </c>
      <c r="C802" t="s">
        <v>429</v>
      </c>
      <c r="D802" t="s">
        <v>1899</v>
      </c>
      <c r="E802" t="s">
        <v>1678</v>
      </c>
      <c r="F802" t="s">
        <v>1946</v>
      </c>
      <c r="G802">
        <v>307840</v>
      </c>
      <c r="H802" s="1">
        <v>45117</v>
      </c>
      <c r="I802" s="1"/>
      <c r="K802">
        <v>12.7</v>
      </c>
      <c r="L802" t="s">
        <v>30</v>
      </c>
      <c r="M802" t="s">
        <v>1932</v>
      </c>
      <c r="N802" t="s">
        <v>1887</v>
      </c>
    </row>
    <row r="803" spans="1:14" x14ac:dyDescent="0.35">
      <c r="A803" t="s">
        <v>2727</v>
      </c>
      <c r="B803" t="s">
        <v>1937</v>
      </c>
      <c r="C803" t="s">
        <v>455</v>
      </c>
      <c r="D803" t="s">
        <v>1899</v>
      </c>
      <c r="E803" t="s">
        <v>1931</v>
      </c>
      <c r="F803" t="s">
        <v>1900</v>
      </c>
      <c r="G803">
        <v>160723</v>
      </c>
      <c r="H803" s="1">
        <v>45598</v>
      </c>
      <c r="I803" s="1">
        <v>45675</v>
      </c>
      <c r="J803">
        <v>77</v>
      </c>
      <c r="K803">
        <v>14.8</v>
      </c>
      <c r="L803" t="s">
        <v>47</v>
      </c>
      <c r="M803" t="s">
        <v>1901</v>
      </c>
      <c r="N803" t="s">
        <v>1887</v>
      </c>
    </row>
    <row r="804" spans="1:14" x14ac:dyDescent="0.35">
      <c r="A804" t="s">
        <v>2728</v>
      </c>
      <c r="B804" t="s">
        <v>1930</v>
      </c>
      <c r="C804" t="s">
        <v>226</v>
      </c>
      <c r="D804" t="s">
        <v>1899</v>
      </c>
      <c r="E804" t="s">
        <v>1945</v>
      </c>
      <c r="F804" t="s">
        <v>1895</v>
      </c>
      <c r="G804">
        <v>201377</v>
      </c>
      <c r="H804" s="1">
        <v>45742</v>
      </c>
      <c r="I804" s="1"/>
      <c r="K804">
        <v>1.9</v>
      </c>
      <c r="L804" t="s">
        <v>15</v>
      </c>
      <c r="M804" t="s">
        <v>1912</v>
      </c>
      <c r="N804" t="s">
        <v>1887</v>
      </c>
    </row>
    <row r="805" spans="1:14" x14ac:dyDescent="0.35">
      <c r="A805" t="s">
        <v>2729</v>
      </c>
      <c r="B805" t="s">
        <v>1920</v>
      </c>
      <c r="C805" t="s">
        <v>200</v>
      </c>
      <c r="D805" t="s">
        <v>1890</v>
      </c>
      <c r="E805" t="s">
        <v>1905</v>
      </c>
      <c r="F805" t="s">
        <v>1946</v>
      </c>
      <c r="G805">
        <v>365574</v>
      </c>
      <c r="H805" s="1">
        <v>45255</v>
      </c>
      <c r="I805" s="1"/>
      <c r="L805" t="s">
        <v>47</v>
      </c>
      <c r="M805" t="s">
        <v>1886</v>
      </c>
      <c r="N805" t="s">
        <v>1887</v>
      </c>
    </row>
    <row r="806" spans="1:14" x14ac:dyDescent="0.35">
      <c r="A806" t="s">
        <v>2730</v>
      </c>
      <c r="B806" t="s">
        <v>1937</v>
      </c>
      <c r="C806" t="s">
        <v>469</v>
      </c>
      <c r="D806" t="s">
        <v>1927</v>
      </c>
      <c r="E806" t="s">
        <v>1587</v>
      </c>
      <c r="F806" t="s">
        <v>1885</v>
      </c>
      <c r="G806">
        <v>252076</v>
      </c>
      <c r="H806" s="1">
        <v>45075</v>
      </c>
      <c r="I806" s="1">
        <v>45114</v>
      </c>
      <c r="J806">
        <v>39</v>
      </c>
      <c r="K806">
        <v>6.6</v>
      </c>
      <c r="L806" t="s">
        <v>47</v>
      </c>
      <c r="M806" t="s">
        <v>1893</v>
      </c>
      <c r="N806" t="s">
        <v>1887</v>
      </c>
    </row>
    <row r="807" spans="1:14" x14ac:dyDescent="0.35">
      <c r="A807" t="s">
        <v>2731</v>
      </c>
      <c r="B807" t="s">
        <v>1937</v>
      </c>
      <c r="C807" t="s">
        <v>344</v>
      </c>
      <c r="D807" t="s">
        <v>1927</v>
      </c>
      <c r="E807" t="s">
        <v>1905</v>
      </c>
      <c r="F807" t="s">
        <v>1946</v>
      </c>
      <c r="G807">
        <v>205779</v>
      </c>
      <c r="H807" s="1">
        <v>45188</v>
      </c>
      <c r="I807" s="1"/>
      <c r="L807" t="s">
        <v>21</v>
      </c>
      <c r="M807" t="s">
        <v>1932</v>
      </c>
      <c r="N807" t="s">
        <v>1887</v>
      </c>
    </row>
    <row r="808" spans="1:14" x14ac:dyDescent="0.35">
      <c r="A808" t="s">
        <v>2732</v>
      </c>
      <c r="B808" t="s">
        <v>1924</v>
      </c>
      <c r="C808" t="s">
        <v>381</v>
      </c>
      <c r="D808" t="s">
        <v>1899</v>
      </c>
      <c r="E808" t="s">
        <v>1600</v>
      </c>
      <c r="F808" t="s">
        <v>1946</v>
      </c>
      <c r="G808">
        <v>993083</v>
      </c>
      <c r="H808" s="1">
        <v>45690</v>
      </c>
      <c r="I808" s="1"/>
      <c r="K808">
        <v>13.1</v>
      </c>
      <c r="L808" t="s">
        <v>30</v>
      </c>
      <c r="M808" t="s">
        <v>1912</v>
      </c>
      <c r="N808" t="s">
        <v>1966</v>
      </c>
    </row>
    <row r="809" spans="1:14" x14ac:dyDescent="0.35">
      <c r="A809" t="s">
        <v>2733</v>
      </c>
      <c r="B809" t="s">
        <v>1926</v>
      </c>
      <c r="C809" t="s">
        <v>34</v>
      </c>
      <c r="D809" t="s">
        <v>1904</v>
      </c>
      <c r="E809" t="s">
        <v>1587</v>
      </c>
      <c r="F809" t="s">
        <v>1908</v>
      </c>
      <c r="G809">
        <v>142979</v>
      </c>
      <c r="H809" s="1">
        <v>45378</v>
      </c>
      <c r="I809" s="1"/>
      <c r="K809">
        <v>1</v>
      </c>
      <c r="L809" t="s">
        <v>30</v>
      </c>
      <c r="M809" t="s">
        <v>1916</v>
      </c>
      <c r="N809" t="s">
        <v>1887</v>
      </c>
    </row>
    <row r="810" spans="1:14" x14ac:dyDescent="0.35">
      <c r="A810" t="s">
        <v>2734</v>
      </c>
      <c r="B810" t="s">
        <v>1930</v>
      </c>
      <c r="C810" t="s">
        <v>498</v>
      </c>
      <c r="D810" t="s">
        <v>1904</v>
      </c>
      <c r="E810" t="s">
        <v>1884</v>
      </c>
      <c r="F810" t="s">
        <v>1908</v>
      </c>
      <c r="G810">
        <v>78693</v>
      </c>
      <c r="H810" s="1">
        <v>45352</v>
      </c>
      <c r="I810" s="1"/>
      <c r="K810">
        <v>10.7</v>
      </c>
      <c r="L810" t="s">
        <v>47</v>
      </c>
      <c r="M810" t="s">
        <v>1916</v>
      </c>
      <c r="N810" t="s">
        <v>1887</v>
      </c>
    </row>
    <row r="811" spans="1:14" x14ac:dyDescent="0.35">
      <c r="A811" t="s">
        <v>2735</v>
      </c>
      <c r="B811" t="s">
        <v>1924</v>
      </c>
      <c r="C811" t="s">
        <v>194</v>
      </c>
      <c r="D811" t="s">
        <v>1927</v>
      </c>
      <c r="E811" t="s">
        <v>1931</v>
      </c>
      <c r="F811" t="s">
        <v>1946</v>
      </c>
      <c r="G811">
        <v>304564</v>
      </c>
      <c r="H811" s="1">
        <v>45178</v>
      </c>
      <c r="I811" s="1"/>
      <c r="K811">
        <v>4.9000000000000004</v>
      </c>
      <c r="L811" t="s">
        <v>21</v>
      </c>
      <c r="M811" t="s">
        <v>1932</v>
      </c>
      <c r="N811" t="s">
        <v>1887</v>
      </c>
    </row>
    <row r="812" spans="1:14" x14ac:dyDescent="0.35">
      <c r="A812" t="s">
        <v>2736</v>
      </c>
      <c r="B812" t="s">
        <v>1930</v>
      </c>
      <c r="C812" t="s">
        <v>116</v>
      </c>
      <c r="D812" t="s">
        <v>1927</v>
      </c>
      <c r="E812" t="s">
        <v>1678</v>
      </c>
      <c r="F812" t="s">
        <v>1900</v>
      </c>
      <c r="G812">
        <v>336343</v>
      </c>
      <c r="H812" s="1">
        <v>45146</v>
      </c>
      <c r="I812" s="1">
        <v>45200</v>
      </c>
      <c r="J812">
        <v>54</v>
      </c>
      <c r="K812">
        <v>21.6</v>
      </c>
      <c r="L812" t="s">
        <v>15</v>
      </c>
      <c r="M812" t="s">
        <v>1932</v>
      </c>
      <c r="N812" t="s">
        <v>1887</v>
      </c>
    </row>
    <row r="813" spans="1:14" x14ac:dyDescent="0.35">
      <c r="A813" t="s">
        <v>2737</v>
      </c>
      <c r="B813" t="s">
        <v>1934</v>
      </c>
      <c r="C813" t="s">
        <v>421</v>
      </c>
      <c r="D813" t="s">
        <v>1890</v>
      </c>
      <c r="E813" t="s">
        <v>1905</v>
      </c>
      <c r="F813" t="s">
        <v>1908</v>
      </c>
      <c r="G813">
        <v>494444</v>
      </c>
      <c r="H813" s="1">
        <v>45652</v>
      </c>
      <c r="I813" s="1"/>
      <c r="K813">
        <v>11.8</v>
      </c>
      <c r="L813" t="s">
        <v>21</v>
      </c>
      <c r="M813" t="s">
        <v>1901</v>
      </c>
      <c r="N813" t="s">
        <v>1887</v>
      </c>
    </row>
    <row r="814" spans="1:14" x14ac:dyDescent="0.35">
      <c r="A814" t="s">
        <v>2738</v>
      </c>
      <c r="B814" t="s">
        <v>1911</v>
      </c>
      <c r="C814" t="s">
        <v>424</v>
      </c>
      <c r="D814" t="s">
        <v>1890</v>
      </c>
      <c r="E814" t="s">
        <v>1891</v>
      </c>
      <c r="F814" t="s">
        <v>1895</v>
      </c>
      <c r="G814">
        <v>174537</v>
      </c>
      <c r="H814" s="1">
        <v>45736</v>
      </c>
      <c r="I814" s="1"/>
      <c r="K814">
        <v>7.1</v>
      </c>
      <c r="L814" t="s">
        <v>21</v>
      </c>
      <c r="M814" t="s">
        <v>1912</v>
      </c>
      <c r="N814" t="s">
        <v>1887</v>
      </c>
    </row>
    <row r="815" spans="1:14" x14ac:dyDescent="0.35">
      <c r="A815" t="s">
        <v>2739</v>
      </c>
      <c r="B815" t="s">
        <v>1937</v>
      </c>
      <c r="C815" t="s">
        <v>319</v>
      </c>
      <c r="D815" t="s">
        <v>1883</v>
      </c>
      <c r="E815" t="s">
        <v>1905</v>
      </c>
      <c r="F815" t="s">
        <v>1895</v>
      </c>
      <c r="G815">
        <v>472256</v>
      </c>
      <c r="H815" s="1">
        <v>45637</v>
      </c>
      <c r="I815" s="1"/>
      <c r="L815" t="s">
        <v>15</v>
      </c>
      <c r="M815" t="s">
        <v>1901</v>
      </c>
      <c r="N815" t="s">
        <v>1887</v>
      </c>
    </row>
    <row r="816" spans="1:14" x14ac:dyDescent="0.35">
      <c r="A816" t="s">
        <v>2740</v>
      </c>
      <c r="B816" t="s">
        <v>1937</v>
      </c>
      <c r="C816" t="s">
        <v>473</v>
      </c>
      <c r="D816" t="s">
        <v>1915</v>
      </c>
      <c r="E816" t="s">
        <v>1600</v>
      </c>
      <c r="F816" t="s">
        <v>1900</v>
      </c>
      <c r="G816">
        <v>135885</v>
      </c>
      <c r="H816" s="1">
        <v>45394</v>
      </c>
      <c r="I816" s="1">
        <v>45423</v>
      </c>
      <c r="J816">
        <v>29</v>
      </c>
      <c r="K816">
        <v>20.100000000000001</v>
      </c>
      <c r="L816" t="s">
        <v>30</v>
      </c>
      <c r="M816" t="s">
        <v>1935</v>
      </c>
      <c r="N816" t="s">
        <v>1887</v>
      </c>
    </row>
    <row r="817" spans="1:14" x14ac:dyDescent="0.35">
      <c r="A817" t="s">
        <v>2741</v>
      </c>
      <c r="B817" t="s">
        <v>1944</v>
      </c>
      <c r="C817" t="s">
        <v>310</v>
      </c>
      <c r="D817" t="s">
        <v>1915</v>
      </c>
      <c r="E817" t="s">
        <v>1905</v>
      </c>
      <c r="F817" t="s">
        <v>1908</v>
      </c>
      <c r="G817">
        <v>471492</v>
      </c>
      <c r="H817" s="1">
        <v>45664</v>
      </c>
      <c r="I817" s="1"/>
      <c r="L817" t="s">
        <v>47</v>
      </c>
      <c r="M817" t="s">
        <v>1912</v>
      </c>
      <c r="N817" t="s">
        <v>1887</v>
      </c>
    </row>
    <row r="818" spans="1:14" x14ac:dyDescent="0.35">
      <c r="A818" t="s">
        <v>2742</v>
      </c>
      <c r="B818" t="s">
        <v>1930</v>
      </c>
      <c r="C818" t="s">
        <v>71</v>
      </c>
      <c r="D818" t="s">
        <v>1927</v>
      </c>
      <c r="E818" t="s">
        <v>1918</v>
      </c>
      <c r="F818" t="s">
        <v>1946</v>
      </c>
      <c r="G818">
        <v>220822</v>
      </c>
      <c r="H818" s="1">
        <v>45096</v>
      </c>
      <c r="I818" s="1"/>
      <c r="K818">
        <v>9</v>
      </c>
      <c r="L818" t="s">
        <v>15</v>
      </c>
      <c r="M818" t="s">
        <v>1893</v>
      </c>
      <c r="N818" t="s">
        <v>1887</v>
      </c>
    </row>
    <row r="819" spans="1:14" x14ac:dyDescent="0.35">
      <c r="A819" t="s">
        <v>2743</v>
      </c>
      <c r="B819" t="s">
        <v>1963</v>
      </c>
      <c r="C819" t="s">
        <v>188</v>
      </c>
      <c r="D819" t="s">
        <v>1899</v>
      </c>
      <c r="E819" t="s">
        <v>1905</v>
      </c>
      <c r="F819" t="s">
        <v>1946</v>
      </c>
      <c r="G819">
        <v>423644</v>
      </c>
      <c r="H819" s="1">
        <v>45050</v>
      </c>
      <c r="I819" s="1"/>
      <c r="K819">
        <v>8.4</v>
      </c>
      <c r="L819" t="s">
        <v>21</v>
      </c>
      <c r="M819" t="s">
        <v>1893</v>
      </c>
      <c r="N819" t="s">
        <v>1887</v>
      </c>
    </row>
    <row r="820" spans="1:14" x14ac:dyDescent="0.35">
      <c r="A820" t="s">
        <v>2744</v>
      </c>
      <c r="B820" t="s">
        <v>1898</v>
      </c>
      <c r="C820" t="s">
        <v>32</v>
      </c>
      <c r="D820" t="s">
        <v>1927</v>
      </c>
      <c r="E820" t="s">
        <v>1931</v>
      </c>
      <c r="F820" t="s">
        <v>1908</v>
      </c>
      <c r="G820">
        <v>269518</v>
      </c>
      <c r="H820" s="1">
        <v>45562</v>
      </c>
      <c r="I820" s="1"/>
      <c r="K820">
        <v>8.1</v>
      </c>
      <c r="L820" t="s">
        <v>15</v>
      </c>
      <c r="M820" t="s">
        <v>1953</v>
      </c>
      <c r="N820" t="s">
        <v>1887</v>
      </c>
    </row>
    <row r="821" spans="1:14" x14ac:dyDescent="0.35">
      <c r="A821" t="s">
        <v>2745</v>
      </c>
      <c r="B821" t="s">
        <v>1926</v>
      </c>
      <c r="C821" t="s">
        <v>337</v>
      </c>
      <c r="D821" t="s">
        <v>1899</v>
      </c>
      <c r="E821" t="s">
        <v>1905</v>
      </c>
      <c r="F821" t="s">
        <v>1900</v>
      </c>
      <c r="G821">
        <v>447090</v>
      </c>
      <c r="H821" s="1">
        <v>45707</v>
      </c>
      <c r="I821" s="1">
        <v>45757</v>
      </c>
      <c r="J821">
        <v>50</v>
      </c>
      <c r="K821">
        <v>11.5</v>
      </c>
      <c r="L821" t="s">
        <v>30</v>
      </c>
      <c r="M821" t="s">
        <v>1912</v>
      </c>
      <c r="N821" t="s">
        <v>1887</v>
      </c>
    </row>
    <row r="822" spans="1:14" x14ac:dyDescent="0.35">
      <c r="A822" t="s">
        <v>2746</v>
      </c>
      <c r="B822" t="s">
        <v>1924</v>
      </c>
      <c r="C822" t="s">
        <v>414</v>
      </c>
      <c r="D822" t="s">
        <v>1890</v>
      </c>
      <c r="E822" t="s">
        <v>1600</v>
      </c>
      <c r="F822" t="s">
        <v>1885</v>
      </c>
      <c r="G822">
        <v>268608</v>
      </c>
      <c r="H822" s="1">
        <v>45016</v>
      </c>
      <c r="I822" s="1">
        <v>45071</v>
      </c>
      <c r="J822">
        <v>55</v>
      </c>
      <c r="K822">
        <v>1.8</v>
      </c>
      <c r="L822" t="s">
        <v>21</v>
      </c>
      <c r="M822" t="s">
        <v>1896</v>
      </c>
      <c r="N822" t="s">
        <v>1887</v>
      </c>
    </row>
    <row r="823" spans="1:14" x14ac:dyDescent="0.35">
      <c r="A823" t="s">
        <v>2747</v>
      </c>
      <c r="B823" t="s">
        <v>1920</v>
      </c>
      <c r="C823" t="s">
        <v>45</v>
      </c>
      <c r="D823" t="s">
        <v>1883</v>
      </c>
      <c r="E823" t="s">
        <v>1891</v>
      </c>
      <c r="F823" t="s">
        <v>1885</v>
      </c>
      <c r="G823">
        <v>98716</v>
      </c>
      <c r="H823" s="1">
        <v>45527</v>
      </c>
      <c r="I823" s="1">
        <v>45635</v>
      </c>
      <c r="J823">
        <v>108</v>
      </c>
      <c r="K823">
        <v>14.1</v>
      </c>
      <c r="L823" t="s">
        <v>47</v>
      </c>
      <c r="M823" t="s">
        <v>1953</v>
      </c>
      <c r="N823" t="s">
        <v>1887</v>
      </c>
    </row>
    <row r="824" spans="1:14" x14ac:dyDescent="0.35">
      <c r="A824" t="s">
        <v>2748</v>
      </c>
      <c r="B824" t="s">
        <v>1889</v>
      </c>
      <c r="C824" t="s">
        <v>384</v>
      </c>
      <c r="D824" t="s">
        <v>1883</v>
      </c>
      <c r="E824" t="s">
        <v>1600</v>
      </c>
      <c r="F824" t="s">
        <v>1946</v>
      </c>
      <c r="G824">
        <v>156291</v>
      </c>
      <c r="H824" s="1">
        <v>45711</v>
      </c>
      <c r="I824" s="1"/>
      <c r="K824">
        <v>1.7</v>
      </c>
      <c r="L824" t="s">
        <v>47</v>
      </c>
      <c r="M824" t="s">
        <v>1912</v>
      </c>
      <c r="N824" t="s">
        <v>1887</v>
      </c>
    </row>
    <row r="825" spans="1:14" x14ac:dyDescent="0.35">
      <c r="A825" t="s">
        <v>2749</v>
      </c>
      <c r="B825" t="s">
        <v>1920</v>
      </c>
      <c r="C825" t="s">
        <v>387</v>
      </c>
      <c r="D825" t="s">
        <v>1915</v>
      </c>
      <c r="E825" t="s">
        <v>1678</v>
      </c>
      <c r="F825" t="s">
        <v>1895</v>
      </c>
      <c r="G825">
        <v>315275</v>
      </c>
      <c r="H825" s="1">
        <v>44971</v>
      </c>
      <c r="I825" s="1"/>
      <c r="K825">
        <v>8.5</v>
      </c>
      <c r="L825" t="s">
        <v>15</v>
      </c>
      <c r="M825" t="s">
        <v>1896</v>
      </c>
      <c r="N825" t="s">
        <v>1887</v>
      </c>
    </row>
    <row r="826" spans="1:14" x14ac:dyDescent="0.35">
      <c r="A826" t="s">
        <v>2750</v>
      </c>
      <c r="B826" t="s">
        <v>1889</v>
      </c>
      <c r="C826" t="s">
        <v>135</v>
      </c>
      <c r="D826" t="s">
        <v>1904</v>
      </c>
      <c r="E826" t="s">
        <v>1678</v>
      </c>
      <c r="F826" t="s">
        <v>1946</v>
      </c>
      <c r="G826">
        <v>222128</v>
      </c>
      <c r="H826" s="1">
        <v>45646</v>
      </c>
      <c r="I826" s="1"/>
      <c r="K826">
        <v>4.3</v>
      </c>
      <c r="L826" t="s">
        <v>30</v>
      </c>
      <c r="M826" t="s">
        <v>1901</v>
      </c>
      <c r="N826" t="s">
        <v>1887</v>
      </c>
    </row>
    <row r="827" spans="1:14" x14ac:dyDescent="0.35">
      <c r="A827" t="s">
        <v>2751</v>
      </c>
      <c r="B827" t="s">
        <v>1934</v>
      </c>
      <c r="C827" t="s">
        <v>106</v>
      </c>
      <c r="D827" t="s">
        <v>1904</v>
      </c>
      <c r="E827" t="s">
        <v>1905</v>
      </c>
      <c r="F827" t="s">
        <v>1892</v>
      </c>
      <c r="G827">
        <v>305623</v>
      </c>
      <c r="H827" s="1">
        <v>45646</v>
      </c>
      <c r="I827" s="1"/>
      <c r="K827">
        <v>12.5</v>
      </c>
      <c r="L827" t="s">
        <v>21</v>
      </c>
      <c r="M827" t="s">
        <v>1901</v>
      </c>
      <c r="N827" t="s">
        <v>1887</v>
      </c>
    </row>
    <row r="828" spans="1:14" x14ac:dyDescent="0.35">
      <c r="A828" t="s">
        <v>2752</v>
      </c>
      <c r="B828" t="s">
        <v>1934</v>
      </c>
      <c r="C828" t="s">
        <v>471</v>
      </c>
      <c r="D828" t="s">
        <v>1904</v>
      </c>
      <c r="E828" t="s">
        <v>1918</v>
      </c>
      <c r="F828" t="s">
        <v>1892</v>
      </c>
      <c r="G828">
        <v>203684</v>
      </c>
      <c r="H828" s="1">
        <v>45104</v>
      </c>
      <c r="I828" s="1"/>
      <c r="K828">
        <v>0.7</v>
      </c>
      <c r="L828" t="s">
        <v>47</v>
      </c>
      <c r="M828" t="s">
        <v>1893</v>
      </c>
      <c r="N828" t="s">
        <v>1887</v>
      </c>
    </row>
    <row r="829" spans="1:14" x14ac:dyDescent="0.35">
      <c r="A829" t="s">
        <v>2753</v>
      </c>
      <c r="B829" t="s">
        <v>1934</v>
      </c>
      <c r="C829" t="s">
        <v>360</v>
      </c>
      <c r="D829" t="s">
        <v>1890</v>
      </c>
      <c r="E829" t="s">
        <v>1905</v>
      </c>
      <c r="F829" t="s">
        <v>1900</v>
      </c>
      <c r="G829">
        <v>10714</v>
      </c>
      <c r="H829" s="1">
        <v>44999</v>
      </c>
      <c r="I829" s="1">
        <v>45112</v>
      </c>
      <c r="J829">
        <v>113</v>
      </c>
      <c r="K829">
        <v>8.3000000000000007</v>
      </c>
      <c r="L829" t="s">
        <v>47</v>
      </c>
      <c r="M829" t="s">
        <v>1896</v>
      </c>
      <c r="N829" t="s">
        <v>1887</v>
      </c>
    </row>
    <row r="830" spans="1:14" x14ac:dyDescent="0.35">
      <c r="A830" t="s">
        <v>2754</v>
      </c>
      <c r="B830" t="s">
        <v>1930</v>
      </c>
      <c r="C830" t="s">
        <v>499</v>
      </c>
      <c r="D830" t="s">
        <v>1904</v>
      </c>
      <c r="E830" t="s">
        <v>1905</v>
      </c>
      <c r="F830" t="s">
        <v>1908</v>
      </c>
      <c r="G830">
        <v>229215</v>
      </c>
      <c r="H830" s="1">
        <v>45262</v>
      </c>
      <c r="I830" s="1"/>
      <c r="K830">
        <v>8.9</v>
      </c>
      <c r="L830" t="s">
        <v>21</v>
      </c>
      <c r="M830" t="s">
        <v>1886</v>
      </c>
      <c r="N830" t="s">
        <v>1887</v>
      </c>
    </row>
    <row r="831" spans="1:14" x14ac:dyDescent="0.35">
      <c r="A831" t="s">
        <v>2755</v>
      </c>
      <c r="B831" t="s">
        <v>1944</v>
      </c>
      <c r="C831" t="s">
        <v>74</v>
      </c>
      <c r="D831" t="s">
        <v>1890</v>
      </c>
      <c r="E831" t="s">
        <v>1600</v>
      </c>
      <c r="F831" t="s">
        <v>1885</v>
      </c>
      <c r="G831">
        <v>34379</v>
      </c>
      <c r="H831" s="1">
        <v>45707</v>
      </c>
      <c r="I831" s="1">
        <v>45875</v>
      </c>
      <c r="J831">
        <v>168</v>
      </c>
      <c r="L831" t="s">
        <v>21</v>
      </c>
      <c r="M831" t="s">
        <v>1912</v>
      </c>
      <c r="N831" t="s">
        <v>1887</v>
      </c>
    </row>
    <row r="832" spans="1:14" x14ac:dyDescent="0.35">
      <c r="A832" t="s">
        <v>2756</v>
      </c>
      <c r="B832" t="s">
        <v>1934</v>
      </c>
      <c r="C832" t="s">
        <v>238</v>
      </c>
      <c r="D832" t="s">
        <v>1890</v>
      </c>
      <c r="E832" t="s">
        <v>1678</v>
      </c>
      <c r="F832" t="s">
        <v>1892</v>
      </c>
      <c r="G832">
        <v>229664</v>
      </c>
      <c r="H832" s="1">
        <v>45440</v>
      </c>
      <c r="I832" s="1"/>
      <c r="K832">
        <v>8.1999999999999993</v>
      </c>
      <c r="L832" t="s">
        <v>47</v>
      </c>
      <c r="M832" t="s">
        <v>1935</v>
      </c>
      <c r="N832" t="s">
        <v>1887</v>
      </c>
    </row>
    <row r="833" spans="1:14" x14ac:dyDescent="0.35">
      <c r="A833" t="s">
        <v>2757</v>
      </c>
      <c r="B833" t="s">
        <v>1963</v>
      </c>
      <c r="C833" t="s">
        <v>495</v>
      </c>
      <c r="D833" t="s">
        <v>1904</v>
      </c>
      <c r="E833" t="s">
        <v>1891</v>
      </c>
      <c r="F833" t="s">
        <v>1900</v>
      </c>
      <c r="G833">
        <v>140402</v>
      </c>
      <c r="H833" s="1">
        <v>45020</v>
      </c>
      <c r="I833" s="1">
        <v>45193</v>
      </c>
      <c r="J833">
        <v>173</v>
      </c>
      <c r="K833">
        <v>24.2</v>
      </c>
      <c r="L833" t="s">
        <v>47</v>
      </c>
      <c r="M833" t="s">
        <v>1893</v>
      </c>
      <c r="N833" t="s">
        <v>1887</v>
      </c>
    </row>
    <row r="834" spans="1:14" x14ac:dyDescent="0.35">
      <c r="A834" t="s">
        <v>2758</v>
      </c>
      <c r="B834" t="s">
        <v>1944</v>
      </c>
      <c r="C834" t="s">
        <v>341</v>
      </c>
      <c r="D834" t="s">
        <v>1927</v>
      </c>
      <c r="E834" t="s">
        <v>1587</v>
      </c>
      <c r="F834" t="s">
        <v>1946</v>
      </c>
      <c r="G834">
        <v>420264</v>
      </c>
      <c r="H834" s="1">
        <v>45713</v>
      </c>
      <c r="I834" s="1"/>
      <c r="L834" t="s">
        <v>47</v>
      </c>
      <c r="M834" t="s">
        <v>1912</v>
      </c>
      <c r="N834" t="s">
        <v>1887</v>
      </c>
    </row>
    <row r="835" spans="1:14" x14ac:dyDescent="0.35">
      <c r="A835" t="s">
        <v>2759</v>
      </c>
      <c r="B835" t="s">
        <v>1914</v>
      </c>
      <c r="C835" t="s">
        <v>190</v>
      </c>
      <c r="D835" t="s">
        <v>1904</v>
      </c>
      <c r="E835" t="s">
        <v>1905</v>
      </c>
      <c r="F835" t="s">
        <v>1908</v>
      </c>
      <c r="G835">
        <v>205813</v>
      </c>
      <c r="H835" s="1">
        <v>45664</v>
      </c>
      <c r="I835" s="1"/>
      <c r="K835">
        <v>2.9</v>
      </c>
      <c r="L835" t="s">
        <v>21</v>
      </c>
      <c r="M835" t="s">
        <v>1912</v>
      </c>
      <c r="N835" t="s">
        <v>1887</v>
      </c>
    </row>
    <row r="836" spans="1:14" x14ac:dyDescent="0.35">
      <c r="A836" t="s">
        <v>2760</v>
      </c>
      <c r="B836" t="s">
        <v>1924</v>
      </c>
      <c r="C836" t="s">
        <v>285</v>
      </c>
      <c r="D836" t="s">
        <v>1904</v>
      </c>
      <c r="E836" t="s">
        <v>1918</v>
      </c>
      <c r="F836" t="s">
        <v>1892</v>
      </c>
      <c r="G836">
        <v>213842</v>
      </c>
      <c r="H836" s="1">
        <v>45405</v>
      </c>
      <c r="I836" s="1"/>
      <c r="L836" t="s">
        <v>47</v>
      </c>
      <c r="M836" t="s">
        <v>1935</v>
      </c>
      <c r="N836" t="s">
        <v>1887</v>
      </c>
    </row>
    <row r="837" spans="1:14" x14ac:dyDescent="0.35">
      <c r="A837" t="s">
        <v>2761</v>
      </c>
      <c r="B837" t="s">
        <v>1922</v>
      </c>
      <c r="C837" t="s">
        <v>408</v>
      </c>
      <c r="D837" t="s">
        <v>1899</v>
      </c>
      <c r="E837" t="s">
        <v>1600</v>
      </c>
      <c r="F837" t="s">
        <v>1895</v>
      </c>
      <c r="G837">
        <v>370430</v>
      </c>
      <c r="H837" s="1">
        <v>45262</v>
      </c>
      <c r="I837" s="1"/>
      <c r="L837" t="s">
        <v>30</v>
      </c>
      <c r="M837" t="s">
        <v>1886</v>
      </c>
      <c r="N837" t="s">
        <v>1887</v>
      </c>
    </row>
    <row r="838" spans="1:14" x14ac:dyDescent="0.35">
      <c r="A838" t="s">
        <v>2762</v>
      </c>
      <c r="B838" t="s">
        <v>1903</v>
      </c>
      <c r="C838" t="s">
        <v>426</v>
      </c>
      <c r="D838" t="s">
        <v>1904</v>
      </c>
      <c r="E838" t="s">
        <v>1600</v>
      </c>
      <c r="F838" t="s">
        <v>1892</v>
      </c>
      <c r="G838">
        <v>223722</v>
      </c>
      <c r="H838" s="1">
        <v>45440</v>
      </c>
      <c r="I838" s="1"/>
      <c r="L838" t="s">
        <v>15</v>
      </c>
      <c r="M838" t="s">
        <v>1935</v>
      </c>
      <c r="N838" t="s">
        <v>1887</v>
      </c>
    </row>
    <row r="839" spans="1:14" x14ac:dyDescent="0.35">
      <c r="A839" t="s">
        <v>2763</v>
      </c>
      <c r="B839" t="s">
        <v>1924</v>
      </c>
      <c r="C839" t="s">
        <v>389</v>
      </c>
      <c r="D839" t="s">
        <v>1915</v>
      </c>
      <c r="E839" t="s">
        <v>1891</v>
      </c>
      <c r="F839" t="s">
        <v>1892</v>
      </c>
      <c r="G839">
        <v>37362</v>
      </c>
      <c r="H839" s="1">
        <v>45377</v>
      </c>
      <c r="I839" s="1"/>
      <c r="K839">
        <v>6.4</v>
      </c>
      <c r="L839" t="s">
        <v>21</v>
      </c>
      <c r="M839" t="s">
        <v>1916</v>
      </c>
      <c r="N839" t="s">
        <v>1887</v>
      </c>
    </row>
    <row r="840" spans="1:14" x14ac:dyDescent="0.35">
      <c r="A840" t="s">
        <v>2764</v>
      </c>
      <c r="B840" t="s">
        <v>1898</v>
      </c>
      <c r="C840" t="s">
        <v>313</v>
      </c>
      <c r="D840" t="s">
        <v>1927</v>
      </c>
      <c r="E840" t="s">
        <v>1931</v>
      </c>
      <c r="F840" t="s">
        <v>1908</v>
      </c>
      <c r="G840">
        <v>238493</v>
      </c>
      <c r="H840" s="1">
        <v>45257</v>
      </c>
      <c r="I840" s="1"/>
      <c r="L840" t="s">
        <v>15</v>
      </c>
      <c r="M840" t="s">
        <v>1886</v>
      </c>
      <c r="N840" t="s">
        <v>1887</v>
      </c>
    </row>
    <row r="841" spans="1:14" x14ac:dyDescent="0.35">
      <c r="A841" t="s">
        <v>2765</v>
      </c>
      <c r="B841" t="s">
        <v>1889</v>
      </c>
      <c r="C841" t="s">
        <v>378</v>
      </c>
      <c r="D841" t="s">
        <v>1927</v>
      </c>
      <c r="E841" t="s">
        <v>1905</v>
      </c>
      <c r="F841" t="s">
        <v>1900</v>
      </c>
      <c r="G841">
        <v>246422</v>
      </c>
      <c r="H841" s="1">
        <v>45308</v>
      </c>
      <c r="I841" s="1">
        <v>45434</v>
      </c>
      <c r="J841">
        <v>126</v>
      </c>
      <c r="K841">
        <v>3</v>
      </c>
      <c r="L841" t="s">
        <v>21</v>
      </c>
      <c r="M841" t="s">
        <v>1916</v>
      </c>
      <c r="N841" t="s">
        <v>1887</v>
      </c>
    </row>
    <row r="842" spans="1:14" x14ac:dyDescent="0.35">
      <c r="A842" t="s">
        <v>2766</v>
      </c>
      <c r="B842" t="s">
        <v>1911</v>
      </c>
      <c r="C842" t="s">
        <v>300</v>
      </c>
      <c r="D842" t="s">
        <v>1915</v>
      </c>
      <c r="E842" t="s">
        <v>1931</v>
      </c>
      <c r="F842" t="s">
        <v>1908</v>
      </c>
      <c r="G842">
        <v>139534</v>
      </c>
      <c r="H842" s="1">
        <v>45046</v>
      </c>
      <c r="I842" s="1"/>
      <c r="L842" t="s">
        <v>21</v>
      </c>
      <c r="M842" t="s">
        <v>1893</v>
      </c>
      <c r="N842" t="s">
        <v>1887</v>
      </c>
    </row>
    <row r="843" spans="1:14" x14ac:dyDescent="0.35">
      <c r="A843" t="s">
        <v>2767</v>
      </c>
      <c r="B843" t="s">
        <v>1911</v>
      </c>
      <c r="C843" t="s">
        <v>60</v>
      </c>
      <c r="D843" t="s">
        <v>1904</v>
      </c>
      <c r="E843" t="s">
        <v>1587</v>
      </c>
      <c r="F843" t="s">
        <v>1895</v>
      </c>
      <c r="G843">
        <v>458892</v>
      </c>
      <c r="H843" s="1">
        <v>44993</v>
      </c>
      <c r="I843" s="1"/>
      <c r="K843">
        <v>4.8</v>
      </c>
      <c r="L843" t="s">
        <v>47</v>
      </c>
      <c r="M843" t="s">
        <v>1896</v>
      </c>
      <c r="N843" t="s">
        <v>1887</v>
      </c>
    </row>
    <row r="844" spans="1:14" x14ac:dyDescent="0.35">
      <c r="A844" t="s">
        <v>2768</v>
      </c>
      <c r="B844" t="s">
        <v>1924</v>
      </c>
      <c r="C844" t="s">
        <v>152</v>
      </c>
      <c r="D844" t="s">
        <v>1899</v>
      </c>
      <c r="E844" t="s">
        <v>1678</v>
      </c>
      <c r="F844" t="s">
        <v>1895</v>
      </c>
      <c r="G844">
        <v>111386</v>
      </c>
      <c r="H844" s="1">
        <v>45546</v>
      </c>
      <c r="I844" s="1"/>
      <c r="K844">
        <v>13</v>
      </c>
      <c r="L844" t="s">
        <v>21</v>
      </c>
      <c r="M844" t="s">
        <v>1953</v>
      </c>
      <c r="N844" t="s">
        <v>1887</v>
      </c>
    </row>
    <row r="845" spans="1:14" x14ac:dyDescent="0.35">
      <c r="A845" t="s">
        <v>2769</v>
      </c>
      <c r="B845" t="s">
        <v>1911</v>
      </c>
      <c r="C845" t="s">
        <v>425</v>
      </c>
      <c r="D845" t="s">
        <v>1899</v>
      </c>
      <c r="E845" t="s">
        <v>1918</v>
      </c>
      <c r="F845" t="s">
        <v>1946</v>
      </c>
      <c r="G845">
        <v>419685</v>
      </c>
      <c r="H845" s="1">
        <v>45735</v>
      </c>
      <c r="I845" s="1"/>
      <c r="L845" t="s">
        <v>47</v>
      </c>
      <c r="M845" t="s">
        <v>1912</v>
      </c>
      <c r="N845" t="s">
        <v>1887</v>
      </c>
    </row>
    <row r="846" spans="1:14" x14ac:dyDescent="0.35">
      <c r="A846" t="s">
        <v>2770</v>
      </c>
      <c r="B846" t="s">
        <v>1903</v>
      </c>
      <c r="C846" t="s">
        <v>319</v>
      </c>
      <c r="D846" t="s">
        <v>1927</v>
      </c>
      <c r="E846" t="s">
        <v>1600</v>
      </c>
      <c r="F846" t="s">
        <v>1895</v>
      </c>
      <c r="G846">
        <v>273956</v>
      </c>
      <c r="H846" s="1">
        <v>45082</v>
      </c>
      <c r="I846" s="1"/>
      <c r="K846">
        <v>10.3</v>
      </c>
      <c r="L846" t="s">
        <v>30</v>
      </c>
      <c r="M846" t="s">
        <v>1893</v>
      </c>
      <c r="N846" t="s">
        <v>1887</v>
      </c>
    </row>
    <row r="847" spans="1:14" x14ac:dyDescent="0.35">
      <c r="A847" t="s">
        <v>2771</v>
      </c>
      <c r="B847" t="s">
        <v>1920</v>
      </c>
      <c r="C847" t="s">
        <v>92</v>
      </c>
      <c r="D847" t="s">
        <v>1927</v>
      </c>
      <c r="E847" t="s">
        <v>1905</v>
      </c>
      <c r="F847" t="s">
        <v>1946</v>
      </c>
      <c r="G847">
        <v>320000</v>
      </c>
      <c r="H847" s="1">
        <v>45070</v>
      </c>
      <c r="I847" s="1"/>
      <c r="K847">
        <v>3.9</v>
      </c>
      <c r="L847" t="s">
        <v>15</v>
      </c>
      <c r="M847" t="s">
        <v>1893</v>
      </c>
      <c r="N847" t="s">
        <v>1887</v>
      </c>
    </row>
    <row r="848" spans="1:14" x14ac:dyDescent="0.35">
      <c r="A848" t="s">
        <v>2772</v>
      </c>
      <c r="B848" t="s">
        <v>1882</v>
      </c>
      <c r="C848" t="s">
        <v>258</v>
      </c>
      <c r="D848" t="s">
        <v>1904</v>
      </c>
      <c r="E848" t="s">
        <v>1931</v>
      </c>
      <c r="F848" t="s">
        <v>1900</v>
      </c>
      <c r="G848">
        <v>499075</v>
      </c>
      <c r="H848" s="1">
        <v>45564</v>
      </c>
      <c r="I848" s="1">
        <v>45689</v>
      </c>
      <c r="J848">
        <v>125</v>
      </c>
      <c r="K848">
        <v>11.7</v>
      </c>
      <c r="L848" t="s">
        <v>47</v>
      </c>
      <c r="M848" t="s">
        <v>1953</v>
      </c>
      <c r="N848" t="s">
        <v>1887</v>
      </c>
    </row>
    <row r="849" spans="1:14" x14ac:dyDescent="0.35">
      <c r="A849" t="s">
        <v>2773</v>
      </c>
      <c r="B849" t="s">
        <v>1922</v>
      </c>
      <c r="C849" t="s">
        <v>494</v>
      </c>
      <c r="D849" t="s">
        <v>1890</v>
      </c>
      <c r="E849" t="s">
        <v>1587</v>
      </c>
      <c r="F849" t="s">
        <v>1900</v>
      </c>
      <c r="G849">
        <v>487021</v>
      </c>
      <c r="H849" s="1">
        <v>45097</v>
      </c>
      <c r="I849" s="1">
        <v>45235</v>
      </c>
      <c r="J849">
        <v>138</v>
      </c>
      <c r="K849">
        <v>23.2</v>
      </c>
      <c r="L849" t="s">
        <v>47</v>
      </c>
      <c r="M849" t="s">
        <v>1893</v>
      </c>
      <c r="N849" t="s">
        <v>1887</v>
      </c>
    </row>
    <row r="850" spans="1:14" x14ac:dyDescent="0.35">
      <c r="A850" t="s">
        <v>2774</v>
      </c>
      <c r="B850" t="s">
        <v>1944</v>
      </c>
      <c r="C850" t="s">
        <v>103</v>
      </c>
      <c r="D850" t="s">
        <v>1883</v>
      </c>
      <c r="E850" t="s">
        <v>1678</v>
      </c>
      <c r="F850" t="s">
        <v>1900</v>
      </c>
      <c r="G850">
        <v>410997</v>
      </c>
      <c r="H850" s="1">
        <v>45338</v>
      </c>
      <c r="I850" s="1">
        <v>45466</v>
      </c>
      <c r="J850">
        <v>128</v>
      </c>
      <c r="K850">
        <v>9.8000000000000007</v>
      </c>
      <c r="L850" t="s">
        <v>15</v>
      </c>
      <c r="M850" t="s">
        <v>1916</v>
      </c>
      <c r="N850" t="s">
        <v>1887</v>
      </c>
    </row>
    <row r="851" spans="1:14" x14ac:dyDescent="0.35">
      <c r="A851" t="s">
        <v>2775</v>
      </c>
      <c r="B851" t="s">
        <v>1937</v>
      </c>
      <c r="C851" t="s">
        <v>378</v>
      </c>
      <c r="D851" t="s">
        <v>1890</v>
      </c>
      <c r="E851" t="s">
        <v>1600</v>
      </c>
      <c r="F851" t="s">
        <v>1900</v>
      </c>
      <c r="G851">
        <v>425448</v>
      </c>
      <c r="H851" s="1">
        <v>44980</v>
      </c>
      <c r="I851" s="1">
        <v>45063</v>
      </c>
      <c r="J851">
        <v>83</v>
      </c>
      <c r="K851">
        <v>16.600000000000001</v>
      </c>
      <c r="L851" t="s">
        <v>21</v>
      </c>
      <c r="M851" t="s">
        <v>1896</v>
      </c>
      <c r="N851" t="s">
        <v>1887</v>
      </c>
    </row>
    <row r="852" spans="1:14" x14ac:dyDescent="0.35">
      <c r="A852" t="s">
        <v>2776</v>
      </c>
      <c r="B852" t="s">
        <v>1944</v>
      </c>
      <c r="C852" t="s">
        <v>240</v>
      </c>
      <c r="D852" t="s">
        <v>1899</v>
      </c>
      <c r="E852" t="s">
        <v>1918</v>
      </c>
      <c r="F852" t="s">
        <v>1908</v>
      </c>
      <c r="G852">
        <v>453582</v>
      </c>
      <c r="H852" s="1">
        <v>45416</v>
      </c>
      <c r="I852" s="1"/>
      <c r="K852">
        <v>11.2</v>
      </c>
      <c r="L852" t="s">
        <v>47</v>
      </c>
      <c r="M852" t="s">
        <v>1935</v>
      </c>
      <c r="N852" t="s">
        <v>1887</v>
      </c>
    </row>
    <row r="853" spans="1:14" x14ac:dyDescent="0.35">
      <c r="A853" t="s">
        <v>2777</v>
      </c>
      <c r="B853" t="s">
        <v>1922</v>
      </c>
      <c r="C853" t="s">
        <v>399</v>
      </c>
      <c r="D853" t="s">
        <v>1899</v>
      </c>
      <c r="E853" t="s">
        <v>1931</v>
      </c>
      <c r="F853" t="s">
        <v>1908</v>
      </c>
      <c r="G853">
        <v>59161</v>
      </c>
      <c r="H853" s="1">
        <v>45264</v>
      </c>
      <c r="I853" s="1"/>
      <c r="K853">
        <v>9.4</v>
      </c>
      <c r="L853" t="s">
        <v>15</v>
      </c>
      <c r="M853" t="s">
        <v>1886</v>
      </c>
      <c r="N853" t="s">
        <v>1887</v>
      </c>
    </row>
    <row r="854" spans="1:14" x14ac:dyDescent="0.35">
      <c r="A854" t="s">
        <v>2778</v>
      </c>
      <c r="B854" t="s">
        <v>1930</v>
      </c>
      <c r="C854" t="s">
        <v>124</v>
      </c>
      <c r="D854" t="s">
        <v>1899</v>
      </c>
      <c r="E854" t="s">
        <v>1905</v>
      </c>
      <c r="F854" t="s">
        <v>1900</v>
      </c>
      <c r="G854">
        <v>25739</v>
      </c>
      <c r="H854" s="1">
        <v>45141</v>
      </c>
      <c r="I854" s="1">
        <v>45319</v>
      </c>
      <c r="J854">
        <v>178</v>
      </c>
      <c r="K854">
        <v>9.6</v>
      </c>
      <c r="L854" t="s">
        <v>15</v>
      </c>
      <c r="M854" t="s">
        <v>1932</v>
      </c>
      <c r="N854" t="s">
        <v>1887</v>
      </c>
    </row>
    <row r="855" spans="1:14" x14ac:dyDescent="0.35">
      <c r="A855" t="s">
        <v>2779</v>
      </c>
      <c r="B855" t="s">
        <v>1898</v>
      </c>
      <c r="C855" t="s">
        <v>57</v>
      </c>
      <c r="D855" t="s">
        <v>1915</v>
      </c>
      <c r="E855" t="s">
        <v>1678</v>
      </c>
      <c r="F855" t="s">
        <v>1908</v>
      </c>
      <c r="G855">
        <v>80628</v>
      </c>
      <c r="H855" s="1">
        <v>45418</v>
      </c>
      <c r="I855" s="1"/>
      <c r="K855">
        <v>3.3</v>
      </c>
      <c r="L855" t="s">
        <v>15</v>
      </c>
      <c r="M855" t="s">
        <v>1935</v>
      </c>
      <c r="N855" t="s">
        <v>1887</v>
      </c>
    </row>
    <row r="856" spans="1:14" x14ac:dyDescent="0.35">
      <c r="A856" t="s">
        <v>2780</v>
      </c>
      <c r="B856" t="s">
        <v>1963</v>
      </c>
      <c r="C856" t="s">
        <v>425</v>
      </c>
      <c r="D856" t="s">
        <v>1899</v>
      </c>
      <c r="E856" t="s">
        <v>1918</v>
      </c>
      <c r="F856" t="s">
        <v>1946</v>
      </c>
      <c r="G856">
        <v>138115</v>
      </c>
      <c r="H856" s="1">
        <v>45584</v>
      </c>
      <c r="I856" s="1"/>
      <c r="L856" t="s">
        <v>47</v>
      </c>
      <c r="M856" t="s">
        <v>1901</v>
      </c>
      <c r="N856" t="s">
        <v>1887</v>
      </c>
    </row>
    <row r="857" spans="1:14" x14ac:dyDescent="0.35">
      <c r="A857" t="s">
        <v>2781</v>
      </c>
      <c r="B857" t="s">
        <v>1944</v>
      </c>
      <c r="C857" t="s">
        <v>343</v>
      </c>
      <c r="D857" t="s">
        <v>1915</v>
      </c>
      <c r="E857" t="s">
        <v>1600</v>
      </c>
      <c r="F857" t="s">
        <v>1900</v>
      </c>
      <c r="G857">
        <v>221825</v>
      </c>
      <c r="H857" s="1">
        <v>45016</v>
      </c>
      <c r="I857" s="1">
        <v>45147</v>
      </c>
      <c r="J857">
        <v>131</v>
      </c>
      <c r="K857">
        <v>4.5</v>
      </c>
      <c r="L857" t="s">
        <v>21</v>
      </c>
      <c r="M857" t="s">
        <v>1896</v>
      </c>
      <c r="N857" t="s">
        <v>1887</v>
      </c>
    </row>
    <row r="858" spans="1:14" x14ac:dyDescent="0.35">
      <c r="A858" t="s">
        <v>2782</v>
      </c>
      <c r="B858" t="s">
        <v>1934</v>
      </c>
      <c r="C858" t="s">
        <v>214</v>
      </c>
      <c r="D858" t="s">
        <v>1883</v>
      </c>
      <c r="E858" t="s">
        <v>1905</v>
      </c>
      <c r="F858" t="s">
        <v>1900</v>
      </c>
      <c r="G858">
        <v>70724</v>
      </c>
      <c r="H858" s="1">
        <v>45727</v>
      </c>
      <c r="I858" s="1">
        <v>45768</v>
      </c>
      <c r="J858">
        <v>41</v>
      </c>
      <c r="K858">
        <v>23.4</v>
      </c>
      <c r="L858" t="s">
        <v>21</v>
      </c>
      <c r="M858" t="s">
        <v>1912</v>
      </c>
      <c r="N858" t="s">
        <v>1887</v>
      </c>
    </row>
    <row r="859" spans="1:14" x14ac:dyDescent="0.35">
      <c r="A859" t="s">
        <v>2783</v>
      </c>
      <c r="B859" t="s">
        <v>1907</v>
      </c>
      <c r="C859" t="s">
        <v>62</v>
      </c>
      <c r="D859" t="s">
        <v>1883</v>
      </c>
      <c r="E859" t="s">
        <v>1905</v>
      </c>
      <c r="F859" t="s">
        <v>1900</v>
      </c>
      <c r="G859">
        <v>142582</v>
      </c>
      <c r="H859" s="1">
        <v>45746</v>
      </c>
      <c r="I859" s="1">
        <v>45821</v>
      </c>
      <c r="J859">
        <v>75</v>
      </c>
      <c r="K859">
        <v>8.1</v>
      </c>
      <c r="L859" t="s">
        <v>30</v>
      </c>
      <c r="M859" t="s">
        <v>1912</v>
      </c>
      <c r="N859" t="s">
        <v>1887</v>
      </c>
    </row>
    <row r="860" spans="1:14" x14ac:dyDescent="0.35">
      <c r="A860" t="s">
        <v>2784</v>
      </c>
      <c r="B860" t="s">
        <v>1898</v>
      </c>
      <c r="C860" t="s">
        <v>499</v>
      </c>
      <c r="D860" t="s">
        <v>1883</v>
      </c>
      <c r="E860" t="s">
        <v>1905</v>
      </c>
      <c r="F860" t="s">
        <v>1946</v>
      </c>
      <c r="G860">
        <v>118400</v>
      </c>
      <c r="H860" s="1">
        <v>45521</v>
      </c>
      <c r="I860" s="1"/>
      <c r="K860">
        <v>8.1</v>
      </c>
      <c r="L860" t="s">
        <v>15</v>
      </c>
      <c r="M860" t="s">
        <v>1953</v>
      </c>
      <c r="N860" t="s">
        <v>1887</v>
      </c>
    </row>
    <row r="861" spans="1:14" x14ac:dyDescent="0.35">
      <c r="A861" t="s">
        <v>2785</v>
      </c>
      <c r="B861" t="s">
        <v>1926</v>
      </c>
      <c r="C861" t="s">
        <v>308</v>
      </c>
      <c r="D861" t="s">
        <v>1899</v>
      </c>
      <c r="E861" t="s">
        <v>1905</v>
      </c>
      <c r="F861" t="s">
        <v>1946</v>
      </c>
      <c r="G861">
        <v>273535</v>
      </c>
      <c r="H861" s="1">
        <v>45665</v>
      </c>
      <c r="I861" s="1"/>
      <c r="K861">
        <v>13.7</v>
      </c>
      <c r="L861" t="s">
        <v>30</v>
      </c>
      <c r="M861" t="s">
        <v>1912</v>
      </c>
      <c r="N861" t="s">
        <v>1887</v>
      </c>
    </row>
    <row r="862" spans="1:14" x14ac:dyDescent="0.35">
      <c r="A862" t="s">
        <v>2786</v>
      </c>
      <c r="B862" t="s">
        <v>1914</v>
      </c>
      <c r="C862" t="s">
        <v>180</v>
      </c>
      <c r="D862" t="s">
        <v>1899</v>
      </c>
      <c r="E862" t="s">
        <v>1600</v>
      </c>
      <c r="F862" t="s">
        <v>1946</v>
      </c>
      <c r="G862">
        <v>66441</v>
      </c>
      <c r="H862" s="1">
        <v>45131</v>
      </c>
      <c r="I862" s="1"/>
      <c r="L862" t="s">
        <v>47</v>
      </c>
      <c r="M862" t="s">
        <v>1932</v>
      </c>
      <c r="N862" t="s">
        <v>1887</v>
      </c>
    </row>
    <row r="863" spans="1:14" x14ac:dyDescent="0.35">
      <c r="A863" t="s">
        <v>2787</v>
      </c>
      <c r="B863" t="s">
        <v>1889</v>
      </c>
      <c r="C863" t="s">
        <v>376</v>
      </c>
      <c r="D863" t="s">
        <v>1927</v>
      </c>
      <c r="E863" t="s">
        <v>1918</v>
      </c>
      <c r="F863" t="s">
        <v>1895</v>
      </c>
      <c r="G863">
        <v>187228</v>
      </c>
      <c r="H863" s="1">
        <v>45215</v>
      </c>
      <c r="I863" s="1"/>
      <c r="K863">
        <v>12.7</v>
      </c>
      <c r="L863" t="s">
        <v>47</v>
      </c>
      <c r="M863" t="s">
        <v>1886</v>
      </c>
      <c r="N863" t="s">
        <v>1887</v>
      </c>
    </row>
    <row r="864" spans="1:14" x14ac:dyDescent="0.35">
      <c r="A864" t="s">
        <v>2788</v>
      </c>
      <c r="B864" t="s">
        <v>1903</v>
      </c>
      <c r="C864" t="s">
        <v>472</v>
      </c>
      <c r="D864" t="s">
        <v>1915</v>
      </c>
      <c r="E864" t="s">
        <v>1600</v>
      </c>
      <c r="F864" t="s">
        <v>1900</v>
      </c>
      <c r="G864">
        <v>222954</v>
      </c>
      <c r="H864" s="1">
        <v>45526</v>
      </c>
      <c r="I864" s="1">
        <v>45556</v>
      </c>
      <c r="J864">
        <v>30</v>
      </c>
      <c r="K864">
        <v>16.600000000000001</v>
      </c>
      <c r="L864" t="s">
        <v>30</v>
      </c>
      <c r="M864" t="s">
        <v>1953</v>
      </c>
      <c r="N864" t="s">
        <v>1887</v>
      </c>
    </row>
    <row r="865" spans="1:14" x14ac:dyDescent="0.35">
      <c r="A865" t="s">
        <v>2789</v>
      </c>
      <c r="B865" t="s">
        <v>1889</v>
      </c>
      <c r="C865" t="s">
        <v>156</v>
      </c>
      <c r="D865" t="s">
        <v>1899</v>
      </c>
      <c r="E865" t="s">
        <v>1884</v>
      </c>
      <c r="F865" t="s">
        <v>1900</v>
      </c>
      <c r="G865">
        <v>55016</v>
      </c>
      <c r="H865" s="1">
        <v>45262</v>
      </c>
      <c r="I865" s="1">
        <v>45424</v>
      </c>
      <c r="J865">
        <v>162</v>
      </c>
      <c r="K865">
        <v>16</v>
      </c>
      <c r="L865" t="s">
        <v>15</v>
      </c>
      <c r="M865" t="s">
        <v>1886</v>
      </c>
      <c r="N865" t="s">
        <v>1887</v>
      </c>
    </row>
    <row r="866" spans="1:14" x14ac:dyDescent="0.35">
      <c r="A866" t="s">
        <v>2790</v>
      </c>
      <c r="B866" t="s">
        <v>1882</v>
      </c>
      <c r="C866" t="s">
        <v>32</v>
      </c>
      <c r="D866" t="s">
        <v>1883</v>
      </c>
      <c r="E866" t="s">
        <v>1678</v>
      </c>
      <c r="F866" t="s">
        <v>1908</v>
      </c>
      <c r="G866">
        <v>368755</v>
      </c>
      <c r="H866" s="1">
        <v>45112</v>
      </c>
      <c r="I866" s="1"/>
      <c r="K866">
        <v>1.8</v>
      </c>
      <c r="L866" t="s">
        <v>30</v>
      </c>
      <c r="M866" t="s">
        <v>1932</v>
      </c>
      <c r="N866" t="s">
        <v>1887</v>
      </c>
    </row>
    <row r="867" spans="1:14" x14ac:dyDescent="0.35">
      <c r="A867" t="s">
        <v>2791</v>
      </c>
      <c r="B867" t="s">
        <v>1924</v>
      </c>
      <c r="C867" t="s">
        <v>424</v>
      </c>
      <c r="D867" t="s">
        <v>1915</v>
      </c>
      <c r="E867" t="s">
        <v>1931</v>
      </c>
      <c r="F867" t="s">
        <v>1946</v>
      </c>
      <c r="G867">
        <v>110892</v>
      </c>
      <c r="H867" s="1">
        <v>45623</v>
      </c>
      <c r="I867" s="1"/>
      <c r="K867">
        <v>3.6</v>
      </c>
      <c r="L867" t="s">
        <v>30</v>
      </c>
      <c r="M867" t="s">
        <v>1901</v>
      </c>
      <c r="N867" t="s">
        <v>1887</v>
      </c>
    </row>
    <row r="868" spans="1:14" x14ac:dyDescent="0.35">
      <c r="A868" t="s">
        <v>2792</v>
      </c>
      <c r="B868" t="s">
        <v>1937</v>
      </c>
      <c r="C868" t="s">
        <v>319</v>
      </c>
      <c r="D868" t="s">
        <v>1883</v>
      </c>
      <c r="E868" t="s">
        <v>1678</v>
      </c>
      <c r="F868" t="s">
        <v>1892</v>
      </c>
      <c r="G868">
        <v>235059</v>
      </c>
      <c r="H868" s="1">
        <v>45529</v>
      </c>
      <c r="I868" s="1"/>
      <c r="K868">
        <v>8.1999999999999993</v>
      </c>
      <c r="L868" t="s">
        <v>21</v>
      </c>
      <c r="M868" t="s">
        <v>1953</v>
      </c>
      <c r="N868" t="s">
        <v>1887</v>
      </c>
    </row>
    <row r="869" spans="1:14" x14ac:dyDescent="0.35">
      <c r="A869" t="s">
        <v>2793</v>
      </c>
      <c r="B869" t="s">
        <v>1882</v>
      </c>
      <c r="C869" t="s">
        <v>167</v>
      </c>
      <c r="D869" t="s">
        <v>1904</v>
      </c>
      <c r="E869" t="s">
        <v>1931</v>
      </c>
      <c r="F869" t="s">
        <v>1900</v>
      </c>
      <c r="G869">
        <v>57430</v>
      </c>
      <c r="H869" s="1">
        <v>45520</v>
      </c>
      <c r="I869" s="1">
        <v>45549</v>
      </c>
      <c r="J869">
        <v>29</v>
      </c>
      <c r="K869">
        <v>8.3000000000000007</v>
      </c>
      <c r="L869" t="s">
        <v>30</v>
      </c>
      <c r="M869" t="s">
        <v>1953</v>
      </c>
      <c r="N869" t="s">
        <v>1887</v>
      </c>
    </row>
    <row r="870" spans="1:14" x14ac:dyDescent="0.35">
      <c r="A870" t="s">
        <v>2794</v>
      </c>
      <c r="B870" t="s">
        <v>1937</v>
      </c>
      <c r="C870" t="s">
        <v>23</v>
      </c>
      <c r="D870" t="s">
        <v>1883</v>
      </c>
      <c r="E870" t="s">
        <v>1678</v>
      </c>
      <c r="F870" t="s">
        <v>1895</v>
      </c>
      <c r="G870">
        <v>429450</v>
      </c>
      <c r="H870" s="1">
        <v>45503</v>
      </c>
      <c r="I870" s="1"/>
      <c r="L870" t="s">
        <v>15</v>
      </c>
      <c r="M870" t="s">
        <v>1953</v>
      </c>
      <c r="N870" t="s">
        <v>1887</v>
      </c>
    </row>
    <row r="871" spans="1:14" x14ac:dyDescent="0.35">
      <c r="A871" t="s">
        <v>2795</v>
      </c>
      <c r="B871" t="s">
        <v>1882</v>
      </c>
      <c r="C871" t="s">
        <v>295</v>
      </c>
      <c r="D871" t="s">
        <v>1927</v>
      </c>
      <c r="E871" t="s">
        <v>1884</v>
      </c>
      <c r="F871" t="s">
        <v>1900</v>
      </c>
      <c r="G871">
        <v>478999</v>
      </c>
      <c r="H871" s="1">
        <v>45550</v>
      </c>
      <c r="I871" s="1">
        <v>45664</v>
      </c>
      <c r="J871">
        <v>114</v>
      </c>
      <c r="K871">
        <v>0.8</v>
      </c>
      <c r="L871" t="s">
        <v>47</v>
      </c>
      <c r="M871" t="s">
        <v>1953</v>
      </c>
      <c r="N871" t="s">
        <v>1887</v>
      </c>
    </row>
    <row r="872" spans="1:14" x14ac:dyDescent="0.35">
      <c r="A872" t="s">
        <v>2796</v>
      </c>
      <c r="B872" t="s">
        <v>1930</v>
      </c>
      <c r="C872" t="s">
        <v>396</v>
      </c>
      <c r="D872" t="s">
        <v>1904</v>
      </c>
      <c r="E872" t="s">
        <v>1905</v>
      </c>
      <c r="F872" t="s">
        <v>1892</v>
      </c>
      <c r="G872">
        <v>118240</v>
      </c>
      <c r="H872" s="1">
        <v>45610</v>
      </c>
      <c r="I872" s="1"/>
      <c r="K872">
        <v>2.6</v>
      </c>
      <c r="L872" t="s">
        <v>15</v>
      </c>
      <c r="M872" t="s">
        <v>1901</v>
      </c>
      <c r="N872" t="s">
        <v>1887</v>
      </c>
    </row>
    <row r="873" spans="1:14" x14ac:dyDescent="0.35">
      <c r="A873" t="s">
        <v>2797</v>
      </c>
      <c r="B873" t="s">
        <v>1924</v>
      </c>
      <c r="C873" t="s">
        <v>355</v>
      </c>
      <c r="D873" t="s">
        <v>1883</v>
      </c>
      <c r="E873" t="s">
        <v>1884</v>
      </c>
      <c r="F873" t="s">
        <v>1885</v>
      </c>
      <c r="G873">
        <v>344311</v>
      </c>
      <c r="H873" s="1">
        <v>45681</v>
      </c>
      <c r="I873" s="1">
        <v>45791</v>
      </c>
      <c r="J873">
        <v>110</v>
      </c>
      <c r="L873" t="s">
        <v>15</v>
      </c>
      <c r="M873" t="s">
        <v>1912</v>
      </c>
      <c r="N873" t="s">
        <v>1887</v>
      </c>
    </row>
    <row r="874" spans="1:14" x14ac:dyDescent="0.35">
      <c r="A874" t="s">
        <v>2798</v>
      </c>
      <c r="B874" t="s">
        <v>1944</v>
      </c>
      <c r="C874" t="s">
        <v>27</v>
      </c>
      <c r="D874" t="s">
        <v>1915</v>
      </c>
      <c r="E874" t="s">
        <v>1905</v>
      </c>
      <c r="F874" t="s">
        <v>1892</v>
      </c>
      <c r="G874">
        <v>110907</v>
      </c>
      <c r="H874" s="1">
        <v>45071</v>
      </c>
      <c r="I874" s="1"/>
      <c r="L874" t="s">
        <v>15</v>
      </c>
      <c r="M874" t="s">
        <v>1893</v>
      </c>
      <c r="N874" t="s">
        <v>1887</v>
      </c>
    </row>
    <row r="875" spans="1:14" x14ac:dyDescent="0.35">
      <c r="A875" t="s">
        <v>2799</v>
      </c>
      <c r="B875" t="s">
        <v>1903</v>
      </c>
      <c r="C875" t="s">
        <v>399</v>
      </c>
      <c r="D875" t="s">
        <v>1899</v>
      </c>
      <c r="E875" t="s">
        <v>1600</v>
      </c>
      <c r="F875" t="s">
        <v>1908</v>
      </c>
      <c r="G875">
        <v>305509</v>
      </c>
      <c r="H875" s="1">
        <v>45358</v>
      </c>
      <c r="I875" s="1"/>
      <c r="K875">
        <v>9.9</v>
      </c>
      <c r="L875" t="s">
        <v>15</v>
      </c>
      <c r="M875" t="s">
        <v>1916</v>
      </c>
      <c r="N875" t="s">
        <v>1887</v>
      </c>
    </row>
    <row r="876" spans="1:14" x14ac:dyDescent="0.35">
      <c r="A876" t="s">
        <v>2800</v>
      </c>
      <c r="B876" t="s">
        <v>1937</v>
      </c>
      <c r="C876" t="s">
        <v>449</v>
      </c>
      <c r="D876" t="s">
        <v>1915</v>
      </c>
      <c r="E876" t="s">
        <v>1678</v>
      </c>
      <c r="F876" t="s">
        <v>1900</v>
      </c>
      <c r="G876">
        <v>456898</v>
      </c>
      <c r="H876" s="1">
        <v>45263</v>
      </c>
      <c r="I876" s="1">
        <v>45355</v>
      </c>
      <c r="J876">
        <v>92</v>
      </c>
      <c r="K876">
        <v>12.5</v>
      </c>
      <c r="L876" t="s">
        <v>30</v>
      </c>
      <c r="M876" t="s">
        <v>1886</v>
      </c>
      <c r="N876" t="s">
        <v>1887</v>
      </c>
    </row>
    <row r="877" spans="1:14" x14ac:dyDescent="0.35">
      <c r="A877" t="s">
        <v>2801</v>
      </c>
      <c r="B877" t="s">
        <v>1963</v>
      </c>
      <c r="C877" t="s">
        <v>384</v>
      </c>
      <c r="D877" t="s">
        <v>1883</v>
      </c>
      <c r="E877" t="s">
        <v>1905</v>
      </c>
      <c r="F877" t="s">
        <v>1900</v>
      </c>
      <c r="G877">
        <v>63262</v>
      </c>
      <c r="H877" s="1">
        <v>45414</v>
      </c>
      <c r="I877" s="1">
        <v>45593</v>
      </c>
      <c r="J877">
        <v>179</v>
      </c>
      <c r="K877">
        <v>12.4</v>
      </c>
      <c r="L877" t="s">
        <v>21</v>
      </c>
      <c r="M877" t="s">
        <v>1935</v>
      </c>
      <c r="N877" t="s">
        <v>1887</v>
      </c>
    </row>
    <row r="878" spans="1:14" x14ac:dyDescent="0.35">
      <c r="A878" t="s">
        <v>2802</v>
      </c>
      <c r="B878" t="s">
        <v>1922</v>
      </c>
      <c r="C878" t="s">
        <v>387</v>
      </c>
      <c r="D878" t="s">
        <v>1915</v>
      </c>
      <c r="E878" t="s">
        <v>1884</v>
      </c>
      <c r="F878" t="s">
        <v>1900</v>
      </c>
      <c r="G878">
        <v>153168</v>
      </c>
      <c r="H878" s="1">
        <v>45501</v>
      </c>
      <c r="I878" s="1">
        <v>45654</v>
      </c>
      <c r="J878">
        <v>153</v>
      </c>
      <c r="K878">
        <v>16.399999999999999</v>
      </c>
      <c r="L878" t="s">
        <v>47</v>
      </c>
      <c r="M878" t="s">
        <v>1953</v>
      </c>
      <c r="N878" t="s">
        <v>1887</v>
      </c>
    </row>
    <row r="879" spans="1:14" x14ac:dyDescent="0.35">
      <c r="A879" t="s">
        <v>2803</v>
      </c>
      <c r="B879" t="s">
        <v>1903</v>
      </c>
      <c r="C879" t="s">
        <v>295</v>
      </c>
      <c r="D879" t="s">
        <v>1890</v>
      </c>
      <c r="E879" t="s">
        <v>1905</v>
      </c>
      <c r="F879" t="s">
        <v>1900</v>
      </c>
      <c r="G879">
        <v>123091</v>
      </c>
      <c r="H879" s="1">
        <v>45648</v>
      </c>
      <c r="I879" s="1">
        <v>45759</v>
      </c>
      <c r="J879">
        <v>111</v>
      </c>
      <c r="K879">
        <v>20.3</v>
      </c>
      <c r="L879" t="s">
        <v>15</v>
      </c>
      <c r="M879" t="s">
        <v>1901</v>
      </c>
      <c r="N879" t="s">
        <v>1887</v>
      </c>
    </row>
    <row r="880" spans="1:14" x14ac:dyDescent="0.35">
      <c r="A880" t="s">
        <v>2804</v>
      </c>
      <c r="B880" t="s">
        <v>1889</v>
      </c>
      <c r="C880" t="s">
        <v>486</v>
      </c>
      <c r="D880" t="s">
        <v>1915</v>
      </c>
      <c r="E880" t="s">
        <v>1884</v>
      </c>
      <c r="F880" t="s">
        <v>1908</v>
      </c>
      <c r="G880">
        <v>31079</v>
      </c>
      <c r="H880" s="1">
        <v>45182</v>
      </c>
      <c r="I880" s="1"/>
      <c r="K880">
        <v>11.2</v>
      </c>
      <c r="L880" t="s">
        <v>30</v>
      </c>
      <c r="M880" t="s">
        <v>1932</v>
      </c>
      <c r="N880" t="s">
        <v>1887</v>
      </c>
    </row>
    <row r="881" spans="1:14" x14ac:dyDescent="0.35">
      <c r="A881" t="s">
        <v>2805</v>
      </c>
      <c r="B881" t="s">
        <v>1930</v>
      </c>
      <c r="C881" t="s">
        <v>252</v>
      </c>
      <c r="D881" t="s">
        <v>1915</v>
      </c>
      <c r="E881" t="s">
        <v>1587</v>
      </c>
      <c r="F881" t="s">
        <v>1892</v>
      </c>
      <c r="G881">
        <v>446384</v>
      </c>
      <c r="H881" s="1">
        <v>45218</v>
      </c>
      <c r="I881" s="1"/>
      <c r="L881" t="s">
        <v>15</v>
      </c>
      <c r="M881" t="s">
        <v>1886</v>
      </c>
      <c r="N881" t="s">
        <v>1887</v>
      </c>
    </row>
    <row r="882" spans="1:14" x14ac:dyDescent="0.35">
      <c r="A882" t="s">
        <v>2806</v>
      </c>
      <c r="B882" t="s">
        <v>1882</v>
      </c>
      <c r="C882" t="s">
        <v>395</v>
      </c>
      <c r="D882" t="s">
        <v>1927</v>
      </c>
      <c r="E882" t="s">
        <v>1587</v>
      </c>
      <c r="F882" t="s">
        <v>1900</v>
      </c>
      <c r="G882">
        <v>64102</v>
      </c>
      <c r="H882" s="1">
        <v>45067</v>
      </c>
      <c r="I882" s="1">
        <v>45141</v>
      </c>
      <c r="J882">
        <v>74</v>
      </c>
      <c r="K882">
        <v>1.1000000000000001</v>
      </c>
      <c r="L882" t="s">
        <v>30</v>
      </c>
      <c r="M882" t="s">
        <v>1893</v>
      </c>
      <c r="N882" t="s">
        <v>1887</v>
      </c>
    </row>
    <row r="883" spans="1:14" x14ac:dyDescent="0.35">
      <c r="A883" t="s">
        <v>2807</v>
      </c>
      <c r="B883" t="s">
        <v>1937</v>
      </c>
      <c r="C883" t="s">
        <v>130</v>
      </c>
      <c r="D883" t="s">
        <v>1904</v>
      </c>
      <c r="E883" t="s">
        <v>1891</v>
      </c>
      <c r="F883" t="s">
        <v>1892</v>
      </c>
      <c r="G883">
        <v>90721</v>
      </c>
      <c r="H883" s="1">
        <v>45594</v>
      </c>
      <c r="I883" s="1"/>
      <c r="K883">
        <v>12.1</v>
      </c>
      <c r="L883" t="s">
        <v>47</v>
      </c>
      <c r="M883" t="s">
        <v>1901</v>
      </c>
      <c r="N883" t="s">
        <v>1887</v>
      </c>
    </row>
    <row r="884" spans="1:14" x14ac:dyDescent="0.35">
      <c r="A884" t="s">
        <v>2808</v>
      </c>
      <c r="B884" t="s">
        <v>1930</v>
      </c>
      <c r="C884" t="s">
        <v>279</v>
      </c>
      <c r="D884" t="s">
        <v>1890</v>
      </c>
      <c r="E884" t="s">
        <v>1905</v>
      </c>
      <c r="F884" t="s">
        <v>1885</v>
      </c>
      <c r="G884">
        <v>471152</v>
      </c>
      <c r="H884" s="1">
        <v>45195</v>
      </c>
      <c r="I884" s="1">
        <v>45320</v>
      </c>
      <c r="J884">
        <v>125</v>
      </c>
      <c r="K884">
        <v>2.7</v>
      </c>
      <c r="L884" t="s">
        <v>47</v>
      </c>
      <c r="M884" t="s">
        <v>1932</v>
      </c>
      <c r="N884" t="s">
        <v>1887</v>
      </c>
    </row>
    <row r="885" spans="1:14" x14ac:dyDescent="0.35">
      <c r="A885" t="s">
        <v>2809</v>
      </c>
      <c r="B885" t="s">
        <v>1944</v>
      </c>
      <c r="C885" t="s">
        <v>335</v>
      </c>
      <c r="D885" t="s">
        <v>1904</v>
      </c>
      <c r="E885" t="s">
        <v>1918</v>
      </c>
      <c r="F885" t="s">
        <v>1908</v>
      </c>
      <c r="G885">
        <v>343540</v>
      </c>
      <c r="H885" s="1">
        <v>45416</v>
      </c>
      <c r="I885" s="1"/>
      <c r="K885">
        <v>4.8</v>
      </c>
      <c r="L885" t="s">
        <v>21</v>
      </c>
      <c r="M885" t="s">
        <v>1935</v>
      </c>
      <c r="N885" t="s">
        <v>1887</v>
      </c>
    </row>
    <row r="886" spans="1:14" x14ac:dyDescent="0.35">
      <c r="A886" t="s">
        <v>2810</v>
      </c>
      <c r="B886" t="s">
        <v>1963</v>
      </c>
      <c r="C886" t="s">
        <v>472</v>
      </c>
      <c r="D886" t="s">
        <v>1883</v>
      </c>
      <c r="E886" t="s">
        <v>1678</v>
      </c>
      <c r="F886" t="s">
        <v>1908</v>
      </c>
      <c r="G886">
        <v>274671</v>
      </c>
      <c r="H886" s="1">
        <v>45252</v>
      </c>
      <c r="I886" s="1"/>
      <c r="K886">
        <v>13.3</v>
      </c>
      <c r="L886" t="s">
        <v>21</v>
      </c>
      <c r="M886" t="s">
        <v>1886</v>
      </c>
      <c r="N886" t="s">
        <v>1887</v>
      </c>
    </row>
    <row r="887" spans="1:14" x14ac:dyDescent="0.35">
      <c r="A887" t="s">
        <v>2811</v>
      </c>
      <c r="B887" t="s">
        <v>1934</v>
      </c>
      <c r="C887" t="s">
        <v>484</v>
      </c>
      <c r="D887" t="s">
        <v>1899</v>
      </c>
      <c r="E887" t="s">
        <v>1587</v>
      </c>
      <c r="F887" t="s">
        <v>1895</v>
      </c>
      <c r="G887">
        <v>17135</v>
      </c>
      <c r="H887" s="1">
        <v>45320</v>
      </c>
      <c r="I887" s="1"/>
      <c r="K887">
        <v>1.1000000000000001</v>
      </c>
      <c r="L887" t="s">
        <v>47</v>
      </c>
      <c r="M887" t="s">
        <v>1916</v>
      </c>
      <c r="N887" t="s">
        <v>1887</v>
      </c>
    </row>
    <row r="888" spans="1:14" x14ac:dyDescent="0.35">
      <c r="A888" t="s">
        <v>2812</v>
      </c>
      <c r="B888" t="s">
        <v>1898</v>
      </c>
      <c r="C888" t="s">
        <v>112</v>
      </c>
      <c r="D888" t="s">
        <v>1904</v>
      </c>
      <c r="E888" t="s">
        <v>1678</v>
      </c>
      <c r="F888" t="s">
        <v>1895</v>
      </c>
      <c r="G888">
        <v>315803</v>
      </c>
      <c r="H888" s="1">
        <v>45056</v>
      </c>
      <c r="I888" s="1"/>
      <c r="K888">
        <v>10.1</v>
      </c>
      <c r="L888" t="s">
        <v>15</v>
      </c>
      <c r="M888" t="s">
        <v>1893</v>
      </c>
      <c r="N888" t="s">
        <v>1887</v>
      </c>
    </row>
    <row r="889" spans="1:14" x14ac:dyDescent="0.35">
      <c r="A889" t="s">
        <v>2813</v>
      </c>
      <c r="B889" t="s">
        <v>1898</v>
      </c>
      <c r="C889" t="s">
        <v>330</v>
      </c>
      <c r="D889" t="s">
        <v>1927</v>
      </c>
      <c r="E889" t="s">
        <v>1884</v>
      </c>
      <c r="F889" t="s">
        <v>1946</v>
      </c>
      <c r="G889">
        <v>131064</v>
      </c>
      <c r="H889" s="1">
        <v>45294</v>
      </c>
      <c r="I889" s="1"/>
      <c r="K889">
        <v>1.2</v>
      </c>
      <c r="L889" t="s">
        <v>15</v>
      </c>
      <c r="M889" t="s">
        <v>1916</v>
      </c>
      <c r="N889" t="s">
        <v>1887</v>
      </c>
    </row>
    <row r="890" spans="1:14" x14ac:dyDescent="0.35">
      <c r="A890" t="s">
        <v>2814</v>
      </c>
      <c r="B890" t="s">
        <v>1930</v>
      </c>
      <c r="C890" t="s">
        <v>68</v>
      </c>
      <c r="D890" t="s">
        <v>1899</v>
      </c>
      <c r="E890" t="s">
        <v>1678</v>
      </c>
      <c r="F890" t="s">
        <v>1900</v>
      </c>
      <c r="G890">
        <v>391636</v>
      </c>
      <c r="H890" s="1">
        <v>45180</v>
      </c>
      <c r="I890" s="1">
        <v>45355</v>
      </c>
      <c r="J890">
        <v>175</v>
      </c>
      <c r="K890">
        <v>2.7</v>
      </c>
      <c r="L890" t="s">
        <v>30</v>
      </c>
      <c r="M890" t="s">
        <v>1932</v>
      </c>
      <c r="N890" t="s">
        <v>1887</v>
      </c>
    </row>
    <row r="891" spans="1:14" x14ac:dyDescent="0.35">
      <c r="A891" t="s">
        <v>2815</v>
      </c>
      <c r="B891" t="s">
        <v>1903</v>
      </c>
      <c r="C891" t="s">
        <v>295</v>
      </c>
      <c r="D891" t="s">
        <v>1904</v>
      </c>
      <c r="E891" t="s">
        <v>1678</v>
      </c>
      <c r="F891" t="s">
        <v>1908</v>
      </c>
      <c r="G891">
        <v>203948</v>
      </c>
      <c r="H891" s="1">
        <v>45376</v>
      </c>
      <c r="I891" s="1"/>
      <c r="K891">
        <v>3.7</v>
      </c>
      <c r="L891" t="s">
        <v>15</v>
      </c>
      <c r="M891" t="s">
        <v>1916</v>
      </c>
      <c r="N891" t="s">
        <v>1887</v>
      </c>
    </row>
    <row r="892" spans="1:14" x14ac:dyDescent="0.35">
      <c r="A892" t="s">
        <v>2816</v>
      </c>
      <c r="B892" t="s">
        <v>1930</v>
      </c>
      <c r="C892" t="s">
        <v>361</v>
      </c>
      <c r="D892" t="s">
        <v>1927</v>
      </c>
      <c r="E892" t="s">
        <v>1678</v>
      </c>
      <c r="F892" t="s">
        <v>1900</v>
      </c>
      <c r="G892">
        <v>156119</v>
      </c>
      <c r="H892" s="1">
        <v>45637</v>
      </c>
      <c r="I892" s="1">
        <v>45657</v>
      </c>
      <c r="J892">
        <v>20</v>
      </c>
      <c r="K892">
        <v>13.4</v>
      </c>
      <c r="L892" t="s">
        <v>47</v>
      </c>
      <c r="M892" t="s">
        <v>1901</v>
      </c>
      <c r="N892" t="s">
        <v>1887</v>
      </c>
    </row>
    <row r="893" spans="1:14" x14ac:dyDescent="0.35">
      <c r="A893" t="s">
        <v>2817</v>
      </c>
      <c r="B893" t="s">
        <v>1944</v>
      </c>
      <c r="C893" t="s">
        <v>442</v>
      </c>
      <c r="D893" t="s">
        <v>1883</v>
      </c>
      <c r="E893" t="s">
        <v>1918</v>
      </c>
      <c r="F893" t="s">
        <v>1885</v>
      </c>
      <c r="G893">
        <v>366544</v>
      </c>
      <c r="H893" s="1">
        <v>45327</v>
      </c>
      <c r="I893" s="1">
        <v>45475</v>
      </c>
      <c r="J893">
        <v>148</v>
      </c>
      <c r="K893">
        <v>1.1000000000000001</v>
      </c>
      <c r="L893" t="s">
        <v>30</v>
      </c>
      <c r="M893" t="s">
        <v>1916</v>
      </c>
      <c r="N893" t="s">
        <v>1887</v>
      </c>
    </row>
    <row r="894" spans="1:14" x14ac:dyDescent="0.35">
      <c r="A894" t="s">
        <v>2818</v>
      </c>
      <c r="B894" t="s">
        <v>1944</v>
      </c>
      <c r="C894" t="s">
        <v>18</v>
      </c>
      <c r="D894" t="s">
        <v>1904</v>
      </c>
      <c r="E894" t="s">
        <v>1587</v>
      </c>
      <c r="F894" t="s">
        <v>1895</v>
      </c>
      <c r="G894">
        <v>331523</v>
      </c>
      <c r="H894" s="1">
        <v>45124</v>
      </c>
      <c r="I894" s="1"/>
      <c r="L894" t="s">
        <v>15</v>
      </c>
      <c r="M894" t="s">
        <v>1932</v>
      </c>
      <c r="N894" t="s">
        <v>1887</v>
      </c>
    </row>
    <row r="895" spans="1:14" x14ac:dyDescent="0.35">
      <c r="A895" t="s">
        <v>2819</v>
      </c>
      <c r="B895" t="s">
        <v>1914</v>
      </c>
      <c r="C895" t="s">
        <v>273</v>
      </c>
      <c r="D895" t="s">
        <v>1927</v>
      </c>
      <c r="E895" t="s">
        <v>1600</v>
      </c>
      <c r="F895" t="s">
        <v>1900</v>
      </c>
      <c r="G895">
        <v>107968</v>
      </c>
      <c r="H895" s="1">
        <v>45712</v>
      </c>
      <c r="I895" s="1">
        <v>45756</v>
      </c>
      <c r="J895">
        <v>44</v>
      </c>
      <c r="K895">
        <v>24.9</v>
      </c>
      <c r="L895" t="s">
        <v>15</v>
      </c>
      <c r="M895" t="s">
        <v>1912</v>
      </c>
      <c r="N895" t="s">
        <v>1887</v>
      </c>
    </row>
    <row r="896" spans="1:14" x14ac:dyDescent="0.35">
      <c r="A896" t="s">
        <v>2820</v>
      </c>
      <c r="B896" t="s">
        <v>1937</v>
      </c>
      <c r="C896" t="s">
        <v>380</v>
      </c>
      <c r="D896" t="s">
        <v>1899</v>
      </c>
      <c r="E896" t="s">
        <v>1587</v>
      </c>
      <c r="F896" t="s">
        <v>1885</v>
      </c>
      <c r="G896">
        <v>34681</v>
      </c>
      <c r="H896" s="1">
        <v>45062</v>
      </c>
      <c r="I896" s="1">
        <v>45133</v>
      </c>
      <c r="J896">
        <v>71</v>
      </c>
      <c r="K896">
        <v>2.2000000000000002</v>
      </c>
      <c r="L896" t="s">
        <v>30</v>
      </c>
      <c r="M896" t="s">
        <v>1893</v>
      </c>
      <c r="N896" t="s">
        <v>1887</v>
      </c>
    </row>
    <row r="897" spans="1:14" x14ac:dyDescent="0.35">
      <c r="A897" t="s">
        <v>2821</v>
      </c>
      <c r="B897" t="s">
        <v>1963</v>
      </c>
      <c r="C897" t="s">
        <v>462</v>
      </c>
      <c r="D897" t="s">
        <v>1904</v>
      </c>
      <c r="E897" t="s">
        <v>1678</v>
      </c>
      <c r="F897" t="s">
        <v>1900</v>
      </c>
      <c r="G897">
        <v>20352</v>
      </c>
      <c r="H897" s="1">
        <v>45476</v>
      </c>
      <c r="I897" s="1">
        <v>45626</v>
      </c>
      <c r="J897">
        <v>150</v>
      </c>
      <c r="K897">
        <v>13</v>
      </c>
      <c r="L897" t="s">
        <v>47</v>
      </c>
      <c r="M897" t="s">
        <v>1953</v>
      </c>
      <c r="N897" t="s">
        <v>1887</v>
      </c>
    </row>
    <row r="898" spans="1:14" x14ac:dyDescent="0.35">
      <c r="A898" t="s">
        <v>2822</v>
      </c>
      <c r="B898" t="s">
        <v>1934</v>
      </c>
      <c r="C898" t="s">
        <v>482</v>
      </c>
      <c r="D898" t="s">
        <v>1904</v>
      </c>
      <c r="E898" t="s">
        <v>1587</v>
      </c>
      <c r="F898" t="s">
        <v>1946</v>
      </c>
      <c r="G898">
        <v>154857</v>
      </c>
      <c r="H898" s="1">
        <v>45036</v>
      </c>
      <c r="I898" s="1"/>
      <c r="K898">
        <v>8.6</v>
      </c>
      <c r="L898" t="s">
        <v>30</v>
      </c>
      <c r="M898" t="s">
        <v>1893</v>
      </c>
      <c r="N898" t="s">
        <v>1887</v>
      </c>
    </row>
    <row r="899" spans="1:14" x14ac:dyDescent="0.35">
      <c r="A899" t="s">
        <v>2823</v>
      </c>
      <c r="B899" t="s">
        <v>1924</v>
      </c>
      <c r="C899" t="s">
        <v>384</v>
      </c>
      <c r="D899" t="s">
        <v>1927</v>
      </c>
      <c r="E899" t="s">
        <v>1918</v>
      </c>
      <c r="F899" t="s">
        <v>1946</v>
      </c>
      <c r="G899">
        <v>464984</v>
      </c>
      <c r="H899" s="1">
        <v>45052</v>
      </c>
      <c r="I899" s="1"/>
      <c r="L899" t="s">
        <v>21</v>
      </c>
      <c r="M899" t="s">
        <v>1893</v>
      </c>
      <c r="N899" t="s">
        <v>1887</v>
      </c>
    </row>
    <row r="900" spans="1:14" x14ac:dyDescent="0.35">
      <c r="A900" t="s">
        <v>2824</v>
      </c>
      <c r="B900" t="s">
        <v>1914</v>
      </c>
      <c r="C900" t="s">
        <v>152</v>
      </c>
      <c r="D900" t="s">
        <v>1890</v>
      </c>
      <c r="E900" t="s">
        <v>1884</v>
      </c>
      <c r="F900" t="s">
        <v>1900</v>
      </c>
      <c r="G900">
        <v>149439</v>
      </c>
      <c r="H900" s="1">
        <v>45282</v>
      </c>
      <c r="I900" s="1">
        <v>45459</v>
      </c>
      <c r="J900">
        <v>177</v>
      </c>
      <c r="K900">
        <v>12</v>
      </c>
      <c r="L900" t="s">
        <v>21</v>
      </c>
      <c r="M900" t="s">
        <v>1886</v>
      </c>
      <c r="N900" t="s">
        <v>1887</v>
      </c>
    </row>
    <row r="901" spans="1:14" x14ac:dyDescent="0.35">
      <c r="A901" t="s">
        <v>2825</v>
      </c>
      <c r="B901" t="s">
        <v>1898</v>
      </c>
      <c r="C901" t="s">
        <v>263</v>
      </c>
      <c r="D901" t="s">
        <v>1883</v>
      </c>
      <c r="E901" t="s">
        <v>1678</v>
      </c>
      <c r="F901" t="s">
        <v>1892</v>
      </c>
      <c r="G901">
        <v>224870</v>
      </c>
      <c r="H901" s="1">
        <v>45094</v>
      </c>
      <c r="I901" s="1"/>
      <c r="K901">
        <v>14.1</v>
      </c>
      <c r="L901" t="s">
        <v>15</v>
      </c>
      <c r="M901" t="s">
        <v>1893</v>
      </c>
      <c r="N901" t="s">
        <v>1887</v>
      </c>
    </row>
    <row r="902" spans="1:14" x14ac:dyDescent="0.35">
      <c r="A902" t="s">
        <v>2826</v>
      </c>
      <c r="B902" t="s">
        <v>1922</v>
      </c>
      <c r="C902" t="s">
        <v>288</v>
      </c>
      <c r="D902" t="s">
        <v>1915</v>
      </c>
      <c r="E902" t="s">
        <v>1918</v>
      </c>
      <c r="F902" t="s">
        <v>1895</v>
      </c>
      <c r="G902">
        <v>121183</v>
      </c>
      <c r="H902" s="1">
        <v>45441</v>
      </c>
      <c r="I902" s="1"/>
      <c r="K902">
        <v>6.5</v>
      </c>
      <c r="L902" t="s">
        <v>30</v>
      </c>
      <c r="M902" t="s">
        <v>1935</v>
      </c>
      <c r="N902" t="s">
        <v>1887</v>
      </c>
    </row>
    <row r="903" spans="1:14" x14ac:dyDescent="0.35">
      <c r="A903" t="s">
        <v>2827</v>
      </c>
      <c r="B903" t="s">
        <v>1911</v>
      </c>
      <c r="C903" t="s">
        <v>171</v>
      </c>
      <c r="D903" t="s">
        <v>1890</v>
      </c>
      <c r="E903" t="s">
        <v>1891</v>
      </c>
      <c r="F903" t="s">
        <v>1900</v>
      </c>
      <c r="G903">
        <v>208372</v>
      </c>
      <c r="H903" s="1">
        <v>45619</v>
      </c>
      <c r="I903" s="1">
        <v>45787</v>
      </c>
      <c r="J903">
        <v>168</v>
      </c>
      <c r="K903">
        <v>7.6</v>
      </c>
      <c r="L903" t="s">
        <v>30</v>
      </c>
      <c r="M903" t="s">
        <v>1901</v>
      </c>
      <c r="N903" t="s">
        <v>1887</v>
      </c>
    </row>
    <row r="904" spans="1:14" x14ac:dyDescent="0.35">
      <c r="A904" t="s">
        <v>2828</v>
      </c>
      <c r="B904" t="s">
        <v>1937</v>
      </c>
      <c r="C904" t="s">
        <v>454</v>
      </c>
      <c r="D904" t="s">
        <v>1927</v>
      </c>
      <c r="E904" t="s">
        <v>1587</v>
      </c>
      <c r="F904" t="s">
        <v>1908</v>
      </c>
      <c r="G904">
        <v>464967</v>
      </c>
      <c r="H904" s="1">
        <v>45563</v>
      </c>
      <c r="I904" s="1"/>
      <c r="K904">
        <v>4.4000000000000004</v>
      </c>
      <c r="L904" t="s">
        <v>21</v>
      </c>
      <c r="M904" t="s">
        <v>1953</v>
      </c>
      <c r="N904" t="s">
        <v>1887</v>
      </c>
    </row>
    <row r="905" spans="1:14" x14ac:dyDescent="0.35">
      <c r="A905" t="s">
        <v>2829</v>
      </c>
      <c r="B905" t="s">
        <v>1903</v>
      </c>
      <c r="C905" t="s">
        <v>383</v>
      </c>
      <c r="D905" t="s">
        <v>1899</v>
      </c>
      <c r="E905" t="s">
        <v>1884</v>
      </c>
      <c r="F905" t="s">
        <v>1885</v>
      </c>
      <c r="G905">
        <v>187732</v>
      </c>
      <c r="H905" s="1">
        <v>45613</v>
      </c>
      <c r="I905" s="1">
        <v>45741</v>
      </c>
      <c r="J905">
        <v>128</v>
      </c>
      <c r="K905">
        <v>9.6999999999999993</v>
      </c>
      <c r="L905" t="s">
        <v>47</v>
      </c>
      <c r="M905" t="s">
        <v>1901</v>
      </c>
      <c r="N905" t="s">
        <v>1887</v>
      </c>
    </row>
    <row r="906" spans="1:14" x14ac:dyDescent="0.35">
      <c r="A906" t="s">
        <v>2830</v>
      </c>
      <c r="B906" t="s">
        <v>1911</v>
      </c>
      <c r="C906" t="s">
        <v>297</v>
      </c>
      <c r="D906" t="s">
        <v>1927</v>
      </c>
      <c r="E906" t="s">
        <v>1587</v>
      </c>
      <c r="F906" t="s">
        <v>1900</v>
      </c>
      <c r="G906">
        <v>45254</v>
      </c>
      <c r="H906" s="1">
        <v>44977</v>
      </c>
      <c r="I906" s="1">
        <v>45004</v>
      </c>
      <c r="J906">
        <v>27</v>
      </c>
      <c r="K906">
        <v>24.9</v>
      </c>
      <c r="L906" t="s">
        <v>30</v>
      </c>
      <c r="M906" t="s">
        <v>1896</v>
      </c>
      <c r="N906" t="s">
        <v>1887</v>
      </c>
    </row>
    <row r="907" spans="1:14" x14ac:dyDescent="0.35">
      <c r="A907" t="s">
        <v>2831</v>
      </c>
      <c r="B907" t="s">
        <v>1934</v>
      </c>
      <c r="C907" t="s">
        <v>112</v>
      </c>
      <c r="D907" t="s">
        <v>1883</v>
      </c>
      <c r="E907" t="s">
        <v>1678</v>
      </c>
      <c r="F907" t="s">
        <v>1900</v>
      </c>
      <c r="G907">
        <v>470989</v>
      </c>
      <c r="H907" s="1">
        <v>45046</v>
      </c>
      <c r="I907" s="1">
        <v>45173</v>
      </c>
      <c r="J907">
        <v>127</v>
      </c>
      <c r="K907">
        <v>2.5</v>
      </c>
      <c r="L907" t="s">
        <v>21</v>
      </c>
      <c r="M907" t="s">
        <v>1893</v>
      </c>
      <c r="N907" t="s">
        <v>1887</v>
      </c>
    </row>
    <row r="908" spans="1:14" x14ac:dyDescent="0.35">
      <c r="A908" t="s">
        <v>2832</v>
      </c>
      <c r="B908" t="s">
        <v>1914</v>
      </c>
      <c r="C908" t="s">
        <v>198</v>
      </c>
      <c r="D908" t="s">
        <v>1915</v>
      </c>
      <c r="E908" t="s">
        <v>1891</v>
      </c>
      <c r="F908" t="s">
        <v>1946</v>
      </c>
      <c r="G908">
        <v>419255</v>
      </c>
      <c r="H908" s="1">
        <v>45489</v>
      </c>
      <c r="I908" s="1"/>
      <c r="K908">
        <v>11.6</v>
      </c>
      <c r="L908" t="s">
        <v>30</v>
      </c>
      <c r="M908" t="s">
        <v>1953</v>
      </c>
      <c r="N908" t="s">
        <v>1887</v>
      </c>
    </row>
    <row r="909" spans="1:14" x14ac:dyDescent="0.35">
      <c r="A909" t="s">
        <v>2833</v>
      </c>
      <c r="B909" t="s">
        <v>1898</v>
      </c>
      <c r="C909" t="s">
        <v>351</v>
      </c>
      <c r="D909" t="s">
        <v>1904</v>
      </c>
      <c r="E909" t="s">
        <v>1918</v>
      </c>
      <c r="F909" t="s">
        <v>1900</v>
      </c>
      <c r="G909">
        <v>337804</v>
      </c>
      <c r="H909" s="1">
        <v>45662</v>
      </c>
      <c r="I909" s="1">
        <v>45733</v>
      </c>
      <c r="J909">
        <v>71</v>
      </c>
      <c r="K909">
        <v>12.3</v>
      </c>
      <c r="L909" t="s">
        <v>21</v>
      </c>
      <c r="M909" t="s">
        <v>1912</v>
      </c>
      <c r="N909" t="s">
        <v>1887</v>
      </c>
    </row>
    <row r="910" spans="1:14" x14ac:dyDescent="0.35">
      <c r="A910" t="s">
        <v>2834</v>
      </c>
      <c r="B910" t="s">
        <v>1934</v>
      </c>
      <c r="C910" t="s">
        <v>331</v>
      </c>
      <c r="D910" t="s">
        <v>1915</v>
      </c>
      <c r="E910" t="s">
        <v>1905</v>
      </c>
      <c r="F910" t="s">
        <v>1895</v>
      </c>
      <c r="G910">
        <v>491441</v>
      </c>
      <c r="H910" s="1">
        <v>45514</v>
      </c>
      <c r="I910" s="1"/>
      <c r="K910">
        <v>3.3</v>
      </c>
      <c r="L910" t="s">
        <v>21</v>
      </c>
      <c r="M910" t="s">
        <v>1953</v>
      </c>
      <c r="N910" t="s">
        <v>1887</v>
      </c>
    </row>
    <row r="911" spans="1:14" x14ac:dyDescent="0.35">
      <c r="A911" t="s">
        <v>2835</v>
      </c>
      <c r="B911" t="s">
        <v>1934</v>
      </c>
      <c r="C911" t="s">
        <v>171</v>
      </c>
      <c r="D911" t="s">
        <v>1899</v>
      </c>
      <c r="E911" t="s">
        <v>1678</v>
      </c>
      <c r="F911" t="s">
        <v>1900</v>
      </c>
      <c r="G911">
        <v>104016</v>
      </c>
      <c r="H911" s="1">
        <v>45163</v>
      </c>
      <c r="I911" s="1">
        <v>45259</v>
      </c>
      <c r="J911">
        <v>96</v>
      </c>
      <c r="K911">
        <v>15.3</v>
      </c>
      <c r="L911" t="s">
        <v>15</v>
      </c>
      <c r="M911" t="s">
        <v>1932</v>
      </c>
      <c r="N911" t="s">
        <v>1887</v>
      </c>
    </row>
    <row r="912" spans="1:14" x14ac:dyDescent="0.35">
      <c r="A912" t="s">
        <v>2836</v>
      </c>
      <c r="B912" t="s">
        <v>1882</v>
      </c>
      <c r="C912" t="s">
        <v>74</v>
      </c>
      <c r="D912" t="s">
        <v>1883</v>
      </c>
      <c r="E912" t="s">
        <v>1918</v>
      </c>
      <c r="F912" t="s">
        <v>1908</v>
      </c>
      <c r="G912">
        <v>1883359</v>
      </c>
      <c r="H912" s="1">
        <v>45515</v>
      </c>
      <c r="I912" s="1"/>
      <c r="L912" t="s">
        <v>30</v>
      </c>
      <c r="M912" t="s">
        <v>1953</v>
      </c>
      <c r="N912" t="s">
        <v>1966</v>
      </c>
    </row>
    <row r="913" spans="1:14" x14ac:dyDescent="0.35">
      <c r="A913" t="s">
        <v>2837</v>
      </c>
      <c r="B913" t="s">
        <v>1903</v>
      </c>
      <c r="C913" t="s">
        <v>423</v>
      </c>
      <c r="D913" t="s">
        <v>1904</v>
      </c>
      <c r="E913" t="s">
        <v>1587</v>
      </c>
      <c r="F913" t="s">
        <v>1908</v>
      </c>
      <c r="G913">
        <v>102823</v>
      </c>
      <c r="H913" s="1">
        <v>45737</v>
      </c>
      <c r="I913" s="1"/>
      <c r="K913">
        <v>6.3</v>
      </c>
      <c r="L913" t="s">
        <v>30</v>
      </c>
      <c r="M913" t="s">
        <v>1912</v>
      </c>
      <c r="N913" t="s">
        <v>1887</v>
      </c>
    </row>
    <row r="914" spans="1:14" x14ac:dyDescent="0.35">
      <c r="A914" t="s">
        <v>2838</v>
      </c>
      <c r="B914" t="s">
        <v>1963</v>
      </c>
      <c r="C914" t="s">
        <v>124</v>
      </c>
      <c r="D914" t="s">
        <v>1899</v>
      </c>
      <c r="E914" t="s">
        <v>1891</v>
      </c>
      <c r="F914" t="s">
        <v>1900</v>
      </c>
      <c r="G914">
        <v>110998</v>
      </c>
      <c r="H914" s="1">
        <v>45129</v>
      </c>
      <c r="I914" s="1">
        <v>45270</v>
      </c>
      <c r="J914">
        <v>141</v>
      </c>
      <c r="K914">
        <v>4.7</v>
      </c>
      <c r="L914" t="s">
        <v>21</v>
      </c>
      <c r="M914" t="s">
        <v>1932</v>
      </c>
      <c r="N914" t="s">
        <v>1887</v>
      </c>
    </row>
    <row r="915" spans="1:14" x14ac:dyDescent="0.35">
      <c r="A915" t="s">
        <v>2839</v>
      </c>
      <c r="B915" t="s">
        <v>1914</v>
      </c>
      <c r="C915" t="s">
        <v>436</v>
      </c>
      <c r="D915" t="s">
        <v>1899</v>
      </c>
      <c r="E915" t="s">
        <v>1891</v>
      </c>
      <c r="F915" t="s">
        <v>1908</v>
      </c>
      <c r="G915">
        <v>417062</v>
      </c>
      <c r="H915" s="1">
        <v>45375</v>
      </c>
      <c r="I915" s="1"/>
      <c r="L915" t="s">
        <v>30</v>
      </c>
      <c r="M915" t="s">
        <v>1916</v>
      </c>
      <c r="N915" t="s">
        <v>1887</v>
      </c>
    </row>
    <row r="916" spans="1:14" x14ac:dyDescent="0.35">
      <c r="A916" t="s">
        <v>2840</v>
      </c>
      <c r="B916" t="s">
        <v>1934</v>
      </c>
      <c r="C916" t="s">
        <v>455</v>
      </c>
      <c r="D916" t="s">
        <v>1927</v>
      </c>
      <c r="E916" t="s">
        <v>1931</v>
      </c>
      <c r="F916" t="s">
        <v>1892</v>
      </c>
      <c r="G916">
        <v>92676</v>
      </c>
      <c r="H916" s="1">
        <v>44935</v>
      </c>
      <c r="I916" s="1"/>
      <c r="K916">
        <v>15</v>
      </c>
      <c r="L916" t="s">
        <v>30</v>
      </c>
      <c r="M916" t="s">
        <v>1896</v>
      </c>
      <c r="N916" t="s">
        <v>1887</v>
      </c>
    </row>
    <row r="917" spans="1:14" x14ac:dyDescent="0.35">
      <c r="A917" t="s">
        <v>2841</v>
      </c>
      <c r="B917" t="s">
        <v>1914</v>
      </c>
      <c r="C917" t="s">
        <v>386</v>
      </c>
      <c r="D917" t="s">
        <v>1904</v>
      </c>
      <c r="E917" t="s">
        <v>1918</v>
      </c>
      <c r="F917" t="s">
        <v>1908</v>
      </c>
      <c r="G917">
        <v>1482318</v>
      </c>
      <c r="H917" s="1">
        <v>45519</v>
      </c>
      <c r="I917" s="1"/>
      <c r="K917">
        <v>5.4</v>
      </c>
      <c r="L917" t="s">
        <v>21</v>
      </c>
      <c r="M917" t="s">
        <v>1953</v>
      </c>
      <c r="N917" t="s">
        <v>1966</v>
      </c>
    </row>
    <row r="918" spans="1:14" x14ac:dyDescent="0.35">
      <c r="A918" t="s">
        <v>2842</v>
      </c>
      <c r="B918" t="s">
        <v>1963</v>
      </c>
      <c r="C918" t="s">
        <v>11</v>
      </c>
      <c r="D918" t="s">
        <v>1915</v>
      </c>
      <c r="E918" t="s">
        <v>1600</v>
      </c>
      <c r="F918" t="s">
        <v>1946</v>
      </c>
      <c r="G918">
        <v>421778</v>
      </c>
      <c r="H918" s="1">
        <v>45124</v>
      </c>
      <c r="I918" s="1"/>
      <c r="L918" t="s">
        <v>47</v>
      </c>
      <c r="M918" t="s">
        <v>1932</v>
      </c>
      <c r="N918" t="s">
        <v>1887</v>
      </c>
    </row>
    <row r="919" spans="1:14" x14ac:dyDescent="0.35">
      <c r="A919" t="s">
        <v>2843</v>
      </c>
      <c r="B919" t="s">
        <v>1937</v>
      </c>
      <c r="C919" t="s">
        <v>193</v>
      </c>
      <c r="D919" t="s">
        <v>1890</v>
      </c>
      <c r="E919" t="s">
        <v>1600</v>
      </c>
      <c r="F919" t="s">
        <v>1895</v>
      </c>
      <c r="G919">
        <v>214786</v>
      </c>
      <c r="H919" s="1">
        <v>45742</v>
      </c>
      <c r="I919" s="1"/>
      <c r="K919">
        <v>11.8</v>
      </c>
      <c r="L919" t="s">
        <v>47</v>
      </c>
      <c r="M919" t="s">
        <v>1912</v>
      </c>
      <c r="N919" t="s">
        <v>1887</v>
      </c>
    </row>
    <row r="920" spans="1:14" x14ac:dyDescent="0.35">
      <c r="A920" t="s">
        <v>2844</v>
      </c>
      <c r="B920" t="s">
        <v>1911</v>
      </c>
      <c r="C920" t="s">
        <v>167</v>
      </c>
      <c r="D920" t="s">
        <v>1915</v>
      </c>
      <c r="E920" t="s">
        <v>1600</v>
      </c>
      <c r="F920" t="s">
        <v>1908</v>
      </c>
      <c r="G920">
        <v>401152</v>
      </c>
      <c r="H920" s="1">
        <v>45117</v>
      </c>
      <c r="I920" s="1"/>
      <c r="K920">
        <v>1.4</v>
      </c>
      <c r="L920" t="s">
        <v>47</v>
      </c>
      <c r="M920" t="s">
        <v>1932</v>
      </c>
      <c r="N920" t="s">
        <v>1887</v>
      </c>
    </row>
    <row r="921" spans="1:14" x14ac:dyDescent="0.35">
      <c r="A921" t="s">
        <v>2845</v>
      </c>
      <c r="B921" t="s">
        <v>1926</v>
      </c>
      <c r="C921" t="s">
        <v>18</v>
      </c>
      <c r="D921" t="s">
        <v>1915</v>
      </c>
      <c r="E921" t="s">
        <v>1918</v>
      </c>
      <c r="F921" t="s">
        <v>1900</v>
      </c>
      <c r="G921">
        <v>212343</v>
      </c>
      <c r="H921" s="1">
        <v>45315</v>
      </c>
      <c r="I921" s="1">
        <v>45359</v>
      </c>
      <c r="J921">
        <v>44</v>
      </c>
      <c r="K921">
        <v>0.7</v>
      </c>
      <c r="L921" t="s">
        <v>30</v>
      </c>
      <c r="M921" t="s">
        <v>1916</v>
      </c>
      <c r="N921" t="s">
        <v>1887</v>
      </c>
    </row>
    <row r="922" spans="1:14" x14ac:dyDescent="0.35">
      <c r="A922" t="s">
        <v>2846</v>
      </c>
      <c r="B922" t="s">
        <v>1963</v>
      </c>
      <c r="C922" t="s">
        <v>424</v>
      </c>
      <c r="D922" t="s">
        <v>1904</v>
      </c>
      <c r="E922" t="s">
        <v>1600</v>
      </c>
      <c r="F922" t="s">
        <v>1892</v>
      </c>
      <c r="G922">
        <v>110509</v>
      </c>
      <c r="H922" s="1">
        <v>45655</v>
      </c>
      <c r="I922" s="1"/>
      <c r="K922">
        <v>3.8</v>
      </c>
      <c r="L922" t="s">
        <v>21</v>
      </c>
      <c r="M922" t="s">
        <v>1901</v>
      </c>
      <c r="N922" t="s">
        <v>1887</v>
      </c>
    </row>
    <row r="923" spans="1:14" x14ac:dyDescent="0.35">
      <c r="A923" t="s">
        <v>2847</v>
      </c>
      <c r="B923" t="s">
        <v>1920</v>
      </c>
      <c r="C923" t="s">
        <v>308</v>
      </c>
      <c r="D923" t="s">
        <v>1899</v>
      </c>
      <c r="E923" t="s">
        <v>1931</v>
      </c>
      <c r="F923" t="s">
        <v>1900</v>
      </c>
      <c r="G923">
        <v>279798</v>
      </c>
      <c r="H923" s="1">
        <v>45231</v>
      </c>
      <c r="I923" s="1">
        <v>45404</v>
      </c>
      <c r="J923">
        <v>173</v>
      </c>
      <c r="K923">
        <v>22.5</v>
      </c>
      <c r="L923" t="s">
        <v>30</v>
      </c>
      <c r="M923" t="s">
        <v>1886</v>
      </c>
      <c r="N923" t="s">
        <v>1887</v>
      </c>
    </row>
    <row r="924" spans="1:14" x14ac:dyDescent="0.35">
      <c r="A924" t="s">
        <v>2848</v>
      </c>
      <c r="B924" t="s">
        <v>1934</v>
      </c>
      <c r="C924" t="s">
        <v>431</v>
      </c>
      <c r="D924" t="s">
        <v>1883</v>
      </c>
      <c r="E924" t="s">
        <v>1587</v>
      </c>
      <c r="F924" t="s">
        <v>1900</v>
      </c>
      <c r="G924">
        <v>217339</v>
      </c>
      <c r="H924" s="1">
        <v>45712</v>
      </c>
      <c r="I924" s="1">
        <v>45841</v>
      </c>
      <c r="J924">
        <v>129</v>
      </c>
      <c r="K924">
        <v>17.2</v>
      </c>
      <c r="L924" t="s">
        <v>47</v>
      </c>
      <c r="M924" t="s">
        <v>1912</v>
      </c>
      <c r="N924" t="s">
        <v>1887</v>
      </c>
    </row>
    <row r="925" spans="1:14" x14ac:dyDescent="0.35">
      <c r="A925" t="s">
        <v>2849</v>
      </c>
      <c r="B925" t="s">
        <v>1937</v>
      </c>
      <c r="C925" t="s">
        <v>384</v>
      </c>
      <c r="D925" t="s">
        <v>1904</v>
      </c>
      <c r="E925" t="s">
        <v>1891</v>
      </c>
      <c r="F925" t="s">
        <v>1895</v>
      </c>
      <c r="G925">
        <v>118047</v>
      </c>
      <c r="H925" s="1">
        <v>45288</v>
      </c>
      <c r="I925" s="1"/>
      <c r="K925">
        <v>7.4</v>
      </c>
      <c r="L925" t="s">
        <v>21</v>
      </c>
      <c r="M925" t="s">
        <v>1886</v>
      </c>
      <c r="N925" t="s">
        <v>1887</v>
      </c>
    </row>
    <row r="926" spans="1:14" x14ac:dyDescent="0.35">
      <c r="A926" t="s">
        <v>2850</v>
      </c>
      <c r="B926" t="s">
        <v>1898</v>
      </c>
      <c r="C926" t="s">
        <v>483</v>
      </c>
      <c r="D926" t="s">
        <v>1904</v>
      </c>
      <c r="E926" t="s">
        <v>1587</v>
      </c>
      <c r="F926" t="s">
        <v>1885</v>
      </c>
      <c r="G926">
        <v>355990</v>
      </c>
      <c r="H926" s="1">
        <v>45747</v>
      </c>
      <c r="I926" s="1">
        <v>45834</v>
      </c>
      <c r="J926">
        <v>87</v>
      </c>
      <c r="L926" t="s">
        <v>30</v>
      </c>
      <c r="M926" t="s">
        <v>1912</v>
      </c>
      <c r="N926" t="s">
        <v>1887</v>
      </c>
    </row>
    <row r="927" spans="1:14" x14ac:dyDescent="0.35">
      <c r="A927" t="s">
        <v>2851</v>
      </c>
      <c r="B927" t="s">
        <v>1930</v>
      </c>
      <c r="C927" t="s">
        <v>101</v>
      </c>
      <c r="D927" t="s">
        <v>1883</v>
      </c>
      <c r="E927" t="s">
        <v>1905</v>
      </c>
      <c r="F927" t="s">
        <v>1885</v>
      </c>
      <c r="G927">
        <v>87531</v>
      </c>
      <c r="H927" s="1">
        <v>45289</v>
      </c>
      <c r="I927" s="1">
        <v>45320</v>
      </c>
      <c r="J927">
        <v>31</v>
      </c>
      <c r="L927" t="s">
        <v>47</v>
      </c>
      <c r="M927" t="s">
        <v>1886</v>
      </c>
      <c r="N927" t="s">
        <v>1887</v>
      </c>
    </row>
    <row r="928" spans="1:14" x14ac:dyDescent="0.35">
      <c r="A928" t="s">
        <v>2852</v>
      </c>
      <c r="B928" t="s">
        <v>1920</v>
      </c>
      <c r="C928" t="s">
        <v>101</v>
      </c>
      <c r="D928" t="s">
        <v>1883</v>
      </c>
      <c r="E928" t="s">
        <v>1931</v>
      </c>
      <c r="F928" t="s">
        <v>1946</v>
      </c>
      <c r="G928">
        <v>26436</v>
      </c>
      <c r="H928" s="1">
        <v>45689</v>
      </c>
      <c r="I928" s="1"/>
      <c r="K928">
        <v>10.8</v>
      </c>
      <c r="L928" t="s">
        <v>15</v>
      </c>
      <c r="M928" t="s">
        <v>1912</v>
      </c>
      <c r="N928" t="s">
        <v>1887</v>
      </c>
    </row>
    <row r="929" spans="1:14" x14ac:dyDescent="0.35">
      <c r="A929" t="s">
        <v>2853</v>
      </c>
      <c r="B929" t="s">
        <v>1898</v>
      </c>
      <c r="C929" t="s">
        <v>232</v>
      </c>
      <c r="D929" t="s">
        <v>1890</v>
      </c>
      <c r="E929" t="s">
        <v>1931</v>
      </c>
      <c r="F929" t="s">
        <v>1892</v>
      </c>
      <c r="G929">
        <v>390741</v>
      </c>
      <c r="H929" s="1">
        <v>44957</v>
      </c>
      <c r="I929" s="1"/>
      <c r="K929">
        <v>1.8</v>
      </c>
      <c r="L929" t="s">
        <v>21</v>
      </c>
      <c r="M929" t="s">
        <v>1896</v>
      </c>
      <c r="N929" t="s">
        <v>1887</v>
      </c>
    </row>
    <row r="930" spans="1:14" x14ac:dyDescent="0.35">
      <c r="A930" t="s">
        <v>2854</v>
      </c>
      <c r="B930" t="s">
        <v>1889</v>
      </c>
      <c r="C930" t="s">
        <v>57</v>
      </c>
      <c r="D930" t="s">
        <v>1899</v>
      </c>
      <c r="E930" t="s">
        <v>1587</v>
      </c>
      <c r="F930" t="s">
        <v>1892</v>
      </c>
      <c r="G930">
        <v>146766</v>
      </c>
      <c r="H930" s="1">
        <v>45011</v>
      </c>
      <c r="I930" s="1"/>
      <c r="K930">
        <v>1.2</v>
      </c>
      <c r="L930" t="s">
        <v>15</v>
      </c>
      <c r="M930" t="s">
        <v>1896</v>
      </c>
      <c r="N930" t="s">
        <v>1887</v>
      </c>
    </row>
    <row r="931" spans="1:14" x14ac:dyDescent="0.35">
      <c r="A931" t="s">
        <v>2855</v>
      </c>
      <c r="B931" t="s">
        <v>1914</v>
      </c>
      <c r="C931" t="s">
        <v>328</v>
      </c>
      <c r="D931" t="s">
        <v>1883</v>
      </c>
      <c r="E931" t="s">
        <v>1905</v>
      </c>
      <c r="F931" t="s">
        <v>1900</v>
      </c>
      <c r="G931">
        <v>440806</v>
      </c>
      <c r="H931" s="1">
        <v>45683</v>
      </c>
      <c r="I931" s="1">
        <v>45768</v>
      </c>
      <c r="J931">
        <v>85</v>
      </c>
      <c r="K931">
        <v>4.7</v>
      </c>
      <c r="L931" t="s">
        <v>15</v>
      </c>
      <c r="M931" t="s">
        <v>1912</v>
      </c>
      <c r="N931" t="s">
        <v>1887</v>
      </c>
    </row>
    <row r="932" spans="1:14" x14ac:dyDescent="0.35">
      <c r="A932" t="s">
        <v>2856</v>
      </c>
      <c r="B932" t="s">
        <v>1903</v>
      </c>
      <c r="C932" t="s">
        <v>299</v>
      </c>
      <c r="D932" t="s">
        <v>1890</v>
      </c>
      <c r="E932" t="s">
        <v>1931</v>
      </c>
      <c r="F932" t="s">
        <v>1900</v>
      </c>
      <c r="G932">
        <v>116272</v>
      </c>
      <c r="H932" s="1">
        <v>44951</v>
      </c>
      <c r="I932" s="1">
        <v>45035</v>
      </c>
      <c r="J932">
        <v>84</v>
      </c>
      <c r="K932">
        <v>4.7</v>
      </c>
      <c r="L932" t="s">
        <v>30</v>
      </c>
      <c r="M932" t="s">
        <v>1896</v>
      </c>
      <c r="N932" t="s">
        <v>1887</v>
      </c>
    </row>
    <row r="933" spans="1:14" x14ac:dyDescent="0.35">
      <c r="A933" t="s">
        <v>2857</v>
      </c>
      <c r="B933" t="s">
        <v>1920</v>
      </c>
      <c r="C933" t="s">
        <v>284</v>
      </c>
      <c r="D933" t="s">
        <v>1899</v>
      </c>
      <c r="E933" t="s">
        <v>1931</v>
      </c>
      <c r="F933" t="s">
        <v>1908</v>
      </c>
      <c r="G933">
        <v>470681</v>
      </c>
      <c r="H933" s="1">
        <v>45206</v>
      </c>
      <c r="I933" s="1"/>
      <c r="L933" t="s">
        <v>30</v>
      </c>
      <c r="M933" t="s">
        <v>1886</v>
      </c>
      <c r="N933" t="s">
        <v>1887</v>
      </c>
    </row>
    <row r="934" spans="1:14" x14ac:dyDescent="0.35">
      <c r="A934" t="s">
        <v>2858</v>
      </c>
      <c r="B934" t="s">
        <v>1963</v>
      </c>
      <c r="C934" t="s">
        <v>499</v>
      </c>
      <c r="D934" t="s">
        <v>1883</v>
      </c>
      <c r="E934" t="s">
        <v>1945</v>
      </c>
      <c r="F934" t="s">
        <v>1895</v>
      </c>
      <c r="G934">
        <v>120272</v>
      </c>
      <c r="H934" s="1">
        <v>45745</v>
      </c>
      <c r="I934" s="1"/>
      <c r="K934">
        <v>7.6</v>
      </c>
      <c r="L934" t="s">
        <v>47</v>
      </c>
      <c r="M934" t="s">
        <v>1912</v>
      </c>
      <c r="N934" t="s">
        <v>1887</v>
      </c>
    </row>
    <row r="935" spans="1:14" x14ac:dyDescent="0.35">
      <c r="A935" t="s">
        <v>2859</v>
      </c>
      <c r="B935" t="s">
        <v>1944</v>
      </c>
      <c r="C935" t="s">
        <v>164</v>
      </c>
      <c r="D935" t="s">
        <v>1904</v>
      </c>
      <c r="E935" t="s">
        <v>1945</v>
      </c>
      <c r="F935" t="s">
        <v>1908</v>
      </c>
      <c r="G935">
        <v>198227</v>
      </c>
      <c r="H935" s="1">
        <v>45479</v>
      </c>
      <c r="I935" s="1"/>
      <c r="K935">
        <v>5.5</v>
      </c>
      <c r="L935" t="s">
        <v>15</v>
      </c>
      <c r="M935" t="s">
        <v>1953</v>
      </c>
      <c r="N935" t="s">
        <v>1887</v>
      </c>
    </row>
    <row r="936" spans="1:14" x14ac:dyDescent="0.35">
      <c r="A936" t="s">
        <v>2860</v>
      </c>
      <c r="B936" t="s">
        <v>1922</v>
      </c>
      <c r="C936" t="s">
        <v>432</v>
      </c>
      <c r="D936" t="s">
        <v>1927</v>
      </c>
      <c r="E936" t="s">
        <v>1587</v>
      </c>
      <c r="F936" t="s">
        <v>1946</v>
      </c>
      <c r="G936">
        <v>253459</v>
      </c>
      <c r="H936" s="1">
        <v>44956</v>
      </c>
      <c r="I936" s="1"/>
      <c r="K936">
        <v>1.9</v>
      </c>
      <c r="L936" t="s">
        <v>47</v>
      </c>
      <c r="M936" t="s">
        <v>1896</v>
      </c>
      <c r="N936" t="s">
        <v>1887</v>
      </c>
    </row>
    <row r="937" spans="1:14" x14ac:dyDescent="0.35">
      <c r="A937" t="s">
        <v>2861</v>
      </c>
      <c r="B937" t="s">
        <v>1882</v>
      </c>
      <c r="C937" t="s">
        <v>49</v>
      </c>
      <c r="D937" t="s">
        <v>1890</v>
      </c>
      <c r="E937" t="s">
        <v>1931</v>
      </c>
      <c r="F937" t="s">
        <v>1900</v>
      </c>
      <c r="G937">
        <v>255228</v>
      </c>
      <c r="H937" s="1">
        <v>45073</v>
      </c>
      <c r="I937" s="1">
        <v>45201</v>
      </c>
      <c r="J937">
        <v>128</v>
      </c>
      <c r="K937">
        <v>8.1</v>
      </c>
      <c r="L937" t="s">
        <v>47</v>
      </c>
      <c r="M937" t="s">
        <v>1893</v>
      </c>
      <c r="N937" t="s">
        <v>1887</v>
      </c>
    </row>
    <row r="938" spans="1:14" x14ac:dyDescent="0.35">
      <c r="A938" t="s">
        <v>2862</v>
      </c>
      <c r="B938" t="s">
        <v>1914</v>
      </c>
      <c r="C938" t="s">
        <v>480</v>
      </c>
      <c r="D938" t="s">
        <v>1904</v>
      </c>
      <c r="E938" t="s">
        <v>1918</v>
      </c>
      <c r="F938" t="s">
        <v>1900</v>
      </c>
      <c r="G938">
        <v>425710</v>
      </c>
      <c r="H938" s="1">
        <v>45426</v>
      </c>
      <c r="I938" s="1">
        <v>45588</v>
      </c>
      <c r="J938">
        <v>162</v>
      </c>
      <c r="K938">
        <v>2.4</v>
      </c>
      <c r="L938" t="s">
        <v>21</v>
      </c>
      <c r="M938" t="s">
        <v>1935</v>
      </c>
      <c r="N938" t="s">
        <v>1887</v>
      </c>
    </row>
    <row r="939" spans="1:14" x14ac:dyDescent="0.35">
      <c r="A939" t="s">
        <v>2863</v>
      </c>
      <c r="B939" t="s">
        <v>1934</v>
      </c>
      <c r="C939" t="s">
        <v>296</v>
      </c>
      <c r="D939" t="s">
        <v>1890</v>
      </c>
      <c r="E939" t="s">
        <v>1884</v>
      </c>
      <c r="F939" t="s">
        <v>1946</v>
      </c>
      <c r="G939">
        <v>247584</v>
      </c>
      <c r="H939" s="1">
        <v>45531</v>
      </c>
      <c r="I939" s="1"/>
      <c r="K939">
        <v>5</v>
      </c>
      <c r="L939" t="s">
        <v>30</v>
      </c>
      <c r="M939" t="s">
        <v>1953</v>
      </c>
      <c r="N939" t="s">
        <v>1887</v>
      </c>
    </row>
    <row r="940" spans="1:14" x14ac:dyDescent="0.35">
      <c r="A940" t="s">
        <v>2864</v>
      </c>
      <c r="B940" t="s">
        <v>1903</v>
      </c>
      <c r="C940" t="s">
        <v>444</v>
      </c>
      <c r="D940" t="s">
        <v>1883</v>
      </c>
      <c r="E940" t="s">
        <v>1600</v>
      </c>
      <c r="F940" t="s">
        <v>1885</v>
      </c>
      <c r="G940">
        <v>201433</v>
      </c>
      <c r="H940" s="1">
        <v>45629</v>
      </c>
      <c r="I940" s="1">
        <v>45751</v>
      </c>
      <c r="J940">
        <v>122</v>
      </c>
      <c r="K940">
        <v>11.8</v>
      </c>
      <c r="L940" t="s">
        <v>47</v>
      </c>
      <c r="M940" t="s">
        <v>1901</v>
      </c>
      <c r="N940" t="s">
        <v>1887</v>
      </c>
    </row>
    <row r="941" spans="1:14" x14ac:dyDescent="0.35">
      <c r="A941" t="s">
        <v>2865</v>
      </c>
      <c r="B941" t="s">
        <v>1903</v>
      </c>
      <c r="C941" t="s">
        <v>496</v>
      </c>
      <c r="D941" t="s">
        <v>1904</v>
      </c>
      <c r="E941" t="s">
        <v>1945</v>
      </c>
      <c r="F941" t="s">
        <v>1885</v>
      </c>
      <c r="G941">
        <v>443492</v>
      </c>
      <c r="H941" s="1">
        <v>45746</v>
      </c>
      <c r="I941" s="1">
        <v>45838</v>
      </c>
      <c r="J941">
        <v>92</v>
      </c>
      <c r="K941">
        <v>10.5</v>
      </c>
      <c r="L941" t="s">
        <v>21</v>
      </c>
      <c r="M941" t="s">
        <v>1912</v>
      </c>
      <c r="N941" t="s">
        <v>1887</v>
      </c>
    </row>
    <row r="942" spans="1:14" x14ac:dyDescent="0.35">
      <c r="A942" t="s">
        <v>2866</v>
      </c>
      <c r="B942" t="s">
        <v>1914</v>
      </c>
      <c r="C942" t="s">
        <v>158</v>
      </c>
      <c r="D942" t="s">
        <v>1883</v>
      </c>
      <c r="E942" t="s">
        <v>1918</v>
      </c>
      <c r="F942" t="s">
        <v>1946</v>
      </c>
      <c r="G942">
        <v>282486</v>
      </c>
      <c r="H942" s="1">
        <v>45707</v>
      </c>
      <c r="I942" s="1"/>
      <c r="L942" t="s">
        <v>47</v>
      </c>
      <c r="M942" t="s">
        <v>1912</v>
      </c>
      <c r="N942" t="s">
        <v>1887</v>
      </c>
    </row>
    <row r="943" spans="1:14" x14ac:dyDescent="0.35">
      <c r="A943" t="s">
        <v>2867</v>
      </c>
      <c r="B943" t="s">
        <v>1882</v>
      </c>
      <c r="C943" t="s">
        <v>425</v>
      </c>
      <c r="D943" t="s">
        <v>1927</v>
      </c>
      <c r="E943" t="s">
        <v>1678</v>
      </c>
      <c r="F943" t="s">
        <v>1885</v>
      </c>
      <c r="G943">
        <v>171763</v>
      </c>
      <c r="H943" s="1">
        <v>44975</v>
      </c>
      <c r="I943" s="1">
        <v>45152</v>
      </c>
      <c r="J943">
        <v>177</v>
      </c>
      <c r="K943">
        <v>4</v>
      </c>
      <c r="L943" t="s">
        <v>30</v>
      </c>
      <c r="M943" t="s">
        <v>1896</v>
      </c>
      <c r="N943" t="s">
        <v>1887</v>
      </c>
    </row>
    <row r="944" spans="1:14" x14ac:dyDescent="0.35">
      <c r="A944" t="s">
        <v>2868</v>
      </c>
      <c r="B944" t="s">
        <v>1926</v>
      </c>
      <c r="C944" t="s">
        <v>330</v>
      </c>
      <c r="D944" t="s">
        <v>1883</v>
      </c>
      <c r="E944" t="s">
        <v>1587</v>
      </c>
      <c r="F944" t="s">
        <v>1908</v>
      </c>
      <c r="G944">
        <v>193392</v>
      </c>
      <c r="H944" s="1">
        <v>45554</v>
      </c>
      <c r="I944" s="1"/>
      <c r="K944">
        <v>12.3</v>
      </c>
      <c r="L944" t="s">
        <v>47</v>
      </c>
      <c r="M944" t="s">
        <v>1953</v>
      </c>
      <c r="N944" t="s">
        <v>1887</v>
      </c>
    </row>
    <row r="945" spans="1:14" x14ac:dyDescent="0.35">
      <c r="A945" t="s">
        <v>2869</v>
      </c>
      <c r="B945" t="s">
        <v>1944</v>
      </c>
      <c r="C945" t="s">
        <v>365</v>
      </c>
      <c r="D945" t="s">
        <v>1899</v>
      </c>
      <c r="E945" t="s">
        <v>1600</v>
      </c>
      <c r="F945" t="s">
        <v>1900</v>
      </c>
      <c r="G945">
        <v>317324</v>
      </c>
      <c r="H945" s="1">
        <v>45298</v>
      </c>
      <c r="I945" s="1">
        <v>45425</v>
      </c>
      <c r="J945">
        <v>127</v>
      </c>
      <c r="K945">
        <v>4.5</v>
      </c>
      <c r="L945" t="s">
        <v>47</v>
      </c>
      <c r="M945" t="s">
        <v>1916</v>
      </c>
      <c r="N945" t="s">
        <v>1887</v>
      </c>
    </row>
    <row r="946" spans="1:14" x14ac:dyDescent="0.35">
      <c r="A946" t="s">
        <v>2870</v>
      </c>
      <c r="B946" t="s">
        <v>1911</v>
      </c>
      <c r="C946" t="s">
        <v>351</v>
      </c>
      <c r="D946" t="s">
        <v>1904</v>
      </c>
      <c r="E946" t="s">
        <v>1891</v>
      </c>
      <c r="F946" t="s">
        <v>1908</v>
      </c>
      <c r="G946">
        <v>376050</v>
      </c>
      <c r="H946" s="1">
        <v>45333</v>
      </c>
      <c r="I946" s="1"/>
      <c r="K946">
        <v>0.6</v>
      </c>
      <c r="L946" t="s">
        <v>21</v>
      </c>
      <c r="M946" t="s">
        <v>1916</v>
      </c>
      <c r="N946" t="s">
        <v>1887</v>
      </c>
    </row>
    <row r="947" spans="1:14" x14ac:dyDescent="0.35">
      <c r="A947" t="s">
        <v>2871</v>
      </c>
      <c r="B947" t="s">
        <v>1920</v>
      </c>
      <c r="C947" t="s">
        <v>339</v>
      </c>
      <c r="D947" t="s">
        <v>1927</v>
      </c>
      <c r="E947" t="s">
        <v>1678</v>
      </c>
      <c r="F947" t="s">
        <v>1885</v>
      </c>
      <c r="G947">
        <v>338714</v>
      </c>
      <c r="H947" s="1">
        <v>45177</v>
      </c>
      <c r="I947" s="1">
        <v>45200</v>
      </c>
      <c r="J947">
        <v>23</v>
      </c>
      <c r="K947">
        <v>5.9</v>
      </c>
      <c r="L947" t="s">
        <v>15</v>
      </c>
      <c r="M947" t="s">
        <v>1932</v>
      </c>
      <c r="N947" t="s">
        <v>1887</v>
      </c>
    </row>
    <row r="948" spans="1:14" x14ac:dyDescent="0.35">
      <c r="A948" t="s">
        <v>2872</v>
      </c>
      <c r="B948" t="s">
        <v>1937</v>
      </c>
      <c r="C948" t="s">
        <v>277</v>
      </c>
      <c r="D948" t="s">
        <v>1899</v>
      </c>
      <c r="E948" t="s">
        <v>1931</v>
      </c>
      <c r="F948" t="s">
        <v>1946</v>
      </c>
      <c r="G948">
        <v>102553</v>
      </c>
      <c r="H948" s="1">
        <v>45421</v>
      </c>
      <c r="I948" s="1"/>
      <c r="K948">
        <v>7.7</v>
      </c>
      <c r="L948" t="s">
        <v>21</v>
      </c>
      <c r="M948" t="s">
        <v>1935</v>
      </c>
      <c r="N948" t="s">
        <v>1887</v>
      </c>
    </row>
    <row r="949" spans="1:14" x14ac:dyDescent="0.35">
      <c r="A949" t="s">
        <v>2873</v>
      </c>
      <c r="B949" t="s">
        <v>1882</v>
      </c>
      <c r="C949" t="s">
        <v>220</v>
      </c>
      <c r="D949" t="s">
        <v>1915</v>
      </c>
      <c r="E949" t="s">
        <v>1600</v>
      </c>
      <c r="F949" t="s">
        <v>1946</v>
      </c>
      <c r="G949">
        <v>320437</v>
      </c>
      <c r="H949" s="1">
        <v>45736</v>
      </c>
      <c r="I949" s="1"/>
      <c r="K949">
        <v>7.7</v>
      </c>
      <c r="L949" t="s">
        <v>21</v>
      </c>
      <c r="M949" t="s">
        <v>1912</v>
      </c>
      <c r="N949" t="s">
        <v>1887</v>
      </c>
    </row>
    <row r="950" spans="1:14" x14ac:dyDescent="0.35">
      <c r="A950" t="s">
        <v>2874</v>
      </c>
      <c r="B950" t="s">
        <v>1898</v>
      </c>
      <c r="C950" t="s">
        <v>110</v>
      </c>
      <c r="D950" t="s">
        <v>1904</v>
      </c>
      <c r="E950" t="s">
        <v>1600</v>
      </c>
      <c r="F950" t="s">
        <v>1895</v>
      </c>
      <c r="G950">
        <v>407639</v>
      </c>
      <c r="H950" s="1">
        <v>45087</v>
      </c>
      <c r="I950" s="1"/>
      <c r="K950">
        <v>0.1</v>
      </c>
      <c r="L950" t="s">
        <v>47</v>
      </c>
      <c r="M950" t="s">
        <v>1893</v>
      </c>
      <c r="N950" t="s">
        <v>1887</v>
      </c>
    </row>
    <row r="951" spans="1:14" x14ac:dyDescent="0.35">
      <c r="A951" t="s">
        <v>2875</v>
      </c>
      <c r="B951" t="s">
        <v>1907</v>
      </c>
      <c r="C951" t="s">
        <v>398</v>
      </c>
      <c r="D951" t="s">
        <v>1890</v>
      </c>
      <c r="E951" t="s">
        <v>1931</v>
      </c>
      <c r="F951" t="s">
        <v>1892</v>
      </c>
      <c r="G951">
        <v>298680</v>
      </c>
      <c r="H951" s="1">
        <v>45314</v>
      </c>
      <c r="I951" s="1"/>
      <c r="K951">
        <v>5.2</v>
      </c>
      <c r="L951" t="s">
        <v>15</v>
      </c>
      <c r="M951" t="s">
        <v>1916</v>
      </c>
      <c r="N951" t="s">
        <v>1887</v>
      </c>
    </row>
    <row r="952" spans="1:14" x14ac:dyDescent="0.35">
      <c r="A952" t="s">
        <v>2876</v>
      </c>
      <c r="B952" t="s">
        <v>1944</v>
      </c>
      <c r="C952" t="s">
        <v>27</v>
      </c>
      <c r="D952" t="s">
        <v>1904</v>
      </c>
      <c r="E952" t="s">
        <v>1678</v>
      </c>
      <c r="F952" t="s">
        <v>1946</v>
      </c>
      <c r="G952">
        <v>35385</v>
      </c>
      <c r="H952" s="1">
        <v>44980</v>
      </c>
      <c r="I952" s="1"/>
      <c r="L952" t="s">
        <v>30</v>
      </c>
      <c r="M952" t="s">
        <v>1896</v>
      </c>
      <c r="N952" t="s">
        <v>1887</v>
      </c>
    </row>
    <row r="953" spans="1:14" x14ac:dyDescent="0.35">
      <c r="A953" t="s">
        <v>2877</v>
      </c>
      <c r="B953" t="s">
        <v>1914</v>
      </c>
      <c r="C953" t="s">
        <v>481</v>
      </c>
      <c r="D953" t="s">
        <v>1927</v>
      </c>
      <c r="E953" t="s">
        <v>1587</v>
      </c>
      <c r="F953" t="s">
        <v>1946</v>
      </c>
      <c r="G953">
        <v>246773</v>
      </c>
      <c r="H953" s="1">
        <v>44970</v>
      </c>
      <c r="I953" s="1"/>
      <c r="L953" t="s">
        <v>30</v>
      </c>
      <c r="M953" t="s">
        <v>1896</v>
      </c>
      <c r="N953" t="s">
        <v>1887</v>
      </c>
    </row>
    <row r="954" spans="1:14" x14ac:dyDescent="0.35">
      <c r="A954" t="s">
        <v>2878</v>
      </c>
      <c r="B954" t="s">
        <v>1934</v>
      </c>
      <c r="C954" t="s">
        <v>92</v>
      </c>
      <c r="D954" t="s">
        <v>1904</v>
      </c>
      <c r="E954" t="s">
        <v>1931</v>
      </c>
      <c r="F954" t="s">
        <v>1895</v>
      </c>
      <c r="G954">
        <v>473679</v>
      </c>
      <c r="H954" s="1">
        <v>45219</v>
      </c>
      <c r="I954" s="1"/>
      <c r="K954">
        <v>6.9</v>
      </c>
      <c r="L954" t="s">
        <v>47</v>
      </c>
      <c r="M954" t="s">
        <v>1886</v>
      </c>
      <c r="N954" t="s">
        <v>1887</v>
      </c>
    </row>
    <row r="955" spans="1:14" x14ac:dyDescent="0.35">
      <c r="A955" t="s">
        <v>2879</v>
      </c>
      <c r="B955" t="s">
        <v>1903</v>
      </c>
      <c r="C955" t="s">
        <v>456</v>
      </c>
      <c r="D955" t="s">
        <v>1890</v>
      </c>
      <c r="E955" t="s">
        <v>1678</v>
      </c>
      <c r="F955" t="s">
        <v>1900</v>
      </c>
      <c r="G955">
        <v>278260</v>
      </c>
      <c r="H955" s="1">
        <v>45090</v>
      </c>
      <c r="I955" s="1">
        <v>45201</v>
      </c>
      <c r="J955">
        <v>111</v>
      </c>
      <c r="K955">
        <v>1.1000000000000001</v>
      </c>
      <c r="L955" t="s">
        <v>15</v>
      </c>
      <c r="M955" t="s">
        <v>1893</v>
      </c>
      <c r="N955" t="s">
        <v>1887</v>
      </c>
    </row>
    <row r="956" spans="1:14" x14ac:dyDescent="0.35">
      <c r="A956" t="s">
        <v>2880</v>
      </c>
      <c r="B956" t="s">
        <v>1914</v>
      </c>
      <c r="C956" t="s">
        <v>68</v>
      </c>
      <c r="D956" t="s">
        <v>1904</v>
      </c>
      <c r="E956" t="s">
        <v>1678</v>
      </c>
      <c r="F956" t="s">
        <v>1892</v>
      </c>
      <c r="G956">
        <v>280740</v>
      </c>
      <c r="H956" s="1">
        <v>45336</v>
      </c>
      <c r="I956" s="1"/>
      <c r="L956" t="s">
        <v>21</v>
      </c>
      <c r="M956" t="s">
        <v>1916</v>
      </c>
      <c r="N956" t="s">
        <v>1887</v>
      </c>
    </row>
    <row r="957" spans="1:14" x14ac:dyDescent="0.35">
      <c r="A957" t="s">
        <v>2881</v>
      </c>
      <c r="B957" t="s">
        <v>1898</v>
      </c>
      <c r="C957" t="s">
        <v>261</v>
      </c>
      <c r="D957" t="s">
        <v>1883</v>
      </c>
      <c r="E957" t="s">
        <v>1905</v>
      </c>
      <c r="F957" t="s">
        <v>1900</v>
      </c>
      <c r="G957">
        <v>307819</v>
      </c>
      <c r="H957" s="1">
        <v>45327</v>
      </c>
      <c r="I957" s="1">
        <v>45349</v>
      </c>
      <c r="J957">
        <v>22</v>
      </c>
      <c r="K957">
        <v>18.3</v>
      </c>
      <c r="L957" t="s">
        <v>15</v>
      </c>
      <c r="M957" t="s">
        <v>1916</v>
      </c>
      <c r="N957" t="s">
        <v>1887</v>
      </c>
    </row>
    <row r="958" spans="1:14" x14ac:dyDescent="0.35">
      <c r="A958" t="s">
        <v>2882</v>
      </c>
      <c r="B958" t="s">
        <v>1922</v>
      </c>
      <c r="C958" t="s">
        <v>329</v>
      </c>
      <c r="D958" t="s">
        <v>1883</v>
      </c>
      <c r="E958" t="s">
        <v>1891</v>
      </c>
      <c r="F958" t="s">
        <v>1892</v>
      </c>
      <c r="G958">
        <v>223851</v>
      </c>
      <c r="H958" s="1">
        <v>45267</v>
      </c>
      <c r="I958" s="1"/>
      <c r="K958">
        <v>6.4</v>
      </c>
      <c r="L958" t="s">
        <v>30</v>
      </c>
      <c r="M958" t="s">
        <v>1886</v>
      </c>
      <c r="N958" t="s">
        <v>1887</v>
      </c>
    </row>
    <row r="959" spans="1:14" x14ac:dyDescent="0.35">
      <c r="A959" t="s">
        <v>2883</v>
      </c>
      <c r="B959" t="s">
        <v>1930</v>
      </c>
      <c r="C959" t="s">
        <v>335</v>
      </c>
      <c r="D959" t="s">
        <v>1883</v>
      </c>
      <c r="E959" t="s">
        <v>1884</v>
      </c>
      <c r="F959" t="s">
        <v>1946</v>
      </c>
      <c r="G959">
        <v>128966</v>
      </c>
      <c r="H959" s="1">
        <v>45740</v>
      </c>
      <c r="I959" s="1"/>
      <c r="K959">
        <v>4.2</v>
      </c>
      <c r="L959" t="s">
        <v>30</v>
      </c>
      <c r="M959" t="s">
        <v>1912</v>
      </c>
      <c r="N959" t="s">
        <v>1887</v>
      </c>
    </row>
    <row r="960" spans="1:14" x14ac:dyDescent="0.35">
      <c r="A960" t="s">
        <v>2884</v>
      </c>
      <c r="B960" t="s">
        <v>1922</v>
      </c>
      <c r="C960" t="s">
        <v>180</v>
      </c>
      <c r="D960" t="s">
        <v>1890</v>
      </c>
      <c r="E960" t="s">
        <v>1905</v>
      </c>
      <c r="F960" t="s">
        <v>1908</v>
      </c>
      <c r="G960">
        <v>490316</v>
      </c>
      <c r="H960" s="1">
        <v>44940</v>
      </c>
      <c r="I960" s="1"/>
      <c r="K960">
        <v>12.9</v>
      </c>
      <c r="L960" t="s">
        <v>21</v>
      </c>
      <c r="M960" t="s">
        <v>1896</v>
      </c>
      <c r="N960" t="s">
        <v>1887</v>
      </c>
    </row>
    <row r="961" spans="1:14" x14ac:dyDescent="0.35">
      <c r="A961" t="s">
        <v>2885</v>
      </c>
      <c r="B961" t="s">
        <v>1934</v>
      </c>
      <c r="C961" t="s">
        <v>447</v>
      </c>
      <c r="D961" t="s">
        <v>1899</v>
      </c>
      <c r="E961" t="s">
        <v>1600</v>
      </c>
      <c r="F961" t="s">
        <v>1908</v>
      </c>
      <c r="G961">
        <v>283289</v>
      </c>
      <c r="H961" s="1">
        <v>45718</v>
      </c>
      <c r="I961" s="1"/>
      <c r="K961">
        <v>1.1000000000000001</v>
      </c>
      <c r="L961" t="s">
        <v>30</v>
      </c>
      <c r="M961" t="s">
        <v>1912</v>
      </c>
      <c r="N961" t="s">
        <v>1887</v>
      </c>
    </row>
    <row r="962" spans="1:14" x14ac:dyDescent="0.35">
      <c r="A962" t="s">
        <v>2886</v>
      </c>
      <c r="B962" t="s">
        <v>1898</v>
      </c>
      <c r="C962" t="s">
        <v>378</v>
      </c>
      <c r="D962" t="s">
        <v>1927</v>
      </c>
      <c r="E962" t="s">
        <v>1678</v>
      </c>
      <c r="F962" t="s">
        <v>1946</v>
      </c>
      <c r="G962">
        <v>34102</v>
      </c>
      <c r="H962" s="1">
        <v>45305</v>
      </c>
      <c r="I962" s="1"/>
      <c r="K962">
        <v>5.7</v>
      </c>
      <c r="L962" t="s">
        <v>30</v>
      </c>
      <c r="M962" t="s">
        <v>1916</v>
      </c>
      <c r="N962" t="s">
        <v>1887</v>
      </c>
    </row>
    <row r="963" spans="1:14" x14ac:dyDescent="0.35">
      <c r="A963" t="s">
        <v>2887</v>
      </c>
      <c r="B963" t="s">
        <v>1944</v>
      </c>
      <c r="C963" t="s">
        <v>426</v>
      </c>
      <c r="D963" t="s">
        <v>1890</v>
      </c>
      <c r="E963" t="s">
        <v>1918</v>
      </c>
      <c r="F963" t="s">
        <v>1892</v>
      </c>
      <c r="G963">
        <v>149502</v>
      </c>
      <c r="H963" s="1">
        <v>44934</v>
      </c>
      <c r="I963" s="1"/>
      <c r="K963">
        <v>10</v>
      </c>
      <c r="L963" t="s">
        <v>47</v>
      </c>
      <c r="M963" t="s">
        <v>1896</v>
      </c>
      <c r="N963" t="s">
        <v>1887</v>
      </c>
    </row>
    <row r="964" spans="1:14" x14ac:dyDescent="0.35">
      <c r="A964" t="s">
        <v>2888</v>
      </c>
      <c r="B964" t="s">
        <v>1889</v>
      </c>
      <c r="C964" t="s">
        <v>120</v>
      </c>
      <c r="D964" t="s">
        <v>1915</v>
      </c>
      <c r="E964" t="s">
        <v>1587</v>
      </c>
      <c r="F964" t="s">
        <v>1900</v>
      </c>
      <c r="G964">
        <v>188852</v>
      </c>
      <c r="H964" s="1">
        <v>45559</v>
      </c>
      <c r="I964" s="1">
        <v>45592</v>
      </c>
      <c r="J964">
        <v>33</v>
      </c>
      <c r="K964">
        <v>15.7</v>
      </c>
      <c r="L964" t="s">
        <v>30</v>
      </c>
      <c r="M964" t="s">
        <v>1953</v>
      </c>
      <c r="N964" t="s">
        <v>1887</v>
      </c>
    </row>
    <row r="965" spans="1:14" x14ac:dyDescent="0.35">
      <c r="A965" t="s">
        <v>2889</v>
      </c>
      <c r="B965" t="s">
        <v>1937</v>
      </c>
      <c r="C965" t="s">
        <v>220</v>
      </c>
      <c r="D965" t="s">
        <v>1890</v>
      </c>
      <c r="E965" t="s">
        <v>1891</v>
      </c>
      <c r="F965" t="s">
        <v>1895</v>
      </c>
      <c r="G965">
        <v>207542</v>
      </c>
      <c r="H965" s="1">
        <v>45275</v>
      </c>
      <c r="I965" s="1"/>
      <c r="K965">
        <v>5.6</v>
      </c>
      <c r="L965" t="s">
        <v>21</v>
      </c>
      <c r="M965" t="s">
        <v>1886</v>
      </c>
      <c r="N965" t="s">
        <v>1887</v>
      </c>
    </row>
    <row r="966" spans="1:14" x14ac:dyDescent="0.35">
      <c r="A966" t="s">
        <v>2890</v>
      </c>
      <c r="B966" t="s">
        <v>1930</v>
      </c>
      <c r="C966" t="s">
        <v>97</v>
      </c>
      <c r="D966" t="s">
        <v>1883</v>
      </c>
      <c r="E966" t="s">
        <v>1945</v>
      </c>
      <c r="F966" t="s">
        <v>1895</v>
      </c>
      <c r="G966">
        <v>229721</v>
      </c>
      <c r="H966" s="1">
        <v>45520</v>
      </c>
      <c r="I966" s="1"/>
      <c r="K966">
        <v>4.9000000000000004</v>
      </c>
      <c r="L966" t="s">
        <v>21</v>
      </c>
      <c r="M966" t="s">
        <v>1953</v>
      </c>
      <c r="N966" t="s">
        <v>1887</v>
      </c>
    </row>
    <row r="967" spans="1:14" x14ac:dyDescent="0.35">
      <c r="A967" t="s">
        <v>2891</v>
      </c>
      <c r="B967" t="s">
        <v>1889</v>
      </c>
      <c r="C967" t="s">
        <v>82</v>
      </c>
      <c r="D967" t="s">
        <v>1883</v>
      </c>
      <c r="E967" t="s">
        <v>1884</v>
      </c>
      <c r="F967" t="s">
        <v>1895</v>
      </c>
      <c r="G967">
        <v>386379</v>
      </c>
      <c r="H967" s="1">
        <v>45013</v>
      </c>
      <c r="I967" s="1"/>
      <c r="L967" t="s">
        <v>15</v>
      </c>
      <c r="M967" t="s">
        <v>1896</v>
      </c>
      <c r="N967" t="s">
        <v>1887</v>
      </c>
    </row>
    <row r="968" spans="1:14" x14ac:dyDescent="0.35">
      <c r="A968" t="s">
        <v>2892</v>
      </c>
      <c r="B968" t="s">
        <v>1963</v>
      </c>
      <c r="C968" t="s">
        <v>485</v>
      </c>
      <c r="D968" t="s">
        <v>1899</v>
      </c>
      <c r="E968" t="s">
        <v>1884</v>
      </c>
      <c r="F968" t="s">
        <v>1892</v>
      </c>
      <c r="G968">
        <v>315729</v>
      </c>
      <c r="H968" s="1">
        <v>45374</v>
      </c>
      <c r="I968" s="1"/>
      <c r="K968">
        <v>8.5</v>
      </c>
      <c r="L968" t="s">
        <v>15</v>
      </c>
      <c r="M968" t="s">
        <v>1916</v>
      </c>
      <c r="N968" t="s">
        <v>1887</v>
      </c>
    </row>
    <row r="969" spans="1:14" x14ac:dyDescent="0.35">
      <c r="A969" t="s">
        <v>2893</v>
      </c>
      <c r="B969" t="s">
        <v>1903</v>
      </c>
      <c r="C969" t="s">
        <v>448</v>
      </c>
      <c r="D969" t="s">
        <v>1904</v>
      </c>
      <c r="E969" t="s">
        <v>1891</v>
      </c>
      <c r="F969" t="s">
        <v>1895</v>
      </c>
      <c r="G969">
        <v>221859</v>
      </c>
      <c r="H969" s="1">
        <v>45058</v>
      </c>
      <c r="I969" s="1"/>
      <c r="L969" t="s">
        <v>30</v>
      </c>
      <c r="M969" t="s">
        <v>1893</v>
      </c>
      <c r="N969" t="s">
        <v>1887</v>
      </c>
    </row>
    <row r="970" spans="1:14" x14ac:dyDescent="0.35">
      <c r="A970" t="s">
        <v>2894</v>
      </c>
      <c r="B970" t="s">
        <v>1914</v>
      </c>
      <c r="C970" t="s">
        <v>355</v>
      </c>
      <c r="D970" t="s">
        <v>1899</v>
      </c>
      <c r="E970" t="s">
        <v>1905</v>
      </c>
      <c r="F970" t="s">
        <v>1892</v>
      </c>
      <c r="G970">
        <v>345858</v>
      </c>
      <c r="H970" s="1">
        <v>45571</v>
      </c>
      <c r="I970" s="1"/>
      <c r="K970">
        <v>10.4</v>
      </c>
      <c r="L970" t="s">
        <v>21</v>
      </c>
      <c r="M970" t="s">
        <v>1901</v>
      </c>
      <c r="N970" t="s">
        <v>1887</v>
      </c>
    </row>
    <row r="971" spans="1:14" x14ac:dyDescent="0.35">
      <c r="A971" t="s">
        <v>2895</v>
      </c>
      <c r="B971" t="s">
        <v>1907</v>
      </c>
      <c r="C971" t="s">
        <v>49</v>
      </c>
      <c r="D971" t="s">
        <v>1883</v>
      </c>
      <c r="E971" t="s">
        <v>1905</v>
      </c>
      <c r="F971" t="s">
        <v>1946</v>
      </c>
      <c r="G971">
        <v>314145</v>
      </c>
      <c r="H971" s="1">
        <v>44939</v>
      </c>
      <c r="I971" s="1"/>
      <c r="L971" t="s">
        <v>15</v>
      </c>
      <c r="M971" t="s">
        <v>1896</v>
      </c>
      <c r="N971" t="s">
        <v>1887</v>
      </c>
    </row>
    <row r="972" spans="1:14" x14ac:dyDescent="0.35">
      <c r="A972" t="s">
        <v>2896</v>
      </c>
      <c r="B972" t="s">
        <v>1920</v>
      </c>
      <c r="C972" t="s">
        <v>497</v>
      </c>
      <c r="D972" t="s">
        <v>1915</v>
      </c>
      <c r="E972" t="s">
        <v>1587</v>
      </c>
      <c r="F972" t="s">
        <v>1885</v>
      </c>
      <c r="G972">
        <v>65752</v>
      </c>
      <c r="H972" s="1">
        <v>45273</v>
      </c>
      <c r="I972" s="1">
        <v>45309</v>
      </c>
      <c r="J972">
        <v>36</v>
      </c>
      <c r="K972">
        <v>7.2</v>
      </c>
      <c r="L972" t="s">
        <v>30</v>
      </c>
      <c r="M972" t="s">
        <v>1886</v>
      </c>
      <c r="N972" t="s">
        <v>1887</v>
      </c>
    </row>
    <row r="973" spans="1:14" x14ac:dyDescent="0.35">
      <c r="A973" t="s">
        <v>2897</v>
      </c>
      <c r="B973" t="s">
        <v>1924</v>
      </c>
      <c r="C973" t="s">
        <v>363</v>
      </c>
      <c r="D973" t="s">
        <v>1890</v>
      </c>
      <c r="E973" t="s">
        <v>1600</v>
      </c>
      <c r="F973" t="s">
        <v>1885</v>
      </c>
      <c r="G973">
        <v>374722</v>
      </c>
      <c r="H973" s="1">
        <v>45228</v>
      </c>
      <c r="I973" s="1">
        <v>45362</v>
      </c>
      <c r="J973">
        <v>134</v>
      </c>
      <c r="K973">
        <v>1.1000000000000001</v>
      </c>
      <c r="L973" t="s">
        <v>21</v>
      </c>
      <c r="M973" t="s">
        <v>1886</v>
      </c>
      <c r="N973" t="s">
        <v>1887</v>
      </c>
    </row>
    <row r="974" spans="1:14" x14ac:dyDescent="0.35">
      <c r="A974" t="s">
        <v>2898</v>
      </c>
      <c r="B974" t="s">
        <v>1914</v>
      </c>
      <c r="C974" t="s">
        <v>218</v>
      </c>
      <c r="D974" t="s">
        <v>1883</v>
      </c>
      <c r="E974" t="s">
        <v>1918</v>
      </c>
      <c r="F974" t="s">
        <v>1908</v>
      </c>
      <c r="G974">
        <v>154673</v>
      </c>
      <c r="H974" s="1">
        <v>45078</v>
      </c>
      <c r="I974" s="1"/>
      <c r="K974">
        <v>7.4</v>
      </c>
      <c r="L974" t="s">
        <v>47</v>
      </c>
      <c r="M974" t="s">
        <v>1893</v>
      </c>
      <c r="N974" t="s">
        <v>1887</v>
      </c>
    </row>
    <row r="975" spans="1:14" x14ac:dyDescent="0.35">
      <c r="A975" t="s">
        <v>2899</v>
      </c>
      <c r="B975" t="s">
        <v>1926</v>
      </c>
      <c r="C975" t="s">
        <v>457</v>
      </c>
      <c r="D975" t="s">
        <v>1904</v>
      </c>
      <c r="E975" t="s">
        <v>1678</v>
      </c>
      <c r="F975" t="s">
        <v>1892</v>
      </c>
      <c r="G975">
        <v>132550</v>
      </c>
      <c r="H975" s="1">
        <v>45556</v>
      </c>
      <c r="I975" s="1"/>
      <c r="L975" t="s">
        <v>21</v>
      </c>
      <c r="M975" t="s">
        <v>1953</v>
      </c>
      <c r="N975" t="s">
        <v>1887</v>
      </c>
    </row>
    <row r="976" spans="1:14" x14ac:dyDescent="0.35">
      <c r="A976" t="s">
        <v>2900</v>
      </c>
      <c r="B976" t="s">
        <v>1911</v>
      </c>
      <c r="C976" t="s">
        <v>365</v>
      </c>
      <c r="D976" t="s">
        <v>1890</v>
      </c>
      <c r="E976" t="s">
        <v>1678</v>
      </c>
      <c r="F976" t="s">
        <v>1895</v>
      </c>
      <c r="G976">
        <v>198986</v>
      </c>
      <c r="H976" s="1">
        <v>45046</v>
      </c>
      <c r="I976" s="1"/>
      <c r="L976" t="s">
        <v>47</v>
      </c>
      <c r="M976" t="s">
        <v>1893</v>
      </c>
      <c r="N976" t="s">
        <v>1887</v>
      </c>
    </row>
    <row r="977" spans="1:14" x14ac:dyDescent="0.35">
      <c r="A977" t="s">
        <v>2901</v>
      </c>
      <c r="B977" t="s">
        <v>1898</v>
      </c>
      <c r="C977" t="s">
        <v>331</v>
      </c>
      <c r="D977" t="s">
        <v>1904</v>
      </c>
      <c r="E977" t="s">
        <v>1918</v>
      </c>
      <c r="F977" t="s">
        <v>1885</v>
      </c>
      <c r="G977">
        <v>498327</v>
      </c>
      <c r="H977" s="1">
        <v>45540</v>
      </c>
      <c r="I977" s="1">
        <v>45580</v>
      </c>
      <c r="J977">
        <v>40</v>
      </c>
      <c r="L977" t="s">
        <v>21</v>
      </c>
      <c r="M977" t="s">
        <v>1953</v>
      </c>
      <c r="N977" t="s">
        <v>1887</v>
      </c>
    </row>
    <row r="978" spans="1:14" x14ac:dyDescent="0.35">
      <c r="A978" t="s">
        <v>2902</v>
      </c>
      <c r="B978" t="s">
        <v>1911</v>
      </c>
      <c r="C978" t="s">
        <v>339</v>
      </c>
      <c r="D978" t="s">
        <v>1899</v>
      </c>
      <c r="E978" t="s">
        <v>1600</v>
      </c>
      <c r="F978" t="s">
        <v>1895</v>
      </c>
      <c r="G978">
        <v>409826</v>
      </c>
      <c r="H978" s="1">
        <v>45330</v>
      </c>
      <c r="I978" s="1"/>
      <c r="K978">
        <v>1</v>
      </c>
      <c r="L978" t="s">
        <v>30</v>
      </c>
      <c r="M978" t="s">
        <v>1916</v>
      </c>
      <c r="N978" t="s">
        <v>1887</v>
      </c>
    </row>
    <row r="979" spans="1:14" x14ac:dyDescent="0.35">
      <c r="A979" t="s">
        <v>2903</v>
      </c>
      <c r="B979" t="s">
        <v>1889</v>
      </c>
      <c r="C979" t="s">
        <v>196</v>
      </c>
      <c r="D979" t="s">
        <v>1904</v>
      </c>
      <c r="E979" t="s">
        <v>1884</v>
      </c>
      <c r="F979" t="s">
        <v>1908</v>
      </c>
      <c r="G979">
        <v>176003</v>
      </c>
      <c r="H979" s="1">
        <v>45378</v>
      </c>
      <c r="I979" s="1"/>
      <c r="L979" t="s">
        <v>47</v>
      </c>
      <c r="M979" t="s">
        <v>1916</v>
      </c>
      <c r="N979" t="s">
        <v>1887</v>
      </c>
    </row>
    <row r="980" spans="1:14" x14ac:dyDescent="0.35">
      <c r="A980" t="s">
        <v>2904</v>
      </c>
      <c r="B980" t="s">
        <v>1934</v>
      </c>
      <c r="C980" t="s">
        <v>66</v>
      </c>
      <c r="D980" t="s">
        <v>1899</v>
      </c>
      <c r="E980" t="s">
        <v>1587</v>
      </c>
      <c r="F980" t="s">
        <v>1908</v>
      </c>
      <c r="G980">
        <v>1090695</v>
      </c>
      <c r="H980" s="1">
        <v>45746</v>
      </c>
      <c r="I980" s="1"/>
      <c r="L980" t="s">
        <v>30</v>
      </c>
      <c r="M980" t="s">
        <v>1912</v>
      </c>
      <c r="N980" t="s">
        <v>1966</v>
      </c>
    </row>
    <row r="981" spans="1:14" x14ac:dyDescent="0.35">
      <c r="A981" t="s">
        <v>2905</v>
      </c>
      <c r="B981" t="s">
        <v>1963</v>
      </c>
      <c r="C981" t="s">
        <v>334</v>
      </c>
      <c r="D981" t="s">
        <v>1890</v>
      </c>
      <c r="E981" t="s">
        <v>1600</v>
      </c>
      <c r="F981" t="s">
        <v>1946</v>
      </c>
      <c r="G981">
        <v>25864</v>
      </c>
      <c r="H981" s="1">
        <v>45434</v>
      </c>
      <c r="I981" s="1"/>
      <c r="K981">
        <v>4.7</v>
      </c>
      <c r="L981" t="s">
        <v>47</v>
      </c>
      <c r="M981" t="s">
        <v>1935</v>
      </c>
      <c r="N981" t="s">
        <v>1887</v>
      </c>
    </row>
    <row r="982" spans="1:14" x14ac:dyDescent="0.35">
      <c r="A982" t="s">
        <v>2906</v>
      </c>
      <c r="B982" t="s">
        <v>1930</v>
      </c>
      <c r="C982" t="s">
        <v>428</v>
      </c>
      <c r="D982" t="s">
        <v>1915</v>
      </c>
      <c r="E982" t="s">
        <v>1600</v>
      </c>
      <c r="F982" t="s">
        <v>1895</v>
      </c>
      <c r="G982">
        <v>323051</v>
      </c>
      <c r="H982" s="1">
        <v>45106</v>
      </c>
      <c r="I982" s="1"/>
      <c r="K982">
        <v>5.7</v>
      </c>
      <c r="L982" t="s">
        <v>30</v>
      </c>
      <c r="M982" t="s">
        <v>1893</v>
      </c>
      <c r="N982" t="s">
        <v>1887</v>
      </c>
    </row>
    <row r="983" spans="1:14" x14ac:dyDescent="0.35">
      <c r="A983" t="s">
        <v>2907</v>
      </c>
      <c r="B983" t="s">
        <v>1903</v>
      </c>
      <c r="C983" t="s">
        <v>328</v>
      </c>
      <c r="D983" t="s">
        <v>1915</v>
      </c>
      <c r="E983" t="s">
        <v>1918</v>
      </c>
      <c r="F983" t="s">
        <v>1900</v>
      </c>
      <c r="G983">
        <v>479053</v>
      </c>
      <c r="H983" s="1">
        <v>45075</v>
      </c>
      <c r="I983" s="1">
        <v>45189</v>
      </c>
      <c r="J983">
        <v>114</v>
      </c>
      <c r="K983">
        <v>12</v>
      </c>
      <c r="L983" t="s">
        <v>47</v>
      </c>
      <c r="M983" t="s">
        <v>1893</v>
      </c>
      <c r="N983" t="s">
        <v>1887</v>
      </c>
    </row>
    <row r="984" spans="1:14" x14ac:dyDescent="0.35">
      <c r="A984" t="s">
        <v>2908</v>
      </c>
      <c r="B984" t="s">
        <v>1882</v>
      </c>
      <c r="C984" t="s">
        <v>160</v>
      </c>
      <c r="D984" t="s">
        <v>1915</v>
      </c>
      <c r="E984" t="s">
        <v>1587</v>
      </c>
      <c r="F984" t="s">
        <v>1946</v>
      </c>
      <c r="G984">
        <v>135182</v>
      </c>
      <c r="H984" s="1">
        <v>45030</v>
      </c>
      <c r="I984" s="1"/>
      <c r="K984">
        <v>4.0999999999999996</v>
      </c>
      <c r="L984" t="s">
        <v>30</v>
      </c>
      <c r="M984" t="s">
        <v>1893</v>
      </c>
      <c r="N984" t="s">
        <v>1887</v>
      </c>
    </row>
    <row r="985" spans="1:14" x14ac:dyDescent="0.35">
      <c r="A985" t="s">
        <v>2909</v>
      </c>
      <c r="B985" t="s">
        <v>1911</v>
      </c>
      <c r="C985" t="s">
        <v>342</v>
      </c>
      <c r="D985" t="s">
        <v>1890</v>
      </c>
      <c r="E985" t="s">
        <v>1891</v>
      </c>
      <c r="F985" t="s">
        <v>1946</v>
      </c>
      <c r="G985">
        <v>359099</v>
      </c>
      <c r="H985" s="1">
        <v>45488</v>
      </c>
      <c r="I985" s="1"/>
      <c r="K985">
        <v>6.7</v>
      </c>
      <c r="L985" t="s">
        <v>15</v>
      </c>
      <c r="M985" t="s">
        <v>1953</v>
      </c>
      <c r="N985" t="s">
        <v>1887</v>
      </c>
    </row>
    <row r="986" spans="1:14" x14ac:dyDescent="0.35">
      <c r="A986" t="s">
        <v>2910</v>
      </c>
      <c r="B986" t="s">
        <v>1944</v>
      </c>
      <c r="C986" t="s">
        <v>291</v>
      </c>
      <c r="D986" t="s">
        <v>1927</v>
      </c>
      <c r="E986" t="s">
        <v>1678</v>
      </c>
      <c r="F986" t="s">
        <v>1900</v>
      </c>
      <c r="G986">
        <v>424514</v>
      </c>
      <c r="H986" s="1">
        <v>44964</v>
      </c>
      <c r="I986" s="1">
        <v>45032</v>
      </c>
      <c r="J986">
        <v>68</v>
      </c>
      <c r="K986">
        <v>5.0999999999999996</v>
      </c>
      <c r="L986" t="s">
        <v>15</v>
      </c>
      <c r="M986" t="s">
        <v>1896</v>
      </c>
      <c r="N986" t="s">
        <v>1887</v>
      </c>
    </row>
    <row r="987" spans="1:14" x14ac:dyDescent="0.35">
      <c r="A987" t="s">
        <v>2911</v>
      </c>
      <c r="B987" t="s">
        <v>1934</v>
      </c>
      <c r="C987" t="s">
        <v>458</v>
      </c>
      <c r="D987" t="s">
        <v>1899</v>
      </c>
      <c r="E987" t="s">
        <v>1884</v>
      </c>
      <c r="F987" t="s">
        <v>1895</v>
      </c>
      <c r="G987">
        <v>220793</v>
      </c>
      <c r="H987" s="1">
        <v>45377</v>
      </c>
      <c r="I987" s="1"/>
      <c r="K987">
        <v>1.2</v>
      </c>
      <c r="L987" t="s">
        <v>30</v>
      </c>
      <c r="M987" t="s">
        <v>1916</v>
      </c>
      <c r="N987" t="s">
        <v>1887</v>
      </c>
    </row>
    <row r="988" spans="1:14" x14ac:dyDescent="0.35">
      <c r="A988" t="s">
        <v>2912</v>
      </c>
      <c r="B988" t="s">
        <v>1944</v>
      </c>
      <c r="C988" t="s">
        <v>479</v>
      </c>
      <c r="D988" t="s">
        <v>1927</v>
      </c>
      <c r="E988" t="s">
        <v>1678</v>
      </c>
      <c r="F988" t="s">
        <v>1895</v>
      </c>
      <c r="G988">
        <v>152328</v>
      </c>
      <c r="H988" s="1">
        <v>45323</v>
      </c>
      <c r="I988" s="1"/>
      <c r="K988">
        <v>2.2999999999999998</v>
      </c>
      <c r="L988" t="s">
        <v>15</v>
      </c>
      <c r="M988" t="s">
        <v>1916</v>
      </c>
      <c r="N988" t="s">
        <v>1887</v>
      </c>
    </row>
    <row r="989" spans="1:14" x14ac:dyDescent="0.35">
      <c r="A989" t="s">
        <v>2913</v>
      </c>
      <c r="B989" t="s">
        <v>1922</v>
      </c>
      <c r="C989" t="s">
        <v>386</v>
      </c>
      <c r="D989" t="s">
        <v>1890</v>
      </c>
      <c r="E989" t="s">
        <v>1587</v>
      </c>
      <c r="F989" t="s">
        <v>1885</v>
      </c>
      <c r="G989">
        <v>461939</v>
      </c>
      <c r="H989" s="1">
        <v>45064</v>
      </c>
      <c r="I989" s="1">
        <v>45103</v>
      </c>
      <c r="J989">
        <v>39</v>
      </c>
      <c r="L989" t="s">
        <v>15</v>
      </c>
      <c r="M989" t="s">
        <v>1893</v>
      </c>
      <c r="N989" t="s">
        <v>1887</v>
      </c>
    </row>
    <row r="990" spans="1:14" x14ac:dyDescent="0.35">
      <c r="A990" t="s">
        <v>2914</v>
      </c>
      <c r="B990" t="s">
        <v>1898</v>
      </c>
      <c r="C990" t="s">
        <v>460</v>
      </c>
      <c r="D990" t="s">
        <v>1927</v>
      </c>
      <c r="E990" t="s">
        <v>1678</v>
      </c>
      <c r="F990" t="s">
        <v>1885</v>
      </c>
      <c r="G990">
        <v>13208</v>
      </c>
      <c r="H990" s="1">
        <v>45476</v>
      </c>
      <c r="I990" s="1">
        <v>45494</v>
      </c>
      <c r="J990">
        <v>18</v>
      </c>
      <c r="K990">
        <v>8.8000000000000007</v>
      </c>
      <c r="L990" t="s">
        <v>30</v>
      </c>
      <c r="M990" t="s">
        <v>1953</v>
      </c>
      <c r="N990" t="s">
        <v>1887</v>
      </c>
    </row>
    <row r="991" spans="1:14" x14ac:dyDescent="0.35">
      <c r="A991" t="s">
        <v>2915</v>
      </c>
      <c r="B991" t="s">
        <v>1937</v>
      </c>
      <c r="C991" t="s">
        <v>448</v>
      </c>
      <c r="D991" t="s">
        <v>1904</v>
      </c>
      <c r="E991" t="s">
        <v>1678</v>
      </c>
      <c r="F991" t="s">
        <v>1900</v>
      </c>
      <c r="G991">
        <v>423092</v>
      </c>
      <c r="H991" s="1">
        <v>45709</v>
      </c>
      <c r="I991" s="1">
        <v>45853</v>
      </c>
      <c r="J991">
        <v>144</v>
      </c>
      <c r="K991">
        <v>20.7</v>
      </c>
      <c r="L991" t="s">
        <v>15</v>
      </c>
      <c r="M991" t="s">
        <v>1912</v>
      </c>
      <c r="N991" t="s">
        <v>1887</v>
      </c>
    </row>
    <row r="992" spans="1:14" x14ac:dyDescent="0.35">
      <c r="A992" t="s">
        <v>2916</v>
      </c>
      <c r="B992" t="s">
        <v>1911</v>
      </c>
      <c r="C992" t="s">
        <v>367</v>
      </c>
      <c r="D992" t="s">
        <v>1883</v>
      </c>
      <c r="E992" t="s">
        <v>1678</v>
      </c>
      <c r="F992" t="s">
        <v>1908</v>
      </c>
      <c r="G992">
        <v>33075</v>
      </c>
      <c r="H992" s="1">
        <v>45063</v>
      </c>
      <c r="I992" s="1"/>
      <c r="K992">
        <v>2.9</v>
      </c>
      <c r="L992" t="s">
        <v>30</v>
      </c>
      <c r="M992" t="s">
        <v>1893</v>
      </c>
      <c r="N992" t="s">
        <v>1887</v>
      </c>
    </row>
    <row r="993" spans="1:14" x14ac:dyDescent="0.35">
      <c r="A993" t="s">
        <v>2917</v>
      </c>
      <c r="B993" t="s">
        <v>1926</v>
      </c>
      <c r="C993" t="s">
        <v>208</v>
      </c>
      <c r="D993" t="s">
        <v>1883</v>
      </c>
      <c r="E993" t="s">
        <v>1931</v>
      </c>
      <c r="F993" t="s">
        <v>1885</v>
      </c>
      <c r="G993">
        <v>405034</v>
      </c>
      <c r="H993" s="1">
        <v>45164</v>
      </c>
      <c r="I993" s="1">
        <v>45250</v>
      </c>
      <c r="J993">
        <v>86</v>
      </c>
      <c r="K993">
        <v>3.1</v>
      </c>
      <c r="L993" t="s">
        <v>15</v>
      </c>
      <c r="M993" t="s">
        <v>1932</v>
      </c>
      <c r="N993" t="s">
        <v>1887</v>
      </c>
    </row>
    <row r="994" spans="1:14" x14ac:dyDescent="0.35">
      <c r="A994" t="s">
        <v>2918</v>
      </c>
      <c r="B994" t="s">
        <v>1930</v>
      </c>
      <c r="C994" t="s">
        <v>314</v>
      </c>
      <c r="D994" t="s">
        <v>1915</v>
      </c>
      <c r="E994" t="s">
        <v>1891</v>
      </c>
      <c r="F994" t="s">
        <v>1908</v>
      </c>
      <c r="G994">
        <v>475818</v>
      </c>
      <c r="H994" s="1">
        <v>45152</v>
      </c>
      <c r="I994" s="1"/>
      <c r="L994" t="s">
        <v>47</v>
      </c>
      <c r="M994" t="s">
        <v>1932</v>
      </c>
      <c r="N994" t="s">
        <v>1887</v>
      </c>
    </row>
    <row r="995" spans="1:14" x14ac:dyDescent="0.35">
      <c r="A995" t="s">
        <v>2919</v>
      </c>
      <c r="B995" t="s">
        <v>1930</v>
      </c>
      <c r="C995" t="s">
        <v>196</v>
      </c>
      <c r="D995" t="s">
        <v>1904</v>
      </c>
      <c r="E995" t="s">
        <v>1891</v>
      </c>
      <c r="F995" t="s">
        <v>1885</v>
      </c>
      <c r="G995">
        <v>394010</v>
      </c>
      <c r="H995" s="1">
        <v>45244</v>
      </c>
      <c r="I995" s="1">
        <v>45342</v>
      </c>
      <c r="J995">
        <v>98</v>
      </c>
      <c r="K995">
        <v>13.1</v>
      </c>
      <c r="L995" t="s">
        <v>15</v>
      </c>
      <c r="M995" t="s">
        <v>1886</v>
      </c>
      <c r="N995" t="s">
        <v>1887</v>
      </c>
    </row>
    <row r="996" spans="1:14" x14ac:dyDescent="0.35">
      <c r="A996" t="s">
        <v>2920</v>
      </c>
      <c r="B996" t="s">
        <v>1914</v>
      </c>
      <c r="C996" t="s">
        <v>80</v>
      </c>
      <c r="D996" t="s">
        <v>1915</v>
      </c>
      <c r="E996" t="s">
        <v>1678</v>
      </c>
      <c r="F996" t="s">
        <v>1908</v>
      </c>
      <c r="G996">
        <v>323646</v>
      </c>
      <c r="H996" s="1">
        <v>45191</v>
      </c>
      <c r="I996" s="1"/>
      <c r="L996" t="s">
        <v>21</v>
      </c>
      <c r="M996" t="s">
        <v>1932</v>
      </c>
      <c r="N996" t="s">
        <v>1887</v>
      </c>
    </row>
    <row r="997" spans="1:14" x14ac:dyDescent="0.35">
      <c r="A997" t="s">
        <v>2921</v>
      </c>
      <c r="B997" t="s">
        <v>1903</v>
      </c>
      <c r="C997" t="s">
        <v>112</v>
      </c>
      <c r="D997" t="s">
        <v>1927</v>
      </c>
      <c r="E997" t="s">
        <v>1600</v>
      </c>
      <c r="F997" t="s">
        <v>1892</v>
      </c>
      <c r="G997">
        <v>446328</v>
      </c>
      <c r="H997" s="1">
        <v>45430</v>
      </c>
      <c r="I997" s="1"/>
      <c r="L997" t="s">
        <v>15</v>
      </c>
      <c r="M997" t="s">
        <v>1935</v>
      </c>
      <c r="N997" t="s">
        <v>1887</v>
      </c>
    </row>
    <row r="998" spans="1:14" x14ac:dyDescent="0.35">
      <c r="A998" t="s">
        <v>2922</v>
      </c>
      <c r="B998" t="s">
        <v>1914</v>
      </c>
      <c r="C998" t="s">
        <v>101</v>
      </c>
      <c r="D998" t="s">
        <v>1883</v>
      </c>
      <c r="E998" t="s">
        <v>1891</v>
      </c>
      <c r="F998" t="s">
        <v>1900</v>
      </c>
      <c r="G998">
        <v>11617</v>
      </c>
      <c r="H998" s="1">
        <v>45642</v>
      </c>
      <c r="I998" s="1">
        <v>45759</v>
      </c>
      <c r="J998">
        <v>117</v>
      </c>
      <c r="K998">
        <v>22.2</v>
      </c>
      <c r="L998" t="s">
        <v>15</v>
      </c>
      <c r="M998" t="s">
        <v>1901</v>
      </c>
      <c r="N998" t="s">
        <v>1887</v>
      </c>
    </row>
    <row r="999" spans="1:14" x14ac:dyDescent="0.35">
      <c r="A999" t="s">
        <v>2923</v>
      </c>
      <c r="B999" t="s">
        <v>1926</v>
      </c>
      <c r="C999" t="s">
        <v>92</v>
      </c>
      <c r="D999" t="s">
        <v>1927</v>
      </c>
      <c r="E999" t="s">
        <v>1918</v>
      </c>
      <c r="F999" t="s">
        <v>1908</v>
      </c>
      <c r="G999">
        <v>299552</v>
      </c>
      <c r="H999" s="1">
        <v>45464</v>
      </c>
      <c r="I999" s="1"/>
      <c r="L999" t="s">
        <v>21</v>
      </c>
      <c r="M999" t="s">
        <v>1935</v>
      </c>
      <c r="N999" t="s">
        <v>1887</v>
      </c>
    </row>
    <row r="1000" spans="1:14" x14ac:dyDescent="0.35">
      <c r="A1000" t="s">
        <v>2924</v>
      </c>
      <c r="B1000" t="s">
        <v>1914</v>
      </c>
      <c r="C1000" t="s">
        <v>66</v>
      </c>
      <c r="D1000" t="s">
        <v>1890</v>
      </c>
      <c r="E1000" t="s">
        <v>1884</v>
      </c>
      <c r="F1000" t="s">
        <v>1908</v>
      </c>
      <c r="G1000">
        <v>275194</v>
      </c>
      <c r="H1000" s="1">
        <v>45421</v>
      </c>
      <c r="I1000" s="1"/>
      <c r="L1000" t="s">
        <v>21</v>
      </c>
      <c r="M1000" t="s">
        <v>1935</v>
      </c>
      <c r="N1000" t="s">
        <v>1887</v>
      </c>
    </row>
    <row r="1001" spans="1:14" x14ac:dyDescent="0.35">
      <c r="A1001" t="s">
        <v>2925</v>
      </c>
      <c r="B1001" t="s">
        <v>1930</v>
      </c>
      <c r="C1001" t="s">
        <v>167</v>
      </c>
      <c r="D1001" t="s">
        <v>1899</v>
      </c>
      <c r="E1001" t="s">
        <v>1931</v>
      </c>
      <c r="F1001" t="s">
        <v>1946</v>
      </c>
      <c r="G1001">
        <v>203014</v>
      </c>
      <c r="H1001" s="1">
        <v>45636</v>
      </c>
      <c r="I1001" s="1"/>
      <c r="K1001">
        <v>12.1</v>
      </c>
      <c r="L1001" t="s">
        <v>47</v>
      </c>
      <c r="M1001" t="s">
        <v>1901</v>
      </c>
      <c r="N1001" t="s">
        <v>1887</v>
      </c>
    </row>
    <row r="1002" spans="1:14" x14ac:dyDescent="0.35">
      <c r="A1002" t="s">
        <v>2926</v>
      </c>
      <c r="B1002" t="s">
        <v>1922</v>
      </c>
      <c r="C1002" t="s">
        <v>42</v>
      </c>
      <c r="D1002" t="s">
        <v>1915</v>
      </c>
      <c r="E1002" t="s">
        <v>1678</v>
      </c>
      <c r="F1002" t="s">
        <v>1885</v>
      </c>
      <c r="G1002">
        <v>67070</v>
      </c>
      <c r="H1002" s="1">
        <v>45237</v>
      </c>
      <c r="I1002" s="1">
        <v>45380</v>
      </c>
      <c r="J1002">
        <v>143</v>
      </c>
      <c r="K1002">
        <v>14.9</v>
      </c>
      <c r="L1002" t="s">
        <v>15</v>
      </c>
      <c r="M1002" t="s">
        <v>1886</v>
      </c>
      <c r="N1002" t="s">
        <v>1887</v>
      </c>
    </row>
    <row r="1003" spans="1:14" x14ac:dyDescent="0.35">
      <c r="A1003" t="s">
        <v>2927</v>
      </c>
      <c r="B1003" t="s">
        <v>1926</v>
      </c>
      <c r="C1003" t="s">
        <v>103</v>
      </c>
      <c r="D1003" t="s">
        <v>1915</v>
      </c>
      <c r="E1003" t="s">
        <v>1891</v>
      </c>
      <c r="F1003" t="s">
        <v>1908</v>
      </c>
      <c r="G1003">
        <v>136734</v>
      </c>
      <c r="H1003" s="1">
        <v>45654</v>
      </c>
      <c r="I1003" s="1"/>
      <c r="K1003">
        <v>1.7</v>
      </c>
      <c r="L1003" t="s">
        <v>15</v>
      </c>
      <c r="M1003" t="s">
        <v>1901</v>
      </c>
      <c r="N1003" t="s">
        <v>1887</v>
      </c>
    </row>
    <row r="1004" spans="1:14" x14ac:dyDescent="0.35">
      <c r="A1004" t="s">
        <v>2928</v>
      </c>
      <c r="B1004" t="s">
        <v>1914</v>
      </c>
      <c r="C1004" t="s">
        <v>277</v>
      </c>
      <c r="D1004" t="s">
        <v>1927</v>
      </c>
      <c r="E1004" t="s">
        <v>1905</v>
      </c>
      <c r="F1004" t="s">
        <v>1900</v>
      </c>
      <c r="G1004">
        <v>297080</v>
      </c>
      <c r="H1004" s="1">
        <v>44946</v>
      </c>
      <c r="I1004" s="1">
        <v>45121</v>
      </c>
      <c r="J1004">
        <v>175</v>
      </c>
      <c r="K1004">
        <v>21.6</v>
      </c>
      <c r="L1004" t="s">
        <v>30</v>
      </c>
      <c r="M1004" t="s">
        <v>1896</v>
      </c>
      <c r="N1004" t="s">
        <v>1887</v>
      </c>
    </row>
    <row r="1005" spans="1:14" x14ac:dyDescent="0.35">
      <c r="A1005" t="s">
        <v>2929</v>
      </c>
      <c r="B1005" t="s">
        <v>1903</v>
      </c>
      <c r="C1005" t="s">
        <v>60</v>
      </c>
      <c r="D1005" t="s">
        <v>1915</v>
      </c>
      <c r="E1005" t="s">
        <v>1931</v>
      </c>
      <c r="F1005" t="s">
        <v>1900</v>
      </c>
      <c r="G1005">
        <v>493760</v>
      </c>
      <c r="H1005" s="1">
        <v>44966</v>
      </c>
      <c r="I1005" s="1">
        <v>45019</v>
      </c>
      <c r="J1005">
        <v>53</v>
      </c>
      <c r="K1005">
        <v>20.8</v>
      </c>
      <c r="L1005" t="s">
        <v>30</v>
      </c>
      <c r="M1005" t="s">
        <v>1896</v>
      </c>
      <c r="N1005" t="s">
        <v>1887</v>
      </c>
    </row>
    <row r="1006" spans="1:14" x14ac:dyDescent="0.35">
      <c r="A1006" t="s">
        <v>2930</v>
      </c>
      <c r="B1006" t="s">
        <v>1898</v>
      </c>
      <c r="C1006" t="s">
        <v>450</v>
      </c>
      <c r="D1006" t="s">
        <v>1927</v>
      </c>
      <c r="E1006" t="s">
        <v>1884</v>
      </c>
      <c r="F1006" t="s">
        <v>1900</v>
      </c>
      <c r="G1006">
        <v>35601</v>
      </c>
      <c r="H1006" s="1">
        <v>45411</v>
      </c>
      <c r="I1006" s="1">
        <v>45481</v>
      </c>
      <c r="J1006">
        <v>70</v>
      </c>
      <c r="K1006">
        <v>10.9</v>
      </c>
      <c r="L1006" t="s">
        <v>15</v>
      </c>
      <c r="M1006" t="s">
        <v>1935</v>
      </c>
      <c r="N1006" t="s">
        <v>1887</v>
      </c>
    </row>
    <row r="1007" spans="1:14" x14ac:dyDescent="0.35">
      <c r="A1007" t="s">
        <v>2931</v>
      </c>
      <c r="B1007" t="s">
        <v>1922</v>
      </c>
      <c r="C1007" t="s">
        <v>440</v>
      </c>
      <c r="D1007" t="s">
        <v>1915</v>
      </c>
      <c r="E1007" t="s">
        <v>1678</v>
      </c>
      <c r="F1007" t="s">
        <v>1900</v>
      </c>
      <c r="G1007">
        <v>372970</v>
      </c>
      <c r="H1007" s="1">
        <v>45195</v>
      </c>
      <c r="I1007" s="1">
        <v>45297</v>
      </c>
      <c r="J1007">
        <v>102</v>
      </c>
      <c r="K1007">
        <v>14.9</v>
      </c>
      <c r="L1007" t="s">
        <v>15</v>
      </c>
      <c r="M1007" t="s">
        <v>1932</v>
      </c>
      <c r="N1007" t="s">
        <v>1887</v>
      </c>
    </row>
    <row r="1008" spans="1:14" x14ac:dyDescent="0.35">
      <c r="A1008" t="s">
        <v>2932</v>
      </c>
      <c r="B1008" t="s">
        <v>1882</v>
      </c>
      <c r="C1008" t="s">
        <v>341</v>
      </c>
      <c r="D1008" t="s">
        <v>1899</v>
      </c>
      <c r="E1008" t="s">
        <v>1587</v>
      </c>
      <c r="F1008" t="s">
        <v>1885</v>
      </c>
      <c r="G1008">
        <v>288260</v>
      </c>
      <c r="H1008" s="1">
        <v>45491</v>
      </c>
      <c r="I1008" s="1">
        <v>45667</v>
      </c>
      <c r="J1008">
        <v>176</v>
      </c>
      <c r="K1008">
        <v>9.5</v>
      </c>
      <c r="L1008" t="s">
        <v>47</v>
      </c>
      <c r="M1008" t="s">
        <v>1953</v>
      </c>
      <c r="N1008" t="s">
        <v>1887</v>
      </c>
    </row>
    <row r="1009" spans="1:14" x14ac:dyDescent="0.35">
      <c r="A1009" t="s">
        <v>2933</v>
      </c>
      <c r="B1009" t="s">
        <v>1930</v>
      </c>
      <c r="C1009" t="s">
        <v>45</v>
      </c>
      <c r="D1009" t="s">
        <v>1927</v>
      </c>
      <c r="E1009" t="s">
        <v>1600</v>
      </c>
      <c r="F1009" t="s">
        <v>1900</v>
      </c>
      <c r="G1009">
        <v>178640</v>
      </c>
      <c r="H1009" s="1">
        <v>45073</v>
      </c>
      <c r="I1009" s="1">
        <v>45114</v>
      </c>
      <c r="J1009">
        <v>41</v>
      </c>
      <c r="K1009">
        <v>0.1</v>
      </c>
      <c r="L1009" t="s">
        <v>47</v>
      </c>
      <c r="M1009" t="s">
        <v>1893</v>
      </c>
      <c r="N1009" t="s">
        <v>1887</v>
      </c>
    </row>
    <row r="1010" spans="1:14" x14ac:dyDescent="0.35">
      <c r="A1010" t="s">
        <v>2934</v>
      </c>
      <c r="B1010" t="s">
        <v>1924</v>
      </c>
      <c r="C1010" t="s">
        <v>408</v>
      </c>
      <c r="D1010" t="s">
        <v>1899</v>
      </c>
      <c r="E1010" t="s">
        <v>1587</v>
      </c>
      <c r="F1010" t="s">
        <v>1892</v>
      </c>
      <c r="G1010">
        <v>183325</v>
      </c>
      <c r="H1010" s="1">
        <v>45470</v>
      </c>
      <c r="I1010" s="1"/>
      <c r="K1010">
        <v>5.3</v>
      </c>
      <c r="L1010" t="s">
        <v>15</v>
      </c>
      <c r="M1010" t="s">
        <v>1935</v>
      </c>
      <c r="N1010" t="s">
        <v>1887</v>
      </c>
    </row>
    <row r="1011" spans="1:14" x14ac:dyDescent="0.35">
      <c r="A1011" t="s">
        <v>2935</v>
      </c>
      <c r="B1011" t="s">
        <v>1911</v>
      </c>
      <c r="C1011" t="s">
        <v>472</v>
      </c>
      <c r="D1011" t="s">
        <v>1915</v>
      </c>
      <c r="E1011" t="s">
        <v>1884</v>
      </c>
      <c r="F1011" t="s">
        <v>1892</v>
      </c>
      <c r="G1011">
        <v>82624</v>
      </c>
      <c r="H1011" s="1">
        <v>45260</v>
      </c>
      <c r="I1011" s="1"/>
      <c r="K1011">
        <v>5.7</v>
      </c>
      <c r="L1011" t="s">
        <v>30</v>
      </c>
      <c r="M1011" t="s">
        <v>1886</v>
      </c>
      <c r="N1011" t="s">
        <v>1887</v>
      </c>
    </row>
    <row r="1012" spans="1:14" x14ac:dyDescent="0.35">
      <c r="A1012" t="s">
        <v>2936</v>
      </c>
      <c r="B1012" t="s">
        <v>1882</v>
      </c>
      <c r="C1012" t="s">
        <v>495</v>
      </c>
      <c r="D1012" t="s">
        <v>1915</v>
      </c>
      <c r="E1012" t="s">
        <v>1600</v>
      </c>
      <c r="F1012" t="s">
        <v>1946</v>
      </c>
      <c r="G1012">
        <v>393998</v>
      </c>
      <c r="H1012" s="1">
        <v>44941</v>
      </c>
      <c r="I1012" s="1"/>
      <c r="K1012">
        <v>12.6</v>
      </c>
      <c r="L1012" t="s">
        <v>30</v>
      </c>
      <c r="M1012" t="s">
        <v>1896</v>
      </c>
      <c r="N1012" t="s">
        <v>1887</v>
      </c>
    </row>
    <row r="1013" spans="1:14" x14ac:dyDescent="0.35">
      <c r="A1013" t="s">
        <v>2937</v>
      </c>
      <c r="B1013" t="s">
        <v>1924</v>
      </c>
      <c r="C1013" t="s">
        <v>469</v>
      </c>
      <c r="D1013" t="s">
        <v>1890</v>
      </c>
      <c r="E1013" t="s">
        <v>1884</v>
      </c>
      <c r="F1013" t="s">
        <v>1892</v>
      </c>
      <c r="G1013">
        <v>235181</v>
      </c>
      <c r="H1013" s="1">
        <v>45589</v>
      </c>
      <c r="I1013" s="1"/>
      <c r="K1013">
        <v>3.7</v>
      </c>
      <c r="L1013" t="s">
        <v>47</v>
      </c>
      <c r="M1013" t="s">
        <v>1901</v>
      </c>
      <c r="N1013" t="s">
        <v>1887</v>
      </c>
    </row>
    <row r="1014" spans="1:14" x14ac:dyDescent="0.35">
      <c r="A1014" t="s">
        <v>2938</v>
      </c>
      <c r="B1014" t="s">
        <v>1926</v>
      </c>
      <c r="C1014" t="s">
        <v>331</v>
      </c>
      <c r="D1014" t="s">
        <v>1899</v>
      </c>
      <c r="E1014" t="s">
        <v>1931</v>
      </c>
      <c r="F1014" t="s">
        <v>1908</v>
      </c>
      <c r="G1014">
        <v>145071</v>
      </c>
      <c r="H1014" s="1">
        <v>45613</v>
      </c>
      <c r="I1014" s="1"/>
      <c r="L1014" t="s">
        <v>30</v>
      </c>
      <c r="M1014" t="s">
        <v>1901</v>
      </c>
      <c r="N1014" t="s">
        <v>1887</v>
      </c>
    </row>
    <row r="1015" spans="1:14" x14ac:dyDescent="0.35">
      <c r="A1015" t="s">
        <v>2939</v>
      </c>
      <c r="B1015" t="s">
        <v>1963</v>
      </c>
      <c r="C1015" t="s">
        <v>289</v>
      </c>
      <c r="D1015" t="s">
        <v>1915</v>
      </c>
      <c r="E1015" t="s">
        <v>1600</v>
      </c>
      <c r="F1015" t="s">
        <v>1895</v>
      </c>
      <c r="G1015">
        <v>154454</v>
      </c>
      <c r="H1015" s="1">
        <v>45632</v>
      </c>
      <c r="I1015" s="1"/>
      <c r="L1015" t="s">
        <v>47</v>
      </c>
      <c r="M1015" t="s">
        <v>1901</v>
      </c>
      <c r="N1015" t="s">
        <v>1887</v>
      </c>
    </row>
    <row r="1016" spans="1:14" x14ac:dyDescent="0.35">
      <c r="A1016" t="s">
        <v>2940</v>
      </c>
      <c r="B1016" t="s">
        <v>1963</v>
      </c>
      <c r="C1016" t="s">
        <v>144</v>
      </c>
      <c r="D1016" t="s">
        <v>1899</v>
      </c>
      <c r="E1016" t="s">
        <v>1678</v>
      </c>
      <c r="F1016" t="s">
        <v>1908</v>
      </c>
      <c r="G1016">
        <v>206789</v>
      </c>
      <c r="H1016" s="1">
        <v>45696</v>
      </c>
      <c r="I1016" s="1"/>
      <c r="K1016">
        <v>14.6</v>
      </c>
      <c r="L1016" t="s">
        <v>21</v>
      </c>
      <c r="M1016" t="s">
        <v>1912</v>
      </c>
      <c r="N1016" t="s">
        <v>1887</v>
      </c>
    </row>
    <row r="1017" spans="1:14" x14ac:dyDescent="0.35">
      <c r="A1017" t="s">
        <v>2941</v>
      </c>
      <c r="B1017" t="s">
        <v>1926</v>
      </c>
      <c r="C1017" t="s">
        <v>436</v>
      </c>
      <c r="D1017" t="s">
        <v>1890</v>
      </c>
      <c r="E1017" t="s">
        <v>1678</v>
      </c>
      <c r="F1017" t="s">
        <v>1895</v>
      </c>
      <c r="G1017">
        <v>236341</v>
      </c>
      <c r="H1017" s="1">
        <v>45186</v>
      </c>
      <c r="I1017" s="1"/>
      <c r="K1017">
        <v>13.3</v>
      </c>
      <c r="L1017" t="s">
        <v>21</v>
      </c>
      <c r="M1017" t="s">
        <v>1932</v>
      </c>
      <c r="N1017" t="s">
        <v>1887</v>
      </c>
    </row>
    <row r="1018" spans="1:14" x14ac:dyDescent="0.35">
      <c r="A1018" t="s">
        <v>2942</v>
      </c>
      <c r="B1018" t="s">
        <v>1903</v>
      </c>
      <c r="C1018" t="s">
        <v>128</v>
      </c>
      <c r="D1018" t="s">
        <v>1899</v>
      </c>
      <c r="E1018" t="s">
        <v>1905</v>
      </c>
      <c r="F1018" t="s">
        <v>1946</v>
      </c>
      <c r="G1018">
        <v>69212</v>
      </c>
      <c r="H1018" s="1">
        <v>45406</v>
      </c>
      <c r="I1018" s="1"/>
      <c r="K1018">
        <v>11.9</v>
      </c>
      <c r="L1018" t="s">
        <v>30</v>
      </c>
      <c r="M1018" t="s">
        <v>1935</v>
      </c>
      <c r="N1018" t="s">
        <v>1887</v>
      </c>
    </row>
    <row r="1019" spans="1:14" x14ac:dyDescent="0.35">
      <c r="A1019" t="s">
        <v>2943</v>
      </c>
      <c r="B1019" t="s">
        <v>1914</v>
      </c>
      <c r="C1019" t="s">
        <v>42</v>
      </c>
      <c r="D1019" t="s">
        <v>1904</v>
      </c>
      <c r="E1019" t="s">
        <v>1931</v>
      </c>
      <c r="F1019" t="s">
        <v>1908</v>
      </c>
      <c r="G1019">
        <v>247071</v>
      </c>
      <c r="H1019" s="1">
        <v>45708</v>
      </c>
      <c r="I1019" s="1"/>
      <c r="K1019">
        <v>3.2</v>
      </c>
      <c r="L1019" t="s">
        <v>21</v>
      </c>
      <c r="M1019" t="s">
        <v>1912</v>
      </c>
      <c r="N1019" t="s">
        <v>1887</v>
      </c>
    </row>
    <row r="1020" spans="1:14" x14ac:dyDescent="0.35">
      <c r="A1020" t="s">
        <v>2944</v>
      </c>
      <c r="B1020" t="s">
        <v>1907</v>
      </c>
      <c r="C1020" t="s">
        <v>106</v>
      </c>
      <c r="D1020" t="s">
        <v>1915</v>
      </c>
      <c r="E1020" t="s">
        <v>1884</v>
      </c>
      <c r="F1020" t="s">
        <v>1895</v>
      </c>
      <c r="G1020">
        <v>236819</v>
      </c>
      <c r="H1020" s="1">
        <v>44999</v>
      </c>
      <c r="I1020" s="1"/>
      <c r="K1020">
        <v>1.9</v>
      </c>
      <c r="L1020" t="s">
        <v>15</v>
      </c>
      <c r="M1020" t="s">
        <v>1896</v>
      </c>
      <c r="N1020" t="s">
        <v>1887</v>
      </c>
    </row>
    <row r="1021" spans="1:14" x14ac:dyDescent="0.35">
      <c r="A1021" t="s">
        <v>2945</v>
      </c>
      <c r="B1021" t="s">
        <v>1898</v>
      </c>
      <c r="C1021" t="s">
        <v>97</v>
      </c>
      <c r="D1021" t="s">
        <v>1883</v>
      </c>
      <c r="E1021" t="s">
        <v>1678</v>
      </c>
      <c r="F1021" t="s">
        <v>1885</v>
      </c>
      <c r="G1021">
        <v>405260</v>
      </c>
      <c r="H1021" s="1">
        <v>45083</v>
      </c>
      <c r="I1021" s="1">
        <v>45126</v>
      </c>
      <c r="J1021">
        <v>43</v>
      </c>
      <c r="K1021">
        <v>5</v>
      </c>
      <c r="L1021" t="s">
        <v>21</v>
      </c>
      <c r="M1021" t="s">
        <v>1893</v>
      </c>
      <c r="N1021" t="s">
        <v>1887</v>
      </c>
    </row>
    <row r="1022" spans="1:14" x14ac:dyDescent="0.35">
      <c r="A1022" t="s">
        <v>2946</v>
      </c>
      <c r="B1022" t="s">
        <v>1907</v>
      </c>
      <c r="C1022" t="s">
        <v>330</v>
      </c>
      <c r="D1022" t="s">
        <v>1915</v>
      </c>
      <c r="E1022" t="s">
        <v>1678</v>
      </c>
      <c r="F1022" t="s">
        <v>1908</v>
      </c>
      <c r="G1022">
        <v>367655</v>
      </c>
      <c r="H1022" s="1">
        <v>45463</v>
      </c>
      <c r="I1022" s="1"/>
      <c r="K1022">
        <v>5.4</v>
      </c>
      <c r="L1022" t="s">
        <v>30</v>
      </c>
      <c r="M1022" t="s">
        <v>1935</v>
      </c>
      <c r="N1022" t="s">
        <v>1887</v>
      </c>
    </row>
    <row r="1023" spans="1:14" x14ac:dyDescent="0.35">
      <c r="A1023" t="s">
        <v>2947</v>
      </c>
      <c r="B1023" t="s">
        <v>1914</v>
      </c>
      <c r="C1023" t="s">
        <v>499</v>
      </c>
      <c r="D1023" t="s">
        <v>1883</v>
      </c>
      <c r="E1023" t="s">
        <v>1884</v>
      </c>
      <c r="F1023" t="s">
        <v>1885</v>
      </c>
      <c r="G1023">
        <v>26056</v>
      </c>
      <c r="H1023" s="1">
        <v>45532</v>
      </c>
      <c r="I1023" s="1">
        <v>45707</v>
      </c>
      <c r="J1023">
        <v>175</v>
      </c>
      <c r="K1023">
        <v>5.0999999999999996</v>
      </c>
      <c r="L1023" t="s">
        <v>30</v>
      </c>
      <c r="M1023" t="s">
        <v>1953</v>
      </c>
      <c r="N1023" t="s">
        <v>1887</v>
      </c>
    </row>
    <row r="1024" spans="1:14" x14ac:dyDescent="0.35">
      <c r="A1024" t="s">
        <v>2948</v>
      </c>
      <c r="B1024" t="s">
        <v>1926</v>
      </c>
      <c r="C1024" t="s">
        <v>328</v>
      </c>
      <c r="D1024" t="s">
        <v>1904</v>
      </c>
      <c r="E1024" t="s">
        <v>1587</v>
      </c>
      <c r="F1024" t="s">
        <v>1908</v>
      </c>
      <c r="G1024">
        <v>176590</v>
      </c>
      <c r="H1024" s="1">
        <v>45607</v>
      </c>
      <c r="I1024" s="1"/>
      <c r="K1024">
        <v>10.5</v>
      </c>
      <c r="L1024" t="s">
        <v>30</v>
      </c>
      <c r="M1024" t="s">
        <v>1901</v>
      </c>
      <c r="N1024" t="s">
        <v>1887</v>
      </c>
    </row>
    <row r="1025" spans="1:14" x14ac:dyDescent="0.35">
      <c r="A1025" t="s">
        <v>2949</v>
      </c>
      <c r="B1025" t="s">
        <v>1889</v>
      </c>
      <c r="C1025" t="s">
        <v>260</v>
      </c>
      <c r="D1025" t="s">
        <v>1883</v>
      </c>
      <c r="E1025" t="s">
        <v>1905</v>
      </c>
      <c r="F1025" t="s">
        <v>1900</v>
      </c>
      <c r="G1025">
        <v>72097</v>
      </c>
      <c r="H1025" s="1">
        <v>45051</v>
      </c>
      <c r="I1025" s="1">
        <v>45165</v>
      </c>
      <c r="J1025">
        <v>114</v>
      </c>
      <c r="K1025">
        <v>0.6</v>
      </c>
      <c r="L1025" t="s">
        <v>15</v>
      </c>
      <c r="M1025" t="s">
        <v>1893</v>
      </c>
      <c r="N1025" t="s">
        <v>1887</v>
      </c>
    </row>
    <row r="1026" spans="1:14" x14ac:dyDescent="0.35">
      <c r="A1026" t="s">
        <v>2950</v>
      </c>
      <c r="B1026" t="s">
        <v>1937</v>
      </c>
      <c r="C1026" t="s">
        <v>398</v>
      </c>
      <c r="D1026" t="s">
        <v>1890</v>
      </c>
      <c r="E1026" t="s">
        <v>1600</v>
      </c>
      <c r="F1026" t="s">
        <v>1908</v>
      </c>
      <c r="G1026">
        <v>106421</v>
      </c>
      <c r="H1026" s="1">
        <v>44943</v>
      </c>
      <c r="I1026" s="1"/>
      <c r="L1026" t="s">
        <v>21</v>
      </c>
      <c r="M1026" t="s">
        <v>1896</v>
      </c>
      <c r="N1026" t="s">
        <v>1887</v>
      </c>
    </row>
    <row r="1027" spans="1:14" x14ac:dyDescent="0.35">
      <c r="A1027" t="s">
        <v>2951</v>
      </c>
      <c r="B1027" t="s">
        <v>1914</v>
      </c>
      <c r="C1027" t="s">
        <v>207</v>
      </c>
      <c r="D1027" t="s">
        <v>1915</v>
      </c>
      <c r="E1027" t="s">
        <v>1891</v>
      </c>
      <c r="F1027" t="s">
        <v>1900</v>
      </c>
      <c r="G1027">
        <v>112094</v>
      </c>
      <c r="H1027" s="1">
        <v>45033</v>
      </c>
      <c r="I1027" s="1">
        <v>45067</v>
      </c>
      <c r="J1027">
        <v>34</v>
      </c>
      <c r="K1027">
        <v>19.5</v>
      </c>
      <c r="L1027" t="s">
        <v>21</v>
      </c>
      <c r="M1027" t="s">
        <v>1893</v>
      </c>
      <c r="N1027" t="s">
        <v>1887</v>
      </c>
    </row>
    <row r="1028" spans="1:14" x14ac:dyDescent="0.35">
      <c r="A1028" t="s">
        <v>2952</v>
      </c>
      <c r="B1028" t="s">
        <v>1963</v>
      </c>
      <c r="C1028" t="s">
        <v>230</v>
      </c>
      <c r="D1028" t="s">
        <v>1890</v>
      </c>
      <c r="E1028" t="s">
        <v>1931</v>
      </c>
      <c r="F1028" t="s">
        <v>1892</v>
      </c>
      <c r="G1028">
        <v>258072</v>
      </c>
      <c r="H1028" s="1">
        <v>45513</v>
      </c>
      <c r="I1028" s="1"/>
      <c r="K1028">
        <v>0.8</v>
      </c>
      <c r="L1028" t="s">
        <v>47</v>
      </c>
      <c r="M1028" t="s">
        <v>1953</v>
      </c>
      <c r="N1028" t="s">
        <v>1887</v>
      </c>
    </row>
    <row r="1029" spans="1:14" x14ac:dyDescent="0.35">
      <c r="A1029" t="s">
        <v>2953</v>
      </c>
      <c r="B1029" t="s">
        <v>1963</v>
      </c>
      <c r="C1029" t="s">
        <v>472</v>
      </c>
      <c r="D1029" t="s">
        <v>1890</v>
      </c>
      <c r="E1029" t="s">
        <v>1931</v>
      </c>
      <c r="F1029" t="s">
        <v>1908</v>
      </c>
      <c r="G1029">
        <v>394544</v>
      </c>
      <c r="H1029" s="1">
        <v>44995</v>
      </c>
      <c r="I1029" s="1"/>
      <c r="K1029">
        <v>0.9</v>
      </c>
      <c r="L1029" t="s">
        <v>15</v>
      </c>
      <c r="M1029" t="s">
        <v>1896</v>
      </c>
      <c r="N1029" t="s">
        <v>1887</v>
      </c>
    </row>
    <row r="1030" spans="1:14" x14ac:dyDescent="0.35">
      <c r="A1030" t="s">
        <v>2954</v>
      </c>
      <c r="B1030" t="s">
        <v>1922</v>
      </c>
      <c r="C1030" t="s">
        <v>428</v>
      </c>
      <c r="D1030" t="s">
        <v>1915</v>
      </c>
      <c r="E1030" t="s">
        <v>1918</v>
      </c>
      <c r="F1030" t="s">
        <v>1900</v>
      </c>
      <c r="G1030">
        <v>70820</v>
      </c>
      <c r="H1030" s="1">
        <v>45065</v>
      </c>
      <c r="I1030" s="1">
        <v>45105</v>
      </c>
      <c r="J1030">
        <v>40</v>
      </c>
      <c r="K1030">
        <v>7.7</v>
      </c>
      <c r="L1030" t="s">
        <v>47</v>
      </c>
      <c r="M1030" t="s">
        <v>1893</v>
      </c>
      <c r="N1030" t="s">
        <v>1887</v>
      </c>
    </row>
    <row r="1031" spans="1:14" x14ac:dyDescent="0.35">
      <c r="A1031" t="s">
        <v>2955</v>
      </c>
      <c r="B1031" t="s">
        <v>1898</v>
      </c>
      <c r="C1031" t="s">
        <v>494</v>
      </c>
      <c r="D1031" t="s">
        <v>1927</v>
      </c>
      <c r="E1031" t="s">
        <v>1884</v>
      </c>
      <c r="F1031" t="s">
        <v>1895</v>
      </c>
      <c r="G1031">
        <v>484905</v>
      </c>
      <c r="H1031" s="1">
        <v>45172</v>
      </c>
      <c r="I1031" s="1"/>
      <c r="K1031">
        <v>8.5</v>
      </c>
      <c r="L1031" t="s">
        <v>21</v>
      </c>
      <c r="M1031" t="s">
        <v>1932</v>
      </c>
      <c r="N1031" t="s">
        <v>1887</v>
      </c>
    </row>
    <row r="1032" spans="1:14" x14ac:dyDescent="0.35">
      <c r="A1032" t="s">
        <v>2956</v>
      </c>
      <c r="B1032" t="s">
        <v>1889</v>
      </c>
      <c r="C1032" t="s">
        <v>467</v>
      </c>
      <c r="D1032" t="s">
        <v>1915</v>
      </c>
      <c r="E1032" t="s">
        <v>1600</v>
      </c>
      <c r="F1032" t="s">
        <v>1895</v>
      </c>
      <c r="G1032">
        <v>211426</v>
      </c>
      <c r="H1032" s="1">
        <v>44934</v>
      </c>
      <c r="I1032" s="1"/>
      <c r="K1032">
        <v>1.5</v>
      </c>
      <c r="L1032" t="s">
        <v>21</v>
      </c>
      <c r="M1032" t="s">
        <v>1896</v>
      </c>
      <c r="N1032" t="s">
        <v>1887</v>
      </c>
    </row>
    <row r="1033" spans="1:14" x14ac:dyDescent="0.35">
      <c r="A1033" t="s">
        <v>2957</v>
      </c>
      <c r="B1033" t="s">
        <v>1882</v>
      </c>
      <c r="C1033" t="s">
        <v>245</v>
      </c>
      <c r="D1033" t="s">
        <v>1899</v>
      </c>
      <c r="E1033" t="s">
        <v>1931</v>
      </c>
      <c r="F1033" t="s">
        <v>1895</v>
      </c>
      <c r="G1033">
        <v>338931</v>
      </c>
      <c r="H1033" s="1">
        <v>45464</v>
      </c>
      <c r="I1033" s="1"/>
      <c r="K1033">
        <v>6.7</v>
      </c>
      <c r="L1033" t="s">
        <v>15</v>
      </c>
      <c r="M1033" t="s">
        <v>1935</v>
      </c>
      <c r="N1033" t="s">
        <v>1887</v>
      </c>
    </row>
    <row r="1034" spans="1:14" x14ac:dyDescent="0.35">
      <c r="A1034" t="s">
        <v>2958</v>
      </c>
      <c r="B1034" t="s">
        <v>1930</v>
      </c>
      <c r="C1034" t="s">
        <v>490</v>
      </c>
      <c r="D1034" t="s">
        <v>1915</v>
      </c>
      <c r="E1034" t="s">
        <v>1931</v>
      </c>
      <c r="F1034" t="s">
        <v>1908</v>
      </c>
      <c r="G1034">
        <v>231349</v>
      </c>
      <c r="H1034" s="1">
        <v>45412</v>
      </c>
      <c r="I1034" s="1"/>
      <c r="K1034">
        <v>15</v>
      </c>
      <c r="L1034" t="s">
        <v>21</v>
      </c>
      <c r="M1034" t="s">
        <v>1935</v>
      </c>
      <c r="N1034" t="s">
        <v>1887</v>
      </c>
    </row>
    <row r="1035" spans="1:14" x14ac:dyDescent="0.35">
      <c r="A1035" t="s">
        <v>2959</v>
      </c>
      <c r="B1035" t="s">
        <v>1937</v>
      </c>
      <c r="C1035" t="s">
        <v>488</v>
      </c>
      <c r="D1035" t="s">
        <v>1883</v>
      </c>
      <c r="E1035" t="s">
        <v>1587</v>
      </c>
      <c r="F1035" t="s">
        <v>1946</v>
      </c>
      <c r="G1035">
        <v>373821</v>
      </c>
      <c r="H1035" s="1">
        <v>45042</v>
      </c>
      <c r="I1035" s="1"/>
      <c r="K1035">
        <v>5.2</v>
      </c>
      <c r="L1035" t="s">
        <v>30</v>
      </c>
      <c r="M1035" t="s">
        <v>1893</v>
      </c>
      <c r="N1035" t="s">
        <v>1887</v>
      </c>
    </row>
    <row r="1036" spans="1:14" x14ac:dyDescent="0.35">
      <c r="A1036" t="s">
        <v>2960</v>
      </c>
      <c r="B1036" t="s">
        <v>1914</v>
      </c>
      <c r="C1036" t="s">
        <v>275</v>
      </c>
      <c r="D1036" t="s">
        <v>1899</v>
      </c>
      <c r="E1036" t="s">
        <v>1945</v>
      </c>
      <c r="F1036" t="s">
        <v>1895</v>
      </c>
      <c r="G1036">
        <v>32667</v>
      </c>
      <c r="H1036" s="1">
        <v>45133</v>
      </c>
      <c r="I1036" s="1"/>
      <c r="K1036">
        <v>6</v>
      </c>
      <c r="L1036" t="s">
        <v>21</v>
      </c>
      <c r="M1036" t="s">
        <v>1932</v>
      </c>
      <c r="N1036" t="s">
        <v>1887</v>
      </c>
    </row>
    <row r="1037" spans="1:14" x14ac:dyDescent="0.35">
      <c r="A1037" t="s">
        <v>2961</v>
      </c>
      <c r="B1037" t="s">
        <v>1889</v>
      </c>
      <c r="C1037" t="s">
        <v>230</v>
      </c>
      <c r="D1037" t="s">
        <v>1890</v>
      </c>
      <c r="E1037" t="s">
        <v>1891</v>
      </c>
      <c r="F1037" t="s">
        <v>1885</v>
      </c>
      <c r="G1037">
        <v>14143</v>
      </c>
      <c r="H1037" s="1">
        <v>45467</v>
      </c>
      <c r="I1037" s="1">
        <v>45638</v>
      </c>
      <c r="J1037">
        <v>171</v>
      </c>
      <c r="K1037">
        <v>10.5</v>
      </c>
      <c r="L1037" t="s">
        <v>15</v>
      </c>
      <c r="M1037" t="s">
        <v>1935</v>
      </c>
      <c r="N1037" t="s">
        <v>1887</v>
      </c>
    </row>
    <row r="1038" spans="1:14" x14ac:dyDescent="0.35">
      <c r="A1038" t="s">
        <v>2962</v>
      </c>
      <c r="B1038" t="s">
        <v>1882</v>
      </c>
      <c r="C1038" t="s">
        <v>303</v>
      </c>
      <c r="D1038" t="s">
        <v>1890</v>
      </c>
      <c r="E1038" t="s">
        <v>1600</v>
      </c>
      <c r="F1038" t="s">
        <v>1908</v>
      </c>
      <c r="G1038">
        <v>76519</v>
      </c>
      <c r="H1038" s="1">
        <v>45655</v>
      </c>
      <c r="I1038" s="1"/>
      <c r="K1038">
        <v>1.9</v>
      </c>
      <c r="L1038" t="s">
        <v>15</v>
      </c>
      <c r="M1038" t="s">
        <v>1901</v>
      </c>
      <c r="N1038" t="s">
        <v>1887</v>
      </c>
    </row>
    <row r="1039" spans="1:14" x14ac:dyDescent="0.35">
      <c r="A1039" t="s">
        <v>2963</v>
      </c>
      <c r="B1039" t="s">
        <v>1937</v>
      </c>
      <c r="C1039" t="s">
        <v>133</v>
      </c>
      <c r="D1039" t="s">
        <v>1883</v>
      </c>
      <c r="E1039" t="s">
        <v>1891</v>
      </c>
      <c r="F1039" t="s">
        <v>1900</v>
      </c>
      <c r="G1039">
        <v>327459</v>
      </c>
      <c r="H1039" s="1">
        <v>44994</v>
      </c>
      <c r="I1039" s="1">
        <v>45154</v>
      </c>
      <c r="J1039">
        <v>160</v>
      </c>
      <c r="K1039">
        <v>21</v>
      </c>
      <c r="L1039" t="s">
        <v>30</v>
      </c>
      <c r="M1039" t="s">
        <v>1896</v>
      </c>
      <c r="N1039" t="s">
        <v>1887</v>
      </c>
    </row>
    <row r="1040" spans="1:14" x14ac:dyDescent="0.35">
      <c r="A1040" t="s">
        <v>2964</v>
      </c>
      <c r="B1040" t="s">
        <v>1963</v>
      </c>
      <c r="C1040" t="s">
        <v>337</v>
      </c>
      <c r="D1040" t="s">
        <v>1904</v>
      </c>
      <c r="E1040" t="s">
        <v>1587</v>
      </c>
      <c r="F1040" t="s">
        <v>1895</v>
      </c>
      <c r="G1040">
        <v>306386</v>
      </c>
      <c r="H1040" s="1">
        <v>44932</v>
      </c>
      <c r="I1040" s="1"/>
      <c r="L1040" t="s">
        <v>30</v>
      </c>
      <c r="M1040" t="s">
        <v>1896</v>
      </c>
      <c r="N1040" t="s">
        <v>1887</v>
      </c>
    </row>
    <row r="1041" spans="1:14" x14ac:dyDescent="0.35">
      <c r="A1041" t="s">
        <v>2965</v>
      </c>
      <c r="B1041" t="s">
        <v>1934</v>
      </c>
      <c r="C1041" t="s">
        <v>384</v>
      </c>
      <c r="D1041" t="s">
        <v>1927</v>
      </c>
      <c r="E1041" t="s">
        <v>1884</v>
      </c>
      <c r="F1041" t="s">
        <v>1908</v>
      </c>
      <c r="G1041">
        <v>219001</v>
      </c>
      <c r="H1041" s="1">
        <v>45019</v>
      </c>
      <c r="I1041" s="1"/>
      <c r="K1041">
        <v>7.3</v>
      </c>
      <c r="L1041" t="s">
        <v>47</v>
      </c>
      <c r="M1041" t="s">
        <v>1893</v>
      </c>
      <c r="N1041" t="s">
        <v>1887</v>
      </c>
    </row>
    <row r="1042" spans="1:14" x14ac:dyDescent="0.35">
      <c r="A1042" t="s">
        <v>2966</v>
      </c>
      <c r="B1042" t="s">
        <v>1937</v>
      </c>
      <c r="C1042" t="s">
        <v>439</v>
      </c>
      <c r="D1042" t="s">
        <v>1915</v>
      </c>
      <c r="E1042" t="s">
        <v>1678</v>
      </c>
      <c r="F1042" t="s">
        <v>1892</v>
      </c>
      <c r="G1042">
        <v>271472</v>
      </c>
      <c r="H1042" s="1">
        <v>45313</v>
      </c>
      <c r="I1042" s="1"/>
      <c r="L1042" t="s">
        <v>15</v>
      </c>
      <c r="M1042" t="s">
        <v>1916</v>
      </c>
      <c r="N1042" t="s">
        <v>1887</v>
      </c>
    </row>
    <row r="1043" spans="1:14" x14ac:dyDescent="0.35">
      <c r="A1043" t="s">
        <v>2967</v>
      </c>
      <c r="B1043" t="s">
        <v>1922</v>
      </c>
      <c r="C1043" t="s">
        <v>135</v>
      </c>
      <c r="D1043" t="s">
        <v>1899</v>
      </c>
      <c r="E1043" t="s">
        <v>1931</v>
      </c>
      <c r="F1043" t="s">
        <v>1900</v>
      </c>
      <c r="G1043">
        <v>381874</v>
      </c>
      <c r="H1043" s="1">
        <v>45135</v>
      </c>
      <c r="I1043" s="1">
        <v>45210</v>
      </c>
      <c r="J1043">
        <v>75</v>
      </c>
      <c r="K1043">
        <v>10.4</v>
      </c>
      <c r="L1043" t="s">
        <v>15</v>
      </c>
      <c r="M1043" t="s">
        <v>1932</v>
      </c>
      <c r="N1043" t="s">
        <v>1887</v>
      </c>
    </row>
    <row r="1044" spans="1:14" x14ac:dyDescent="0.35">
      <c r="A1044" t="s">
        <v>2968</v>
      </c>
      <c r="B1044" t="s">
        <v>1924</v>
      </c>
      <c r="C1044" t="s">
        <v>307</v>
      </c>
      <c r="D1044" t="s">
        <v>1883</v>
      </c>
      <c r="E1044" t="s">
        <v>1891</v>
      </c>
      <c r="F1044" t="s">
        <v>1900</v>
      </c>
      <c r="G1044">
        <v>55885</v>
      </c>
      <c r="H1044" s="1">
        <v>45244</v>
      </c>
      <c r="I1044" s="1">
        <v>45343</v>
      </c>
      <c r="J1044">
        <v>99</v>
      </c>
      <c r="K1044">
        <v>24.9</v>
      </c>
      <c r="L1044" t="s">
        <v>47</v>
      </c>
      <c r="M1044" t="s">
        <v>1886</v>
      </c>
      <c r="N1044" t="s">
        <v>1887</v>
      </c>
    </row>
    <row r="1045" spans="1:14" x14ac:dyDescent="0.35">
      <c r="A1045" t="s">
        <v>2969</v>
      </c>
      <c r="B1045" t="s">
        <v>1889</v>
      </c>
      <c r="C1045" t="s">
        <v>23</v>
      </c>
      <c r="D1045" t="s">
        <v>1927</v>
      </c>
      <c r="E1045" t="s">
        <v>1891</v>
      </c>
      <c r="F1045" t="s">
        <v>1885</v>
      </c>
      <c r="G1045">
        <v>48188</v>
      </c>
      <c r="H1045" s="1">
        <v>45296</v>
      </c>
      <c r="I1045" s="1">
        <v>45396</v>
      </c>
      <c r="J1045">
        <v>100</v>
      </c>
      <c r="L1045" t="s">
        <v>30</v>
      </c>
      <c r="M1045" t="s">
        <v>1916</v>
      </c>
      <c r="N1045" t="s">
        <v>1887</v>
      </c>
    </row>
    <row r="1046" spans="1:14" x14ac:dyDescent="0.35">
      <c r="A1046" t="s">
        <v>2970</v>
      </c>
      <c r="B1046" t="s">
        <v>1882</v>
      </c>
      <c r="C1046" t="s">
        <v>473</v>
      </c>
      <c r="D1046" t="s">
        <v>1890</v>
      </c>
      <c r="E1046" t="s">
        <v>1884</v>
      </c>
      <c r="F1046" t="s">
        <v>1946</v>
      </c>
      <c r="G1046">
        <v>95319</v>
      </c>
      <c r="H1046" s="1">
        <v>45170</v>
      </c>
      <c r="I1046" s="1"/>
      <c r="L1046" t="s">
        <v>47</v>
      </c>
      <c r="M1046" t="s">
        <v>1932</v>
      </c>
      <c r="N1046" t="s">
        <v>1887</v>
      </c>
    </row>
    <row r="1047" spans="1:14" x14ac:dyDescent="0.35">
      <c r="A1047" t="s">
        <v>2971</v>
      </c>
      <c r="B1047" t="s">
        <v>1920</v>
      </c>
      <c r="C1047" t="s">
        <v>484</v>
      </c>
      <c r="D1047" t="s">
        <v>1927</v>
      </c>
      <c r="E1047" t="s">
        <v>1905</v>
      </c>
      <c r="F1047" t="s">
        <v>1895</v>
      </c>
      <c r="G1047">
        <v>283794</v>
      </c>
      <c r="H1047" s="1">
        <v>45005</v>
      </c>
      <c r="I1047" s="1"/>
      <c r="K1047">
        <v>2.2999999999999998</v>
      </c>
      <c r="L1047" t="s">
        <v>21</v>
      </c>
      <c r="M1047" t="s">
        <v>1896</v>
      </c>
      <c r="N1047" t="s">
        <v>1887</v>
      </c>
    </row>
    <row r="1048" spans="1:14" x14ac:dyDescent="0.35">
      <c r="A1048" t="s">
        <v>2972</v>
      </c>
      <c r="B1048" t="s">
        <v>1903</v>
      </c>
      <c r="C1048" t="s">
        <v>481</v>
      </c>
      <c r="D1048" t="s">
        <v>1883</v>
      </c>
      <c r="E1048" t="s">
        <v>1884</v>
      </c>
      <c r="F1048" t="s">
        <v>1895</v>
      </c>
      <c r="G1048">
        <v>295056</v>
      </c>
      <c r="H1048" s="1">
        <v>44937</v>
      </c>
      <c r="I1048" s="1"/>
      <c r="K1048">
        <v>5.0999999999999996</v>
      </c>
      <c r="L1048" t="s">
        <v>21</v>
      </c>
      <c r="M1048" t="s">
        <v>1896</v>
      </c>
      <c r="N1048" t="s">
        <v>1887</v>
      </c>
    </row>
    <row r="1049" spans="1:14" x14ac:dyDescent="0.35">
      <c r="A1049" t="s">
        <v>2973</v>
      </c>
      <c r="B1049" t="s">
        <v>1937</v>
      </c>
      <c r="C1049" t="s">
        <v>23</v>
      </c>
      <c r="D1049" t="s">
        <v>1890</v>
      </c>
      <c r="E1049" t="s">
        <v>1600</v>
      </c>
      <c r="F1049" t="s">
        <v>1895</v>
      </c>
      <c r="G1049">
        <v>321618</v>
      </c>
      <c r="H1049" s="1">
        <v>45112</v>
      </c>
      <c r="I1049" s="1"/>
      <c r="K1049">
        <v>7.8</v>
      </c>
      <c r="L1049" t="s">
        <v>30</v>
      </c>
      <c r="M1049" t="s">
        <v>1932</v>
      </c>
      <c r="N1049" t="s">
        <v>1887</v>
      </c>
    </row>
    <row r="1050" spans="1:14" x14ac:dyDescent="0.35">
      <c r="A1050" t="s">
        <v>2974</v>
      </c>
      <c r="B1050" t="s">
        <v>1930</v>
      </c>
      <c r="C1050" t="s">
        <v>260</v>
      </c>
      <c r="D1050" t="s">
        <v>1899</v>
      </c>
      <c r="E1050" t="s">
        <v>1587</v>
      </c>
      <c r="F1050" t="s">
        <v>1908</v>
      </c>
      <c r="G1050">
        <v>265158</v>
      </c>
      <c r="H1050" s="1">
        <v>45160</v>
      </c>
      <c r="I1050" s="1"/>
      <c r="K1050">
        <v>8</v>
      </c>
      <c r="L1050" t="s">
        <v>30</v>
      </c>
      <c r="M1050" t="s">
        <v>1932</v>
      </c>
      <c r="N1050" t="s">
        <v>1887</v>
      </c>
    </row>
    <row r="1051" spans="1:14" x14ac:dyDescent="0.35">
      <c r="A1051" t="s">
        <v>2975</v>
      </c>
      <c r="B1051" t="s">
        <v>1934</v>
      </c>
      <c r="C1051" t="s">
        <v>273</v>
      </c>
      <c r="D1051" t="s">
        <v>1927</v>
      </c>
      <c r="E1051" t="s">
        <v>1931</v>
      </c>
      <c r="F1051" t="s">
        <v>1900</v>
      </c>
      <c r="G1051">
        <v>27766</v>
      </c>
      <c r="H1051" s="1">
        <v>45010</v>
      </c>
      <c r="I1051" s="1">
        <v>45074</v>
      </c>
      <c r="J1051">
        <v>64</v>
      </c>
      <c r="K1051">
        <v>6.8</v>
      </c>
      <c r="L1051" t="s">
        <v>21</v>
      </c>
      <c r="M1051" t="s">
        <v>1896</v>
      </c>
      <c r="N1051" t="s">
        <v>1887</v>
      </c>
    </row>
    <row r="1052" spans="1:14" x14ac:dyDescent="0.35">
      <c r="A1052" t="s">
        <v>2976</v>
      </c>
      <c r="B1052" t="s">
        <v>1963</v>
      </c>
      <c r="C1052" t="s">
        <v>291</v>
      </c>
      <c r="D1052" t="s">
        <v>1927</v>
      </c>
      <c r="E1052" t="s">
        <v>1587</v>
      </c>
      <c r="F1052" t="s">
        <v>1908</v>
      </c>
      <c r="G1052">
        <v>412466</v>
      </c>
      <c r="H1052" s="1">
        <v>45610</v>
      </c>
      <c r="I1052" s="1"/>
      <c r="L1052" t="s">
        <v>30</v>
      </c>
      <c r="M1052" t="s">
        <v>1901</v>
      </c>
      <c r="N1052" t="s">
        <v>1887</v>
      </c>
    </row>
    <row r="1053" spans="1:14" x14ac:dyDescent="0.35">
      <c r="A1053" t="s">
        <v>2977</v>
      </c>
      <c r="B1053" t="s">
        <v>1934</v>
      </c>
      <c r="C1053" t="s">
        <v>86</v>
      </c>
      <c r="D1053" t="s">
        <v>1915</v>
      </c>
      <c r="E1053" t="s">
        <v>1587</v>
      </c>
      <c r="F1053" t="s">
        <v>1885</v>
      </c>
      <c r="G1053">
        <v>49343</v>
      </c>
      <c r="H1053" s="1">
        <v>45631</v>
      </c>
      <c r="I1053" s="1">
        <v>45802</v>
      </c>
      <c r="J1053">
        <v>171</v>
      </c>
      <c r="K1053">
        <v>5.7</v>
      </c>
      <c r="L1053" t="s">
        <v>15</v>
      </c>
      <c r="M1053" t="s">
        <v>1901</v>
      </c>
      <c r="N1053" t="s">
        <v>1887</v>
      </c>
    </row>
    <row r="1054" spans="1:14" x14ac:dyDescent="0.35">
      <c r="A1054" t="s">
        <v>2978</v>
      </c>
      <c r="B1054" t="s">
        <v>1944</v>
      </c>
      <c r="C1054" t="s">
        <v>470</v>
      </c>
      <c r="D1054" t="s">
        <v>1899</v>
      </c>
      <c r="E1054" t="s">
        <v>1600</v>
      </c>
      <c r="F1054" t="s">
        <v>1895</v>
      </c>
      <c r="G1054">
        <v>410761</v>
      </c>
      <c r="H1054" s="1">
        <v>45336</v>
      </c>
      <c r="I1054" s="1"/>
      <c r="K1054">
        <v>7.5</v>
      </c>
      <c r="L1054" t="s">
        <v>30</v>
      </c>
      <c r="M1054" t="s">
        <v>1916</v>
      </c>
      <c r="N1054" t="s">
        <v>1887</v>
      </c>
    </row>
    <row r="1055" spans="1:14" x14ac:dyDescent="0.35">
      <c r="A1055" t="s">
        <v>2979</v>
      </c>
      <c r="B1055" t="s">
        <v>1937</v>
      </c>
      <c r="C1055" t="s">
        <v>194</v>
      </c>
      <c r="D1055" t="s">
        <v>1890</v>
      </c>
      <c r="E1055" t="s">
        <v>1600</v>
      </c>
      <c r="F1055" t="s">
        <v>1908</v>
      </c>
      <c r="G1055">
        <v>92525</v>
      </c>
      <c r="H1055" s="1">
        <v>45630</v>
      </c>
      <c r="I1055" s="1"/>
      <c r="K1055">
        <v>13.9</v>
      </c>
      <c r="L1055" t="s">
        <v>30</v>
      </c>
      <c r="M1055" t="s">
        <v>1901</v>
      </c>
      <c r="N1055" t="s">
        <v>1887</v>
      </c>
    </row>
    <row r="1056" spans="1:14" x14ac:dyDescent="0.35">
      <c r="A1056" t="s">
        <v>2980</v>
      </c>
      <c r="B1056" t="s">
        <v>1963</v>
      </c>
      <c r="C1056" t="s">
        <v>214</v>
      </c>
      <c r="D1056" t="s">
        <v>1915</v>
      </c>
      <c r="E1056" t="s">
        <v>1918</v>
      </c>
      <c r="F1056" t="s">
        <v>1892</v>
      </c>
      <c r="G1056">
        <v>363674</v>
      </c>
      <c r="H1056" s="1">
        <v>45408</v>
      </c>
      <c r="I1056" s="1"/>
      <c r="K1056">
        <v>5.5</v>
      </c>
      <c r="L1056" t="s">
        <v>30</v>
      </c>
      <c r="M1056" t="s">
        <v>1935</v>
      </c>
      <c r="N1056" t="s">
        <v>1887</v>
      </c>
    </row>
    <row r="1057" spans="1:14" x14ac:dyDescent="0.35">
      <c r="A1057" t="s">
        <v>2981</v>
      </c>
      <c r="B1057" t="s">
        <v>1930</v>
      </c>
      <c r="C1057" t="s">
        <v>469</v>
      </c>
      <c r="D1057" t="s">
        <v>1890</v>
      </c>
      <c r="E1057" t="s">
        <v>1918</v>
      </c>
      <c r="F1057" t="s">
        <v>1900</v>
      </c>
      <c r="G1057">
        <v>495808</v>
      </c>
      <c r="H1057" s="1">
        <v>45048</v>
      </c>
      <c r="I1057" s="1">
        <v>45081</v>
      </c>
      <c r="J1057">
        <v>33</v>
      </c>
      <c r="K1057">
        <v>13.7</v>
      </c>
      <c r="L1057" t="s">
        <v>21</v>
      </c>
      <c r="M1057" t="s">
        <v>1893</v>
      </c>
      <c r="N1057" t="s">
        <v>1887</v>
      </c>
    </row>
    <row r="1058" spans="1:14" x14ac:dyDescent="0.35">
      <c r="A1058" t="s">
        <v>2982</v>
      </c>
      <c r="B1058" t="s">
        <v>1882</v>
      </c>
      <c r="C1058" t="s">
        <v>196</v>
      </c>
      <c r="D1058" t="s">
        <v>1904</v>
      </c>
      <c r="E1058" t="s">
        <v>1600</v>
      </c>
      <c r="F1058" t="s">
        <v>1885</v>
      </c>
      <c r="G1058">
        <v>1022571</v>
      </c>
      <c r="H1058" s="1">
        <v>45699</v>
      </c>
      <c r="I1058" s="1">
        <v>45869</v>
      </c>
      <c r="J1058">
        <v>170</v>
      </c>
      <c r="K1058">
        <v>15</v>
      </c>
      <c r="L1058" t="s">
        <v>15</v>
      </c>
      <c r="M1058" t="s">
        <v>1912</v>
      </c>
      <c r="N1058" t="s">
        <v>1966</v>
      </c>
    </row>
    <row r="1059" spans="1:14" x14ac:dyDescent="0.35">
      <c r="A1059" t="s">
        <v>2983</v>
      </c>
      <c r="B1059" t="s">
        <v>1963</v>
      </c>
      <c r="C1059" t="s">
        <v>194</v>
      </c>
      <c r="D1059" t="s">
        <v>1904</v>
      </c>
      <c r="E1059" t="s">
        <v>1905</v>
      </c>
      <c r="F1059" t="s">
        <v>1895</v>
      </c>
      <c r="G1059">
        <v>254770</v>
      </c>
      <c r="H1059" s="1">
        <v>45004</v>
      </c>
      <c r="I1059" s="1"/>
      <c r="K1059">
        <v>6.2</v>
      </c>
      <c r="L1059" t="s">
        <v>47</v>
      </c>
      <c r="M1059" t="s">
        <v>1896</v>
      </c>
      <c r="N1059" t="s">
        <v>1887</v>
      </c>
    </row>
    <row r="1060" spans="1:14" x14ac:dyDescent="0.35">
      <c r="A1060" t="s">
        <v>2984</v>
      </c>
      <c r="B1060" t="s">
        <v>1926</v>
      </c>
      <c r="C1060" t="s">
        <v>360</v>
      </c>
      <c r="D1060" t="s">
        <v>1927</v>
      </c>
      <c r="E1060" t="s">
        <v>1905</v>
      </c>
      <c r="F1060" t="s">
        <v>1900</v>
      </c>
      <c r="G1060">
        <v>136962</v>
      </c>
      <c r="H1060" s="1">
        <v>44980</v>
      </c>
      <c r="I1060" s="1">
        <v>45145</v>
      </c>
      <c r="J1060">
        <v>165</v>
      </c>
      <c r="K1060">
        <v>2.5</v>
      </c>
      <c r="L1060" t="s">
        <v>47</v>
      </c>
      <c r="M1060" t="s">
        <v>1896</v>
      </c>
      <c r="N1060" t="s">
        <v>1887</v>
      </c>
    </row>
    <row r="1061" spans="1:14" x14ac:dyDescent="0.35">
      <c r="A1061" t="s">
        <v>2985</v>
      </c>
      <c r="B1061" t="s">
        <v>1914</v>
      </c>
      <c r="C1061" t="s">
        <v>490</v>
      </c>
      <c r="D1061" t="s">
        <v>1915</v>
      </c>
      <c r="E1061" t="s">
        <v>1884</v>
      </c>
      <c r="F1061" t="s">
        <v>1908</v>
      </c>
      <c r="G1061">
        <v>47244</v>
      </c>
      <c r="H1061" s="1">
        <v>45594</v>
      </c>
      <c r="I1061" s="1"/>
      <c r="K1061">
        <v>2.4</v>
      </c>
      <c r="L1061" t="s">
        <v>30</v>
      </c>
      <c r="M1061" t="s">
        <v>1901</v>
      </c>
      <c r="N1061" t="s">
        <v>1887</v>
      </c>
    </row>
    <row r="1062" spans="1:14" x14ac:dyDescent="0.35">
      <c r="A1062" t="s">
        <v>2986</v>
      </c>
      <c r="B1062" t="s">
        <v>1911</v>
      </c>
      <c r="C1062" t="s">
        <v>284</v>
      </c>
      <c r="D1062" t="s">
        <v>1904</v>
      </c>
      <c r="E1062" t="s">
        <v>1905</v>
      </c>
      <c r="F1062" t="s">
        <v>1895</v>
      </c>
      <c r="G1062">
        <v>253669</v>
      </c>
      <c r="H1062" s="1">
        <v>45051</v>
      </c>
      <c r="I1062" s="1"/>
      <c r="K1062">
        <v>13</v>
      </c>
      <c r="L1062" t="s">
        <v>47</v>
      </c>
      <c r="M1062" t="s">
        <v>1893</v>
      </c>
      <c r="N1062" t="s">
        <v>1887</v>
      </c>
    </row>
    <row r="1063" spans="1:14" x14ac:dyDescent="0.35">
      <c r="A1063" t="s">
        <v>2987</v>
      </c>
      <c r="B1063" t="s">
        <v>1914</v>
      </c>
      <c r="C1063" t="s">
        <v>295</v>
      </c>
      <c r="D1063" t="s">
        <v>1927</v>
      </c>
      <c r="E1063" t="s">
        <v>1678</v>
      </c>
      <c r="F1063" t="s">
        <v>1900</v>
      </c>
      <c r="G1063">
        <v>383141</v>
      </c>
      <c r="H1063" s="1">
        <v>45329</v>
      </c>
      <c r="I1063" s="1">
        <v>45403</v>
      </c>
      <c r="J1063">
        <v>74</v>
      </c>
      <c r="K1063">
        <v>2.2000000000000002</v>
      </c>
      <c r="L1063" t="s">
        <v>47</v>
      </c>
      <c r="M1063" t="s">
        <v>1916</v>
      </c>
      <c r="N1063" t="s">
        <v>1887</v>
      </c>
    </row>
    <row r="1064" spans="1:14" x14ac:dyDescent="0.35">
      <c r="A1064" t="s">
        <v>2988</v>
      </c>
      <c r="B1064" t="s">
        <v>1963</v>
      </c>
      <c r="C1064" t="s">
        <v>288</v>
      </c>
      <c r="D1064" t="s">
        <v>1904</v>
      </c>
      <c r="E1064" t="s">
        <v>1678</v>
      </c>
      <c r="F1064" t="s">
        <v>1892</v>
      </c>
      <c r="G1064">
        <v>445913</v>
      </c>
      <c r="H1064" s="1">
        <v>45528</v>
      </c>
      <c r="I1064" s="1"/>
      <c r="K1064">
        <v>2.5</v>
      </c>
      <c r="L1064" t="s">
        <v>30</v>
      </c>
      <c r="M1064" t="s">
        <v>1953</v>
      </c>
      <c r="N1064" t="s">
        <v>1887</v>
      </c>
    </row>
    <row r="1065" spans="1:14" x14ac:dyDescent="0.35">
      <c r="A1065" t="s">
        <v>2989</v>
      </c>
      <c r="B1065" t="s">
        <v>1914</v>
      </c>
      <c r="C1065" t="s">
        <v>389</v>
      </c>
      <c r="D1065" t="s">
        <v>1915</v>
      </c>
      <c r="E1065" t="s">
        <v>1587</v>
      </c>
      <c r="F1065" t="s">
        <v>1900</v>
      </c>
      <c r="G1065">
        <v>70017</v>
      </c>
      <c r="H1065" s="1">
        <v>45694</v>
      </c>
      <c r="I1065" s="1">
        <v>45727</v>
      </c>
      <c r="J1065">
        <v>33</v>
      </c>
      <c r="K1065">
        <v>9.4</v>
      </c>
      <c r="L1065" t="s">
        <v>47</v>
      </c>
      <c r="M1065" t="s">
        <v>1912</v>
      </c>
      <c r="N1065" t="s">
        <v>1887</v>
      </c>
    </row>
    <row r="1066" spans="1:14" x14ac:dyDescent="0.35">
      <c r="A1066" t="s">
        <v>2990</v>
      </c>
      <c r="B1066" t="s">
        <v>1926</v>
      </c>
      <c r="C1066" t="s">
        <v>434</v>
      </c>
      <c r="D1066" t="s">
        <v>1883</v>
      </c>
      <c r="E1066" t="s">
        <v>1918</v>
      </c>
      <c r="F1066" t="s">
        <v>1908</v>
      </c>
      <c r="G1066">
        <v>320522</v>
      </c>
      <c r="H1066" s="1">
        <v>45503</v>
      </c>
      <c r="I1066" s="1"/>
      <c r="L1066" t="s">
        <v>21</v>
      </c>
      <c r="M1066" t="s">
        <v>1953</v>
      </c>
      <c r="N1066" t="s">
        <v>1887</v>
      </c>
    </row>
    <row r="1067" spans="1:14" x14ac:dyDescent="0.35">
      <c r="A1067" t="s">
        <v>2991</v>
      </c>
      <c r="B1067" t="s">
        <v>1963</v>
      </c>
      <c r="C1067" t="s">
        <v>303</v>
      </c>
      <c r="D1067" t="s">
        <v>1915</v>
      </c>
      <c r="E1067" t="s">
        <v>1600</v>
      </c>
      <c r="F1067" t="s">
        <v>1900</v>
      </c>
      <c r="G1067">
        <v>222085</v>
      </c>
      <c r="H1067" s="1">
        <v>44999</v>
      </c>
      <c r="I1067" s="1">
        <v>45015</v>
      </c>
      <c r="J1067">
        <v>16</v>
      </c>
      <c r="K1067">
        <v>0.4</v>
      </c>
      <c r="L1067" t="s">
        <v>15</v>
      </c>
      <c r="M1067" t="s">
        <v>1896</v>
      </c>
      <c r="N1067" t="s">
        <v>1887</v>
      </c>
    </row>
    <row r="1068" spans="1:14" x14ac:dyDescent="0.35">
      <c r="A1068" t="s">
        <v>2992</v>
      </c>
      <c r="B1068" t="s">
        <v>1924</v>
      </c>
      <c r="C1068" t="s">
        <v>300</v>
      </c>
      <c r="D1068" t="s">
        <v>1883</v>
      </c>
      <c r="E1068" t="s">
        <v>1600</v>
      </c>
      <c r="F1068" t="s">
        <v>1892</v>
      </c>
      <c r="G1068">
        <v>269126</v>
      </c>
      <c r="H1068" s="1">
        <v>45139</v>
      </c>
      <c r="I1068" s="1"/>
      <c r="K1068">
        <v>5.9</v>
      </c>
      <c r="L1068" t="s">
        <v>47</v>
      </c>
      <c r="M1068" t="s">
        <v>1932</v>
      </c>
      <c r="N1068" t="s">
        <v>1887</v>
      </c>
    </row>
    <row r="1069" spans="1:14" x14ac:dyDescent="0.35">
      <c r="A1069" t="s">
        <v>2993</v>
      </c>
      <c r="B1069" t="s">
        <v>1924</v>
      </c>
      <c r="C1069" t="s">
        <v>483</v>
      </c>
      <c r="D1069" t="s">
        <v>1899</v>
      </c>
      <c r="E1069" t="s">
        <v>1905</v>
      </c>
      <c r="F1069" t="s">
        <v>1900</v>
      </c>
      <c r="G1069">
        <v>90695</v>
      </c>
      <c r="H1069" s="1">
        <v>45059</v>
      </c>
      <c r="I1069" s="1">
        <v>45155</v>
      </c>
      <c r="J1069">
        <v>96</v>
      </c>
      <c r="K1069">
        <v>4.9000000000000004</v>
      </c>
      <c r="L1069" t="s">
        <v>47</v>
      </c>
      <c r="M1069" t="s">
        <v>1893</v>
      </c>
      <c r="N1069" t="s">
        <v>1887</v>
      </c>
    </row>
    <row r="1070" spans="1:14" x14ac:dyDescent="0.35">
      <c r="A1070" t="s">
        <v>2994</v>
      </c>
      <c r="B1070" t="s">
        <v>1930</v>
      </c>
      <c r="C1070" t="s">
        <v>57</v>
      </c>
      <c r="D1070" t="s">
        <v>1904</v>
      </c>
      <c r="E1070" t="s">
        <v>1918</v>
      </c>
      <c r="F1070" t="s">
        <v>1895</v>
      </c>
      <c r="G1070">
        <v>75556</v>
      </c>
      <c r="H1070" s="1">
        <v>45671</v>
      </c>
      <c r="I1070" s="1"/>
      <c r="L1070" t="s">
        <v>47</v>
      </c>
      <c r="M1070" t="s">
        <v>1912</v>
      </c>
      <c r="N1070" t="s">
        <v>1887</v>
      </c>
    </row>
    <row r="1071" spans="1:14" x14ac:dyDescent="0.35">
      <c r="A1071" t="s">
        <v>2995</v>
      </c>
      <c r="B1071" t="s">
        <v>1898</v>
      </c>
      <c r="C1071" t="s">
        <v>356</v>
      </c>
      <c r="D1071" t="s">
        <v>1883</v>
      </c>
      <c r="E1071" t="s">
        <v>1918</v>
      </c>
      <c r="F1071" t="s">
        <v>1900</v>
      </c>
      <c r="G1071">
        <v>473485</v>
      </c>
      <c r="H1071" s="1">
        <v>45240</v>
      </c>
      <c r="I1071" s="1">
        <v>45307</v>
      </c>
      <c r="J1071">
        <v>67</v>
      </c>
      <c r="K1071">
        <v>7.3</v>
      </c>
      <c r="L1071" t="s">
        <v>15</v>
      </c>
      <c r="M1071" t="s">
        <v>1886</v>
      </c>
      <c r="N1071" t="s">
        <v>1887</v>
      </c>
    </row>
    <row r="1072" spans="1:14" x14ac:dyDescent="0.35">
      <c r="A1072" t="s">
        <v>2996</v>
      </c>
      <c r="B1072" t="s">
        <v>1911</v>
      </c>
      <c r="C1072" t="s">
        <v>477</v>
      </c>
      <c r="D1072" t="s">
        <v>1927</v>
      </c>
      <c r="E1072" t="s">
        <v>1678</v>
      </c>
      <c r="F1072" t="s">
        <v>1908</v>
      </c>
      <c r="G1072">
        <v>328207</v>
      </c>
      <c r="H1072" s="1">
        <v>44942</v>
      </c>
      <c r="I1072" s="1"/>
      <c r="K1072">
        <v>7.9</v>
      </c>
      <c r="L1072" t="s">
        <v>47</v>
      </c>
      <c r="M1072" t="s">
        <v>1896</v>
      </c>
      <c r="N1072" t="s">
        <v>1887</v>
      </c>
    </row>
    <row r="1073" spans="1:14" x14ac:dyDescent="0.35">
      <c r="A1073" t="s">
        <v>2997</v>
      </c>
      <c r="B1073" t="s">
        <v>1922</v>
      </c>
      <c r="C1073" t="s">
        <v>62</v>
      </c>
      <c r="D1073" t="s">
        <v>1904</v>
      </c>
      <c r="E1073" t="s">
        <v>1905</v>
      </c>
      <c r="F1073" t="s">
        <v>1900</v>
      </c>
      <c r="G1073">
        <v>193184</v>
      </c>
      <c r="H1073" s="1">
        <v>44960</v>
      </c>
      <c r="I1073" s="1">
        <v>45098</v>
      </c>
      <c r="J1073">
        <v>138</v>
      </c>
      <c r="K1073">
        <v>9.4</v>
      </c>
      <c r="L1073" t="s">
        <v>15</v>
      </c>
      <c r="M1073" t="s">
        <v>1896</v>
      </c>
      <c r="N1073" t="s">
        <v>1887</v>
      </c>
    </row>
    <row r="1074" spans="1:14" x14ac:dyDescent="0.35">
      <c r="A1074" t="s">
        <v>2998</v>
      </c>
      <c r="B1074" t="s">
        <v>1963</v>
      </c>
      <c r="C1074" t="s">
        <v>382</v>
      </c>
      <c r="D1074" t="s">
        <v>1899</v>
      </c>
      <c r="E1074" t="s">
        <v>1931</v>
      </c>
      <c r="F1074" t="s">
        <v>1885</v>
      </c>
      <c r="G1074">
        <v>463261</v>
      </c>
      <c r="H1074" s="1">
        <v>45236</v>
      </c>
      <c r="I1074" s="1">
        <v>45275</v>
      </c>
      <c r="J1074">
        <v>39</v>
      </c>
      <c r="K1074">
        <v>14.5</v>
      </c>
      <c r="L1074" t="s">
        <v>47</v>
      </c>
      <c r="M1074" t="s">
        <v>1886</v>
      </c>
      <c r="N1074" t="s">
        <v>1887</v>
      </c>
    </row>
    <row r="1075" spans="1:14" x14ac:dyDescent="0.35">
      <c r="A1075" t="s">
        <v>2999</v>
      </c>
      <c r="B1075" t="s">
        <v>1914</v>
      </c>
      <c r="C1075" t="s">
        <v>330</v>
      </c>
      <c r="D1075" t="s">
        <v>1927</v>
      </c>
      <c r="E1075" t="s">
        <v>1884</v>
      </c>
      <c r="F1075" t="s">
        <v>1946</v>
      </c>
      <c r="G1075">
        <v>63912</v>
      </c>
      <c r="H1075" s="1">
        <v>45036</v>
      </c>
      <c r="I1075" s="1"/>
      <c r="K1075">
        <v>5.5</v>
      </c>
      <c r="L1075" t="s">
        <v>30</v>
      </c>
      <c r="M1075" t="s">
        <v>1893</v>
      </c>
      <c r="N1075" t="s">
        <v>1887</v>
      </c>
    </row>
    <row r="1076" spans="1:14" x14ac:dyDescent="0.35">
      <c r="A1076" t="s">
        <v>3000</v>
      </c>
      <c r="B1076" t="s">
        <v>1944</v>
      </c>
      <c r="C1076" t="s">
        <v>164</v>
      </c>
      <c r="D1076" t="s">
        <v>1904</v>
      </c>
      <c r="E1076" t="s">
        <v>1884</v>
      </c>
      <c r="F1076" t="s">
        <v>1908</v>
      </c>
      <c r="G1076">
        <v>461903</v>
      </c>
      <c r="H1076" s="1">
        <v>45199</v>
      </c>
      <c r="I1076" s="1"/>
      <c r="K1076">
        <v>4.3</v>
      </c>
      <c r="L1076" t="s">
        <v>15</v>
      </c>
      <c r="M1076" t="s">
        <v>1932</v>
      </c>
      <c r="N1076" t="s">
        <v>1887</v>
      </c>
    </row>
    <row r="1077" spans="1:14" x14ac:dyDescent="0.35">
      <c r="A1077" t="s">
        <v>3001</v>
      </c>
      <c r="B1077" t="s">
        <v>1922</v>
      </c>
      <c r="C1077" t="s">
        <v>266</v>
      </c>
      <c r="D1077" t="s">
        <v>1904</v>
      </c>
      <c r="E1077" t="s">
        <v>1600</v>
      </c>
      <c r="F1077" t="s">
        <v>1895</v>
      </c>
      <c r="G1077">
        <v>213369</v>
      </c>
      <c r="H1077" s="1">
        <v>45072</v>
      </c>
      <c r="I1077" s="1"/>
      <c r="K1077">
        <v>1.4</v>
      </c>
      <c r="L1077" t="s">
        <v>30</v>
      </c>
      <c r="M1077" t="s">
        <v>1893</v>
      </c>
      <c r="N1077" t="s">
        <v>1887</v>
      </c>
    </row>
    <row r="1078" spans="1:14" x14ac:dyDescent="0.35">
      <c r="A1078" t="s">
        <v>3002</v>
      </c>
      <c r="B1078" t="s">
        <v>1924</v>
      </c>
      <c r="C1078" t="s">
        <v>373</v>
      </c>
      <c r="D1078" t="s">
        <v>1890</v>
      </c>
      <c r="E1078" t="s">
        <v>1884</v>
      </c>
      <c r="F1078" t="s">
        <v>1892</v>
      </c>
      <c r="G1078">
        <v>47774</v>
      </c>
      <c r="H1078" s="1">
        <v>45392</v>
      </c>
      <c r="I1078" s="1"/>
      <c r="K1078">
        <v>13.6</v>
      </c>
      <c r="L1078" t="s">
        <v>47</v>
      </c>
      <c r="M1078" t="s">
        <v>1935</v>
      </c>
      <c r="N1078" t="s">
        <v>1887</v>
      </c>
    </row>
    <row r="1079" spans="1:14" x14ac:dyDescent="0.35">
      <c r="A1079" t="s">
        <v>3003</v>
      </c>
      <c r="B1079" t="s">
        <v>1911</v>
      </c>
      <c r="C1079" t="s">
        <v>142</v>
      </c>
      <c r="D1079" t="s">
        <v>1899</v>
      </c>
      <c r="E1079" t="s">
        <v>1905</v>
      </c>
      <c r="F1079" t="s">
        <v>1900</v>
      </c>
      <c r="G1079">
        <v>456676</v>
      </c>
      <c r="H1079" s="1">
        <v>45055</v>
      </c>
      <c r="I1079" s="1">
        <v>45126</v>
      </c>
      <c r="J1079">
        <v>71</v>
      </c>
      <c r="K1079">
        <v>20.100000000000001</v>
      </c>
      <c r="L1079" t="s">
        <v>15</v>
      </c>
      <c r="M1079" t="s">
        <v>1893</v>
      </c>
      <c r="N1079" t="s">
        <v>1887</v>
      </c>
    </row>
    <row r="1080" spans="1:14" x14ac:dyDescent="0.35">
      <c r="A1080" t="s">
        <v>3004</v>
      </c>
      <c r="B1080" t="s">
        <v>1930</v>
      </c>
      <c r="C1080" t="s">
        <v>432</v>
      </c>
      <c r="D1080" t="s">
        <v>1899</v>
      </c>
      <c r="E1080" t="s">
        <v>1918</v>
      </c>
      <c r="F1080" t="s">
        <v>1900</v>
      </c>
      <c r="G1080">
        <v>350313</v>
      </c>
      <c r="H1080" s="1">
        <v>45478</v>
      </c>
      <c r="I1080" s="1">
        <v>45500</v>
      </c>
      <c r="J1080">
        <v>22</v>
      </c>
      <c r="K1080">
        <v>20.399999999999999</v>
      </c>
      <c r="L1080" t="s">
        <v>30</v>
      </c>
      <c r="M1080" t="s">
        <v>1953</v>
      </c>
      <c r="N1080" t="s">
        <v>1887</v>
      </c>
    </row>
    <row r="1081" spans="1:14" x14ac:dyDescent="0.35">
      <c r="A1081" t="s">
        <v>3005</v>
      </c>
      <c r="B1081" t="s">
        <v>1898</v>
      </c>
      <c r="C1081" t="s">
        <v>18</v>
      </c>
      <c r="D1081" t="s">
        <v>1883</v>
      </c>
      <c r="E1081" t="s">
        <v>1918</v>
      </c>
      <c r="F1081" t="s">
        <v>1900</v>
      </c>
      <c r="G1081">
        <v>491136</v>
      </c>
      <c r="H1081" s="1">
        <v>44996</v>
      </c>
      <c r="I1081" s="1">
        <v>45139</v>
      </c>
      <c r="J1081">
        <v>143</v>
      </c>
      <c r="K1081">
        <v>1.9</v>
      </c>
      <c r="L1081" t="s">
        <v>21</v>
      </c>
      <c r="M1081" t="s">
        <v>1896</v>
      </c>
      <c r="N1081" t="s">
        <v>1887</v>
      </c>
    </row>
    <row r="1082" spans="1:14" x14ac:dyDescent="0.35">
      <c r="A1082" t="s">
        <v>3006</v>
      </c>
      <c r="B1082" t="s">
        <v>1911</v>
      </c>
      <c r="C1082" t="s">
        <v>86</v>
      </c>
      <c r="D1082" t="s">
        <v>1883</v>
      </c>
      <c r="E1082" t="s">
        <v>1945</v>
      </c>
      <c r="F1082" t="s">
        <v>1900</v>
      </c>
      <c r="G1082">
        <v>398958</v>
      </c>
      <c r="H1082" s="1">
        <v>45414</v>
      </c>
      <c r="I1082" s="1">
        <v>45519</v>
      </c>
      <c r="J1082">
        <v>105</v>
      </c>
      <c r="K1082">
        <v>3.3</v>
      </c>
      <c r="L1082" t="s">
        <v>21</v>
      </c>
      <c r="M1082" t="s">
        <v>1935</v>
      </c>
      <c r="N1082" t="s">
        <v>1887</v>
      </c>
    </row>
    <row r="1083" spans="1:14" x14ac:dyDescent="0.35">
      <c r="A1083" t="s">
        <v>3007</v>
      </c>
      <c r="B1083" t="s">
        <v>1926</v>
      </c>
      <c r="C1083" t="s">
        <v>303</v>
      </c>
      <c r="D1083" t="s">
        <v>1927</v>
      </c>
      <c r="E1083" t="s">
        <v>1905</v>
      </c>
      <c r="F1083" t="s">
        <v>1895</v>
      </c>
      <c r="G1083">
        <v>387078</v>
      </c>
      <c r="H1083" s="1">
        <v>45458</v>
      </c>
      <c r="I1083" s="1"/>
      <c r="K1083">
        <v>3.9</v>
      </c>
      <c r="L1083" t="s">
        <v>30</v>
      </c>
      <c r="M1083" t="s">
        <v>1935</v>
      </c>
      <c r="N1083" t="s">
        <v>1887</v>
      </c>
    </row>
    <row r="1084" spans="1:14" x14ac:dyDescent="0.35">
      <c r="A1084" t="s">
        <v>3008</v>
      </c>
      <c r="B1084" t="s">
        <v>1911</v>
      </c>
      <c r="C1084" t="s">
        <v>394</v>
      </c>
      <c r="D1084" t="s">
        <v>1927</v>
      </c>
      <c r="E1084" t="s">
        <v>1891</v>
      </c>
      <c r="F1084" t="s">
        <v>1900</v>
      </c>
      <c r="G1084">
        <v>147926</v>
      </c>
      <c r="H1084" s="1">
        <v>45062</v>
      </c>
      <c r="I1084" s="1">
        <v>45211</v>
      </c>
      <c r="J1084">
        <v>149</v>
      </c>
      <c r="K1084">
        <v>5.3</v>
      </c>
      <c r="L1084" t="s">
        <v>47</v>
      </c>
      <c r="M1084" t="s">
        <v>1893</v>
      </c>
      <c r="N1084" t="s">
        <v>1887</v>
      </c>
    </row>
    <row r="1085" spans="1:14" x14ac:dyDescent="0.35">
      <c r="A1085" t="s">
        <v>3009</v>
      </c>
      <c r="B1085" t="s">
        <v>1920</v>
      </c>
      <c r="C1085" t="s">
        <v>240</v>
      </c>
      <c r="D1085" t="s">
        <v>1890</v>
      </c>
      <c r="E1085" t="s">
        <v>1931</v>
      </c>
      <c r="F1085" t="s">
        <v>1908</v>
      </c>
      <c r="G1085">
        <v>325945</v>
      </c>
      <c r="H1085" s="1">
        <v>45715</v>
      </c>
      <c r="I1085" s="1"/>
      <c r="K1085">
        <v>5.7</v>
      </c>
      <c r="L1085" t="s">
        <v>47</v>
      </c>
      <c r="M1085" t="s">
        <v>1912</v>
      </c>
      <c r="N1085" t="s">
        <v>1887</v>
      </c>
    </row>
    <row r="1086" spans="1:14" x14ac:dyDescent="0.35">
      <c r="A1086" t="s">
        <v>3010</v>
      </c>
      <c r="B1086" t="s">
        <v>1934</v>
      </c>
      <c r="C1086" t="s">
        <v>300</v>
      </c>
      <c r="D1086" t="s">
        <v>1899</v>
      </c>
      <c r="E1086" t="s">
        <v>1931</v>
      </c>
      <c r="F1086" t="s">
        <v>1900</v>
      </c>
      <c r="G1086">
        <v>293027</v>
      </c>
      <c r="H1086" s="1">
        <v>45239</v>
      </c>
      <c r="I1086" s="1">
        <v>45352</v>
      </c>
      <c r="J1086">
        <v>113</v>
      </c>
      <c r="K1086">
        <v>4.4000000000000004</v>
      </c>
      <c r="L1086" t="s">
        <v>15</v>
      </c>
      <c r="M1086" t="s">
        <v>1886</v>
      </c>
      <c r="N1086" t="s">
        <v>1887</v>
      </c>
    </row>
    <row r="1087" spans="1:14" x14ac:dyDescent="0.35">
      <c r="A1087" t="s">
        <v>3011</v>
      </c>
      <c r="B1087" t="s">
        <v>1944</v>
      </c>
      <c r="C1087" t="s">
        <v>384</v>
      </c>
      <c r="D1087" t="s">
        <v>1915</v>
      </c>
      <c r="E1087" t="s">
        <v>1918</v>
      </c>
      <c r="F1087" t="s">
        <v>1908</v>
      </c>
      <c r="G1087">
        <v>263816</v>
      </c>
      <c r="H1087" s="1">
        <v>45516</v>
      </c>
      <c r="I1087" s="1"/>
      <c r="K1087">
        <v>7.1</v>
      </c>
      <c r="L1087" t="s">
        <v>30</v>
      </c>
      <c r="M1087" t="s">
        <v>1953</v>
      </c>
      <c r="N1087" t="s">
        <v>1887</v>
      </c>
    </row>
    <row r="1088" spans="1:14" x14ac:dyDescent="0.35">
      <c r="A1088" t="s">
        <v>3012</v>
      </c>
      <c r="B1088" t="s">
        <v>1911</v>
      </c>
      <c r="C1088" t="s">
        <v>323</v>
      </c>
      <c r="D1088" t="s">
        <v>1927</v>
      </c>
      <c r="E1088" t="s">
        <v>1587</v>
      </c>
      <c r="F1088" t="s">
        <v>1908</v>
      </c>
      <c r="G1088">
        <v>369395</v>
      </c>
      <c r="H1088" s="1">
        <v>45741</v>
      </c>
      <c r="I1088" s="1"/>
      <c r="K1088">
        <v>5.3</v>
      </c>
      <c r="L1088" t="s">
        <v>21</v>
      </c>
      <c r="M1088" t="s">
        <v>1912</v>
      </c>
      <c r="N1088" t="s">
        <v>1887</v>
      </c>
    </row>
    <row r="1089" spans="1:14" x14ac:dyDescent="0.35">
      <c r="A1089" t="s">
        <v>3013</v>
      </c>
      <c r="B1089" t="s">
        <v>1903</v>
      </c>
      <c r="C1089" t="s">
        <v>273</v>
      </c>
      <c r="D1089" t="s">
        <v>1915</v>
      </c>
      <c r="E1089" t="s">
        <v>1905</v>
      </c>
      <c r="F1089" t="s">
        <v>1900</v>
      </c>
      <c r="G1089">
        <v>184136</v>
      </c>
      <c r="H1089" s="1">
        <v>44975</v>
      </c>
      <c r="I1089" s="1">
        <v>45063</v>
      </c>
      <c r="J1089">
        <v>88</v>
      </c>
      <c r="K1089">
        <v>13.3</v>
      </c>
      <c r="L1089" t="s">
        <v>21</v>
      </c>
      <c r="M1089" t="s">
        <v>1896</v>
      </c>
      <c r="N1089" t="s">
        <v>1887</v>
      </c>
    </row>
    <row r="1090" spans="1:14" x14ac:dyDescent="0.35">
      <c r="A1090" t="s">
        <v>3014</v>
      </c>
      <c r="B1090" t="s">
        <v>1930</v>
      </c>
      <c r="C1090" t="s">
        <v>378</v>
      </c>
      <c r="D1090" t="s">
        <v>1899</v>
      </c>
      <c r="E1090" t="s">
        <v>1600</v>
      </c>
      <c r="F1090" t="s">
        <v>1908</v>
      </c>
      <c r="G1090">
        <v>487419</v>
      </c>
      <c r="H1090" s="1">
        <v>45513</v>
      </c>
      <c r="I1090" s="1"/>
      <c r="K1090">
        <v>0</v>
      </c>
      <c r="L1090" t="s">
        <v>15</v>
      </c>
      <c r="M1090" t="s">
        <v>1953</v>
      </c>
      <c r="N1090" t="s">
        <v>1887</v>
      </c>
    </row>
    <row r="1091" spans="1:14" x14ac:dyDescent="0.35">
      <c r="A1091" t="s">
        <v>3015</v>
      </c>
      <c r="B1091" t="s">
        <v>1914</v>
      </c>
      <c r="C1091" t="s">
        <v>392</v>
      </c>
      <c r="D1091" t="s">
        <v>1927</v>
      </c>
      <c r="E1091" t="s">
        <v>1678</v>
      </c>
      <c r="F1091" t="s">
        <v>1900</v>
      </c>
      <c r="G1091">
        <v>257068</v>
      </c>
      <c r="H1091" s="1">
        <v>45239</v>
      </c>
      <c r="I1091" s="1">
        <v>45256</v>
      </c>
      <c r="J1091">
        <v>17</v>
      </c>
      <c r="K1091">
        <v>21.5</v>
      </c>
      <c r="L1091" t="s">
        <v>21</v>
      </c>
      <c r="M1091" t="s">
        <v>1886</v>
      </c>
      <c r="N1091" t="s">
        <v>1887</v>
      </c>
    </row>
    <row r="1092" spans="1:14" x14ac:dyDescent="0.35">
      <c r="A1092" t="s">
        <v>3016</v>
      </c>
      <c r="B1092" t="s">
        <v>1914</v>
      </c>
      <c r="C1092" t="s">
        <v>457</v>
      </c>
      <c r="D1092" t="s">
        <v>1883</v>
      </c>
      <c r="E1092" t="s">
        <v>1918</v>
      </c>
      <c r="F1092" t="s">
        <v>1895</v>
      </c>
      <c r="G1092">
        <v>402463</v>
      </c>
      <c r="H1092" s="1">
        <v>45132</v>
      </c>
      <c r="I1092" s="1"/>
      <c r="K1092">
        <v>5</v>
      </c>
      <c r="L1092" t="s">
        <v>30</v>
      </c>
      <c r="M1092" t="s">
        <v>1932</v>
      </c>
      <c r="N1092" t="s">
        <v>1887</v>
      </c>
    </row>
    <row r="1093" spans="1:14" x14ac:dyDescent="0.35">
      <c r="A1093" t="s">
        <v>3017</v>
      </c>
      <c r="B1093" t="s">
        <v>1920</v>
      </c>
      <c r="C1093" t="s">
        <v>459</v>
      </c>
      <c r="D1093" t="s">
        <v>1904</v>
      </c>
      <c r="E1093" t="s">
        <v>1587</v>
      </c>
      <c r="F1093" t="s">
        <v>1895</v>
      </c>
      <c r="G1093">
        <v>117901</v>
      </c>
      <c r="H1093" s="1">
        <v>45649</v>
      </c>
      <c r="I1093" s="1"/>
      <c r="K1093">
        <v>12.6</v>
      </c>
      <c r="L1093" t="s">
        <v>47</v>
      </c>
      <c r="M1093" t="s">
        <v>1901</v>
      </c>
      <c r="N1093" t="s">
        <v>1887</v>
      </c>
    </row>
    <row r="1094" spans="1:14" x14ac:dyDescent="0.35">
      <c r="A1094" t="s">
        <v>3018</v>
      </c>
      <c r="B1094" t="s">
        <v>1882</v>
      </c>
      <c r="C1094" t="s">
        <v>365</v>
      </c>
      <c r="D1094" t="s">
        <v>1927</v>
      </c>
      <c r="E1094" t="s">
        <v>1891</v>
      </c>
      <c r="F1094" t="s">
        <v>1946</v>
      </c>
      <c r="G1094">
        <v>194726</v>
      </c>
      <c r="H1094" s="1">
        <v>45117</v>
      </c>
      <c r="I1094" s="1"/>
      <c r="L1094" t="s">
        <v>15</v>
      </c>
      <c r="M1094" t="s">
        <v>1932</v>
      </c>
      <c r="N1094" t="s">
        <v>1887</v>
      </c>
    </row>
    <row r="1095" spans="1:14" x14ac:dyDescent="0.35">
      <c r="A1095" t="s">
        <v>3019</v>
      </c>
      <c r="B1095" t="s">
        <v>1922</v>
      </c>
      <c r="C1095" t="s">
        <v>126</v>
      </c>
      <c r="D1095" t="s">
        <v>1915</v>
      </c>
      <c r="E1095" t="s">
        <v>1918</v>
      </c>
      <c r="F1095" t="s">
        <v>1900</v>
      </c>
      <c r="G1095">
        <v>428668</v>
      </c>
      <c r="H1095" s="1">
        <v>45297</v>
      </c>
      <c r="I1095" s="1">
        <v>45378</v>
      </c>
      <c r="J1095">
        <v>81</v>
      </c>
      <c r="K1095">
        <v>10.5</v>
      </c>
      <c r="L1095" t="s">
        <v>30</v>
      </c>
      <c r="M1095" t="s">
        <v>1916</v>
      </c>
      <c r="N1095" t="s">
        <v>1887</v>
      </c>
    </row>
    <row r="1096" spans="1:14" x14ac:dyDescent="0.35">
      <c r="A1096" t="s">
        <v>3020</v>
      </c>
      <c r="B1096" t="s">
        <v>1914</v>
      </c>
      <c r="C1096" t="s">
        <v>470</v>
      </c>
      <c r="D1096" t="s">
        <v>1904</v>
      </c>
      <c r="E1096" t="s">
        <v>1884</v>
      </c>
      <c r="F1096" t="s">
        <v>1895</v>
      </c>
      <c r="G1096">
        <v>324615</v>
      </c>
      <c r="H1096" s="1">
        <v>45034</v>
      </c>
      <c r="I1096" s="1"/>
      <c r="L1096" t="s">
        <v>21</v>
      </c>
      <c r="M1096" t="s">
        <v>1893</v>
      </c>
      <c r="N1096" t="s">
        <v>1887</v>
      </c>
    </row>
    <row r="1097" spans="1:14" x14ac:dyDescent="0.35">
      <c r="A1097" t="s">
        <v>3021</v>
      </c>
      <c r="B1097" t="s">
        <v>1898</v>
      </c>
      <c r="C1097" t="s">
        <v>230</v>
      </c>
      <c r="D1097" t="s">
        <v>1904</v>
      </c>
      <c r="E1097" t="s">
        <v>1884</v>
      </c>
      <c r="F1097" t="s">
        <v>1885</v>
      </c>
      <c r="G1097">
        <v>107634</v>
      </c>
      <c r="H1097" s="1">
        <v>45051</v>
      </c>
      <c r="I1097" s="1">
        <v>45166</v>
      </c>
      <c r="J1097">
        <v>115</v>
      </c>
      <c r="K1097">
        <v>11.8</v>
      </c>
      <c r="L1097" t="s">
        <v>30</v>
      </c>
      <c r="M1097" t="s">
        <v>1893</v>
      </c>
      <c r="N1097" t="s">
        <v>1887</v>
      </c>
    </row>
    <row r="1098" spans="1:14" x14ac:dyDescent="0.35">
      <c r="A1098" t="s">
        <v>3022</v>
      </c>
      <c r="B1098" t="s">
        <v>1924</v>
      </c>
      <c r="C1098" t="s">
        <v>454</v>
      </c>
      <c r="D1098" t="s">
        <v>1915</v>
      </c>
      <c r="E1098" t="s">
        <v>1678</v>
      </c>
      <c r="F1098" t="s">
        <v>1900</v>
      </c>
      <c r="G1098">
        <v>144440</v>
      </c>
      <c r="H1098" s="1">
        <v>45648</v>
      </c>
      <c r="I1098" s="1">
        <v>45768</v>
      </c>
      <c r="J1098">
        <v>120</v>
      </c>
      <c r="K1098">
        <v>22.3</v>
      </c>
      <c r="L1098" t="s">
        <v>30</v>
      </c>
      <c r="M1098" t="s">
        <v>1901</v>
      </c>
      <c r="N1098" t="s">
        <v>1887</v>
      </c>
    </row>
    <row r="1099" spans="1:14" x14ac:dyDescent="0.35">
      <c r="A1099" t="s">
        <v>3023</v>
      </c>
      <c r="B1099" t="s">
        <v>1937</v>
      </c>
      <c r="C1099" t="s">
        <v>32</v>
      </c>
      <c r="D1099" t="s">
        <v>1899</v>
      </c>
      <c r="E1099" t="s">
        <v>1931</v>
      </c>
      <c r="F1099" t="s">
        <v>1908</v>
      </c>
      <c r="G1099">
        <v>180182</v>
      </c>
      <c r="H1099" s="1">
        <v>45598</v>
      </c>
      <c r="I1099" s="1"/>
      <c r="K1099">
        <v>12.6</v>
      </c>
      <c r="L1099" t="s">
        <v>30</v>
      </c>
      <c r="M1099" t="s">
        <v>1901</v>
      </c>
      <c r="N1099" t="s">
        <v>1887</v>
      </c>
    </row>
    <row r="1100" spans="1:14" x14ac:dyDescent="0.35">
      <c r="A1100" t="s">
        <v>3024</v>
      </c>
      <c r="B1100" t="s">
        <v>1963</v>
      </c>
      <c r="C1100" t="s">
        <v>173</v>
      </c>
      <c r="D1100" t="s">
        <v>1915</v>
      </c>
      <c r="E1100" t="s">
        <v>1884</v>
      </c>
      <c r="F1100" t="s">
        <v>1946</v>
      </c>
      <c r="G1100">
        <v>356244</v>
      </c>
      <c r="H1100" s="1">
        <v>45030</v>
      </c>
      <c r="I1100" s="1"/>
      <c r="L1100" t="s">
        <v>21</v>
      </c>
      <c r="M1100" t="s">
        <v>1893</v>
      </c>
      <c r="N1100" t="s">
        <v>1887</v>
      </c>
    </row>
    <row r="1101" spans="1:14" x14ac:dyDescent="0.35">
      <c r="A1101" t="s">
        <v>3025</v>
      </c>
      <c r="B1101" t="s">
        <v>1922</v>
      </c>
      <c r="C1101" t="s">
        <v>230</v>
      </c>
      <c r="D1101" t="s">
        <v>1899</v>
      </c>
      <c r="E1101" t="s">
        <v>1587</v>
      </c>
      <c r="F1101" t="s">
        <v>1900</v>
      </c>
      <c r="G1101">
        <v>349253</v>
      </c>
      <c r="H1101" s="1">
        <v>45474</v>
      </c>
      <c r="I1101" s="1">
        <v>45576</v>
      </c>
      <c r="J1101">
        <v>102</v>
      </c>
      <c r="K1101">
        <v>11.5</v>
      </c>
      <c r="L1101" t="s">
        <v>21</v>
      </c>
      <c r="M1101" t="s">
        <v>1953</v>
      </c>
      <c r="N1101" t="s">
        <v>1887</v>
      </c>
    </row>
    <row r="1102" spans="1:14" x14ac:dyDescent="0.35">
      <c r="A1102" t="s">
        <v>3026</v>
      </c>
      <c r="B1102" t="s">
        <v>1926</v>
      </c>
      <c r="C1102" t="s">
        <v>372</v>
      </c>
      <c r="D1102" t="s">
        <v>1899</v>
      </c>
      <c r="E1102" t="s">
        <v>1905</v>
      </c>
      <c r="F1102" t="s">
        <v>1946</v>
      </c>
      <c r="G1102">
        <v>183137</v>
      </c>
      <c r="H1102" s="1">
        <v>44936</v>
      </c>
      <c r="I1102" s="1"/>
      <c r="K1102">
        <v>11.8</v>
      </c>
      <c r="L1102" t="s">
        <v>30</v>
      </c>
      <c r="M1102" t="s">
        <v>1896</v>
      </c>
      <c r="N1102" t="s">
        <v>1887</v>
      </c>
    </row>
    <row r="1103" spans="1:14" x14ac:dyDescent="0.35">
      <c r="A1103" t="s">
        <v>3027</v>
      </c>
      <c r="B1103" t="s">
        <v>1944</v>
      </c>
      <c r="C1103" t="s">
        <v>180</v>
      </c>
      <c r="D1103" t="s">
        <v>1915</v>
      </c>
      <c r="E1103" t="s">
        <v>1678</v>
      </c>
      <c r="F1103" t="s">
        <v>1908</v>
      </c>
      <c r="G1103">
        <v>170194</v>
      </c>
      <c r="H1103" s="1">
        <v>45011</v>
      </c>
      <c r="I1103" s="1"/>
      <c r="L1103" t="s">
        <v>15</v>
      </c>
      <c r="M1103" t="s">
        <v>1896</v>
      </c>
      <c r="N1103" t="s">
        <v>1887</v>
      </c>
    </row>
    <row r="1104" spans="1:14" x14ac:dyDescent="0.35">
      <c r="A1104" t="s">
        <v>3028</v>
      </c>
      <c r="B1104" t="s">
        <v>1944</v>
      </c>
      <c r="C1104" t="s">
        <v>472</v>
      </c>
      <c r="D1104" t="s">
        <v>1890</v>
      </c>
      <c r="E1104" t="s">
        <v>1891</v>
      </c>
      <c r="F1104" t="s">
        <v>1892</v>
      </c>
      <c r="G1104">
        <v>900800</v>
      </c>
      <c r="H1104" s="1">
        <v>45079</v>
      </c>
      <c r="I1104" s="1"/>
      <c r="L1104" t="s">
        <v>30</v>
      </c>
      <c r="M1104" t="s">
        <v>1893</v>
      </c>
      <c r="N1104" t="s">
        <v>1887</v>
      </c>
    </row>
    <row r="1105" spans="1:14" x14ac:dyDescent="0.35">
      <c r="A1105" t="s">
        <v>3029</v>
      </c>
      <c r="B1105" t="s">
        <v>1924</v>
      </c>
      <c r="C1105" t="s">
        <v>384</v>
      </c>
      <c r="D1105" t="s">
        <v>1883</v>
      </c>
      <c r="E1105" t="s">
        <v>1931</v>
      </c>
      <c r="F1105" t="s">
        <v>1895</v>
      </c>
      <c r="G1105">
        <v>443974</v>
      </c>
      <c r="H1105" s="1">
        <v>44980</v>
      </c>
      <c r="I1105" s="1"/>
      <c r="K1105">
        <v>3</v>
      </c>
      <c r="L1105" t="s">
        <v>15</v>
      </c>
      <c r="M1105" t="s">
        <v>1896</v>
      </c>
      <c r="N1105" t="s">
        <v>1887</v>
      </c>
    </row>
    <row r="1106" spans="1:14" x14ac:dyDescent="0.35">
      <c r="A1106" t="s">
        <v>3030</v>
      </c>
      <c r="B1106" t="s">
        <v>1944</v>
      </c>
      <c r="C1106" t="s">
        <v>255</v>
      </c>
      <c r="D1106" t="s">
        <v>1890</v>
      </c>
      <c r="E1106" t="s">
        <v>1918</v>
      </c>
      <c r="F1106" t="s">
        <v>1908</v>
      </c>
      <c r="G1106">
        <v>319496</v>
      </c>
      <c r="H1106" s="1">
        <v>45050</v>
      </c>
      <c r="I1106" s="1"/>
      <c r="K1106">
        <v>12.2</v>
      </c>
      <c r="L1106" t="s">
        <v>21</v>
      </c>
      <c r="M1106" t="s">
        <v>1893</v>
      </c>
      <c r="N1106" t="s">
        <v>1887</v>
      </c>
    </row>
    <row r="1107" spans="1:14" x14ac:dyDescent="0.35">
      <c r="A1107" t="s">
        <v>3031</v>
      </c>
      <c r="B1107" t="s">
        <v>1911</v>
      </c>
      <c r="C1107" t="s">
        <v>483</v>
      </c>
      <c r="D1107" t="s">
        <v>1904</v>
      </c>
      <c r="E1107" t="s">
        <v>1918</v>
      </c>
      <c r="F1107" t="s">
        <v>1895</v>
      </c>
      <c r="G1107">
        <v>384484</v>
      </c>
      <c r="H1107" s="1">
        <v>45260</v>
      </c>
      <c r="I1107" s="1"/>
      <c r="L1107" t="s">
        <v>21</v>
      </c>
      <c r="M1107" t="s">
        <v>1886</v>
      </c>
      <c r="N1107" t="s">
        <v>1887</v>
      </c>
    </row>
    <row r="1108" spans="1:14" x14ac:dyDescent="0.35">
      <c r="A1108" t="s">
        <v>3032</v>
      </c>
      <c r="B1108" t="s">
        <v>1889</v>
      </c>
      <c r="C1108" t="s">
        <v>128</v>
      </c>
      <c r="D1108" t="s">
        <v>1915</v>
      </c>
      <c r="E1108" t="s">
        <v>1945</v>
      </c>
      <c r="F1108" t="s">
        <v>1892</v>
      </c>
      <c r="G1108">
        <v>1933238</v>
      </c>
      <c r="H1108" s="1">
        <v>45365</v>
      </c>
      <c r="I1108" s="1"/>
      <c r="L1108" t="s">
        <v>15</v>
      </c>
      <c r="M1108" t="s">
        <v>1916</v>
      </c>
      <c r="N1108" t="s">
        <v>1966</v>
      </c>
    </row>
    <row r="1109" spans="1:14" x14ac:dyDescent="0.35">
      <c r="A1109" t="s">
        <v>3033</v>
      </c>
      <c r="B1109" t="s">
        <v>1926</v>
      </c>
      <c r="C1109" t="s">
        <v>303</v>
      </c>
      <c r="D1109" t="s">
        <v>1890</v>
      </c>
      <c r="E1109" t="s">
        <v>1678</v>
      </c>
      <c r="F1109" t="s">
        <v>1885</v>
      </c>
      <c r="G1109">
        <v>168296</v>
      </c>
      <c r="H1109" s="1">
        <v>45327</v>
      </c>
      <c r="I1109" s="1">
        <v>45439</v>
      </c>
      <c r="J1109">
        <v>112</v>
      </c>
      <c r="K1109">
        <v>6.4</v>
      </c>
      <c r="L1109" t="s">
        <v>47</v>
      </c>
      <c r="M1109" t="s">
        <v>1916</v>
      </c>
      <c r="N1109" t="s">
        <v>1887</v>
      </c>
    </row>
    <row r="1110" spans="1:14" x14ac:dyDescent="0.35">
      <c r="A1110" t="s">
        <v>3034</v>
      </c>
      <c r="B1110" t="s">
        <v>1911</v>
      </c>
      <c r="C1110" t="s">
        <v>411</v>
      </c>
      <c r="D1110" t="s">
        <v>1883</v>
      </c>
      <c r="E1110" t="s">
        <v>1905</v>
      </c>
      <c r="F1110" t="s">
        <v>1892</v>
      </c>
      <c r="G1110">
        <v>1682617</v>
      </c>
      <c r="H1110" s="1">
        <v>45501</v>
      </c>
      <c r="I1110" s="1"/>
      <c r="K1110">
        <v>7</v>
      </c>
      <c r="L1110" t="s">
        <v>30</v>
      </c>
      <c r="M1110" t="s">
        <v>1953</v>
      </c>
      <c r="N1110" t="s">
        <v>1966</v>
      </c>
    </row>
    <row r="1111" spans="1:14" x14ac:dyDescent="0.35">
      <c r="A1111" t="s">
        <v>3035</v>
      </c>
      <c r="B1111" t="s">
        <v>1924</v>
      </c>
      <c r="C1111" t="s">
        <v>402</v>
      </c>
      <c r="D1111" t="s">
        <v>1899</v>
      </c>
      <c r="E1111" t="s">
        <v>1905</v>
      </c>
      <c r="F1111" t="s">
        <v>1946</v>
      </c>
      <c r="G1111">
        <v>153082</v>
      </c>
      <c r="H1111" s="1">
        <v>45566</v>
      </c>
      <c r="I1111" s="1"/>
      <c r="K1111">
        <v>3.2</v>
      </c>
      <c r="L1111" t="s">
        <v>15</v>
      </c>
      <c r="M1111" t="s">
        <v>1901</v>
      </c>
      <c r="N1111" t="s">
        <v>1887</v>
      </c>
    </row>
    <row r="1112" spans="1:14" x14ac:dyDescent="0.35">
      <c r="A1112" t="s">
        <v>3036</v>
      </c>
      <c r="B1112" t="s">
        <v>1944</v>
      </c>
      <c r="C1112" t="s">
        <v>234</v>
      </c>
      <c r="D1112" t="s">
        <v>1890</v>
      </c>
      <c r="E1112" t="s">
        <v>1931</v>
      </c>
      <c r="F1112" t="s">
        <v>1900</v>
      </c>
      <c r="G1112">
        <v>456390</v>
      </c>
      <c r="H1112" s="1">
        <v>45704</v>
      </c>
      <c r="I1112" s="1">
        <v>45729</v>
      </c>
      <c r="J1112">
        <v>25</v>
      </c>
      <c r="K1112">
        <v>3.7</v>
      </c>
      <c r="L1112" t="s">
        <v>30</v>
      </c>
      <c r="M1112" t="s">
        <v>1912</v>
      </c>
      <c r="N1112" t="s">
        <v>1887</v>
      </c>
    </row>
    <row r="1113" spans="1:14" x14ac:dyDescent="0.35">
      <c r="A1113" t="s">
        <v>3037</v>
      </c>
      <c r="B1113" t="s">
        <v>1889</v>
      </c>
      <c r="C1113" t="s">
        <v>74</v>
      </c>
      <c r="D1113" t="s">
        <v>1915</v>
      </c>
      <c r="E1113" t="s">
        <v>1891</v>
      </c>
      <c r="F1113" t="s">
        <v>1900</v>
      </c>
      <c r="G1113">
        <v>283930</v>
      </c>
      <c r="H1113" s="1">
        <v>45243</v>
      </c>
      <c r="I1113" s="1">
        <v>45411</v>
      </c>
      <c r="J1113">
        <v>168</v>
      </c>
      <c r="K1113">
        <v>1.6</v>
      </c>
      <c r="L1113" t="s">
        <v>15</v>
      </c>
      <c r="M1113" t="s">
        <v>1886</v>
      </c>
      <c r="N1113" t="s">
        <v>1887</v>
      </c>
    </row>
    <row r="1114" spans="1:14" x14ac:dyDescent="0.35">
      <c r="A1114" t="s">
        <v>3038</v>
      </c>
      <c r="B1114" t="s">
        <v>1914</v>
      </c>
      <c r="C1114" t="s">
        <v>495</v>
      </c>
      <c r="D1114" t="s">
        <v>1890</v>
      </c>
      <c r="E1114" t="s">
        <v>1678</v>
      </c>
      <c r="F1114" t="s">
        <v>1885</v>
      </c>
      <c r="G1114">
        <v>107279</v>
      </c>
      <c r="H1114" s="1">
        <v>45343</v>
      </c>
      <c r="I1114" s="1">
        <v>45498</v>
      </c>
      <c r="J1114">
        <v>155</v>
      </c>
      <c r="L1114" t="s">
        <v>21</v>
      </c>
      <c r="M1114" t="s">
        <v>1916</v>
      </c>
      <c r="N1114" t="s">
        <v>1887</v>
      </c>
    </row>
    <row r="1115" spans="1:14" x14ac:dyDescent="0.35">
      <c r="A1115" t="s">
        <v>3039</v>
      </c>
      <c r="B1115" t="s">
        <v>1920</v>
      </c>
      <c r="C1115" t="s">
        <v>18</v>
      </c>
      <c r="D1115" t="s">
        <v>1899</v>
      </c>
      <c r="E1115" t="s">
        <v>1600</v>
      </c>
      <c r="F1115" t="s">
        <v>1908</v>
      </c>
      <c r="G1115">
        <v>122477</v>
      </c>
      <c r="H1115" s="1">
        <v>45026</v>
      </c>
      <c r="I1115" s="1"/>
      <c r="L1115" t="s">
        <v>30</v>
      </c>
      <c r="M1115" t="s">
        <v>1893</v>
      </c>
      <c r="N1115" t="s">
        <v>1887</v>
      </c>
    </row>
    <row r="1116" spans="1:14" x14ac:dyDescent="0.35">
      <c r="A1116" t="s">
        <v>3040</v>
      </c>
      <c r="B1116" t="s">
        <v>1898</v>
      </c>
      <c r="C1116" t="s">
        <v>300</v>
      </c>
      <c r="D1116" t="s">
        <v>1915</v>
      </c>
      <c r="E1116" t="s">
        <v>1587</v>
      </c>
      <c r="F1116" t="s">
        <v>1885</v>
      </c>
      <c r="G1116">
        <v>401278</v>
      </c>
      <c r="H1116" s="1">
        <v>45097</v>
      </c>
      <c r="I1116" s="1">
        <v>45169</v>
      </c>
      <c r="J1116">
        <v>72</v>
      </c>
      <c r="L1116" t="s">
        <v>21</v>
      </c>
      <c r="M1116" t="s">
        <v>1893</v>
      </c>
      <c r="N1116" t="s">
        <v>1887</v>
      </c>
    </row>
    <row r="1117" spans="1:14" x14ac:dyDescent="0.35">
      <c r="A1117" t="s">
        <v>3041</v>
      </c>
      <c r="B1117" t="s">
        <v>1889</v>
      </c>
      <c r="C1117" t="s">
        <v>156</v>
      </c>
      <c r="D1117" t="s">
        <v>1899</v>
      </c>
      <c r="E1117" t="s">
        <v>1905</v>
      </c>
      <c r="F1117" t="s">
        <v>1895</v>
      </c>
      <c r="G1117">
        <v>335495</v>
      </c>
      <c r="H1117" s="1">
        <v>45477</v>
      </c>
      <c r="I1117" s="1"/>
      <c r="K1117">
        <v>3.1</v>
      </c>
      <c r="L1117" t="s">
        <v>15</v>
      </c>
      <c r="M1117" t="s">
        <v>1953</v>
      </c>
      <c r="N1117" t="s">
        <v>1887</v>
      </c>
    </row>
    <row r="1118" spans="1:14" x14ac:dyDescent="0.35">
      <c r="A1118" t="s">
        <v>3042</v>
      </c>
      <c r="B1118" t="s">
        <v>1914</v>
      </c>
      <c r="C1118" t="s">
        <v>224</v>
      </c>
      <c r="D1118" t="s">
        <v>1915</v>
      </c>
      <c r="E1118" t="s">
        <v>1945</v>
      </c>
      <c r="F1118" t="s">
        <v>1908</v>
      </c>
      <c r="G1118">
        <v>67858</v>
      </c>
      <c r="H1118" s="1">
        <v>45559</v>
      </c>
      <c r="I1118" s="1"/>
      <c r="K1118">
        <v>6.8</v>
      </c>
      <c r="L1118" t="s">
        <v>30</v>
      </c>
      <c r="M1118" t="s">
        <v>1953</v>
      </c>
      <c r="N1118" t="s">
        <v>1887</v>
      </c>
    </row>
    <row r="1119" spans="1:14" x14ac:dyDescent="0.35">
      <c r="A1119" t="s">
        <v>3043</v>
      </c>
      <c r="B1119" t="s">
        <v>1920</v>
      </c>
      <c r="C1119" t="s">
        <v>247</v>
      </c>
      <c r="D1119" t="s">
        <v>1899</v>
      </c>
      <c r="E1119" t="s">
        <v>1678</v>
      </c>
      <c r="F1119" t="s">
        <v>1908</v>
      </c>
      <c r="G1119">
        <v>64806</v>
      </c>
      <c r="H1119" s="1">
        <v>45531</v>
      </c>
      <c r="I1119" s="1"/>
      <c r="K1119">
        <v>11.4</v>
      </c>
      <c r="L1119" t="s">
        <v>21</v>
      </c>
      <c r="M1119" t="s">
        <v>1953</v>
      </c>
      <c r="N1119" t="s">
        <v>1887</v>
      </c>
    </row>
    <row r="1120" spans="1:14" x14ac:dyDescent="0.35">
      <c r="A1120" t="s">
        <v>3044</v>
      </c>
      <c r="B1120" t="s">
        <v>1903</v>
      </c>
      <c r="C1120" t="s">
        <v>255</v>
      </c>
      <c r="D1120" t="s">
        <v>1890</v>
      </c>
      <c r="E1120" t="s">
        <v>1587</v>
      </c>
      <c r="F1120" t="s">
        <v>1946</v>
      </c>
      <c r="G1120">
        <v>1799142</v>
      </c>
      <c r="H1120" s="1">
        <v>45512</v>
      </c>
      <c r="I1120" s="1"/>
      <c r="L1120" t="s">
        <v>30</v>
      </c>
      <c r="M1120" t="s">
        <v>1953</v>
      </c>
      <c r="N1120" t="s">
        <v>1966</v>
      </c>
    </row>
    <row r="1121" spans="1:14" x14ac:dyDescent="0.35">
      <c r="A1121" t="s">
        <v>3045</v>
      </c>
      <c r="B1121" t="s">
        <v>1903</v>
      </c>
      <c r="C1121" t="s">
        <v>329</v>
      </c>
      <c r="D1121" t="s">
        <v>1890</v>
      </c>
      <c r="E1121" t="s">
        <v>1905</v>
      </c>
      <c r="F1121" t="s">
        <v>1900</v>
      </c>
      <c r="G1121">
        <v>84175</v>
      </c>
      <c r="H1121" s="1">
        <v>45433</v>
      </c>
      <c r="I1121" s="1">
        <v>45503</v>
      </c>
      <c r="J1121">
        <v>70</v>
      </c>
      <c r="K1121">
        <v>0.3</v>
      </c>
      <c r="L1121" t="s">
        <v>21</v>
      </c>
      <c r="M1121" t="s">
        <v>1935</v>
      </c>
      <c r="N1121" t="s">
        <v>1887</v>
      </c>
    </row>
    <row r="1122" spans="1:14" x14ac:dyDescent="0.35">
      <c r="A1122" t="s">
        <v>3046</v>
      </c>
      <c r="B1122" t="s">
        <v>1907</v>
      </c>
      <c r="C1122" t="s">
        <v>114</v>
      </c>
      <c r="D1122" t="s">
        <v>1915</v>
      </c>
      <c r="E1122" t="s">
        <v>1587</v>
      </c>
      <c r="F1122" t="s">
        <v>1946</v>
      </c>
      <c r="G1122">
        <v>347196</v>
      </c>
      <c r="H1122" s="1">
        <v>45358</v>
      </c>
      <c r="I1122" s="1"/>
      <c r="L1122" t="s">
        <v>15</v>
      </c>
      <c r="M1122" t="s">
        <v>1916</v>
      </c>
      <c r="N1122" t="s">
        <v>1887</v>
      </c>
    </row>
    <row r="1123" spans="1:14" x14ac:dyDescent="0.35">
      <c r="A1123" t="s">
        <v>3047</v>
      </c>
      <c r="B1123" t="s">
        <v>1922</v>
      </c>
      <c r="C1123" t="s">
        <v>266</v>
      </c>
      <c r="D1123" t="s">
        <v>1883</v>
      </c>
      <c r="E1123" t="s">
        <v>1918</v>
      </c>
      <c r="F1123" t="s">
        <v>1900</v>
      </c>
      <c r="G1123">
        <v>292568</v>
      </c>
      <c r="H1123" s="1">
        <v>45121</v>
      </c>
      <c r="I1123" s="1">
        <v>45270</v>
      </c>
      <c r="J1123">
        <v>149</v>
      </c>
      <c r="K1123">
        <v>19.100000000000001</v>
      </c>
      <c r="L1123" t="s">
        <v>15</v>
      </c>
      <c r="M1123" t="s">
        <v>1932</v>
      </c>
      <c r="N1123" t="s">
        <v>1887</v>
      </c>
    </row>
    <row r="1124" spans="1:14" x14ac:dyDescent="0.35">
      <c r="A1124" t="s">
        <v>3048</v>
      </c>
      <c r="B1124" t="s">
        <v>1924</v>
      </c>
      <c r="C1124" t="s">
        <v>374</v>
      </c>
      <c r="D1124" t="s">
        <v>1904</v>
      </c>
      <c r="E1124" t="s">
        <v>1905</v>
      </c>
      <c r="F1124" t="s">
        <v>1895</v>
      </c>
      <c r="G1124">
        <v>375536</v>
      </c>
      <c r="H1124" s="1">
        <v>45265</v>
      </c>
      <c r="I1124" s="1"/>
      <c r="K1124">
        <v>3.5</v>
      </c>
      <c r="L1124" t="s">
        <v>30</v>
      </c>
      <c r="M1124" t="s">
        <v>1886</v>
      </c>
      <c r="N1124" t="s">
        <v>1887</v>
      </c>
    </row>
    <row r="1125" spans="1:14" x14ac:dyDescent="0.35">
      <c r="A1125" t="s">
        <v>3049</v>
      </c>
      <c r="B1125" t="s">
        <v>1934</v>
      </c>
      <c r="C1125" t="s">
        <v>448</v>
      </c>
      <c r="D1125" t="s">
        <v>1904</v>
      </c>
      <c r="E1125" t="s">
        <v>1600</v>
      </c>
      <c r="F1125" t="s">
        <v>1908</v>
      </c>
      <c r="G1125">
        <v>100519</v>
      </c>
      <c r="H1125" s="1">
        <v>45327</v>
      </c>
      <c r="I1125" s="1"/>
      <c r="L1125" t="s">
        <v>21</v>
      </c>
      <c r="M1125" t="s">
        <v>1916</v>
      </c>
      <c r="N1125" t="s">
        <v>1887</v>
      </c>
    </row>
    <row r="1126" spans="1:14" x14ac:dyDescent="0.35">
      <c r="A1126" t="s">
        <v>3050</v>
      </c>
      <c r="B1126" t="s">
        <v>1903</v>
      </c>
      <c r="C1126" t="s">
        <v>140</v>
      </c>
      <c r="D1126" t="s">
        <v>1883</v>
      </c>
      <c r="E1126" t="s">
        <v>1905</v>
      </c>
      <c r="F1126" t="s">
        <v>1895</v>
      </c>
      <c r="G1126">
        <v>386603</v>
      </c>
      <c r="H1126" s="1">
        <v>45328</v>
      </c>
      <c r="I1126" s="1"/>
      <c r="L1126" t="s">
        <v>47</v>
      </c>
      <c r="M1126" t="s">
        <v>1916</v>
      </c>
      <c r="N1126" t="s">
        <v>1887</v>
      </c>
    </row>
    <row r="1127" spans="1:14" x14ac:dyDescent="0.35">
      <c r="A1127" t="s">
        <v>3051</v>
      </c>
      <c r="B1127" t="s">
        <v>1903</v>
      </c>
      <c r="C1127" t="s">
        <v>482</v>
      </c>
      <c r="D1127" t="s">
        <v>1899</v>
      </c>
      <c r="E1127" t="s">
        <v>1918</v>
      </c>
      <c r="F1127" t="s">
        <v>1946</v>
      </c>
      <c r="G1127">
        <v>252697</v>
      </c>
      <c r="H1127" s="1">
        <v>45026</v>
      </c>
      <c r="I1127" s="1"/>
      <c r="L1127" t="s">
        <v>30</v>
      </c>
      <c r="M1127" t="s">
        <v>1893</v>
      </c>
      <c r="N1127" t="s">
        <v>1887</v>
      </c>
    </row>
    <row r="1128" spans="1:14" x14ac:dyDescent="0.35">
      <c r="A1128" t="s">
        <v>3052</v>
      </c>
      <c r="B1128" t="s">
        <v>1882</v>
      </c>
      <c r="C1128" t="s">
        <v>85</v>
      </c>
      <c r="D1128" t="s">
        <v>1899</v>
      </c>
      <c r="E1128" t="s">
        <v>1600</v>
      </c>
      <c r="F1128" t="s">
        <v>1885</v>
      </c>
      <c r="G1128">
        <v>217192</v>
      </c>
      <c r="H1128" s="1">
        <v>45697</v>
      </c>
      <c r="I1128" s="1">
        <v>45846</v>
      </c>
      <c r="J1128">
        <v>149</v>
      </c>
      <c r="K1128">
        <v>8.6</v>
      </c>
      <c r="L1128" t="s">
        <v>47</v>
      </c>
      <c r="M1128" t="s">
        <v>1912</v>
      </c>
      <c r="N1128" t="s">
        <v>1887</v>
      </c>
    </row>
    <row r="1129" spans="1:14" x14ac:dyDescent="0.35">
      <c r="A1129" t="s">
        <v>3053</v>
      </c>
      <c r="B1129" t="s">
        <v>1937</v>
      </c>
      <c r="C1129" t="s">
        <v>158</v>
      </c>
      <c r="D1129" t="s">
        <v>1890</v>
      </c>
      <c r="E1129" t="s">
        <v>1884</v>
      </c>
      <c r="F1129" t="s">
        <v>1895</v>
      </c>
      <c r="G1129">
        <v>475859</v>
      </c>
      <c r="H1129" s="1">
        <v>44975</v>
      </c>
      <c r="I1129" s="1"/>
      <c r="K1129">
        <v>3.5</v>
      </c>
      <c r="L1129" t="s">
        <v>21</v>
      </c>
      <c r="M1129" t="s">
        <v>1896</v>
      </c>
      <c r="N1129" t="s">
        <v>1887</v>
      </c>
    </row>
    <row r="1130" spans="1:14" x14ac:dyDescent="0.35">
      <c r="A1130" t="s">
        <v>3054</v>
      </c>
      <c r="B1130" t="s">
        <v>1898</v>
      </c>
      <c r="C1130" t="s">
        <v>135</v>
      </c>
      <c r="D1130" t="s">
        <v>1915</v>
      </c>
      <c r="E1130" t="s">
        <v>1931</v>
      </c>
      <c r="F1130" t="s">
        <v>1900</v>
      </c>
      <c r="G1130">
        <v>56200</v>
      </c>
      <c r="H1130" s="1">
        <v>45012</v>
      </c>
      <c r="I1130" s="1">
        <v>45112</v>
      </c>
      <c r="J1130">
        <v>100</v>
      </c>
      <c r="K1130">
        <v>8.9</v>
      </c>
      <c r="L1130" t="s">
        <v>15</v>
      </c>
      <c r="M1130" t="s">
        <v>1896</v>
      </c>
      <c r="N1130" t="s">
        <v>1887</v>
      </c>
    </row>
    <row r="1131" spans="1:14" x14ac:dyDescent="0.35">
      <c r="A1131" t="s">
        <v>3055</v>
      </c>
      <c r="B1131" t="s">
        <v>1937</v>
      </c>
      <c r="C1131" t="s">
        <v>373</v>
      </c>
      <c r="D1131" t="s">
        <v>1899</v>
      </c>
      <c r="E1131" t="s">
        <v>1931</v>
      </c>
      <c r="F1131" t="s">
        <v>1900</v>
      </c>
      <c r="G1131">
        <v>231217</v>
      </c>
      <c r="H1131" s="1">
        <v>45337</v>
      </c>
      <c r="I1131" s="1">
        <v>45447</v>
      </c>
      <c r="J1131">
        <v>110</v>
      </c>
      <c r="K1131">
        <v>23.5</v>
      </c>
      <c r="L1131" t="s">
        <v>30</v>
      </c>
      <c r="M1131" t="s">
        <v>1916</v>
      </c>
      <c r="N1131" t="s">
        <v>1887</v>
      </c>
    </row>
    <row r="1132" spans="1:14" x14ac:dyDescent="0.35">
      <c r="A1132" t="s">
        <v>3056</v>
      </c>
      <c r="B1132" t="s">
        <v>1911</v>
      </c>
      <c r="C1132" t="s">
        <v>277</v>
      </c>
      <c r="D1132" t="s">
        <v>1883</v>
      </c>
      <c r="E1132" t="s">
        <v>1905</v>
      </c>
      <c r="F1132" t="s">
        <v>1946</v>
      </c>
      <c r="G1132">
        <v>481113</v>
      </c>
      <c r="H1132" s="1">
        <v>45476</v>
      </c>
      <c r="I1132" s="1"/>
      <c r="L1132" t="s">
        <v>21</v>
      </c>
      <c r="M1132" t="s">
        <v>1953</v>
      </c>
      <c r="N1132" t="s">
        <v>1887</v>
      </c>
    </row>
    <row r="1133" spans="1:14" x14ac:dyDescent="0.35">
      <c r="A1133" t="s">
        <v>3057</v>
      </c>
      <c r="B1133" t="s">
        <v>1944</v>
      </c>
      <c r="C1133" t="s">
        <v>494</v>
      </c>
      <c r="D1133" t="s">
        <v>1899</v>
      </c>
      <c r="E1133" t="s">
        <v>1931</v>
      </c>
      <c r="F1133" t="s">
        <v>1908</v>
      </c>
      <c r="G1133">
        <v>147811</v>
      </c>
      <c r="H1133" s="1">
        <v>45237</v>
      </c>
      <c r="I1133" s="1"/>
      <c r="K1133">
        <v>5.6</v>
      </c>
      <c r="L1133" t="s">
        <v>21</v>
      </c>
      <c r="M1133" t="s">
        <v>1886</v>
      </c>
      <c r="N1133" t="s">
        <v>1887</v>
      </c>
    </row>
    <row r="1134" spans="1:14" x14ac:dyDescent="0.35">
      <c r="A1134" t="s">
        <v>3058</v>
      </c>
      <c r="B1134" t="s">
        <v>1930</v>
      </c>
      <c r="C1134" t="s">
        <v>497</v>
      </c>
      <c r="D1134" t="s">
        <v>1904</v>
      </c>
      <c r="E1134" t="s">
        <v>1891</v>
      </c>
      <c r="F1134" t="s">
        <v>1946</v>
      </c>
      <c r="G1134">
        <v>330090</v>
      </c>
      <c r="H1134" s="1">
        <v>44944</v>
      </c>
      <c r="I1134" s="1"/>
      <c r="K1134">
        <v>7</v>
      </c>
      <c r="L1134" t="s">
        <v>15</v>
      </c>
      <c r="M1134" t="s">
        <v>1896</v>
      </c>
      <c r="N1134" t="s">
        <v>1887</v>
      </c>
    </row>
    <row r="1135" spans="1:14" x14ac:dyDescent="0.35">
      <c r="A1135" t="s">
        <v>3059</v>
      </c>
      <c r="B1135" t="s">
        <v>1944</v>
      </c>
      <c r="C1135" t="s">
        <v>402</v>
      </c>
      <c r="D1135" t="s">
        <v>1890</v>
      </c>
      <c r="E1135" t="s">
        <v>1678</v>
      </c>
      <c r="F1135" t="s">
        <v>1885</v>
      </c>
      <c r="G1135">
        <v>320635</v>
      </c>
      <c r="H1135" s="1">
        <v>45529</v>
      </c>
      <c r="I1135" s="1">
        <v>45560</v>
      </c>
      <c r="J1135">
        <v>31</v>
      </c>
      <c r="K1135">
        <v>3.4</v>
      </c>
      <c r="L1135" t="s">
        <v>15</v>
      </c>
      <c r="M1135" t="s">
        <v>1953</v>
      </c>
      <c r="N1135" t="s">
        <v>1887</v>
      </c>
    </row>
    <row r="1136" spans="1:14" x14ac:dyDescent="0.35">
      <c r="A1136" t="s">
        <v>3060</v>
      </c>
      <c r="B1136" t="s">
        <v>1903</v>
      </c>
      <c r="C1136" t="s">
        <v>252</v>
      </c>
      <c r="D1136" t="s">
        <v>1915</v>
      </c>
      <c r="E1136" t="s">
        <v>1884</v>
      </c>
      <c r="F1136" t="s">
        <v>1885</v>
      </c>
      <c r="G1136">
        <v>431788</v>
      </c>
      <c r="H1136" s="1">
        <v>45421</v>
      </c>
      <c r="I1136" s="1">
        <v>45514</v>
      </c>
      <c r="J1136">
        <v>93</v>
      </c>
      <c r="L1136" t="s">
        <v>30</v>
      </c>
      <c r="M1136" t="s">
        <v>1935</v>
      </c>
      <c r="N1136" t="s">
        <v>1887</v>
      </c>
    </row>
    <row r="1137" spans="1:14" x14ac:dyDescent="0.35">
      <c r="A1137" t="s">
        <v>3061</v>
      </c>
      <c r="B1137" t="s">
        <v>1926</v>
      </c>
      <c r="C1137" t="s">
        <v>291</v>
      </c>
      <c r="D1137" t="s">
        <v>1899</v>
      </c>
      <c r="E1137" t="s">
        <v>1884</v>
      </c>
      <c r="F1137" t="s">
        <v>1908</v>
      </c>
      <c r="G1137">
        <v>116732</v>
      </c>
      <c r="H1137" s="1">
        <v>45221</v>
      </c>
      <c r="I1137" s="1"/>
      <c r="L1137" t="s">
        <v>47</v>
      </c>
      <c r="M1137" t="s">
        <v>1886</v>
      </c>
      <c r="N1137" t="s">
        <v>1887</v>
      </c>
    </row>
    <row r="1138" spans="1:14" x14ac:dyDescent="0.35">
      <c r="A1138" t="s">
        <v>3062</v>
      </c>
      <c r="B1138" t="s">
        <v>1889</v>
      </c>
      <c r="C1138" t="s">
        <v>232</v>
      </c>
      <c r="D1138" t="s">
        <v>1890</v>
      </c>
      <c r="E1138" t="s">
        <v>1905</v>
      </c>
      <c r="F1138" t="s">
        <v>1885</v>
      </c>
      <c r="G1138">
        <v>262556</v>
      </c>
      <c r="H1138" s="1">
        <v>45484</v>
      </c>
      <c r="I1138" s="1">
        <v>45537</v>
      </c>
      <c r="J1138">
        <v>53</v>
      </c>
      <c r="K1138">
        <v>4.5999999999999996</v>
      </c>
      <c r="L1138" t="s">
        <v>47</v>
      </c>
      <c r="M1138" t="s">
        <v>1953</v>
      </c>
      <c r="N1138" t="s">
        <v>1887</v>
      </c>
    </row>
    <row r="1139" spans="1:14" x14ac:dyDescent="0.35">
      <c r="A1139" t="s">
        <v>3063</v>
      </c>
      <c r="B1139" t="s">
        <v>1926</v>
      </c>
      <c r="C1139" t="s">
        <v>138</v>
      </c>
      <c r="D1139" t="s">
        <v>1915</v>
      </c>
      <c r="E1139" t="s">
        <v>1600</v>
      </c>
      <c r="F1139" t="s">
        <v>1900</v>
      </c>
      <c r="G1139">
        <v>97807</v>
      </c>
      <c r="H1139" s="1">
        <v>45674</v>
      </c>
      <c r="I1139" s="1">
        <v>45839</v>
      </c>
      <c r="J1139">
        <v>165</v>
      </c>
      <c r="K1139">
        <v>16.600000000000001</v>
      </c>
      <c r="L1139" t="s">
        <v>47</v>
      </c>
      <c r="M1139" t="s">
        <v>1912</v>
      </c>
      <c r="N1139" t="s">
        <v>1887</v>
      </c>
    </row>
    <row r="1140" spans="1:14" x14ac:dyDescent="0.35">
      <c r="A1140" t="s">
        <v>3064</v>
      </c>
      <c r="B1140" t="s">
        <v>1934</v>
      </c>
      <c r="C1140" t="s">
        <v>376</v>
      </c>
      <c r="D1140" t="s">
        <v>1904</v>
      </c>
      <c r="E1140" t="s">
        <v>1931</v>
      </c>
      <c r="F1140" t="s">
        <v>1900</v>
      </c>
      <c r="G1140">
        <v>473872</v>
      </c>
      <c r="H1140" s="1">
        <v>45358</v>
      </c>
      <c r="I1140" s="1">
        <v>45536</v>
      </c>
      <c r="J1140">
        <v>178</v>
      </c>
      <c r="K1140">
        <v>15.2</v>
      </c>
      <c r="L1140" t="s">
        <v>30</v>
      </c>
      <c r="M1140" t="s">
        <v>1916</v>
      </c>
      <c r="N1140" t="s">
        <v>1887</v>
      </c>
    </row>
    <row r="1141" spans="1:14" x14ac:dyDescent="0.35">
      <c r="A1141" t="s">
        <v>3065</v>
      </c>
      <c r="B1141" t="s">
        <v>1920</v>
      </c>
      <c r="C1141" t="s">
        <v>180</v>
      </c>
      <c r="D1141" t="s">
        <v>1899</v>
      </c>
      <c r="E1141" t="s">
        <v>1678</v>
      </c>
      <c r="F1141" t="s">
        <v>1900</v>
      </c>
      <c r="G1141">
        <v>472268</v>
      </c>
      <c r="H1141" s="1">
        <v>45134</v>
      </c>
      <c r="I1141" s="1">
        <v>45155</v>
      </c>
      <c r="J1141">
        <v>21</v>
      </c>
      <c r="K1141">
        <v>19.399999999999999</v>
      </c>
      <c r="L1141" t="s">
        <v>15</v>
      </c>
      <c r="M1141" t="s">
        <v>1932</v>
      </c>
      <c r="N1141" t="s">
        <v>1887</v>
      </c>
    </row>
    <row r="1142" spans="1:14" x14ac:dyDescent="0.35">
      <c r="A1142" t="s">
        <v>3066</v>
      </c>
      <c r="B1142" t="s">
        <v>1926</v>
      </c>
      <c r="C1142" t="s">
        <v>175</v>
      </c>
      <c r="D1142" t="s">
        <v>1904</v>
      </c>
      <c r="E1142" t="s">
        <v>1884</v>
      </c>
      <c r="F1142" t="s">
        <v>1946</v>
      </c>
      <c r="G1142">
        <v>374041</v>
      </c>
      <c r="H1142" s="1">
        <v>45540</v>
      </c>
      <c r="I1142" s="1"/>
      <c r="K1142">
        <v>6.4</v>
      </c>
      <c r="L1142" t="s">
        <v>47</v>
      </c>
      <c r="M1142" t="s">
        <v>1953</v>
      </c>
      <c r="N1142" t="s">
        <v>1887</v>
      </c>
    </row>
    <row r="1143" spans="1:14" x14ac:dyDescent="0.35">
      <c r="A1143" t="s">
        <v>3067</v>
      </c>
      <c r="B1143" t="s">
        <v>1924</v>
      </c>
      <c r="C1143" t="s">
        <v>62</v>
      </c>
      <c r="D1143" t="s">
        <v>1927</v>
      </c>
      <c r="E1143" t="s">
        <v>1905</v>
      </c>
      <c r="F1143" t="s">
        <v>1895</v>
      </c>
      <c r="G1143">
        <v>419074</v>
      </c>
      <c r="H1143" s="1">
        <v>45555</v>
      </c>
      <c r="I1143" s="1"/>
      <c r="K1143">
        <v>1</v>
      </c>
      <c r="L1143" t="s">
        <v>30</v>
      </c>
      <c r="M1143" t="s">
        <v>1953</v>
      </c>
      <c r="N1143" t="s">
        <v>1887</v>
      </c>
    </row>
    <row r="1144" spans="1:14" x14ac:dyDescent="0.35">
      <c r="A1144" t="s">
        <v>3068</v>
      </c>
      <c r="B1144" t="s">
        <v>1889</v>
      </c>
      <c r="C1144" t="s">
        <v>112</v>
      </c>
      <c r="D1144" t="s">
        <v>1899</v>
      </c>
      <c r="E1144" t="s">
        <v>1918</v>
      </c>
      <c r="F1144" t="s">
        <v>1946</v>
      </c>
      <c r="G1144">
        <v>139534</v>
      </c>
      <c r="H1144" s="1">
        <v>45350</v>
      </c>
      <c r="I1144" s="1"/>
      <c r="K1144">
        <v>12.6</v>
      </c>
      <c r="L1144" t="s">
        <v>15</v>
      </c>
      <c r="M1144" t="s">
        <v>1916</v>
      </c>
      <c r="N1144" t="s">
        <v>1887</v>
      </c>
    </row>
    <row r="1145" spans="1:14" x14ac:dyDescent="0.35">
      <c r="A1145" t="s">
        <v>3069</v>
      </c>
      <c r="B1145" t="s">
        <v>1882</v>
      </c>
      <c r="C1145" t="s">
        <v>448</v>
      </c>
      <c r="D1145" t="s">
        <v>1904</v>
      </c>
      <c r="E1145" t="s">
        <v>1587</v>
      </c>
      <c r="F1145" t="s">
        <v>1946</v>
      </c>
      <c r="G1145">
        <v>192583</v>
      </c>
      <c r="H1145" s="1">
        <v>45499</v>
      </c>
      <c r="I1145" s="1"/>
      <c r="K1145">
        <v>1.2</v>
      </c>
      <c r="L1145" t="s">
        <v>15</v>
      </c>
      <c r="M1145" t="s">
        <v>1953</v>
      </c>
      <c r="N1145" t="s">
        <v>1887</v>
      </c>
    </row>
    <row r="1146" spans="1:14" x14ac:dyDescent="0.35">
      <c r="A1146" t="s">
        <v>3070</v>
      </c>
      <c r="B1146" t="s">
        <v>1922</v>
      </c>
      <c r="C1146" t="s">
        <v>27</v>
      </c>
      <c r="D1146" t="s">
        <v>1927</v>
      </c>
      <c r="E1146" t="s">
        <v>1587</v>
      </c>
      <c r="F1146" t="s">
        <v>1900</v>
      </c>
      <c r="G1146">
        <v>197878</v>
      </c>
      <c r="H1146" s="1">
        <v>45720</v>
      </c>
      <c r="I1146" s="1">
        <v>45753</v>
      </c>
      <c r="J1146">
        <v>33</v>
      </c>
      <c r="K1146">
        <v>13.2</v>
      </c>
      <c r="L1146" t="s">
        <v>15</v>
      </c>
      <c r="M1146" t="s">
        <v>1912</v>
      </c>
      <c r="N1146" t="s">
        <v>1887</v>
      </c>
    </row>
    <row r="1147" spans="1:14" x14ac:dyDescent="0.35">
      <c r="A1147" t="s">
        <v>3071</v>
      </c>
      <c r="B1147" t="s">
        <v>1930</v>
      </c>
      <c r="C1147" t="s">
        <v>444</v>
      </c>
      <c r="D1147" t="s">
        <v>1883</v>
      </c>
      <c r="E1147" t="s">
        <v>1884</v>
      </c>
      <c r="F1147" t="s">
        <v>1900</v>
      </c>
      <c r="G1147">
        <v>231769</v>
      </c>
      <c r="H1147" s="1">
        <v>44938</v>
      </c>
      <c r="I1147" s="1">
        <v>45029</v>
      </c>
      <c r="J1147">
        <v>91</v>
      </c>
      <c r="K1147">
        <v>3.6</v>
      </c>
      <c r="L1147" t="s">
        <v>47</v>
      </c>
      <c r="M1147" t="s">
        <v>1896</v>
      </c>
      <c r="N1147" t="s">
        <v>1887</v>
      </c>
    </row>
    <row r="1148" spans="1:14" x14ac:dyDescent="0.35">
      <c r="A1148" t="s">
        <v>3072</v>
      </c>
      <c r="B1148" t="s">
        <v>1922</v>
      </c>
      <c r="C1148" t="s">
        <v>268</v>
      </c>
      <c r="D1148" t="s">
        <v>1899</v>
      </c>
      <c r="E1148" t="s">
        <v>1905</v>
      </c>
      <c r="F1148" t="s">
        <v>1908</v>
      </c>
      <c r="G1148">
        <v>1372299</v>
      </c>
      <c r="H1148" s="1">
        <v>45622</v>
      </c>
      <c r="I1148" s="1"/>
      <c r="K1148">
        <v>12.5</v>
      </c>
      <c r="L1148" t="s">
        <v>30</v>
      </c>
      <c r="M1148" t="s">
        <v>1901</v>
      </c>
      <c r="N1148" t="s">
        <v>1966</v>
      </c>
    </row>
    <row r="1149" spans="1:14" x14ac:dyDescent="0.35">
      <c r="A1149" t="s">
        <v>3073</v>
      </c>
      <c r="B1149" t="s">
        <v>1934</v>
      </c>
      <c r="C1149" t="s">
        <v>303</v>
      </c>
      <c r="D1149" t="s">
        <v>1899</v>
      </c>
      <c r="E1149" t="s">
        <v>1905</v>
      </c>
      <c r="F1149" t="s">
        <v>1895</v>
      </c>
      <c r="G1149">
        <v>357297</v>
      </c>
      <c r="H1149" s="1">
        <v>45107</v>
      </c>
      <c r="I1149" s="1"/>
      <c r="K1149">
        <v>7</v>
      </c>
      <c r="L1149" t="s">
        <v>47</v>
      </c>
      <c r="M1149" t="s">
        <v>1893</v>
      </c>
      <c r="N1149" t="s">
        <v>1887</v>
      </c>
    </row>
    <row r="1150" spans="1:14" x14ac:dyDescent="0.35">
      <c r="A1150" t="s">
        <v>3074</v>
      </c>
      <c r="B1150" t="s">
        <v>1882</v>
      </c>
      <c r="C1150" t="s">
        <v>454</v>
      </c>
      <c r="D1150" t="s">
        <v>1927</v>
      </c>
      <c r="E1150" t="s">
        <v>1905</v>
      </c>
      <c r="F1150" t="s">
        <v>1908</v>
      </c>
      <c r="G1150">
        <v>207922</v>
      </c>
      <c r="H1150" s="1">
        <v>45146</v>
      </c>
      <c r="I1150" s="1"/>
      <c r="K1150">
        <v>0.2</v>
      </c>
      <c r="L1150" t="s">
        <v>21</v>
      </c>
      <c r="M1150" t="s">
        <v>1932</v>
      </c>
      <c r="N1150" t="s">
        <v>1887</v>
      </c>
    </row>
    <row r="1151" spans="1:14" x14ac:dyDescent="0.35">
      <c r="A1151" t="s">
        <v>3075</v>
      </c>
      <c r="B1151" t="s">
        <v>1926</v>
      </c>
      <c r="C1151" t="s">
        <v>431</v>
      </c>
      <c r="D1151" t="s">
        <v>1904</v>
      </c>
      <c r="E1151" t="s">
        <v>1931</v>
      </c>
      <c r="F1151" t="s">
        <v>1895</v>
      </c>
      <c r="G1151">
        <v>90140</v>
      </c>
      <c r="H1151" s="1">
        <v>45039</v>
      </c>
      <c r="I1151" s="1"/>
      <c r="K1151">
        <v>3.1</v>
      </c>
      <c r="L1151" t="s">
        <v>21</v>
      </c>
      <c r="M1151" t="s">
        <v>1893</v>
      </c>
      <c r="N1151" t="s">
        <v>1887</v>
      </c>
    </row>
    <row r="1152" spans="1:14" x14ac:dyDescent="0.35">
      <c r="A1152" t="s">
        <v>3076</v>
      </c>
      <c r="B1152" t="s">
        <v>1937</v>
      </c>
      <c r="C1152" t="s">
        <v>378</v>
      </c>
      <c r="D1152" t="s">
        <v>1904</v>
      </c>
      <c r="E1152" t="s">
        <v>1600</v>
      </c>
      <c r="F1152" t="s">
        <v>1908</v>
      </c>
      <c r="G1152">
        <v>356152</v>
      </c>
      <c r="H1152" s="1">
        <v>45637</v>
      </c>
      <c r="I1152" s="1"/>
      <c r="L1152" t="s">
        <v>47</v>
      </c>
      <c r="M1152" t="s">
        <v>1901</v>
      </c>
      <c r="N1152" t="s">
        <v>1887</v>
      </c>
    </row>
    <row r="1153" spans="1:14" x14ac:dyDescent="0.35">
      <c r="A1153" t="s">
        <v>3077</v>
      </c>
      <c r="B1153" t="s">
        <v>1963</v>
      </c>
      <c r="C1153" t="s">
        <v>27</v>
      </c>
      <c r="D1153" t="s">
        <v>1890</v>
      </c>
      <c r="E1153" t="s">
        <v>1678</v>
      </c>
      <c r="F1153" t="s">
        <v>1900</v>
      </c>
      <c r="G1153">
        <v>403041</v>
      </c>
      <c r="H1153" s="1">
        <v>45683</v>
      </c>
      <c r="I1153" s="1">
        <v>45833</v>
      </c>
      <c r="J1153">
        <v>150</v>
      </c>
      <c r="K1153">
        <v>1.1000000000000001</v>
      </c>
      <c r="L1153" t="s">
        <v>30</v>
      </c>
      <c r="M1153" t="s">
        <v>1912</v>
      </c>
      <c r="N1153" t="s">
        <v>1887</v>
      </c>
    </row>
    <row r="1154" spans="1:14" x14ac:dyDescent="0.35">
      <c r="A1154" t="s">
        <v>3078</v>
      </c>
      <c r="B1154" t="s">
        <v>1920</v>
      </c>
      <c r="C1154" t="s">
        <v>451</v>
      </c>
      <c r="D1154" t="s">
        <v>1927</v>
      </c>
      <c r="E1154" t="s">
        <v>1884</v>
      </c>
      <c r="F1154" t="s">
        <v>1885</v>
      </c>
      <c r="G1154">
        <v>144927</v>
      </c>
      <c r="H1154" s="1">
        <v>45306</v>
      </c>
      <c r="I1154" s="1">
        <v>45347</v>
      </c>
      <c r="J1154">
        <v>41</v>
      </c>
      <c r="K1154">
        <v>11.1</v>
      </c>
      <c r="L1154" t="s">
        <v>21</v>
      </c>
      <c r="M1154" t="s">
        <v>1916</v>
      </c>
      <c r="N1154" t="s">
        <v>1887</v>
      </c>
    </row>
    <row r="1155" spans="1:14" x14ac:dyDescent="0.35">
      <c r="A1155" t="s">
        <v>3079</v>
      </c>
      <c r="B1155" t="s">
        <v>1934</v>
      </c>
      <c r="C1155" t="s">
        <v>302</v>
      </c>
      <c r="D1155" t="s">
        <v>1890</v>
      </c>
      <c r="E1155" t="s">
        <v>1931</v>
      </c>
      <c r="F1155" t="s">
        <v>1900</v>
      </c>
      <c r="G1155">
        <v>217076</v>
      </c>
      <c r="H1155" s="1">
        <v>45063</v>
      </c>
      <c r="I1155" s="1">
        <v>45187</v>
      </c>
      <c r="J1155">
        <v>124</v>
      </c>
      <c r="K1155">
        <v>9</v>
      </c>
      <c r="L1155" t="s">
        <v>21</v>
      </c>
      <c r="M1155" t="s">
        <v>1893</v>
      </c>
      <c r="N1155" t="s">
        <v>1887</v>
      </c>
    </row>
    <row r="1156" spans="1:14" x14ac:dyDescent="0.35">
      <c r="A1156" t="s">
        <v>3080</v>
      </c>
      <c r="B1156" t="s">
        <v>1924</v>
      </c>
      <c r="C1156" t="s">
        <v>90</v>
      </c>
      <c r="D1156" t="s">
        <v>1890</v>
      </c>
      <c r="E1156" t="s">
        <v>1905</v>
      </c>
      <c r="F1156" t="s">
        <v>1900</v>
      </c>
      <c r="G1156">
        <v>86934</v>
      </c>
      <c r="H1156" s="1">
        <v>45057</v>
      </c>
      <c r="I1156" s="1">
        <v>45131</v>
      </c>
      <c r="J1156">
        <v>74</v>
      </c>
      <c r="K1156">
        <v>8.9</v>
      </c>
      <c r="L1156" t="s">
        <v>30</v>
      </c>
      <c r="M1156" t="s">
        <v>1893</v>
      </c>
      <c r="N1156" t="s">
        <v>1887</v>
      </c>
    </row>
    <row r="1157" spans="1:14" x14ac:dyDescent="0.35">
      <c r="A1157" t="s">
        <v>3081</v>
      </c>
      <c r="B1157" t="s">
        <v>1889</v>
      </c>
      <c r="C1157" t="s">
        <v>307</v>
      </c>
      <c r="D1157" t="s">
        <v>1904</v>
      </c>
      <c r="E1157" t="s">
        <v>1884</v>
      </c>
      <c r="F1157" t="s">
        <v>1885</v>
      </c>
      <c r="G1157">
        <v>119543</v>
      </c>
      <c r="H1157" s="1">
        <v>45290</v>
      </c>
      <c r="I1157" s="1">
        <v>45354</v>
      </c>
      <c r="J1157">
        <v>64</v>
      </c>
      <c r="K1157">
        <v>3.9</v>
      </c>
      <c r="L1157" t="s">
        <v>47</v>
      </c>
      <c r="M1157" t="s">
        <v>1886</v>
      </c>
      <c r="N1157" t="s">
        <v>1887</v>
      </c>
    </row>
    <row r="1158" spans="1:14" x14ac:dyDescent="0.35">
      <c r="A1158" t="s">
        <v>3082</v>
      </c>
      <c r="B1158" t="s">
        <v>1889</v>
      </c>
      <c r="C1158" t="s">
        <v>18</v>
      </c>
      <c r="D1158" t="s">
        <v>1899</v>
      </c>
      <c r="E1158" t="s">
        <v>1905</v>
      </c>
      <c r="F1158" t="s">
        <v>1895</v>
      </c>
      <c r="G1158">
        <v>389172</v>
      </c>
      <c r="H1158" s="1">
        <v>45719</v>
      </c>
      <c r="I1158" s="1"/>
      <c r="K1158">
        <v>13.5</v>
      </c>
      <c r="L1158" t="s">
        <v>30</v>
      </c>
      <c r="M1158" t="s">
        <v>1912</v>
      </c>
      <c r="N1158" t="s">
        <v>1887</v>
      </c>
    </row>
    <row r="1159" spans="1:14" x14ac:dyDescent="0.35">
      <c r="A1159" t="s">
        <v>3083</v>
      </c>
      <c r="B1159" t="s">
        <v>1930</v>
      </c>
      <c r="C1159" t="s">
        <v>131</v>
      </c>
      <c r="D1159" t="s">
        <v>1899</v>
      </c>
      <c r="E1159" t="s">
        <v>1918</v>
      </c>
      <c r="F1159" t="s">
        <v>1946</v>
      </c>
      <c r="G1159">
        <v>98980</v>
      </c>
      <c r="H1159" s="1">
        <v>45092</v>
      </c>
      <c r="I1159" s="1"/>
      <c r="K1159">
        <v>1</v>
      </c>
      <c r="L1159" t="s">
        <v>21</v>
      </c>
      <c r="M1159" t="s">
        <v>1893</v>
      </c>
      <c r="N1159" t="s">
        <v>1887</v>
      </c>
    </row>
    <row r="1160" spans="1:14" x14ac:dyDescent="0.35">
      <c r="A1160" t="s">
        <v>3084</v>
      </c>
      <c r="B1160" t="s">
        <v>1963</v>
      </c>
      <c r="C1160" t="s">
        <v>130</v>
      </c>
      <c r="D1160" t="s">
        <v>1915</v>
      </c>
      <c r="E1160" t="s">
        <v>1600</v>
      </c>
      <c r="F1160" t="s">
        <v>1946</v>
      </c>
      <c r="G1160">
        <v>287510</v>
      </c>
      <c r="H1160" s="1">
        <v>45359</v>
      </c>
      <c r="I1160" s="1"/>
      <c r="K1160">
        <v>5.3</v>
      </c>
      <c r="L1160" t="s">
        <v>15</v>
      </c>
      <c r="M1160" t="s">
        <v>1916</v>
      </c>
      <c r="N1160" t="s">
        <v>1887</v>
      </c>
    </row>
    <row r="1161" spans="1:14" x14ac:dyDescent="0.35">
      <c r="A1161" t="s">
        <v>3085</v>
      </c>
      <c r="B1161" t="s">
        <v>1926</v>
      </c>
      <c r="C1161" t="s">
        <v>370</v>
      </c>
      <c r="D1161" t="s">
        <v>1890</v>
      </c>
      <c r="E1161" t="s">
        <v>1918</v>
      </c>
      <c r="F1161" t="s">
        <v>1900</v>
      </c>
      <c r="G1161">
        <v>458363</v>
      </c>
      <c r="H1161" s="1">
        <v>45255</v>
      </c>
      <c r="I1161" s="1">
        <v>45298</v>
      </c>
      <c r="J1161">
        <v>43</v>
      </c>
      <c r="K1161">
        <v>8.6999999999999993</v>
      </c>
      <c r="L1161" t="s">
        <v>15</v>
      </c>
      <c r="M1161" t="s">
        <v>1886</v>
      </c>
      <c r="N1161" t="s">
        <v>1887</v>
      </c>
    </row>
    <row r="1162" spans="1:14" x14ac:dyDescent="0.35">
      <c r="A1162" t="s">
        <v>3086</v>
      </c>
      <c r="B1162" t="s">
        <v>1922</v>
      </c>
      <c r="C1162" t="s">
        <v>373</v>
      </c>
      <c r="D1162" t="s">
        <v>1890</v>
      </c>
      <c r="E1162" t="s">
        <v>1600</v>
      </c>
      <c r="F1162" t="s">
        <v>1892</v>
      </c>
      <c r="G1162">
        <v>210386</v>
      </c>
      <c r="H1162" s="1">
        <v>45621</v>
      </c>
      <c r="I1162" s="1"/>
      <c r="K1162">
        <v>9.1999999999999993</v>
      </c>
      <c r="L1162" t="s">
        <v>15</v>
      </c>
      <c r="M1162" t="s">
        <v>1901</v>
      </c>
      <c r="N1162" t="s">
        <v>1887</v>
      </c>
    </row>
    <row r="1163" spans="1:14" x14ac:dyDescent="0.35">
      <c r="A1163" t="s">
        <v>3087</v>
      </c>
      <c r="B1163" t="s">
        <v>1963</v>
      </c>
      <c r="C1163" t="s">
        <v>285</v>
      </c>
      <c r="D1163" t="s">
        <v>1927</v>
      </c>
      <c r="E1163" t="s">
        <v>1918</v>
      </c>
      <c r="F1163" t="s">
        <v>1895</v>
      </c>
      <c r="G1163">
        <v>325682</v>
      </c>
      <c r="H1163" s="1">
        <v>45487</v>
      </c>
      <c r="I1163" s="1"/>
      <c r="K1163">
        <v>11.1</v>
      </c>
      <c r="L1163" t="s">
        <v>47</v>
      </c>
      <c r="M1163" t="s">
        <v>1953</v>
      </c>
      <c r="N1163" t="s">
        <v>1887</v>
      </c>
    </row>
    <row r="1164" spans="1:14" x14ac:dyDescent="0.35">
      <c r="A1164" t="s">
        <v>3088</v>
      </c>
      <c r="B1164" t="s">
        <v>1963</v>
      </c>
      <c r="C1164" t="s">
        <v>433</v>
      </c>
      <c r="D1164" t="s">
        <v>1890</v>
      </c>
      <c r="E1164" t="s">
        <v>1600</v>
      </c>
      <c r="F1164" t="s">
        <v>1885</v>
      </c>
      <c r="G1164">
        <v>198365</v>
      </c>
      <c r="H1164" s="1">
        <v>44928</v>
      </c>
      <c r="I1164" s="1">
        <v>44996</v>
      </c>
      <c r="J1164">
        <v>68</v>
      </c>
      <c r="L1164" t="s">
        <v>30</v>
      </c>
      <c r="M1164" t="s">
        <v>1896</v>
      </c>
      <c r="N1164" t="s">
        <v>1887</v>
      </c>
    </row>
    <row r="1165" spans="1:14" x14ac:dyDescent="0.35">
      <c r="A1165" t="s">
        <v>3089</v>
      </c>
      <c r="B1165" t="s">
        <v>1963</v>
      </c>
      <c r="C1165" t="s">
        <v>86</v>
      </c>
      <c r="D1165" t="s">
        <v>1927</v>
      </c>
      <c r="E1165" t="s">
        <v>1600</v>
      </c>
      <c r="F1165" t="s">
        <v>1946</v>
      </c>
      <c r="G1165">
        <v>269598</v>
      </c>
      <c r="H1165" s="1">
        <v>45650</v>
      </c>
      <c r="I1165" s="1"/>
      <c r="K1165">
        <v>10.4</v>
      </c>
      <c r="L1165" t="s">
        <v>47</v>
      </c>
      <c r="M1165" t="s">
        <v>1901</v>
      </c>
      <c r="N1165" t="s">
        <v>1887</v>
      </c>
    </row>
    <row r="1166" spans="1:14" x14ac:dyDescent="0.35">
      <c r="A1166" t="s">
        <v>3090</v>
      </c>
      <c r="B1166" t="s">
        <v>1944</v>
      </c>
      <c r="C1166" t="s">
        <v>82</v>
      </c>
      <c r="D1166" t="s">
        <v>1927</v>
      </c>
      <c r="E1166" t="s">
        <v>1678</v>
      </c>
      <c r="F1166" t="s">
        <v>1946</v>
      </c>
      <c r="G1166">
        <v>33145</v>
      </c>
      <c r="H1166" s="1">
        <v>44929</v>
      </c>
      <c r="I1166" s="1"/>
      <c r="K1166">
        <v>9.9</v>
      </c>
      <c r="L1166" t="s">
        <v>30</v>
      </c>
      <c r="M1166" t="s">
        <v>1896</v>
      </c>
      <c r="N1166" t="s">
        <v>1887</v>
      </c>
    </row>
    <row r="1167" spans="1:14" x14ac:dyDescent="0.35">
      <c r="A1167" t="s">
        <v>3091</v>
      </c>
      <c r="B1167" t="s">
        <v>1911</v>
      </c>
      <c r="C1167" t="s">
        <v>316</v>
      </c>
      <c r="D1167" t="s">
        <v>1890</v>
      </c>
      <c r="E1167" t="s">
        <v>1678</v>
      </c>
      <c r="F1167" t="s">
        <v>1900</v>
      </c>
      <c r="G1167">
        <v>494610</v>
      </c>
      <c r="H1167" s="1">
        <v>45018</v>
      </c>
      <c r="I1167" s="1">
        <v>45060</v>
      </c>
      <c r="J1167">
        <v>42</v>
      </c>
      <c r="K1167">
        <v>19.399999999999999</v>
      </c>
      <c r="L1167" t="s">
        <v>21</v>
      </c>
      <c r="M1167" t="s">
        <v>1893</v>
      </c>
      <c r="N1167" t="s">
        <v>1887</v>
      </c>
    </row>
    <row r="1168" spans="1:14" x14ac:dyDescent="0.35">
      <c r="A1168" t="s">
        <v>3092</v>
      </c>
      <c r="B1168" t="s">
        <v>1937</v>
      </c>
      <c r="C1168" t="s">
        <v>196</v>
      </c>
      <c r="D1168" t="s">
        <v>1890</v>
      </c>
      <c r="E1168" t="s">
        <v>1678</v>
      </c>
      <c r="F1168" t="s">
        <v>1900</v>
      </c>
      <c r="G1168">
        <v>315836</v>
      </c>
      <c r="H1168" s="1">
        <v>45495</v>
      </c>
      <c r="I1168" s="1">
        <v>45654</v>
      </c>
      <c r="J1168">
        <v>159</v>
      </c>
      <c r="K1168">
        <v>6.7</v>
      </c>
      <c r="L1168" t="s">
        <v>30</v>
      </c>
      <c r="M1168" t="s">
        <v>1953</v>
      </c>
      <c r="N1168" t="s">
        <v>1887</v>
      </c>
    </row>
    <row r="1169" spans="1:14" x14ac:dyDescent="0.35">
      <c r="A1169" t="s">
        <v>3093</v>
      </c>
      <c r="B1169" t="s">
        <v>1898</v>
      </c>
      <c r="C1169" t="s">
        <v>112</v>
      </c>
      <c r="D1169" t="s">
        <v>1899</v>
      </c>
      <c r="E1169" t="s">
        <v>1891</v>
      </c>
      <c r="F1169" t="s">
        <v>1892</v>
      </c>
      <c r="G1169">
        <v>426963</v>
      </c>
      <c r="H1169" s="1">
        <v>45051</v>
      </c>
      <c r="I1169" s="1"/>
      <c r="K1169">
        <v>14.2</v>
      </c>
      <c r="L1169" t="s">
        <v>47</v>
      </c>
      <c r="M1169" t="s">
        <v>1893</v>
      </c>
      <c r="N1169" t="s">
        <v>1887</v>
      </c>
    </row>
    <row r="1170" spans="1:14" x14ac:dyDescent="0.35">
      <c r="A1170" t="s">
        <v>3094</v>
      </c>
      <c r="B1170" t="s">
        <v>1911</v>
      </c>
      <c r="C1170" t="s">
        <v>331</v>
      </c>
      <c r="D1170" t="s">
        <v>1883</v>
      </c>
      <c r="E1170" t="s">
        <v>1587</v>
      </c>
      <c r="F1170" t="s">
        <v>1900</v>
      </c>
      <c r="G1170">
        <v>283948</v>
      </c>
      <c r="H1170" s="1">
        <v>45620</v>
      </c>
      <c r="I1170" s="1">
        <v>45654</v>
      </c>
      <c r="J1170">
        <v>34</v>
      </c>
      <c r="K1170">
        <v>24.3</v>
      </c>
      <c r="L1170" t="s">
        <v>30</v>
      </c>
      <c r="M1170" t="s">
        <v>1901</v>
      </c>
      <c r="N1170" t="s">
        <v>1887</v>
      </c>
    </row>
    <row r="1171" spans="1:14" x14ac:dyDescent="0.35">
      <c r="A1171" t="s">
        <v>3095</v>
      </c>
      <c r="B1171" t="s">
        <v>1937</v>
      </c>
      <c r="C1171" t="s">
        <v>460</v>
      </c>
      <c r="D1171" t="s">
        <v>1890</v>
      </c>
      <c r="E1171" t="s">
        <v>1891</v>
      </c>
      <c r="F1171" t="s">
        <v>1946</v>
      </c>
      <c r="G1171">
        <v>489088</v>
      </c>
      <c r="H1171" s="1">
        <v>45314</v>
      </c>
      <c r="I1171" s="1"/>
      <c r="K1171">
        <v>2.2999999999999998</v>
      </c>
      <c r="L1171" t="s">
        <v>21</v>
      </c>
      <c r="M1171" t="s">
        <v>1916</v>
      </c>
      <c r="N1171" t="s">
        <v>1887</v>
      </c>
    </row>
    <row r="1172" spans="1:14" x14ac:dyDescent="0.35">
      <c r="A1172" t="s">
        <v>3096</v>
      </c>
      <c r="B1172" t="s">
        <v>1903</v>
      </c>
      <c r="C1172" t="s">
        <v>240</v>
      </c>
      <c r="D1172" t="s">
        <v>1890</v>
      </c>
      <c r="E1172" t="s">
        <v>1587</v>
      </c>
      <c r="F1172" t="s">
        <v>1946</v>
      </c>
      <c r="G1172">
        <v>233356</v>
      </c>
      <c r="H1172" s="1">
        <v>45283</v>
      </c>
      <c r="I1172" s="1"/>
      <c r="K1172">
        <v>2.8</v>
      </c>
      <c r="L1172" t="s">
        <v>15</v>
      </c>
      <c r="M1172" t="s">
        <v>1886</v>
      </c>
      <c r="N1172" t="s">
        <v>1887</v>
      </c>
    </row>
    <row r="1173" spans="1:14" x14ac:dyDescent="0.35">
      <c r="A1173" t="s">
        <v>3097</v>
      </c>
      <c r="B1173" t="s">
        <v>1963</v>
      </c>
      <c r="C1173" t="s">
        <v>305</v>
      </c>
      <c r="D1173" t="s">
        <v>1890</v>
      </c>
      <c r="E1173" t="s">
        <v>1931</v>
      </c>
      <c r="F1173" t="s">
        <v>1895</v>
      </c>
      <c r="G1173">
        <v>285426</v>
      </c>
      <c r="H1173" s="1">
        <v>45746</v>
      </c>
      <c r="I1173" s="1"/>
      <c r="K1173">
        <v>5</v>
      </c>
      <c r="L1173" t="s">
        <v>21</v>
      </c>
      <c r="M1173" t="s">
        <v>1912</v>
      </c>
      <c r="N1173" t="s">
        <v>1887</v>
      </c>
    </row>
    <row r="1174" spans="1:14" x14ac:dyDescent="0.35">
      <c r="A1174" t="s">
        <v>3098</v>
      </c>
      <c r="B1174" t="s">
        <v>1898</v>
      </c>
      <c r="C1174" t="s">
        <v>214</v>
      </c>
      <c r="D1174" t="s">
        <v>1927</v>
      </c>
      <c r="E1174" t="s">
        <v>1600</v>
      </c>
      <c r="F1174" t="s">
        <v>1892</v>
      </c>
      <c r="G1174">
        <v>251366</v>
      </c>
      <c r="H1174" s="1">
        <v>45068</v>
      </c>
      <c r="I1174" s="1"/>
      <c r="K1174">
        <v>4</v>
      </c>
      <c r="L1174" t="s">
        <v>15</v>
      </c>
      <c r="M1174" t="s">
        <v>1893</v>
      </c>
      <c r="N1174" t="s">
        <v>1887</v>
      </c>
    </row>
    <row r="1175" spans="1:14" x14ac:dyDescent="0.35">
      <c r="A1175" t="s">
        <v>3099</v>
      </c>
      <c r="B1175" t="s">
        <v>1889</v>
      </c>
      <c r="C1175" t="s">
        <v>252</v>
      </c>
      <c r="D1175" t="s">
        <v>1904</v>
      </c>
      <c r="E1175" t="s">
        <v>1587</v>
      </c>
      <c r="F1175" t="s">
        <v>1908</v>
      </c>
      <c r="G1175">
        <v>197263</v>
      </c>
      <c r="H1175" s="1">
        <v>45690</v>
      </c>
      <c r="I1175" s="1"/>
      <c r="K1175">
        <v>7.6</v>
      </c>
      <c r="L1175" t="s">
        <v>15</v>
      </c>
      <c r="M1175" t="s">
        <v>1912</v>
      </c>
      <c r="N1175" t="s">
        <v>1887</v>
      </c>
    </row>
    <row r="1176" spans="1:14" x14ac:dyDescent="0.35">
      <c r="A1176" t="s">
        <v>3100</v>
      </c>
      <c r="B1176" t="s">
        <v>1920</v>
      </c>
      <c r="C1176" t="s">
        <v>68</v>
      </c>
      <c r="D1176" t="s">
        <v>1890</v>
      </c>
      <c r="E1176" t="s">
        <v>1587</v>
      </c>
      <c r="F1176" t="s">
        <v>1946</v>
      </c>
      <c r="G1176">
        <v>14972</v>
      </c>
      <c r="H1176" s="1">
        <v>45356</v>
      </c>
      <c r="I1176" s="1"/>
      <c r="K1176">
        <v>10.5</v>
      </c>
      <c r="L1176" t="s">
        <v>30</v>
      </c>
      <c r="M1176" t="s">
        <v>1916</v>
      </c>
      <c r="N1176" t="s">
        <v>1887</v>
      </c>
    </row>
    <row r="1177" spans="1:14" x14ac:dyDescent="0.35">
      <c r="A1177" t="s">
        <v>3101</v>
      </c>
      <c r="B1177" t="s">
        <v>1930</v>
      </c>
      <c r="C1177" t="s">
        <v>358</v>
      </c>
      <c r="D1177" t="s">
        <v>1899</v>
      </c>
      <c r="E1177" t="s">
        <v>1678</v>
      </c>
      <c r="F1177" t="s">
        <v>1946</v>
      </c>
      <c r="G1177">
        <v>404863</v>
      </c>
      <c r="H1177" s="1">
        <v>44968</v>
      </c>
      <c r="I1177" s="1"/>
      <c r="K1177">
        <v>5.7</v>
      </c>
      <c r="L1177" t="s">
        <v>15</v>
      </c>
      <c r="M1177" t="s">
        <v>1896</v>
      </c>
      <c r="N1177" t="s">
        <v>1887</v>
      </c>
    </row>
    <row r="1178" spans="1:14" x14ac:dyDescent="0.35">
      <c r="A1178" t="s">
        <v>3102</v>
      </c>
      <c r="B1178" t="s">
        <v>1930</v>
      </c>
      <c r="C1178" t="s">
        <v>493</v>
      </c>
      <c r="D1178" t="s">
        <v>1915</v>
      </c>
      <c r="E1178" t="s">
        <v>1678</v>
      </c>
      <c r="F1178" t="s">
        <v>1885</v>
      </c>
      <c r="G1178">
        <v>133504</v>
      </c>
      <c r="H1178" s="1">
        <v>45669</v>
      </c>
      <c r="I1178" s="1">
        <v>45720</v>
      </c>
      <c r="J1178">
        <v>51</v>
      </c>
      <c r="K1178">
        <v>7.1</v>
      </c>
      <c r="L1178" t="s">
        <v>47</v>
      </c>
      <c r="M1178" t="s">
        <v>1912</v>
      </c>
      <c r="N1178" t="s">
        <v>1887</v>
      </c>
    </row>
    <row r="1179" spans="1:14" x14ac:dyDescent="0.35">
      <c r="A1179" t="s">
        <v>3103</v>
      </c>
      <c r="B1179" t="s">
        <v>1911</v>
      </c>
      <c r="C1179" t="s">
        <v>324</v>
      </c>
      <c r="D1179" t="s">
        <v>1904</v>
      </c>
      <c r="E1179" t="s">
        <v>1587</v>
      </c>
      <c r="F1179" t="s">
        <v>1946</v>
      </c>
      <c r="G1179">
        <v>311535</v>
      </c>
      <c r="H1179" s="1">
        <v>45355</v>
      </c>
      <c r="I1179" s="1"/>
      <c r="L1179" t="s">
        <v>47</v>
      </c>
      <c r="M1179" t="s">
        <v>1916</v>
      </c>
      <c r="N1179" t="s">
        <v>1887</v>
      </c>
    </row>
    <row r="1180" spans="1:14" x14ac:dyDescent="0.35">
      <c r="A1180" t="s">
        <v>3104</v>
      </c>
      <c r="B1180" t="s">
        <v>1924</v>
      </c>
      <c r="C1180" t="s">
        <v>431</v>
      </c>
      <c r="D1180" t="s">
        <v>1899</v>
      </c>
      <c r="E1180" t="s">
        <v>1884</v>
      </c>
      <c r="F1180" t="s">
        <v>1895</v>
      </c>
      <c r="G1180">
        <v>499489</v>
      </c>
      <c r="H1180" s="1">
        <v>45031</v>
      </c>
      <c r="I1180" s="1"/>
      <c r="L1180" t="s">
        <v>21</v>
      </c>
      <c r="M1180" t="s">
        <v>1893</v>
      </c>
      <c r="N1180" t="s">
        <v>1887</v>
      </c>
    </row>
    <row r="1181" spans="1:14" x14ac:dyDescent="0.35">
      <c r="A1181" t="s">
        <v>3105</v>
      </c>
      <c r="B1181" t="s">
        <v>1903</v>
      </c>
      <c r="C1181" t="s">
        <v>316</v>
      </c>
      <c r="D1181" t="s">
        <v>1883</v>
      </c>
      <c r="E1181" t="s">
        <v>1891</v>
      </c>
      <c r="F1181" t="s">
        <v>1900</v>
      </c>
      <c r="G1181">
        <v>69683</v>
      </c>
      <c r="H1181" s="1">
        <v>45276</v>
      </c>
      <c r="I1181" s="1">
        <v>45392</v>
      </c>
      <c r="J1181">
        <v>116</v>
      </c>
      <c r="K1181">
        <v>15.4</v>
      </c>
      <c r="L1181" t="s">
        <v>47</v>
      </c>
      <c r="M1181" t="s">
        <v>1886</v>
      </c>
      <c r="N1181" t="s">
        <v>1887</v>
      </c>
    </row>
    <row r="1182" spans="1:14" x14ac:dyDescent="0.35">
      <c r="A1182" t="s">
        <v>3106</v>
      </c>
      <c r="B1182" t="s">
        <v>1907</v>
      </c>
      <c r="C1182" t="s">
        <v>339</v>
      </c>
      <c r="D1182" t="s">
        <v>1904</v>
      </c>
      <c r="E1182" t="s">
        <v>1931</v>
      </c>
      <c r="F1182" t="s">
        <v>1900</v>
      </c>
      <c r="G1182">
        <v>37136</v>
      </c>
      <c r="H1182" s="1">
        <v>45150</v>
      </c>
      <c r="I1182" s="1">
        <v>45174</v>
      </c>
      <c r="J1182">
        <v>24</v>
      </c>
      <c r="K1182">
        <v>9.3000000000000007</v>
      </c>
      <c r="L1182" t="s">
        <v>47</v>
      </c>
      <c r="M1182" t="s">
        <v>1932</v>
      </c>
      <c r="N1182" t="s">
        <v>1887</v>
      </c>
    </row>
    <row r="1183" spans="1:14" x14ac:dyDescent="0.35">
      <c r="A1183" t="s">
        <v>3107</v>
      </c>
      <c r="B1183" t="s">
        <v>1911</v>
      </c>
      <c r="C1183" t="s">
        <v>122</v>
      </c>
      <c r="D1183" t="s">
        <v>1927</v>
      </c>
      <c r="E1183" t="s">
        <v>1678</v>
      </c>
      <c r="F1183" t="s">
        <v>1900</v>
      </c>
      <c r="G1183">
        <v>222473</v>
      </c>
      <c r="H1183" s="1">
        <v>45086</v>
      </c>
      <c r="I1183" s="1">
        <v>45222</v>
      </c>
      <c r="J1183">
        <v>136</v>
      </c>
      <c r="K1183">
        <v>24.3</v>
      </c>
      <c r="L1183" t="s">
        <v>15</v>
      </c>
      <c r="M1183" t="s">
        <v>1893</v>
      </c>
      <c r="N1183" t="s">
        <v>1887</v>
      </c>
    </row>
    <row r="1184" spans="1:14" x14ac:dyDescent="0.35">
      <c r="A1184" t="s">
        <v>3108</v>
      </c>
      <c r="B1184" t="s">
        <v>1920</v>
      </c>
      <c r="C1184" t="s">
        <v>429</v>
      </c>
      <c r="D1184" t="s">
        <v>1890</v>
      </c>
      <c r="E1184" t="s">
        <v>1905</v>
      </c>
      <c r="F1184" t="s">
        <v>1885</v>
      </c>
      <c r="G1184">
        <v>59249</v>
      </c>
      <c r="H1184" s="1">
        <v>45729</v>
      </c>
      <c r="I1184" s="1">
        <v>45853</v>
      </c>
      <c r="J1184">
        <v>124</v>
      </c>
      <c r="K1184">
        <v>10.199999999999999</v>
      </c>
      <c r="L1184" t="s">
        <v>30</v>
      </c>
      <c r="M1184" t="s">
        <v>1912</v>
      </c>
      <c r="N1184" t="s">
        <v>1887</v>
      </c>
    </row>
    <row r="1185" spans="1:14" x14ac:dyDescent="0.35">
      <c r="A1185" t="s">
        <v>3109</v>
      </c>
      <c r="B1185" t="s">
        <v>1922</v>
      </c>
      <c r="C1185" t="s">
        <v>477</v>
      </c>
      <c r="D1185" t="s">
        <v>1915</v>
      </c>
      <c r="E1185" t="s">
        <v>1931</v>
      </c>
      <c r="F1185" t="s">
        <v>1900</v>
      </c>
      <c r="G1185">
        <v>477798</v>
      </c>
      <c r="H1185" s="1">
        <v>44959</v>
      </c>
      <c r="I1185" s="1">
        <v>44989</v>
      </c>
      <c r="J1185">
        <v>30</v>
      </c>
      <c r="K1185">
        <v>4.3</v>
      </c>
      <c r="L1185" t="s">
        <v>47</v>
      </c>
      <c r="M1185" t="s">
        <v>1896</v>
      </c>
      <c r="N1185" t="s">
        <v>1887</v>
      </c>
    </row>
    <row r="1186" spans="1:14" x14ac:dyDescent="0.35">
      <c r="A1186" t="s">
        <v>3110</v>
      </c>
      <c r="B1186" t="s">
        <v>1924</v>
      </c>
      <c r="C1186" t="s">
        <v>371</v>
      </c>
      <c r="D1186" t="s">
        <v>1899</v>
      </c>
      <c r="E1186" t="s">
        <v>1918</v>
      </c>
      <c r="F1186" t="s">
        <v>1892</v>
      </c>
      <c r="G1186">
        <v>291602</v>
      </c>
      <c r="H1186" s="1">
        <v>45273</v>
      </c>
      <c r="I1186" s="1"/>
      <c r="K1186">
        <v>8.4</v>
      </c>
      <c r="L1186" t="s">
        <v>30</v>
      </c>
      <c r="M1186" t="s">
        <v>1886</v>
      </c>
      <c r="N1186" t="s">
        <v>1887</v>
      </c>
    </row>
    <row r="1187" spans="1:14" x14ac:dyDescent="0.35">
      <c r="A1187" t="s">
        <v>3111</v>
      </c>
      <c r="B1187" t="s">
        <v>1934</v>
      </c>
      <c r="C1187" t="s">
        <v>488</v>
      </c>
      <c r="D1187" t="s">
        <v>1927</v>
      </c>
      <c r="E1187" t="s">
        <v>1931</v>
      </c>
      <c r="F1187" t="s">
        <v>1946</v>
      </c>
      <c r="G1187">
        <v>280933</v>
      </c>
      <c r="H1187" s="1">
        <v>44939</v>
      </c>
      <c r="I1187" s="1"/>
      <c r="L1187" t="s">
        <v>47</v>
      </c>
      <c r="M1187" t="s">
        <v>1896</v>
      </c>
      <c r="N1187" t="s">
        <v>1887</v>
      </c>
    </row>
    <row r="1188" spans="1:14" x14ac:dyDescent="0.35">
      <c r="A1188" t="s">
        <v>3112</v>
      </c>
      <c r="B1188" t="s">
        <v>1924</v>
      </c>
      <c r="C1188" t="s">
        <v>370</v>
      </c>
      <c r="D1188" t="s">
        <v>1904</v>
      </c>
      <c r="E1188" t="s">
        <v>1905</v>
      </c>
      <c r="F1188" t="s">
        <v>1885</v>
      </c>
      <c r="G1188">
        <v>54460</v>
      </c>
      <c r="H1188" s="1">
        <v>45326</v>
      </c>
      <c r="I1188" s="1">
        <v>45440</v>
      </c>
      <c r="J1188">
        <v>114</v>
      </c>
      <c r="K1188">
        <v>10.8</v>
      </c>
      <c r="L1188" t="s">
        <v>47</v>
      </c>
      <c r="M1188" t="s">
        <v>1916</v>
      </c>
      <c r="N1188" t="s">
        <v>1887</v>
      </c>
    </row>
    <row r="1189" spans="1:14" x14ac:dyDescent="0.35">
      <c r="A1189" t="s">
        <v>3113</v>
      </c>
      <c r="B1189" t="s">
        <v>1944</v>
      </c>
      <c r="C1189" t="s">
        <v>57</v>
      </c>
      <c r="D1189" t="s">
        <v>1890</v>
      </c>
      <c r="E1189" t="s">
        <v>1931</v>
      </c>
      <c r="F1189" t="s">
        <v>1885</v>
      </c>
      <c r="G1189">
        <v>276452</v>
      </c>
      <c r="H1189" s="1">
        <v>44999</v>
      </c>
      <c r="I1189" s="1">
        <v>45153</v>
      </c>
      <c r="J1189">
        <v>154</v>
      </c>
      <c r="K1189">
        <v>13.4</v>
      </c>
      <c r="L1189" t="s">
        <v>15</v>
      </c>
      <c r="M1189" t="s">
        <v>1896</v>
      </c>
      <c r="N1189" t="s">
        <v>1887</v>
      </c>
    </row>
    <row r="1190" spans="1:14" x14ac:dyDescent="0.35">
      <c r="A1190" t="s">
        <v>3114</v>
      </c>
      <c r="B1190" t="s">
        <v>1889</v>
      </c>
      <c r="C1190" t="s">
        <v>371</v>
      </c>
      <c r="D1190" t="s">
        <v>1927</v>
      </c>
      <c r="E1190" t="s">
        <v>1931</v>
      </c>
      <c r="F1190" t="s">
        <v>1895</v>
      </c>
      <c r="G1190">
        <v>408907</v>
      </c>
      <c r="H1190" s="1">
        <v>45096</v>
      </c>
      <c r="I1190" s="1"/>
      <c r="L1190" t="s">
        <v>21</v>
      </c>
      <c r="M1190" t="s">
        <v>1893</v>
      </c>
      <c r="N1190" t="s">
        <v>1887</v>
      </c>
    </row>
    <row r="1191" spans="1:14" x14ac:dyDescent="0.35">
      <c r="A1191" t="s">
        <v>3115</v>
      </c>
      <c r="B1191" t="s">
        <v>1920</v>
      </c>
      <c r="C1191" t="s">
        <v>92</v>
      </c>
      <c r="D1191" t="s">
        <v>1883</v>
      </c>
      <c r="E1191" t="s">
        <v>1918</v>
      </c>
      <c r="F1191" t="s">
        <v>1946</v>
      </c>
      <c r="G1191">
        <v>99490</v>
      </c>
      <c r="H1191" s="1">
        <v>44992</v>
      </c>
      <c r="I1191" s="1"/>
      <c r="L1191" t="s">
        <v>30</v>
      </c>
      <c r="M1191" t="s">
        <v>1896</v>
      </c>
      <c r="N1191" t="s">
        <v>1887</v>
      </c>
    </row>
    <row r="1192" spans="1:14" x14ac:dyDescent="0.35">
      <c r="A1192" t="s">
        <v>3116</v>
      </c>
      <c r="B1192" t="s">
        <v>1944</v>
      </c>
      <c r="C1192" t="s">
        <v>387</v>
      </c>
      <c r="D1192" t="s">
        <v>1915</v>
      </c>
      <c r="E1192" t="s">
        <v>1931</v>
      </c>
      <c r="F1192" t="s">
        <v>1908</v>
      </c>
      <c r="G1192">
        <v>361767</v>
      </c>
      <c r="H1192" s="1">
        <v>45117</v>
      </c>
      <c r="I1192" s="1"/>
      <c r="L1192" t="s">
        <v>30</v>
      </c>
      <c r="M1192" t="s">
        <v>1932</v>
      </c>
      <c r="N1192" t="s">
        <v>1887</v>
      </c>
    </row>
    <row r="1193" spans="1:14" x14ac:dyDescent="0.35">
      <c r="A1193" t="s">
        <v>3117</v>
      </c>
      <c r="B1193" t="s">
        <v>1930</v>
      </c>
      <c r="C1193" t="s">
        <v>446</v>
      </c>
      <c r="D1193" t="s">
        <v>1899</v>
      </c>
      <c r="E1193" t="s">
        <v>1587</v>
      </c>
      <c r="F1193" t="s">
        <v>1900</v>
      </c>
      <c r="G1193">
        <v>241423</v>
      </c>
      <c r="H1193" s="1">
        <v>45110</v>
      </c>
      <c r="I1193" s="1">
        <v>45185</v>
      </c>
      <c r="J1193">
        <v>75</v>
      </c>
      <c r="K1193">
        <v>10</v>
      </c>
      <c r="L1193" t="s">
        <v>30</v>
      </c>
      <c r="M1193" t="s">
        <v>1932</v>
      </c>
      <c r="N1193" t="s">
        <v>1887</v>
      </c>
    </row>
    <row r="1194" spans="1:14" x14ac:dyDescent="0.35">
      <c r="A1194" t="s">
        <v>3118</v>
      </c>
      <c r="B1194" t="s">
        <v>1937</v>
      </c>
      <c r="C1194" t="s">
        <v>92</v>
      </c>
      <c r="D1194" t="s">
        <v>1915</v>
      </c>
      <c r="E1194" t="s">
        <v>1931</v>
      </c>
      <c r="F1194" t="s">
        <v>1900</v>
      </c>
      <c r="G1194">
        <v>166611</v>
      </c>
      <c r="H1194" s="1">
        <v>45521</v>
      </c>
      <c r="I1194" s="1">
        <v>45600</v>
      </c>
      <c r="J1194">
        <v>79</v>
      </c>
      <c r="K1194">
        <v>7.3</v>
      </c>
      <c r="L1194" t="s">
        <v>30</v>
      </c>
      <c r="M1194" t="s">
        <v>1953</v>
      </c>
      <c r="N1194" t="s">
        <v>1887</v>
      </c>
    </row>
    <row r="1195" spans="1:14" x14ac:dyDescent="0.35">
      <c r="A1195" t="s">
        <v>3119</v>
      </c>
      <c r="B1195" t="s">
        <v>1920</v>
      </c>
      <c r="C1195" t="s">
        <v>373</v>
      </c>
      <c r="D1195" t="s">
        <v>1915</v>
      </c>
      <c r="E1195" t="s">
        <v>1678</v>
      </c>
      <c r="F1195" t="s">
        <v>1908</v>
      </c>
      <c r="G1195">
        <v>343590</v>
      </c>
      <c r="H1195" s="1">
        <v>45672</v>
      </c>
      <c r="I1195" s="1"/>
      <c r="K1195">
        <v>2.6</v>
      </c>
      <c r="L1195" t="s">
        <v>15</v>
      </c>
      <c r="M1195" t="s">
        <v>1912</v>
      </c>
      <c r="N1195" t="s">
        <v>1887</v>
      </c>
    </row>
    <row r="1196" spans="1:14" x14ac:dyDescent="0.35">
      <c r="A1196" t="s">
        <v>3120</v>
      </c>
      <c r="B1196" t="s">
        <v>1920</v>
      </c>
      <c r="C1196" t="s">
        <v>419</v>
      </c>
      <c r="D1196" t="s">
        <v>1899</v>
      </c>
      <c r="E1196" t="s">
        <v>1587</v>
      </c>
      <c r="F1196" t="s">
        <v>1885</v>
      </c>
      <c r="G1196">
        <v>181260</v>
      </c>
      <c r="H1196" s="1">
        <v>45743</v>
      </c>
      <c r="I1196" s="1">
        <v>45801</v>
      </c>
      <c r="J1196">
        <v>58</v>
      </c>
      <c r="L1196" t="s">
        <v>30</v>
      </c>
      <c r="M1196" t="s">
        <v>1912</v>
      </c>
      <c r="N1196" t="s">
        <v>1887</v>
      </c>
    </row>
    <row r="1197" spans="1:14" x14ac:dyDescent="0.35">
      <c r="A1197" t="s">
        <v>3121</v>
      </c>
      <c r="B1197" t="s">
        <v>1944</v>
      </c>
      <c r="C1197" t="s">
        <v>406</v>
      </c>
      <c r="D1197" t="s">
        <v>1927</v>
      </c>
      <c r="E1197" t="s">
        <v>1884</v>
      </c>
      <c r="F1197" t="s">
        <v>1895</v>
      </c>
      <c r="G1197">
        <v>332027</v>
      </c>
      <c r="H1197" s="1">
        <v>45609</v>
      </c>
      <c r="I1197" s="1"/>
      <c r="K1197">
        <v>10.199999999999999</v>
      </c>
      <c r="L1197" t="s">
        <v>21</v>
      </c>
      <c r="M1197" t="s">
        <v>1901</v>
      </c>
      <c r="N1197" t="s">
        <v>1887</v>
      </c>
    </row>
    <row r="1198" spans="1:14" x14ac:dyDescent="0.35">
      <c r="A1198" t="s">
        <v>3122</v>
      </c>
      <c r="B1198" t="s">
        <v>1934</v>
      </c>
      <c r="C1198" t="s">
        <v>381</v>
      </c>
      <c r="D1198" t="s">
        <v>1915</v>
      </c>
      <c r="E1198" t="s">
        <v>1891</v>
      </c>
      <c r="F1198" t="s">
        <v>1900</v>
      </c>
      <c r="G1198">
        <v>19063</v>
      </c>
      <c r="H1198" s="1">
        <v>45293</v>
      </c>
      <c r="I1198" s="1">
        <v>45407</v>
      </c>
      <c r="J1198">
        <v>114</v>
      </c>
      <c r="K1198">
        <v>13.9</v>
      </c>
      <c r="L1198" t="s">
        <v>15</v>
      </c>
      <c r="M1198" t="s">
        <v>1916</v>
      </c>
      <c r="N1198" t="s">
        <v>1887</v>
      </c>
    </row>
    <row r="1199" spans="1:14" x14ac:dyDescent="0.35">
      <c r="A1199" t="s">
        <v>3123</v>
      </c>
      <c r="B1199" t="s">
        <v>1882</v>
      </c>
      <c r="C1199" t="s">
        <v>479</v>
      </c>
      <c r="D1199" t="s">
        <v>1899</v>
      </c>
      <c r="E1199" t="s">
        <v>1891</v>
      </c>
      <c r="F1199" t="s">
        <v>1892</v>
      </c>
      <c r="G1199">
        <v>349331</v>
      </c>
      <c r="H1199" s="1">
        <v>45098</v>
      </c>
      <c r="I1199" s="1"/>
      <c r="L1199" t="s">
        <v>15</v>
      </c>
      <c r="M1199" t="s">
        <v>1893</v>
      </c>
      <c r="N1199" t="s">
        <v>1887</v>
      </c>
    </row>
    <row r="1200" spans="1:14" x14ac:dyDescent="0.35">
      <c r="A1200" t="s">
        <v>3124</v>
      </c>
      <c r="B1200" t="s">
        <v>1914</v>
      </c>
      <c r="C1200" t="s">
        <v>266</v>
      </c>
      <c r="D1200" t="s">
        <v>1927</v>
      </c>
      <c r="E1200" t="s">
        <v>1905</v>
      </c>
      <c r="F1200" t="s">
        <v>1895</v>
      </c>
      <c r="G1200">
        <v>468744</v>
      </c>
      <c r="H1200" s="1">
        <v>45293</v>
      </c>
      <c r="I1200" s="1"/>
      <c r="K1200">
        <v>13.4</v>
      </c>
      <c r="L1200" t="s">
        <v>21</v>
      </c>
      <c r="M1200" t="s">
        <v>1916</v>
      </c>
      <c r="N1200" t="s">
        <v>1887</v>
      </c>
    </row>
    <row r="1201" spans="1:14" x14ac:dyDescent="0.35">
      <c r="A1201" t="s">
        <v>3125</v>
      </c>
      <c r="B1201" t="s">
        <v>1911</v>
      </c>
      <c r="C1201" t="s">
        <v>373</v>
      </c>
      <c r="D1201" t="s">
        <v>1915</v>
      </c>
      <c r="E1201" t="s">
        <v>1891</v>
      </c>
      <c r="F1201" t="s">
        <v>1892</v>
      </c>
      <c r="G1201">
        <v>111112</v>
      </c>
      <c r="H1201" s="1">
        <v>45395</v>
      </c>
      <c r="I1201" s="1"/>
      <c r="K1201">
        <v>14</v>
      </c>
      <c r="L1201" t="s">
        <v>15</v>
      </c>
      <c r="M1201" t="s">
        <v>1935</v>
      </c>
      <c r="N1201" t="s">
        <v>1887</v>
      </c>
    </row>
    <row r="1202" spans="1:14" x14ac:dyDescent="0.35">
      <c r="A1202" t="s">
        <v>3126</v>
      </c>
      <c r="B1202" t="s">
        <v>1926</v>
      </c>
      <c r="C1202" t="s">
        <v>277</v>
      </c>
      <c r="D1202" t="s">
        <v>1899</v>
      </c>
      <c r="E1202" t="s">
        <v>1587</v>
      </c>
      <c r="F1202" t="s">
        <v>1895</v>
      </c>
      <c r="G1202">
        <v>339693</v>
      </c>
      <c r="H1202" s="1">
        <v>45601</v>
      </c>
      <c r="I1202" s="1"/>
      <c r="K1202">
        <v>9</v>
      </c>
      <c r="L1202" t="s">
        <v>21</v>
      </c>
      <c r="M1202" t="s">
        <v>1901</v>
      </c>
      <c r="N1202" t="s">
        <v>1887</v>
      </c>
    </row>
    <row r="1203" spans="1:14" x14ac:dyDescent="0.35">
      <c r="A1203" t="s">
        <v>3127</v>
      </c>
      <c r="B1203" t="s">
        <v>1922</v>
      </c>
      <c r="C1203" t="s">
        <v>293</v>
      </c>
      <c r="D1203" t="s">
        <v>1915</v>
      </c>
      <c r="E1203" t="s">
        <v>1678</v>
      </c>
      <c r="F1203" t="s">
        <v>1895</v>
      </c>
      <c r="G1203">
        <v>271247</v>
      </c>
      <c r="H1203" s="1">
        <v>45601</v>
      </c>
      <c r="I1203" s="1"/>
      <c r="L1203" t="s">
        <v>21</v>
      </c>
      <c r="M1203" t="s">
        <v>1901</v>
      </c>
      <c r="N1203" t="s">
        <v>1887</v>
      </c>
    </row>
    <row r="1204" spans="1:14" x14ac:dyDescent="0.35">
      <c r="A1204" t="s">
        <v>3128</v>
      </c>
      <c r="B1204" t="s">
        <v>1926</v>
      </c>
      <c r="C1204" t="s">
        <v>477</v>
      </c>
      <c r="D1204" t="s">
        <v>1883</v>
      </c>
      <c r="E1204" t="s">
        <v>1587</v>
      </c>
      <c r="F1204" t="s">
        <v>1892</v>
      </c>
      <c r="G1204">
        <v>460851</v>
      </c>
      <c r="H1204" s="1">
        <v>45643</v>
      </c>
      <c r="I1204" s="1"/>
      <c r="L1204" t="s">
        <v>47</v>
      </c>
      <c r="M1204" t="s">
        <v>1901</v>
      </c>
      <c r="N1204" t="s">
        <v>1887</v>
      </c>
    </row>
    <row r="1205" spans="1:14" x14ac:dyDescent="0.35">
      <c r="A1205" t="s">
        <v>3129</v>
      </c>
      <c r="B1205" t="s">
        <v>1963</v>
      </c>
      <c r="C1205" t="s">
        <v>475</v>
      </c>
      <c r="D1205" t="s">
        <v>1904</v>
      </c>
      <c r="E1205" t="s">
        <v>1600</v>
      </c>
      <c r="F1205" t="s">
        <v>1908</v>
      </c>
      <c r="G1205">
        <v>321071</v>
      </c>
      <c r="H1205" s="1">
        <v>45357</v>
      </c>
      <c r="I1205" s="1"/>
      <c r="K1205">
        <v>1.9</v>
      </c>
      <c r="L1205" t="s">
        <v>15</v>
      </c>
      <c r="M1205" t="s">
        <v>1916</v>
      </c>
      <c r="N1205" t="s">
        <v>1887</v>
      </c>
    </row>
    <row r="1206" spans="1:14" x14ac:dyDescent="0.35">
      <c r="A1206" t="s">
        <v>3130</v>
      </c>
      <c r="B1206" t="s">
        <v>1889</v>
      </c>
      <c r="C1206" t="s">
        <v>465</v>
      </c>
      <c r="D1206" t="s">
        <v>1883</v>
      </c>
      <c r="E1206" t="s">
        <v>1905</v>
      </c>
      <c r="F1206" t="s">
        <v>1908</v>
      </c>
      <c r="G1206">
        <v>375755</v>
      </c>
      <c r="H1206" s="1">
        <v>45532</v>
      </c>
      <c r="I1206" s="1"/>
      <c r="K1206">
        <v>9</v>
      </c>
      <c r="L1206" t="s">
        <v>30</v>
      </c>
      <c r="M1206" t="s">
        <v>1953</v>
      </c>
      <c r="N1206" t="s">
        <v>1887</v>
      </c>
    </row>
    <row r="1207" spans="1:14" x14ac:dyDescent="0.35">
      <c r="A1207" t="s">
        <v>3131</v>
      </c>
      <c r="B1207" t="s">
        <v>1937</v>
      </c>
      <c r="C1207" t="s">
        <v>130</v>
      </c>
      <c r="D1207" t="s">
        <v>1899</v>
      </c>
      <c r="E1207" t="s">
        <v>1678</v>
      </c>
      <c r="F1207" t="s">
        <v>1895</v>
      </c>
      <c r="G1207">
        <v>425285</v>
      </c>
      <c r="H1207" s="1">
        <v>45224</v>
      </c>
      <c r="I1207" s="1"/>
      <c r="K1207">
        <v>7.7</v>
      </c>
      <c r="L1207" t="s">
        <v>47</v>
      </c>
      <c r="M1207" t="s">
        <v>1886</v>
      </c>
      <c r="N1207" t="s">
        <v>1887</v>
      </c>
    </row>
    <row r="1208" spans="1:14" x14ac:dyDescent="0.35">
      <c r="A1208" t="s">
        <v>3132</v>
      </c>
      <c r="B1208" t="s">
        <v>1914</v>
      </c>
      <c r="C1208" t="s">
        <v>230</v>
      </c>
      <c r="D1208" t="s">
        <v>1904</v>
      </c>
      <c r="E1208" t="s">
        <v>1918</v>
      </c>
      <c r="F1208" t="s">
        <v>1946</v>
      </c>
      <c r="G1208">
        <v>159443</v>
      </c>
      <c r="H1208" s="1">
        <v>44946</v>
      </c>
      <c r="I1208" s="1"/>
      <c r="K1208">
        <v>10.8</v>
      </c>
      <c r="L1208" t="s">
        <v>47</v>
      </c>
      <c r="M1208" t="s">
        <v>1896</v>
      </c>
      <c r="N1208" t="s">
        <v>1887</v>
      </c>
    </row>
    <row r="1209" spans="1:14" x14ac:dyDescent="0.35">
      <c r="A1209" t="s">
        <v>3133</v>
      </c>
      <c r="B1209" t="s">
        <v>1926</v>
      </c>
      <c r="C1209" t="s">
        <v>133</v>
      </c>
      <c r="D1209" t="s">
        <v>1927</v>
      </c>
      <c r="E1209" t="s">
        <v>1587</v>
      </c>
      <c r="F1209" t="s">
        <v>1885</v>
      </c>
      <c r="G1209">
        <v>353839</v>
      </c>
      <c r="H1209" s="1">
        <v>45529</v>
      </c>
      <c r="I1209" s="1">
        <v>45581</v>
      </c>
      <c r="J1209">
        <v>52</v>
      </c>
      <c r="K1209">
        <v>0.5</v>
      </c>
      <c r="L1209" t="s">
        <v>21</v>
      </c>
      <c r="M1209" t="s">
        <v>1953</v>
      </c>
      <c r="N1209" t="s">
        <v>1887</v>
      </c>
    </row>
    <row r="1210" spans="1:14" x14ac:dyDescent="0.35">
      <c r="A1210" t="s">
        <v>3134</v>
      </c>
      <c r="B1210" t="s">
        <v>1944</v>
      </c>
      <c r="C1210" t="s">
        <v>461</v>
      </c>
      <c r="D1210" t="s">
        <v>1890</v>
      </c>
      <c r="E1210" t="s">
        <v>1600</v>
      </c>
      <c r="F1210" t="s">
        <v>1885</v>
      </c>
      <c r="G1210">
        <v>239000</v>
      </c>
      <c r="H1210" s="1">
        <v>45636</v>
      </c>
      <c r="I1210" s="1">
        <v>45797</v>
      </c>
      <c r="J1210">
        <v>161</v>
      </c>
      <c r="K1210">
        <v>0.1</v>
      </c>
      <c r="L1210" t="s">
        <v>15</v>
      </c>
      <c r="M1210" t="s">
        <v>1901</v>
      </c>
      <c r="N1210" t="s">
        <v>1887</v>
      </c>
    </row>
    <row r="1211" spans="1:14" x14ac:dyDescent="0.35">
      <c r="A1211" t="s">
        <v>3135</v>
      </c>
      <c r="B1211" t="s">
        <v>1922</v>
      </c>
      <c r="C1211" t="s">
        <v>103</v>
      </c>
      <c r="D1211" t="s">
        <v>1883</v>
      </c>
      <c r="E1211" t="s">
        <v>1931</v>
      </c>
      <c r="F1211" t="s">
        <v>1900</v>
      </c>
      <c r="G1211">
        <v>420634</v>
      </c>
      <c r="H1211" s="1">
        <v>45598</v>
      </c>
      <c r="I1211" s="1">
        <v>45622</v>
      </c>
      <c r="J1211">
        <v>24</v>
      </c>
      <c r="K1211">
        <v>10.8</v>
      </c>
      <c r="L1211" t="s">
        <v>15</v>
      </c>
      <c r="M1211" t="s">
        <v>1901</v>
      </c>
      <c r="N1211" t="s">
        <v>1887</v>
      </c>
    </row>
    <row r="1212" spans="1:14" x14ac:dyDescent="0.35">
      <c r="A1212" t="s">
        <v>3136</v>
      </c>
      <c r="B1212" t="s">
        <v>1926</v>
      </c>
      <c r="C1212" t="s">
        <v>198</v>
      </c>
      <c r="D1212" t="s">
        <v>1915</v>
      </c>
      <c r="E1212" t="s">
        <v>1931</v>
      </c>
      <c r="F1212" t="s">
        <v>1892</v>
      </c>
      <c r="G1212">
        <v>45249</v>
      </c>
      <c r="H1212" s="1">
        <v>45017</v>
      </c>
      <c r="I1212" s="1"/>
      <c r="K1212">
        <v>8</v>
      </c>
      <c r="L1212" t="s">
        <v>21</v>
      </c>
      <c r="M1212" t="s">
        <v>1893</v>
      </c>
      <c r="N1212" t="s">
        <v>1887</v>
      </c>
    </row>
    <row r="1213" spans="1:14" x14ac:dyDescent="0.35">
      <c r="A1213" t="s">
        <v>3137</v>
      </c>
      <c r="B1213" t="s">
        <v>1882</v>
      </c>
      <c r="C1213" t="s">
        <v>492</v>
      </c>
      <c r="D1213" t="s">
        <v>1899</v>
      </c>
      <c r="E1213" t="s">
        <v>1905</v>
      </c>
      <c r="F1213" t="s">
        <v>1946</v>
      </c>
      <c r="G1213">
        <v>176538</v>
      </c>
      <c r="H1213" s="1">
        <v>45388</v>
      </c>
      <c r="I1213" s="1"/>
      <c r="L1213" t="s">
        <v>30</v>
      </c>
      <c r="M1213" t="s">
        <v>1935</v>
      </c>
      <c r="N1213" t="s">
        <v>1887</v>
      </c>
    </row>
    <row r="1214" spans="1:14" x14ac:dyDescent="0.35">
      <c r="A1214" t="s">
        <v>3138</v>
      </c>
      <c r="B1214" t="s">
        <v>1911</v>
      </c>
      <c r="C1214" t="s">
        <v>224</v>
      </c>
      <c r="D1214" t="s">
        <v>1904</v>
      </c>
      <c r="E1214" t="s">
        <v>1945</v>
      </c>
      <c r="F1214" t="s">
        <v>1908</v>
      </c>
      <c r="G1214">
        <v>325010</v>
      </c>
      <c r="H1214" s="1">
        <v>45685</v>
      </c>
      <c r="I1214" s="1"/>
      <c r="K1214">
        <v>7.9</v>
      </c>
      <c r="L1214" t="s">
        <v>21</v>
      </c>
      <c r="M1214" t="s">
        <v>1912</v>
      </c>
      <c r="N1214" t="s">
        <v>1887</v>
      </c>
    </row>
    <row r="1215" spans="1:14" x14ac:dyDescent="0.35">
      <c r="A1215" t="s">
        <v>3139</v>
      </c>
      <c r="B1215" t="s">
        <v>1903</v>
      </c>
      <c r="C1215" t="s">
        <v>266</v>
      </c>
      <c r="D1215" t="s">
        <v>1915</v>
      </c>
      <c r="E1215" t="s">
        <v>1931</v>
      </c>
      <c r="F1215" t="s">
        <v>1885</v>
      </c>
      <c r="G1215">
        <v>417993</v>
      </c>
      <c r="H1215" s="1">
        <v>45506</v>
      </c>
      <c r="I1215" s="1">
        <v>45598</v>
      </c>
      <c r="J1215">
        <v>92</v>
      </c>
      <c r="K1215">
        <v>1.3</v>
      </c>
      <c r="L1215" t="s">
        <v>21</v>
      </c>
      <c r="M1215" t="s">
        <v>1953</v>
      </c>
      <c r="N1215" t="s">
        <v>1887</v>
      </c>
    </row>
    <row r="1216" spans="1:14" x14ac:dyDescent="0.35">
      <c r="A1216" t="s">
        <v>3140</v>
      </c>
      <c r="B1216" t="s">
        <v>1963</v>
      </c>
      <c r="C1216" t="s">
        <v>319</v>
      </c>
      <c r="D1216" t="s">
        <v>1890</v>
      </c>
      <c r="E1216" t="s">
        <v>1918</v>
      </c>
      <c r="F1216" t="s">
        <v>1946</v>
      </c>
      <c r="G1216">
        <v>389700</v>
      </c>
      <c r="H1216" s="1">
        <v>45230</v>
      </c>
      <c r="I1216" s="1"/>
      <c r="L1216" t="s">
        <v>15</v>
      </c>
      <c r="M1216" t="s">
        <v>1886</v>
      </c>
      <c r="N1216" t="s">
        <v>1887</v>
      </c>
    </row>
    <row r="1217" spans="1:14" x14ac:dyDescent="0.35">
      <c r="A1217" t="s">
        <v>3141</v>
      </c>
      <c r="B1217" t="s">
        <v>1914</v>
      </c>
      <c r="C1217" t="s">
        <v>396</v>
      </c>
      <c r="D1217" t="s">
        <v>1899</v>
      </c>
      <c r="E1217" t="s">
        <v>1600</v>
      </c>
      <c r="F1217" t="s">
        <v>1900</v>
      </c>
      <c r="G1217">
        <v>60064</v>
      </c>
      <c r="H1217" s="1">
        <v>45068</v>
      </c>
      <c r="I1217" s="1">
        <v>45151</v>
      </c>
      <c r="J1217">
        <v>83</v>
      </c>
      <c r="K1217">
        <v>18</v>
      </c>
      <c r="L1217" t="s">
        <v>15</v>
      </c>
      <c r="M1217" t="s">
        <v>1893</v>
      </c>
      <c r="N1217" t="s">
        <v>1887</v>
      </c>
    </row>
    <row r="1218" spans="1:14" x14ac:dyDescent="0.35">
      <c r="A1218" t="s">
        <v>3142</v>
      </c>
      <c r="B1218" t="s">
        <v>1922</v>
      </c>
      <c r="C1218" t="s">
        <v>426</v>
      </c>
      <c r="D1218" t="s">
        <v>1899</v>
      </c>
      <c r="E1218" t="s">
        <v>1891</v>
      </c>
      <c r="F1218" t="s">
        <v>1885</v>
      </c>
      <c r="G1218">
        <v>95474</v>
      </c>
      <c r="H1218" s="1">
        <v>45085</v>
      </c>
      <c r="I1218" s="1">
        <v>45228</v>
      </c>
      <c r="J1218">
        <v>143</v>
      </c>
      <c r="K1218">
        <v>2.8</v>
      </c>
      <c r="L1218" t="s">
        <v>47</v>
      </c>
      <c r="M1218" t="s">
        <v>1893</v>
      </c>
      <c r="N1218" t="s">
        <v>1887</v>
      </c>
    </row>
    <row r="1219" spans="1:14" x14ac:dyDescent="0.35">
      <c r="A1219" t="s">
        <v>3143</v>
      </c>
      <c r="B1219" t="s">
        <v>1937</v>
      </c>
      <c r="C1219" t="s">
        <v>149</v>
      </c>
      <c r="D1219" t="s">
        <v>1927</v>
      </c>
      <c r="E1219" t="s">
        <v>1918</v>
      </c>
      <c r="F1219" t="s">
        <v>1900</v>
      </c>
      <c r="G1219">
        <v>217795</v>
      </c>
      <c r="H1219" s="1">
        <v>45444</v>
      </c>
      <c r="I1219" s="1">
        <v>45532</v>
      </c>
      <c r="J1219">
        <v>88</v>
      </c>
      <c r="K1219">
        <v>1.7</v>
      </c>
      <c r="L1219" t="s">
        <v>30</v>
      </c>
      <c r="M1219" t="s">
        <v>1935</v>
      </c>
      <c r="N1219" t="s">
        <v>1887</v>
      </c>
    </row>
    <row r="1220" spans="1:14" x14ac:dyDescent="0.35">
      <c r="A1220" t="s">
        <v>3144</v>
      </c>
      <c r="B1220" t="s">
        <v>1903</v>
      </c>
      <c r="C1220" t="s">
        <v>164</v>
      </c>
      <c r="D1220" t="s">
        <v>1927</v>
      </c>
      <c r="E1220" t="s">
        <v>1678</v>
      </c>
      <c r="F1220" t="s">
        <v>1892</v>
      </c>
      <c r="G1220">
        <v>347232</v>
      </c>
      <c r="H1220" s="1">
        <v>45010</v>
      </c>
      <c r="I1220" s="1"/>
      <c r="K1220">
        <v>13.5</v>
      </c>
      <c r="L1220" t="s">
        <v>15</v>
      </c>
      <c r="M1220" t="s">
        <v>1896</v>
      </c>
      <c r="N1220" t="s">
        <v>1887</v>
      </c>
    </row>
    <row r="1221" spans="1:14" x14ac:dyDescent="0.35">
      <c r="A1221" t="s">
        <v>3145</v>
      </c>
      <c r="B1221" t="s">
        <v>1898</v>
      </c>
      <c r="C1221" t="s">
        <v>479</v>
      </c>
      <c r="D1221" t="s">
        <v>1890</v>
      </c>
      <c r="E1221" t="s">
        <v>1918</v>
      </c>
      <c r="F1221" t="s">
        <v>1908</v>
      </c>
      <c r="G1221">
        <v>117424</v>
      </c>
      <c r="H1221" s="1">
        <v>45316</v>
      </c>
      <c r="I1221" s="1"/>
      <c r="L1221" t="s">
        <v>21</v>
      </c>
      <c r="M1221" t="s">
        <v>1916</v>
      </c>
      <c r="N1221" t="s">
        <v>1887</v>
      </c>
    </row>
    <row r="1222" spans="1:14" x14ac:dyDescent="0.35">
      <c r="A1222" t="s">
        <v>3146</v>
      </c>
      <c r="B1222" t="s">
        <v>1934</v>
      </c>
      <c r="C1222" t="s">
        <v>314</v>
      </c>
      <c r="D1222" t="s">
        <v>1904</v>
      </c>
      <c r="E1222" t="s">
        <v>1600</v>
      </c>
      <c r="F1222" t="s">
        <v>1946</v>
      </c>
      <c r="G1222">
        <v>344166</v>
      </c>
      <c r="H1222" s="1">
        <v>45739</v>
      </c>
      <c r="I1222" s="1"/>
      <c r="K1222">
        <v>14.4</v>
      </c>
      <c r="L1222" t="s">
        <v>21</v>
      </c>
      <c r="M1222" t="s">
        <v>1912</v>
      </c>
      <c r="N1222" t="s">
        <v>1887</v>
      </c>
    </row>
    <row r="1223" spans="1:14" x14ac:dyDescent="0.35">
      <c r="A1223" t="s">
        <v>3147</v>
      </c>
      <c r="B1223" t="s">
        <v>1963</v>
      </c>
      <c r="C1223" t="s">
        <v>390</v>
      </c>
      <c r="D1223" t="s">
        <v>1904</v>
      </c>
      <c r="E1223" t="s">
        <v>1931</v>
      </c>
      <c r="F1223" t="s">
        <v>1908</v>
      </c>
      <c r="G1223">
        <v>102612</v>
      </c>
      <c r="H1223" s="1">
        <v>45469</v>
      </c>
      <c r="I1223" s="1"/>
      <c r="K1223">
        <v>9.1</v>
      </c>
      <c r="L1223" t="s">
        <v>47</v>
      </c>
      <c r="M1223" t="s">
        <v>1935</v>
      </c>
      <c r="N1223" t="s">
        <v>1887</v>
      </c>
    </row>
    <row r="1224" spans="1:14" x14ac:dyDescent="0.35">
      <c r="A1224" t="s">
        <v>3148</v>
      </c>
      <c r="B1224" t="s">
        <v>1898</v>
      </c>
      <c r="C1224" t="s">
        <v>293</v>
      </c>
      <c r="D1224" t="s">
        <v>1899</v>
      </c>
      <c r="E1224" t="s">
        <v>1891</v>
      </c>
      <c r="F1224" t="s">
        <v>1900</v>
      </c>
      <c r="G1224">
        <v>104824</v>
      </c>
      <c r="H1224" s="1">
        <v>45251</v>
      </c>
      <c r="I1224" s="1">
        <v>45337</v>
      </c>
      <c r="J1224">
        <v>86</v>
      </c>
      <c r="K1224">
        <v>1.9</v>
      </c>
      <c r="L1224" t="s">
        <v>47</v>
      </c>
      <c r="M1224" t="s">
        <v>1886</v>
      </c>
      <c r="N1224" t="s">
        <v>1887</v>
      </c>
    </row>
    <row r="1225" spans="1:14" x14ac:dyDescent="0.35">
      <c r="A1225" t="s">
        <v>3149</v>
      </c>
      <c r="B1225" t="s">
        <v>1934</v>
      </c>
      <c r="C1225" t="s">
        <v>426</v>
      </c>
      <c r="D1225" t="s">
        <v>1899</v>
      </c>
      <c r="E1225" t="s">
        <v>1905</v>
      </c>
      <c r="F1225" t="s">
        <v>1900</v>
      </c>
      <c r="G1225">
        <v>61534</v>
      </c>
      <c r="H1225" s="1">
        <v>45417</v>
      </c>
      <c r="I1225" s="1">
        <v>45533</v>
      </c>
      <c r="J1225">
        <v>116</v>
      </c>
      <c r="K1225">
        <v>3.1</v>
      </c>
      <c r="L1225" t="s">
        <v>15</v>
      </c>
      <c r="M1225" t="s">
        <v>1935</v>
      </c>
      <c r="N1225" t="s">
        <v>1887</v>
      </c>
    </row>
    <row r="1226" spans="1:14" x14ac:dyDescent="0.35">
      <c r="A1226" t="s">
        <v>3150</v>
      </c>
      <c r="B1226" t="s">
        <v>1889</v>
      </c>
      <c r="C1226" t="s">
        <v>495</v>
      </c>
      <c r="D1226" t="s">
        <v>1927</v>
      </c>
      <c r="E1226" t="s">
        <v>1587</v>
      </c>
      <c r="F1226" t="s">
        <v>1908</v>
      </c>
      <c r="G1226">
        <v>207809</v>
      </c>
      <c r="H1226" s="1">
        <v>45579</v>
      </c>
      <c r="I1226" s="1"/>
      <c r="L1226" t="s">
        <v>21</v>
      </c>
      <c r="M1226" t="s">
        <v>1901</v>
      </c>
      <c r="N1226" t="s">
        <v>1887</v>
      </c>
    </row>
    <row r="1227" spans="1:14" x14ac:dyDescent="0.35">
      <c r="A1227" t="s">
        <v>3151</v>
      </c>
      <c r="B1227" t="s">
        <v>1903</v>
      </c>
      <c r="C1227" t="s">
        <v>120</v>
      </c>
      <c r="D1227" t="s">
        <v>1883</v>
      </c>
      <c r="E1227" t="s">
        <v>1678</v>
      </c>
      <c r="F1227" t="s">
        <v>1895</v>
      </c>
      <c r="G1227">
        <v>210186</v>
      </c>
      <c r="H1227" s="1">
        <v>45010</v>
      </c>
      <c r="I1227" s="1"/>
      <c r="K1227">
        <v>14.5</v>
      </c>
      <c r="L1227" t="s">
        <v>15</v>
      </c>
      <c r="M1227" t="s">
        <v>1896</v>
      </c>
      <c r="N1227" t="s">
        <v>1887</v>
      </c>
    </row>
    <row r="1228" spans="1:14" x14ac:dyDescent="0.35">
      <c r="A1228" t="s">
        <v>3152</v>
      </c>
      <c r="B1228" t="s">
        <v>1914</v>
      </c>
      <c r="C1228" t="s">
        <v>280</v>
      </c>
      <c r="D1228" t="s">
        <v>1927</v>
      </c>
      <c r="E1228" t="s">
        <v>1884</v>
      </c>
      <c r="F1228" t="s">
        <v>1892</v>
      </c>
      <c r="G1228">
        <v>89912</v>
      </c>
      <c r="H1228" s="1">
        <v>45148</v>
      </c>
      <c r="I1228" s="1"/>
      <c r="L1228" t="s">
        <v>47</v>
      </c>
      <c r="M1228" t="s">
        <v>1932</v>
      </c>
      <c r="N1228" t="s">
        <v>1887</v>
      </c>
    </row>
    <row r="1229" spans="1:14" x14ac:dyDescent="0.35">
      <c r="A1229" t="s">
        <v>3153</v>
      </c>
      <c r="B1229" t="s">
        <v>1924</v>
      </c>
      <c r="C1229" t="s">
        <v>365</v>
      </c>
      <c r="D1229" t="s">
        <v>1915</v>
      </c>
      <c r="E1229" t="s">
        <v>1905</v>
      </c>
      <c r="F1229" t="s">
        <v>1895</v>
      </c>
      <c r="G1229">
        <v>96577</v>
      </c>
      <c r="H1229" s="1">
        <v>45125</v>
      </c>
      <c r="I1229" s="1"/>
      <c r="K1229">
        <v>13.4</v>
      </c>
      <c r="L1229" t="s">
        <v>30</v>
      </c>
      <c r="M1229" t="s">
        <v>1932</v>
      </c>
      <c r="N1229" t="s">
        <v>1887</v>
      </c>
    </row>
    <row r="1230" spans="1:14" x14ac:dyDescent="0.35">
      <c r="A1230" t="s">
        <v>3154</v>
      </c>
      <c r="B1230" t="s">
        <v>1898</v>
      </c>
      <c r="C1230" t="s">
        <v>264</v>
      </c>
      <c r="D1230" t="s">
        <v>1890</v>
      </c>
      <c r="E1230" t="s">
        <v>1678</v>
      </c>
      <c r="F1230" t="s">
        <v>1900</v>
      </c>
      <c r="G1230">
        <v>334935</v>
      </c>
      <c r="H1230" s="1">
        <v>45067</v>
      </c>
      <c r="I1230" s="1">
        <v>45177</v>
      </c>
      <c r="J1230">
        <v>110</v>
      </c>
      <c r="K1230">
        <v>5.0999999999999996</v>
      </c>
      <c r="L1230" t="s">
        <v>30</v>
      </c>
      <c r="M1230" t="s">
        <v>1893</v>
      </c>
      <c r="N1230" t="s">
        <v>1887</v>
      </c>
    </row>
    <row r="1231" spans="1:14" x14ac:dyDescent="0.35">
      <c r="A1231" t="s">
        <v>3155</v>
      </c>
      <c r="B1231" t="s">
        <v>1911</v>
      </c>
      <c r="C1231" t="s">
        <v>309</v>
      </c>
      <c r="D1231" t="s">
        <v>1904</v>
      </c>
      <c r="E1231" t="s">
        <v>1600</v>
      </c>
      <c r="F1231" t="s">
        <v>1885</v>
      </c>
      <c r="G1231">
        <v>380285</v>
      </c>
      <c r="H1231" s="1">
        <v>44959</v>
      </c>
      <c r="I1231" s="1">
        <v>45011</v>
      </c>
      <c r="J1231">
        <v>52</v>
      </c>
      <c r="L1231" t="s">
        <v>21</v>
      </c>
      <c r="M1231" t="s">
        <v>1896</v>
      </c>
      <c r="N1231" t="s">
        <v>1887</v>
      </c>
    </row>
    <row r="1232" spans="1:14" x14ac:dyDescent="0.35">
      <c r="A1232" t="s">
        <v>3156</v>
      </c>
      <c r="B1232" t="s">
        <v>1934</v>
      </c>
      <c r="C1232" t="s">
        <v>459</v>
      </c>
      <c r="D1232" t="s">
        <v>1915</v>
      </c>
      <c r="E1232" t="s">
        <v>1905</v>
      </c>
      <c r="F1232" t="s">
        <v>1946</v>
      </c>
      <c r="G1232">
        <v>439392</v>
      </c>
      <c r="H1232" s="1">
        <v>45304</v>
      </c>
      <c r="I1232" s="1"/>
      <c r="K1232">
        <v>14.8</v>
      </c>
      <c r="L1232" t="s">
        <v>15</v>
      </c>
      <c r="M1232" t="s">
        <v>1916</v>
      </c>
      <c r="N1232" t="s">
        <v>1887</v>
      </c>
    </row>
    <row r="1233" spans="1:14" x14ac:dyDescent="0.35">
      <c r="A1233" t="s">
        <v>3157</v>
      </c>
      <c r="B1233" t="s">
        <v>1937</v>
      </c>
      <c r="C1233" t="s">
        <v>147</v>
      </c>
      <c r="D1233" t="s">
        <v>1899</v>
      </c>
      <c r="E1233" t="s">
        <v>1600</v>
      </c>
      <c r="F1233" t="s">
        <v>1900</v>
      </c>
      <c r="G1233">
        <v>477749</v>
      </c>
      <c r="H1233" s="1">
        <v>45714</v>
      </c>
      <c r="I1233" s="1">
        <v>45732</v>
      </c>
      <c r="J1233">
        <v>18</v>
      </c>
      <c r="K1233">
        <v>5.2</v>
      </c>
      <c r="L1233" t="s">
        <v>30</v>
      </c>
      <c r="M1233" t="s">
        <v>1912</v>
      </c>
      <c r="N1233" t="s">
        <v>1887</v>
      </c>
    </row>
    <row r="1234" spans="1:14" x14ac:dyDescent="0.35">
      <c r="A1234" t="s">
        <v>3158</v>
      </c>
      <c r="B1234" t="s">
        <v>1963</v>
      </c>
      <c r="C1234" t="s">
        <v>142</v>
      </c>
      <c r="D1234" t="s">
        <v>1915</v>
      </c>
      <c r="E1234" t="s">
        <v>1600</v>
      </c>
      <c r="F1234" t="s">
        <v>1895</v>
      </c>
      <c r="G1234">
        <v>888412</v>
      </c>
      <c r="H1234" s="1">
        <v>45124</v>
      </c>
      <c r="I1234" s="1"/>
      <c r="L1234" t="s">
        <v>15</v>
      </c>
      <c r="M1234" t="s">
        <v>1932</v>
      </c>
      <c r="N1234" t="s">
        <v>1887</v>
      </c>
    </row>
    <row r="1235" spans="1:14" x14ac:dyDescent="0.35">
      <c r="A1235" t="s">
        <v>3159</v>
      </c>
      <c r="B1235" t="s">
        <v>1920</v>
      </c>
      <c r="C1235" t="s">
        <v>371</v>
      </c>
      <c r="D1235" t="s">
        <v>1904</v>
      </c>
      <c r="E1235" t="s">
        <v>1678</v>
      </c>
      <c r="F1235" t="s">
        <v>1900</v>
      </c>
      <c r="G1235">
        <v>120151</v>
      </c>
      <c r="H1235" s="1">
        <v>45490</v>
      </c>
      <c r="I1235" s="1">
        <v>45636</v>
      </c>
      <c r="J1235">
        <v>146</v>
      </c>
      <c r="K1235">
        <v>5.0999999999999996</v>
      </c>
      <c r="L1235" t="s">
        <v>47</v>
      </c>
      <c r="M1235" t="s">
        <v>1953</v>
      </c>
      <c r="N1235" t="s">
        <v>1887</v>
      </c>
    </row>
    <row r="1236" spans="1:14" x14ac:dyDescent="0.35">
      <c r="A1236" t="s">
        <v>3160</v>
      </c>
      <c r="B1236" t="s">
        <v>1934</v>
      </c>
      <c r="C1236" t="s">
        <v>355</v>
      </c>
      <c r="D1236" t="s">
        <v>1899</v>
      </c>
      <c r="E1236" t="s">
        <v>1905</v>
      </c>
      <c r="F1236" t="s">
        <v>1908</v>
      </c>
      <c r="G1236">
        <v>120883</v>
      </c>
      <c r="H1236" s="1">
        <v>45703</v>
      </c>
      <c r="I1236" s="1"/>
      <c r="L1236" t="s">
        <v>15</v>
      </c>
      <c r="M1236" t="s">
        <v>1912</v>
      </c>
      <c r="N1236" t="s">
        <v>1887</v>
      </c>
    </row>
    <row r="1237" spans="1:14" x14ac:dyDescent="0.35">
      <c r="A1237" t="s">
        <v>3161</v>
      </c>
      <c r="B1237" t="s">
        <v>1963</v>
      </c>
      <c r="C1237" t="s">
        <v>214</v>
      </c>
      <c r="D1237" t="s">
        <v>1904</v>
      </c>
      <c r="E1237" t="s">
        <v>1905</v>
      </c>
      <c r="F1237" t="s">
        <v>1895</v>
      </c>
      <c r="G1237">
        <v>448626</v>
      </c>
      <c r="H1237" s="1">
        <v>45560</v>
      </c>
      <c r="I1237" s="1"/>
      <c r="K1237">
        <v>6.6</v>
      </c>
      <c r="L1237" t="s">
        <v>47</v>
      </c>
      <c r="M1237" t="s">
        <v>1953</v>
      </c>
      <c r="N1237" t="s">
        <v>1887</v>
      </c>
    </row>
    <row r="1238" spans="1:14" x14ac:dyDescent="0.35">
      <c r="A1238" t="s">
        <v>3162</v>
      </c>
      <c r="B1238" t="s">
        <v>1922</v>
      </c>
      <c r="C1238" t="s">
        <v>497</v>
      </c>
      <c r="D1238" t="s">
        <v>1883</v>
      </c>
      <c r="E1238" t="s">
        <v>1587</v>
      </c>
      <c r="F1238" t="s">
        <v>1900</v>
      </c>
      <c r="G1238">
        <v>313755</v>
      </c>
      <c r="H1238" s="1">
        <v>45073</v>
      </c>
      <c r="I1238" s="1">
        <v>45146</v>
      </c>
      <c r="J1238">
        <v>73</v>
      </c>
      <c r="K1238">
        <v>19.8</v>
      </c>
      <c r="L1238" t="s">
        <v>21</v>
      </c>
      <c r="M1238" t="s">
        <v>1893</v>
      </c>
      <c r="N1238" t="s">
        <v>1887</v>
      </c>
    </row>
    <row r="1239" spans="1:14" x14ac:dyDescent="0.35">
      <c r="A1239" t="s">
        <v>3163</v>
      </c>
      <c r="B1239" t="s">
        <v>1934</v>
      </c>
      <c r="C1239" t="s">
        <v>268</v>
      </c>
      <c r="D1239" t="s">
        <v>1915</v>
      </c>
      <c r="E1239" t="s">
        <v>1600</v>
      </c>
      <c r="F1239" t="s">
        <v>1908</v>
      </c>
      <c r="G1239">
        <v>319008</v>
      </c>
      <c r="H1239" s="1">
        <v>45185</v>
      </c>
      <c r="I1239" s="1"/>
      <c r="L1239" t="s">
        <v>30</v>
      </c>
      <c r="M1239" t="s">
        <v>1932</v>
      </c>
      <c r="N1239" t="s">
        <v>1887</v>
      </c>
    </row>
    <row r="1240" spans="1:14" x14ac:dyDescent="0.35">
      <c r="A1240" t="s">
        <v>3164</v>
      </c>
      <c r="B1240" t="s">
        <v>1914</v>
      </c>
      <c r="C1240" t="s">
        <v>301</v>
      </c>
      <c r="D1240" t="s">
        <v>1899</v>
      </c>
      <c r="E1240" t="s">
        <v>1905</v>
      </c>
      <c r="F1240" t="s">
        <v>1892</v>
      </c>
      <c r="G1240">
        <v>141632</v>
      </c>
      <c r="H1240" s="1">
        <v>45661</v>
      </c>
      <c r="I1240" s="1"/>
      <c r="L1240" t="s">
        <v>47</v>
      </c>
      <c r="M1240" t="s">
        <v>1912</v>
      </c>
      <c r="N1240" t="s">
        <v>1887</v>
      </c>
    </row>
    <row r="1241" spans="1:14" x14ac:dyDescent="0.35">
      <c r="A1241" t="s">
        <v>3165</v>
      </c>
      <c r="B1241" t="s">
        <v>1937</v>
      </c>
      <c r="C1241" t="s">
        <v>232</v>
      </c>
      <c r="D1241" t="s">
        <v>1915</v>
      </c>
      <c r="E1241" t="s">
        <v>1587</v>
      </c>
      <c r="F1241" t="s">
        <v>1900</v>
      </c>
      <c r="G1241">
        <v>279210</v>
      </c>
      <c r="H1241" s="1">
        <v>45407</v>
      </c>
      <c r="I1241" s="1">
        <v>45452</v>
      </c>
      <c r="J1241">
        <v>45</v>
      </c>
      <c r="K1241">
        <v>1.1000000000000001</v>
      </c>
      <c r="L1241" t="s">
        <v>21</v>
      </c>
      <c r="M1241" t="s">
        <v>1935</v>
      </c>
      <c r="N1241" t="s">
        <v>1887</v>
      </c>
    </row>
    <row r="1242" spans="1:14" x14ac:dyDescent="0.35">
      <c r="A1242" t="s">
        <v>3166</v>
      </c>
      <c r="B1242" t="s">
        <v>1889</v>
      </c>
      <c r="C1242" t="s">
        <v>368</v>
      </c>
      <c r="D1242" t="s">
        <v>1899</v>
      </c>
      <c r="E1242" t="s">
        <v>1884</v>
      </c>
      <c r="F1242" t="s">
        <v>1946</v>
      </c>
      <c r="G1242">
        <v>307847</v>
      </c>
      <c r="H1242" s="1">
        <v>45282</v>
      </c>
      <c r="I1242" s="1"/>
      <c r="L1242" t="s">
        <v>30</v>
      </c>
      <c r="M1242" t="s">
        <v>1886</v>
      </c>
      <c r="N1242" t="s">
        <v>1887</v>
      </c>
    </row>
    <row r="1243" spans="1:14" x14ac:dyDescent="0.35">
      <c r="A1243" t="s">
        <v>3167</v>
      </c>
      <c r="B1243" t="s">
        <v>1930</v>
      </c>
      <c r="C1243" t="s">
        <v>307</v>
      </c>
      <c r="D1243" t="s">
        <v>1890</v>
      </c>
      <c r="E1243" t="s">
        <v>1600</v>
      </c>
      <c r="F1243" t="s">
        <v>1908</v>
      </c>
      <c r="G1243">
        <v>26058</v>
      </c>
      <c r="H1243" s="1">
        <v>45483</v>
      </c>
      <c r="I1243" s="1"/>
      <c r="K1243">
        <v>0.6</v>
      </c>
      <c r="L1243" t="s">
        <v>15</v>
      </c>
      <c r="M1243" t="s">
        <v>1953</v>
      </c>
      <c r="N1243" t="s">
        <v>1887</v>
      </c>
    </row>
    <row r="1244" spans="1:14" x14ac:dyDescent="0.35">
      <c r="A1244" t="s">
        <v>3168</v>
      </c>
      <c r="B1244" t="s">
        <v>1963</v>
      </c>
      <c r="C1244" t="s">
        <v>419</v>
      </c>
      <c r="D1244" t="s">
        <v>1915</v>
      </c>
      <c r="E1244" t="s">
        <v>1905</v>
      </c>
      <c r="F1244" t="s">
        <v>1895</v>
      </c>
      <c r="G1244">
        <v>347860</v>
      </c>
      <c r="H1244" s="1">
        <v>45403</v>
      </c>
      <c r="I1244" s="1"/>
      <c r="K1244">
        <v>7.1</v>
      </c>
      <c r="L1244" t="s">
        <v>15</v>
      </c>
      <c r="M1244" t="s">
        <v>1935</v>
      </c>
      <c r="N1244" t="s">
        <v>1887</v>
      </c>
    </row>
    <row r="1245" spans="1:14" x14ac:dyDescent="0.35">
      <c r="A1245" t="s">
        <v>3169</v>
      </c>
      <c r="B1245" t="s">
        <v>1882</v>
      </c>
      <c r="C1245" t="s">
        <v>249</v>
      </c>
      <c r="D1245" t="s">
        <v>1883</v>
      </c>
      <c r="E1245" t="s">
        <v>1587</v>
      </c>
      <c r="F1245" t="s">
        <v>1908</v>
      </c>
      <c r="G1245">
        <v>481271</v>
      </c>
      <c r="H1245" s="1">
        <v>45053</v>
      </c>
      <c r="I1245" s="1"/>
      <c r="K1245">
        <v>12.5</v>
      </c>
      <c r="L1245" t="s">
        <v>30</v>
      </c>
      <c r="M1245" t="s">
        <v>1893</v>
      </c>
      <c r="N1245" t="s">
        <v>1887</v>
      </c>
    </row>
    <row r="1246" spans="1:14" x14ac:dyDescent="0.35">
      <c r="A1246" t="s">
        <v>3170</v>
      </c>
      <c r="B1246" t="s">
        <v>1926</v>
      </c>
      <c r="C1246" t="s">
        <v>351</v>
      </c>
      <c r="D1246" t="s">
        <v>1915</v>
      </c>
      <c r="E1246" t="s">
        <v>1918</v>
      </c>
      <c r="F1246" t="s">
        <v>1900</v>
      </c>
      <c r="G1246">
        <v>217886</v>
      </c>
      <c r="H1246" s="1">
        <v>45728</v>
      </c>
      <c r="I1246" s="1">
        <v>45906</v>
      </c>
      <c r="J1246">
        <v>178</v>
      </c>
      <c r="K1246">
        <v>23.1</v>
      </c>
      <c r="L1246" t="s">
        <v>15</v>
      </c>
      <c r="M1246" t="s">
        <v>1912</v>
      </c>
      <c r="N1246" t="s">
        <v>1887</v>
      </c>
    </row>
    <row r="1247" spans="1:14" x14ac:dyDescent="0.35">
      <c r="A1247" t="s">
        <v>3171</v>
      </c>
      <c r="B1247" t="s">
        <v>1924</v>
      </c>
      <c r="C1247" t="s">
        <v>483</v>
      </c>
      <c r="D1247" t="s">
        <v>1890</v>
      </c>
      <c r="E1247" t="s">
        <v>1587</v>
      </c>
      <c r="F1247" t="s">
        <v>1900</v>
      </c>
      <c r="G1247">
        <v>326010</v>
      </c>
      <c r="H1247" s="1">
        <v>45507</v>
      </c>
      <c r="I1247" s="1">
        <v>45685</v>
      </c>
      <c r="J1247">
        <v>178</v>
      </c>
      <c r="K1247">
        <v>7.5</v>
      </c>
      <c r="L1247" t="s">
        <v>15</v>
      </c>
      <c r="M1247" t="s">
        <v>1953</v>
      </c>
      <c r="N1247" t="s">
        <v>1887</v>
      </c>
    </row>
    <row r="1248" spans="1:14" x14ac:dyDescent="0.35">
      <c r="A1248" t="s">
        <v>3172</v>
      </c>
      <c r="B1248" t="s">
        <v>1937</v>
      </c>
      <c r="C1248" t="s">
        <v>434</v>
      </c>
      <c r="D1248" t="s">
        <v>1915</v>
      </c>
      <c r="E1248" t="s">
        <v>1931</v>
      </c>
      <c r="F1248" t="s">
        <v>1885</v>
      </c>
      <c r="G1248">
        <v>258905</v>
      </c>
      <c r="H1248" s="1">
        <v>45280</v>
      </c>
      <c r="I1248" s="1">
        <v>45309</v>
      </c>
      <c r="J1248">
        <v>29</v>
      </c>
      <c r="K1248">
        <v>7.4</v>
      </c>
      <c r="L1248" t="s">
        <v>15</v>
      </c>
      <c r="M1248" t="s">
        <v>1886</v>
      </c>
      <c r="N1248" t="s">
        <v>1887</v>
      </c>
    </row>
    <row r="1249" spans="1:14" x14ac:dyDescent="0.35">
      <c r="A1249" t="s">
        <v>3173</v>
      </c>
      <c r="B1249" t="s">
        <v>1889</v>
      </c>
      <c r="C1249" t="s">
        <v>243</v>
      </c>
      <c r="D1249" t="s">
        <v>1927</v>
      </c>
      <c r="E1249" t="s">
        <v>1905</v>
      </c>
      <c r="F1249" t="s">
        <v>1892</v>
      </c>
      <c r="G1249">
        <v>325381</v>
      </c>
      <c r="H1249" s="1">
        <v>44946</v>
      </c>
      <c r="I1249" s="1"/>
      <c r="K1249">
        <v>13.6</v>
      </c>
      <c r="L1249" t="s">
        <v>30</v>
      </c>
      <c r="M1249" t="s">
        <v>1896</v>
      </c>
      <c r="N1249" t="s">
        <v>1887</v>
      </c>
    </row>
    <row r="1250" spans="1:14" x14ac:dyDescent="0.35">
      <c r="A1250" t="s">
        <v>3174</v>
      </c>
      <c r="B1250" t="s">
        <v>1898</v>
      </c>
      <c r="C1250" t="s">
        <v>344</v>
      </c>
      <c r="D1250" t="s">
        <v>1904</v>
      </c>
      <c r="E1250" t="s">
        <v>1678</v>
      </c>
      <c r="F1250" t="s">
        <v>1908</v>
      </c>
      <c r="G1250">
        <v>378192</v>
      </c>
      <c r="H1250" s="1">
        <v>45462</v>
      </c>
      <c r="I1250" s="1"/>
      <c r="L1250" t="s">
        <v>30</v>
      </c>
      <c r="M1250" t="s">
        <v>1935</v>
      </c>
      <c r="N1250" t="s">
        <v>1887</v>
      </c>
    </row>
    <row r="1251" spans="1:14" x14ac:dyDescent="0.35">
      <c r="A1251" t="s">
        <v>3175</v>
      </c>
      <c r="B1251" t="s">
        <v>1926</v>
      </c>
      <c r="C1251" t="s">
        <v>386</v>
      </c>
      <c r="D1251" t="s">
        <v>1890</v>
      </c>
      <c r="E1251" t="s">
        <v>1600</v>
      </c>
      <c r="F1251" t="s">
        <v>1900</v>
      </c>
      <c r="G1251">
        <v>350612</v>
      </c>
      <c r="H1251" s="1">
        <v>44987</v>
      </c>
      <c r="I1251" s="1">
        <v>45101</v>
      </c>
      <c r="J1251">
        <v>114</v>
      </c>
      <c r="K1251">
        <v>20.8</v>
      </c>
      <c r="L1251" t="s">
        <v>47</v>
      </c>
      <c r="M1251" t="s">
        <v>1896</v>
      </c>
      <c r="N1251" t="s">
        <v>1887</v>
      </c>
    </row>
    <row r="1252" spans="1:14" x14ac:dyDescent="0.35">
      <c r="A1252" t="s">
        <v>3176</v>
      </c>
      <c r="B1252" t="s">
        <v>1907</v>
      </c>
      <c r="C1252" t="s">
        <v>480</v>
      </c>
      <c r="D1252" t="s">
        <v>1904</v>
      </c>
      <c r="E1252" t="s">
        <v>1931</v>
      </c>
      <c r="F1252" t="s">
        <v>1908</v>
      </c>
      <c r="G1252">
        <v>365456</v>
      </c>
      <c r="H1252" s="1">
        <v>45636</v>
      </c>
      <c r="I1252" s="1"/>
      <c r="K1252">
        <v>10.199999999999999</v>
      </c>
      <c r="L1252" t="s">
        <v>30</v>
      </c>
      <c r="M1252" t="s">
        <v>1901</v>
      </c>
      <c r="N1252" t="s">
        <v>1887</v>
      </c>
    </row>
    <row r="1253" spans="1:14" x14ac:dyDescent="0.35">
      <c r="A1253" t="s">
        <v>3177</v>
      </c>
      <c r="B1253" t="s">
        <v>1924</v>
      </c>
      <c r="C1253" t="s">
        <v>38</v>
      </c>
      <c r="D1253" t="s">
        <v>1899</v>
      </c>
      <c r="E1253" t="s">
        <v>1891</v>
      </c>
      <c r="F1253" t="s">
        <v>1895</v>
      </c>
      <c r="G1253">
        <v>352125</v>
      </c>
      <c r="H1253" s="1">
        <v>45113</v>
      </c>
      <c r="I1253" s="1"/>
      <c r="K1253">
        <v>6.8</v>
      </c>
      <c r="L1253" t="s">
        <v>15</v>
      </c>
      <c r="M1253" t="s">
        <v>1932</v>
      </c>
      <c r="N1253" t="s">
        <v>1887</v>
      </c>
    </row>
    <row r="1254" spans="1:14" x14ac:dyDescent="0.35">
      <c r="A1254" t="s">
        <v>3178</v>
      </c>
      <c r="B1254" t="s">
        <v>1911</v>
      </c>
      <c r="C1254" t="s">
        <v>242</v>
      </c>
      <c r="D1254" t="s">
        <v>1890</v>
      </c>
      <c r="E1254" t="s">
        <v>1931</v>
      </c>
      <c r="F1254" t="s">
        <v>1895</v>
      </c>
      <c r="G1254">
        <v>227514</v>
      </c>
      <c r="H1254" s="1">
        <v>45356</v>
      </c>
      <c r="I1254" s="1"/>
      <c r="K1254">
        <v>2.6</v>
      </c>
      <c r="L1254" t="s">
        <v>15</v>
      </c>
      <c r="M1254" t="s">
        <v>1916</v>
      </c>
      <c r="N1254" t="s">
        <v>1887</v>
      </c>
    </row>
    <row r="1255" spans="1:14" x14ac:dyDescent="0.35">
      <c r="A1255" t="s">
        <v>3179</v>
      </c>
      <c r="B1255" t="s">
        <v>1926</v>
      </c>
      <c r="C1255" t="s">
        <v>310</v>
      </c>
      <c r="D1255" t="s">
        <v>1883</v>
      </c>
      <c r="E1255" t="s">
        <v>1600</v>
      </c>
      <c r="F1255" t="s">
        <v>1885</v>
      </c>
      <c r="G1255">
        <v>278799</v>
      </c>
      <c r="H1255" s="1">
        <v>44989</v>
      </c>
      <c r="I1255" s="1">
        <v>45048</v>
      </c>
      <c r="J1255">
        <v>59</v>
      </c>
      <c r="K1255">
        <v>10.4</v>
      </c>
      <c r="L1255" t="s">
        <v>15</v>
      </c>
      <c r="M1255" t="s">
        <v>1896</v>
      </c>
      <c r="N1255" t="s">
        <v>1887</v>
      </c>
    </row>
    <row r="1256" spans="1:14" x14ac:dyDescent="0.35">
      <c r="A1256" t="s">
        <v>3180</v>
      </c>
      <c r="B1256" t="s">
        <v>1911</v>
      </c>
      <c r="C1256" t="s">
        <v>193</v>
      </c>
      <c r="D1256" t="s">
        <v>1883</v>
      </c>
      <c r="E1256" t="s">
        <v>1884</v>
      </c>
      <c r="F1256" t="s">
        <v>1908</v>
      </c>
      <c r="G1256">
        <v>363178</v>
      </c>
      <c r="H1256" s="1">
        <v>45329</v>
      </c>
      <c r="I1256" s="1"/>
      <c r="K1256">
        <v>14.6</v>
      </c>
      <c r="L1256" t="s">
        <v>47</v>
      </c>
      <c r="M1256" t="s">
        <v>1916</v>
      </c>
      <c r="N1256" t="s">
        <v>1887</v>
      </c>
    </row>
    <row r="1257" spans="1:14" x14ac:dyDescent="0.35">
      <c r="A1257" t="s">
        <v>3181</v>
      </c>
      <c r="B1257" t="s">
        <v>1934</v>
      </c>
      <c r="C1257" t="s">
        <v>284</v>
      </c>
      <c r="D1257" t="s">
        <v>1890</v>
      </c>
      <c r="E1257" t="s">
        <v>1600</v>
      </c>
      <c r="F1257" t="s">
        <v>1892</v>
      </c>
      <c r="G1257">
        <v>53715</v>
      </c>
      <c r="H1257" s="1">
        <v>45042</v>
      </c>
      <c r="I1257" s="1"/>
      <c r="K1257">
        <v>5.2</v>
      </c>
      <c r="L1257" t="s">
        <v>30</v>
      </c>
      <c r="M1257" t="s">
        <v>1893</v>
      </c>
      <c r="N1257" t="s">
        <v>1887</v>
      </c>
    </row>
    <row r="1258" spans="1:14" x14ac:dyDescent="0.35">
      <c r="A1258" t="s">
        <v>3182</v>
      </c>
      <c r="B1258" t="s">
        <v>1926</v>
      </c>
      <c r="C1258" t="s">
        <v>114</v>
      </c>
      <c r="D1258" t="s">
        <v>1899</v>
      </c>
      <c r="E1258" t="s">
        <v>1918</v>
      </c>
      <c r="F1258" t="s">
        <v>1892</v>
      </c>
      <c r="G1258">
        <v>353510</v>
      </c>
      <c r="H1258" s="1">
        <v>45488</v>
      </c>
      <c r="I1258" s="1"/>
      <c r="L1258" t="s">
        <v>47</v>
      </c>
      <c r="M1258" t="s">
        <v>1953</v>
      </c>
      <c r="N1258" t="s">
        <v>1887</v>
      </c>
    </row>
    <row r="1259" spans="1:14" x14ac:dyDescent="0.35">
      <c r="A1259" t="s">
        <v>3183</v>
      </c>
      <c r="B1259" t="s">
        <v>1944</v>
      </c>
      <c r="C1259" t="s">
        <v>465</v>
      </c>
      <c r="D1259" t="s">
        <v>1904</v>
      </c>
      <c r="E1259" t="s">
        <v>1931</v>
      </c>
      <c r="F1259" t="s">
        <v>1908</v>
      </c>
      <c r="G1259">
        <v>23067</v>
      </c>
      <c r="H1259" s="1">
        <v>45438</v>
      </c>
      <c r="I1259" s="1"/>
      <c r="K1259">
        <v>11.5</v>
      </c>
      <c r="L1259" t="s">
        <v>21</v>
      </c>
      <c r="M1259" t="s">
        <v>1935</v>
      </c>
      <c r="N1259" t="s">
        <v>1887</v>
      </c>
    </row>
    <row r="1260" spans="1:14" x14ac:dyDescent="0.35">
      <c r="A1260" t="s">
        <v>3184</v>
      </c>
      <c r="B1260" t="s">
        <v>1914</v>
      </c>
      <c r="C1260" t="s">
        <v>365</v>
      </c>
      <c r="D1260" t="s">
        <v>1927</v>
      </c>
      <c r="E1260" t="s">
        <v>1905</v>
      </c>
      <c r="F1260" t="s">
        <v>1946</v>
      </c>
      <c r="G1260">
        <v>146979</v>
      </c>
      <c r="H1260" s="1">
        <v>44990</v>
      </c>
      <c r="I1260" s="1"/>
      <c r="L1260" t="s">
        <v>21</v>
      </c>
      <c r="M1260" t="s">
        <v>1896</v>
      </c>
      <c r="N1260" t="s">
        <v>1887</v>
      </c>
    </row>
    <row r="1261" spans="1:14" x14ac:dyDescent="0.35">
      <c r="A1261" t="s">
        <v>3185</v>
      </c>
      <c r="B1261" t="s">
        <v>1934</v>
      </c>
      <c r="C1261" t="s">
        <v>263</v>
      </c>
      <c r="D1261" t="s">
        <v>1899</v>
      </c>
      <c r="E1261" t="s">
        <v>1600</v>
      </c>
      <c r="F1261" t="s">
        <v>1900</v>
      </c>
      <c r="G1261">
        <v>461943</v>
      </c>
      <c r="H1261" s="1">
        <v>45013</v>
      </c>
      <c r="I1261" s="1">
        <v>45065</v>
      </c>
      <c r="J1261">
        <v>52</v>
      </c>
      <c r="K1261">
        <v>20.5</v>
      </c>
      <c r="L1261" t="s">
        <v>30</v>
      </c>
      <c r="M1261" t="s">
        <v>1896</v>
      </c>
      <c r="N1261" t="s">
        <v>1887</v>
      </c>
    </row>
    <row r="1262" spans="1:14" x14ac:dyDescent="0.35">
      <c r="A1262" t="s">
        <v>3186</v>
      </c>
      <c r="B1262" t="s">
        <v>1930</v>
      </c>
      <c r="C1262" t="s">
        <v>116</v>
      </c>
      <c r="D1262" t="s">
        <v>1915</v>
      </c>
      <c r="E1262" t="s">
        <v>1884</v>
      </c>
      <c r="F1262" t="s">
        <v>1946</v>
      </c>
      <c r="G1262">
        <v>371623</v>
      </c>
      <c r="H1262" s="1">
        <v>45590</v>
      </c>
      <c r="I1262" s="1"/>
      <c r="K1262">
        <v>8.6999999999999993</v>
      </c>
      <c r="L1262" t="s">
        <v>30</v>
      </c>
      <c r="M1262" t="s">
        <v>1901</v>
      </c>
      <c r="N1262" t="s">
        <v>1887</v>
      </c>
    </row>
    <row r="1263" spans="1:14" x14ac:dyDescent="0.35">
      <c r="A1263" t="s">
        <v>3187</v>
      </c>
      <c r="B1263" t="s">
        <v>1920</v>
      </c>
      <c r="C1263" t="s">
        <v>484</v>
      </c>
      <c r="D1263" t="s">
        <v>1915</v>
      </c>
      <c r="E1263" t="s">
        <v>1891</v>
      </c>
      <c r="F1263" t="s">
        <v>1900</v>
      </c>
      <c r="G1263">
        <v>18488</v>
      </c>
      <c r="H1263" s="1">
        <v>45241</v>
      </c>
      <c r="I1263" s="1">
        <v>45384</v>
      </c>
      <c r="J1263">
        <v>143</v>
      </c>
      <c r="K1263">
        <v>3.1</v>
      </c>
      <c r="L1263" t="s">
        <v>30</v>
      </c>
      <c r="M1263" t="s">
        <v>1886</v>
      </c>
      <c r="N1263" t="s">
        <v>1887</v>
      </c>
    </row>
    <row r="1264" spans="1:14" x14ac:dyDescent="0.35">
      <c r="A1264" t="s">
        <v>3188</v>
      </c>
      <c r="B1264" t="s">
        <v>1920</v>
      </c>
      <c r="C1264" t="s">
        <v>214</v>
      </c>
      <c r="D1264" t="s">
        <v>1904</v>
      </c>
      <c r="E1264" t="s">
        <v>1587</v>
      </c>
      <c r="F1264" t="s">
        <v>1900</v>
      </c>
      <c r="G1264">
        <v>326336</v>
      </c>
      <c r="H1264" s="1">
        <v>45118</v>
      </c>
      <c r="I1264" s="1">
        <v>45183</v>
      </c>
      <c r="J1264">
        <v>65</v>
      </c>
      <c r="K1264">
        <v>24.1</v>
      </c>
      <c r="L1264" t="s">
        <v>21</v>
      </c>
      <c r="M1264" t="s">
        <v>1932</v>
      </c>
      <c r="N1264" t="s">
        <v>1887</v>
      </c>
    </row>
    <row r="1265" spans="1:14" x14ac:dyDescent="0.35">
      <c r="A1265" t="s">
        <v>3189</v>
      </c>
      <c r="B1265" t="s">
        <v>1914</v>
      </c>
      <c r="C1265" t="s">
        <v>461</v>
      </c>
      <c r="D1265" t="s">
        <v>1927</v>
      </c>
      <c r="E1265" t="s">
        <v>1587</v>
      </c>
      <c r="F1265" t="s">
        <v>1885</v>
      </c>
      <c r="G1265">
        <v>17811</v>
      </c>
      <c r="H1265" s="1">
        <v>45182</v>
      </c>
      <c r="I1265" s="1">
        <v>45211</v>
      </c>
      <c r="J1265">
        <v>29</v>
      </c>
      <c r="L1265" t="s">
        <v>47</v>
      </c>
      <c r="M1265" t="s">
        <v>1932</v>
      </c>
      <c r="N1265" t="s">
        <v>1887</v>
      </c>
    </row>
    <row r="1266" spans="1:14" x14ac:dyDescent="0.35">
      <c r="A1266" t="s">
        <v>3190</v>
      </c>
      <c r="B1266" t="s">
        <v>1924</v>
      </c>
      <c r="C1266" t="s">
        <v>319</v>
      </c>
      <c r="D1266" t="s">
        <v>1883</v>
      </c>
      <c r="E1266" t="s">
        <v>1918</v>
      </c>
      <c r="F1266" t="s">
        <v>1885</v>
      </c>
      <c r="G1266">
        <v>228320</v>
      </c>
      <c r="H1266" s="1">
        <v>45430</v>
      </c>
      <c r="I1266" s="1">
        <v>45584</v>
      </c>
      <c r="J1266">
        <v>154</v>
      </c>
      <c r="K1266">
        <v>4.8</v>
      </c>
      <c r="L1266" t="s">
        <v>15</v>
      </c>
      <c r="M1266" t="s">
        <v>1935</v>
      </c>
      <c r="N1266" t="s">
        <v>1887</v>
      </c>
    </row>
    <row r="1267" spans="1:14" x14ac:dyDescent="0.35">
      <c r="A1267" t="s">
        <v>3191</v>
      </c>
      <c r="B1267" t="s">
        <v>1882</v>
      </c>
      <c r="C1267" t="s">
        <v>314</v>
      </c>
      <c r="D1267" t="s">
        <v>1904</v>
      </c>
      <c r="E1267" t="s">
        <v>1931</v>
      </c>
      <c r="F1267" t="s">
        <v>1900</v>
      </c>
      <c r="G1267">
        <v>460186</v>
      </c>
      <c r="H1267" s="1">
        <v>44929</v>
      </c>
      <c r="I1267" s="1">
        <v>45040</v>
      </c>
      <c r="J1267">
        <v>111</v>
      </c>
      <c r="K1267">
        <v>4.4000000000000004</v>
      </c>
      <c r="L1267" t="s">
        <v>15</v>
      </c>
      <c r="M1267" t="s">
        <v>1896</v>
      </c>
      <c r="N1267" t="s">
        <v>1887</v>
      </c>
    </row>
    <row r="1268" spans="1:14" x14ac:dyDescent="0.35">
      <c r="A1268" t="s">
        <v>3192</v>
      </c>
      <c r="B1268" t="s">
        <v>1922</v>
      </c>
      <c r="C1268" t="s">
        <v>402</v>
      </c>
      <c r="D1268" t="s">
        <v>1915</v>
      </c>
      <c r="E1268" t="s">
        <v>1678</v>
      </c>
      <c r="F1268" t="s">
        <v>1900</v>
      </c>
      <c r="G1268">
        <v>274107</v>
      </c>
      <c r="H1268" s="1">
        <v>45374</v>
      </c>
      <c r="I1268" s="1">
        <v>45424</v>
      </c>
      <c r="J1268">
        <v>50</v>
      </c>
      <c r="K1268">
        <v>3.7</v>
      </c>
      <c r="L1268" t="s">
        <v>21</v>
      </c>
      <c r="M1268" t="s">
        <v>1916</v>
      </c>
      <c r="N1268" t="s">
        <v>1887</v>
      </c>
    </row>
    <row r="1269" spans="1:14" x14ac:dyDescent="0.35">
      <c r="A1269" t="s">
        <v>3193</v>
      </c>
      <c r="B1269" t="s">
        <v>1963</v>
      </c>
      <c r="C1269" t="s">
        <v>341</v>
      </c>
      <c r="D1269" t="s">
        <v>1883</v>
      </c>
      <c r="E1269" t="s">
        <v>1678</v>
      </c>
      <c r="F1269" t="s">
        <v>1885</v>
      </c>
      <c r="G1269">
        <v>352780</v>
      </c>
      <c r="H1269" s="1">
        <v>45691</v>
      </c>
      <c r="I1269" s="1">
        <v>45767</v>
      </c>
      <c r="J1269">
        <v>76</v>
      </c>
      <c r="K1269">
        <v>0.8</v>
      </c>
      <c r="L1269" t="s">
        <v>30</v>
      </c>
      <c r="M1269" t="s">
        <v>1912</v>
      </c>
      <c r="N1269" t="s">
        <v>1887</v>
      </c>
    </row>
    <row r="1270" spans="1:14" x14ac:dyDescent="0.35">
      <c r="A1270" t="s">
        <v>3194</v>
      </c>
      <c r="B1270" t="s">
        <v>1937</v>
      </c>
      <c r="C1270" t="s">
        <v>293</v>
      </c>
      <c r="D1270" t="s">
        <v>1890</v>
      </c>
      <c r="E1270" t="s">
        <v>1905</v>
      </c>
      <c r="F1270" t="s">
        <v>1900</v>
      </c>
      <c r="G1270">
        <v>185416</v>
      </c>
      <c r="H1270" s="1">
        <v>45249</v>
      </c>
      <c r="I1270" s="1">
        <v>45294</v>
      </c>
      <c r="J1270">
        <v>45</v>
      </c>
      <c r="K1270">
        <v>22.8</v>
      </c>
      <c r="L1270" t="s">
        <v>30</v>
      </c>
      <c r="M1270" t="s">
        <v>1886</v>
      </c>
      <c r="N1270" t="s">
        <v>1887</v>
      </c>
    </row>
    <row r="1271" spans="1:14" x14ac:dyDescent="0.35">
      <c r="A1271" t="s">
        <v>3195</v>
      </c>
      <c r="B1271" t="s">
        <v>1914</v>
      </c>
      <c r="C1271" t="s">
        <v>434</v>
      </c>
      <c r="D1271" t="s">
        <v>1915</v>
      </c>
      <c r="E1271" t="s">
        <v>1905</v>
      </c>
      <c r="F1271" t="s">
        <v>1900</v>
      </c>
      <c r="G1271">
        <v>238173</v>
      </c>
      <c r="H1271" s="1">
        <v>45188</v>
      </c>
      <c r="I1271" s="1">
        <v>45268</v>
      </c>
      <c r="J1271">
        <v>80</v>
      </c>
      <c r="K1271">
        <v>23</v>
      </c>
      <c r="L1271" t="s">
        <v>47</v>
      </c>
      <c r="M1271" t="s">
        <v>1932</v>
      </c>
      <c r="N1271" t="s">
        <v>1887</v>
      </c>
    </row>
    <row r="1272" spans="1:14" x14ac:dyDescent="0.35">
      <c r="A1272" t="s">
        <v>3196</v>
      </c>
      <c r="B1272" t="s">
        <v>1882</v>
      </c>
      <c r="C1272" t="s">
        <v>263</v>
      </c>
      <c r="D1272" t="s">
        <v>1927</v>
      </c>
      <c r="E1272" t="s">
        <v>1884</v>
      </c>
      <c r="F1272" t="s">
        <v>1885</v>
      </c>
      <c r="G1272">
        <v>194972</v>
      </c>
      <c r="H1272" s="1">
        <v>45086</v>
      </c>
      <c r="I1272" s="1">
        <v>45174</v>
      </c>
      <c r="J1272">
        <v>88</v>
      </c>
      <c r="L1272" t="s">
        <v>15</v>
      </c>
      <c r="M1272" t="s">
        <v>1893</v>
      </c>
      <c r="N1272" t="s">
        <v>1887</v>
      </c>
    </row>
    <row r="1273" spans="1:14" x14ac:dyDescent="0.35">
      <c r="A1273" t="s">
        <v>3197</v>
      </c>
      <c r="B1273" t="s">
        <v>1934</v>
      </c>
      <c r="C1273" t="s">
        <v>260</v>
      </c>
      <c r="D1273" t="s">
        <v>1890</v>
      </c>
      <c r="E1273" t="s">
        <v>1905</v>
      </c>
      <c r="F1273" t="s">
        <v>1900</v>
      </c>
      <c r="G1273">
        <v>394486</v>
      </c>
      <c r="H1273" s="1">
        <v>44981</v>
      </c>
      <c r="I1273" s="1">
        <v>44997</v>
      </c>
      <c r="J1273">
        <v>16</v>
      </c>
      <c r="K1273">
        <v>14.6</v>
      </c>
      <c r="L1273" t="s">
        <v>15</v>
      </c>
      <c r="M1273" t="s">
        <v>1896</v>
      </c>
      <c r="N1273" t="s">
        <v>1887</v>
      </c>
    </row>
    <row r="1274" spans="1:14" x14ac:dyDescent="0.35">
      <c r="A1274" t="s">
        <v>3198</v>
      </c>
      <c r="B1274" t="s">
        <v>1937</v>
      </c>
      <c r="C1274" t="s">
        <v>326</v>
      </c>
      <c r="D1274" t="s">
        <v>1904</v>
      </c>
      <c r="E1274" t="s">
        <v>1600</v>
      </c>
      <c r="F1274" t="s">
        <v>1908</v>
      </c>
      <c r="G1274">
        <v>102327</v>
      </c>
      <c r="H1274" s="1">
        <v>45313</v>
      </c>
      <c r="I1274" s="1"/>
      <c r="L1274" t="s">
        <v>47</v>
      </c>
      <c r="M1274" t="s">
        <v>1916</v>
      </c>
      <c r="N1274" t="s">
        <v>1887</v>
      </c>
    </row>
    <row r="1275" spans="1:14" x14ac:dyDescent="0.35">
      <c r="A1275" t="s">
        <v>3199</v>
      </c>
      <c r="B1275" t="s">
        <v>1922</v>
      </c>
      <c r="C1275" t="s">
        <v>382</v>
      </c>
      <c r="D1275" t="s">
        <v>1915</v>
      </c>
      <c r="E1275" t="s">
        <v>1931</v>
      </c>
      <c r="F1275" t="s">
        <v>1885</v>
      </c>
      <c r="G1275">
        <v>441592</v>
      </c>
      <c r="H1275" s="1">
        <v>45430</v>
      </c>
      <c r="I1275" s="1">
        <v>45565</v>
      </c>
      <c r="J1275">
        <v>135</v>
      </c>
      <c r="K1275">
        <v>13.9</v>
      </c>
      <c r="L1275" t="s">
        <v>30</v>
      </c>
      <c r="M1275" t="s">
        <v>1935</v>
      </c>
      <c r="N1275" t="s">
        <v>1887</v>
      </c>
    </row>
    <row r="1276" spans="1:14" x14ac:dyDescent="0.35">
      <c r="A1276" t="s">
        <v>3200</v>
      </c>
      <c r="B1276" t="s">
        <v>1889</v>
      </c>
      <c r="C1276" t="s">
        <v>461</v>
      </c>
      <c r="D1276" t="s">
        <v>1883</v>
      </c>
      <c r="E1276" t="s">
        <v>1884</v>
      </c>
      <c r="F1276" t="s">
        <v>1885</v>
      </c>
      <c r="G1276">
        <v>490145</v>
      </c>
      <c r="H1276" s="1">
        <v>45347</v>
      </c>
      <c r="I1276" s="1">
        <v>45432</v>
      </c>
      <c r="J1276">
        <v>85</v>
      </c>
      <c r="L1276" t="s">
        <v>15</v>
      </c>
      <c r="M1276" t="s">
        <v>1916</v>
      </c>
      <c r="N1276" t="s">
        <v>1887</v>
      </c>
    </row>
    <row r="1277" spans="1:14" x14ac:dyDescent="0.35">
      <c r="A1277" t="s">
        <v>3201</v>
      </c>
      <c r="B1277" t="s">
        <v>1924</v>
      </c>
      <c r="C1277" t="s">
        <v>120</v>
      </c>
      <c r="D1277" t="s">
        <v>1890</v>
      </c>
      <c r="E1277" t="s">
        <v>1931</v>
      </c>
      <c r="F1277" t="s">
        <v>1895</v>
      </c>
      <c r="G1277">
        <v>349072</v>
      </c>
      <c r="H1277" s="1">
        <v>45729</v>
      </c>
      <c r="I1277" s="1"/>
      <c r="K1277">
        <v>13.9</v>
      </c>
      <c r="L1277" t="s">
        <v>15</v>
      </c>
      <c r="M1277" t="s">
        <v>1912</v>
      </c>
      <c r="N1277" t="s">
        <v>1887</v>
      </c>
    </row>
    <row r="1278" spans="1:14" x14ac:dyDescent="0.35">
      <c r="A1278" t="s">
        <v>3202</v>
      </c>
      <c r="B1278" t="s">
        <v>1911</v>
      </c>
      <c r="C1278" t="s">
        <v>124</v>
      </c>
      <c r="D1278" t="s">
        <v>1904</v>
      </c>
      <c r="E1278" t="s">
        <v>1587</v>
      </c>
      <c r="F1278" t="s">
        <v>1895</v>
      </c>
      <c r="G1278">
        <v>451171</v>
      </c>
      <c r="H1278" s="1">
        <v>45699</v>
      </c>
      <c r="I1278" s="1"/>
      <c r="K1278">
        <v>8.1</v>
      </c>
      <c r="L1278" t="s">
        <v>21</v>
      </c>
      <c r="M1278" t="s">
        <v>1912</v>
      </c>
      <c r="N1278" t="s">
        <v>1887</v>
      </c>
    </row>
    <row r="1279" spans="1:14" x14ac:dyDescent="0.35">
      <c r="A1279" t="s">
        <v>3203</v>
      </c>
      <c r="B1279" t="s">
        <v>1924</v>
      </c>
      <c r="C1279" t="s">
        <v>411</v>
      </c>
      <c r="D1279" t="s">
        <v>1890</v>
      </c>
      <c r="E1279" t="s">
        <v>1931</v>
      </c>
      <c r="F1279" t="s">
        <v>1900</v>
      </c>
      <c r="G1279">
        <v>64331</v>
      </c>
      <c r="H1279" s="1">
        <v>45730</v>
      </c>
      <c r="I1279" s="1">
        <v>45817</v>
      </c>
      <c r="J1279">
        <v>87</v>
      </c>
      <c r="K1279">
        <v>2.2999999999999998</v>
      </c>
      <c r="L1279" t="s">
        <v>47</v>
      </c>
      <c r="M1279" t="s">
        <v>1912</v>
      </c>
      <c r="N1279" t="s">
        <v>1887</v>
      </c>
    </row>
    <row r="1280" spans="1:14" x14ac:dyDescent="0.35">
      <c r="A1280" t="s">
        <v>3204</v>
      </c>
      <c r="B1280" t="s">
        <v>1934</v>
      </c>
      <c r="C1280" t="s">
        <v>128</v>
      </c>
      <c r="D1280" t="s">
        <v>1904</v>
      </c>
      <c r="E1280" t="s">
        <v>1891</v>
      </c>
      <c r="F1280" t="s">
        <v>1900</v>
      </c>
      <c r="G1280">
        <v>403701</v>
      </c>
      <c r="H1280" s="1">
        <v>45452</v>
      </c>
      <c r="I1280" s="1">
        <v>45619</v>
      </c>
      <c r="J1280">
        <v>167</v>
      </c>
      <c r="K1280">
        <v>24.8</v>
      </c>
      <c r="L1280" t="s">
        <v>30</v>
      </c>
      <c r="M1280" t="s">
        <v>1935</v>
      </c>
      <c r="N1280" t="s">
        <v>1887</v>
      </c>
    </row>
    <row r="1281" spans="1:14" x14ac:dyDescent="0.35">
      <c r="A1281" t="s">
        <v>3205</v>
      </c>
      <c r="B1281" t="s">
        <v>1934</v>
      </c>
      <c r="C1281" t="s">
        <v>398</v>
      </c>
      <c r="D1281" t="s">
        <v>1890</v>
      </c>
      <c r="E1281" t="s">
        <v>1931</v>
      </c>
      <c r="F1281" t="s">
        <v>1946</v>
      </c>
      <c r="G1281">
        <v>145408</v>
      </c>
      <c r="H1281" s="1">
        <v>45416</v>
      </c>
      <c r="I1281" s="1"/>
      <c r="K1281">
        <v>3</v>
      </c>
      <c r="L1281" t="s">
        <v>21</v>
      </c>
      <c r="M1281" t="s">
        <v>1935</v>
      </c>
      <c r="N1281" t="s">
        <v>1887</v>
      </c>
    </row>
    <row r="1282" spans="1:14" x14ac:dyDescent="0.35">
      <c r="A1282" t="s">
        <v>3206</v>
      </c>
      <c r="B1282" t="s">
        <v>1920</v>
      </c>
      <c r="C1282" t="s">
        <v>471</v>
      </c>
      <c r="D1282" t="s">
        <v>1915</v>
      </c>
      <c r="E1282" t="s">
        <v>1945</v>
      </c>
      <c r="F1282" t="s">
        <v>1900</v>
      </c>
      <c r="G1282">
        <v>469621</v>
      </c>
      <c r="H1282" s="1">
        <v>45745</v>
      </c>
      <c r="I1282" s="1">
        <v>45767</v>
      </c>
      <c r="J1282">
        <v>22</v>
      </c>
      <c r="K1282">
        <v>5.4</v>
      </c>
      <c r="L1282" t="s">
        <v>21</v>
      </c>
      <c r="M1282" t="s">
        <v>1912</v>
      </c>
      <c r="N1282" t="s">
        <v>1887</v>
      </c>
    </row>
    <row r="1283" spans="1:14" x14ac:dyDescent="0.35">
      <c r="A1283" t="s">
        <v>3207</v>
      </c>
      <c r="B1283" t="s">
        <v>1934</v>
      </c>
      <c r="C1283" t="s">
        <v>108</v>
      </c>
      <c r="D1283" t="s">
        <v>1899</v>
      </c>
      <c r="E1283" t="s">
        <v>1884</v>
      </c>
      <c r="F1283" t="s">
        <v>1885</v>
      </c>
      <c r="G1283">
        <v>76308</v>
      </c>
      <c r="H1283" s="1">
        <v>45278</v>
      </c>
      <c r="I1283" s="1">
        <v>45366</v>
      </c>
      <c r="J1283">
        <v>88</v>
      </c>
      <c r="K1283">
        <v>8</v>
      </c>
      <c r="L1283" t="s">
        <v>21</v>
      </c>
      <c r="M1283" t="s">
        <v>1886</v>
      </c>
      <c r="N1283" t="s">
        <v>1887</v>
      </c>
    </row>
    <row r="1284" spans="1:14" x14ac:dyDescent="0.35">
      <c r="A1284" t="s">
        <v>3208</v>
      </c>
      <c r="B1284" t="s">
        <v>1911</v>
      </c>
      <c r="C1284" t="s">
        <v>426</v>
      </c>
      <c r="D1284" t="s">
        <v>1883</v>
      </c>
      <c r="E1284" t="s">
        <v>1918</v>
      </c>
      <c r="F1284" t="s">
        <v>1908</v>
      </c>
      <c r="G1284">
        <v>81896</v>
      </c>
      <c r="H1284" s="1">
        <v>45460</v>
      </c>
      <c r="I1284" s="1"/>
      <c r="K1284">
        <v>3.5</v>
      </c>
      <c r="L1284" t="s">
        <v>15</v>
      </c>
      <c r="M1284" t="s">
        <v>1935</v>
      </c>
      <c r="N1284" t="s">
        <v>1887</v>
      </c>
    </row>
    <row r="1285" spans="1:14" x14ac:dyDescent="0.35">
      <c r="A1285" t="s">
        <v>3209</v>
      </c>
      <c r="B1285" t="s">
        <v>1882</v>
      </c>
      <c r="C1285" t="s">
        <v>284</v>
      </c>
      <c r="D1285" t="s">
        <v>1899</v>
      </c>
      <c r="E1285" t="s">
        <v>1905</v>
      </c>
      <c r="F1285" t="s">
        <v>1900</v>
      </c>
      <c r="G1285">
        <v>337376</v>
      </c>
      <c r="H1285" s="1">
        <v>45578</v>
      </c>
      <c r="I1285" s="1">
        <v>45635</v>
      </c>
      <c r="J1285">
        <v>57</v>
      </c>
      <c r="K1285">
        <v>2.1</v>
      </c>
      <c r="L1285" t="s">
        <v>47</v>
      </c>
      <c r="M1285" t="s">
        <v>1901</v>
      </c>
      <c r="N1285" t="s">
        <v>1887</v>
      </c>
    </row>
    <row r="1286" spans="1:14" x14ac:dyDescent="0.35">
      <c r="A1286" t="s">
        <v>3210</v>
      </c>
      <c r="B1286" t="s">
        <v>1914</v>
      </c>
      <c r="C1286" t="s">
        <v>360</v>
      </c>
      <c r="D1286" t="s">
        <v>1883</v>
      </c>
      <c r="E1286" t="s">
        <v>1918</v>
      </c>
      <c r="F1286" t="s">
        <v>1895</v>
      </c>
      <c r="G1286">
        <v>410572</v>
      </c>
      <c r="H1286" s="1">
        <v>45088</v>
      </c>
      <c r="I1286" s="1"/>
      <c r="L1286" t="s">
        <v>47</v>
      </c>
      <c r="M1286" t="s">
        <v>1893</v>
      </c>
      <c r="N1286" t="s">
        <v>1887</v>
      </c>
    </row>
    <row r="1287" spans="1:14" x14ac:dyDescent="0.35">
      <c r="A1287" t="s">
        <v>3211</v>
      </c>
      <c r="B1287" t="s">
        <v>1911</v>
      </c>
      <c r="C1287" t="s">
        <v>138</v>
      </c>
      <c r="D1287" t="s">
        <v>1883</v>
      </c>
      <c r="E1287" t="s">
        <v>1600</v>
      </c>
      <c r="F1287" t="s">
        <v>1908</v>
      </c>
      <c r="G1287">
        <v>408536</v>
      </c>
      <c r="H1287" s="1">
        <v>45651</v>
      </c>
      <c r="I1287" s="1"/>
      <c r="L1287" t="s">
        <v>15</v>
      </c>
      <c r="M1287" t="s">
        <v>1901</v>
      </c>
      <c r="N1287" t="s">
        <v>1887</v>
      </c>
    </row>
    <row r="1288" spans="1:14" x14ac:dyDescent="0.35">
      <c r="A1288" t="s">
        <v>3212</v>
      </c>
      <c r="B1288" t="s">
        <v>1898</v>
      </c>
      <c r="C1288" t="s">
        <v>152</v>
      </c>
      <c r="D1288" t="s">
        <v>1883</v>
      </c>
      <c r="E1288" t="s">
        <v>1905</v>
      </c>
      <c r="F1288" t="s">
        <v>1900</v>
      </c>
      <c r="G1288">
        <v>315567</v>
      </c>
      <c r="H1288" s="1">
        <v>45321</v>
      </c>
      <c r="I1288" s="1">
        <v>45369</v>
      </c>
      <c r="J1288">
        <v>48</v>
      </c>
      <c r="K1288">
        <v>2</v>
      </c>
      <c r="L1288" t="s">
        <v>15</v>
      </c>
      <c r="M1288" t="s">
        <v>1916</v>
      </c>
      <c r="N1288" t="s">
        <v>1887</v>
      </c>
    </row>
    <row r="1289" spans="1:14" x14ac:dyDescent="0.35">
      <c r="A1289" t="s">
        <v>3213</v>
      </c>
      <c r="B1289" t="s">
        <v>1922</v>
      </c>
      <c r="C1289" t="s">
        <v>99</v>
      </c>
      <c r="D1289" t="s">
        <v>1904</v>
      </c>
      <c r="E1289" t="s">
        <v>1945</v>
      </c>
      <c r="F1289" t="s">
        <v>1908</v>
      </c>
      <c r="G1289">
        <v>120865</v>
      </c>
      <c r="H1289" s="1">
        <v>45512</v>
      </c>
      <c r="I1289" s="1"/>
      <c r="L1289" t="s">
        <v>21</v>
      </c>
      <c r="M1289" t="s">
        <v>1953</v>
      </c>
      <c r="N1289" t="s">
        <v>1887</v>
      </c>
    </row>
    <row r="1290" spans="1:14" x14ac:dyDescent="0.35">
      <c r="A1290" t="s">
        <v>3214</v>
      </c>
      <c r="B1290" t="s">
        <v>1911</v>
      </c>
      <c r="C1290" t="s">
        <v>480</v>
      </c>
      <c r="D1290" t="s">
        <v>1904</v>
      </c>
      <c r="E1290" t="s">
        <v>1891</v>
      </c>
      <c r="F1290" t="s">
        <v>1885</v>
      </c>
      <c r="G1290">
        <v>171065</v>
      </c>
      <c r="H1290" s="1">
        <v>45686</v>
      </c>
      <c r="I1290" s="1">
        <v>45782</v>
      </c>
      <c r="J1290">
        <v>96</v>
      </c>
      <c r="L1290" t="s">
        <v>15</v>
      </c>
      <c r="M1290" t="s">
        <v>1912</v>
      </c>
      <c r="N1290" t="s">
        <v>1887</v>
      </c>
    </row>
    <row r="1291" spans="1:14" x14ac:dyDescent="0.35">
      <c r="A1291" t="s">
        <v>3215</v>
      </c>
      <c r="B1291" t="s">
        <v>1889</v>
      </c>
      <c r="C1291" t="s">
        <v>421</v>
      </c>
      <c r="D1291" t="s">
        <v>1904</v>
      </c>
      <c r="E1291" t="s">
        <v>1600</v>
      </c>
      <c r="F1291" t="s">
        <v>1885</v>
      </c>
      <c r="G1291">
        <v>330353</v>
      </c>
      <c r="H1291" s="1">
        <v>45665</v>
      </c>
      <c r="I1291" s="1">
        <v>45751</v>
      </c>
      <c r="J1291">
        <v>86</v>
      </c>
      <c r="K1291">
        <v>1.3</v>
      </c>
      <c r="L1291" t="s">
        <v>15</v>
      </c>
      <c r="M1291" t="s">
        <v>1912</v>
      </c>
      <c r="N1291" t="s">
        <v>1887</v>
      </c>
    </row>
    <row r="1292" spans="1:14" x14ac:dyDescent="0.35">
      <c r="A1292" t="s">
        <v>3216</v>
      </c>
      <c r="B1292" t="s">
        <v>1903</v>
      </c>
      <c r="C1292" t="s">
        <v>149</v>
      </c>
      <c r="D1292" t="s">
        <v>1927</v>
      </c>
      <c r="E1292" t="s">
        <v>1891</v>
      </c>
      <c r="F1292" t="s">
        <v>1895</v>
      </c>
      <c r="G1292">
        <v>353952</v>
      </c>
      <c r="H1292" s="1">
        <v>45541</v>
      </c>
      <c r="I1292" s="1"/>
      <c r="K1292">
        <v>13.6</v>
      </c>
      <c r="L1292" t="s">
        <v>47</v>
      </c>
      <c r="M1292" t="s">
        <v>1953</v>
      </c>
      <c r="N1292" t="s">
        <v>1887</v>
      </c>
    </row>
    <row r="1293" spans="1:14" x14ac:dyDescent="0.35">
      <c r="A1293" t="s">
        <v>3217</v>
      </c>
      <c r="B1293" t="s">
        <v>1937</v>
      </c>
      <c r="C1293" t="s">
        <v>211</v>
      </c>
      <c r="D1293" t="s">
        <v>1899</v>
      </c>
      <c r="E1293" t="s">
        <v>1587</v>
      </c>
      <c r="F1293" t="s">
        <v>1892</v>
      </c>
      <c r="G1293">
        <v>359600</v>
      </c>
      <c r="H1293" s="1">
        <v>45742</v>
      </c>
      <c r="I1293" s="1"/>
      <c r="K1293">
        <v>12.3</v>
      </c>
      <c r="L1293" t="s">
        <v>47</v>
      </c>
      <c r="M1293" t="s">
        <v>1912</v>
      </c>
      <c r="N1293" t="s">
        <v>1887</v>
      </c>
    </row>
    <row r="1294" spans="1:14" x14ac:dyDescent="0.35">
      <c r="A1294" t="s">
        <v>3218</v>
      </c>
      <c r="B1294" t="s">
        <v>1920</v>
      </c>
      <c r="C1294" t="s">
        <v>313</v>
      </c>
      <c r="D1294" t="s">
        <v>1904</v>
      </c>
      <c r="E1294" t="s">
        <v>1931</v>
      </c>
      <c r="F1294" t="s">
        <v>1895</v>
      </c>
      <c r="G1294">
        <v>324389</v>
      </c>
      <c r="H1294" s="1">
        <v>45683</v>
      </c>
      <c r="I1294" s="1"/>
      <c r="K1294">
        <v>10.7</v>
      </c>
      <c r="L1294" t="s">
        <v>30</v>
      </c>
      <c r="M1294" t="s">
        <v>1912</v>
      </c>
      <c r="N1294" t="s">
        <v>1887</v>
      </c>
    </row>
    <row r="1295" spans="1:14" x14ac:dyDescent="0.35">
      <c r="A1295" t="s">
        <v>3219</v>
      </c>
      <c r="B1295" t="s">
        <v>1937</v>
      </c>
      <c r="C1295" t="s">
        <v>224</v>
      </c>
      <c r="D1295" t="s">
        <v>1890</v>
      </c>
      <c r="E1295" t="s">
        <v>1905</v>
      </c>
      <c r="F1295" t="s">
        <v>1892</v>
      </c>
      <c r="G1295">
        <v>406892</v>
      </c>
      <c r="H1295" s="1">
        <v>44948</v>
      </c>
      <c r="I1295" s="1"/>
      <c r="K1295">
        <v>6.7</v>
      </c>
      <c r="L1295" t="s">
        <v>30</v>
      </c>
      <c r="M1295" t="s">
        <v>1896</v>
      </c>
      <c r="N1295" t="s">
        <v>1887</v>
      </c>
    </row>
    <row r="1296" spans="1:14" x14ac:dyDescent="0.35">
      <c r="A1296" t="s">
        <v>3220</v>
      </c>
      <c r="B1296" t="s">
        <v>1903</v>
      </c>
      <c r="C1296" t="s">
        <v>152</v>
      </c>
      <c r="D1296" t="s">
        <v>1915</v>
      </c>
      <c r="E1296" t="s">
        <v>1587</v>
      </c>
      <c r="F1296" t="s">
        <v>1900</v>
      </c>
      <c r="G1296">
        <v>1375104</v>
      </c>
      <c r="H1296" s="1">
        <v>44927</v>
      </c>
      <c r="I1296" s="1">
        <v>45019</v>
      </c>
      <c r="J1296">
        <v>92</v>
      </c>
      <c r="K1296">
        <v>18.2</v>
      </c>
      <c r="L1296" t="s">
        <v>15</v>
      </c>
      <c r="M1296" t="s">
        <v>1896</v>
      </c>
      <c r="N1296" t="s">
        <v>1966</v>
      </c>
    </row>
    <row r="1297" spans="1:14" x14ac:dyDescent="0.35">
      <c r="A1297" t="s">
        <v>3221</v>
      </c>
      <c r="B1297" t="s">
        <v>1926</v>
      </c>
      <c r="C1297" t="s">
        <v>138</v>
      </c>
      <c r="D1297" t="s">
        <v>1890</v>
      </c>
      <c r="E1297" t="s">
        <v>1884</v>
      </c>
      <c r="F1297" t="s">
        <v>1885</v>
      </c>
      <c r="G1297">
        <v>433349</v>
      </c>
      <c r="H1297" s="1">
        <v>45071</v>
      </c>
      <c r="I1297" s="1">
        <v>45127</v>
      </c>
      <c r="J1297">
        <v>56</v>
      </c>
      <c r="K1297">
        <v>7.5</v>
      </c>
      <c r="L1297" t="s">
        <v>21</v>
      </c>
      <c r="M1297" t="s">
        <v>1893</v>
      </c>
      <c r="N1297" t="s">
        <v>1887</v>
      </c>
    </row>
    <row r="1298" spans="1:14" x14ac:dyDescent="0.35">
      <c r="A1298" t="s">
        <v>3222</v>
      </c>
      <c r="B1298" t="s">
        <v>1937</v>
      </c>
      <c r="C1298" t="s">
        <v>242</v>
      </c>
      <c r="D1298" t="s">
        <v>1883</v>
      </c>
      <c r="E1298" t="s">
        <v>1884</v>
      </c>
      <c r="F1298" t="s">
        <v>1892</v>
      </c>
      <c r="G1298">
        <v>42182</v>
      </c>
      <c r="H1298" s="1">
        <v>45506</v>
      </c>
      <c r="I1298" s="1"/>
      <c r="L1298" t="s">
        <v>47</v>
      </c>
      <c r="M1298" t="s">
        <v>1953</v>
      </c>
      <c r="N1298" t="s">
        <v>1887</v>
      </c>
    </row>
    <row r="1299" spans="1:14" x14ac:dyDescent="0.35">
      <c r="A1299" t="s">
        <v>3223</v>
      </c>
      <c r="B1299" t="s">
        <v>1963</v>
      </c>
      <c r="C1299" t="s">
        <v>415</v>
      </c>
      <c r="D1299" t="s">
        <v>1890</v>
      </c>
      <c r="E1299" t="s">
        <v>1587</v>
      </c>
      <c r="F1299" t="s">
        <v>1900</v>
      </c>
      <c r="G1299">
        <v>360715</v>
      </c>
      <c r="H1299" s="1">
        <v>45056</v>
      </c>
      <c r="I1299" s="1">
        <v>45172</v>
      </c>
      <c r="J1299">
        <v>116</v>
      </c>
      <c r="K1299">
        <v>18.600000000000001</v>
      </c>
      <c r="L1299" t="s">
        <v>47</v>
      </c>
      <c r="M1299" t="s">
        <v>1893</v>
      </c>
      <c r="N1299" t="s">
        <v>1887</v>
      </c>
    </row>
    <row r="1300" spans="1:14" x14ac:dyDescent="0.35">
      <c r="A1300" t="s">
        <v>3224</v>
      </c>
      <c r="B1300" t="s">
        <v>1944</v>
      </c>
      <c r="C1300" t="s">
        <v>493</v>
      </c>
      <c r="D1300" t="s">
        <v>1904</v>
      </c>
      <c r="E1300" t="s">
        <v>1918</v>
      </c>
      <c r="F1300" t="s">
        <v>1908</v>
      </c>
      <c r="G1300">
        <v>333217</v>
      </c>
      <c r="H1300" s="1">
        <v>45462</v>
      </c>
      <c r="I1300" s="1"/>
      <c r="K1300">
        <v>10.8</v>
      </c>
      <c r="L1300" t="s">
        <v>15</v>
      </c>
      <c r="M1300" t="s">
        <v>1935</v>
      </c>
      <c r="N1300" t="s">
        <v>1887</v>
      </c>
    </row>
    <row r="1301" spans="1:14" x14ac:dyDescent="0.35">
      <c r="A1301" t="s">
        <v>3225</v>
      </c>
      <c r="B1301" t="s">
        <v>1898</v>
      </c>
      <c r="C1301" t="s">
        <v>424</v>
      </c>
      <c r="D1301" t="s">
        <v>1883</v>
      </c>
      <c r="E1301" t="s">
        <v>1884</v>
      </c>
      <c r="F1301" t="s">
        <v>1908</v>
      </c>
      <c r="G1301">
        <v>455118</v>
      </c>
      <c r="H1301" s="1">
        <v>45306</v>
      </c>
      <c r="I1301" s="1"/>
      <c r="K1301">
        <v>2.4</v>
      </c>
      <c r="L1301" t="s">
        <v>21</v>
      </c>
      <c r="M1301" t="s">
        <v>1916</v>
      </c>
      <c r="N1301" t="s">
        <v>1887</v>
      </c>
    </row>
    <row r="1302" spans="1:14" x14ac:dyDescent="0.35">
      <c r="A1302" t="s">
        <v>3226</v>
      </c>
      <c r="B1302" t="s">
        <v>1944</v>
      </c>
      <c r="C1302" t="s">
        <v>214</v>
      </c>
      <c r="D1302" t="s">
        <v>1927</v>
      </c>
      <c r="E1302" t="s">
        <v>1587</v>
      </c>
      <c r="F1302" t="s">
        <v>1900</v>
      </c>
      <c r="G1302">
        <v>368693</v>
      </c>
      <c r="H1302" s="1">
        <v>44959</v>
      </c>
      <c r="I1302" s="1">
        <v>45122</v>
      </c>
      <c r="J1302">
        <v>163</v>
      </c>
      <c r="K1302">
        <v>10.4</v>
      </c>
      <c r="L1302" t="s">
        <v>30</v>
      </c>
      <c r="M1302" t="s">
        <v>1896</v>
      </c>
      <c r="N1302" t="s">
        <v>1887</v>
      </c>
    </row>
    <row r="1303" spans="1:14" x14ac:dyDescent="0.35">
      <c r="A1303" t="s">
        <v>3227</v>
      </c>
      <c r="B1303" t="s">
        <v>1937</v>
      </c>
      <c r="C1303" t="s">
        <v>331</v>
      </c>
      <c r="D1303" t="s">
        <v>1890</v>
      </c>
      <c r="E1303" t="s">
        <v>1678</v>
      </c>
      <c r="F1303" t="s">
        <v>1946</v>
      </c>
      <c r="G1303">
        <v>10765</v>
      </c>
      <c r="H1303" s="1">
        <v>45118</v>
      </c>
      <c r="I1303" s="1"/>
      <c r="K1303">
        <v>1.6</v>
      </c>
      <c r="L1303" t="s">
        <v>30</v>
      </c>
      <c r="M1303" t="s">
        <v>1932</v>
      </c>
      <c r="N1303" t="s">
        <v>1887</v>
      </c>
    </row>
    <row r="1304" spans="1:14" x14ac:dyDescent="0.35">
      <c r="A1304" t="s">
        <v>3228</v>
      </c>
      <c r="B1304" t="s">
        <v>1922</v>
      </c>
      <c r="C1304" t="s">
        <v>262</v>
      </c>
      <c r="D1304" t="s">
        <v>1883</v>
      </c>
      <c r="E1304" t="s">
        <v>1918</v>
      </c>
      <c r="F1304" t="s">
        <v>1892</v>
      </c>
      <c r="G1304">
        <v>1048494</v>
      </c>
      <c r="H1304" s="1">
        <v>45706</v>
      </c>
      <c r="I1304" s="1"/>
      <c r="K1304">
        <v>4.0999999999999996</v>
      </c>
      <c r="L1304" t="s">
        <v>21</v>
      </c>
      <c r="M1304" t="s">
        <v>1912</v>
      </c>
      <c r="N1304" t="s">
        <v>1966</v>
      </c>
    </row>
    <row r="1305" spans="1:14" x14ac:dyDescent="0.35">
      <c r="A1305" t="s">
        <v>3229</v>
      </c>
      <c r="B1305" t="s">
        <v>1926</v>
      </c>
      <c r="C1305" t="s">
        <v>219</v>
      </c>
      <c r="D1305" t="s">
        <v>1890</v>
      </c>
      <c r="E1305" t="s">
        <v>1931</v>
      </c>
      <c r="F1305" t="s">
        <v>1895</v>
      </c>
      <c r="G1305">
        <v>223481</v>
      </c>
      <c r="H1305" s="1">
        <v>45727</v>
      </c>
      <c r="I1305" s="1"/>
      <c r="L1305" t="s">
        <v>21</v>
      </c>
      <c r="M1305" t="s">
        <v>1912</v>
      </c>
      <c r="N1305" t="s">
        <v>1887</v>
      </c>
    </row>
    <row r="1306" spans="1:14" x14ac:dyDescent="0.35">
      <c r="A1306" t="s">
        <v>3230</v>
      </c>
      <c r="B1306" t="s">
        <v>1889</v>
      </c>
      <c r="C1306" t="s">
        <v>456</v>
      </c>
      <c r="D1306" t="s">
        <v>1927</v>
      </c>
      <c r="E1306" t="s">
        <v>1905</v>
      </c>
      <c r="F1306" t="s">
        <v>1892</v>
      </c>
      <c r="G1306">
        <v>181226</v>
      </c>
      <c r="H1306" s="1">
        <v>45077</v>
      </c>
      <c r="I1306" s="1"/>
      <c r="K1306">
        <v>9.1</v>
      </c>
      <c r="L1306" t="s">
        <v>47</v>
      </c>
      <c r="M1306" t="s">
        <v>1893</v>
      </c>
      <c r="N1306" t="s">
        <v>1887</v>
      </c>
    </row>
    <row r="1307" spans="1:14" x14ac:dyDescent="0.35">
      <c r="A1307" t="s">
        <v>3231</v>
      </c>
      <c r="B1307" t="s">
        <v>1963</v>
      </c>
      <c r="C1307" t="s">
        <v>216</v>
      </c>
      <c r="D1307" t="s">
        <v>1899</v>
      </c>
      <c r="E1307" t="s">
        <v>1678</v>
      </c>
      <c r="F1307" t="s">
        <v>1946</v>
      </c>
      <c r="G1307">
        <v>55709</v>
      </c>
      <c r="H1307" s="1">
        <v>45171</v>
      </c>
      <c r="I1307" s="1"/>
      <c r="L1307" t="s">
        <v>47</v>
      </c>
      <c r="M1307" t="s">
        <v>1932</v>
      </c>
      <c r="N1307" t="s">
        <v>1887</v>
      </c>
    </row>
    <row r="1308" spans="1:14" x14ac:dyDescent="0.35">
      <c r="A1308" t="s">
        <v>3232</v>
      </c>
      <c r="B1308" t="s">
        <v>1926</v>
      </c>
      <c r="C1308" t="s">
        <v>342</v>
      </c>
      <c r="D1308" t="s">
        <v>1904</v>
      </c>
      <c r="E1308" t="s">
        <v>1678</v>
      </c>
      <c r="F1308" t="s">
        <v>1908</v>
      </c>
      <c r="G1308">
        <v>99824</v>
      </c>
      <c r="H1308" s="1">
        <v>45467</v>
      </c>
      <c r="I1308" s="1"/>
      <c r="L1308" t="s">
        <v>15</v>
      </c>
      <c r="M1308" t="s">
        <v>1935</v>
      </c>
      <c r="N1308" t="s">
        <v>1887</v>
      </c>
    </row>
    <row r="1309" spans="1:14" x14ac:dyDescent="0.35">
      <c r="A1309" t="s">
        <v>3233</v>
      </c>
      <c r="B1309" t="s">
        <v>1937</v>
      </c>
      <c r="C1309" t="s">
        <v>208</v>
      </c>
      <c r="D1309" t="s">
        <v>1915</v>
      </c>
      <c r="E1309" t="s">
        <v>1587</v>
      </c>
      <c r="F1309" t="s">
        <v>1900</v>
      </c>
      <c r="G1309">
        <v>493585</v>
      </c>
      <c r="H1309" s="1">
        <v>45102</v>
      </c>
      <c r="I1309" s="1">
        <v>45269</v>
      </c>
      <c r="J1309">
        <v>167</v>
      </c>
      <c r="K1309">
        <v>4.7</v>
      </c>
      <c r="L1309" t="s">
        <v>47</v>
      </c>
      <c r="M1309" t="s">
        <v>1893</v>
      </c>
      <c r="N1309" t="s">
        <v>1887</v>
      </c>
    </row>
    <row r="1310" spans="1:14" x14ac:dyDescent="0.35">
      <c r="A1310" t="s">
        <v>3234</v>
      </c>
      <c r="B1310" t="s">
        <v>1920</v>
      </c>
      <c r="C1310" t="s">
        <v>383</v>
      </c>
      <c r="D1310" t="s">
        <v>1927</v>
      </c>
      <c r="E1310" t="s">
        <v>1905</v>
      </c>
      <c r="F1310" t="s">
        <v>1900</v>
      </c>
      <c r="G1310">
        <v>157148</v>
      </c>
      <c r="H1310" s="1">
        <v>45677</v>
      </c>
      <c r="I1310" s="1">
        <v>45841</v>
      </c>
      <c r="J1310">
        <v>164</v>
      </c>
      <c r="K1310">
        <v>16.8</v>
      </c>
      <c r="L1310" t="s">
        <v>30</v>
      </c>
      <c r="M1310" t="s">
        <v>1912</v>
      </c>
      <c r="N1310" t="s">
        <v>1887</v>
      </c>
    </row>
    <row r="1311" spans="1:14" x14ac:dyDescent="0.35">
      <c r="A1311" t="s">
        <v>3235</v>
      </c>
      <c r="B1311" t="s">
        <v>1911</v>
      </c>
      <c r="C1311" t="s">
        <v>242</v>
      </c>
      <c r="D1311" t="s">
        <v>1915</v>
      </c>
      <c r="E1311" t="s">
        <v>1884</v>
      </c>
      <c r="F1311" t="s">
        <v>1885</v>
      </c>
      <c r="G1311">
        <v>344724</v>
      </c>
      <c r="H1311" s="1">
        <v>45211</v>
      </c>
      <c r="I1311" s="1">
        <v>45371</v>
      </c>
      <c r="J1311">
        <v>160</v>
      </c>
      <c r="L1311" t="s">
        <v>15</v>
      </c>
      <c r="M1311" t="s">
        <v>1886</v>
      </c>
      <c r="N1311" t="s">
        <v>1887</v>
      </c>
    </row>
    <row r="1312" spans="1:14" x14ac:dyDescent="0.35">
      <c r="A1312" t="s">
        <v>3236</v>
      </c>
      <c r="B1312" t="s">
        <v>1920</v>
      </c>
      <c r="C1312" t="s">
        <v>364</v>
      </c>
      <c r="D1312" t="s">
        <v>1883</v>
      </c>
      <c r="E1312" t="s">
        <v>1918</v>
      </c>
      <c r="F1312" t="s">
        <v>1895</v>
      </c>
      <c r="G1312">
        <v>10686</v>
      </c>
      <c r="H1312" s="1">
        <v>45431</v>
      </c>
      <c r="I1312" s="1"/>
      <c r="K1312">
        <v>1.1000000000000001</v>
      </c>
      <c r="L1312" t="s">
        <v>30</v>
      </c>
      <c r="M1312" t="s">
        <v>1935</v>
      </c>
      <c r="N1312" t="s">
        <v>1887</v>
      </c>
    </row>
    <row r="1313" spans="1:14" x14ac:dyDescent="0.35">
      <c r="A1313" t="s">
        <v>3237</v>
      </c>
      <c r="B1313" t="s">
        <v>1934</v>
      </c>
      <c r="C1313" t="s">
        <v>328</v>
      </c>
      <c r="D1313" t="s">
        <v>1904</v>
      </c>
      <c r="E1313" t="s">
        <v>1587</v>
      </c>
      <c r="F1313" t="s">
        <v>1946</v>
      </c>
      <c r="G1313">
        <v>253379</v>
      </c>
      <c r="H1313" s="1">
        <v>45562</v>
      </c>
      <c r="I1313" s="1"/>
      <c r="K1313">
        <v>9.3000000000000007</v>
      </c>
      <c r="L1313" t="s">
        <v>47</v>
      </c>
      <c r="M1313" t="s">
        <v>1953</v>
      </c>
      <c r="N1313" t="s">
        <v>1887</v>
      </c>
    </row>
    <row r="1314" spans="1:14" x14ac:dyDescent="0.35">
      <c r="A1314" t="s">
        <v>3238</v>
      </c>
      <c r="B1314" t="s">
        <v>1934</v>
      </c>
      <c r="C1314" t="s">
        <v>211</v>
      </c>
      <c r="D1314" t="s">
        <v>1915</v>
      </c>
      <c r="E1314" t="s">
        <v>1931</v>
      </c>
      <c r="F1314" t="s">
        <v>1900</v>
      </c>
      <c r="G1314">
        <v>273106</v>
      </c>
      <c r="H1314" s="1">
        <v>45530</v>
      </c>
      <c r="I1314" s="1">
        <v>45621</v>
      </c>
      <c r="J1314">
        <v>91</v>
      </c>
      <c r="K1314">
        <v>14.9</v>
      </c>
      <c r="L1314" t="s">
        <v>30</v>
      </c>
      <c r="M1314" t="s">
        <v>1953</v>
      </c>
      <c r="N1314" t="s">
        <v>1887</v>
      </c>
    </row>
    <row r="1315" spans="1:14" x14ac:dyDescent="0.35">
      <c r="A1315" t="s">
        <v>3239</v>
      </c>
      <c r="B1315" t="s">
        <v>1944</v>
      </c>
      <c r="C1315" t="s">
        <v>214</v>
      </c>
      <c r="D1315" t="s">
        <v>1883</v>
      </c>
      <c r="E1315" t="s">
        <v>1945</v>
      </c>
      <c r="F1315" t="s">
        <v>1908</v>
      </c>
      <c r="G1315">
        <v>498715</v>
      </c>
      <c r="H1315" s="1">
        <v>45732</v>
      </c>
      <c r="I1315" s="1"/>
      <c r="K1315">
        <v>0.1</v>
      </c>
      <c r="L1315" t="s">
        <v>21</v>
      </c>
      <c r="M1315" t="s">
        <v>1912</v>
      </c>
      <c r="N1315" t="s">
        <v>1887</v>
      </c>
    </row>
    <row r="1316" spans="1:14" x14ac:dyDescent="0.35">
      <c r="A1316" t="s">
        <v>3240</v>
      </c>
      <c r="B1316" t="s">
        <v>1930</v>
      </c>
      <c r="C1316" t="s">
        <v>319</v>
      </c>
      <c r="D1316" t="s">
        <v>1927</v>
      </c>
      <c r="E1316" t="s">
        <v>1678</v>
      </c>
      <c r="F1316" t="s">
        <v>1892</v>
      </c>
      <c r="G1316">
        <v>210618</v>
      </c>
      <c r="H1316" s="1">
        <v>45719</v>
      </c>
      <c r="I1316" s="1"/>
      <c r="L1316" t="s">
        <v>47</v>
      </c>
      <c r="M1316" t="s">
        <v>1912</v>
      </c>
      <c r="N1316" t="s">
        <v>1887</v>
      </c>
    </row>
    <row r="1317" spans="1:14" x14ac:dyDescent="0.35">
      <c r="A1317" t="s">
        <v>3241</v>
      </c>
      <c r="B1317" t="s">
        <v>1889</v>
      </c>
      <c r="C1317" t="s">
        <v>358</v>
      </c>
      <c r="D1317" t="s">
        <v>1904</v>
      </c>
      <c r="E1317" t="s">
        <v>1905</v>
      </c>
      <c r="F1317" t="s">
        <v>1946</v>
      </c>
      <c r="G1317">
        <v>284821</v>
      </c>
      <c r="H1317" s="1">
        <v>45413</v>
      </c>
      <c r="I1317" s="1"/>
      <c r="L1317" t="s">
        <v>21</v>
      </c>
      <c r="M1317" t="s">
        <v>1935</v>
      </c>
      <c r="N1317" t="s">
        <v>1887</v>
      </c>
    </row>
    <row r="1318" spans="1:14" x14ac:dyDescent="0.35">
      <c r="A1318" t="s">
        <v>3242</v>
      </c>
      <c r="B1318" t="s">
        <v>1922</v>
      </c>
      <c r="C1318" t="s">
        <v>101</v>
      </c>
      <c r="D1318" t="s">
        <v>1883</v>
      </c>
      <c r="E1318" t="s">
        <v>1884</v>
      </c>
      <c r="F1318" t="s">
        <v>1908</v>
      </c>
      <c r="G1318">
        <v>146703</v>
      </c>
      <c r="H1318" s="1">
        <v>44962</v>
      </c>
      <c r="I1318" s="1"/>
      <c r="L1318" t="s">
        <v>47</v>
      </c>
      <c r="M1318" t="s">
        <v>1896</v>
      </c>
      <c r="N1318" t="s">
        <v>1887</v>
      </c>
    </row>
    <row r="1319" spans="1:14" x14ac:dyDescent="0.35">
      <c r="A1319" t="s">
        <v>3243</v>
      </c>
      <c r="B1319" t="s">
        <v>1924</v>
      </c>
      <c r="C1319" t="s">
        <v>295</v>
      </c>
      <c r="D1319" t="s">
        <v>1927</v>
      </c>
      <c r="E1319" t="s">
        <v>1678</v>
      </c>
      <c r="F1319" t="s">
        <v>1895</v>
      </c>
      <c r="G1319">
        <v>94991</v>
      </c>
      <c r="H1319" s="1">
        <v>45566</v>
      </c>
      <c r="I1319" s="1"/>
      <c r="L1319" t="s">
        <v>47</v>
      </c>
      <c r="M1319" t="s">
        <v>1901</v>
      </c>
      <c r="N1319" t="s">
        <v>1887</v>
      </c>
    </row>
    <row r="1320" spans="1:14" x14ac:dyDescent="0.35">
      <c r="A1320" t="s">
        <v>3244</v>
      </c>
      <c r="B1320" t="s">
        <v>1903</v>
      </c>
      <c r="C1320" t="s">
        <v>232</v>
      </c>
      <c r="D1320" t="s">
        <v>1915</v>
      </c>
      <c r="E1320" t="s">
        <v>1587</v>
      </c>
      <c r="F1320" t="s">
        <v>1946</v>
      </c>
      <c r="G1320">
        <v>105276</v>
      </c>
      <c r="H1320" s="1">
        <v>45467</v>
      </c>
      <c r="I1320" s="1"/>
      <c r="K1320">
        <v>10.1</v>
      </c>
      <c r="L1320" t="s">
        <v>30</v>
      </c>
      <c r="M1320" t="s">
        <v>1935</v>
      </c>
      <c r="N1320" t="s">
        <v>1887</v>
      </c>
    </row>
    <row r="1321" spans="1:14" x14ac:dyDescent="0.35">
      <c r="A1321" t="s">
        <v>3245</v>
      </c>
      <c r="B1321" t="s">
        <v>1889</v>
      </c>
      <c r="C1321" t="s">
        <v>307</v>
      </c>
      <c r="D1321" t="s">
        <v>1890</v>
      </c>
      <c r="E1321" t="s">
        <v>1884</v>
      </c>
      <c r="F1321" t="s">
        <v>1895</v>
      </c>
      <c r="G1321">
        <v>144950</v>
      </c>
      <c r="H1321" s="1">
        <v>45737</v>
      </c>
      <c r="I1321" s="1"/>
      <c r="K1321">
        <v>13.5</v>
      </c>
      <c r="L1321" t="s">
        <v>30</v>
      </c>
      <c r="M1321" t="s">
        <v>1912</v>
      </c>
      <c r="N1321" t="s">
        <v>1887</v>
      </c>
    </row>
    <row r="1322" spans="1:14" x14ac:dyDescent="0.35">
      <c r="A1322" t="s">
        <v>3246</v>
      </c>
      <c r="B1322" t="s">
        <v>1924</v>
      </c>
      <c r="C1322" t="s">
        <v>131</v>
      </c>
      <c r="D1322" t="s">
        <v>1927</v>
      </c>
      <c r="E1322" t="s">
        <v>1600</v>
      </c>
      <c r="F1322" t="s">
        <v>1900</v>
      </c>
      <c r="G1322">
        <v>243885</v>
      </c>
      <c r="H1322" s="1">
        <v>45486</v>
      </c>
      <c r="I1322" s="1">
        <v>45596</v>
      </c>
      <c r="J1322">
        <v>110</v>
      </c>
      <c r="K1322">
        <v>11.9</v>
      </c>
      <c r="L1322" t="s">
        <v>15</v>
      </c>
      <c r="M1322" t="s">
        <v>1953</v>
      </c>
      <c r="N1322" t="s">
        <v>1887</v>
      </c>
    </row>
    <row r="1323" spans="1:14" x14ac:dyDescent="0.35">
      <c r="A1323" t="s">
        <v>3247</v>
      </c>
      <c r="B1323" t="s">
        <v>1926</v>
      </c>
      <c r="C1323" t="s">
        <v>398</v>
      </c>
      <c r="D1323" t="s">
        <v>1927</v>
      </c>
      <c r="E1323" t="s">
        <v>1600</v>
      </c>
      <c r="F1323" t="s">
        <v>1892</v>
      </c>
      <c r="G1323">
        <v>204233</v>
      </c>
      <c r="H1323" s="1">
        <v>45213</v>
      </c>
      <c r="I1323" s="1"/>
      <c r="K1323">
        <v>8.5</v>
      </c>
      <c r="L1323" t="s">
        <v>47</v>
      </c>
      <c r="M1323" t="s">
        <v>1886</v>
      </c>
      <c r="N1323" t="s">
        <v>1887</v>
      </c>
    </row>
    <row r="1324" spans="1:14" x14ac:dyDescent="0.35">
      <c r="A1324" t="s">
        <v>3248</v>
      </c>
      <c r="B1324" t="s">
        <v>1882</v>
      </c>
      <c r="C1324" t="s">
        <v>382</v>
      </c>
      <c r="D1324" t="s">
        <v>1904</v>
      </c>
      <c r="E1324" t="s">
        <v>1945</v>
      </c>
      <c r="F1324" t="s">
        <v>1892</v>
      </c>
      <c r="G1324">
        <v>140369</v>
      </c>
      <c r="H1324" s="1">
        <v>45395</v>
      </c>
      <c r="I1324" s="1"/>
      <c r="L1324" t="s">
        <v>15</v>
      </c>
      <c r="M1324" t="s">
        <v>1935</v>
      </c>
      <c r="N1324" t="s">
        <v>1887</v>
      </c>
    </row>
    <row r="1325" spans="1:14" x14ac:dyDescent="0.35">
      <c r="A1325" t="s">
        <v>3249</v>
      </c>
      <c r="B1325" t="s">
        <v>1944</v>
      </c>
      <c r="C1325" t="s">
        <v>243</v>
      </c>
      <c r="D1325" t="s">
        <v>1883</v>
      </c>
      <c r="E1325" t="s">
        <v>1931</v>
      </c>
      <c r="F1325" t="s">
        <v>1900</v>
      </c>
      <c r="G1325">
        <v>441197</v>
      </c>
      <c r="H1325" s="1">
        <v>45061</v>
      </c>
      <c r="I1325" s="1">
        <v>45167</v>
      </c>
      <c r="J1325">
        <v>106</v>
      </c>
      <c r="K1325">
        <v>17.600000000000001</v>
      </c>
      <c r="L1325" t="s">
        <v>30</v>
      </c>
      <c r="M1325" t="s">
        <v>1893</v>
      </c>
      <c r="N1325" t="s">
        <v>1887</v>
      </c>
    </row>
    <row r="1326" spans="1:14" x14ac:dyDescent="0.35">
      <c r="A1326" t="s">
        <v>3250</v>
      </c>
      <c r="B1326" t="s">
        <v>1882</v>
      </c>
      <c r="C1326" t="s">
        <v>292</v>
      </c>
      <c r="D1326" t="s">
        <v>1915</v>
      </c>
      <c r="E1326" t="s">
        <v>1884</v>
      </c>
      <c r="F1326" t="s">
        <v>1908</v>
      </c>
      <c r="G1326">
        <v>191092</v>
      </c>
      <c r="H1326" s="1">
        <v>45698</v>
      </c>
      <c r="I1326" s="1"/>
      <c r="L1326" t="s">
        <v>21</v>
      </c>
      <c r="M1326" t="s">
        <v>1912</v>
      </c>
      <c r="N1326" t="s">
        <v>1887</v>
      </c>
    </row>
    <row r="1327" spans="1:14" x14ac:dyDescent="0.35">
      <c r="A1327" t="s">
        <v>3251</v>
      </c>
      <c r="B1327" t="s">
        <v>1926</v>
      </c>
      <c r="C1327" t="s">
        <v>205</v>
      </c>
      <c r="D1327" t="s">
        <v>1883</v>
      </c>
      <c r="E1327" t="s">
        <v>1884</v>
      </c>
      <c r="F1327" t="s">
        <v>1895</v>
      </c>
      <c r="G1327">
        <v>95569</v>
      </c>
      <c r="H1327" s="1">
        <v>45062</v>
      </c>
      <c r="I1327" s="1"/>
      <c r="K1327">
        <v>0.1</v>
      </c>
      <c r="L1327" t="s">
        <v>21</v>
      </c>
      <c r="M1327" t="s">
        <v>1893</v>
      </c>
      <c r="N1327" t="s">
        <v>1887</v>
      </c>
    </row>
    <row r="1328" spans="1:14" x14ac:dyDescent="0.35">
      <c r="A1328" t="s">
        <v>3252</v>
      </c>
      <c r="B1328" t="s">
        <v>1903</v>
      </c>
      <c r="C1328" t="s">
        <v>130</v>
      </c>
      <c r="D1328" t="s">
        <v>1899</v>
      </c>
      <c r="E1328" t="s">
        <v>1587</v>
      </c>
      <c r="F1328" t="s">
        <v>1908</v>
      </c>
      <c r="G1328">
        <v>74064</v>
      </c>
      <c r="H1328" s="1">
        <v>45363</v>
      </c>
      <c r="I1328" s="1"/>
      <c r="L1328" t="s">
        <v>47</v>
      </c>
      <c r="M1328" t="s">
        <v>1916</v>
      </c>
      <c r="N1328" t="s">
        <v>1887</v>
      </c>
    </row>
    <row r="1329" spans="1:14" x14ac:dyDescent="0.35">
      <c r="A1329" t="s">
        <v>3253</v>
      </c>
      <c r="B1329" t="s">
        <v>1937</v>
      </c>
      <c r="C1329" t="s">
        <v>288</v>
      </c>
      <c r="D1329" t="s">
        <v>1904</v>
      </c>
      <c r="E1329" t="s">
        <v>1587</v>
      </c>
      <c r="F1329" t="s">
        <v>1885</v>
      </c>
      <c r="G1329">
        <v>261667</v>
      </c>
      <c r="H1329" s="1">
        <v>45290</v>
      </c>
      <c r="I1329" s="1">
        <v>45325</v>
      </c>
      <c r="J1329">
        <v>35</v>
      </c>
      <c r="L1329" t="s">
        <v>47</v>
      </c>
      <c r="M1329" t="s">
        <v>1886</v>
      </c>
      <c r="N1329" t="s">
        <v>1887</v>
      </c>
    </row>
    <row r="1330" spans="1:14" x14ac:dyDescent="0.35">
      <c r="A1330" t="s">
        <v>3254</v>
      </c>
      <c r="B1330" t="s">
        <v>1882</v>
      </c>
      <c r="C1330" t="s">
        <v>280</v>
      </c>
      <c r="D1330" t="s">
        <v>1915</v>
      </c>
      <c r="E1330" t="s">
        <v>1678</v>
      </c>
      <c r="F1330" t="s">
        <v>1885</v>
      </c>
      <c r="G1330">
        <v>455556</v>
      </c>
      <c r="H1330" s="1">
        <v>44958</v>
      </c>
      <c r="I1330" s="1">
        <v>44991</v>
      </c>
      <c r="J1330">
        <v>33</v>
      </c>
      <c r="K1330">
        <v>8.9</v>
      </c>
      <c r="L1330" t="s">
        <v>15</v>
      </c>
      <c r="M1330" t="s">
        <v>1896</v>
      </c>
      <c r="N1330" t="s">
        <v>1887</v>
      </c>
    </row>
    <row r="1331" spans="1:14" x14ac:dyDescent="0.35">
      <c r="A1331" t="s">
        <v>3255</v>
      </c>
      <c r="B1331" t="s">
        <v>1934</v>
      </c>
      <c r="C1331" t="s">
        <v>484</v>
      </c>
      <c r="D1331" t="s">
        <v>1927</v>
      </c>
      <c r="E1331" t="s">
        <v>1587</v>
      </c>
      <c r="F1331" t="s">
        <v>1908</v>
      </c>
      <c r="G1331">
        <v>18743</v>
      </c>
      <c r="H1331" s="1">
        <v>45051</v>
      </c>
      <c r="I1331" s="1"/>
      <c r="K1331">
        <v>11.4</v>
      </c>
      <c r="L1331" t="s">
        <v>21</v>
      </c>
      <c r="M1331" t="s">
        <v>1893</v>
      </c>
      <c r="N1331" t="s">
        <v>1887</v>
      </c>
    </row>
    <row r="1332" spans="1:14" x14ac:dyDescent="0.35">
      <c r="A1332" t="s">
        <v>3256</v>
      </c>
      <c r="B1332" t="s">
        <v>1944</v>
      </c>
      <c r="C1332" t="s">
        <v>448</v>
      </c>
      <c r="D1332" t="s">
        <v>1899</v>
      </c>
      <c r="E1332" t="s">
        <v>1891</v>
      </c>
      <c r="F1332" t="s">
        <v>1885</v>
      </c>
      <c r="G1332">
        <v>14233</v>
      </c>
      <c r="H1332" s="1">
        <v>45508</v>
      </c>
      <c r="I1332" s="1">
        <v>45593</v>
      </c>
      <c r="J1332">
        <v>85</v>
      </c>
      <c r="K1332">
        <v>12.2</v>
      </c>
      <c r="L1332" t="s">
        <v>47</v>
      </c>
      <c r="M1332" t="s">
        <v>1953</v>
      </c>
      <c r="N1332" t="s">
        <v>1887</v>
      </c>
    </row>
    <row r="1333" spans="1:14" x14ac:dyDescent="0.35">
      <c r="A1333" t="s">
        <v>3257</v>
      </c>
      <c r="B1333" t="s">
        <v>1922</v>
      </c>
      <c r="C1333" t="s">
        <v>303</v>
      </c>
      <c r="D1333" t="s">
        <v>1904</v>
      </c>
      <c r="E1333" t="s">
        <v>1931</v>
      </c>
      <c r="F1333" t="s">
        <v>1908</v>
      </c>
      <c r="G1333">
        <v>304660</v>
      </c>
      <c r="H1333" s="1">
        <v>45562</v>
      </c>
      <c r="I1333" s="1"/>
      <c r="K1333">
        <v>14.2</v>
      </c>
      <c r="L1333" t="s">
        <v>21</v>
      </c>
      <c r="M1333" t="s">
        <v>1953</v>
      </c>
      <c r="N1333" t="s">
        <v>1887</v>
      </c>
    </row>
    <row r="1334" spans="1:14" x14ac:dyDescent="0.35">
      <c r="A1334" t="s">
        <v>3258</v>
      </c>
      <c r="B1334" t="s">
        <v>1937</v>
      </c>
      <c r="C1334" t="s">
        <v>481</v>
      </c>
      <c r="D1334" t="s">
        <v>1883</v>
      </c>
      <c r="E1334" t="s">
        <v>1931</v>
      </c>
      <c r="F1334" t="s">
        <v>1885</v>
      </c>
      <c r="G1334">
        <v>312833</v>
      </c>
      <c r="H1334" s="1">
        <v>45720</v>
      </c>
      <c r="I1334" s="1">
        <v>45862</v>
      </c>
      <c r="J1334">
        <v>142</v>
      </c>
      <c r="L1334" t="s">
        <v>30</v>
      </c>
      <c r="M1334" t="s">
        <v>1912</v>
      </c>
      <c r="N1334" t="s">
        <v>1887</v>
      </c>
    </row>
    <row r="1335" spans="1:14" x14ac:dyDescent="0.35">
      <c r="A1335" t="s">
        <v>3259</v>
      </c>
      <c r="B1335" t="s">
        <v>1898</v>
      </c>
      <c r="C1335" t="s">
        <v>152</v>
      </c>
      <c r="D1335" t="s">
        <v>1899</v>
      </c>
      <c r="E1335" t="s">
        <v>1587</v>
      </c>
      <c r="F1335" t="s">
        <v>1892</v>
      </c>
      <c r="G1335">
        <v>1800592</v>
      </c>
      <c r="H1335" s="1">
        <v>45398</v>
      </c>
      <c r="I1335" s="1"/>
      <c r="K1335">
        <v>10.4</v>
      </c>
      <c r="L1335" t="s">
        <v>30</v>
      </c>
      <c r="M1335" t="s">
        <v>1935</v>
      </c>
      <c r="N1335" t="s">
        <v>1966</v>
      </c>
    </row>
    <row r="1336" spans="1:14" x14ac:dyDescent="0.35">
      <c r="A1336" t="s">
        <v>3260</v>
      </c>
      <c r="B1336" t="s">
        <v>1922</v>
      </c>
      <c r="C1336" t="s">
        <v>94</v>
      </c>
      <c r="D1336" t="s">
        <v>1927</v>
      </c>
      <c r="E1336" t="s">
        <v>1587</v>
      </c>
      <c r="F1336" t="s">
        <v>1895</v>
      </c>
      <c r="G1336">
        <v>324198</v>
      </c>
      <c r="H1336" s="1">
        <v>45385</v>
      </c>
      <c r="I1336" s="1"/>
      <c r="L1336" t="s">
        <v>15</v>
      </c>
      <c r="M1336" t="s">
        <v>1935</v>
      </c>
      <c r="N1336" t="s">
        <v>1887</v>
      </c>
    </row>
    <row r="1337" spans="1:14" x14ac:dyDescent="0.35">
      <c r="A1337" t="s">
        <v>3261</v>
      </c>
      <c r="B1337" t="s">
        <v>1934</v>
      </c>
      <c r="C1337" t="s">
        <v>124</v>
      </c>
      <c r="D1337" t="s">
        <v>1899</v>
      </c>
      <c r="E1337" t="s">
        <v>1678</v>
      </c>
      <c r="F1337" t="s">
        <v>1885</v>
      </c>
      <c r="G1337">
        <v>451919</v>
      </c>
      <c r="H1337" s="1">
        <v>45144</v>
      </c>
      <c r="I1337" s="1">
        <v>45203</v>
      </c>
      <c r="J1337">
        <v>59</v>
      </c>
      <c r="K1337">
        <v>12.7</v>
      </c>
      <c r="L1337" t="s">
        <v>21</v>
      </c>
      <c r="M1337" t="s">
        <v>1932</v>
      </c>
      <c r="N1337" t="s">
        <v>1887</v>
      </c>
    </row>
    <row r="1338" spans="1:14" x14ac:dyDescent="0.35">
      <c r="A1338" t="s">
        <v>3262</v>
      </c>
      <c r="B1338" t="s">
        <v>1944</v>
      </c>
      <c r="C1338" t="s">
        <v>299</v>
      </c>
      <c r="D1338" t="s">
        <v>1904</v>
      </c>
      <c r="E1338" t="s">
        <v>1905</v>
      </c>
      <c r="F1338" t="s">
        <v>1900</v>
      </c>
      <c r="G1338">
        <v>175442</v>
      </c>
      <c r="H1338" s="1">
        <v>45500</v>
      </c>
      <c r="I1338" s="1">
        <v>45597</v>
      </c>
      <c r="J1338">
        <v>97</v>
      </c>
      <c r="K1338">
        <v>13.5</v>
      </c>
      <c r="L1338" t="s">
        <v>30</v>
      </c>
      <c r="M1338" t="s">
        <v>1953</v>
      </c>
      <c r="N1338" t="s">
        <v>1887</v>
      </c>
    </row>
    <row r="1339" spans="1:14" x14ac:dyDescent="0.35">
      <c r="A1339" t="s">
        <v>3263</v>
      </c>
      <c r="B1339" t="s">
        <v>1922</v>
      </c>
      <c r="C1339" t="s">
        <v>412</v>
      </c>
      <c r="D1339" t="s">
        <v>1904</v>
      </c>
      <c r="E1339" t="s">
        <v>1905</v>
      </c>
      <c r="F1339" t="s">
        <v>1885</v>
      </c>
      <c r="G1339">
        <v>142124</v>
      </c>
      <c r="H1339" s="1">
        <v>45694</v>
      </c>
      <c r="I1339" s="1">
        <v>45799</v>
      </c>
      <c r="J1339">
        <v>105</v>
      </c>
      <c r="K1339">
        <v>11.2</v>
      </c>
      <c r="L1339" t="s">
        <v>15</v>
      </c>
      <c r="M1339" t="s">
        <v>1912</v>
      </c>
      <c r="N1339" t="s">
        <v>1887</v>
      </c>
    </row>
    <row r="1340" spans="1:14" x14ac:dyDescent="0.35">
      <c r="A1340" t="s">
        <v>3264</v>
      </c>
      <c r="B1340" t="s">
        <v>1907</v>
      </c>
      <c r="C1340" t="s">
        <v>130</v>
      </c>
      <c r="D1340" t="s">
        <v>1915</v>
      </c>
      <c r="E1340" t="s">
        <v>1918</v>
      </c>
      <c r="F1340" t="s">
        <v>1885</v>
      </c>
      <c r="G1340">
        <v>84083</v>
      </c>
      <c r="H1340" s="1">
        <v>45518</v>
      </c>
      <c r="I1340" s="1">
        <v>45629</v>
      </c>
      <c r="J1340">
        <v>111</v>
      </c>
      <c r="K1340">
        <v>1.3</v>
      </c>
      <c r="L1340" t="s">
        <v>15</v>
      </c>
      <c r="M1340" t="s">
        <v>1953</v>
      </c>
      <c r="N1340" t="s">
        <v>1887</v>
      </c>
    </row>
    <row r="1341" spans="1:14" x14ac:dyDescent="0.35">
      <c r="A1341" t="s">
        <v>3265</v>
      </c>
      <c r="B1341" t="s">
        <v>1934</v>
      </c>
      <c r="C1341" t="s">
        <v>486</v>
      </c>
      <c r="D1341" t="s">
        <v>1890</v>
      </c>
      <c r="E1341" t="s">
        <v>1587</v>
      </c>
      <c r="F1341" t="s">
        <v>1892</v>
      </c>
      <c r="G1341">
        <v>386281</v>
      </c>
      <c r="H1341" s="1">
        <v>45094</v>
      </c>
      <c r="I1341" s="1"/>
      <c r="L1341" t="s">
        <v>47</v>
      </c>
      <c r="M1341" t="s">
        <v>1893</v>
      </c>
      <c r="N1341" t="s">
        <v>1887</v>
      </c>
    </row>
    <row r="1342" spans="1:14" x14ac:dyDescent="0.35">
      <c r="A1342" t="s">
        <v>3266</v>
      </c>
      <c r="B1342" t="s">
        <v>1963</v>
      </c>
      <c r="C1342" t="s">
        <v>328</v>
      </c>
      <c r="D1342" t="s">
        <v>1904</v>
      </c>
      <c r="E1342" t="s">
        <v>1678</v>
      </c>
      <c r="F1342" t="s">
        <v>1900</v>
      </c>
      <c r="G1342">
        <v>134549</v>
      </c>
      <c r="H1342" s="1">
        <v>45619</v>
      </c>
      <c r="I1342" s="1">
        <v>45656</v>
      </c>
      <c r="J1342">
        <v>37</v>
      </c>
      <c r="K1342">
        <v>17.5</v>
      </c>
      <c r="L1342" t="s">
        <v>15</v>
      </c>
      <c r="M1342" t="s">
        <v>1901</v>
      </c>
      <c r="N1342" t="s">
        <v>1887</v>
      </c>
    </row>
    <row r="1343" spans="1:14" x14ac:dyDescent="0.35">
      <c r="A1343" t="s">
        <v>3267</v>
      </c>
      <c r="B1343" t="s">
        <v>1920</v>
      </c>
      <c r="C1343" t="s">
        <v>353</v>
      </c>
      <c r="D1343" t="s">
        <v>1915</v>
      </c>
      <c r="E1343" t="s">
        <v>1587</v>
      </c>
      <c r="F1343" t="s">
        <v>1895</v>
      </c>
      <c r="G1343">
        <v>473157</v>
      </c>
      <c r="H1343" s="1">
        <v>45163</v>
      </c>
      <c r="I1343" s="1"/>
      <c r="K1343">
        <v>14.7</v>
      </c>
      <c r="L1343" t="s">
        <v>47</v>
      </c>
      <c r="M1343" t="s">
        <v>1932</v>
      </c>
      <c r="N1343" t="s">
        <v>1887</v>
      </c>
    </row>
    <row r="1344" spans="1:14" x14ac:dyDescent="0.35">
      <c r="A1344" t="s">
        <v>3268</v>
      </c>
      <c r="B1344" t="s">
        <v>1934</v>
      </c>
      <c r="C1344" t="s">
        <v>314</v>
      </c>
      <c r="D1344" t="s">
        <v>1927</v>
      </c>
      <c r="E1344" t="s">
        <v>1587</v>
      </c>
      <c r="F1344" t="s">
        <v>1946</v>
      </c>
      <c r="G1344">
        <v>314179</v>
      </c>
      <c r="H1344" s="1">
        <v>45604</v>
      </c>
      <c r="I1344" s="1"/>
      <c r="K1344">
        <v>8.3000000000000007</v>
      </c>
      <c r="L1344" t="s">
        <v>15</v>
      </c>
      <c r="M1344" t="s">
        <v>1901</v>
      </c>
      <c r="N1344" t="s">
        <v>1887</v>
      </c>
    </row>
    <row r="1345" spans="1:14" x14ac:dyDescent="0.35">
      <c r="A1345" t="s">
        <v>3269</v>
      </c>
      <c r="B1345" t="s">
        <v>1920</v>
      </c>
      <c r="C1345" t="s">
        <v>406</v>
      </c>
      <c r="D1345" t="s">
        <v>1899</v>
      </c>
      <c r="E1345" t="s">
        <v>1587</v>
      </c>
      <c r="F1345" t="s">
        <v>1895</v>
      </c>
      <c r="G1345">
        <v>318524</v>
      </c>
      <c r="H1345" s="1">
        <v>44967</v>
      </c>
      <c r="I1345" s="1"/>
      <c r="K1345">
        <v>8.6</v>
      </c>
      <c r="L1345" t="s">
        <v>47</v>
      </c>
      <c r="M1345" t="s">
        <v>1896</v>
      </c>
      <c r="N1345" t="s">
        <v>1887</v>
      </c>
    </row>
    <row r="1346" spans="1:14" x14ac:dyDescent="0.35">
      <c r="A1346" t="s">
        <v>3270</v>
      </c>
      <c r="B1346" t="s">
        <v>1920</v>
      </c>
      <c r="C1346" t="s">
        <v>232</v>
      </c>
      <c r="D1346" t="s">
        <v>1883</v>
      </c>
      <c r="E1346" t="s">
        <v>1905</v>
      </c>
      <c r="F1346" t="s">
        <v>1908</v>
      </c>
      <c r="G1346">
        <v>436701</v>
      </c>
      <c r="H1346" s="1">
        <v>45435</v>
      </c>
      <c r="I1346" s="1"/>
      <c r="L1346" t="s">
        <v>47</v>
      </c>
      <c r="M1346" t="s">
        <v>1935</v>
      </c>
      <c r="N1346" t="s">
        <v>1887</v>
      </c>
    </row>
    <row r="1347" spans="1:14" x14ac:dyDescent="0.35">
      <c r="A1347" t="s">
        <v>3271</v>
      </c>
      <c r="B1347" t="s">
        <v>1930</v>
      </c>
      <c r="C1347" t="s">
        <v>23</v>
      </c>
      <c r="D1347" t="s">
        <v>1883</v>
      </c>
      <c r="E1347" t="s">
        <v>1884</v>
      </c>
      <c r="F1347" t="s">
        <v>1885</v>
      </c>
      <c r="G1347">
        <v>431345</v>
      </c>
      <c r="H1347" s="1">
        <v>45132</v>
      </c>
      <c r="I1347" s="1">
        <v>45302</v>
      </c>
      <c r="J1347">
        <v>170</v>
      </c>
      <c r="K1347">
        <v>12.3</v>
      </c>
      <c r="L1347" t="s">
        <v>30</v>
      </c>
      <c r="M1347" t="s">
        <v>1932</v>
      </c>
      <c r="N1347" t="s">
        <v>1887</v>
      </c>
    </row>
    <row r="1348" spans="1:14" x14ac:dyDescent="0.35">
      <c r="A1348" t="s">
        <v>3272</v>
      </c>
      <c r="B1348" t="s">
        <v>1922</v>
      </c>
      <c r="C1348" t="s">
        <v>481</v>
      </c>
      <c r="D1348" t="s">
        <v>1890</v>
      </c>
      <c r="E1348" t="s">
        <v>1587</v>
      </c>
      <c r="F1348" t="s">
        <v>1946</v>
      </c>
      <c r="G1348">
        <v>84270</v>
      </c>
      <c r="H1348" s="1">
        <v>45207</v>
      </c>
      <c r="I1348" s="1"/>
      <c r="L1348" t="s">
        <v>47</v>
      </c>
      <c r="M1348" t="s">
        <v>1886</v>
      </c>
      <c r="N1348" t="s">
        <v>1887</v>
      </c>
    </row>
    <row r="1349" spans="1:14" x14ac:dyDescent="0.35">
      <c r="A1349" t="s">
        <v>3273</v>
      </c>
      <c r="B1349" t="s">
        <v>1926</v>
      </c>
      <c r="C1349" t="s">
        <v>224</v>
      </c>
      <c r="D1349" t="s">
        <v>1883</v>
      </c>
      <c r="E1349" t="s">
        <v>1918</v>
      </c>
      <c r="F1349" t="s">
        <v>1895</v>
      </c>
      <c r="G1349">
        <v>276454</v>
      </c>
      <c r="H1349" s="1">
        <v>45138</v>
      </c>
      <c r="I1349" s="1"/>
      <c r="K1349">
        <v>3.2</v>
      </c>
      <c r="L1349" t="s">
        <v>15</v>
      </c>
      <c r="M1349" t="s">
        <v>1932</v>
      </c>
      <c r="N1349" t="s">
        <v>1887</v>
      </c>
    </row>
    <row r="1350" spans="1:14" x14ac:dyDescent="0.35">
      <c r="A1350" t="s">
        <v>3274</v>
      </c>
      <c r="B1350" t="s">
        <v>1898</v>
      </c>
      <c r="C1350" t="s">
        <v>439</v>
      </c>
      <c r="D1350" t="s">
        <v>1927</v>
      </c>
      <c r="E1350" t="s">
        <v>1600</v>
      </c>
      <c r="F1350" t="s">
        <v>1900</v>
      </c>
      <c r="G1350">
        <v>147126</v>
      </c>
      <c r="H1350" s="1">
        <v>45545</v>
      </c>
      <c r="I1350" s="1">
        <v>45563</v>
      </c>
      <c r="J1350">
        <v>18</v>
      </c>
      <c r="K1350">
        <v>21.6</v>
      </c>
      <c r="L1350" t="s">
        <v>30</v>
      </c>
      <c r="M1350" t="s">
        <v>1953</v>
      </c>
      <c r="N1350" t="s">
        <v>1887</v>
      </c>
    </row>
    <row r="1351" spans="1:14" x14ac:dyDescent="0.35">
      <c r="A1351" t="s">
        <v>3275</v>
      </c>
      <c r="B1351" t="s">
        <v>1898</v>
      </c>
      <c r="C1351" t="s">
        <v>462</v>
      </c>
      <c r="D1351" t="s">
        <v>1915</v>
      </c>
      <c r="E1351" t="s">
        <v>1587</v>
      </c>
      <c r="F1351" t="s">
        <v>1895</v>
      </c>
      <c r="G1351">
        <v>443981</v>
      </c>
      <c r="H1351" s="1">
        <v>45226</v>
      </c>
      <c r="I1351" s="1"/>
      <c r="K1351">
        <v>12.2</v>
      </c>
      <c r="L1351" t="s">
        <v>47</v>
      </c>
      <c r="M1351" t="s">
        <v>1886</v>
      </c>
      <c r="N1351" t="s">
        <v>1887</v>
      </c>
    </row>
    <row r="1352" spans="1:14" x14ac:dyDescent="0.35">
      <c r="A1352" t="s">
        <v>3276</v>
      </c>
      <c r="B1352" t="s">
        <v>1911</v>
      </c>
      <c r="C1352" t="s">
        <v>220</v>
      </c>
      <c r="D1352" t="s">
        <v>1883</v>
      </c>
      <c r="E1352" t="s">
        <v>1918</v>
      </c>
      <c r="F1352" t="s">
        <v>1900</v>
      </c>
      <c r="G1352">
        <v>451997</v>
      </c>
      <c r="H1352" s="1">
        <v>45187</v>
      </c>
      <c r="I1352" s="1">
        <v>45328</v>
      </c>
      <c r="J1352">
        <v>141</v>
      </c>
      <c r="K1352">
        <v>22.5</v>
      </c>
      <c r="L1352" t="s">
        <v>47</v>
      </c>
      <c r="M1352" t="s">
        <v>1932</v>
      </c>
      <c r="N1352" t="s">
        <v>1887</v>
      </c>
    </row>
    <row r="1353" spans="1:14" x14ac:dyDescent="0.35">
      <c r="A1353" t="s">
        <v>3277</v>
      </c>
      <c r="B1353" t="s">
        <v>1944</v>
      </c>
      <c r="C1353" t="s">
        <v>144</v>
      </c>
      <c r="D1353" t="s">
        <v>1927</v>
      </c>
      <c r="E1353" t="s">
        <v>1905</v>
      </c>
      <c r="F1353" t="s">
        <v>1900</v>
      </c>
      <c r="G1353">
        <v>300862</v>
      </c>
      <c r="H1353" s="1">
        <v>45726</v>
      </c>
      <c r="I1353" s="1">
        <v>45767</v>
      </c>
      <c r="J1353">
        <v>41</v>
      </c>
      <c r="K1353">
        <v>18.899999999999999</v>
      </c>
      <c r="L1353" t="s">
        <v>15</v>
      </c>
      <c r="M1353" t="s">
        <v>1912</v>
      </c>
      <c r="N1353" t="s">
        <v>1887</v>
      </c>
    </row>
    <row r="1354" spans="1:14" x14ac:dyDescent="0.35">
      <c r="A1354" t="s">
        <v>3278</v>
      </c>
      <c r="B1354" t="s">
        <v>1914</v>
      </c>
      <c r="C1354" t="s">
        <v>49</v>
      </c>
      <c r="D1354" t="s">
        <v>1927</v>
      </c>
      <c r="E1354" t="s">
        <v>1884</v>
      </c>
      <c r="F1354" t="s">
        <v>1892</v>
      </c>
      <c r="G1354">
        <v>36715</v>
      </c>
      <c r="H1354" s="1">
        <v>45464</v>
      </c>
      <c r="I1354" s="1"/>
      <c r="K1354">
        <v>4.5999999999999996</v>
      </c>
      <c r="L1354" t="s">
        <v>15</v>
      </c>
      <c r="M1354" t="s">
        <v>1935</v>
      </c>
      <c r="N1354" t="s">
        <v>1887</v>
      </c>
    </row>
    <row r="1355" spans="1:14" x14ac:dyDescent="0.35">
      <c r="A1355" t="s">
        <v>3279</v>
      </c>
      <c r="B1355" t="s">
        <v>1934</v>
      </c>
      <c r="C1355" t="s">
        <v>428</v>
      </c>
      <c r="D1355" t="s">
        <v>1915</v>
      </c>
      <c r="E1355" t="s">
        <v>1891</v>
      </c>
      <c r="F1355" t="s">
        <v>1885</v>
      </c>
      <c r="G1355">
        <v>173900</v>
      </c>
      <c r="H1355" s="1">
        <v>45431</v>
      </c>
      <c r="I1355" s="1">
        <v>45523</v>
      </c>
      <c r="J1355">
        <v>92</v>
      </c>
      <c r="K1355">
        <v>1.7</v>
      </c>
      <c r="L1355" t="s">
        <v>47</v>
      </c>
      <c r="M1355" t="s">
        <v>1935</v>
      </c>
      <c r="N1355" t="s">
        <v>1887</v>
      </c>
    </row>
    <row r="1356" spans="1:14" x14ac:dyDescent="0.35">
      <c r="A1356" t="s">
        <v>3280</v>
      </c>
      <c r="B1356" t="s">
        <v>1930</v>
      </c>
      <c r="C1356" t="s">
        <v>475</v>
      </c>
      <c r="D1356" t="s">
        <v>1890</v>
      </c>
      <c r="E1356" t="s">
        <v>1891</v>
      </c>
      <c r="F1356" t="s">
        <v>1885</v>
      </c>
      <c r="G1356">
        <v>318084</v>
      </c>
      <c r="H1356" s="1">
        <v>45131</v>
      </c>
      <c r="I1356" s="1">
        <v>45193</v>
      </c>
      <c r="J1356">
        <v>62</v>
      </c>
      <c r="K1356">
        <v>0.5</v>
      </c>
      <c r="L1356" t="s">
        <v>21</v>
      </c>
      <c r="M1356" t="s">
        <v>1932</v>
      </c>
      <c r="N1356" t="s">
        <v>1887</v>
      </c>
    </row>
    <row r="1357" spans="1:14" x14ac:dyDescent="0.35">
      <c r="A1357" t="s">
        <v>3281</v>
      </c>
      <c r="B1357" t="s">
        <v>1924</v>
      </c>
      <c r="C1357" t="s">
        <v>361</v>
      </c>
      <c r="D1357" t="s">
        <v>1915</v>
      </c>
      <c r="E1357" t="s">
        <v>1884</v>
      </c>
      <c r="F1357" t="s">
        <v>1900</v>
      </c>
      <c r="G1357">
        <v>373092</v>
      </c>
      <c r="H1357" s="1">
        <v>45231</v>
      </c>
      <c r="I1357" s="1">
        <v>45309</v>
      </c>
      <c r="J1357">
        <v>78</v>
      </c>
      <c r="K1357">
        <v>14.9</v>
      </c>
      <c r="L1357" t="s">
        <v>21</v>
      </c>
      <c r="M1357" t="s">
        <v>1886</v>
      </c>
      <c r="N1357" t="s">
        <v>1887</v>
      </c>
    </row>
    <row r="1358" spans="1:14" x14ac:dyDescent="0.35">
      <c r="A1358" t="s">
        <v>3282</v>
      </c>
      <c r="B1358" t="s">
        <v>1911</v>
      </c>
      <c r="C1358" t="s">
        <v>405</v>
      </c>
      <c r="D1358" t="s">
        <v>1927</v>
      </c>
      <c r="E1358" t="s">
        <v>1587</v>
      </c>
      <c r="F1358" t="s">
        <v>1895</v>
      </c>
      <c r="G1358">
        <v>497513</v>
      </c>
      <c r="H1358" s="1">
        <v>45036</v>
      </c>
      <c r="I1358" s="1"/>
      <c r="L1358" t="s">
        <v>30</v>
      </c>
      <c r="M1358" t="s">
        <v>1893</v>
      </c>
      <c r="N1358" t="s">
        <v>1887</v>
      </c>
    </row>
    <row r="1359" spans="1:14" x14ac:dyDescent="0.35">
      <c r="A1359" t="s">
        <v>3283</v>
      </c>
      <c r="B1359" t="s">
        <v>1924</v>
      </c>
      <c r="C1359" t="s">
        <v>235</v>
      </c>
      <c r="D1359" t="s">
        <v>1890</v>
      </c>
      <c r="E1359" t="s">
        <v>1918</v>
      </c>
      <c r="F1359" t="s">
        <v>1895</v>
      </c>
      <c r="G1359">
        <v>154714</v>
      </c>
      <c r="H1359" s="1">
        <v>45221</v>
      </c>
      <c r="I1359" s="1"/>
      <c r="K1359">
        <v>1.7</v>
      </c>
      <c r="L1359" t="s">
        <v>30</v>
      </c>
      <c r="M1359" t="s">
        <v>1886</v>
      </c>
      <c r="N1359" t="s">
        <v>1887</v>
      </c>
    </row>
    <row r="1360" spans="1:14" x14ac:dyDescent="0.35">
      <c r="A1360" t="s">
        <v>3284</v>
      </c>
      <c r="B1360" t="s">
        <v>1926</v>
      </c>
      <c r="C1360" t="s">
        <v>295</v>
      </c>
      <c r="D1360" t="s">
        <v>1927</v>
      </c>
      <c r="E1360" t="s">
        <v>1678</v>
      </c>
      <c r="F1360" t="s">
        <v>1895</v>
      </c>
      <c r="G1360">
        <v>317914</v>
      </c>
      <c r="H1360" s="1">
        <v>45240</v>
      </c>
      <c r="I1360" s="1"/>
      <c r="K1360">
        <v>6.4</v>
      </c>
      <c r="L1360" t="s">
        <v>47</v>
      </c>
      <c r="M1360" t="s">
        <v>1886</v>
      </c>
      <c r="N1360" t="s">
        <v>1887</v>
      </c>
    </row>
    <row r="1361" spans="1:14" x14ac:dyDescent="0.35">
      <c r="A1361" t="s">
        <v>3285</v>
      </c>
      <c r="B1361" t="s">
        <v>1911</v>
      </c>
      <c r="C1361" t="s">
        <v>297</v>
      </c>
      <c r="D1361" t="s">
        <v>1915</v>
      </c>
      <c r="E1361" t="s">
        <v>1931</v>
      </c>
      <c r="F1361" t="s">
        <v>1900</v>
      </c>
      <c r="G1361">
        <v>48358</v>
      </c>
      <c r="H1361" s="1">
        <v>45256</v>
      </c>
      <c r="I1361" s="1">
        <v>45284</v>
      </c>
      <c r="J1361">
        <v>28</v>
      </c>
      <c r="K1361">
        <v>19.3</v>
      </c>
      <c r="L1361" t="s">
        <v>15</v>
      </c>
      <c r="M1361" t="s">
        <v>1886</v>
      </c>
      <c r="N1361" t="s">
        <v>1887</v>
      </c>
    </row>
    <row r="1362" spans="1:14" x14ac:dyDescent="0.35">
      <c r="A1362" t="s">
        <v>3286</v>
      </c>
      <c r="B1362" t="s">
        <v>1903</v>
      </c>
      <c r="C1362" t="s">
        <v>128</v>
      </c>
      <c r="D1362" t="s">
        <v>1927</v>
      </c>
      <c r="E1362" t="s">
        <v>1884</v>
      </c>
      <c r="F1362" t="s">
        <v>1900</v>
      </c>
      <c r="G1362">
        <v>239493</v>
      </c>
      <c r="H1362" s="1">
        <v>45212</v>
      </c>
      <c r="I1362" s="1">
        <v>45268</v>
      </c>
      <c r="J1362">
        <v>56</v>
      </c>
      <c r="K1362">
        <v>0.5</v>
      </c>
      <c r="L1362" t="s">
        <v>47</v>
      </c>
      <c r="M1362" t="s">
        <v>1886</v>
      </c>
      <c r="N1362" t="s">
        <v>1887</v>
      </c>
    </row>
    <row r="1363" spans="1:14" x14ac:dyDescent="0.35">
      <c r="A1363" t="s">
        <v>3287</v>
      </c>
      <c r="B1363" t="s">
        <v>1930</v>
      </c>
      <c r="C1363" t="s">
        <v>152</v>
      </c>
      <c r="D1363" t="s">
        <v>1915</v>
      </c>
      <c r="E1363" t="s">
        <v>1891</v>
      </c>
      <c r="F1363" t="s">
        <v>1908</v>
      </c>
      <c r="G1363">
        <v>322347</v>
      </c>
      <c r="H1363" s="1">
        <v>45476</v>
      </c>
      <c r="I1363" s="1"/>
      <c r="K1363">
        <v>6.8</v>
      </c>
      <c r="L1363" t="s">
        <v>21</v>
      </c>
      <c r="M1363" t="s">
        <v>1953</v>
      </c>
      <c r="N1363" t="s">
        <v>1887</v>
      </c>
    </row>
    <row r="1364" spans="1:14" x14ac:dyDescent="0.35">
      <c r="A1364" t="s">
        <v>3288</v>
      </c>
      <c r="B1364" t="s">
        <v>1934</v>
      </c>
      <c r="C1364" t="s">
        <v>34</v>
      </c>
      <c r="D1364" t="s">
        <v>1904</v>
      </c>
      <c r="E1364" t="s">
        <v>1891</v>
      </c>
      <c r="F1364" t="s">
        <v>1946</v>
      </c>
      <c r="G1364">
        <v>469904</v>
      </c>
      <c r="H1364" s="1">
        <v>45179</v>
      </c>
      <c r="I1364" s="1"/>
      <c r="K1364">
        <v>4.5999999999999996</v>
      </c>
      <c r="L1364" t="s">
        <v>15</v>
      </c>
      <c r="M1364" t="s">
        <v>1932</v>
      </c>
      <c r="N1364" t="s">
        <v>1887</v>
      </c>
    </row>
    <row r="1365" spans="1:14" x14ac:dyDescent="0.35">
      <c r="A1365" t="s">
        <v>3289</v>
      </c>
      <c r="B1365" t="s">
        <v>1898</v>
      </c>
      <c r="C1365" t="s">
        <v>366</v>
      </c>
      <c r="D1365" t="s">
        <v>1915</v>
      </c>
      <c r="E1365" t="s">
        <v>1918</v>
      </c>
      <c r="F1365" t="s">
        <v>1885</v>
      </c>
      <c r="G1365">
        <v>384699</v>
      </c>
      <c r="H1365" s="1">
        <v>45716</v>
      </c>
      <c r="I1365" s="1">
        <v>45844</v>
      </c>
      <c r="J1365">
        <v>128</v>
      </c>
      <c r="L1365" t="s">
        <v>47</v>
      </c>
      <c r="M1365" t="s">
        <v>1912</v>
      </c>
      <c r="N1365" t="s">
        <v>1887</v>
      </c>
    </row>
    <row r="1366" spans="1:14" x14ac:dyDescent="0.35">
      <c r="A1366" t="s">
        <v>3290</v>
      </c>
      <c r="B1366" t="s">
        <v>1930</v>
      </c>
      <c r="C1366" t="s">
        <v>390</v>
      </c>
      <c r="D1366" t="s">
        <v>1883</v>
      </c>
      <c r="E1366" t="s">
        <v>1931</v>
      </c>
      <c r="F1366" t="s">
        <v>1908</v>
      </c>
      <c r="G1366">
        <v>317920</v>
      </c>
      <c r="H1366" s="1">
        <v>44957</v>
      </c>
      <c r="I1366" s="1"/>
      <c r="K1366">
        <v>3.1</v>
      </c>
      <c r="L1366" t="s">
        <v>15</v>
      </c>
      <c r="M1366" t="s">
        <v>1896</v>
      </c>
      <c r="N1366" t="s">
        <v>1887</v>
      </c>
    </row>
    <row r="1367" spans="1:14" x14ac:dyDescent="0.35">
      <c r="A1367" t="s">
        <v>3291</v>
      </c>
      <c r="B1367" t="s">
        <v>1934</v>
      </c>
      <c r="C1367" t="s">
        <v>99</v>
      </c>
      <c r="D1367" t="s">
        <v>1883</v>
      </c>
      <c r="E1367" t="s">
        <v>1905</v>
      </c>
      <c r="F1367" t="s">
        <v>1885</v>
      </c>
      <c r="G1367">
        <v>26240</v>
      </c>
      <c r="H1367" s="1">
        <v>45704</v>
      </c>
      <c r="I1367" s="1">
        <v>45865</v>
      </c>
      <c r="J1367">
        <v>161</v>
      </c>
      <c r="L1367" t="s">
        <v>30</v>
      </c>
      <c r="M1367" t="s">
        <v>1912</v>
      </c>
      <c r="N1367" t="s">
        <v>1887</v>
      </c>
    </row>
    <row r="1368" spans="1:14" x14ac:dyDescent="0.35">
      <c r="A1368" t="s">
        <v>3292</v>
      </c>
      <c r="B1368" t="s">
        <v>1924</v>
      </c>
      <c r="C1368" t="s">
        <v>374</v>
      </c>
      <c r="D1368" t="s">
        <v>1915</v>
      </c>
      <c r="E1368" t="s">
        <v>1891</v>
      </c>
      <c r="F1368" t="s">
        <v>1900</v>
      </c>
      <c r="G1368">
        <v>441817</v>
      </c>
      <c r="H1368" s="1">
        <v>45154</v>
      </c>
      <c r="I1368" s="1">
        <v>45311</v>
      </c>
      <c r="J1368">
        <v>157</v>
      </c>
      <c r="K1368">
        <v>15.8</v>
      </c>
      <c r="L1368" t="s">
        <v>15</v>
      </c>
      <c r="M1368" t="s">
        <v>1932</v>
      </c>
      <c r="N1368" t="s">
        <v>1887</v>
      </c>
    </row>
    <row r="1369" spans="1:14" x14ac:dyDescent="0.35">
      <c r="A1369" t="s">
        <v>3293</v>
      </c>
      <c r="B1369" t="s">
        <v>1922</v>
      </c>
      <c r="C1369" t="s">
        <v>116</v>
      </c>
      <c r="D1369" t="s">
        <v>1899</v>
      </c>
      <c r="E1369" t="s">
        <v>1905</v>
      </c>
      <c r="F1369" t="s">
        <v>1900</v>
      </c>
      <c r="G1369">
        <v>410372</v>
      </c>
      <c r="H1369" s="1">
        <v>45490</v>
      </c>
      <c r="I1369" s="1">
        <v>45604</v>
      </c>
      <c r="J1369">
        <v>114</v>
      </c>
      <c r="K1369">
        <v>10.1</v>
      </c>
      <c r="L1369" t="s">
        <v>15</v>
      </c>
      <c r="M1369" t="s">
        <v>1953</v>
      </c>
      <c r="N1369" t="s">
        <v>1887</v>
      </c>
    </row>
    <row r="1370" spans="1:14" x14ac:dyDescent="0.35">
      <c r="A1370" t="s">
        <v>3294</v>
      </c>
      <c r="B1370" t="s">
        <v>1922</v>
      </c>
      <c r="C1370" t="s">
        <v>97</v>
      </c>
      <c r="D1370" t="s">
        <v>1883</v>
      </c>
      <c r="E1370" t="s">
        <v>1884</v>
      </c>
      <c r="F1370" t="s">
        <v>1885</v>
      </c>
      <c r="G1370">
        <v>416716</v>
      </c>
      <c r="H1370" s="1">
        <v>45376</v>
      </c>
      <c r="I1370" s="1">
        <v>45415</v>
      </c>
      <c r="J1370">
        <v>39</v>
      </c>
      <c r="L1370" t="s">
        <v>47</v>
      </c>
      <c r="M1370" t="s">
        <v>1916</v>
      </c>
      <c r="N1370" t="s">
        <v>1887</v>
      </c>
    </row>
    <row r="1371" spans="1:14" x14ac:dyDescent="0.35">
      <c r="A1371" t="s">
        <v>3295</v>
      </c>
      <c r="B1371" t="s">
        <v>1922</v>
      </c>
      <c r="C1371" t="s">
        <v>243</v>
      </c>
      <c r="D1371" t="s">
        <v>1883</v>
      </c>
      <c r="E1371" t="s">
        <v>1905</v>
      </c>
      <c r="F1371" t="s">
        <v>1895</v>
      </c>
      <c r="G1371">
        <v>327992</v>
      </c>
      <c r="H1371" s="1">
        <v>45116</v>
      </c>
      <c r="I1371" s="1"/>
      <c r="K1371">
        <v>3.8</v>
      </c>
      <c r="L1371" t="s">
        <v>21</v>
      </c>
      <c r="M1371" t="s">
        <v>1932</v>
      </c>
      <c r="N1371" t="s">
        <v>1887</v>
      </c>
    </row>
    <row r="1372" spans="1:14" x14ac:dyDescent="0.35">
      <c r="A1372" t="s">
        <v>3296</v>
      </c>
      <c r="B1372" t="s">
        <v>1898</v>
      </c>
      <c r="C1372" t="s">
        <v>353</v>
      </c>
      <c r="D1372" t="s">
        <v>1915</v>
      </c>
      <c r="E1372" t="s">
        <v>1931</v>
      </c>
      <c r="F1372" t="s">
        <v>1895</v>
      </c>
      <c r="G1372">
        <v>397587</v>
      </c>
      <c r="H1372" s="1">
        <v>45449</v>
      </c>
      <c r="I1372" s="1"/>
      <c r="L1372" t="s">
        <v>30</v>
      </c>
      <c r="M1372" t="s">
        <v>1935</v>
      </c>
      <c r="N1372" t="s">
        <v>1887</v>
      </c>
    </row>
    <row r="1373" spans="1:14" x14ac:dyDescent="0.35">
      <c r="A1373" t="s">
        <v>3297</v>
      </c>
      <c r="B1373" t="s">
        <v>1926</v>
      </c>
      <c r="C1373" t="s">
        <v>255</v>
      </c>
      <c r="D1373" t="s">
        <v>1904</v>
      </c>
      <c r="E1373" t="s">
        <v>1587</v>
      </c>
      <c r="F1373" t="s">
        <v>1885</v>
      </c>
      <c r="G1373">
        <v>410708</v>
      </c>
      <c r="H1373" s="1">
        <v>45328</v>
      </c>
      <c r="I1373" s="1">
        <v>45390</v>
      </c>
      <c r="J1373">
        <v>62</v>
      </c>
      <c r="L1373" t="s">
        <v>47</v>
      </c>
      <c r="M1373" t="s">
        <v>1916</v>
      </c>
      <c r="N1373" t="s">
        <v>1887</v>
      </c>
    </row>
    <row r="1374" spans="1:14" x14ac:dyDescent="0.35">
      <c r="A1374" t="s">
        <v>3298</v>
      </c>
      <c r="B1374" t="s">
        <v>1934</v>
      </c>
      <c r="C1374" t="s">
        <v>112</v>
      </c>
      <c r="D1374" t="s">
        <v>1904</v>
      </c>
      <c r="E1374" t="s">
        <v>1678</v>
      </c>
      <c r="F1374" t="s">
        <v>1900</v>
      </c>
      <c r="G1374">
        <v>239695</v>
      </c>
      <c r="H1374" s="1">
        <v>45379</v>
      </c>
      <c r="I1374" s="1">
        <v>45546</v>
      </c>
      <c r="J1374">
        <v>167</v>
      </c>
      <c r="K1374">
        <v>16.600000000000001</v>
      </c>
      <c r="L1374" t="s">
        <v>15</v>
      </c>
      <c r="M1374" t="s">
        <v>1916</v>
      </c>
      <c r="N1374" t="s">
        <v>1887</v>
      </c>
    </row>
    <row r="1375" spans="1:14" x14ac:dyDescent="0.35">
      <c r="A1375" t="s">
        <v>3299</v>
      </c>
      <c r="B1375" t="s">
        <v>1934</v>
      </c>
      <c r="C1375" t="s">
        <v>131</v>
      </c>
      <c r="D1375" t="s">
        <v>1915</v>
      </c>
      <c r="E1375" t="s">
        <v>1678</v>
      </c>
      <c r="F1375" t="s">
        <v>1900</v>
      </c>
      <c r="G1375">
        <v>238985</v>
      </c>
      <c r="H1375" s="1">
        <v>45081</v>
      </c>
      <c r="I1375" s="1">
        <v>45205</v>
      </c>
      <c r="J1375">
        <v>124</v>
      </c>
      <c r="K1375">
        <v>2.2999999999999998</v>
      </c>
      <c r="L1375" t="s">
        <v>30</v>
      </c>
      <c r="M1375" t="s">
        <v>1893</v>
      </c>
      <c r="N1375" t="s">
        <v>1887</v>
      </c>
    </row>
    <row r="1376" spans="1:14" x14ac:dyDescent="0.35">
      <c r="A1376" t="s">
        <v>3300</v>
      </c>
      <c r="B1376" t="s">
        <v>1898</v>
      </c>
      <c r="C1376" t="s">
        <v>280</v>
      </c>
      <c r="D1376" t="s">
        <v>1915</v>
      </c>
      <c r="E1376" t="s">
        <v>1905</v>
      </c>
      <c r="F1376" t="s">
        <v>1908</v>
      </c>
      <c r="G1376">
        <v>372810</v>
      </c>
      <c r="H1376" s="1">
        <v>45701</v>
      </c>
      <c r="I1376" s="1"/>
      <c r="K1376">
        <v>4.7</v>
      </c>
      <c r="L1376" t="s">
        <v>47</v>
      </c>
      <c r="M1376" t="s">
        <v>1912</v>
      </c>
      <c r="N1376" t="s">
        <v>1887</v>
      </c>
    </row>
    <row r="1377" spans="1:14" x14ac:dyDescent="0.35">
      <c r="A1377" t="s">
        <v>3301</v>
      </c>
      <c r="B1377" t="s">
        <v>1922</v>
      </c>
      <c r="C1377" t="s">
        <v>216</v>
      </c>
      <c r="D1377" t="s">
        <v>1890</v>
      </c>
      <c r="E1377" t="s">
        <v>1905</v>
      </c>
      <c r="F1377" t="s">
        <v>1900</v>
      </c>
      <c r="G1377">
        <v>408283</v>
      </c>
      <c r="H1377" s="1">
        <v>45055</v>
      </c>
      <c r="I1377" s="1">
        <v>45076</v>
      </c>
      <c r="J1377">
        <v>21</v>
      </c>
      <c r="K1377">
        <v>4</v>
      </c>
      <c r="L1377" t="s">
        <v>47</v>
      </c>
      <c r="M1377" t="s">
        <v>1893</v>
      </c>
      <c r="N1377" t="s">
        <v>1887</v>
      </c>
    </row>
    <row r="1378" spans="1:14" x14ac:dyDescent="0.35">
      <c r="A1378" t="s">
        <v>3302</v>
      </c>
      <c r="B1378" t="s">
        <v>1889</v>
      </c>
      <c r="C1378" t="s">
        <v>310</v>
      </c>
      <c r="D1378" t="s">
        <v>1890</v>
      </c>
      <c r="E1378" t="s">
        <v>1891</v>
      </c>
      <c r="F1378" t="s">
        <v>1900</v>
      </c>
      <c r="G1378">
        <v>144586</v>
      </c>
      <c r="H1378" s="1">
        <v>45405</v>
      </c>
      <c r="I1378" s="1">
        <v>45496</v>
      </c>
      <c r="J1378">
        <v>91</v>
      </c>
      <c r="K1378">
        <v>15.3</v>
      </c>
      <c r="L1378" t="s">
        <v>30</v>
      </c>
      <c r="M1378" t="s">
        <v>1935</v>
      </c>
      <c r="N1378" t="s">
        <v>1887</v>
      </c>
    </row>
    <row r="1379" spans="1:14" x14ac:dyDescent="0.35">
      <c r="A1379" t="s">
        <v>3303</v>
      </c>
      <c r="B1379" t="s">
        <v>1934</v>
      </c>
      <c r="C1379" t="s">
        <v>444</v>
      </c>
      <c r="D1379" t="s">
        <v>1883</v>
      </c>
      <c r="E1379" t="s">
        <v>1918</v>
      </c>
      <c r="F1379" t="s">
        <v>1895</v>
      </c>
      <c r="G1379">
        <v>137156</v>
      </c>
      <c r="H1379" s="1">
        <v>45396</v>
      </c>
      <c r="I1379" s="1"/>
      <c r="K1379">
        <v>7.8</v>
      </c>
      <c r="L1379" t="s">
        <v>15</v>
      </c>
      <c r="M1379" t="s">
        <v>1935</v>
      </c>
      <c r="N1379" t="s">
        <v>1887</v>
      </c>
    </row>
    <row r="1380" spans="1:14" x14ac:dyDescent="0.35">
      <c r="A1380" t="s">
        <v>3304</v>
      </c>
      <c r="B1380" t="s">
        <v>1903</v>
      </c>
      <c r="C1380" t="s">
        <v>481</v>
      </c>
      <c r="D1380" t="s">
        <v>1904</v>
      </c>
      <c r="E1380" t="s">
        <v>1587</v>
      </c>
      <c r="F1380" t="s">
        <v>1908</v>
      </c>
      <c r="G1380">
        <v>304833</v>
      </c>
      <c r="H1380" s="1">
        <v>45668</v>
      </c>
      <c r="I1380" s="1"/>
      <c r="L1380" t="s">
        <v>15</v>
      </c>
      <c r="M1380" t="s">
        <v>1912</v>
      </c>
      <c r="N1380" t="s">
        <v>1887</v>
      </c>
    </row>
    <row r="1381" spans="1:14" x14ac:dyDescent="0.35">
      <c r="A1381" t="s">
        <v>3305</v>
      </c>
      <c r="B1381" t="s">
        <v>1937</v>
      </c>
      <c r="C1381" t="s">
        <v>188</v>
      </c>
      <c r="D1381" t="s">
        <v>1890</v>
      </c>
      <c r="E1381" t="s">
        <v>1587</v>
      </c>
      <c r="F1381" t="s">
        <v>1900</v>
      </c>
      <c r="G1381">
        <v>134691</v>
      </c>
      <c r="H1381" s="1">
        <v>45257</v>
      </c>
      <c r="I1381" s="1">
        <v>45274</v>
      </c>
      <c r="J1381">
        <v>17</v>
      </c>
      <c r="K1381">
        <v>12.1</v>
      </c>
      <c r="L1381" t="s">
        <v>21</v>
      </c>
      <c r="M1381" t="s">
        <v>1886</v>
      </c>
      <c r="N1381" t="s">
        <v>1887</v>
      </c>
    </row>
    <row r="1382" spans="1:14" x14ac:dyDescent="0.35">
      <c r="A1382" t="s">
        <v>3306</v>
      </c>
      <c r="B1382" t="s">
        <v>1944</v>
      </c>
      <c r="C1382" t="s">
        <v>283</v>
      </c>
      <c r="D1382" t="s">
        <v>1890</v>
      </c>
      <c r="E1382" t="s">
        <v>1918</v>
      </c>
      <c r="F1382" t="s">
        <v>1885</v>
      </c>
      <c r="G1382">
        <v>310942</v>
      </c>
      <c r="H1382" s="1">
        <v>45502</v>
      </c>
      <c r="I1382" s="1">
        <v>45600</v>
      </c>
      <c r="J1382">
        <v>98</v>
      </c>
      <c r="K1382">
        <v>3.4</v>
      </c>
      <c r="L1382" t="s">
        <v>30</v>
      </c>
      <c r="M1382" t="s">
        <v>1953</v>
      </c>
      <c r="N1382" t="s">
        <v>1887</v>
      </c>
    </row>
    <row r="1383" spans="1:14" x14ac:dyDescent="0.35">
      <c r="A1383" t="s">
        <v>3307</v>
      </c>
      <c r="B1383" t="s">
        <v>1903</v>
      </c>
      <c r="C1383" t="s">
        <v>488</v>
      </c>
      <c r="D1383" t="s">
        <v>1899</v>
      </c>
      <c r="E1383" t="s">
        <v>1931</v>
      </c>
      <c r="F1383" t="s">
        <v>1900</v>
      </c>
      <c r="G1383">
        <v>26921</v>
      </c>
      <c r="H1383" s="1">
        <v>45194</v>
      </c>
      <c r="I1383" s="1">
        <v>45260</v>
      </c>
      <c r="J1383">
        <v>66</v>
      </c>
      <c r="K1383">
        <v>19.100000000000001</v>
      </c>
      <c r="L1383" t="s">
        <v>15</v>
      </c>
      <c r="M1383" t="s">
        <v>1932</v>
      </c>
      <c r="N1383" t="s">
        <v>1887</v>
      </c>
    </row>
    <row r="1384" spans="1:14" x14ac:dyDescent="0.35">
      <c r="A1384" t="s">
        <v>3308</v>
      </c>
      <c r="B1384" t="s">
        <v>1911</v>
      </c>
      <c r="C1384" t="s">
        <v>395</v>
      </c>
      <c r="D1384" t="s">
        <v>1915</v>
      </c>
      <c r="E1384" t="s">
        <v>1678</v>
      </c>
      <c r="F1384" t="s">
        <v>1908</v>
      </c>
      <c r="G1384">
        <v>330018</v>
      </c>
      <c r="H1384" s="1">
        <v>45083</v>
      </c>
      <c r="I1384" s="1"/>
      <c r="K1384">
        <v>8.5</v>
      </c>
      <c r="L1384" t="s">
        <v>47</v>
      </c>
      <c r="M1384" t="s">
        <v>1893</v>
      </c>
      <c r="N1384" t="s">
        <v>1887</v>
      </c>
    </row>
    <row r="1385" spans="1:14" x14ac:dyDescent="0.35">
      <c r="A1385" t="s">
        <v>3309</v>
      </c>
      <c r="B1385" t="s">
        <v>1920</v>
      </c>
      <c r="C1385" t="s">
        <v>473</v>
      </c>
      <c r="D1385" t="s">
        <v>1904</v>
      </c>
      <c r="E1385" t="s">
        <v>1884</v>
      </c>
      <c r="F1385" t="s">
        <v>1900</v>
      </c>
      <c r="G1385">
        <v>378366</v>
      </c>
      <c r="H1385" s="1">
        <v>45059</v>
      </c>
      <c r="I1385" s="1">
        <v>45199</v>
      </c>
      <c r="J1385">
        <v>140</v>
      </c>
      <c r="K1385">
        <v>16.100000000000001</v>
      </c>
      <c r="L1385" t="s">
        <v>30</v>
      </c>
      <c r="M1385" t="s">
        <v>1893</v>
      </c>
      <c r="N1385" t="s">
        <v>1887</v>
      </c>
    </row>
    <row r="1386" spans="1:14" x14ac:dyDescent="0.35">
      <c r="A1386" t="s">
        <v>3310</v>
      </c>
      <c r="B1386" t="s">
        <v>1898</v>
      </c>
      <c r="C1386" t="s">
        <v>268</v>
      </c>
      <c r="D1386" t="s">
        <v>1899</v>
      </c>
      <c r="E1386" t="s">
        <v>1931</v>
      </c>
      <c r="F1386" t="s">
        <v>1900</v>
      </c>
      <c r="G1386">
        <v>294146</v>
      </c>
      <c r="H1386" s="1">
        <v>45122</v>
      </c>
      <c r="I1386" s="1">
        <v>45143</v>
      </c>
      <c r="J1386">
        <v>21</v>
      </c>
      <c r="K1386">
        <v>7.4</v>
      </c>
      <c r="L1386" t="s">
        <v>15</v>
      </c>
      <c r="M1386" t="s">
        <v>1932</v>
      </c>
      <c r="N1386" t="s">
        <v>1887</v>
      </c>
    </row>
    <row r="1387" spans="1:14" x14ac:dyDescent="0.35">
      <c r="A1387" t="s">
        <v>3311</v>
      </c>
      <c r="B1387" t="s">
        <v>1937</v>
      </c>
      <c r="C1387" t="s">
        <v>413</v>
      </c>
      <c r="D1387" t="s">
        <v>1890</v>
      </c>
      <c r="E1387" t="s">
        <v>1678</v>
      </c>
      <c r="F1387" t="s">
        <v>1946</v>
      </c>
      <c r="G1387">
        <v>482598</v>
      </c>
      <c r="H1387" s="1">
        <v>44947</v>
      </c>
      <c r="I1387" s="1"/>
      <c r="K1387">
        <v>10.4</v>
      </c>
      <c r="L1387" t="s">
        <v>21</v>
      </c>
      <c r="M1387" t="s">
        <v>1896</v>
      </c>
      <c r="N1387" t="s">
        <v>1887</v>
      </c>
    </row>
    <row r="1388" spans="1:14" x14ac:dyDescent="0.35">
      <c r="A1388" t="s">
        <v>3312</v>
      </c>
      <c r="B1388" t="s">
        <v>1903</v>
      </c>
      <c r="C1388" t="s">
        <v>428</v>
      </c>
      <c r="D1388" t="s">
        <v>1883</v>
      </c>
      <c r="E1388" t="s">
        <v>1884</v>
      </c>
      <c r="F1388" t="s">
        <v>1900</v>
      </c>
      <c r="G1388">
        <v>77165</v>
      </c>
      <c r="H1388" s="1">
        <v>45207</v>
      </c>
      <c r="I1388" s="1">
        <v>45343</v>
      </c>
      <c r="J1388">
        <v>136</v>
      </c>
      <c r="K1388">
        <v>16.7</v>
      </c>
      <c r="L1388" t="s">
        <v>30</v>
      </c>
      <c r="M1388" t="s">
        <v>1886</v>
      </c>
      <c r="N1388" t="s">
        <v>1887</v>
      </c>
    </row>
    <row r="1389" spans="1:14" x14ac:dyDescent="0.35">
      <c r="A1389" t="s">
        <v>3313</v>
      </c>
      <c r="B1389" t="s">
        <v>1898</v>
      </c>
      <c r="C1389" t="s">
        <v>175</v>
      </c>
      <c r="D1389" t="s">
        <v>1890</v>
      </c>
      <c r="E1389" t="s">
        <v>1678</v>
      </c>
      <c r="F1389" t="s">
        <v>1900</v>
      </c>
      <c r="G1389">
        <v>21411</v>
      </c>
      <c r="H1389" s="1">
        <v>45450</v>
      </c>
      <c r="I1389" s="1">
        <v>45555</v>
      </c>
      <c r="J1389">
        <v>105</v>
      </c>
      <c r="K1389">
        <v>9.9</v>
      </c>
      <c r="L1389" t="s">
        <v>15</v>
      </c>
      <c r="M1389" t="s">
        <v>1935</v>
      </c>
      <c r="N1389" t="s">
        <v>1887</v>
      </c>
    </row>
    <row r="1390" spans="1:14" x14ac:dyDescent="0.35">
      <c r="A1390" t="s">
        <v>3314</v>
      </c>
      <c r="B1390" t="s">
        <v>1944</v>
      </c>
      <c r="C1390" t="s">
        <v>326</v>
      </c>
      <c r="D1390" t="s">
        <v>1904</v>
      </c>
      <c r="E1390" t="s">
        <v>1891</v>
      </c>
      <c r="F1390" t="s">
        <v>1892</v>
      </c>
      <c r="G1390">
        <v>115757</v>
      </c>
      <c r="H1390" s="1">
        <v>45549</v>
      </c>
      <c r="I1390" s="1"/>
      <c r="K1390">
        <v>13.1</v>
      </c>
      <c r="L1390" t="s">
        <v>15</v>
      </c>
      <c r="M1390" t="s">
        <v>1953</v>
      </c>
      <c r="N1390" t="s">
        <v>1887</v>
      </c>
    </row>
    <row r="1391" spans="1:14" x14ac:dyDescent="0.35">
      <c r="A1391" t="s">
        <v>3315</v>
      </c>
      <c r="B1391" t="s">
        <v>1882</v>
      </c>
      <c r="C1391" t="s">
        <v>97</v>
      </c>
      <c r="D1391" t="s">
        <v>1899</v>
      </c>
      <c r="E1391" t="s">
        <v>1945</v>
      </c>
      <c r="F1391" t="s">
        <v>1900</v>
      </c>
      <c r="G1391">
        <v>314855</v>
      </c>
      <c r="H1391" s="1">
        <v>45616</v>
      </c>
      <c r="I1391" s="1">
        <v>45637</v>
      </c>
      <c r="J1391">
        <v>21</v>
      </c>
      <c r="K1391">
        <v>20.399999999999999</v>
      </c>
      <c r="L1391" t="s">
        <v>47</v>
      </c>
      <c r="M1391" t="s">
        <v>1901</v>
      </c>
      <c r="N1391" t="s">
        <v>1887</v>
      </c>
    </row>
    <row r="1392" spans="1:14" x14ac:dyDescent="0.35">
      <c r="A1392" t="s">
        <v>3316</v>
      </c>
      <c r="B1392" t="s">
        <v>1944</v>
      </c>
      <c r="C1392" t="s">
        <v>309</v>
      </c>
      <c r="D1392" t="s">
        <v>1890</v>
      </c>
      <c r="E1392" t="s">
        <v>1918</v>
      </c>
      <c r="F1392" t="s">
        <v>1895</v>
      </c>
      <c r="G1392">
        <v>148059</v>
      </c>
      <c r="H1392" s="1">
        <v>45577</v>
      </c>
      <c r="I1392" s="1"/>
      <c r="L1392" t="s">
        <v>30</v>
      </c>
      <c r="M1392" t="s">
        <v>1901</v>
      </c>
      <c r="N1392" t="s">
        <v>1887</v>
      </c>
    </row>
    <row r="1393" spans="1:14" x14ac:dyDescent="0.35">
      <c r="A1393" t="s">
        <v>3317</v>
      </c>
      <c r="B1393" t="s">
        <v>1889</v>
      </c>
      <c r="C1393" t="s">
        <v>432</v>
      </c>
      <c r="D1393" t="s">
        <v>1915</v>
      </c>
      <c r="E1393" t="s">
        <v>1891</v>
      </c>
      <c r="F1393" t="s">
        <v>1900</v>
      </c>
      <c r="G1393">
        <v>463717</v>
      </c>
      <c r="H1393" s="1">
        <v>45204</v>
      </c>
      <c r="I1393" s="1">
        <v>45374</v>
      </c>
      <c r="J1393">
        <v>170</v>
      </c>
      <c r="K1393">
        <v>1.2</v>
      </c>
      <c r="L1393" t="s">
        <v>21</v>
      </c>
      <c r="M1393" t="s">
        <v>1886</v>
      </c>
      <c r="N1393" t="s">
        <v>1887</v>
      </c>
    </row>
    <row r="1394" spans="1:14" x14ac:dyDescent="0.35">
      <c r="A1394" t="s">
        <v>3318</v>
      </c>
      <c r="B1394" t="s">
        <v>1930</v>
      </c>
      <c r="C1394" t="s">
        <v>85</v>
      </c>
      <c r="D1394" t="s">
        <v>1890</v>
      </c>
      <c r="E1394" t="s">
        <v>1587</v>
      </c>
      <c r="F1394" t="s">
        <v>1885</v>
      </c>
      <c r="G1394">
        <v>289377</v>
      </c>
      <c r="H1394" s="1">
        <v>45191</v>
      </c>
      <c r="I1394" s="1">
        <v>45304</v>
      </c>
      <c r="J1394">
        <v>113</v>
      </c>
      <c r="K1394">
        <v>1.9</v>
      </c>
      <c r="L1394" t="s">
        <v>15</v>
      </c>
      <c r="M1394" t="s">
        <v>1932</v>
      </c>
      <c r="N1394" t="s">
        <v>1887</v>
      </c>
    </row>
    <row r="1395" spans="1:14" x14ac:dyDescent="0.35">
      <c r="A1395" t="s">
        <v>3319</v>
      </c>
      <c r="B1395" t="s">
        <v>1907</v>
      </c>
      <c r="C1395" t="s">
        <v>97</v>
      </c>
      <c r="D1395" t="s">
        <v>1904</v>
      </c>
      <c r="E1395" t="s">
        <v>1884</v>
      </c>
      <c r="F1395" t="s">
        <v>1900</v>
      </c>
      <c r="G1395">
        <v>163687</v>
      </c>
      <c r="H1395" s="1">
        <v>45061</v>
      </c>
      <c r="I1395" s="1">
        <v>45123</v>
      </c>
      <c r="J1395">
        <v>62</v>
      </c>
      <c r="K1395">
        <v>2.2999999999999998</v>
      </c>
      <c r="L1395" t="s">
        <v>30</v>
      </c>
      <c r="M1395" t="s">
        <v>1893</v>
      </c>
      <c r="N1395" t="s">
        <v>1887</v>
      </c>
    </row>
    <row r="1396" spans="1:14" x14ac:dyDescent="0.35">
      <c r="A1396" t="s">
        <v>3320</v>
      </c>
      <c r="B1396" t="s">
        <v>1898</v>
      </c>
      <c r="C1396" t="s">
        <v>211</v>
      </c>
      <c r="D1396" t="s">
        <v>1890</v>
      </c>
      <c r="E1396" t="s">
        <v>1931</v>
      </c>
      <c r="F1396" t="s">
        <v>1885</v>
      </c>
      <c r="G1396">
        <v>266624</v>
      </c>
      <c r="H1396" s="1">
        <v>45676</v>
      </c>
      <c r="I1396" s="1">
        <v>45823</v>
      </c>
      <c r="J1396">
        <v>147</v>
      </c>
      <c r="K1396">
        <v>12.9</v>
      </c>
      <c r="L1396" t="s">
        <v>15</v>
      </c>
      <c r="M1396" t="s">
        <v>1912</v>
      </c>
      <c r="N1396" t="s">
        <v>1887</v>
      </c>
    </row>
    <row r="1397" spans="1:14" x14ac:dyDescent="0.35">
      <c r="A1397" t="s">
        <v>3321</v>
      </c>
      <c r="B1397" t="s">
        <v>1898</v>
      </c>
      <c r="C1397" t="s">
        <v>421</v>
      </c>
      <c r="D1397" t="s">
        <v>1899</v>
      </c>
      <c r="E1397" t="s">
        <v>1931</v>
      </c>
      <c r="F1397" t="s">
        <v>1892</v>
      </c>
      <c r="G1397">
        <v>11889</v>
      </c>
      <c r="H1397" s="1">
        <v>45642</v>
      </c>
      <c r="I1397" s="1"/>
      <c r="K1397">
        <v>9.1</v>
      </c>
      <c r="L1397" t="s">
        <v>30</v>
      </c>
      <c r="M1397" t="s">
        <v>1901</v>
      </c>
      <c r="N1397" t="s">
        <v>1887</v>
      </c>
    </row>
    <row r="1398" spans="1:14" x14ac:dyDescent="0.35">
      <c r="A1398" t="s">
        <v>3322</v>
      </c>
      <c r="B1398" t="s">
        <v>1924</v>
      </c>
      <c r="C1398" t="s">
        <v>366</v>
      </c>
      <c r="D1398" t="s">
        <v>1890</v>
      </c>
      <c r="E1398" t="s">
        <v>1918</v>
      </c>
      <c r="F1398" t="s">
        <v>1885</v>
      </c>
      <c r="G1398">
        <v>127745</v>
      </c>
      <c r="H1398" s="1">
        <v>45515</v>
      </c>
      <c r="I1398" s="1">
        <v>45691</v>
      </c>
      <c r="J1398">
        <v>176</v>
      </c>
      <c r="K1398">
        <v>6.3</v>
      </c>
      <c r="L1398" t="s">
        <v>47</v>
      </c>
      <c r="M1398" t="s">
        <v>1953</v>
      </c>
      <c r="N1398" t="s">
        <v>1887</v>
      </c>
    </row>
    <row r="1399" spans="1:14" x14ac:dyDescent="0.35">
      <c r="A1399" t="s">
        <v>3323</v>
      </c>
      <c r="B1399" t="s">
        <v>1930</v>
      </c>
      <c r="C1399" t="s">
        <v>461</v>
      </c>
      <c r="D1399" t="s">
        <v>1899</v>
      </c>
      <c r="E1399" t="s">
        <v>1587</v>
      </c>
      <c r="F1399" t="s">
        <v>1900</v>
      </c>
      <c r="G1399">
        <v>340552</v>
      </c>
      <c r="H1399" s="1">
        <v>45738</v>
      </c>
      <c r="I1399" s="1">
        <v>45839</v>
      </c>
      <c r="J1399">
        <v>101</v>
      </c>
      <c r="K1399">
        <v>23.4</v>
      </c>
      <c r="L1399" t="s">
        <v>30</v>
      </c>
      <c r="M1399" t="s">
        <v>1912</v>
      </c>
      <c r="N1399" t="s">
        <v>1887</v>
      </c>
    </row>
    <row r="1400" spans="1:14" x14ac:dyDescent="0.35">
      <c r="A1400" t="s">
        <v>3324</v>
      </c>
      <c r="B1400" t="s">
        <v>1926</v>
      </c>
      <c r="C1400" t="s">
        <v>386</v>
      </c>
      <c r="D1400" t="s">
        <v>1883</v>
      </c>
      <c r="E1400" t="s">
        <v>1905</v>
      </c>
      <c r="F1400" t="s">
        <v>1892</v>
      </c>
      <c r="G1400">
        <v>141204</v>
      </c>
      <c r="H1400" s="1">
        <v>45313</v>
      </c>
      <c r="I1400" s="1"/>
      <c r="K1400">
        <v>8.1</v>
      </c>
      <c r="L1400" t="s">
        <v>30</v>
      </c>
      <c r="M1400" t="s">
        <v>1916</v>
      </c>
      <c r="N1400" t="s">
        <v>1887</v>
      </c>
    </row>
    <row r="1401" spans="1:14" x14ac:dyDescent="0.35">
      <c r="A1401" t="s">
        <v>3325</v>
      </c>
      <c r="B1401" t="s">
        <v>1920</v>
      </c>
      <c r="C1401" t="s">
        <v>475</v>
      </c>
      <c r="D1401" t="s">
        <v>1927</v>
      </c>
      <c r="E1401" t="s">
        <v>1931</v>
      </c>
      <c r="F1401" t="s">
        <v>1900</v>
      </c>
      <c r="G1401">
        <v>68442</v>
      </c>
      <c r="H1401" s="1">
        <v>45113</v>
      </c>
      <c r="I1401" s="1">
        <v>45252</v>
      </c>
      <c r="J1401">
        <v>139</v>
      </c>
      <c r="K1401">
        <v>22.3</v>
      </c>
      <c r="L1401" t="s">
        <v>30</v>
      </c>
      <c r="M1401" t="s">
        <v>1932</v>
      </c>
      <c r="N1401" t="s">
        <v>1887</v>
      </c>
    </row>
    <row r="1402" spans="1:14" x14ac:dyDescent="0.35">
      <c r="A1402" t="s">
        <v>3326</v>
      </c>
      <c r="B1402" t="s">
        <v>1926</v>
      </c>
      <c r="C1402" t="s">
        <v>182</v>
      </c>
      <c r="D1402" t="s">
        <v>1927</v>
      </c>
      <c r="E1402" t="s">
        <v>1600</v>
      </c>
      <c r="F1402" t="s">
        <v>1946</v>
      </c>
      <c r="G1402">
        <v>71763</v>
      </c>
      <c r="H1402" s="1">
        <v>45487</v>
      </c>
      <c r="I1402" s="1"/>
      <c r="L1402" t="s">
        <v>21</v>
      </c>
      <c r="M1402" t="s">
        <v>1953</v>
      </c>
      <c r="N1402" t="s">
        <v>1887</v>
      </c>
    </row>
    <row r="1403" spans="1:14" x14ac:dyDescent="0.35">
      <c r="A1403" t="s">
        <v>3327</v>
      </c>
      <c r="B1403" t="s">
        <v>1889</v>
      </c>
      <c r="C1403" t="s">
        <v>176</v>
      </c>
      <c r="D1403" t="s">
        <v>1904</v>
      </c>
      <c r="E1403" t="s">
        <v>1884</v>
      </c>
      <c r="F1403" t="s">
        <v>1895</v>
      </c>
      <c r="G1403">
        <v>378321</v>
      </c>
      <c r="H1403" s="1">
        <v>45635</v>
      </c>
      <c r="I1403" s="1"/>
      <c r="K1403">
        <v>11.5</v>
      </c>
      <c r="L1403" t="s">
        <v>21</v>
      </c>
      <c r="M1403" t="s">
        <v>1901</v>
      </c>
      <c r="N1403" t="s">
        <v>1887</v>
      </c>
    </row>
    <row r="1404" spans="1:14" x14ac:dyDescent="0.35">
      <c r="A1404" t="s">
        <v>3328</v>
      </c>
      <c r="B1404" t="s">
        <v>1914</v>
      </c>
      <c r="C1404" t="s">
        <v>403</v>
      </c>
      <c r="D1404" t="s">
        <v>1904</v>
      </c>
      <c r="E1404" t="s">
        <v>1891</v>
      </c>
      <c r="F1404" t="s">
        <v>1892</v>
      </c>
      <c r="G1404">
        <v>85759</v>
      </c>
      <c r="H1404" s="1">
        <v>45213</v>
      </c>
      <c r="I1404" s="1"/>
      <c r="K1404">
        <v>4.7</v>
      </c>
      <c r="L1404" t="s">
        <v>15</v>
      </c>
      <c r="M1404" t="s">
        <v>1886</v>
      </c>
      <c r="N1404" t="s">
        <v>1887</v>
      </c>
    </row>
    <row r="1405" spans="1:14" x14ac:dyDescent="0.35">
      <c r="A1405" t="s">
        <v>3329</v>
      </c>
      <c r="B1405" t="s">
        <v>1930</v>
      </c>
      <c r="C1405" t="s">
        <v>462</v>
      </c>
      <c r="D1405" t="s">
        <v>1904</v>
      </c>
      <c r="E1405" t="s">
        <v>1587</v>
      </c>
      <c r="F1405" t="s">
        <v>1946</v>
      </c>
      <c r="G1405">
        <v>441173</v>
      </c>
      <c r="H1405" s="1">
        <v>45135</v>
      </c>
      <c r="I1405" s="1"/>
      <c r="K1405">
        <v>4.2</v>
      </c>
      <c r="L1405" t="s">
        <v>30</v>
      </c>
      <c r="M1405" t="s">
        <v>1932</v>
      </c>
      <c r="N1405" t="s">
        <v>1887</v>
      </c>
    </row>
    <row r="1406" spans="1:14" x14ac:dyDescent="0.35">
      <c r="A1406" t="s">
        <v>3330</v>
      </c>
      <c r="B1406" t="s">
        <v>1911</v>
      </c>
      <c r="C1406" t="s">
        <v>126</v>
      </c>
      <c r="D1406" t="s">
        <v>1927</v>
      </c>
      <c r="E1406" t="s">
        <v>1905</v>
      </c>
      <c r="F1406" t="s">
        <v>1885</v>
      </c>
      <c r="G1406">
        <v>151824</v>
      </c>
      <c r="H1406" s="1">
        <v>45033</v>
      </c>
      <c r="I1406" s="1">
        <v>45057</v>
      </c>
      <c r="J1406">
        <v>24</v>
      </c>
      <c r="K1406">
        <v>3.4</v>
      </c>
      <c r="L1406" t="s">
        <v>30</v>
      </c>
      <c r="M1406" t="s">
        <v>1893</v>
      </c>
      <c r="N1406" t="s">
        <v>1887</v>
      </c>
    </row>
    <row r="1407" spans="1:14" x14ac:dyDescent="0.35">
      <c r="A1407" t="s">
        <v>3331</v>
      </c>
      <c r="B1407" t="s">
        <v>1934</v>
      </c>
      <c r="C1407" t="s">
        <v>261</v>
      </c>
      <c r="D1407" t="s">
        <v>1899</v>
      </c>
      <c r="E1407" t="s">
        <v>1891</v>
      </c>
      <c r="F1407" t="s">
        <v>1946</v>
      </c>
      <c r="G1407">
        <v>67120</v>
      </c>
      <c r="H1407" s="1">
        <v>45267</v>
      </c>
      <c r="I1407" s="1"/>
      <c r="K1407">
        <v>2.2000000000000002</v>
      </c>
      <c r="L1407" t="s">
        <v>47</v>
      </c>
      <c r="M1407" t="s">
        <v>1886</v>
      </c>
      <c r="N1407" t="s">
        <v>1887</v>
      </c>
    </row>
    <row r="1408" spans="1:14" x14ac:dyDescent="0.35">
      <c r="A1408" t="s">
        <v>3332</v>
      </c>
      <c r="B1408" t="s">
        <v>1944</v>
      </c>
      <c r="C1408" t="s">
        <v>360</v>
      </c>
      <c r="D1408" t="s">
        <v>1899</v>
      </c>
      <c r="E1408" t="s">
        <v>1884</v>
      </c>
      <c r="F1408" t="s">
        <v>1908</v>
      </c>
      <c r="G1408">
        <v>181023</v>
      </c>
      <c r="H1408" s="1">
        <v>45247</v>
      </c>
      <c r="I1408" s="1"/>
      <c r="K1408">
        <v>9.5</v>
      </c>
      <c r="L1408" t="s">
        <v>30</v>
      </c>
      <c r="M1408" t="s">
        <v>1886</v>
      </c>
      <c r="N1408" t="s">
        <v>1887</v>
      </c>
    </row>
    <row r="1409" spans="1:14" x14ac:dyDescent="0.35">
      <c r="A1409" t="s">
        <v>3333</v>
      </c>
      <c r="B1409" t="s">
        <v>1898</v>
      </c>
      <c r="C1409" t="s">
        <v>216</v>
      </c>
      <c r="D1409" t="s">
        <v>1899</v>
      </c>
      <c r="E1409" t="s">
        <v>1587</v>
      </c>
      <c r="F1409" t="s">
        <v>1946</v>
      </c>
      <c r="G1409">
        <v>409839</v>
      </c>
      <c r="H1409" s="1">
        <v>45527</v>
      </c>
      <c r="I1409" s="1"/>
      <c r="K1409">
        <v>6.8</v>
      </c>
      <c r="L1409" t="s">
        <v>15</v>
      </c>
      <c r="M1409" t="s">
        <v>1953</v>
      </c>
      <c r="N1409" t="s">
        <v>1887</v>
      </c>
    </row>
    <row r="1410" spans="1:14" x14ac:dyDescent="0.35">
      <c r="A1410" t="s">
        <v>3334</v>
      </c>
      <c r="B1410" t="s">
        <v>1930</v>
      </c>
      <c r="C1410" t="s">
        <v>490</v>
      </c>
      <c r="D1410" t="s">
        <v>1883</v>
      </c>
      <c r="E1410" t="s">
        <v>1891</v>
      </c>
      <c r="F1410" t="s">
        <v>1908</v>
      </c>
      <c r="G1410">
        <v>322585</v>
      </c>
      <c r="H1410" s="1">
        <v>45643</v>
      </c>
      <c r="I1410" s="1"/>
      <c r="K1410">
        <v>4.9000000000000004</v>
      </c>
      <c r="L1410" t="s">
        <v>47</v>
      </c>
      <c r="M1410" t="s">
        <v>1901</v>
      </c>
      <c r="N1410" t="s">
        <v>1887</v>
      </c>
    </row>
    <row r="1411" spans="1:14" x14ac:dyDescent="0.35">
      <c r="A1411" t="s">
        <v>3335</v>
      </c>
      <c r="B1411" t="s">
        <v>1922</v>
      </c>
      <c r="C1411" t="s">
        <v>313</v>
      </c>
      <c r="D1411" t="s">
        <v>1890</v>
      </c>
      <c r="E1411" t="s">
        <v>1587</v>
      </c>
      <c r="F1411" t="s">
        <v>1908</v>
      </c>
      <c r="G1411">
        <v>198110</v>
      </c>
      <c r="H1411" s="1">
        <v>45552</v>
      </c>
      <c r="I1411" s="1"/>
      <c r="K1411">
        <v>14.7</v>
      </c>
      <c r="L1411" t="s">
        <v>30</v>
      </c>
      <c r="M1411" t="s">
        <v>1953</v>
      </c>
      <c r="N1411" t="s">
        <v>1887</v>
      </c>
    </row>
    <row r="1412" spans="1:14" x14ac:dyDescent="0.35">
      <c r="A1412" t="s">
        <v>3336</v>
      </c>
      <c r="B1412" t="s">
        <v>1934</v>
      </c>
      <c r="C1412" t="s">
        <v>94</v>
      </c>
      <c r="D1412" t="s">
        <v>1927</v>
      </c>
      <c r="E1412" t="s">
        <v>1884</v>
      </c>
      <c r="F1412" t="s">
        <v>1892</v>
      </c>
      <c r="G1412">
        <v>414652</v>
      </c>
      <c r="H1412" s="1">
        <v>45539</v>
      </c>
      <c r="I1412" s="1"/>
      <c r="K1412">
        <v>6</v>
      </c>
      <c r="L1412" t="s">
        <v>21</v>
      </c>
      <c r="M1412" t="s">
        <v>1953</v>
      </c>
      <c r="N1412" t="s">
        <v>1887</v>
      </c>
    </row>
    <row r="1413" spans="1:14" x14ac:dyDescent="0.35">
      <c r="A1413" t="s">
        <v>3337</v>
      </c>
      <c r="B1413" t="s">
        <v>1889</v>
      </c>
      <c r="C1413" t="s">
        <v>27</v>
      </c>
      <c r="D1413" t="s">
        <v>1883</v>
      </c>
      <c r="E1413" t="s">
        <v>1891</v>
      </c>
      <c r="F1413" t="s">
        <v>1885</v>
      </c>
      <c r="G1413">
        <v>389080</v>
      </c>
      <c r="H1413" s="1">
        <v>45067</v>
      </c>
      <c r="I1413" s="1">
        <v>45177</v>
      </c>
      <c r="J1413">
        <v>110</v>
      </c>
      <c r="K1413">
        <v>7.8</v>
      </c>
      <c r="L1413" t="s">
        <v>47</v>
      </c>
      <c r="M1413" t="s">
        <v>1893</v>
      </c>
      <c r="N1413" t="s">
        <v>1887</v>
      </c>
    </row>
    <row r="1414" spans="1:14" x14ac:dyDescent="0.35">
      <c r="A1414" t="s">
        <v>3338</v>
      </c>
      <c r="B1414" t="s">
        <v>1937</v>
      </c>
      <c r="C1414" t="s">
        <v>401</v>
      </c>
      <c r="D1414" t="s">
        <v>1927</v>
      </c>
      <c r="E1414" t="s">
        <v>1600</v>
      </c>
      <c r="F1414" t="s">
        <v>1895</v>
      </c>
      <c r="G1414">
        <v>81342</v>
      </c>
      <c r="H1414" s="1">
        <v>45740</v>
      </c>
      <c r="I1414" s="1"/>
      <c r="K1414">
        <v>1.6</v>
      </c>
      <c r="L1414" t="s">
        <v>15</v>
      </c>
      <c r="M1414" t="s">
        <v>1912</v>
      </c>
      <c r="N1414" t="s">
        <v>1887</v>
      </c>
    </row>
    <row r="1415" spans="1:14" x14ac:dyDescent="0.35">
      <c r="A1415" t="s">
        <v>3339</v>
      </c>
      <c r="B1415" t="s">
        <v>1944</v>
      </c>
      <c r="C1415" t="s">
        <v>400</v>
      </c>
      <c r="D1415" t="s">
        <v>1899</v>
      </c>
      <c r="E1415" t="s">
        <v>1918</v>
      </c>
      <c r="F1415" t="s">
        <v>1946</v>
      </c>
      <c r="G1415">
        <v>187381</v>
      </c>
      <c r="H1415" s="1">
        <v>45505</v>
      </c>
      <c r="I1415" s="1"/>
      <c r="L1415" t="s">
        <v>30</v>
      </c>
      <c r="M1415" t="s">
        <v>1953</v>
      </c>
      <c r="N1415" t="s">
        <v>1887</v>
      </c>
    </row>
    <row r="1416" spans="1:14" x14ac:dyDescent="0.35">
      <c r="A1416" t="s">
        <v>3340</v>
      </c>
      <c r="B1416" t="s">
        <v>1882</v>
      </c>
      <c r="C1416" t="s">
        <v>316</v>
      </c>
      <c r="D1416" t="s">
        <v>1927</v>
      </c>
      <c r="E1416" t="s">
        <v>1600</v>
      </c>
      <c r="F1416" t="s">
        <v>1895</v>
      </c>
      <c r="G1416">
        <v>127186</v>
      </c>
      <c r="H1416" s="1">
        <v>45614</v>
      </c>
      <c r="I1416" s="1"/>
      <c r="K1416">
        <v>6.5</v>
      </c>
      <c r="L1416" t="s">
        <v>30</v>
      </c>
      <c r="M1416" t="s">
        <v>1901</v>
      </c>
      <c r="N1416" t="s">
        <v>1887</v>
      </c>
    </row>
    <row r="1417" spans="1:14" x14ac:dyDescent="0.35">
      <c r="A1417" t="s">
        <v>3341</v>
      </c>
      <c r="B1417" t="s">
        <v>1944</v>
      </c>
      <c r="C1417" t="s">
        <v>392</v>
      </c>
      <c r="D1417" t="s">
        <v>1904</v>
      </c>
      <c r="E1417" t="s">
        <v>1905</v>
      </c>
      <c r="F1417" t="s">
        <v>1900</v>
      </c>
      <c r="G1417">
        <v>192123</v>
      </c>
      <c r="H1417" s="1">
        <v>45249</v>
      </c>
      <c r="I1417" s="1">
        <v>45327</v>
      </c>
      <c r="J1417">
        <v>78</v>
      </c>
      <c r="K1417">
        <v>1.4</v>
      </c>
      <c r="L1417" t="s">
        <v>21</v>
      </c>
      <c r="M1417" t="s">
        <v>1886</v>
      </c>
      <c r="N1417" t="s">
        <v>1887</v>
      </c>
    </row>
    <row r="1418" spans="1:14" x14ac:dyDescent="0.35">
      <c r="A1418" t="s">
        <v>3342</v>
      </c>
      <c r="B1418" t="s">
        <v>1944</v>
      </c>
      <c r="C1418" t="s">
        <v>429</v>
      </c>
      <c r="D1418" t="s">
        <v>1927</v>
      </c>
      <c r="E1418" t="s">
        <v>1918</v>
      </c>
      <c r="F1418" t="s">
        <v>1946</v>
      </c>
      <c r="G1418">
        <v>116870</v>
      </c>
      <c r="H1418" s="1">
        <v>45055</v>
      </c>
      <c r="I1418" s="1"/>
      <c r="L1418" t="s">
        <v>21</v>
      </c>
      <c r="M1418" t="s">
        <v>1893</v>
      </c>
      <c r="N1418" t="s">
        <v>1887</v>
      </c>
    </row>
    <row r="1419" spans="1:14" x14ac:dyDescent="0.35">
      <c r="A1419" t="s">
        <v>3343</v>
      </c>
      <c r="B1419" t="s">
        <v>1889</v>
      </c>
      <c r="C1419" t="s">
        <v>160</v>
      </c>
      <c r="D1419" t="s">
        <v>1927</v>
      </c>
      <c r="E1419" t="s">
        <v>1600</v>
      </c>
      <c r="F1419" t="s">
        <v>1946</v>
      </c>
      <c r="G1419">
        <v>271366</v>
      </c>
      <c r="H1419" s="1">
        <v>45376</v>
      </c>
      <c r="I1419" s="1"/>
      <c r="K1419">
        <v>6.7</v>
      </c>
      <c r="L1419" t="s">
        <v>47</v>
      </c>
      <c r="M1419" t="s">
        <v>1916</v>
      </c>
      <c r="N1419" t="s">
        <v>1887</v>
      </c>
    </row>
    <row r="1420" spans="1:14" x14ac:dyDescent="0.35">
      <c r="A1420" t="s">
        <v>3344</v>
      </c>
      <c r="B1420" t="s">
        <v>1903</v>
      </c>
      <c r="C1420" t="s">
        <v>346</v>
      </c>
      <c r="D1420" t="s">
        <v>1915</v>
      </c>
      <c r="E1420" t="s">
        <v>1600</v>
      </c>
      <c r="F1420" t="s">
        <v>1892</v>
      </c>
      <c r="G1420">
        <v>484191</v>
      </c>
      <c r="H1420" s="1">
        <v>45472</v>
      </c>
      <c r="I1420" s="1"/>
      <c r="L1420" t="s">
        <v>30</v>
      </c>
      <c r="M1420" t="s">
        <v>1935</v>
      </c>
      <c r="N1420" t="s">
        <v>1887</v>
      </c>
    </row>
    <row r="1421" spans="1:14" x14ac:dyDescent="0.35">
      <c r="A1421" t="s">
        <v>3345</v>
      </c>
      <c r="B1421" t="s">
        <v>1934</v>
      </c>
      <c r="C1421" t="s">
        <v>321</v>
      </c>
      <c r="D1421" t="s">
        <v>1883</v>
      </c>
      <c r="E1421" t="s">
        <v>1678</v>
      </c>
      <c r="F1421" t="s">
        <v>1900</v>
      </c>
      <c r="G1421">
        <v>400048</v>
      </c>
      <c r="H1421" s="1">
        <v>45360</v>
      </c>
      <c r="I1421" s="1">
        <v>45430</v>
      </c>
      <c r="J1421">
        <v>70</v>
      </c>
      <c r="K1421">
        <v>4.4000000000000004</v>
      </c>
      <c r="L1421" t="s">
        <v>21</v>
      </c>
      <c r="M1421" t="s">
        <v>1916</v>
      </c>
      <c r="N1421" t="s">
        <v>1887</v>
      </c>
    </row>
    <row r="1422" spans="1:14" x14ac:dyDescent="0.35">
      <c r="A1422" t="s">
        <v>3346</v>
      </c>
      <c r="B1422" t="s">
        <v>1907</v>
      </c>
      <c r="C1422" t="s">
        <v>357</v>
      </c>
      <c r="D1422" t="s">
        <v>1915</v>
      </c>
      <c r="E1422" t="s">
        <v>1918</v>
      </c>
      <c r="F1422" t="s">
        <v>1908</v>
      </c>
      <c r="G1422">
        <v>208061</v>
      </c>
      <c r="H1422" s="1">
        <v>45008</v>
      </c>
      <c r="I1422" s="1"/>
      <c r="K1422">
        <v>14.4</v>
      </c>
      <c r="L1422" t="s">
        <v>21</v>
      </c>
      <c r="M1422" t="s">
        <v>1896</v>
      </c>
      <c r="N1422" t="s">
        <v>1887</v>
      </c>
    </row>
    <row r="1423" spans="1:14" x14ac:dyDescent="0.35">
      <c r="A1423" t="s">
        <v>3347</v>
      </c>
      <c r="B1423" t="s">
        <v>1922</v>
      </c>
      <c r="C1423" t="s">
        <v>389</v>
      </c>
      <c r="D1423" t="s">
        <v>1883</v>
      </c>
      <c r="E1423" t="s">
        <v>1678</v>
      </c>
      <c r="F1423" t="s">
        <v>1900</v>
      </c>
      <c r="G1423">
        <v>409767</v>
      </c>
      <c r="H1423" s="1">
        <v>45097</v>
      </c>
      <c r="I1423" s="1">
        <v>45220</v>
      </c>
      <c r="J1423">
        <v>123</v>
      </c>
      <c r="K1423">
        <v>2.5</v>
      </c>
      <c r="L1423" t="s">
        <v>30</v>
      </c>
      <c r="M1423" t="s">
        <v>1893</v>
      </c>
      <c r="N1423" t="s">
        <v>1887</v>
      </c>
    </row>
    <row r="1424" spans="1:14" x14ac:dyDescent="0.35">
      <c r="A1424" t="s">
        <v>3348</v>
      </c>
      <c r="B1424" t="s">
        <v>1922</v>
      </c>
      <c r="C1424" t="s">
        <v>485</v>
      </c>
      <c r="D1424" t="s">
        <v>1883</v>
      </c>
      <c r="E1424" t="s">
        <v>1891</v>
      </c>
      <c r="F1424" t="s">
        <v>1900</v>
      </c>
      <c r="G1424">
        <v>284225</v>
      </c>
      <c r="H1424" s="1">
        <v>45573</v>
      </c>
      <c r="I1424" s="1">
        <v>45631</v>
      </c>
      <c r="J1424">
        <v>58</v>
      </c>
      <c r="K1424">
        <v>20.9</v>
      </c>
      <c r="L1424" t="s">
        <v>30</v>
      </c>
      <c r="M1424" t="s">
        <v>1901</v>
      </c>
      <c r="N1424" t="s">
        <v>1887</v>
      </c>
    </row>
    <row r="1425" spans="1:14" x14ac:dyDescent="0.35">
      <c r="A1425" t="s">
        <v>3349</v>
      </c>
      <c r="B1425" t="s">
        <v>1882</v>
      </c>
      <c r="C1425" t="s">
        <v>309</v>
      </c>
      <c r="D1425" t="s">
        <v>1904</v>
      </c>
      <c r="E1425" t="s">
        <v>1931</v>
      </c>
      <c r="F1425" t="s">
        <v>1895</v>
      </c>
      <c r="G1425">
        <v>488711</v>
      </c>
      <c r="H1425" s="1">
        <v>45747</v>
      </c>
      <c r="I1425" s="1"/>
      <c r="K1425">
        <v>9.4</v>
      </c>
      <c r="L1425" t="s">
        <v>21</v>
      </c>
      <c r="M1425" t="s">
        <v>1912</v>
      </c>
      <c r="N1425" t="s">
        <v>1887</v>
      </c>
    </row>
    <row r="1426" spans="1:14" x14ac:dyDescent="0.35">
      <c r="A1426" t="s">
        <v>3350</v>
      </c>
      <c r="B1426" t="s">
        <v>1963</v>
      </c>
      <c r="C1426" t="s">
        <v>301</v>
      </c>
      <c r="D1426" t="s">
        <v>1915</v>
      </c>
      <c r="E1426" t="s">
        <v>1918</v>
      </c>
      <c r="F1426" t="s">
        <v>1946</v>
      </c>
      <c r="G1426">
        <v>338655</v>
      </c>
      <c r="H1426" s="1">
        <v>45023</v>
      </c>
      <c r="I1426" s="1"/>
      <c r="K1426">
        <v>14.3</v>
      </c>
      <c r="L1426" t="s">
        <v>21</v>
      </c>
      <c r="M1426" t="s">
        <v>1893</v>
      </c>
      <c r="N1426" t="s">
        <v>1887</v>
      </c>
    </row>
    <row r="1427" spans="1:14" x14ac:dyDescent="0.35">
      <c r="A1427" t="s">
        <v>3351</v>
      </c>
      <c r="B1427" t="s">
        <v>1911</v>
      </c>
      <c r="C1427" t="s">
        <v>404</v>
      </c>
      <c r="D1427" t="s">
        <v>1927</v>
      </c>
      <c r="E1427" t="s">
        <v>1587</v>
      </c>
      <c r="F1427" t="s">
        <v>1892</v>
      </c>
      <c r="G1427">
        <v>433408</v>
      </c>
      <c r="H1427" s="1">
        <v>44940</v>
      </c>
      <c r="I1427" s="1"/>
      <c r="K1427">
        <v>3.1</v>
      </c>
      <c r="L1427" t="s">
        <v>30</v>
      </c>
      <c r="M1427" t="s">
        <v>1896</v>
      </c>
      <c r="N1427" t="s">
        <v>1887</v>
      </c>
    </row>
    <row r="1428" spans="1:14" x14ac:dyDescent="0.35">
      <c r="A1428" t="s">
        <v>3352</v>
      </c>
      <c r="B1428" t="s">
        <v>1882</v>
      </c>
      <c r="C1428" t="s">
        <v>152</v>
      </c>
      <c r="D1428" t="s">
        <v>1915</v>
      </c>
      <c r="E1428" t="s">
        <v>1905</v>
      </c>
      <c r="F1428" t="s">
        <v>1885</v>
      </c>
      <c r="G1428">
        <v>121849</v>
      </c>
      <c r="H1428" s="1">
        <v>45729</v>
      </c>
      <c r="I1428" s="1">
        <v>45836</v>
      </c>
      <c r="J1428">
        <v>107</v>
      </c>
      <c r="K1428">
        <v>7.9</v>
      </c>
      <c r="L1428" t="s">
        <v>15</v>
      </c>
      <c r="M1428" t="s">
        <v>1912</v>
      </c>
      <c r="N1428" t="s">
        <v>1887</v>
      </c>
    </row>
    <row r="1429" spans="1:14" x14ac:dyDescent="0.35">
      <c r="A1429" t="s">
        <v>3353</v>
      </c>
      <c r="B1429" t="s">
        <v>1924</v>
      </c>
      <c r="C1429" t="s">
        <v>312</v>
      </c>
      <c r="D1429" t="s">
        <v>1883</v>
      </c>
      <c r="E1429" t="s">
        <v>1918</v>
      </c>
      <c r="F1429" t="s">
        <v>1900</v>
      </c>
      <c r="G1429">
        <v>336940</v>
      </c>
      <c r="H1429" s="1">
        <v>45110</v>
      </c>
      <c r="I1429" s="1">
        <v>45223</v>
      </c>
      <c r="J1429">
        <v>113</v>
      </c>
      <c r="K1429">
        <v>16.7</v>
      </c>
      <c r="L1429" t="s">
        <v>47</v>
      </c>
      <c r="M1429" t="s">
        <v>1932</v>
      </c>
      <c r="N1429" t="s">
        <v>1887</v>
      </c>
    </row>
    <row r="1430" spans="1:14" x14ac:dyDescent="0.35">
      <c r="A1430" t="s">
        <v>3354</v>
      </c>
      <c r="B1430" t="s">
        <v>1944</v>
      </c>
      <c r="C1430" t="s">
        <v>404</v>
      </c>
      <c r="D1430" t="s">
        <v>1927</v>
      </c>
      <c r="E1430" t="s">
        <v>1891</v>
      </c>
      <c r="F1430" t="s">
        <v>1900</v>
      </c>
      <c r="G1430">
        <v>47015</v>
      </c>
      <c r="H1430" s="1">
        <v>45382</v>
      </c>
      <c r="I1430" s="1">
        <v>45504</v>
      </c>
      <c r="J1430">
        <v>122</v>
      </c>
      <c r="K1430">
        <v>7.8</v>
      </c>
      <c r="L1430" t="s">
        <v>47</v>
      </c>
      <c r="M1430" t="s">
        <v>1916</v>
      </c>
      <c r="N1430" t="s">
        <v>1887</v>
      </c>
    </row>
    <row r="1431" spans="1:14" x14ac:dyDescent="0.35">
      <c r="A1431" t="s">
        <v>3355</v>
      </c>
      <c r="B1431" t="s">
        <v>1944</v>
      </c>
      <c r="C1431" t="s">
        <v>436</v>
      </c>
      <c r="D1431" t="s">
        <v>1904</v>
      </c>
      <c r="E1431" t="s">
        <v>1678</v>
      </c>
      <c r="F1431" t="s">
        <v>1900</v>
      </c>
      <c r="G1431">
        <v>291055</v>
      </c>
      <c r="H1431" s="1">
        <v>45676</v>
      </c>
      <c r="I1431" s="1">
        <v>45754</v>
      </c>
      <c r="J1431">
        <v>78</v>
      </c>
      <c r="K1431">
        <v>13.9</v>
      </c>
      <c r="L1431" t="s">
        <v>21</v>
      </c>
      <c r="M1431" t="s">
        <v>1912</v>
      </c>
      <c r="N1431" t="s">
        <v>1887</v>
      </c>
    </row>
    <row r="1432" spans="1:14" x14ac:dyDescent="0.35">
      <c r="A1432" t="s">
        <v>3356</v>
      </c>
      <c r="B1432" t="s">
        <v>1898</v>
      </c>
      <c r="C1432" t="s">
        <v>297</v>
      </c>
      <c r="D1432" t="s">
        <v>1927</v>
      </c>
      <c r="E1432" t="s">
        <v>1678</v>
      </c>
      <c r="F1432" t="s">
        <v>1895</v>
      </c>
      <c r="G1432">
        <v>12575</v>
      </c>
      <c r="H1432" s="1">
        <v>45151</v>
      </c>
      <c r="I1432" s="1"/>
      <c r="K1432">
        <v>5.9</v>
      </c>
      <c r="L1432" t="s">
        <v>21</v>
      </c>
      <c r="M1432" t="s">
        <v>1932</v>
      </c>
      <c r="N1432" t="s">
        <v>1887</v>
      </c>
    </row>
    <row r="1433" spans="1:14" x14ac:dyDescent="0.35">
      <c r="A1433" t="s">
        <v>3357</v>
      </c>
      <c r="B1433" t="s">
        <v>1944</v>
      </c>
      <c r="C1433" t="s">
        <v>462</v>
      </c>
      <c r="D1433" t="s">
        <v>1927</v>
      </c>
      <c r="E1433" t="s">
        <v>1918</v>
      </c>
      <c r="F1433" t="s">
        <v>1900</v>
      </c>
      <c r="G1433">
        <v>166887</v>
      </c>
      <c r="H1433" s="1">
        <v>45119</v>
      </c>
      <c r="I1433" s="1">
        <v>45297</v>
      </c>
      <c r="J1433">
        <v>178</v>
      </c>
      <c r="K1433">
        <v>21.5</v>
      </c>
      <c r="L1433" t="s">
        <v>47</v>
      </c>
      <c r="M1433" t="s">
        <v>1932</v>
      </c>
      <c r="N1433" t="s">
        <v>1887</v>
      </c>
    </row>
    <row r="1434" spans="1:14" x14ac:dyDescent="0.35">
      <c r="A1434" t="s">
        <v>3358</v>
      </c>
      <c r="B1434" t="s">
        <v>1963</v>
      </c>
      <c r="C1434" t="s">
        <v>454</v>
      </c>
      <c r="D1434" t="s">
        <v>1883</v>
      </c>
      <c r="E1434" t="s">
        <v>1905</v>
      </c>
      <c r="F1434" t="s">
        <v>1946</v>
      </c>
      <c r="G1434">
        <v>36978</v>
      </c>
      <c r="H1434" s="1">
        <v>45733</v>
      </c>
      <c r="I1434" s="1"/>
      <c r="K1434">
        <v>4.9000000000000004</v>
      </c>
      <c r="L1434" t="s">
        <v>21</v>
      </c>
      <c r="M1434" t="s">
        <v>1912</v>
      </c>
      <c r="N1434" t="s">
        <v>1887</v>
      </c>
    </row>
    <row r="1435" spans="1:14" x14ac:dyDescent="0.35">
      <c r="A1435" t="s">
        <v>3359</v>
      </c>
      <c r="B1435" t="s">
        <v>1903</v>
      </c>
      <c r="C1435" t="s">
        <v>291</v>
      </c>
      <c r="D1435" t="s">
        <v>1915</v>
      </c>
      <c r="E1435" t="s">
        <v>1891</v>
      </c>
      <c r="F1435" t="s">
        <v>1946</v>
      </c>
      <c r="G1435">
        <v>223425</v>
      </c>
      <c r="H1435" s="1">
        <v>44956</v>
      </c>
      <c r="I1435" s="1"/>
      <c r="L1435" t="s">
        <v>47</v>
      </c>
      <c r="M1435" t="s">
        <v>1896</v>
      </c>
      <c r="N1435" t="s">
        <v>1887</v>
      </c>
    </row>
    <row r="1436" spans="1:14" x14ac:dyDescent="0.35">
      <c r="A1436" t="s">
        <v>3360</v>
      </c>
      <c r="B1436" t="s">
        <v>1889</v>
      </c>
      <c r="C1436" t="s">
        <v>367</v>
      </c>
      <c r="D1436" t="s">
        <v>1890</v>
      </c>
      <c r="E1436" t="s">
        <v>1945</v>
      </c>
      <c r="F1436" t="s">
        <v>1908</v>
      </c>
      <c r="G1436">
        <v>238647</v>
      </c>
      <c r="H1436" s="1">
        <v>44947</v>
      </c>
      <c r="I1436" s="1"/>
      <c r="L1436" t="s">
        <v>15</v>
      </c>
      <c r="M1436" t="s">
        <v>1896</v>
      </c>
      <c r="N1436" t="s">
        <v>1887</v>
      </c>
    </row>
    <row r="1437" spans="1:14" x14ac:dyDescent="0.35">
      <c r="A1437" t="s">
        <v>3361</v>
      </c>
      <c r="B1437" t="s">
        <v>1898</v>
      </c>
      <c r="C1437" t="s">
        <v>366</v>
      </c>
      <c r="D1437" t="s">
        <v>1927</v>
      </c>
      <c r="E1437" t="s">
        <v>1587</v>
      </c>
      <c r="F1437" t="s">
        <v>1908</v>
      </c>
      <c r="G1437">
        <v>431903</v>
      </c>
      <c r="H1437" s="1">
        <v>45589</v>
      </c>
      <c r="I1437" s="1"/>
      <c r="K1437">
        <v>9.9</v>
      </c>
      <c r="L1437" t="s">
        <v>21</v>
      </c>
      <c r="M1437" t="s">
        <v>1901</v>
      </c>
      <c r="N1437" t="s">
        <v>1887</v>
      </c>
    </row>
    <row r="1438" spans="1:14" x14ac:dyDescent="0.35">
      <c r="A1438" t="s">
        <v>3362</v>
      </c>
      <c r="B1438" t="s">
        <v>1930</v>
      </c>
      <c r="C1438" t="s">
        <v>146</v>
      </c>
      <c r="D1438" t="s">
        <v>1927</v>
      </c>
      <c r="E1438" t="s">
        <v>1945</v>
      </c>
      <c r="F1438" t="s">
        <v>1892</v>
      </c>
      <c r="G1438">
        <v>201355</v>
      </c>
      <c r="H1438" s="1">
        <v>45036</v>
      </c>
      <c r="I1438" s="1"/>
      <c r="K1438">
        <v>8.5</v>
      </c>
      <c r="L1438" t="s">
        <v>30</v>
      </c>
      <c r="M1438" t="s">
        <v>1893</v>
      </c>
      <c r="N1438" t="s">
        <v>1887</v>
      </c>
    </row>
    <row r="1439" spans="1:14" x14ac:dyDescent="0.35">
      <c r="A1439" t="s">
        <v>3363</v>
      </c>
      <c r="B1439" t="s">
        <v>1934</v>
      </c>
      <c r="C1439" t="s">
        <v>99</v>
      </c>
      <c r="D1439" t="s">
        <v>1883</v>
      </c>
      <c r="E1439" t="s">
        <v>1891</v>
      </c>
      <c r="F1439" t="s">
        <v>1885</v>
      </c>
      <c r="G1439">
        <v>237700</v>
      </c>
      <c r="H1439" s="1">
        <v>45050</v>
      </c>
      <c r="I1439" s="1">
        <v>45123</v>
      </c>
      <c r="J1439">
        <v>73</v>
      </c>
      <c r="K1439">
        <v>12.7</v>
      </c>
      <c r="L1439" t="s">
        <v>30</v>
      </c>
      <c r="M1439" t="s">
        <v>1893</v>
      </c>
      <c r="N1439" t="s">
        <v>1887</v>
      </c>
    </row>
    <row r="1440" spans="1:14" x14ac:dyDescent="0.35">
      <c r="A1440" t="s">
        <v>3364</v>
      </c>
      <c r="B1440" t="s">
        <v>1934</v>
      </c>
      <c r="C1440" t="s">
        <v>275</v>
      </c>
      <c r="D1440" t="s">
        <v>1927</v>
      </c>
      <c r="E1440" t="s">
        <v>1600</v>
      </c>
      <c r="F1440" t="s">
        <v>1908</v>
      </c>
      <c r="G1440">
        <v>431670</v>
      </c>
      <c r="H1440" s="1">
        <v>45624</v>
      </c>
      <c r="I1440" s="1"/>
      <c r="K1440">
        <v>3.1</v>
      </c>
      <c r="L1440" t="s">
        <v>15</v>
      </c>
      <c r="M1440" t="s">
        <v>1901</v>
      </c>
      <c r="N1440" t="s">
        <v>1887</v>
      </c>
    </row>
    <row r="1441" spans="1:14" x14ac:dyDescent="0.35">
      <c r="A1441" t="s">
        <v>3365</v>
      </c>
      <c r="B1441" t="s">
        <v>1907</v>
      </c>
      <c r="C1441" t="s">
        <v>328</v>
      </c>
      <c r="D1441" t="s">
        <v>1883</v>
      </c>
      <c r="E1441" t="s">
        <v>1945</v>
      </c>
      <c r="F1441" t="s">
        <v>1946</v>
      </c>
      <c r="G1441">
        <v>324317</v>
      </c>
      <c r="H1441" s="1">
        <v>45635</v>
      </c>
      <c r="I1441" s="1"/>
      <c r="K1441">
        <v>2</v>
      </c>
      <c r="L1441" t="s">
        <v>30</v>
      </c>
      <c r="M1441" t="s">
        <v>1901</v>
      </c>
      <c r="N1441" t="s">
        <v>1887</v>
      </c>
    </row>
    <row r="1442" spans="1:14" x14ac:dyDescent="0.35">
      <c r="A1442" t="s">
        <v>3366</v>
      </c>
      <c r="B1442" t="s">
        <v>1903</v>
      </c>
      <c r="C1442" t="s">
        <v>448</v>
      </c>
      <c r="D1442" t="s">
        <v>1899</v>
      </c>
      <c r="E1442" t="s">
        <v>1931</v>
      </c>
      <c r="F1442" t="s">
        <v>1908</v>
      </c>
      <c r="G1442">
        <v>139740</v>
      </c>
      <c r="H1442" s="1">
        <v>45197</v>
      </c>
      <c r="I1442" s="1"/>
      <c r="K1442">
        <v>13.8</v>
      </c>
      <c r="L1442" t="s">
        <v>21</v>
      </c>
      <c r="M1442" t="s">
        <v>1932</v>
      </c>
      <c r="N1442" t="s">
        <v>1887</v>
      </c>
    </row>
    <row r="1443" spans="1:14" x14ac:dyDescent="0.35">
      <c r="A1443" t="s">
        <v>3367</v>
      </c>
      <c r="B1443" t="s">
        <v>1944</v>
      </c>
      <c r="C1443" t="s">
        <v>370</v>
      </c>
      <c r="D1443" t="s">
        <v>1890</v>
      </c>
      <c r="E1443" t="s">
        <v>1891</v>
      </c>
      <c r="F1443" t="s">
        <v>1946</v>
      </c>
      <c r="G1443">
        <v>214867</v>
      </c>
      <c r="H1443" s="1">
        <v>45096</v>
      </c>
      <c r="I1443" s="1"/>
      <c r="K1443">
        <v>13.8</v>
      </c>
      <c r="L1443" t="s">
        <v>21</v>
      </c>
      <c r="M1443" t="s">
        <v>1893</v>
      </c>
      <c r="N1443" t="s">
        <v>1887</v>
      </c>
    </row>
    <row r="1444" spans="1:14" x14ac:dyDescent="0.35">
      <c r="A1444" t="s">
        <v>3368</v>
      </c>
      <c r="B1444" t="s">
        <v>1926</v>
      </c>
      <c r="C1444" t="s">
        <v>455</v>
      </c>
      <c r="D1444" t="s">
        <v>1890</v>
      </c>
      <c r="E1444" t="s">
        <v>1600</v>
      </c>
      <c r="F1444" t="s">
        <v>1908</v>
      </c>
      <c r="G1444">
        <v>272595</v>
      </c>
      <c r="H1444" s="1">
        <v>45668</v>
      </c>
      <c r="I1444" s="1"/>
      <c r="K1444">
        <v>1.9</v>
      </c>
      <c r="L1444" t="s">
        <v>30</v>
      </c>
      <c r="M1444" t="s">
        <v>1912</v>
      </c>
      <c r="N1444" t="s">
        <v>1887</v>
      </c>
    </row>
    <row r="1445" spans="1:14" x14ac:dyDescent="0.35">
      <c r="A1445" t="s">
        <v>3369</v>
      </c>
      <c r="B1445" t="s">
        <v>1922</v>
      </c>
      <c r="C1445" t="s">
        <v>378</v>
      </c>
      <c r="D1445" t="s">
        <v>1899</v>
      </c>
      <c r="E1445" t="s">
        <v>1905</v>
      </c>
      <c r="F1445" t="s">
        <v>1895</v>
      </c>
      <c r="G1445">
        <v>31334</v>
      </c>
      <c r="H1445" s="1">
        <v>45667</v>
      </c>
      <c r="I1445" s="1"/>
      <c r="K1445">
        <v>10.199999999999999</v>
      </c>
      <c r="L1445" t="s">
        <v>15</v>
      </c>
      <c r="M1445" t="s">
        <v>1912</v>
      </c>
      <c r="N1445" t="s">
        <v>1887</v>
      </c>
    </row>
    <row r="1446" spans="1:14" x14ac:dyDescent="0.35">
      <c r="A1446" t="s">
        <v>3370</v>
      </c>
      <c r="B1446" t="s">
        <v>1937</v>
      </c>
      <c r="C1446" t="s">
        <v>358</v>
      </c>
      <c r="D1446" t="s">
        <v>1915</v>
      </c>
      <c r="E1446" t="s">
        <v>1678</v>
      </c>
      <c r="F1446" t="s">
        <v>1900</v>
      </c>
      <c r="G1446">
        <v>453768</v>
      </c>
      <c r="H1446" s="1">
        <v>44936</v>
      </c>
      <c r="I1446" s="1">
        <v>45106</v>
      </c>
      <c r="J1446">
        <v>170</v>
      </c>
      <c r="K1446">
        <v>12.6</v>
      </c>
      <c r="L1446" t="s">
        <v>15</v>
      </c>
      <c r="M1446" t="s">
        <v>1896</v>
      </c>
      <c r="N1446" t="s">
        <v>1887</v>
      </c>
    </row>
    <row r="1447" spans="1:14" x14ac:dyDescent="0.35">
      <c r="A1447" t="s">
        <v>3371</v>
      </c>
      <c r="B1447" t="s">
        <v>1882</v>
      </c>
      <c r="C1447" t="s">
        <v>144</v>
      </c>
      <c r="D1447" t="s">
        <v>1899</v>
      </c>
      <c r="E1447" t="s">
        <v>1600</v>
      </c>
      <c r="F1447" t="s">
        <v>1885</v>
      </c>
      <c r="G1447">
        <v>383508</v>
      </c>
      <c r="H1447" s="1">
        <v>45658</v>
      </c>
      <c r="I1447" s="1">
        <v>45725</v>
      </c>
      <c r="J1447">
        <v>67</v>
      </c>
      <c r="K1447">
        <v>8.6</v>
      </c>
      <c r="L1447" t="s">
        <v>47</v>
      </c>
      <c r="M1447" t="s">
        <v>1912</v>
      </c>
      <c r="N1447" t="s">
        <v>1887</v>
      </c>
    </row>
    <row r="1448" spans="1:14" x14ac:dyDescent="0.35">
      <c r="A1448" t="s">
        <v>3372</v>
      </c>
      <c r="B1448" t="s">
        <v>1922</v>
      </c>
      <c r="C1448" t="s">
        <v>362</v>
      </c>
      <c r="D1448" t="s">
        <v>1883</v>
      </c>
      <c r="E1448" t="s">
        <v>1587</v>
      </c>
      <c r="F1448" t="s">
        <v>1908</v>
      </c>
      <c r="G1448">
        <v>423484</v>
      </c>
      <c r="H1448" s="1">
        <v>45618</v>
      </c>
      <c r="I1448" s="1"/>
      <c r="K1448">
        <v>5.5</v>
      </c>
      <c r="L1448" t="s">
        <v>15</v>
      </c>
      <c r="M1448" t="s">
        <v>1901</v>
      </c>
      <c r="N1448" t="s">
        <v>1887</v>
      </c>
    </row>
    <row r="1449" spans="1:14" x14ac:dyDescent="0.35">
      <c r="A1449" t="s">
        <v>3373</v>
      </c>
      <c r="B1449" t="s">
        <v>1898</v>
      </c>
      <c r="C1449" t="s">
        <v>203</v>
      </c>
      <c r="D1449" t="s">
        <v>1883</v>
      </c>
      <c r="E1449" t="s">
        <v>1587</v>
      </c>
      <c r="F1449" t="s">
        <v>1895</v>
      </c>
      <c r="G1449">
        <v>167211</v>
      </c>
      <c r="H1449" s="1">
        <v>45397</v>
      </c>
      <c r="I1449" s="1"/>
      <c r="K1449">
        <v>6.2</v>
      </c>
      <c r="L1449" t="s">
        <v>15</v>
      </c>
      <c r="M1449" t="s">
        <v>1935</v>
      </c>
      <c r="N1449" t="s">
        <v>1887</v>
      </c>
    </row>
    <row r="1450" spans="1:14" x14ac:dyDescent="0.35">
      <c r="A1450" t="s">
        <v>3374</v>
      </c>
      <c r="B1450" t="s">
        <v>1934</v>
      </c>
      <c r="C1450" t="s">
        <v>417</v>
      </c>
      <c r="D1450" t="s">
        <v>1915</v>
      </c>
      <c r="E1450" t="s">
        <v>1884</v>
      </c>
      <c r="F1450" t="s">
        <v>1885</v>
      </c>
      <c r="G1450">
        <v>443092</v>
      </c>
      <c r="H1450" s="1">
        <v>45148</v>
      </c>
      <c r="I1450" s="1">
        <v>45325</v>
      </c>
      <c r="J1450">
        <v>177</v>
      </c>
      <c r="K1450">
        <v>1.7</v>
      </c>
      <c r="L1450" t="s">
        <v>30</v>
      </c>
      <c r="M1450" t="s">
        <v>1932</v>
      </c>
      <c r="N1450" t="s">
        <v>1887</v>
      </c>
    </row>
    <row r="1451" spans="1:14" x14ac:dyDescent="0.35">
      <c r="A1451" t="s">
        <v>3375</v>
      </c>
      <c r="B1451" t="s">
        <v>1882</v>
      </c>
      <c r="C1451" t="s">
        <v>152</v>
      </c>
      <c r="D1451" t="s">
        <v>1904</v>
      </c>
      <c r="E1451" t="s">
        <v>1587</v>
      </c>
      <c r="F1451" t="s">
        <v>1892</v>
      </c>
      <c r="G1451">
        <v>310887</v>
      </c>
      <c r="H1451" s="1">
        <v>45156</v>
      </c>
      <c r="I1451" s="1"/>
      <c r="L1451" t="s">
        <v>47</v>
      </c>
      <c r="M1451" t="s">
        <v>1932</v>
      </c>
      <c r="N1451" t="s">
        <v>1887</v>
      </c>
    </row>
    <row r="1452" spans="1:14" x14ac:dyDescent="0.35">
      <c r="A1452" t="s">
        <v>3376</v>
      </c>
      <c r="B1452" t="s">
        <v>1914</v>
      </c>
      <c r="C1452" t="s">
        <v>410</v>
      </c>
      <c r="D1452" t="s">
        <v>1883</v>
      </c>
      <c r="E1452" t="s">
        <v>1600</v>
      </c>
      <c r="F1452" t="s">
        <v>1946</v>
      </c>
      <c r="G1452">
        <v>101900</v>
      </c>
      <c r="H1452" s="1">
        <v>45449</v>
      </c>
      <c r="I1452" s="1"/>
      <c r="K1452">
        <v>10.1</v>
      </c>
      <c r="L1452" t="s">
        <v>15</v>
      </c>
      <c r="M1452" t="s">
        <v>1935</v>
      </c>
      <c r="N1452" t="s">
        <v>1887</v>
      </c>
    </row>
    <row r="1453" spans="1:14" x14ac:dyDescent="0.35">
      <c r="A1453" t="s">
        <v>3377</v>
      </c>
      <c r="B1453" t="s">
        <v>1963</v>
      </c>
      <c r="C1453" t="s">
        <v>108</v>
      </c>
      <c r="D1453" t="s">
        <v>1927</v>
      </c>
      <c r="E1453" t="s">
        <v>1905</v>
      </c>
      <c r="F1453" t="s">
        <v>1895</v>
      </c>
      <c r="G1453">
        <v>410689</v>
      </c>
      <c r="H1453" s="1">
        <v>45644</v>
      </c>
      <c r="I1453" s="1"/>
      <c r="K1453">
        <v>0.3</v>
      </c>
      <c r="L1453" t="s">
        <v>30</v>
      </c>
      <c r="M1453" t="s">
        <v>1901</v>
      </c>
      <c r="N1453" t="s">
        <v>1887</v>
      </c>
    </row>
    <row r="1454" spans="1:14" x14ac:dyDescent="0.35">
      <c r="A1454" t="s">
        <v>3378</v>
      </c>
      <c r="B1454" t="s">
        <v>1926</v>
      </c>
      <c r="C1454" t="s">
        <v>175</v>
      </c>
      <c r="D1454" t="s">
        <v>1899</v>
      </c>
      <c r="E1454" t="s">
        <v>1678</v>
      </c>
      <c r="F1454" t="s">
        <v>1908</v>
      </c>
      <c r="G1454">
        <v>224252</v>
      </c>
      <c r="H1454" s="1">
        <v>45204</v>
      </c>
      <c r="I1454" s="1"/>
      <c r="K1454">
        <v>10.7</v>
      </c>
      <c r="L1454" t="s">
        <v>21</v>
      </c>
      <c r="M1454" t="s">
        <v>1886</v>
      </c>
      <c r="N1454" t="s">
        <v>1887</v>
      </c>
    </row>
    <row r="1455" spans="1:14" x14ac:dyDescent="0.35">
      <c r="A1455" t="s">
        <v>3379</v>
      </c>
      <c r="B1455" t="s">
        <v>1934</v>
      </c>
      <c r="C1455" t="s">
        <v>200</v>
      </c>
      <c r="D1455" t="s">
        <v>1915</v>
      </c>
      <c r="E1455" t="s">
        <v>1905</v>
      </c>
      <c r="F1455" t="s">
        <v>1892</v>
      </c>
      <c r="G1455">
        <v>13787</v>
      </c>
      <c r="H1455" s="1">
        <v>45018</v>
      </c>
      <c r="I1455" s="1"/>
      <c r="K1455">
        <v>10.6</v>
      </c>
      <c r="L1455" t="s">
        <v>21</v>
      </c>
      <c r="M1455" t="s">
        <v>1893</v>
      </c>
      <c r="N1455" t="s">
        <v>1887</v>
      </c>
    </row>
    <row r="1456" spans="1:14" x14ac:dyDescent="0.35">
      <c r="A1456" t="s">
        <v>3380</v>
      </c>
      <c r="B1456" t="s">
        <v>1937</v>
      </c>
      <c r="C1456" t="s">
        <v>38</v>
      </c>
      <c r="D1456" t="s">
        <v>1899</v>
      </c>
      <c r="E1456" t="s">
        <v>1884</v>
      </c>
      <c r="F1456" t="s">
        <v>1892</v>
      </c>
      <c r="G1456">
        <v>81356</v>
      </c>
      <c r="H1456" s="1">
        <v>45731</v>
      </c>
      <c r="I1456" s="1"/>
      <c r="K1456">
        <v>2.6</v>
      </c>
      <c r="L1456" t="s">
        <v>30</v>
      </c>
      <c r="M1456" t="s">
        <v>1912</v>
      </c>
      <c r="N1456" t="s">
        <v>1887</v>
      </c>
    </row>
    <row r="1457" spans="1:14" x14ac:dyDescent="0.35">
      <c r="A1457" t="s">
        <v>3381</v>
      </c>
      <c r="B1457" t="s">
        <v>1882</v>
      </c>
      <c r="C1457" t="s">
        <v>45</v>
      </c>
      <c r="D1457" t="s">
        <v>1904</v>
      </c>
      <c r="E1457" t="s">
        <v>1884</v>
      </c>
      <c r="F1457" t="s">
        <v>1892</v>
      </c>
      <c r="G1457">
        <v>63307</v>
      </c>
      <c r="H1457" s="1">
        <v>45080</v>
      </c>
      <c r="I1457" s="1"/>
      <c r="L1457" t="s">
        <v>30</v>
      </c>
      <c r="M1457" t="s">
        <v>1893</v>
      </c>
      <c r="N1457" t="s">
        <v>1887</v>
      </c>
    </row>
    <row r="1458" spans="1:14" x14ac:dyDescent="0.35">
      <c r="A1458" t="s">
        <v>3382</v>
      </c>
      <c r="B1458" t="s">
        <v>1937</v>
      </c>
      <c r="C1458" t="s">
        <v>205</v>
      </c>
      <c r="D1458" t="s">
        <v>1899</v>
      </c>
      <c r="E1458" t="s">
        <v>1600</v>
      </c>
      <c r="F1458" t="s">
        <v>1885</v>
      </c>
      <c r="G1458">
        <v>30491</v>
      </c>
      <c r="H1458" s="1">
        <v>45223</v>
      </c>
      <c r="I1458" s="1">
        <v>45379</v>
      </c>
      <c r="J1458">
        <v>156</v>
      </c>
      <c r="K1458">
        <v>0.9</v>
      </c>
      <c r="L1458" t="s">
        <v>15</v>
      </c>
      <c r="M1458" t="s">
        <v>1886</v>
      </c>
      <c r="N1458" t="s">
        <v>1887</v>
      </c>
    </row>
    <row r="1459" spans="1:14" x14ac:dyDescent="0.35">
      <c r="A1459" t="s">
        <v>3383</v>
      </c>
      <c r="B1459" t="s">
        <v>1944</v>
      </c>
      <c r="C1459" t="s">
        <v>321</v>
      </c>
      <c r="D1459" t="s">
        <v>1915</v>
      </c>
      <c r="E1459" t="s">
        <v>1945</v>
      </c>
      <c r="F1459" t="s">
        <v>1892</v>
      </c>
      <c r="G1459">
        <v>196775</v>
      </c>
      <c r="H1459" s="1">
        <v>45628</v>
      </c>
      <c r="I1459" s="1"/>
      <c r="K1459">
        <v>13.8</v>
      </c>
      <c r="L1459" t="s">
        <v>47</v>
      </c>
      <c r="M1459" t="s">
        <v>1901</v>
      </c>
      <c r="N1459" t="s">
        <v>1887</v>
      </c>
    </row>
    <row r="1460" spans="1:14" x14ac:dyDescent="0.35">
      <c r="A1460" t="s">
        <v>3384</v>
      </c>
      <c r="B1460" t="s">
        <v>1922</v>
      </c>
      <c r="C1460" t="s">
        <v>361</v>
      </c>
      <c r="D1460" t="s">
        <v>1899</v>
      </c>
      <c r="E1460" t="s">
        <v>1678</v>
      </c>
      <c r="F1460" t="s">
        <v>1900</v>
      </c>
      <c r="G1460">
        <v>179581</v>
      </c>
      <c r="H1460" s="1">
        <v>45503</v>
      </c>
      <c r="I1460" s="1">
        <v>45657</v>
      </c>
      <c r="J1460">
        <v>154</v>
      </c>
      <c r="K1460">
        <v>19.100000000000001</v>
      </c>
      <c r="L1460" t="s">
        <v>21</v>
      </c>
      <c r="M1460" t="s">
        <v>1953</v>
      </c>
      <c r="N1460" t="s">
        <v>1887</v>
      </c>
    </row>
    <row r="1461" spans="1:14" x14ac:dyDescent="0.35">
      <c r="A1461" t="s">
        <v>3385</v>
      </c>
      <c r="B1461" t="s">
        <v>1911</v>
      </c>
      <c r="C1461" t="s">
        <v>228</v>
      </c>
      <c r="D1461" t="s">
        <v>1883</v>
      </c>
      <c r="E1461" t="s">
        <v>1905</v>
      </c>
      <c r="F1461" t="s">
        <v>1892</v>
      </c>
      <c r="G1461">
        <v>383104</v>
      </c>
      <c r="H1461" s="1">
        <v>45348</v>
      </c>
      <c r="I1461" s="1"/>
      <c r="L1461" t="s">
        <v>15</v>
      </c>
      <c r="M1461" t="s">
        <v>1916</v>
      </c>
      <c r="N1461" t="s">
        <v>1887</v>
      </c>
    </row>
    <row r="1462" spans="1:14" x14ac:dyDescent="0.35">
      <c r="A1462" t="s">
        <v>3386</v>
      </c>
      <c r="B1462" t="s">
        <v>1903</v>
      </c>
      <c r="C1462" t="s">
        <v>457</v>
      </c>
      <c r="D1462" t="s">
        <v>1890</v>
      </c>
      <c r="E1462" t="s">
        <v>1931</v>
      </c>
      <c r="F1462" t="s">
        <v>1908</v>
      </c>
      <c r="G1462">
        <v>352198</v>
      </c>
      <c r="H1462" s="1">
        <v>45367</v>
      </c>
      <c r="I1462" s="1"/>
      <c r="L1462" t="s">
        <v>47</v>
      </c>
      <c r="M1462" t="s">
        <v>1916</v>
      </c>
      <c r="N1462" t="s">
        <v>1887</v>
      </c>
    </row>
    <row r="1463" spans="1:14" x14ac:dyDescent="0.35">
      <c r="A1463" t="s">
        <v>3387</v>
      </c>
      <c r="B1463" t="s">
        <v>1911</v>
      </c>
      <c r="C1463" t="s">
        <v>381</v>
      </c>
      <c r="D1463" t="s">
        <v>1899</v>
      </c>
      <c r="E1463" t="s">
        <v>1905</v>
      </c>
      <c r="F1463" t="s">
        <v>1895</v>
      </c>
      <c r="G1463">
        <v>306953</v>
      </c>
      <c r="H1463" s="1">
        <v>45412</v>
      </c>
      <c r="I1463" s="1"/>
      <c r="L1463" t="s">
        <v>30</v>
      </c>
      <c r="M1463" t="s">
        <v>1935</v>
      </c>
      <c r="N1463" t="s">
        <v>1887</v>
      </c>
    </row>
    <row r="1464" spans="1:14" x14ac:dyDescent="0.35">
      <c r="A1464" t="s">
        <v>3388</v>
      </c>
      <c r="B1464" t="s">
        <v>1924</v>
      </c>
      <c r="C1464" t="s">
        <v>453</v>
      </c>
      <c r="D1464" t="s">
        <v>1883</v>
      </c>
      <c r="E1464" t="s">
        <v>1931</v>
      </c>
      <c r="F1464" t="s">
        <v>1895</v>
      </c>
      <c r="G1464">
        <v>1941623</v>
      </c>
      <c r="H1464" s="1">
        <v>45405</v>
      </c>
      <c r="I1464" s="1"/>
      <c r="K1464">
        <v>12.3</v>
      </c>
      <c r="L1464" t="s">
        <v>47</v>
      </c>
      <c r="M1464" t="s">
        <v>1935</v>
      </c>
      <c r="N1464" t="s">
        <v>1966</v>
      </c>
    </row>
    <row r="1465" spans="1:14" x14ac:dyDescent="0.35">
      <c r="A1465" t="s">
        <v>3389</v>
      </c>
      <c r="B1465" t="s">
        <v>1903</v>
      </c>
      <c r="C1465" t="s">
        <v>329</v>
      </c>
      <c r="D1465" t="s">
        <v>1883</v>
      </c>
      <c r="E1465" t="s">
        <v>1891</v>
      </c>
      <c r="F1465" t="s">
        <v>1900</v>
      </c>
      <c r="G1465">
        <v>367221</v>
      </c>
      <c r="H1465" s="1">
        <v>45252</v>
      </c>
      <c r="I1465" s="1">
        <v>45379</v>
      </c>
      <c r="J1465">
        <v>127</v>
      </c>
      <c r="K1465">
        <v>0.8</v>
      </c>
      <c r="L1465" t="s">
        <v>15</v>
      </c>
      <c r="M1465" t="s">
        <v>1886</v>
      </c>
      <c r="N1465" t="s">
        <v>1887</v>
      </c>
    </row>
    <row r="1466" spans="1:14" x14ac:dyDescent="0.35">
      <c r="A1466" t="s">
        <v>3390</v>
      </c>
      <c r="B1466" t="s">
        <v>1889</v>
      </c>
      <c r="C1466" t="s">
        <v>465</v>
      </c>
      <c r="D1466" t="s">
        <v>1904</v>
      </c>
      <c r="E1466" t="s">
        <v>1918</v>
      </c>
      <c r="F1466" t="s">
        <v>1892</v>
      </c>
      <c r="G1466">
        <v>38795</v>
      </c>
      <c r="H1466" s="1">
        <v>45603</v>
      </c>
      <c r="I1466" s="1"/>
      <c r="L1466" t="s">
        <v>21</v>
      </c>
      <c r="M1466" t="s">
        <v>1901</v>
      </c>
      <c r="N1466" t="s">
        <v>1887</v>
      </c>
    </row>
    <row r="1467" spans="1:14" x14ac:dyDescent="0.35">
      <c r="A1467" t="s">
        <v>3391</v>
      </c>
      <c r="B1467" t="s">
        <v>1911</v>
      </c>
      <c r="C1467" t="s">
        <v>269</v>
      </c>
      <c r="D1467" t="s">
        <v>1927</v>
      </c>
      <c r="E1467" t="s">
        <v>1600</v>
      </c>
      <c r="F1467" t="s">
        <v>1885</v>
      </c>
      <c r="G1467">
        <v>211230</v>
      </c>
      <c r="H1467" s="1">
        <v>45140</v>
      </c>
      <c r="I1467" s="1">
        <v>45306</v>
      </c>
      <c r="J1467">
        <v>166</v>
      </c>
      <c r="K1467">
        <v>14.7</v>
      </c>
      <c r="L1467" t="s">
        <v>21</v>
      </c>
      <c r="M1467" t="s">
        <v>1932</v>
      </c>
      <c r="N1467" t="s">
        <v>1887</v>
      </c>
    </row>
    <row r="1468" spans="1:14" x14ac:dyDescent="0.35">
      <c r="A1468" t="s">
        <v>3392</v>
      </c>
      <c r="B1468" t="s">
        <v>1926</v>
      </c>
      <c r="C1468" t="s">
        <v>339</v>
      </c>
      <c r="D1468" t="s">
        <v>1915</v>
      </c>
      <c r="E1468" t="s">
        <v>1891</v>
      </c>
      <c r="F1468" t="s">
        <v>1892</v>
      </c>
      <c r="G1468">
        <v>80749</v>
      </c>
      <c r="H1468" s="1">
        <v>45620</v>
      </c>
      <c r="I1468" s="1"/>
      <c r="L1468" t="s">
        <v>15</v>
      </c>
      <c r="M1468" t="s">
        <v>1901</v>
      </c>
      <c r="N1468" t="s">
        <v>1887</v>
      </c>
    </row>
    <row r="1469" spans="1:14" x14ac:dyDescent="0.35">
      <c r="A1469" t="s">
        <v>3393</v>
      </c>
      <c r="B1469" t="s">
        <v>1914</v>
      </c>
      <c r="C1469" t="s">
        <v>404</v>
      </c>
      <c r="D1469" t="s">
        <v>1899</v>
      </c>
      <c r="E1469" t="s">
        <v>1918</v>
      </c>
      <c r="F1469" t="s">
        <v>1895</v>
      </c>
      <c r="G1469">
        <v>192572</v>
      </c>
      <c r="H1469" s="1">
        <v>45302</v>
      </c>
      <c r="I1469" s="1"/>
      <c r="L1469" t="s">
        <v>15</v>
      </c>
      <c r="M1469" t="s">
        <v>1916</v>
      </c>
      <c r="N1469" t="s">
        <v>1887</v>
      </c>
    </row>
    <row r="1470" spans="1:14" x14ac:dyDescent="0.35">
      <c r="A1470" t="s">
        <v>3394</v>
      </c>
      <c r="B1470" t="s">
        <v>1911</v>
      </c>
      <c r="C1470" t="s">
        <v>18</v>
      </c>
      <c r="D1470" t="s">
        <v>1915</v>
      </c>
      <c r="E1470" t="s">
        <v>1600</v>
      </c>
      <c r="F1470" t="s">
        <v>1900</v>
      </c>
      <c r="G1470">
        <v>1326332</v>
      </c>
      <c r="H1470" s="1">
        <v>45203</v>
      </c>
      <c r="I1470" s="1">
        <v>45255</v>
      </c>
      <c r="J1470">
        <v>52</v>
      </c>
      <c r="K1470">
        <v>20.2</v>
      </c>
      <c r="L1470" t="s">
        <v>47</v>
      </c>
      <c r="M1470" t="s">
        <v>1886</v>
      </c>
      <c r="N1470" t="s">
        <v>1966</v>
      </c>
    </row>
    <row r="1471" spans="1:14" x14ac:dyDescent="0.35">
      <c r="A1471" t="s">
        <v>3395</v>
      </c>
      <c r="B1471" t="s">
        <v>1920</v>
      </c>
      <c r="C1471" t="s">
        <v>230</v>
      </c>
      <c r="D1471" t="s">
        <v>1915</v>
      </c>
      <c r="E1471" t="s">
        <v>1905</v>
      </c>
      <c r="F1471" t="s">
        <v>1895</v>
      </c>
      <c r="G1471">
        <v>370164</v>
      </c>
      <c r="H1471" s="1">
        <v>45114</v>
      </c>
      <c r="I1471" s="1"/>
      <c r="L1471" t="s">
        <v>15</v>
      </c>
      <c r="M1471" t="s">
        <v>1932</v>
      </c>
      <c r="N1471" t="s">
        <v>1887</v>
      </c>
    </row>
    <row r="1472" spans="1:14" x14ac:dyDescent="0.35">
      <c r="A1472" t="s">
        <v>3396</v>
      </c>
      <c r="B1472" t="s">
        <v>1937</v>
      </c>
      <c r="C1472" t="s">
        <v>367</v>
      </c>
      <c r="D1472" t="s">
        <v>1915</v>
      </c>
      <c r="E1472" t="s">
        <v>1587</v>
      </c>
      <c r="F1472" t="s">
        <v>1895</v>
      </c>
      <c r="G1472">
        <v>497944</v>
      </c>
      <c r="H1472" s="1">
        <v>45021</v>
      </c>
      <c r="I1472" s="1"/>
      <c r="K1472">
        <v>13.1</v>
      </c>
      <c r="L1472" t="s">
        <v>47</v>
      </c>
      <c r="M1472" t="s">
        <v>1893</v>
      </c>
      <c r="N1472" t="s">
        <v>1887</v>
      </c>
    </row>
    <row r="1473" spans="1:14" x14ac:dyDescent="0.35">
      <c r="A1473" t="s">
        <v>3397</v>
      </c>
      <c r="B1473" t="s">
        <v>1937</v>
      </c>
      <c r="C1473" t="s">
        <v>495</v>
      </c>
      <c r="D1473" t="s">
        <v>1904</v>
      </c>
      <c r="E1473" t="s">
        <v>1931</v>
      </c>
      <c r="F1473" t="s">
        <v>1895</v>
      </c>
      <c r="G1473">
        <v>96604</v>
      </c>
      <c r="H1473" s="1">
        <v>44935</v>
      </c>
      <c r="I1473" s="1"/>
      <c r="L1473" t="s">
        <v>15</v>
      </c>
      <c r="M1473" t="s">
        <v>1896</v>
      </c>
      <c r="N1473" t="s">
        <v>1887</v>
      </c>
    </row>
    <row r="1474" spans="1:14" x14ac:dyDescent="0.35">
      <c r="A1474" t="s">
        <v>3398</v>
      </c>
      <c r="B1474" t="s">
        <v>1944</v>
      </c>
      <c r="C1474" t="s">
        <v>460</v>
      </c>
      <c r="D1474" t="s">
        <v>1890</v>
      </c>
      <c r="E1474" t="s">
        <v>1884</v>
      </c>
      <c r="F1474" t="s">
        <v>1892</v>
      </c>
      <c r="G1474">
        <v>206837</v>
      </c>
      <c r="H1474" s="1">
        <v>45085</v>
      </c>
      <c r="I1474" s="1"/>
      <c r="K1474">
        <v>7.6</v>
      </c>
      <c r="L1474" t="s">
        <v>15</v>
      </c>
      <c r="M1474" t="s">
        <v>1893</v>
      </c>
      <c r="N1474" t="s">
        <v>1887</v>
      </c>
    </row>
    <row r="1475" spans="1:14" x14ac:dyDescent="0.35">
      <c r="A1475" t="s">
        <v>3399</v>
      </c>
      <c r="B1475" t="s">
        <v>1937</v>
      </c>
      <c r="C1475" t="s">
        <v>230</v>
      </c>
      <c r="D1475" t="s">
        <v>1899</v>
      </c>
      <c r="E1475" t="s">
        <v>1884</v>
      </c>
      <c r="F1475" t="s">
        <v>1895</v>
      </c>
      <c r="G1475">
        <v>291943</v>
      </c>
      <c r="H1475" s="1">
        <v>45627</v>
      </c>
      <c r="I1475" s="1"/>
      <c r="K1475">
        <v>13.1</v>
      </c>
      <c r="L1475" t="s">
        <v>15</v>
      </c>
      <c r="M1475" t="s">
        <v>1901</v>
      </c>
      <c r="N1475" t="s">
        <v>1887</v>
      </c>
    </row>
    <row r="1476" spans="1:14" x14ac:dyDescent="0.35">
      <c r="A1476" t="s">
        <v>3400</v>
      </c>
      <c r="B1476" t="s">
        <v>1898</v>
      </c>
      <c r="C1476" t="s">
        <v>492</v>
      </c>
      <c r="D1476" t="s">
        <v>1890</v>
      </c>
      <c r="E1476" t="s">
        <v>1905</v>
      </c>
      <c r="F1476" t="s">
        <v>1946</v>
      </c>
      <c r="G1476">
        <v>398419</v>
      </c>
      <c r="H1476" s="1">
        <v>45310</v>
      </c>
      <c r="I1476" s="1"/>
      <c r="K1476">
        <v>1.7</v>
      </c>
      <c r="L1476" t="s">
        <v>30</v>
      </c>
      <c r="M1476" t="s">
        <v>1916</v>
      </c>
      <c r="N1476" t="s">
        <v>1887</v>
      </c>
    </row>
    <row r="1477" spans="1:14" x14ac:dyDescent="0.35">
      <c r="A1477" t="s">
        <v>3401</v>
      </c>
      <c r="B1477" t="s">
        <v>1911</v>
      </c>
      <c r="C1477" t="s">
        <v>88</v>
      </c>
      <c r="D1477" t="s">
        <v>1890</v>
      </c>
      <c r="E1477" t="s">
        <v>1905</v>
      </c>
      <c r="F1477" t="s">
        <v>1895</v>
      </c>
      <c r="G1477">
        <v>489554</v>
      </c>
      <c r="H1477" s="1">
        <v>45072</v>
      </c>
      <c r="I1477" s="1"/>
      <c r="K1477">
        <v>12.7</v>
      </c>
      <c r="L1477" t="s">
        <v>21</v>
      </c>
      <c r="M1477" t="s">
        <v>1893</v>
      </c>
      <c r="N1477" t="s">
        <v>1887</v>
      </c>
    </row>
    <row r="1478" spans="1:14" x14ac:dyDescent="0.35">
      <c r="A1478" t="s">
        <v>3402</v>
      </c>
      <c r="B1478" t="s">
        <v>1898</v>
      </c>
      <c r="C1478" t="s">
        <v>82</v>
      </c>
      <c r="D1478" t="s">
        <v>1915</v>
      </c>
      <c r="E1478" t="s">
        <v>1884</v>
      </c>
      <c r="F1478" t="s">
        <v>1895</v>
      </c>
      <c r="G1478">
        <v>1906897</v>
      </c>
      <c r="H1478" s="1">
        <v>45385</v>
      </c>
      <c r="I1478" s="1"/>
      <c r="K1478">
        <v>11.7</v>
      </c>
      <c r="L1478" t="s">
        <v>15</v>
      </c>
      <c r="M1478" t="s">
        <v>1935</v>
      </c>
      <c r="N1478" t="s">
        <v>1966</v>
      </c>
    </row>
    <row r="1479" spans="1:14" x14ac:dyDescent="0.35">
      <c r="A1479" t="s">
        <v>3403</v>
      </c>
      <c r="B1479" t="s">
        <v>1930</v>
      </c>
      <c r="C1479" t="s">
        <v>112</v>
      </c>
      <c r="D1479" t="s">
        <v>1883</v>
      </c>
      <c r="E1479" t="s">
        <v>1931</v>
      </c>
      <c r="F1479" t="s">
        <v>1900</v>
      </c>
      <c r="G1479">
        <v>478781</v>
      </c>
      <c r="H1479" s="1">
        <v>45189</v>
      </c>
      <c r="I1479" s="1">
        <v>45321</v>
      </c>
      <c r="J1479">
        <v>132</v>
      </c>
      <c r="K1479">
        <v>21.8</v>
      </c>
      <c r="L1479" t="s">
        <v>15</v>
      </c>
      <c r="M1479" t="s">
        <v>1932</v>
      </c>
      <c r="N1479" t="s">
        <v>1887</v>
      </c>
    </row>
    <row r="1480" spans="1:14" x14ac:dyDescent="0.35">
      <c r="A1480" t="s">
        <v>3404</v>
      </c>
      <c r="B1480" t="s">
        <v>1937</v>
      </c>
      <c r="C1480" t="s">
        <v>355</v>
      </c>
      <c r="D1480" t="s">
        <v>1904</v>
      </c>
      <c r="E1480" t="s">
        <v>1905</v>
      </c>
      <c r="F1480" t="s">
        <v>1892</v>
      </c>
      <c r="G1480">
        <v>308588</v>
      </c>
      <c r="H1480" s="1">
        <v>44971</v>
      </c>
      <c r="I1480" s="1"/>
      <c r="L1480" t="s">
        <v>30</v>
      </c>
      <c r="M1480" t="s">
        <v>1896</v>
      </c>
      <c r="N1480" t="s">
        <v>1887</v>
      </c>
    </row>
    <row r="1481" spans="1:14" x14ac:dyDescent="0.35">
      <c r="A1481" t="s">
        <v>3405</v>
      </c>
      <c r="B1481" t="s">
        <v>1898</v>
      </c>
      <c r="C1481" t="s">
        <v>365</v>
      </c>
      <c r="D1481" t="s">
        <v>1927</v>
      </c>
      <c r="E1481" t="s">
        <v>1891</v>
      </c>
      <c r="F1481" t="s">
        <v>1900</v>
      </c>
      <c r="G1481">
        <v>15980</v>
      </c>
      <c r="H1481" s="1">
        <v>45315</v>
      </c>
      <c r="I1481" s="1">
        <v>45481</v>
      </c>
      <c r="J1481">
        <v>166</v>
      </c>
      <c r="K1481">
        <v>4.5</v>
      </c>
      <c r="L1481" t="s">
        <v>30</v>
      </c>
      <c r="M1481" t="s">
        <v>1916</v>
      </c>
      <c r="N1481" t="s">
        <v>1887</v>
      </c>
    </row>
    <row r="1482" spans="1:14" x14ac:dyDescent="0.35">
      <c r="A1482" t="s">
        <v>3406</v>
      </c>
      <c r="B1482" t="s">
        <v>1914</v>
      </c>
      <c r="C1482" t="s">
        <v>447</v>
      </c>
      <c r="D1482" t="s">
        <v>1927</v>
      </c>
      <c r="E1482" t="s">
        <v>1600</v>
      </c>
      <c r="F1482" t="s">
        <v>1895</v>
      </c>
      <c r="G1482">
        <v>67028</v>
      </c>
      <c r="H1482" s="1">
        <v>45423</v>
      </c>
      <c r="I1482" s="1"/>
      <c r="K1482">
        <v>6.4</v>
      </c>
      <c r="L1482" t="s">
        <v>15</v>
      </c>
      <c r="M1482" t="s">
        <v>1935</v>
      </c>
      <c r="N1482" t="s">
        <v>1887</v>
      </c>
    </row>
    <row r="1483" spans="1:14" x14ac:dyDescent="0.35">
      <c r="A1483" t="s">
        <v>3407</v>
      </c>
      <c r="B1483" t="s">
        <v>1920</v>
      </c>
      <c r="C1483" t="s">
        <v>423</v>
      </c>
      <c r="D1483" t="s">
        <v>1915</v>
      </c>
      <c r="E1483" t="s">
        <v>1678</v>
      </c>
      <c r="F1483" t="s">
        <v>1900</v>
      </c>
      <c r="G1483">
        <v>367690</v>
      </c>
      <c r="H1483" s="1">
        <v>44994</v>
      </c>
      <c r="I1483" s="1">
        <v>45120</v>
      </c>
      <c r="J1483">
        <v>126</v>
      </c>
      <c r="K1483">
        <v>3</v>
      </c>
      <c r="L1483" t="s">
        <v>21</v>
      </c>
      <c r="M1483" t="s">
        <v>1896</v>
      </c>
      <c r="N1483" t="s">
        <v>1887</v>
      </c>
    </row>
    <row r="1484" spans="1:14" x14ac:dyDescent="0.35">
      <c r="A1484" t="s">
        <v>3408</v>
      </c>
      <c r="B1484" t="s">
        <v>1882</v>
      </c>
      <c r="C1484" t="s">
        <v>426</v>
      </c>
      <c r="D1484" t="s">
        <v>1904</v>
      </c>
      <c r="E1484" t="s">
        <v>1884</v>
      </c>
      <c r="F1484" t="s">
        <v>1900</v>
      </c>
      <c r="G1484">
        <v>260754</v>
      </c>
      <c r="H1484" s="1">
        <v>45028</v>
      </c>
      <c r="I1484" s="1">
        <v>45087</v>
      </c>
      <c r="J1484">
        <v>59</v>
      </c>
      <c r="K1484">
        <v>15.8</v>
      </c>
      <c r="L1484" t="s">
        <v>47</v>
      </c>
      <c r="M1484" t="s">
        <v>1893</v>
      </c>
      <c r="N1484" t="s">
        <v>1887</v>
      </c>
    </row>
    <row r="1485" spans="1:14" x14ac:dyDescent="0.35">
      <c r="A1485" t="s">
        <v>3409</v>
      </c>
      <c r="B1485" t="s">
        <v>1920</v>
      </c>
      <c r="C1485" t="s">
        <v>308</v>
      </c>
      <c r="D1485" t="s">
        <v>1899</v>
      </c>
      <c r="E1485" t="s">
        <v>1905</v>
      </c>
      <c r="F1485" t="s">
        <v>1895</v>
      </c>
      <c r="G1485">
        <v>219684</v>
      </c>
      <c r="H1485" s="1">
        <v>45183</v>
      </c>
      <c r="I1485" s="1"/>
      <c r="K1485">
        <v>2.6</v>
      </c>
      <c r="L1485" t="s">
        <v>21</v>
      </c>
      <c r="M1485" t="s">
        <v>1932</v>
      </c>
      <c r="N1485" t="s">
        <v>1887</v>
      </c>
    </row>
    <row r="1486" spans="1:14" x14ac:dyDescent="0.35">
      <c r="A1486" t="s">
        <v>3410</v>
      </c>
      <c r="B1486" t="s">
        <v>1889</v>
      </c>
      <c r="C1486" t="s">
        <v>188</v>
      </c>
      <c r="D1486" t="s">
        <v>1899</v>
      </c>
      <c r="E1486" t="s">
        <v>1918</v>
      </c>
      <c r="F1486" t="s">
        <v>1946</v>
      </c>
      <c r="G1486">
        <v>79584</v>
      </c>
      <c r="H1486" s="1">
        <v>45626</v>
      </c>
      <c r="I1486" s="1"/>
      <c r="L1486" t="s">
        <v>15</v>
      </c>
      <c r="M1486" t="s">
        <v>1901</v>
      </c>
      <c r="N1486" t="s">
        <v>1887</v>
      </c>
    </row>
    <row r="1487" spans="1:14" x14ac:dyDescent="0.35">
      <c r="A1487" t="s">
        <v>3411</v>
      </c>
      <c r="B1487" t="s">
        <v>1924</v>
      </c>
      <c r="C1487" t="s">
        <v>27</v>
      </c>
      <c r="D1487" t="s">
        <v>1904</v>
      </c>
      <c r="E1487" t="s">
        <v>1931</v>
      </c>
      <c r="F1487" t="s">
        <v>1895</v>
      </c>
      <c r="G1487">
        <v>265272</v>
      </c>
      <c r="H1487" s="1">
        <v>45269</v>
      </c>
      <c r="I1487" s="1"/>
      <c r="K1487">
        <v>2.2000000000000002</v>
      </c>
      <c r="L1487" t="s">
        <v>15</v>
      </c>
      <c r="M1487" t="s">
        <v>1886</v>
      </c>
      <c r="N1487" t="s">
        <v>1887</v>
      </c>
    </row>
    <row r="1488" spans="1:14" x14ac:dyDescent="0.35">
      <c r="A1488" t="s">
        <v>3412</v>
      </c>
      <c r="B1488" t="s">
        <v>1963</v>
      </c>
      <c r="C1488" t="s">
        <v>412</v>
      </c>
      <c r="D1488" t="s">
        <v>1904</v>
      </c>
      <c r="E1488" t="s">
        <v>1918</v>
      </c>
      <c r="F1488" t="s">
        <v>1900</v>
      </c>
      <c r="G1488">
        <v>248777</v>
      </c>
      <c r="H1488" s="1">
        <v>45691</v>
      </c>
      <c r="I1488" s="1">
        <v>45746</v>
      </c>
      <c r="J1488">
        <v>55</v>
      </c>
      <c r="K1488">
        <v>9.1999999999999993</v>
      </c>
      <c r="L1488" t="s">
        <v>47</v>
      </c>
      <c r="M1488" t="s">
        <v>1912</v>
      </c>
      <c r="N1488" t="s">
        <v>1887</v>
      </c>
    </row>
    <row r="1489" spans="1:14" x14ac:dyDescent="0.35">
      <c r="A1489" t="s">
        <v>3413</v>
      </c>
      <c r="B1489" t="s">
        <v>1930</v>
      </c>
      <c r="C1489" t="s">
        <v>236</v>
      </c>
      <c r="D1489" t="s">
        <v>1927</v>
      </c>
      <c r="E1489" t="s">
        <v>1931</v>
      </c>
      <c r="F1489" t="s">
        <v>1895</v>
      </c>
      <c r="G1489">
        <v>393124</v>
      </c>
      <c r="H1489" s="1">
        <v>45127</v>
      </c>
      <c r="I1489" s="1"/>
      <c r="L1489" t="s">
        <v>21</v>
      </c>
      <c r="M1489" t="s">
        <v>1932</v>
      </c>
      <c r="N1489" t="s">
        <v>1887</v>
      </c>
    </row>
    <row r="1490" spans="1:14" x14ac:dyDescent="0.35">
      <c r="A1490" t="s">
        <v>3414</v>
      </c>
      <c r="B1490" t="s">
        <v>1926</v>
      </c>
      <c r="C1490" t="s">
        <v>264</v>
      </c>
      <c r="D1490" t="s">
        <v>1927</v>
      </c>
      <c r="E1490" t="s">
        <v>1587</v>
      </c>
      <c r="F1490" t="s">
        <v>1895</v>
      </c>
      <c r="G1490">
        <v>294276</v>
      </c>
      <c r="H1490" s="1">
        <v>44962</v>
      </c>
      <c r="I1490" s="1"/>
      <c r="L1490" t="s">
        <v>15</v>
      </c>
      <c r="M1490" t="s">
        <v>1896</v>
      </c>
      <c r="N1490" t="s">
        <v>1887</v>
      </c>
    </row>
    <row r="1491" spans="1:14" x14ac:dyDescent="0.35">
      <c r="A1491" t="s">
        <v>3415</v>
      </c>
      <c r="B1491" t="s">
        <v>1903</v>
      </c>
      <c r="C1491" t="s">
        <v>88</v>
      </c>
      <c r="D1491" t="s">
        <v>1915</v>
      </c>
      <c r="E1491" t="s">
        <v>1931</v>
      </c>
      <c r="F1491" t="s">
        <v>1900</v>
      </c>
      <c r="G1491">
        <v>109399</v>
      </c>
      <c r="H1491" s="1">
        <v>45147</v>
      </c>
      <c r="I1491" s="1">
        <v>45262</v>
      </c>
      <c r="J1491">
        <v>115</v>
      </c>
      <c r="K1491">
        <v>6.3</v>
      </c>
      <c r="L1491" t="s">
        <v>15</v>
      </c>
      <c r="M1491" t="s">
        <v>1932</v>
      </c>
      <c r="N1491" t="s">
        <v>1887</v>
      </c>
    </row>
    <row r="1492" spans="1:14" x14ac:dyDescent="0.35">
      <c r="A1492" t="s">
        <v>3416</v>
      </c>
      <c r="B1492" t="s">
        <v>1898</v>
      </c>
      <c r="C1492" t="s">
        <v>66</v>
      </c>
      <c r="D1492" t="s">
        <v>1890</v>
      </c>
      <c r="E1492" t="s">
        <v>1891</v>
      </c>
      <c r="F1492" t="s">
        <v>1908</v>
      </c>
      <c r="G1492">
        <v>82389</v>
      </c>
      <c r="H1492" s="1">
        <v>45591</v>
      </c>
      <c r="I1492" s="1"/>
      <c r="L1492" t="s">
        <v>47</v>
      </c>
      <c r="M1492" t="s">
        <v>1901</v>
      </c>
      <c r="N1492" t="s">
        <v>1887</v>
      </c>
    </row>
    <row r="1493" spans="1:14" x14ac:dyDescent="0.35">
      <c r="A1493" t="s">
        <v>3417</v>
      </c>
      <c r="B1493" t="s">
        <v>1930</v>
      </c>
      <c r="C1493" t="s">
        <v>234</v>
      </c>
      <c r="D1493" t="s">
        <v>1915</v>
      </c>
      <c r="E1493" t="s">
        <v>1587</v>
      </c>
      <c r="F1493" t="s">
        <v>1892</v>
      </c>
      <c r="G1493">
        <v>468848</v>
      </c>
      <c r="H1493" s="1">
        <v>45346</v>
      </c>
      <c r="I1493" s="1"/>
      <c r="K1493">
        <v>0.3</v>
      </c>
      <c r="L1493" t="s">
        <v>15</v>
      </c>
      <c r="M1493" t="s">
        <v>1916</v>
      </c>
      <c r="N1493" t="s">
        <v>1887</v>
      </c>
    </row>
    <row r="1494" spans="1:14" x14ac:dyDescent="0.35">
      <c r="A1494" t="s">
        <v>3418</v>
      </c>
      <c r="B1494" t="s">
        <v>1907</v>
      </c>
      <c r="C1494" t="s">
        <v>275</v>
      </c>
      <c r="D1494" t="s">
        <v>1883</v>
      </c>
      <c r="E1494" t="s">
        <v>1905</v>
      </c>
      <c r="F1494" t="s">
        <v>1900</v>
      </c>
      <c r="G1494">
        <v>355440</v>
      </c>
      <c r="H1494" s="1">
        <v>45454</v>
      </c>
      <c r="I1494" s="1">
        <v>45574</v>
      </c>
      <c r="J1494">
        <v>120</v>
      </c>
      <c r="K1494">
        <v>0.1</v>
      </c>
      <c r="L1494" t="s">
        <v>21</v>
      </c>
      <c r="M1494" t="s">
        <v>1935</v>
      </c>
      <c r="N1494" t="s">
        <v>1887</v>
      </c>
    </row>
    <row r="1495" spans="1:14" x14ac:dyDescent="0.35">
      <c r="A1495" t="s">
        <v>3419</v>
      </c>
      <c r="B1495" t="s">
        <v>1914</v>
      </c>
      <c r="C1495" t="s">
        <v>236</v>
      </c>
      <c r="D1495" t="s">
        <v>1915</v>
      </c>
      <c r="E1495" t="s">
        <v>1587</v>
      </c>
      <c r="F1495" t="s">
        <v>1892</v>
      </c>
      <c r="G1495">
        <v>187002</v>
      </c>
      <c r="H1495" s="1">
        <v>45663</v>
      </c>
      <c r="I1495" s="1"/>
      <c r="K1495">
        <v>4.2</v>
      </c>
      <c r="L1495" t="s">
        <v>15</v>
      </c>
      <c r="M1495" t="s">
        <v>1912</v>
      </c>
      <c r="N1495" t="s">
        <v>1887</v>
      </c>
    </row>
    <row r="1496" spans="1:14" x14ac:dyDescent="0.35">
      <c r="A1496" t="s">
        <v>3420</v>
      </c>
      <c r="B1496" t="s">
        <v>1963</v>
      </c>
      <c r="C1496" t="s">
        <v>454</v>
      </c>
      <c r="D1496" t="s">
        <v>1883</v>
      </c>
      <c r="E1496" t="s">
        <v>1884</v>
      </c>
      <c r="F1496" t="s">
        <v>1900</v>
      </c>
      <c r="G1496">
        <v>356622</v>
      </c>
      <c r="H1496" s="1">
        <v>45568</v>
      </c>
      <c r="I1496" s="1">
        <v>45592</v>
      </c>
      <c r="J1496">
        <v>24</v>
      </c>
      <c r="K1496">
        <v>15.7</v>
      </c>
      <c r="L1496" t="s">
        <v>15</v>
      </c>
      <c r="M1496" t="s">
        <v>1901</v>
      </c>
      <c r="N1496" t="s">
        <v>1887</v>
      </c>
    </row>
    <row r="1497" spans="1:14" x14ac:dyDescent="0.35">
      <c r="A1497" t="s">
        <v>3421</v>
      </c>
      <c r="B1497" t="s">
        <v>1922</v>
      </c>
      <c r="C1497" t="s">
        <v>240</v>
      </c>
      <c r="D1497" t="s">
        <v>1915</v>
      </c>
      <c r="E1497" t="s">
        <v>1884</v>
      </c>
      <c r="F1497" t="s">
        <v>1900</v>
      </c>
      <c r="G1497">
        <v>214485</v>
      </c>
      <c r="H1497" s="1">
        <v>45545</v>
      </c>
      <c r="I1497" s="1">
        <v>45608</v>
      </c>
      <c r="J1497">
        <v>63</v>
      </c>
      <c r="K1497">
        <v>19.399999999999999</v>
      </c>
      <c r="L1497" t="s">
        <v>15</v>
      </c>
      <c r="M1497" t="s">
        <v>1953</v>
      </c>
      <c r="N1497" t="s">
        <v>1887</v>
      </c>
    </row>
    <row r="1498" spans="1:14" x14ac:dyDescent="0.35">
      <c r="A1498" t="s">
        <v>3422</v>
      </c>
      <c r="B1498" t="s">
        <v>1911</v>
      </c>
      <c r="C1498" t="s">
        <v>32</v>
      </c>
      <c r="D1498" t="s">
        <v>1904</v>
      </c>
      <c r="E1498" t="s">
        <v>1600</v>
      </c>
      <c r="F1498" t="s">
        <v>1908</v>
      </c>
      <c r="G1498">
        <v>481066</v>
      </c>
      <c r="H1498" s="1">
        <v>45350</v>
      </c>
      <c r="I1498" s="1"/>
      <c r="K1498">
        <v>14.9</v>
      </c>
      <c r="L1498" t="s">
        <v>47</v>
      </c>
      <c r="M1498" t="s">
        <v>1916</v>
      </c>
      <c r="N1498" t="s">
        <v>1887</v>
      </c>
    </row>
    <row r="1499" spans="1:14" x14ac:dyDescent="0.35">
      <c r="A1499" t="s">
        <v>3423</v>
      </c>
      <c r="B1499" t="s">
        <v>1920</v>
      </c>
      <c r="C1499" t="s">
        <v>38</v>
      </c>
      <c r="D1499" t="s">
        <v>1883</v>
      </c>
      <c r="E1499" t="s">
        <v>1918</v>
      </c>
      <c r="F1499" t="s">
        <v>1908</v>
      </c>
      <c r="G1499">
        <v>471980</v>
      </c>
      <c r="H1499" s="1">
        <v>45545</v>
      </c>
      <c r="I1499" s="1"/>
      <c r="K1499">
        <v>11.3</v>
      </c>
      <c r="L1499" t="s">
        <v>47</v>
      </c>
      <c r="M1499" t="s">
        <v>1953</v>
      </c>
      <c r="N1499" t="s">
        <v>1887</v>
      </c>
    </row>
    <row r="1500" spans="1:14" x14ac:dyDescent="0.35">
      <c r="A1500" t="s">
        <v>3424</v>
      </c>
      <c r="B1500" t="s">
        <v>1889</v>
      </c>
      <c r="C1500" t="s">
        <v>328</v>
      </c>
      <c r="D1500" t="s">
        <v>1883</v>
      </c>
      <c r="E1500" t="s">
        <v>1905</v>
      </c>
      <c r="F1500" t="s">
        <v>1900</v>
      </c>
      <c r="G1500">
        <v>202007</v>
      </c>
      <c r="H1500" s="1">
        <v>45399</v>
      </c>
      <c r="I1500" s="1">
        <v>45557</v>
      </c>
      <c r="J1500">
        <v>158</v>
      </c>
      <c r="K1500">
        <v>23.5</v>
      </c>
      <c r="L1500" t="s">
        <v>15</v>
      </c>
      <c r="M1500" t="s">
        <v>1935</v>
      </c>
      <c r="N1500" t="s">
        <v>1887</v>
      </c>
    </row>
    <row r="1501" spans="1:14" x14ac:dyDescent="0.35">
      <c r="A1501" t="s">
        <v>3425</v>
      </c>
      <c r="B1501" t="s">
        <v>1911</v>
      </c>
      <c r="C1501" t="s">
        <v>403</v>
      </c>
      <c r="D1501" t="s">
        <v>1899</v>
      </c>
      <c r="E1501" t="s">
        <v>1918</v>
      </c>
      <c r="F1501" t="s">
        <v>1946</v>
      </c>
      <c r="G1501">
        <v>273804</v>
      </c>
      <c r="H1501" s="1">
        <v>45287</v>
      </c>
      <c r="I1501" s="1"/>
      <c r="K1501">
        <v>14.5</v>
      </c>
      <c r="L1501" t="s">
        <v>15</v>
      </c>
      <c r="M1501" t="s">
        <v>1886</v>
      </c>
      <c r="N1501" t="s">
        <v>1887</v>
      </c>
    </row>
    <row r="1502" spans="1:14" x14ac:dyDescent="0.35">
      <c r="A1502" t="s">
        <v>3426</v>
      </c>
      <c r="B1502" t="s">
        <v>1922</v>
      </c>
      <c r="C1502" t="s">
        <v>190</v>
      </c>
      <c r="D1502" t="s">
        <v>1883</v>
      </c>
      <c r="E1502" t="s">
        <v>1884</v>
      </c>
      <c r="F1502" t="s">
        <v>1946</v>
      </c>
      <c r="G1502">
        <v>248962</v>
      </c>
      <c r="H1502" s="1">
        <v>45217</v>
      </c>
      <c r="I1502" s="1"/>
      <c r="K1502">
        <v>2.2000000000000002</v>
      </c>
      <c r="L1502" t="s">
        <v>47</v>
      </c>
      <c r="M1502" t="s">
        <v>1886</v>
      </c>
      <c r="N1502" t="s">
        <v>1887</v>
      </c>
    </row>
    <row r="1503" spans="1:14" x14ac:dyDescent="0.35">
      <c r="A1503" t="s">
        <v>3427</v>
      </c>
      <c r="B1503" t="s">
        <v>1944</v>
      </c>
      <c r="C1503" t="s">
        <v>447</v>
      </c>
      <c r="D1503" t="s">
        <v>1899</v>
      </c>
      <c r="E1503" t="s">
        <v>1587</v>
      </c>
      <c r="F1503" t="s">
        <v>1895</v>
      </c>
      <c r="G1503">
        <v>444743</v>
      </c>
      <c r="H1503" s="1">
        <v>45390</v>
      </c>
      <c r="I1503" s="1"/>
      <c r="K1503">
        <v>7.4</v>
      </c>
      <c r="L1503" t="s">
        <v>15</v>
      </c>
      <c r="M1503" t="s">
        <v>1935</v>
      </c>
      <c r="N1503" t="s">
        <v>1887</v>
      </c>
    </row>
    <row r="1504" spans="1:14" x14ac:dyDescent="0.35">
      <c r="A1504" t="s">
        <v>3428</v>
      </c>
      <c r="B1504" t="s">
        <v>1934</v>
      </c>
      <c r="C1504" t="s">
        <v>357</v>
      </c>
      <c r="D1504" t="s">
        <v>1927</v>
      </c>
      <c r="E1504" t="s">
        <v>1945</v>
      </c>
      <c r="F1504" t="s">
        <v>1895</v>
      </c>
      <c r="G1504">
        <v>230330</v>
      </c>
      <c r="H1504" s="1">
        <v>45509</v>
      </c>
      <c r="I1504" s="1"/>
      <c r="K1504">
        <v>13.9</v>
      </c>
      <c r="L1504" t="s">
        <v>30</v>
      </c>
      <c r="M1504" t="s">
        <v>1953</v>
      </c>
      <c r="N1504" t="s">
        <v>1887</v>
      </c>
    </row>
    <row r="1505" spans="1:14" x14ac:dyDescent="0.35">
      <c r="A1505" t="s">
        <v>3429</v>
      </c>
      <c r="B1505" t="s">
        <v>1934</v>
      </c>
      <c r="C1505" t="s">
        <v>152</v>
      </c>
      <c r="D1505" t="s">
        <v>1904</v>
      </c>
      <c r="E1505" t="s">
        <v>1905</v>
      </c>
      <c r="F1505" t="s">
        <v>1908</v>
      </c>
      <c r="G1505">
        <v>302736</v>
      </c>
      <c r="H1505" s="1">
        <v>45701</v>
      </c>
      <c r="I1505" s="1"/>
      <c r="K1505">
        <v>5.2</v>
      </c>
      <c r="L1505" t="s">
        <v>15</v>
      </c>
      <c r="M1505" t="s">
        <v>1912</v>
      </c>
      <c r="N1505" t="s">
        <v>1887</v>
      </c>
    </row>
    <row r="1506" spans="1:14" x14ac:dyDescent="0.35">
      <c r="A1506" t="s">
        <v>3430</v>
      </c>
      <c r="B1506" t="s">
        <v>1903</v>
      </c>
      <c r="C1506" t="s">
        <v>263</v>
      </c>
      <c r="D1506" t="s">
        <v>1927</v>
      </c>
      <c r="E1506" t="s">
        <v>1600</v>
      </c>
      <c r="F1506" t="s">
        <v>1895</v>
      </c>
      <c r="G1506">
        <v>133756</v>
      </c>
      <c r="H1506" s="1">
        <v>45716</v>
      </c>
      <c r="I1506" s="1"/>
      <c r="L1506" t="s">
        <v>47</v>
      </c>
      <c r="M1506" t="s">
        <v>1912</v>
      </c>
      <c r="N1506" t="s">
        <v>1887</v>
      </c>
    </row>
    <row r="1507" spans="1:14" x14ac:dyDescent="0.35">
      <c r="A1507" t="s">
        <v>3431</v>
      </c>
      <c r="B1507" t="s">
        <v>1944</v>
      </c>
      <c r="C1507" t="s">
        <v>366</v>
      </c>
      <c r="D1507" t="s">
        <v>1890</v>
      </c>
      <c r="E1507" t="s">
        <v>1884</v>
      </c>
      <c r="F1507" t="s">
        <v>1900</v>
      </c>
      <c r="G1507">
        <v>215780</v>
      </c>
      <c r="H1507" s="1">
        <v>45113</v>
      </c>
      <c r="I1507" s="1">
        <v>45240</v>
      </c>
      <c r="J1507">
        <v>127</v>
      </c>
      <c r="K1507">
        <v>16.100000000000001</v>
      </c>
      <c r="L1507" t="s">
        <v>15</v>
      </c>
      <c r="M1507" t="s">
        <v>1932</v>
      </c>
      <c r="N1507" t="s">
        <v>1887</v>
      </c>
    </row>
    <row r="1508" spans="1:14" x14ac:dyDescent="0.35">
      <c r="A1508" t="s">
        <v>3432</v>
      </c>
      <c r="B1508" t="s">
        <v>1922</v>
      </c>
      <c r="C1508" t="s">
        <v>372</v>
      </c>
      <c r="D1508" t="s">
        <v>1899</v>
      </c>
      <c r="E1508" t="s">
        <v>1884</v>
      </c>
      <c r="F1508" t="s">
        <v>1900</v>
      </c>
      <c r="G1508">
        <v>330892</v>
      </c>
      <c r="H1508" s="1">
        <v>45512</v>
      </c>
      <c r="I1508" s="1">
        <v>45688</v>
      </c>
      <c r="J1508">
        <v>176</v>
      </c>
      <c r="K1508">
        <v>2.2000000000000002</v>
      </c>
      <c r="L1508" t="s">
        <v>21</v>
      </c>
      <c r="M1508" t="s">
        <v>1953</v>
      </c>
      <c r="N1508" t="s">
        <v>1887</v>
      </c>
    </row>
    <row r="1509" spans="1:14" x14ac:dyDescent="0.35">
      <c r="A1509" t="s">
        <v>3433</v>
      </c>
      <c r="B1509" t="s">
        <v>1911</v>
      </c>
      <c r="C1509" t="s">
        <v>446</v>
      </c>
      <c r="D1509" t="s">
        <v>1899</v>
      </c>
      <c r="E1509" t="s">
        <v>1587</v>
      </c>
      <c r="F1509" t="s">
        <v>1946</v>
      </c>
      <c r="G1509">
        <v>335174</v>
      </c>
      <c r="H1509" s="1">
        <v>45248</v>
      </c>
      <c r="I1509" s="1"/>
      <c r="L1509" t="s">
        <v>15</v>
      </c>
      <c r="M1509" t="s">
        <v>1886</v>
      </c>
      <c r="N1509" t="s">
        <v>1887</v>
      </c>
    </row>
    <row r="1510" spans="1:14" x14ac:dyDescent="0.35">
      <c r="A1510" t="s">
        <v>3434</v>
      </c>
      <c r="B1510" t="s">
        <v>1926</v>
      </c>
      <c r="C1510" t="s">
        <v>344</v>
      </c>
      <c r="D1510" t="s">
        <v>1890</v>
      </c>
      <c r="E1510" t="s">
        <v>1931</v>
      </c>
      <c r="F1510" t="s">
        <v>1895</v>
      </c>
      <c r="G1510">
        <v>476929</v>
      </c>
      <c r="H1510" s="1">
        <v>44959</v>
      </c>
      <c r="I1510" s="1"/>
      <c r="L1510" t="s">
        <v>30</v>
      </c>
      <c r="M1510" t="s">
        <v>1896</v>
      </c>
      <c r="N1510" t="s">
        <v>1887</v>
      </c>
    </row>
    <row r="1511" spans="1:14" x14ac:dyDescent="0.35">
      <c r="A1511" t="s">
        <v>3435</v>
      </c>
      <c r="B1511" t="s">
        <v>1898</v>
      </c>
      <c r="C1511" t="s">
        <v>210</v>
      </c>
      <c r="D1511" t="s">
        <v>1890</v>
      </c>
      <c r="E1511" t="s">
        <v>1891</v>
      </c>
      <c r="F1511" t="s">
        <v>1908</v>
      </c>
      <c r="G1511">
        <v>460477</v>
      </c>
      <c r="H1511" s="1">
        <v>45342</v>
      </c>
      <c r="I1511" s="1"/>
      <c r="K1511">
        <v>1.7</v>
      </c>
      <c r="L1511" t="s">
        <v>30</v>
      </c>
      <c r="M1511" t="s">
        <v>1916</v>
      </c>
      <c r="N1511" t="s">
        <v>1887</v>
      </c>
    </row>
    <row r="1512" spans="1:14" x14ac:dyDescent="0.35">
      <c r="A1512" t="s">
        <v>3436</v>
      </c>
      <c r="B1512" t="s">
        <v>1889</v>
      </c>
      <c r="C1512" t="s">
        <v>275</v>
      </c>
      <c r="D1512" t="s">
        <v>1899</v>
      </c>
      <c r="E1512" t="s">
        <v>1891</v>
      </c>
      <c r="F1512" t="s">
        <v>1908</v>
      </c>
      <c r="G1512">
        <v>191529</v>
      </c>
      <c r="H1512" s="1">
        <v>45492</v>
      </c>
      <c r="I1512" s="1"/>
      <c r="L1512" t="s">
        <v>47</v>
      </c>
      <c r="M1512" t="s">
        <v>1953</v>
      </c>
      <c r="N1512" t="s">
        <v>1887</v>
      </c>
    </row>
    <row r="1513" spans="1:14" x14ac:dyDescent="0.35">
      <c r="A1513" t="s">
        <v>3437</v>
      </c>
      <c r="B1513" t="s">
        <v>1934</v>
      </c>
      <c r="C1513" t="s">
        <v>360</v>
      </c>
      <c r="D1513" t="s">
        <v>1927</v>
      </c>
      <c r="E1513" t="s">
        <v>1600</v>
      </c>
      <c r="F1513" t="s">
        <v>1892</v>
      </c>
      <c r="G1513">
        <v>481258</v>
      </c>
      <c r="H1513" s="1">
        <v>45462</v>
      </c>
      <c r="I1513" s="1"/>
      <c r="K1513">
        <v>1.5</v>
      </c>
      <c r="L1513" t="s">
        <v>21</v>
      </c>
      <c r="M1513" t="s">
        <v>1935</v>
      </c>
      <c r="N1513" t="s">
        <v>1887</v>
      </c>
    </row>
    <row r="1514" spans="1:14" x14ac:dyDescent="0.35">
      <c r="A1514" t="s">
        <v>3438</v>
      </c>
      <c r="B1514" t="s">
        <v>1898</v>
      </c>
      <c r="C1514" t="s">
        <v>293</v>
      </c>
      <c r="D1514" t="s">
        <v>1927</v>
      </c>
      <c r="E1514" t="s">
        <v>1931</v>
      </c>
      <c r="F1514" t="s">
        <v>1885</v>
      </c>
      <c r="G1514">
        <v>194080</v>
      </c>
      <c r="H1514" s="1">
        <v>45741</v>
      </c>
      <c r="I1514" s="1">
        <v>45879</v>
      </c>
      <c r="J1514">
        <v>138</v>
      </c>
      <c r="K1514">
        <v>12.5</v>
      </c>
      <c r="L1514" t="s">
        <v>47</v>
      </c>
      <c r="M1514" t="s">
        <v>1912</v>
      </c>
      <c r="N1514" t="s">
        <v>1887</v>
      </c>
    </row>
    <row r="1515" spans="1:14" x14ac:dyDescent="0.35">
      <c r="A1515" t="s">
        <v>3439</v>
      </c>
      <c r="B1515" t="s">
        <v>1944</v>
      </c>
      <c r="C1515" t="s">
        <v>328</v>
      </c>
      <c r="D1515" t="s">
        <v>1927</v>
      </c>
      <c r="E1515" t="s">
        <v>1918</v>
      </c>
      <c r="F1515" t="s">
        <v>1885</v>
      </c>
      <c r="G1515">
        <v>50125</v>
      </c>
      <c r="H1515" s="1">
        <v>45443</v>
      </c>
      <c r="I1515" s="1">
        <v>45541</v>
      </c>
      <c r="J1515">
        <v>98</v>
      </c>
      <c r="L1515" t="s">
        <v>47</v>
      </c>
      <c r="M1515" t="s">
        <v>1935</v>
      </c>
      <c r="N1515" t="s">
        <v>1887</v>
      </c>
    </row>
    <row r="1516" spans="1:14" x14ac:dyDescent="0.35">
      <c r="A1516" t="s">
        <v>3440</v>
      </c>
      <c r="B1516" t="s">
        <v>1934</v>
      </c>
      <c r="C1516" t="s">
        <v>216</v>
      </c>
      <c r="D1516" t="s">
        <v>1883</v>
      </c>
      <c r="E1516" t="s">
        <v>1905</v>
      </c>
      <c r="F1516" t="s">
        <v>1885</v>
      </c>
      <c r="G1516">
        <v>479196</v>
      </c>
      <c r="H1516" s="1">
        <v>44944</v>
      </c>
      <c r="I1516" s="1">
        <v>45009</v>
      </c>
      <c r="J1516">
        <v>65</v>
      </c>
      <c r="K1516">
        <v>1.2</v>
      </c>
      <c r="L1516" t="s">
        <v>21</v>
      </c>
      <c r="M1516" t="s">
        <v>1896</v>
      </c>
      <c r="N1516" t="s">
        <v>1887</v>
      </c>
    </row>
    <row r="1517" spans="1:14" x14ac:dyDescent="0.35">
      <c r="A1517" t="s">
        <v>3441</v>
      </c>
      <c r="B1517" t="s">
        <v>1914</v>
      </c>
      <c r="C1517" t="s">
        <v>447</v>
      </c>
      <c r="D1517" t="s">
        <v>1899</v>
      </c>
      <c r="E1517" t="s">
        <v>1891</v>
      </c>
      <c r="F1517" t="s">
        <v>1892</v>
      </c>
      <c r="G1517">
        <v>438500</v>
      </c>
      <c r="H1517" s="1">
        <v>45357</v>
      </c>
      <c r="I1517" s="1"/>
      <c r="L1517" t="s">
        <v>21</v>
      </c>
      <c r="M1517" t="s">
        <v>1916</v>
      </c>
      <c r="N1517" t="s">
        <v>1887</v>
      </c>
    </row>
    <row r="1518" spans="1:14" x14ac:dyDescent="0.35">
      <c r="A1518" t="s">
        <v>3442</v>
      </c>
      <c r="B1518" t="s">
        <v>1914</v>
      </c>
      <c r="C1518" t="s">
        <v>94</v>
      </c>
      <c r="D1518" t="s">
        <v>1915</v>
      </c>
      <c r="E1518" t="s">
        <v>1678</v>
      </c>
      <c r="F1518" t="s">
        <v>1908</v>
      </c>
      <c r="G1518">
        <v>404059</v>
      </c>
      <c r="H1518" s="1">
        <v>45150</v>
      </c>
      <c r="I1518" s="1"/>
      <c r="K1518">
        <v>1</v>
      </c>
      <c r="L1518" t="s">
        <v>21</v>
      </c>
      <c r="M1518" t="s">
        <v>1932</v>
      </c>
      <c r="N1518" t="s">
        <v>1887</v>
      </c>
    </row>
    <row r="1519" spans="1:14" x14ac:dyDescent="0.35">
      <c r="A1519" t="s">
        <v>3443</v>
      </c>
      <c r="B1519" t="s">
        <v>1963</v>
      </c>
      <c r="C1519" t="s">
        <v>146</v>
      </c>
      <c r="D1519" t="s">
        <v>1915</v>
      </c>
      <c r="E1519" t="s">
        <v>1891</v>
      </c>
      <c r="F1519" t="s">
        <v>1946</v>
      </c>
      <c r="G1519">
        <v>327322</v>
      </c>
      <c r="H1519" s="1">
        <v>45615</v>
      </c>
      <c r="I1519" s="1"/>
      <c r="K1519">
        <v>8</v>
      </c>
      <c r="L1519" t="s">
        <v>21</v>
      </c>
      <c r="M1519" t="s">
        <v>1901</v>
      </c>
      <c r="N1519" t="s">
        <v>1887</v>
      </c>
    </row>
    <row r="1520" spans="1:14" x14ac:dyDescent="0.35">
      <c r="A1520" t="s">
        <v>3444</v>
      </c>
      <c r="B1520" t="s">
        <v>1924</v>
      </c>
      <c r="C1520" t="s">
        <v>388</v>
      </c>
      <c r="D1520" t="s">
        <v>1904</v>
      </c>
      <c r="E1520" t="s">
        <v>1891</v>
      </c>
      <c r="F1520" t="s">
        <v>1885</v>
      </c>
      <c r="G1520">
        <v>237345</v>
      </c>
      <c r="H1520" s="1">
        <v>45545</v>
      </c>
      <c r="I1520" s="1">
        <v>45623</v>
      </c>
      <c r="J1520">
        <v>78</v>
      </c>
      <c r="L1520" t="s">
        <v>30</v>
      </c>
      <c r="M1520" t="s">
        <v>1953</v>
      </c>
      <c r="N1520" t="s">
        <v>1887</v>
      </c>
    </row>
    <row r="1521" spans="1:14" x14ac:dyDescent="0.35">
      <c r="A1521" t="s">
        <v>3445</v>
      </c>
      <c r="B1521" t="s">
        <v>1924</v>
      </c>
      <c r="C1521" t="s">
        <v>477</v>
      </c>
      <c r="D1521" t="s">
        <v>1927</v>
      </c>
      <c r="E1521" t="s">
        <v>1905</v>
      </c>
      <c r="F1521" t="s">
        <v>1946</v>
      </c>
      <c r="G1521">
        <v>241772</v>
      </c>
      <c r="H1521" s="1">
        <v>45281</v>
      </c>
      <c r="I1521" s="1"/>
      <c r="K1521">
        <v>12.8</v>
      </c>
      <c r="L1521" t="s">
        <v>47</v>
      </c>
      <c r="M1521" t="s">
        <v>1886</v>
      </c>
      <c r="N1521" t="s">
        <v>1887</v>
      </c>
    </row>
    <row r="1522" spans="1:14" x14ac:dyDescent="0.35">
      <c r="A1522" t="s">
        <v>3446</v>
      </c>
      <c r="B1522" t="s">
        <v>1930</v>
      </c>
      <c r="C1522" t="s">
        <v>110</v>
      </c>
      <c r="D1522" t="s">
        <v>1904</v>
      </c>
      <c r="E1522" t="s">
        <v>1587</v>
      </c>
      <c r="F1522" t="s">
        <v>1892</v>
      </c>
      <c r="G1522">
        <v>488609</v>
      </c>
      <c r="H1522" s="1">
        <v>45362</v>
      </c>
      <c r="I1522" s="1"/>
      <c r="K1522">
        <v>9</v>
      </c>
      <c r="L1522" t="s">
        <v>47</v>
      </c>
      <c r="M1522" t="s">
        <v>1916</v>
      </c>
      <c r="N1522" t="s">
        <v>1887</v>
      </c>
    </row>
    <row r="1523" spans="1:14" x14ac:dyDescent="0.35">
      <c r="A1523" t="s">
        <v>3447</v>
      </c>
      <c r="B1523" t="s">
        <v>1882</v>
      </c>
      <c r="C1523" t="s">
        <v>77</v>
      </c>
      <c r="D1523" t="s">
        <v>1883</v>
      </c>
      <c r="E1523" t="s">
        <v>1884</v>
      </c>
      <c r="F1523" t="s">
        <v>1946</v>
      </c>
      <c r="G1523">
        <v>290135</v>
      </c>
      <c r="H1523" s="1">
        <v>45126</v>
      </c>
      <c r="I1523" s="1"/>
      <c r="L1523" t="s">
        <v>47</v>
      </c>
      <c r="M1523" t="s">
        <v>1932</v>
      </c>
      <c r="N1523" t="s">
        <v>1887</v>
      </c>
    </row>
    <row r="1524" spans="1:14" x14ac:dyDescent="0.35">
      <c r="A1524" t="s">
        <v>3448</v>
      </c>
      <c r="B1524" t="s">
        <v>1920</v>
      </c>
      <c r="C1524" t="s">
        <v>374</v>
      </c>
      <c r="D1524" t="s">
        <v>1915</v>
      </c>
      <c r="E1524" t="s">
        <v>1931</v>
      </c>
      <c r="F1524" t="s">
        <v>1946</v>
      </c>
      <c r="G1524">
        <v>361085</v>
      </c>
      <c r="H1524" s="1">
        <v>45351</v>
      </c>
      <c r="I1524" s="1"/>
      <c r="L1524" t="s">
        <v>47</v>
      </c>
      <c r="M1524" t="s">
        <v>1916</v>
      </c>
      <c r="N1524" t="s">
        <v>1887</v>
      </c>
    </row>
    <row r="1525" spans="1:14" x14ac:dyDescent="0.35">
      <c r="A1525" t="s">
        <v>3449</v>
      </c>
      <c r="B1525" t="s">
        <v>1889</v>
      </c>
      <c r="C1525" t="s">
        <v>461</v>
      </c>
      <c r="D1525" t="s">
        <v>1890</v>
      </c>
      <c r="E1525" t="s">
        <v>1600</v>
      </c>
      <c r="F1525" t="s">
        <v>1900</v>
      </c>
      <c r="G1525">
        <v>168320</v>
      </c>
      <c r="H1525" s="1">
        <v>45072</v>
      </c>
      <c r="I1525" s="1">
        <v>45091</v>
      </c>
      <c r="J1525">
        <v>19</v>
      </c>
      <c r="K1525">
        <v>22.6</v>
      </c>
      <c r="L1525" t="s">
        <v>21</v>
      </c>
      <c r="M1525" t="s">
        <v>1893</v>
      </c>
      <c r="N1525" t="s">
        <v>1887</v>
      </c>
    </row>
    <row r="1526" spans="1:14" x14ac:dyDescent="0.35">
      <c r="A1526" t="s">
        <v>3450</v>
      </c>
      <c r="B1526" t="s">
        <v>1920</v>
      </c>
      <c r="C1526" t="s">
        <v>303</v>
      </c>
      <c r="D1526" t="s">
        <v>1915</v>
      </c>
      <c r="E1526" t="s">
        <v>1587</v>
      </c>
      <c r="F1526" t="s">
        <v>1900</v>
      </c>
      <c r="G1526">
        <v>424756</v>
      </c>
      <c r="H1526" s="1">
        <v>45672</v>
      </c>
      <c r="I1526" s="1">
        <v>45700</v>
      </c>
      <c r="J1526">
        <v>28</v>
      </c>
      <c r="K1526">
        <v>12.4</v>
      </c>
      <c r="L1526" t="s">
        <v>47</v>
      </c>
      <c r="M1526" t="s">
        <v>1912</v>
      </c>
      <c r="N1526" t="s">
        <v>1887</v>
      </c>
    </row>
    <row r="1527" spans="1:14" x14ac:dyDescent="0.35">
      <c r="A1527" t="s">
        <v>3451</v>
      </c>
      <c r="B1527" t="s">
        <v>1926</v>
      </c>
      <c r="C1527" t="s">
        <v>74</v>
      </c>
      <c r="D1527" t="s">
        <v>1899</v>
      </c>
      <c r="E1527" t="s">
        <v>1884</v>
      </c>
      <c r="F1527" t="s">
        <v>1946</v>
      </c>
      <c r="G1527">
        <v>177890</v>
      </c>
      <c r="H1527" s="1">
        <v>45378</v>
      </c>
      <c r="I1527" s="1"/>
      <c r="K1527">
        <v>13.8</v>
      </c>
      <c r="L1527" t="s">
        <v>21</v>
      </c>
      <c r="M1527" t="s">
        <v>1916</v>
      </c>
      <c r="N1527" t="s">
        <v>1887</v>
      </c>
    </row>
    <row r="1528" spans="1:14" x14ac:dyDescent="0.35">
      <c r="A1528" t="s">
        <v>3452</v>
      </c>
      <c r="B1528" t="s">
        <v>1926</v>
      </c>
      <c r="C1528" t="s">
        <v>353</v>
      </c>
      <c r="D1528" t="s">
        <v>1883</v>
      </c>
      <c r="E1528" t="s">
        <v>1931</v>
      </c>
      <c r="F1528" t="s">
        <v>1895</v>
      </c>
      <c r="G1528">
        <v>442984</v>
      </c>
      <c r="H1528" s="1">
        <v>45474</v>
      </c>
      <c r="I1528" s="1"/>
      <c r="K1528">
        <v>13.2</v>
      </c>
      <c r="L1528" t="s">
        <v>30</v>
      </c>
      <c r="M1528" t="s">
        <v>1953</v>
      </c>
      <c r="N1528" t="s">
        <v>1887</v>
      </c>
    </row>
    <row r="1529" spans="1:14" x14ac:dyDescent="0.35">
      <c r="A1529" t="s">
        <v>3453</v>
      </c>
      <c r="B1529" t="s">
        <v>1934</v>
      </c>
      <c r="C1529" t="s">
        <v>419</v>
      </c>
      <c r="D1529" t="s">
        <v>1915</v>
      </c>
      <c r="E1529" t="s">
        <v>1918</v>
      </c>
      <c r="F1529" t="s">
        <v>1895</v>
      </c>
      <c r="G1529">
        <v>411195</v>
      </c>
      <c r="H1529" s="1">
        <v>45596</v>
      </c>
      <c r="I1529" s="1"/>
      <c r="K1529">
        <v>7.2</v>
      </c>
      <c r="L1529" t="s">
        <v>21</v>
      </c>
      <c r="M1529" t="s">
        <v>1901</v>
      </c>
      <c r="N1529" t="s">
        <v>1887</v>
      </c>
    </row>
    <row r="1530" spans="1:14" x14ac:dyDescent="0.35">
      <c r="A1530" t="s">
        <v>3454</v>
      </c>
      <c r="B1530" t="s">
        <v>1944</v>
      </c>
      <c r="C1530" t="s">
        <v>450</v>
      </c>
      <c r="D1530" t="s">
        <v>1890</v>
      </c>
      <c r="E1530" t="s">
        <v>1587</v>
      </c>
      <c r="F1530" t="s">
        <v>1946</v>
      </c>
      <c r="G1530">
        <v>370598</v>
      </c>
      <c r="H1530" s="1">
        <v>45586</v>
      </c>
      <c r="I1530" s="1"/>
      <c r="K1530">
        <v>6</v>
      </c>
      <c r="L1530" t="s">
        <v>21</v>
      </c>
      <c r="M1530" t="s">
        <v>1901</v>
      </c>
      <c r="N1530" t="s">
        <v>1887</v>
      </c>
    </row>
    <row r="1531" spans="1:14" x14ac:dyDescent="0.35">
      <c r="A1531" t="s">
        <v>3455</v>
      </c>
      <c r="B1531" t="s">
        <v>1930</v>
      </c>
      <c r="C1531" t="s">
        <v>330</v>
      </c>
      <c r="D1531" t="s">
        <v>1904</v>
      </c>
      <c r="E1531" t="s">
        <v>1891</v>
      </c>
      <c r="F1531" t="s">
        <v>1900</v>
      </c>
      <c r="G1531">
        <v>325831</v>
      </c>
      <c r="H1531" s="1">
        <v>45592</v>
      </c>
      <c r="I1531" s="1">
        <v>45669</v>
      </c>
      <c r="J1531">
        <v>77</v>
      </c>
      <c r="K1531">
        <v>13</v>
      </c>
      <c r="L1531" t="s">
        <v>47</v>
      </c>
      <c r="M1531" t="s">
        <v>1901</v>
      </c>
      <c r="N1531" t="s">
        <v>1887</v>
      </c>
    </row>
    <row r="1532" spans="1:14" x14ac:dyDescent="0.35">
      <c r="A1532" t="s">
        <v>3456</v>
      </c>
      <c r="B1532" t="s">
        <v>1889</v>
      </c>
      <c r="C1532" t="s">
        <v>448</v>
      </c>
      <c r="D1532" t="s">
        <v>1883</v>
      </c>
      <c r="E1532" t="s">
        <v>1678</v>
      </c>
      <c r="F1532" t="s">
        <v>1895</v>
      </c>
      <c r="G1532">
        <v>195408</v>
      </c>
      <c r="H1532" s="1">
        <v>45652</v>
      </c>
      <c r="I1532" s="1"/>
      <c r="L1532" t="s">
        <v>47</v>
      </c>
      <c r="M1532" t="s">
        <v>1901</v>
      </c>
      <c r="N1532" t="s">
        <v>1887</v>
      </c>
    </row>
    <row r="1533" spans="1:14" x14ac:dyDescent="0.35">
      <c r="A1533" t="s">
        <v>3457</v>
      </c>
      <c r="B1533" t="s">
        <v>1898</v>
      </c>
      <c r="C1533" t="s">
        <v>410</v>
      </c>
      <c r="D1533" t="s">
        <v>1883</v>
      </c>
      <c r="E1533" t="s">
        <v>1891</v>
      </c>
      <c r="F1533" t="s">
        <v>1895</v>
      </c>
      <c r="G1533">
        <v>230718</v>
      </c>
      <c r="H1533" s="1">
        <v>45069</v>
      </c>
      <c r="I1533" s="1"/>
      <c r="K1533">
        <v>13.4</v>
      </c>
      <c r="L1533" t="s">
        <v>30</v>
      </c>
      <c r="M1533" t="s">
        <v>1893</v>
      </c>
      <c r="N1533" t="s">
        <v>1887</v>
      </c>
    </row>
    <row r="1534" spans="1:14" x14ac:dyDescent="0.35">
      <c r="A1534" t="s">
        <v>3458</v>
      </c>
      <c r="B1534" t="s">
        <v>1924</v>
      </c>
      <c r="C1534" t="s">
        <v>471</v>
      </c>
      <c r="D1534" t="s">
        <v>1915</v>
      </c>
      <c r="E1534" t="s">
        <v>1891</v>
      </c>
      <c r="F1534" t="s">
        <v>1946</v>
      </c>
      <c r="G1534">
        <v>297439</v>
      </c>
      <c r="H1534" s="1">
        <v>45393</v>
      </c>
      <c r="I1534" s="1"/>
      <c r="K1534">
        <v>9.6999999999999993</v>
      </c>
      <c r="L1534" t="s">
        <v>15</v>
      </c>
      <c r="M1534" t="s">
        <v>1935</v>
      </c>
      <c r="N1534" t="s">
        <v>1887</v>
      </c>
    </row>
    <row r="1535" spans="1:14" x14ac:dyDescent="0.35">
      <c r="A1535" t="s">
        <v>3459</v>
      </c>
      <c r="B1535" t="s">
        <v>1944</v>
      </c>
      <c r="C1535" t="s">
        <v>85</v>
      </c>
      <c r="D1535" t="s">
        <v>1883</v>
      </c>
      <c r="E1535" t="s">
        <v>1931</v>
      </c>
      <c r="F1535" t="s">
        <v>1946</v>
      </c>
      <c r="G1535">
        <v>397897</v>
      </c>
      <c r="H1535" s="1">
        <v>44954</v>
      </c>
      <c r="I1535" s="1"/>
      <c r="L1535" t="s">
        <v>21</v>
      </c>
      <c r="M1535" t="s">
        <v>1896</v>
      </c>
      <c r="N1535" t="s">
        <v>1887</v>
      </c>
    </row>
    <row r="1536" spans="1:14" x14ac:dyDescent="0.35">
      <c r="A1536" t="s">
        <v>3460</v>
      </c>
      <c r="B1536" t="s">
        <v>1926</v>
      </c>
      <c r="C1536" t="s">
        <v>190</v>
      </c>
      <c r="D1536" t="s">
        <v>1899</v>
      </c>
      <c r="E1536" t="s">
        <v>1918</v>
      </c>
      <c r="F1536" t="s">
        <v>1895</v>
      </c>
      <c r="G1536">
        <v>358700</v>
      </c>
      <c r="H1536" s="1">
        <v>45614</v>
      </c>
      <c r="I1536" s="1"/>
      <c r="L1536" t="s">
        <v>30</v>
      </c>
      <c r="M1536" t="s">
        <v>1901</v>
      </c>
      <c r="N1536" t="s">
        <v>1887</v>
      </c>
    </row>
    <row r="1537" spans="1:14" x14ac:dyDescent="0.35">
      <c r="A1537" t="s">
        <v>3461</v>
      </c>
      <c r="B1537" t="s">
        <v>1914</v>
      </c>
      <c r="C1537" t="s">
        <v>383</v>
      </c>
      <c r="D1537" t="s">
        <v>1915</v>
      </c>
      <c r="E1537" t="s">
        <v>1945</v>
      </c>
      <c r="F1537" t="s">
        <v>1946</v>
      </c>
      <c r="G1537">
        <v>261811</v>
      </c>
      <c r="H1537" s="1">
        <v>45709</v>
      </c>
      <c r="I1537" s="1"/>
      <c r="K1537">
        <v>9.8000000000000007</v>
      </c>
      <c r="L1537" t="s">
        <v>21</v>
      </c>
      <c r="M1537" t="s">
        <v>1912</v>
      </c>
      <c r="N1537" t="s">
        <v>1887</v>
      </c>
    </row>
    <row r="1538" spans="1:14" x14ac:dyDescent="0.35">
      <c r="A1538" t="s">
        <v>3462</v>
      </c>
      <c r="B1538" t="s">
        <v>1944</v>
      </c>
      <c r="C1538" t="s">
        <v>331</v>
      </c>
      <c r="D1538" t="s">
        <v>1883</v>
      </c>
      <c r="E1538" t="s">
        <v>1918</v>
      </c>
      <c r="F1538" t="s">
        <v>1946</v>
      </c>
      <c r="G1538">
        <v>981493</v>
      </c>
      <c r="H1538" s="1">
        <v>45433</v>
      </c>
      <c r="I1538" s="1"/>
      <c r="K1538">
        <v>9.3000000000000007</v>
      </c>
      <c r="L1538" t="s">
        <v>15</v>
      </c>
      <c r="M1538" t="s">
        <v>1935</v>
      </c>
      <c r="N1538" t="s">
        <v>1966</v>
      </c>
    </row>
    <row r="1539" spans="1:14" x14ac:dyDescent="0.35">
      <c r="A1539" t="s">
        <v>3463</v>
      </c>
      <c r="B1539" t="s">
        <v>1944</v>
      </c>
      <c r="C1539" t="s">
        <v>269</v>
      </c>
      <c r="D1539" t="s">
        <v>1883</v>
      </c>
      <c r="E1539" t="s">
        <v>1891</v>
      </c>
      <c r="F1539" t="s">
        <v>1908</v>
      </c>
      <c r="G1539">
        <v>257410</v>
      </c>
      <c r="H1539" s="1">
        <v>45291</v>
      </c>
      <c r="I1539" s="1"/>
      <c r="K1539">
        <v>6.1</v>
      </c>
      <c r="L1539" t="s">
        <v>21</v>
      </c>
      <c r="M1539" t="s">
        <v>1886</v>
      </c>
      <c r="N1539" t="s">
        <v>1887</v>
      </c>
    </row>
    <row r="1540" spans="1:14" x14ac:dyDescent="0.35">
      <c r="A1540" t="s">
        <v>3464</v>
      </c>
      <c r="B1540" t="s">
        <v>1914</v>
      </c>
      <c r="C1540" t="s">
        <v>368</v>
      </c>
      <c r="D1540" t="s">
        <v>1904</v>
      </c>
      <c r="E1540" t="s">
        <v>1891</v>
      </c>
      <c r="F1540" t="s">
        <v>1900</v>
      </c>
      <c r="G1540">
        <v>128428</v>
      </c>
      <c r="H1540" s="1">
        <v>45627</v>
      </c>
      <c r="I1540" s="1">
        <v>45740</v>
      </c>
      <c r="J1540">
        <v>113</v>
      </c>
      <c r="K1540">
        <v>17.899999999999999</v>
      </c>
      <c r="L1540" t="s">
        <v>47</v>
      </c>
      <c r="M1540" t="s">
        <v>1901</v>
      </c>
      <c r="N1540" t="s">
        <v>1887</v>
      </c>
    </row>
    <row r="1541" spans="1:14" x14ac:dyDescent="0.35">
      <c r="A1541" t="s">
        <v>3465</v>
      </c>
      <c r="B1541" t="s">
        <v>1924</v>
      </c>
      <c r="C1541" t="s">
        <v>348</v>
      </c>
      <c r="D1541" t="s">
        <v>1927</v>
      </c>
      <c r="E1541" t="s">
        <v>1678</v>
      </c>
      <c r="F1541" t="s">
        <v>1895</v>
      </c>
      <c r="G1541">
        <v>411048</v>
      </c>
      <c r="H1541" s="1">
        <v>45217</v>
      </c>
      <c r="I1541" s="1"/>
      <c r="K1541">
        <v>8.3000000000000007</v>
      </c>
      <c r="L1541" t="s">
        <v>15</v>
      </c>
      <c r="M1541" t="s">
        <v>1886</v>
      </c>
      <c r="N1541" t="s">
        <v>1887</v>
      </c>
    </row>
    <row r="1542" spans="1:14" x14ac:dyDescent="0.35">
      <c r="A1542" t="s">
        <v>3466</v>
      </c>
      <c r="B1542" t="s">
        <v>1944</v>
      </c>
      <c r="C1542" t="s">
        <v>86</v>
      </c>
      <c r="D1542" t="s">
        <v>1899</v>
      </c>
      <c r="E1542" t="s">
        <v>1891</v>
      </c>
      <c r="F1542" t="s">
        <v>1895</v>
      </c>
      <c r="G1542">
        <v>456497</v>
      </c>
      <c r="H1542" s="1">
        <v>45124</v>
      </c>
      <c r="I1542" s="1"/>
      <c r="K1542">
        <v>4.3</v>
      </c>
      <c r="L1542" t="s">
        <v>30</v>
      </c>
      <c r="M1542" t="s">
        <v>1932</v>
      </c>
      <c r="N1542" t="s">
        <v>1887</v>
      </c>
    </row>
    <row r="1543" spans="1:14" x14ac:dyDescent="0.35">
      <c r="A1543" t="s">
        <v>3467</v>
      </c>
      <c r="B1543" t="s">
        <v>1926</v>
      </c>
      <c r="C1543" t="s">
        <v>498</v>
      </c>
      <c r="D1543" t="s">
        <v>1904</v>
      </c>
      <c r="E1543" t="s">
        <v>1884</v>
      </c>
      <c r="F1543" t="s">
        <v>1908</v>
      </c>
      <c r="G1543">
        <v>194304</v>
      </c>
      <c r="H1543" s="1">
        <v>45076</v>
      </c>
      <c r="I1543" s="1"/>
      <c r="K1543">
        <v>12.7</v>
      </c>
      <c r="L1543" t="s">
        <v>21</v>
      </c>
      <c r="M1543" t="s">
        <v>1893</v>
      </c>
      <c r="N1543" t="s">
        <v>1887</v>
      </c>
    </row>
    <row r="1544" spans="1:14" x14ac:dyDescent="0.35">
      <c r="A1544" t="s">
        <v>3468</v>
      </c>
      <c r="B1544" t="s">
        <v>1903</v>
      </c>
      <c r="C1544" t="s">
        <v>467</v>
      </c>
      <c r="D1544" t="s">
        <v>1904</v>
      </c>
      <c r="E1544" t="s">
        <v>1905</v>
      </c>
      <c r="F1544" t="s">
        <v>1895</v>
      </c>
      <c r="G1544">
        <v>398215</v>
      </c>
      <c r="H1544" s="1">
        <v>44929</v>
      </c>
      <c r="I1544" s="1"/>
      <c r="K1544">
        <v>7.2</v>
      </c>
      <c r="L1544" t="s">
        <v>47</v>
      </c>
      <c r="M1544" t="s">
        <v>1896</v>
      </c>
      <c r="N1544" t="s">
        <v>1887</v>
      </c>
    </row>
    <row r="1545" spans="1:14" x14ac:dyDescent="0.35">
      <c r="A1545" t="s">
        <v>3469</v>
      </c>
      <c r="B1545" t="s">
        <v>1926</v>
      </c>
      <c r="C1545" t="s">
        <v>32</v>
      </c>
      <c r="D1545" t="s">
        <v>1890</v>
      </c>
      <c r="E1545" t="s">
        <v>1905</v>
      </c>
      <c r="F1545" t="s">
        <v>1900</v>
      </c>
      <c r="G1545">
        <v>127314</v>
      </c>
      <c r="H1545" s="1">
        <v>45659</v>
      </c>
      <c r="I1545" s="1">
        <v>45716</v>
      </c>
      <c r="J1545">
        <v>57</v>
      </c>
      <c r="K1545">
        <v>19.8</v>
      </c>
      <c r="L1545" t="s">
        <v>30</v>
      </c>
      <c r="M1545" t="s">
        <v>1912</v>
      </c>
      <c r="N1545" t="s">
        <v>1887</v>
      </c>
    </row>
    <row r="1546" spans="1:14" x14ac:dyDescent="0.35">
      <c r="A1546" t="s">
        <v>3470</v>
      </c>
      <c r="B1546" t="s">
        <v>1920</v>
      </c>
      <c r="C1546" t="s">
        <v>335</v>
      </c>
      <c r="D1546" t="s">
        <v>1883</v>
      </c>
      <c r="E1546" t="s">
        <v>1600</v>
      </c>
      <c r="F1546" t="s">
        <v>1900</v>
      </c>
      <c r="G1546">
        <v>264786</v>
      </c>
      <c r="H1546" s="1">
        <v>45311</v>
      </c>
      <c r="I1546" s="1">
        <v>45393</v>
      </c>
      <c r="J1546">
        <v>82</v>
      </c>
      <c r="K1546">
        <v>7.5</v>
      </c>
      <c r="L1546" t="s">
        <v>47</v>
      </c>
      <c r="M1546" t="s">
        <v>1916</v>
      </c>
      <c r="N1546" t="s">
        <v>1887</v>
      </c>
    </row>
    <row r="1547" spans="1:14" x14ac:dyDescent="0.35">
      <c r="A1547" t="s">
        <v>3471</v>
      </c>
      <c r="B1547" t="s">
        <v>1882</v>
      </c>
      <c r="C1547" t="s">
        <v>444</v>
      </c>
      <c r="D1547" t="s">
        <v>1915</v>
      </c>
      <c r="E1547" t="s">
        <v>1891</v>
      </c>
      <c r="F1547" t="s">
        <v>1892</v>
      </c>
      <c r="G1547">
        <v>337176</v>
      </c>
      <c r="H1547" s="1">
        <v>45344</v>
      </c>
      <c r="I1547" s="1"/>
      <c r="K1547">
        <v>4.0999999999999996</v>
      </c>
      <c r="L1547" t="s">
        <v>15</v>
      </c>
      <c r="M1547" t="s">
        <v>1916</v>
      </c>
      <c r="N1547" t="s">
        <v>1887</v>
      </c>
    </row>
    <row r="1548" spans="1:14" x14ac:dyDescent="0.35">
      <c r="A1548" t="s">
        <v>3472</v>
      </c>
      <c r="B1548" t="s">
        <v>1911</v>
      </c>
      <c r="C1548" t="s">
        <v>130</v>
      </c>
      <c r="D1548" t="s">
        <v>1890</v>
      </c>
      <c r="E1548" t="s">
        <v>1931</v>
      </c>
      <c r="F1548" t="s">
        <v>1885</v>
      </c>
      <c r="G1548">
        <v>302877</v>
      </c>
      <c r="H1548" s="1">
        <v>45404</v>
      </c>
      <c r="I1548" s="1">
        <v>45476</v>
      </c>
      <c r="J1548">
        <v>72</v>
      </c>
      <c r="L1548" t="s">
        <v>47</v>
      </c>
      <c r="M1548" t="s">
        <v>1935</v>
      </c>
      <c r="N1548" t="s">
        <v>1887</v>
      </c>
    </row>
    <row r="1549" spans="1:14" x14ac:dyDescent="0.35">
      <c r="A1549" t="s">
        <v>3473</v>
      </c>
      <c r="B1549" t="s">
        <v>1882</v>
      </c>
      <c r="C1549" t="s">
        <v>180</v>
      </c>
      <c r="D1549" t="s">
        <v>1890</v>
      </c>
      <c r="E1549" t="s">
        <v>1600</v>
      </c>
      <c r="F1549" t="s">
        <v>1892</v>
      </c>
      <c r="G1549">
        <v>56494</v>
      </c>
      <c r="H1549" s="1">
        <v>45425</v>
      </c>
      <c r="I1549" s="1"/>
      <c r="K1549">
        <v>14.8</v>
      </c>
      <c r="L1549" t="s">
        <v>15</v>
      </c>
      <c r="M1549" t="s">
        <v>1935</v>
      </c>
      <c r="N1549" t="s">
        <v>1887</v>
      </c>
    </row>
    <row r="1550" spans="1:14" x14ac:dyDescent="0.35">
      <c r="A1550" t="s">
        <v>3474</v>
      </c>
      <c r="B1550" t="s">
        <v>1898</v>
      </c>
      <c r="C1550" t="s">
        <v>261</v>
      </c>
      <c r="D1550" t="s">
        <v>1899</v>
      </c>
      <c r="E1550" t="s">
        <v>1905</v>
      </c>
      <c r="F1550" t="s">
        <v>1885</v>
      </c>
      <c r="G1550">
        <v>369919</v>
      </c>
      <c r="H1550" s="1">
        <v>45176</v>
      </c>
      <c r="I1550" s="1">
        <v>45356</v>
      </c>
      <c r="J1550">
        <v>180</v>
      </c>
      <c r="K1550">
        <v>6.8</v>
      </c>
      <c r="L1550" t="s">
        <v>30</v>
      </c>
      <c r="M1550" t="s">
        <v>1932</v>
      </c>
      <c r="N1550" t="s">
        <v>1887</v>
      </c>
    </row>
    <row r="1551" spans="1:14" x14ac:dyDescent="0.35">
      <c r="A1551" t="s">
        <v>3475</v>
      </c>
      <c r="B1551" t="s">
        <v>1903</v>
      </c>
      <c r="C1551" t="s">
        <v>429</v>
      </c>
      <c r="D1551" t="s">
        <v>1890</v>
      </c>
      <c r="E1551" t="s">
        <v>1891</v>
      </c>
      <c r="F1551" t="s">
        <v>1908</v>
      </c>
      <c r="G1551">
        <v>459382</v>
      </c>
      <c r="H1551" s="1">
        <v>45616</v>
      </c>
      <c r="I1551" s="1"/>
      <c r="K1551">
        <v>0.2</v>
      </c>
      <c r="L1551" t="s">
        <v>47</v>
      </c>
      <c r="M1551" t="s">
        <v>1901</v>
      </c>
      <c r="N1551" t="s">
        <v>1887</v>
      </c>
    </row>
    <row r="1552" spans="1:14" x14ac:dyDescent="0.35">
      <c r="A1552" t="s">
        <v>3476</v>
      </c>
      <c r="B1552" t="s">
        <v>1926</v>
      </c>
      <c r="C1552" t="s">
        <v>156</v>
      </c>
      <c r="D1552" t="s">
        <v>1904</v>
      </c>
      <c r="E1552" t="s">
        <v>1945</v>
      </c>
      <c r="F1552" t="s">
        <v>1946</v>
      </c>
      <c r="G1552">
        <v>170466</v>
      </c>
      <c r="H1552" s="1">
        <v>45309</v>
      </c>
      <c r="I1552" s="1"/>
      <c r="L1552" t="s">
        <v>21</v>
      </c>
      <c r="M1552" t="s">
        <v>1916</v>
      </c>
      <c r="N1552" t="s">
        <v>1887</v>
      </c>
    </row>
    <row r="1553" spans="1:14" x14ac:dyDescent="0.35">
      <c r="A1553" t="s">
        <v>3477</v>
      </c>
      <c r="B1553" t="s">
        <v>1944</v>
      </c>
      <c r="C1553" t="s">
        <v>370</v>
      </c>
      <c r="D1553" t="s">
        <v>1890</v>
      </c>
      <c r="E1553" t="s">
        <v>1931</v>
      </c>
      <c r="F1553" t="s">
        <v>1908</v>
      </c>
      <c r="G1553">
        <v>302320</v>
      </c>
      <c r="H1553" s="1">
        <v>45094</v>
      </c>
      <c r="I1553" s="1"/>
      <c r="K1553">
        <v>0.3</v>
      </c>
      <c r="L1553" t="s">
        <v>15</v>
      </c>
      <c r="M1553" t="s">
        <v>1893</v>
      </c>
      <c r="N1553" t="s">
        <v>1887</v>
      </c>
    </row>
    <row r="1554" spans="1:14" x14ac:dyDescent="0.35">
      <c r="A1554" t="s">
        <v>3478</v>
      </c>
      <c r="B1554" t="s">
        <v>1903</v>
      </c>
      <c r="C1554" t="s">
        <v>110</v>
      </c>
      <c r="D1554" t="s">
        <v>1899</v>
      </c>
      <c r="E1554" t="s">
        <v>1918</v>
      </c>
      <c r="F1554" t="s">
        <v>1900</v>
      </c>
      <c r="G1554">
        <v>432261</v>
      </c>
      <c r="H1554" s="1">
        <v>45178</v>
      </c>
      <c r="I1554" s="1">
        <v>45244</v>
      </c>
      <c r="J1554">
        <v>66</v>
      </c>
      <c r="K1554">
        <v>18.399999999999999</v>
      </c>
      <c r="L1554" t="s">
        <v>15</v>
      </c>
      <c r="M1554" t="s">
        <v>1932</v>
      </c>
      <c r="N1554" t="s">
        <v>1887</v>
      </c>
    </row>
    <row r="1555" spans="1:14" x14ac:dyDescent="0.35">
      <c r="A1555" t="s">
        <v>3479</v>
      </c>
      <c r="B1555" t="s">
        <v>1914</v>
      </c>
      <c r="C1555" t="s">
        <v>394</v>
      </c>
      <c r="D1555" t="s">
        <v>1927</v>
      </c>
      <c r="E1555" t="s">
        <v>1678</v>
      </c>
      <c r="F1555" t="s">
        <v>1895</v>
      </c>
      <c r="G1555">
        <v>468226</v>
      </c>
      <c r="H1555" s="1">
        <v>45609</v>
      </c>
      <c r="I1555" s="1"/>
      <c r="L1555" t="s">
        <v>15</v>
      </c>
      <c r="M1555" t="s">
        <v>1901</v>
      </c>
      <c r="N1555" t="s">
        <v>1887</v>
      </c>
    </row>
    <row r="1556" spans="1:14" x14ac:dyDescent="0.35">
      <c r="A1556" t="s">
        <v>3480</v>
      </c>
      <c r="B1556" t="s">
        <v>1930</v>
      </c>
      <c r="C1556" t="s">
        <v>236</v>
      </c>
      <c r="D1556" t="s">
        <v>1890</v>
      </c>
      <c r="E1556" t="s">
        <v>1678</v>
      </c>
      <c r="F1556" t="s">
        <v>1946</v>
      </c>
      <c r="G1556">
        <v>105498</v>
      </c>
      <c r="H1556" s="1">
        <v>45217</v>
      </c>
      <c r="I1556" s="1"/>
      <c r="K1556">
        <v>4.5</v>
      </c>
      <c r="L1556" t="s">
        <v>30</v>
      </c>
      <c r="M1556" t="s">
        <v>1886</v>
      </c>
      <c r="N1556" t="s">
        <v>1887</v>
      </c>
    </row>
    <row r="1557" spans="1:14" x14ac:dyDescent="0.35">
      <c r="A1557" t="s">
        <v>3481</v>
      </c>
      <c r="B1557" t="s">
        <v>1898</v>
      </c>
      <c r="C1557" t="s">
        <v>300</v>
      </c>
      <c r="D1557" t="s">
        <v>1915</v>
      </c>
      <c r="E1557" t="s">
        <v>1905</v>
      </c>
      <c r="F1557" t="s">
        <v>1900</v>
      </c>
      <c r="G1557">
        <v>491503</v>
      </c>
      <c r="H1557" s="1">
        <v>45534</v>
      </c>
      <c r="I1557" s="1">
        <v>45654</v>
      </c>
      <c r="J1557">
        <v>120</v>
      </c>
      <c r="K1557">
        <v>17.5</v>
      </c>
      <c r="L1557" t="s">
        <v>15</v>
      </c>
      <c r="M1557" t="s">
        <v>1953</v>
      </c>
      <c r="N1557" t="s">
        <v>1887</v>
      </c>
    </row>
    <row r="1558" spans="1:14" x14ac:dyDescent="0.35">
      <c r="A1558" t="s">
        <v>3482</v>
      </c>
      <c r="B1558" t="s">
        <v>1930</v>
      </c>
      <c r="C1558" t="s">
        <v>284</v>
      </c>
      <c r="D1558" t="s">
        <v>1899</v>
      </c>
      <c r="E1558" t="s">
        <v>1931</v>
      </c>
      <c r="F1558" t="s">
        <v>1885</v>
      </c>
      <c r="G1558">
        <v>133522</v>
      </c>
      <c r="H1558" s="1">
        <v>45045</v>
      </c>
      <c r="I1558" s="1">
        <v>45216</v>
      </c>
      <c r="J1558">
        <v>171</v>
      </c>
      <c r="K1558">
        <v>2</v>
      </c>
      <c r="L1558" t="s">
        <v>15</v>
      </c>
      <c r="M1558" t="s">
        <v>1893</v>
      </c>
      <c r="N1558" t="s">
        <v>1887</v>
      </c>
    </row>
    <row r="1559" spans="1:14" x14ac:dyDescent="0.35">
      <c r="A1559" t="s">
        <v>3483</v>
      </c>
      <c r="B1559" t="s">
        <v>1922</v>
      </c>
      <c r="C1559" t="s">
        <v>220</v>
      </c>
      <c r="D1559" t="s">
        <v>1899</v>
      </c>
      <c r="E1559" t="s">
        <v>1905</v>
      </c>
      <c r="F1559" t="s">
        <v>1946</v>
      </c>
      <c r="G1559">
        <v>95871</v>
      </c>
      <c r="H1559" s="1">
        <v>44960</v>
      </c>
      <c r="I1559" s="1"/>
      <c r="K1559">
        <v>6.1</v>
      </c>
      <c r="L1559" t="s">
        <v>21</v>
      </c>
      <c r="M1559" t="s">
        <v>1896</v>
      </c>
      <c r="N1559" t="s">
        <v>1887</v>
      </c>
    </row>
    <row r="1560" spans="1:14" x14ac:dyDescent="0.35">
      <c r="A1560" t="s">
        <v>3484</v>
      </c>
      <c r="B1560" t="s">
        <v>1944</v>
      </c>
      <c r="C1560" t="s">
        <v>460</v>
      </c>
      <c r="D1560" t="s">
        <v>1915</v>
      </c>
      <c r="E1560" t="s">
        <v>1600</v>
      </c>
      <c r="F1560" t="s">
        <v>1885</v>
      </c>
      <c r="G1560">
        <v>398453</v>
      </c>
      <c r="H1560" s="1">
        <v>45610</v>
      </c>
      <c r="I1560" s="1">
        <v>45756</v>
      </c>
      <c r="J1560">
        <v>146</v>
      </c>
      <c r="L1560" t="s">
        <v>15</v>
      </c>
      <c r="M1560" t="s">
        <v>1901</v>
      </c>
      <c r="N1560" t="s">
        <v>1887</v>
      </c>
    </row>
    <row r="1561" spans="1:14" x14ac:dyDescent="0.35">
      <c r="A1561" t="s">
        <v>3485</v>
      </c>
      <c r="B1561" t="s">
        <v>1882</v>
      </c>
      <c r="C1561" t="s">
        <v>214</v>
      </c>
      <c r="D1561" t="s">
        <v>1915</v>
      </c>
      <c r="E1561" t="s">
        <v>1918</v>
      </c>
      <c r="F1561" t="s">
        <v>1908</v>
      </c>
      <c r="G1561">
        <v>85835</v>
      </c>
      <c r="H1561" s="1">
        <v>45368</v>
      </c>
      <c r="I1561" s="1"/>
      <c r="K1561">
        <v>13.4</v>
      </c>
      <c r="L1561" t="s">
        <v>30</v>
      </c>
      <c r="M1561" t="s">
        <v>1916</v>
      </c>
      <c r="N1561" t="s">
        <v>1887</v>
      </c>
    </row>
    <row r="1562" spans="1:14" x14ac:dyDescent="0.35">
      <c r="A1562" t="s">
        <v>3486</v>
      </c>
      <c r="B1562" t="s">
        <v>1903</v>
      </c>
      <c r="C1562" t="s">
        <v>406</v>
      </c>
      <c r="D1562" t="s">
        <v>1899</v>
      </c>
      <c r="E1562" t="s">
        <v>1678</v>
      </c>
      <c r="F1562" t="s">
        <v>1900</v>
      </c>
      <c r="G1562">
        <v>137347</v>
      </c>
      <c r="H1562" s="1">
        <v>45587</v>
      </c>
      <c r="I1562" s="1">
        <v>45766</v>
      </c>
      <c r="J1562">
        <v>179</v>
      </c>
      <c r="K1562">
        <v>4.2</v>
      </c>
      <c r="L1562" t="s">
        <v>15</v>
      </c>
      <c r="M1562" t="s">
        <v>1901</v>
      </c>
      <c r="N1562" t="s">
        <v>1887</v>
      </c>
    </row>
    <row r="1563" spans="1:14" x14ac:dyDescent="0.35">
      <c r="A1563" t="s">
        <v>3487</v>
      </c>
      <c r="B1563" t="s">
        <v>1882</v>
      </c>
      <c r="C1563" t="s">
        <v>261</v>
      </c>
      <c r="D1563" t="s">
        <v>1915</v>
      </c>
      <c r="E1563" t="s">
        <v>1891</v>
      </c>
      <c r="F1563" t="s">
        <v>1895</v>
      </c>
      <c r="G1563">
        <v>157784</v>
      </c>
      <c r="H1563" s="1">
        <v>45644</v>
      </c>
      <c r="I1563" s="1"/>
      <c r="L1563" t="s">
        <v>30</v>
      </c>
      <c r="M1563" t="s">
        <v>1901</v>
      </c>
      <c r="N1563" t="s">
        <v>1887</v>
      </c>
    </row>
    <row r="1564" spans="1:14" x14ac:dyDescent="0.35">
      <c r="A1564" t="s">
        <v>3488</v>
      </c>
      <c r="B1564" t="s">
        <v>1920</v>
      </c>
      <c r="C1564" t="s">
        <v>388</v>
      </c>
      <c r="D1564" t="s">
        <v>1915</v>
      </c>
      <c r="E1564" t="s">
        <v>1600</v>
      </c>
      <c r="F1564" t="s">
        <v>1946</v>
      </c>
      <c r="G1564">
        <v>217564</v>
      </c>
      <c r="H1564" s="1">
        <v>45197</v>
      </c>
      <c r="I1564" s="1"/>
      <c r="K1564">
        <v>11.8</v>
      </c>
      <c r="L1564" t="s">
        <v>21</v>
      </c>
      <c r="M1564" t="s">
        <v>1932</v>
      </c>
      <c r="N1564" t="s">
        <v>1887</v>
      </c>
    </row>
    <row r="1565" spans="1:14" x14ac:dyDescent="0.35">
      <c r="A1565" t="s">
        <v>3489</v>
      </c>
      <c r="B1565" t="s">
        <v>1907</v>
      </c>
      <c r="C1565" t="s">
        <v>342</v>
      </c>
      <c r="D1565" t="s">
        <v>1904</v>
      </c>
      <c r="E1565" t="s">
        <v>1905</v>
      </c>
      <c r="F1565" t="s">
        <v>1892</v>
      </c>
      <c r="G1565">
        <v>483224</v>
      </c>
      <c r="H1565" s="1">
        <v>45181</v>
      </c>
      <c r="I1565" s="1"/>
      <c r="L1565" t="s">
        <v>15</v>
      </c>
      <c r="M1565" t="s">
        <v>1932</v>
      </c>
      <c r="N1565" t="s">
        <v>1887</v>
      </c>
    </row>
    <row r="1566" spans="1:14" x14ac:dyDescent="0.35">
      <c r="A1566" t="s">
        <v>3490</v>
      </c>
      <c r="B1566" t="s">
        <v>1920</v>
      </c>
      <c r="C1566" t="s">
        <v>380</v>
      </c>
      <c r="D1566" t="s">
        <v>1890</v>
      </c>
      <c r="E1566" t="s">
        <v>1891</v>
      </c>
      <c r="F1566" t="s">
        <v>1892</v>
      </c>
      <c r="G1566">
        <v>257387</v>
      </c>
      <c r="H1566" s="1">
        <v>45177</v>
      </c>
      <c r="I1566" s="1"/>
      <c r="K1566">
        <v>4.9000000000000004</v>
      </c>
      <c r="L1566" t="s">
        <v>21</v>
      </c>
      <c r="M1566" t="s">
        <v>1932</v>
      </c>
      <c r="N1566" t="s">
        <v>1887</v>
      </c>
    </row>
    <row r="1567" spans="1:14" x14ac:dyDescent="0.35">
      <c r="A1567" t="s">
        <v>3491</v>
      </c>
      <c r="B1567" t="s">
        <v>1911</v>
      </c>
      <c r="C1567" t="s">
        <v>472</v>
      </c>
      <c r="D1567" t="s">
        <v>1890</v>
      </c>
      <c r="E1567" t="s">
        <v>1931</v>
      </c>
      <c r="F1567" t="s">
        <v>1946</v>
      </c>
      <c r="G1567">
        <v>283835</v>
      </c>
      <c r="H1567" s="1">
        <v>45646</v>
      </c>
      <c r="I1567" s="1"/>
      <c r="L1567" t="s">
        <v>30</v>
      </c>
      <c r="M1567" t="s">
        <v>1901</v>
      </c>
      <c r="N1567" t="s">
        <v>1887</v>
      </c>
    </row>
    <row r="1568" spans="1:14" x14ac:dyDescent="0.35">
      <c r="A1568" t="s">
        <v>3492</v>
      </c>
      <c r="B1568" t="s">
        <v>1882</v>
      </c>
      <c r="C1568" t="s">
        <v>469</v>
      </c>
      <c r="D1568" t="s">
        <v>1883</v>
      </c>
      <c r="E1568" t="s">
        <v>1905</v>
      </c>
      <c r="F1568" t="s">
        <v>1885</v>
      </c>
      <c r="G1568">
        <v>333568</v>
      </c>
      <c r="H1568" s="1">
        <v>45076</v>
      </c>
      <c r="I1568" s="1">
        <v>45253</v>
      </c>
      <c r="J1568">
        <v>177</v>
      </c>
      <c r="K1568">
        <v>2.1</v>
      </c>
      <c r="L1568" t="s">
        <v>15</v>
      </c>
      <c r="M1568" t="s">
        <v>1893</v>
      </c>
      <c r="N1568" t="s">
        <v>1887</v>
      </c>
    </row>
    <row r="1569" spans="1:14" x14ac:dyDescent="0.35">
      <c r="A1569" t="s">
        <v>3493</v>
      </c>
      <c r="B1569" t="s">
        <v>1926</v>
      </c>
      <c r="C1569" t="s">
        <v>314</v>
      </c>
      <c r="D1569" t="s">
        <v>1883</v>
      </c>
      <c r="E1569" t="s">
        <v>1884</v>
      </c>
      <c r="F1569" t="s">
        <v>1908</v>
      </c>
      <c r="G1569">
        <v>397795</v>
      </c>
      <c r="H1569" s="1">
        <v>45052</v>
      </c>
      <c r="I1569" s="1"/>
      <c r="L1569" t="s">
        <v>47</v>
      </c>
      <c r="M1569" t="s">
        <v>1893</v>
      </c>
      <c r="N1569" t="s">
        <v>1887</v>
      </c>
    </row>
    <row r="1570" spans="1:14" x14ac:dyDescent="0.35">
      <c r="A1570" t="s">
        <v>3494</v>
      </c>
      <c r="B1570" t="s">
        <v>1889</v>
      </c>
      <c r="C1570" t="s">
        <v>337</v>
      </c>
      <c r="D1570" t="s">
        <v>1927</v>
      </c>
      <c r="E1570" t="s">
        <v>1905</v>
      </c>
      <c r="F1570" t="s">
        <v>1885</v>
      </c>
      <c r="G1570">
        <v>132166</v>
      </c>
      <c r="H1570" s="1">
        <v>45023</v>
      </c>
      <c r="I1570" s="1">
        <v>45046</v>
      </c>
      <c r="J1570">
        <v>23</v>
      </c>
      <c r="L1570" t="s">
        <v>21</v>
      </c>
      <c r="M1570" t="s">
        <v>1893</v>
      </c>
      <c r="N1570" t="s">
        <v>1887</v>
      </c>
    </row>
    <row r="1571" spans="1:14" x14ac:dyDescent="0.35">
      <c r="A1571" t="s">
        <v>3495</v>
      </c>
      <c r="B1571" t="s">
        <v>1911</v>
      </c>
      <c r="C1571" t="s">
        <v>86</v>
      </c>
      <c r="D1571" t="s">
        <v>1915</v>
      </c>
      <c r="E1571" t="s">
        <v>1884</v>
      </c>
      <c r="F1571" t="s">
        <v>1900</v>
      </c>
      <c r="G1571">
        <v>174607</v>
      </c>
      <c r="H1571" s="1">
        <v>45638</v>
      </c>
      <c r="I1571" s="1">
        <v>45768</v>
      </c>
      <c r="J1571">
        <v>130</v>
      </c>
      <c r="K1571">
        <v>1</v>
      </c>
      <c r="L1571" t="s">
        <v>15</v>
      </c>
      <c r="M1571" t="s">
        <v>1901</v>
      </c>
      <c r="N1571" t="s">
        <v>1887</v>
      </c>
    </row>
    <row r="1572" spans="1:14" x14ac:dyDescent="0.35">
      <c r="A1572" t="s">
        <v>3496</v>
      </c>
      <c r="B1572" t="s">
        <v>1922</v>
      </c>
      <c r="C1572" t="s">
        <v>456</v>
      </c>
      <c r="D1572" t="s">
        <v>1899</v>
      </c>
      <c r="E1572" t="s">
        <v>1905</v>
      </c>
      <c r="F1572" t="s">
        <v>1900</v>
      </c>
      <c r="G1572">
        <v>456241</v>
      </c>
      <c r="H1572" s="1">
        <v>44977</v>
      </c>
      <c r="I1572" s="1">
        <v>45013</v>
      </c>
      <c r="J1572">
        <v>36</v>
      </c>
      <c r="K1572">
        <v>14.7</v>
      </c>
      <c r="L1572" t="s">
        <v>15</v>
      </c>
      <c r="M1572" t="s">
        <v>1896</v>
      </c>
      <c r="N1572" t="s">
        <v>1887</v>
      </c>
    </row>
    <row r="1573" spans="1:14" x14ac:dyDescent="0.35">
      <c r="A1573" t="s">
        <v>3497</v>
      </c>
      <c r="B1573" t="s">
        <v>1924</v>
      </c>
      <c r="C1573" t="s">
        <v>319</v>
      </c>
      <c r="D1573" t="s">
        <v>1904</v>
      </c>
      <c r="E1573" t="s">
        <v>1678</v>
      </c>
      <c r="F1573" t="s">
        <v>1895</v>
      </c>
      <c r="G1573">
        <v>252831</v>
      </c>
      <c r="H1573" s="1">
        <v>45558</v>
      </c>
      <c r="I1573" s="1"/>
      <c r="K1573">
        <v>11.3</v>
      </c>
      <c r="L1573" t="s">
        <v>15</v>
      </c>
      <c r="M1573" t="s">
        <v>1953</v>
      </c>
      <c r="N1573" t="s">
        <v>1887</v>
      </c>
    </row>
    <row r="1574" spans="1:14" x14ac:dyDescent="0.35">
      <c r="A1574" t="s">
        <v>3498</v>
      </c>
      <c r="B1574" t="s">
        <v>1944</v>
      </c>
      <c r="C1574" t="s">
        <v>101</v>
      </c>
      <c r="D1574" t="s">
        <v>1883</v>
      </c>
      <c r="E1574" t="s">
        <v>1587</v>
      </c>
      <c r="F1574" t="s">
        <v>1908</v>
      </c>
      <c r="G1574">
        <v>460734</v>
      </c>
      <c r="H1574" s="1">
        <v>45327</v>
      </c>
      <c r="I1574" s="1"/>
      <c r="L1574" t="s">
        <v>30</v>
      </c>
      <c r="M1574" t="s">
        <v>1916</v>
      </c>
      <c r="N1574" t="s">
        <v>1887</v>
      </c>
    </row>
    <row r="1575" spans="1:14" x14ac:dyDescent="0.35">
      <c r="A1575" t="s">
        <v>3499</v>
      </c>
      <c r="B1575" t="s">
        <v>1922</v>
      </c>
      <c r="C1575" t="s">
        <v>261</v>
      </c>
      <c r="D1575" t="s">
        <v>1915</v>
      </c>
      <c r="E1575" t="s">
        <v>1600</v>
      </c>
      <c r="F1575" t="s">
        <v>1885</v>
      </c>
      <c r="G1575">
        <v>31841</v>
      </c>
      <c r="H1575" s="1">
        <v>45660</v>
      </c>
      <c r="I1575" s="1">
        <v>45811</v>
      </c>
      <c r="J1575">
        <v>151</v>
      </c>
      <c r="K1575">
        <v>2</v>
      </c>
      <c r="L1575" t="s">
        <v>21</v>
      </c>
      <c r="M1575" t="s">
        <v>1912</v>
      </c>
      <c r="N1575" t="s">
        <v>1887</v>
      </c>
    </row>
    <row r="1576" spans="1:14" x14ac:dyDescent="0.35">
      <c r="A1576" t="s">
        <v>3500</v>
      </c>
      <c r="B1576" t="s">
        <v>1963</v>
      </c>
      <c r="C1576" t="s">
        <v>171</v>
      </c>
      <c r="D1576" t="s">
        <v>1904</v>
      </c>
      <c r="E1576" t="s">
        <v>1600</v>
      </c>
      <c r="F1576" t="s">
        <v>1900</v>
      </c>
      <c r="G1576">
        <v>284248</v>
      </c>
      <c r="H1576" s="1">
        <v>45171</v>
      </c>
      <c r="I1576" s="1">
        <v>45230</v>
      </c>
      <c r="J1576">
        <v>59</v>
      </c>
      <c r="K1576">
        <v>0.9</v>
      </c>
      <c r="L1576" t="s">
        <v>15</v>
      </c>
      <c r="M1576" t="s">
        <v>1932</v>
      </c>
      <c r="N1576" t="s">
        <v>1887</v>
      </c>
    </row>
    <row r="1577" spans="1:14" x14ac:dyDescent="0.35">
      <c r="A1577" t="s">
        <v>3501</v>
      </c>
      <c r="B1577" t="s">
        <v>1920</v>
      </c>
      <c r="C1577" t="s">
        <v>412</v>
      </c>
      <c r="D1577" t="s">
        <v>1890</v>
      </c>
      <c r="E1577" t="s">
        <v>1678</v>
      </c>
      <c r="F1577" t="s">
        <v>1885</v>
      </c>
      <c r="G1577">
        <v>97456</v>
      </c>
      <c r="H1577" s="1">
        <v>45490</v>
      </c>
      <c r="I1577" s="1">
        <v>45607</v>
      </c>
      <c r="J1577">
        <v>117</v>
      </c>
      <c r="K1577">
        <v>9.9</v>
      </c>
      <c r="L1577" t="s">
        <v>30</v>
      </c>
      <c r="M1577" t="s">
        <v>1953</v>
      </c>
      <c r="N1577" t="s">
        <v>1887</v>
      </c>
    </row>
    <row r="1578" spans="1:14" x14ac:dyDescent="0.35">
      <c r="A1578" t="s">
        <v>3502</v>
      </c>
      <c r="B1578" t="s">
        <v>1914</v>
      </c>
      <c r="C1578" t="s">
        <v>360</v>
      </c>
      <c r="D1578" t="s">
        <v>1883</v>
      </c>
      <c r="E1578" t="s">
        <v>1918</v>
      </c>
      <c r="F1578" t="s">
        <v>1900</v>
      </c>
      <c r="G1578">
        <v>379140</v>
      </c>
      <c r="H1578" s="1">
        <v>45157</v>
      </c>
      <c r="I1578" s="1">
        <v>45244</v>
      </c>
      <c r="J1578">
        <v>87</v>
      </c>
      <c r="K1578">
        <v>11.2</v>
      </c>
      <c r="L1578" t="s">
        <v>21</v>
      </c>
      <c r="M1578" t="s">
        <v>1932</v>
      </c>
      <c r="N1578" t="s">
        <v>1887</v>
      </c>
    </row>
    <row r="1579" spans="1:14" x14ac:dyDescent="0.35">
      <c r="A1579" t="s">
        <v>3503</v>
      </c>
      <c r="B1579" t="s">
        <v>1944</v>
      </c>
      <c r="C1579" t="s">
        <v>357</v>
      </c>
      <c r="D1579" t="s">
        <v>1927</v>
      </c>
      <c r="E1579" t="s">
        <v>1891</v>
      </c>
      <c r="F1579" t="s">
        <v>1895</v>
      </c>
      <c r="G1579">
        <v>367669</v>
      </c>
      <c r="H1579" s="1">
        <v>45387</v>
      </c>
      <c r="I1579" s="1"/>
      <c r="K1579">
        <v>3.9</v>
      </c>
      <c r="L1579" t="s">
        <v>47</v>
      </c>
      <c r="M1579" t="s">
        <v>1935</v>
      </c>
      <c r="N1579" t="s">
        <v>1887</v>
      </c>
    </row>
    <row r="1580" spans="1:14" x14ac:dyDescent="0.35">
      <c r="A1580" t="s">
        <v>3504</v>
      </c>
      <c r="B1580" t="s">
        <v>1937</v>
      </c>
      <c r="C1580" t="s">
        <v>475</v>
      </c>
      <c r="D1580" t="s">
        <v>1915</v>
      </c>
      <c r="E1580" t="s">
        <v>1905</v>
      </c>
      <c r="F1580" t="s">
        <v>1895</v>
      </c>
      <c r="G1580">
        <v>366366</v>
      </c>
      <c r="H1580" s="1">
        <v>45499</v>
      </c>
      <c r="I1580" s="1"/>
      <c r="K1580">
        <v>5.3</v>
      </c>
      <c r="L1580" t="s">
        <v>21</v>
      </c>
      <c r="M1580" t="s">
        <v>1953</v>
      </c>
      <c r="N1580" t="s">
        <v>1887</v>
      </c>
    </row>
    <row r="1581" spans="1:14" x14ac:dyDescent="0.35">
      <c r="A1581" t="s">
        <v>3505</v>
      </c>
      <c r="B1581" t="s">
        <v>1924</v>
      </c>
      <c r="C1581" t="s">
        <v>308</v>
      </c>
      <c r="D1581" t="s">
        <v>1899</v>
      </c>
      <c r="E1581" t="s">
        <v>1918</v>
      </c>
      <c r="F1581" t="s">
        <v>1900</v>
      </c>
      <c r="G1581">
        <v>181716</v>
      </c>
      <c r="H1581" s="1">
        <v>45020</v>
      </c>
      <c r="I1581" s="1">
        <v>45043</v>
      </c>
      <c r="J1581">
        <v>23</v>
      </c>
      <c r="K1581">
        <v>14.3</v>
      </c>
      <c r="L1581" t="s">
        <v>47</v>
      </c>
      <c r="M1581" t="s">
        <v>1893</v>
      </c>
      <c r="N1581" t="s">
        <v>1887</v>
      </c>
    </row>
    <row r="1582" spans="1:14" x14ac:dyDescent="0.35">
      <c r="A1582" t="s">
        <v>3506</v>
      </c>
      <c r="B1582" t="s">
        <v>1914</v>
      </c>
      <c r="C1582" t="s">
        <v>481</v>
      </c>
      <c r="D1582" t="s">
        <v>1890</v>
      </c>
      <c r="E1582" t="s">
        <v>1678</v>
      </c>
      <c r="F1582" t="s">
        <v>1946</v>
      </c>
      <c r="G1582">
        <v>478527</v>
      </c>
      <c r="H1582" s="1">
        <v>45569</v>
      </c>
      <c r="I1582" s="1"/>
      <c r="K1582">
        <v>5.8</v>
      </c>
      <c r="L1582" t="s">
        <v>21</v>
      </c>
      <c r="M1582" t="s">
        <v>1901</v>
      </c>
      <c r="N1582" t="s">
        <v>1887</v>
      </c>
    </row>
    <row r="1583" spans="1:14" x14ac:dyDescent="0.35">
      <c r="A1583" t="s">
        <v>3507</v>
      </c>
      <c r="B1583" t="s">
        <v>1882</v>
      </c>
      <c r="C1583" t="s">
        <v>138</v>
      </c>
      <c r="D1583" t="s">
        <v>1904</v>
      </c>
      <c r="E1583" t="s">
        <v>1905</v>
      </c>
      <c r="F1583" t="s">
        <v>1900</v>
      </c>
      <c r="G1583">
        <v>306668</v>
      </c>
      <c r="H1583" s="1">
        <v>45690</v>
      </c>
      <c r="I1583" s="1">
        <v>45837</v>
      </c>
      <c r="J1583">
        <v>147</v>
      </c>
      <c r="K1583">
        <v>2.7</v>
      </c>
      <c r="L1583" t="s">
        <v>47</v>
      </c>
      <c r="M1583" t="s">
        <v>1912</v>
      </c>
      <c r="N1583" t="s">
        <v>1887</v>
      </c>
    </row>
    <row r="1584" spans="1:14" x14ac:dyDescent="0.35">
      <c r="A1584" t="s">
        <v>3508</v>
      </c>
      <c r="B1584" t="s">
        <v>1903</v>
      </c>
      <c r="C1584" t="s">
        <v>461</v>
      </c>
      <c r="D1584" t="s">
        <v>1904</v>
      </c>
      <c r="E1584" t="s">
        <v>1905</v>
      </c>
      <c r="F1584" t="s">
        <v>1908</v>
      </c>
      <c r="G1584">
        <v>365724</v>
      </c>
      <c r="H1584" s="1">
        <v>45454</v>
      </c>
      <c r="I1584" s="1"/>
      <c r="K1584">
        <v>13.1</v>
      </c>
      <c r="L1584" t="s">
        <v>21</v>
      </c>
      <c r="M1584" t="s">
        <v>1935</v>
      </c>
      <c r="N1584" t="s">
        <v>1887</v>
      </c>
    </row>
    <row r="1585" spans="1:14" x14ac:dyDescent="0.35">
      <c r="A1585" t="s">
        <v>3509</v>
      </c>
      <c r="B1585" t="s">
        <v>1934</v>
      </c>
      <c r="C1585" t="s">
        <v>490</v>
      </c>
      <c r="D1585" t="s">
        <v>1899</v>
      </c>
      <c r="E1585" t="s">
        <v>1918</v>
      </c>
      <c r="F1585" t="s">
        <v>1895</v>
      </c>
      <c r="G1585">
        <v>139384</v>
      </c>
      <c r="H1585" s="1">
        <v>45255</v>
      </c>
      <c r="I1585" s="1"/>
      <c r="K1585">
        <v>11.2</v>
      </c>
      <c r="L1585" t="s">
        <v>47</v>
      </c>
      <c r="M1585" t="s">
        <v>1886</v>
      </c>
      <c r="N1585" t="s">
        <v>1887</v>
      </c>
    </row>
    <row r="1586" spans="1:14" x14ac:dyDescent="0.35">
      <c r="A1586" t="s">
        <v>3510</v>
      </c>
      <c r="B1586" t="s">
        <v>1882</v>
      </c>
      <c r="C1586" t="s">
        <v>283</v>
      </c>
      <c r="D1586" t="s">
        <v>1883</v>
      </c>
      <c r="E1586" t="s">
        <v>1678</v>
      </c>
      <c r="F1586" t="s">
        <v>1946</v>
      </c>
      <c r="G1586">
        <v>476440</v>
      </c>
      <c r="H1586" s="1">
        <v>45210</v>
      </c>
      <c r="I1586" s="1"/>
      <c r="K1586">
        <v>13.7</v>
      </c>
      <c r="L1586" t="s">
        <v>21</v>
      </c>
      <c r="M1586" t="s">
        <v>1886</v>
      </c>
      <c r="N1586" t="s">
        <v>1887</v>
      </c>
    </row>
    <row r="1587" spans="1:14" x14ac:dyDescent="0.35">
      <c r="A1587" t="s">
        <v>3511</v>
      </c>
      <c r="B1587" t="s">
        <v>1926</v>
      </c>
      <c r="C1587" t="s">
        <v>230</v>
      </c>
      <c r="D1587" t="s">
        <v>1899</v>
      </c>
      <c r="E1587" t="s">
        <v>1587</v>
      </c>
      <c r="F1587" t="s">
        <v>1885</v>
      </c>
      <c r="G1587">
        <v>868992</v>
      </c>
      <c r="H1587" s="1">
        <v>45225</v>
      </c>
      <c r="I1587" s="1">
        <v>45389</v>
      </c>
      <c r="J1587">
        <v>164</v>
      </c>
      <c r="K1587">
        <v>2.8</v>
      </c>
      <c r="L1587" t="s">
        <v>15</v>
      </c>
      <c r="M1587" t="s">
        <v>1886</v>
      </c>
      <c r="N1587" t="s">
        <v>1887</v>
      </c>
    </row>
    <row r="1588" spans="1:14" x14ac:dyDescent="0.35">
      <c r="A1588" t="s">
        <v>3512</v>
      </c>
      <c r="B1588" t="s">
        <v>1914</v>
      </c>
      <c r="C1588" t="s">
        <v>82</v>
      </c>
      <c r="D1588" t="s">
        <v>1883</v>
      </c>
      <c r="E1588" t="s">
        <v>1678</v>
      </c>
      <c r="F1588" t="s">
        <v>1892</v>
      </c>
      <c r="G1588">
        <v>184727</v>
      </c>
      <c r="H1588" s="1">
        <v>44980</v>
      </c>
      <c r="I1588" s="1"/>
      <c r="L1588" t="s">
        <v>47</v>
      </c>
      <c r="M1588" t="s">
        <v>1896</v>
      </c>
      <c r="N1588" t="s">
        <v>1887</v>
      </c>
    </row>
    <row r="1589" spans="1:14" x14ac:dyDescent="0.35">
      <c r="A1589" t="s">
        <v>3513</v>
      </c>
      <c r="B1589" t="s">
        <v>1924</v>
      </c>
      <c r="C1589" t="s">
        <v>339</v>
      </c>
      <c r="D1589" t="s">
        <v>1904</v>
      </c>
      <c r="E1589" t="s">
        <v>1918</v>
      </c>
      <c r="F1589" t="s">
        <v>1895</v>
      </c>
      <c r="G1589">
        <v>154489</v>
      </c>
      <c r="H1589" s="1">
        <v>45109</v>
      </c>
      <c r="I1589" s="1"/>
      <c r="K1589">
        <v>7.8</v>
      </c>
      <c r="L1589" t="s">
        <v>15</v>
      </c>
      <c r="M1589" t="s">
        <v>1932</v>
      </c>
      <c r="N1589" t="s">
        <v>1887</v>
      </c>
    </row>
    <row r="1590" spans="1:14" x14ac:dyDescent="0.35">
      <c r="A1590" t="s">
        <v>3514</v>
      </c>
      <c r="B1590" t="s">
        <v>1924</v>
      </c>
      <c r="C1590" t="s">
        <v>475</v>
      </c>
      <c r="D1590" t="s">
        <v>1904</v>
      </c>
      <c r="E1590" t="s">
        <v>1600</v>
      </c>
      <c r="F1590" t="s">
        <v>1946</v>
      </c>
      <c r="G1590">
        <v>25531</v>
      </c>
      <c r="H1590" s="1">
        <v>45690</v>
      </c>
      <c r="I1590" s="1"/>
      <c r="L1590" t="s">
        <v>15</v>
      </c>
      <c r="M1590" t="s">
        <v>1912</v>
      </c>
      <c r="N1590" t="s">
        <v>1887</v>
      </c>
    </row>
    <row r="1591" spans="1:14" x14ac:dyDescent="0.35">
      <c r="A1591" t="s">
        <v>3515</v>
      </c>
      <c r="B1591" t="s">
        <v>1882</v>
      </c>
      <c r="C1591" t="s">
        <v>426</v>
      </c>
      <c r="D1591" t="s">
        <v>1899</v>
      </c>
      <c r="E1591" t="s">
        <v>1678</v>
      </c>
      <c r="F1591" t="s">
        <v>1892</v>
      </c>
      <c r="G1591">
        <v>46745</v>
      </c>
      <c r="H1591" s="1">
        <v>45366</v>
      </c>
      <c r="I1591" s="1"/>
      <c r="L1591" t="s">
        <v>30</v>
      </c>
      <c r="M1591" t="s">
        <v>1916</v>
      </c>
      <c r="N1591" t="s">
        <v>1887</v>
      </c>
    </row>
    <row r="1592" spans="1:14" x14ac:dyDescent="0.35">
      <c r="A1592" t="s">
        <v>3516</v>
      </c>
      <c r="B1592" t="s">
        <v>1889</v>
      </c>
      <c r="C1592" t="s">
        <v>372</v>
      </c>
      <c r="D1592" t="s">
        <v>1899</v>
      </c>
      <c r="E1592" t="s">
        <v>1891</v>
      </c>
      <c r="F1592" t="s">
        <v>1885</v>
      </c>
      <c r="G1592">
        <v>137717</v>
      </c>
      <c r="H1592" s="1">
        <v>45084</v>
      </c>
      <c r="I1592" s="1">
        <v>45221</v>
      </c>
      <c r="J1592">
        <v>137</v>
      </c>
      <c r="K1592">
        <v>5.8</v>
      </c>
      <c r="L1592" t="s">
        <v>47</v>
      </c>
      <c r="M1592" t="s">
        <v>1893</v>
      </c>
      <c r="N1592" t="s">
        <v>1887</v>
      </c>
    </row>
    <row r="1593" spans="1:14" x14ac:dyDescent="0.35">
      <c r="A1593" t="s">
        <v>3517</v>
      </c>
      <c r="B1593" t="s">
        <v>1920</v>
      </c>
      <c r="C1593" t="s">
        <v>291</v>
      </c>
      <c r="D1593" t="s">
        <v>1927</v>
      </c>
      <c r="E1593" t="s">
        <v>1587</v>
      </c>
      <c r="F1593" t="s">
        <v>1895</v>
      </c>
      <c r="G1593">
        <v>32988</v>
      </c>
      <c r="H1593" s="1">
        <v>45390</v>
      </c>
      <c r="I1593" s="1"/>
      <c r="K1593">
        <v>4.9000000000000004</v>
      </c>
      <c r="L1593" t="s">
        <v>15</v>
      </c>
      <c r="M1593" t="s">
        <v>1935</v>
      </c>
      <c r="N1593" t="s">
        <v>1887</v>
      </c>
    </row>
    <row r="1594" spans="1:14" x14ac:dyDescent="0.35">
      <c r="A1594" t="s">
        <v>3518</v>
      </c>
      <c r="B1594" t="s">
        <v>1889</v>
      </c>
      <c r="C1594" t="s">
        <v>49</v>
      </c>
      <c r="D1594" t="s">
        <v>1890</v>
      </c>
      <c r="E1594" t="s">
        <v>1678</v>
      </c>
      <c r="F1594" t="s">
        <v>1885</v>
      </c>
      <c r="G1594">
        <v>149077</v>
      </c>
      <c r="H1594" s="1">
        <v>45638</v>
      </c>
      <c r="I1594" s="1">
        <v>45813</v>
      </c>
      <c r="J1594">
        <v>175</v>
      </c>
      <c r="K1594">
        <v>12.2</v>
      </c>
      <c r="L1594" t="s">
        <v>21</v>
      </c>
      <c r="M1594" t="s">
        <v>1901</v>
      </c>
      <c r="N1594" t="s">
        <v>1887</v>
      </c>
    </row>
    <row r="1595" spans="1:14" x14ac:dyDescent="0.35">
      <c r="A1595" t="s">
        <v>3519</v>
      </c>
      <c r="B1595" t="s">
        <v>1882</v>
      </c>
      <c r="C1595" t="s">
        <v>472</v>
      </c>
      <c r="D1595" t="s">
        <v>1899</v>
      </c>
      <c r="E1595" t="s">
        <v>1891</v>
      </c>
      <c r="F1595" t="s">
        <v>1900</v>
      </c>
      <c r="G1595">
        <v>90880</v>
      </c>
      <c r="H1595" s="1">
        <v>45613</v>
      </c>
      <c r="I1595" s="1">
        <v>45660</v>
      </c>
      <c r="J1595">
        <v>47</v>
      </c>
      <c r="K1595">
        <v>1.8</v>
      </c>
      <c r="L1595" t="s">
        <v>47</v>
      </c>
      <c r="M1595" t="s">
        <v>1901</v>
      </c>
      <c r="N1595" t="s">
        <v>1887</v>
      </c>
    </row>
    <row r="1596" spans="1:14" x14ac:dyDescent="0.35">
      <c r="A1596" t="s">
        <v>3520</v>
      </c>
      <c r="B1596" t="s">
        <v>1898</v>
      </c>
      <c r="C1596" t="s">
        <v>344</v>
      </c>
      <c r="D1596" t="s">
        <v>1915</v>
      </c>
      <c r="E1596" t="s">
        <v>1600</v>
      </c>
      <c r="F1596" t="s">
        <v>1946</v>
      </c>
      <c r="G1596">
        <v>273716</v>
      </c>
      <c r="H1596" s="1">
        <v>45706</v>
      </c>
      <c r="I1596" s="1"/>
      <c r="L1596" t="s">
        <v>47</v>
      </c>
      <c r="M1596" t="s">
        <v>1912</v>
      </c>
      <c r="N1596" t="s">
        <v>1887</v>
      </c>
    </row>
    <row r="1597" spans="1:14" x14ac:dyDescent="0.35">
      <c r="A1597" t="s">
        <v>3521</v>
      </c>
      <c r="B1597" t="s">
        <v>1924</v>
      </c>
      <c r="C1597" t="s">
        <v>285</v>
      </c>
      <c r="D1597" t="s">
        <v>1915</v>
      </c>
      <c r="E1597" t="s">
        <v>1905</v>
      </c>
      <c r="F1597" t="s">
        <v>1900</v>
      </c>
      <c r="G1597">
        <v>63795</v>
      </c>
      <c r="H1597" s="1">
        <v>44930</v>
      </c>
      <c r="I1597" s="1">
        <v>45108</v>
      </c>
      <c r="J1597">
        <v>178</v>
      </c>
      <c r="K1597">
        <v>10.3</v>
      </c>
      <c r="L1597" t="s">
        <v>47</v>
      </c>
      <c r="M1597" t="s">
        <v>1896</v>
      </c>
      <c r="N1597" t="s">
        <v>1887</v>
      </c>
    </row>
    <row r="1598" spans="1:14" x14ac:dyDescent="0.35">
      <c r="A1598" t="s">
        <v>3522</v>
      </c>
      <c r="B1598" t="s">
        <v>1937</v>
      </c>
      <c r="C1598" t="s">
        <v>114</v>
      </c>
      <c r="D1598" t="s">
        <v>1883</v>
      </c>
      <c r="E1598" t="s">
        <v>1884</v>
      </c>
      <c r="F1598" t="s">
        <v>1895</v>
      </c>
      <c r="G1598">
        <v>135395</v>
      </c>
      <c r="H1598" s="1">
        <v>45347</v>
      </c>
      <c r="I1598" s="1"/>
      <c r="K1598">
        <v>0.4</v>
      </c>
      <c r="L1598" t="s">
        <v>21</v>
      </c>
      <c r="M1598" t="s">
        <v>1916</v>
      </c>
      <c r="N1598" t="s">
        <v>1887</v>
      </c>
    </row>
    <row r="1599" spans="1:14" x14ac:dyDescent="0.35">
      <c r="A1599" t="s">
        <v>3523</v>
      </c>
      <c r="B1599" t="s">
        <v>1882</v>
      </c>
      <c r="C1599" t="s">
        <v>341</v>
      </c>
      <c r="D1599" t="s">
        <v>1890</v>
      </c>
      <c r="E1599" t="s">
        <v>1931</v>
      </c>
      <c r="F1599" t="s">
        <v>1900</v>
      </c>
      <c r="G1599">
        <v>336622</v>
      </c>
      <c r="H1599" s="1">
        <v>45100</v>
      </c>
      <c r="I1599" s="1">
        <v>45151</v>
      </c>
      <c r="J1599">
        <v>51</v>
      </c>
      <c r="K1599">
        <v>14.2</v>
      </c>
      <c r="L1599" t="s">
        <v>47</v>
      </c>
      <c r="M1599" t="s">
        <v>1893</v>
      </c>
      <c r="N1599" t="s">
        <v>1887</v>
      </c>
    </row>
    <row r="1600" spans="1:14" x14ac:dyDescent="0.35">
      <c r="A1600" t="s">
        <v>3524</v>
      </c>
      <c r="B1600" t="s">
        <v>1907</v>
      </c>
      <c r="C1600" t="s">
        <v>426</v>
      </c>
      <c r="D1600" t="s">
        <v>1904</v>
      </c>
      <c r="E1600" t="s">
        <v>1918</v>
      </c>
      <c r="F1600" t="s">
        <v>1885</v>
      </c>
      <c r="G1600">
        <v>70156</v>
      </c>
      <c r="H1600" s="1">
        <v>45205</v>
      </c>
      <c r="I1600" s="1">
        <v>45321</v>
      </c>
      <c r="J1600">
        <v>116</v>
      </c>
      <c r="L1600" t="s">
        <v>15</v>
      </c>
      <c r="M1600" t="s">
        <v>1886</v>
      </c>
      <c r="N1600" t="s">
        <v>1887</v>
      </c>
    </row>
    <row r="1601" spans="1:14" x14ac:dyDescent="0.35">
      <c r="A1601" t="s">
        <v>3525</v>
      </c>
      <c r="B1601" t="s">
        <v>1944</v>
      </c>
      <c r="C1601" t="s">
        <v>34</v>
      </c>
      <c r="D1601" t="s">
        <v>1904</v>
      </c>
      <c r="E1601" t="s">
        <v>1600</v>
      </c>
      <c r="F1601" t="s">
        <v>1885</v>
      </c>
      <c r="G1601">
        <v>156855</v>
      </c>
      <c r="H1601" s="1">
        <v>45245</v>
      </c>
      <c r="I1601" s="1">
        <v>45386</v>
      </c>
      <c r="J1601">
        <v>141</v>
      </c>
      <c r="K1601">
        <v>10.9</v>
      </c>
      <c r="L1601" t="s">
        <v>15</v>
      </c>
      <c r="M1601" t="s">
        <v>1886</v>
      </c>
      <c r="N1601" t="s">
        <v>1887</v>
      </c>
    </row>
    <row r="1602" spans="1:14" x14ac:dyDescent="0.35">
      <c r="A1602" t="s">
        <v>3526</v>
      </c>
      <c r="B1602" t="s">
        <v>1911</v>
      </c>
      <c r="C1602" t="s">
        <v>458</v>
      </c>
      <c r="D1602" t="s">
        <v>1904</v>
      </c>
      <c r="E1602" t="s">
        <v>1587</v>
      </c>
      <c r="F1602" t="s">
        <v>1885</v>
      </c>
      <c r="G1602">
        <v>201140</v>
      </c>
      <c r="H1602" s="1">
        <v>45161</v>
      </c>
      <c r="I1602" s="1">
        <v>45199</v>
      </c>
      <c r="J1602">
        <v>38</v>
      </c>
      <c r="K1602">
        <v>2.4</v>
      </c>
      <c r="L1602" t="s">
        <v>47</v>
      </c>
      <c r="M1602" t="s">
        <v>1932</v>
      </c>
      <c r="N1602" t="s">
        <v>1887</v>
      </c>
    </row>
    <row r="1603" spans="1:14" x14ac:dyDescent="0.35">
      <c r="A1603" t="s">
        <v>3527</v>
      </c>
      <c r="B1603" t="s">
        <v>1926</v>
      </c>
      <c r="C1603" t="s">
        <v>448</v>
      </c>
      <c r="D1603" t="s">
        <v>1927</v>
      </c>
      <c r="E1603" t="s">
        <v>1891</v>
      </c>
      <c r="F1603" t="s">
        <v>1946</v>
      </c>
      <c r="G1603">
        <v>439133</v>
      </c>
      <c r="H1603" s="1">
        <v>45175</v>
      </c>
      <c r="I1603" s="1"/>
      <c r="K1603">
        <v>5.4</v>
      </c>
      <c r="L1603" t="s">
        <v>47</v>
      </c>
      <c r="M1603" t="s">
        <v>1932</v>
      </c>
      <c r="N1603" t="s">
        <v>1887</v>
      </c>
    </row>
    <row r="1604" spans="1:14" x14ac:dyDescent="0.35">
      <c r="A1604" t="s">
        <v>3528</v>
      </c>
      <c r="B1604" t="s">
        <v>1926</v>
      </c>
      <c r="C1604" t="s">
        <v>456</v>
      </c>
      <c r="D1604" t="s">
        <v>1899</v>
      </c>
      <c r="E1604" t="s">
        <v>1905</v>
      </c>
      <c r="F1604" t="s">
        <v>1908</v>
      </c>
      <c r="G1604">
        <v>293818</v>
      </c>
      <c r="H1604" s="1">
        <v>45060</v>
      </c>
      <c r="I1604" s="1"/>
      <c r="K1604">
        <v>11</v>
      </c>
      <c r="L1604" t="s">
        <v>30</v>
      </c>
      <c r="M1604" t="s">
        <v>1893</v>
      </c>
      <c r="N1604" t="s">
        <v>1887</v>
      </c>
    </row>
    <row r="1605" spans="1:14" x14ac:dyDescent="0.35">
      <c r="A1605" t="s">
        <v>3529</v>
      </c>
      <c r="B1605" t="s">
        <v>1882</v>
      </c>
      <c r="C1605" t="s">
        <v>271</v>
      </c>
      <c r="D1605" t="s">
        <v>1890</v>
      </c>
      <c r="E1605" t="s">
        <v>1918</v>
      </c>
      <c r="F1605" t="s">
        <v>1895</v>
      </c>
      <c r="G1605">
        <v>148033</v>
      </c>
      <c r="H1605" s="1">
        <v>45687</v>
      </c>
      <c r="I1605" s="1"/>
      <c r="K1605">
        <v>2.9</v>
      </c>
      <c r="L1605" t="s">
        <v>47</v>
      </c>
      <c r="M1605" t="s">
        <v>1912</v>
      </c>
      <c r="N1605" t="s">
        <v>1887</v>
      </c>
    </row>
    <row r="1606" spans="1:14" x14ac:dyDescent="0.35">
      <c r="A1606" t="s">
        <v>3530</v>
      </c>
      <c r="B1606" t="s">
        <v>1914</v>
      </c>
      <c r="C1606" t="s">
        <v>120</v>
      </c>
      <c r="D1606" t="s">
        <v>1904</v>
      </c>
      <c r="E1606" t="s">
        <v>1918</v>
      </c>
      <c r="F1606" t="s">
        <v>1885</v>
      </c>
      <c r="G1606">
        <v>38034</v>
      </c>
      <c r="H1606" s="1">
        <v>45184</v>
      </c>
      <c r="I1606" s="1">
        <v>45257</v>
      </c>
      <c r="J1606">
        <v>73</v>
      </c>
      <c r="K1606">
        <v>13.3</v>
      </c>
      <c r="L1606" t="s">
        <v>30</v>
      </c>
      <c r="M1606" t="s">
        <v>1932</v>
      </c>
      <c r="N1606" t="s">
        <v>1887</v>
      </c>
    </row>
    <row r="1607" spans="1:14" x14ac:dyDescent="0.35">
      <c r="A1607" t="s">
        <v>3531</v>
      </c>
      <c r="B1607" t="s">
        <v>1911</v>
      </c>
      <c r="C1607" t="s">
        <v>80</v>
      </c>
      <c r="D1607" t="s">
        <v>1904</v>
      </c>
      <c r="E1607" t="s">
        <v>1945</v>
      </c>
      <c r="F1607" t="s">
        <v>1900</v>
      </c>
      <c r="G1607">
        <v>55990</v>
      </c>
      <c r="H1607" s="1">
        <v>44983</v>
      </c>
      <c r="I1607" s="1">
        <v>45047</v>
      </c>
      <c r="J1607">
        <v>64</v>
      </c>
      <c r="K1607">
        <v>17.399999999999999</v>
      </c>
      <c r="L1607" t="s">
        <v>15</v>
      </c>
      <c r="M1607" t="s">
        <v>1896</v>
      </c>
      <c r="N1607" t="s">
        <v>1887</v>
      </c>
    </row>
    <row r="1608" spans="1:14" x14ac:dyDescent="0.35">
      <c r="A1608" t="s">
        <v>3532</v>
      </c>
      <c r="B1608" t="s">
        <v>1930</v>
      </c>
      <c r="C1608" t="s">
        <v>224</v>
      </c>
      <c r="D1608" t="s">
        <v>1904</v>
      </c>
      <c r="E1608" t="s">
        <v>1587</v>
      </c>
      <c r="F1608" t="s">
        <v>1885</v>
      </c>
      <c r="G1608">
        <v>149099</v>
      </c>
      <c r="H1608" s="1">
        <v>45427</v>
      </c>
      <c r="I1608" s="1">
        <v>45597</v>
      </c>
      <c r="J1608">
        <v>170</v>
      </c>
      <c r="K1608">
        <v>10.3</v>
      </c>
      <c r="L1608" t="s">
        <v>30</v>
      </c>
      <c r="M1608" t="s">
        <v>1935</v>
      </c>
      <c r="N1608" t="s">
        <v>1887</v>
      </c>
    </row>
    <row r="1609" spans="1:14" x14ac:dyDescent="0.35">
      <c r="A1609" t="s">
        <v>3533</v>
      </c>
      <c r="B1609" t="s">
        <v>1934</v>
      </c>
      <c r="C1609" t="s">
        <v>122</v>
      </c>
      <c r="D1609" t="s">
        <v>1890</v>
      </c>
      <c r="E1609" t="s">
        <v>1905</v>
      </c>
      <c r="F1609" t="s">
        <v>1900</v>
      </c>
      <c r="G1609">
        <v>485121</v>
      </c>
      <c r="H1609" s="1">
        <v>45391</v>
      </c>
      <c r="I1609" s="1">
        <v>45531</v>
      </c>
      <c r="J1609">
        <v>140</v>
      </c>
      <c r="K1609">
        <v>18.399999999999999</v>
      </c>
      <c r="L1609" t="s">
        <v>21</v>
      </c>
      <c r="M1609" t="s">
        <v>1935</v>
      </c>
      <c r="N1609" t="s">
        <v>1887</v>
      </c>
    </row>
    <row r="1610" spans="1:14" x14ac:dyDescent="0.35">
      <c r="A1610" t="s">
        <v>3534</v>
      </c>
      <c r="B1610" t="s">
        <v>1926</v>
      </c>
      <c r="C1610" t="s">
        <v>263</v>
      </c>
      <c r="D1610" t="s">
        <v>1927</v>
      </c>
      <c r="E1610" t="s">
        <v>1587</v>
      </c>
      <c r="F1610" t="s">
        <v>1885</v>
      </c>
      <c r="G1610">
        <v>300010</v>
      </c>
      <c r="H1610" s="1">
        <v>45354</v>
      </c>
      <c r="I1610" s="1">
        <v>45526</v>
      </c>
      <c r="J1610">
        <v>172</v>
      </c>
      <c r="K1610">
        <v>11.7</v>
      </c>
      <c r="L1610" t="s">
        <v>47</v>
      </c>
      <c r="M1610" t="s">
        <v>1916</v>
      </c>
      <c r="N1610" t="s">
        <v>1887</v>
      </c>
    </row>
    <row r="1611" spans="1:14" x14ac:dyDescent="0.35">
      <c r="A1611" t="s">
        <v>3535</v>
      </c>
      <c r="B1611" t="s">
        <v>1914</v>
      </c>
      <c r="C1611" t="s">
        <v>293</v>
      </c>
      <c r="D1611" t="s">
        <v>1883</v>
      </c>
      <c r="E1611" t="s">
        <v>1905</v>
      </c>
      <c r="F1611" t="s">
        <v>1908</v>
      </c>
      <c r="G1611">
        <v>410855</v>
      </c>
      <c r="H1611" s="1">
        <v>45262</v>
      </c>
      <c r="I1611" s="1"/>
      <c r="K1611">
        <v>9.9</v>
      </c>
      <c r="L1611" t="s">
        <v>21</v>
      </c>
      <c r="M1611" t="s">
        <v>1886</v>
      </c>
      <c r="N1611" t="s">
        <v>1887</v>
      </c>
    </row>
    <row r="1612" spans="1:14" x14ac:dyDescent="0.35">
      <c r="A1612" t="s">
        <v>3536</v>
      </c>
      <c r="B1612" t="s">
        <v>1934</v>
      </c>
      <c r="C1612" t="s">
        <v>457</v>
      </c>
      <c r="D1612" t="s">
        <v>1904</v>
      </c>
      <c r="E1612" t="s">
        <v>1678</v>
      </c>
      <c r="F1612" t="s">
        <v>1900</v>
      </c>
      <c r="G1612">
        <v>392920</v>
      </c>
      <c r="H1612" s="1">
        <v>45129</v>
      </c>
      <c r="I1612" s="1">
        <v>45227</v>
      </c>
      <c r="J1612">
        <v>98</v>
      </c>
      <c r="K1612">
        <v>7</v>
      </c>
      <c r="L1612" t="s">
        <v>21</v>
      </c>
      <c r="M1612" t="s">
        <v>1932</v>
      </c>
      <c r="N1612" t="s">
        <v>1887</v>
      </c>
    </row>
    <row r="1613" spans="1:14" x14ac:dyDescent="0.35">
      <c r="A1613" t="s">
        <v>3537</v>
      </c>
      <c r="B1613" t="s">
        <v>1963</v>
      </c>
      <c r="C1613" t="s">
        <v>226</v>
      </c>
      <c r="D1613" t="s">
        <v>1927</v>
      </c>
      <c r="E1613" t="s">
        <v>1884</v>
      </c>
      <c r="F1613" t="s">
        <v>1885</v>
      </c>
      <c r="G1613">
        <v>392366</v>
      </c>
      <c r="H1613" s="1">
        <v>45560</v>
      </c>
      <c r="I1613" s="1">
        <v>45668</v>
      </c>
      <c r="J1613">
        <v>108</v>
      </c>
      <c r="K1613">
        <v>8.1999999999999993</v>
      </c>
      <c r="L1613" t="s">
        <v>30</v>
      </c>
      <c r="M1613" t="s">
        <v>1953</v>
      </c>
      <c r="N1613" t="s">
        <v>1887</v>
      </c>
    </row>
    <row r="1614" spans="1:14" x14ac:dyDescent="0.35">
      <c r="A1614" t="s">
        <v>3538</v>
      </c>
      <c r="B1614" t="s">
        <v>1889</v>
      </c>
      <c r="C1614" t="s">
        <v>382</v>
      </c>
      <c r="D1614" t="s">
        <v>1904</v>
      </c>
      <c r="E1614" t="s">
        <v>1678</v>
      </c>
      <c r="F1614" t="s">
        <v>1908</v>
      </c>
      <c r="G1614">
        <v>255595</v>
      </c>
      <c r="H1614" s="1">
        <v>45690</v>
      </c>
      <c r="I1614" s="1"/>
      <c r="K1614">
        <v>12.1</v>
      </c>
      <c r="L1614" t="s">
        <v>47</v>
      </c>
      <c r="M1614" t="s">
        <v>1912</v>
      </c>
      <c r="N1614" t="s">
        <v>1887</v>
      </c>
    </row>
    <row r="1615" spans="1:14" x14ac:dyDescent="0.35">
      <c r="A1615" t="s">
        <v>3539</v>
      </c>
      <c r="B1615" t="s">
        <v>1930</v>
      </c>
      <c r="C1615" t="s">
        <v>362</v>
      </c>
      <c r="D1615" t="s">
        <v>1904</v>
      </c>
      <c r="E1615" t="s">
        <v>1931</v>
      </c>
      <c r="F1615" t="s">
        <v>1885</v>
      </c>
      <c r="G1615">
        <v>229366</v>
      </c>
      <c r="H1615" s="1">
        <v>45474</v>
      </c>
      <c r="I1615" s="1">
        <v>45509</v>
      </c>
      <c r="J1615">
        <v>35</v>
      </c>
      <c r="K1615">
        <v>14.3</v>
      </c>
      <c r="L1615" t="s">
        <v>21</v>
      </c>
      <c r="M1615" t="s">
        <v>1953</v>
      </c>
      <c r="N1615" t="s">
        <v>1887</v>
      </c>
    </row>
    <row r="1616" spans="1:14" x14ac:dyDescent="0.35">
      <c r="A1616" t="s">
        <v>3540</v>
      </c>
      <c r="B1616" t="s">
        <v>1934</v>
      </c>
      <c r="C1616" t="s">
        <v>147</v>
      </c>
      <c r="D1616" t="s">
        <v>1890</v>
      </c>
      <c r="E1616" t="s">
        <v>1600</v>
      </c>
      <c r="F1616" t="s">
        <v>1908</v>
      </c>
      <c r="G1616">
        <v>458199</v>
      </c>
      <c r="H1616" s="1">
        <v>45576</v>
      </c>
      <c r="I1616" s="1"/>
      <c r="L1616" t="s">
        <v>30</v>
      </c>
      <c r="M1616" t="s">
        <v>1901</v>
      </c>
      <c r="N1616" t="s">
        <v>1887</v>
      </c>
    </row>
    <row r="1617" spans="1:14" x14ac:dyDescent="0.35">
      <c r="A1617" t="s">
        <v>3541</v>
      </c>
      <c r="B1617" t="s">
        <v>1944</v>
      </c>
      <c r="C1617" t="s">
        <v>176</v>
      </c>
      <c r="D1617" t="s">
        <v>1890</v>
      </c>
      <c r="E1617" t="s">
        <v>1678</v>
      </c>
      <c r="F1617" t="s">
        <v>1900</v>
      </c>
      <c r="G1617">
        <v>221881</v>
      </c>
      <c r="H1617" s="1">
        <v>45727</v>
      </c>
      <c r="I1617" s="1">
        <v>45759</v>
      </c>
      <c r="J1617">
        <v>32</v>
      </c>
      <c r="K1617">
        <v>7.4</v>
      </c>
      <c r="L1617" t="s">
        <v>47</v>
      </c>
      <c r="M1617" t="s">
        <v>1912</v>
      </c>
      <c r="N1617" t="s">
        <v>1887</v>
      </c>
    </row>
    <row r="1618" spans="1:14" x14ac:dyDescent="0.35">
      <c r="A1618" t="s">
        <v>3542</v>
      </c>
      <c r="B1618" t="s">
        <v>1882</v>
      </c>
      <c r="C1618" t="s">
        <v>472</v>
      </c>
      <c r="D1618" t="s">
        <v>1915</v>
      </c>
      <c r="E1618" t="s">
        <v>1931</v>
      </c>
      <c r="F1618" t="s">
        <v>1908</v>
      </c>
      <c r="G1618">
        <v>422416</v>
      </c>
      <c r="H1618" s="1">
        <v>45060</v>
      </c>
      <c r="I1618" s="1"/>
      <c r="K1618">
        <v>2.9</v>
      </c>
      <c r="L1618" t="s">
        <v>47</v>
      </c>
      <c r="M1618" t="s">
        <v>1893</v>
      </c>
      <c r="N1618" t="s">
        <v>1887</v>
      </c>
    </row>
    <row r="1619" spans="1:14" x14ac:dyDescent="0.35">
      <c r="A1619" t="s">
        <v>3543</v>
      </c>
      <c r="B1619" t="s">
        <v>1930</v>
      </c>
      <c r="C1619" t="s">
        <v>77</v>
      </c>
      <c r="D1619" t="s">
        <v>1899</v>
      </c>
      <c r="E1619" t="s">
        <v>1905</v>
      </c>
      <c r="F1619" t="s">
        <v>1892</v>
      </c>
      <c r="G1619">
        <v>13088</v>
      </c>
      <c r="H1619" s="1">
        <v>45263</v>
      </c>
      <c r="I1619" s="1"/>
      <c r="L1619" t="s">
        <v>21</v>
      </c>
      <c r="M1619" t="s">
        <v>1886</v>
      </c>
      <c r="N1619" t="s">
        <v>1887</v>
      </c>
    </row>
    <row r="1620" spans="1:14" x14ac:dyDescent="0.35">
      <c r="A1620" t="s">
        <v>3544</v>
      </c>
      <c r="B1620" t="s">
        <v>1926</v>
      </c>
      <c r="C1620" t="s">
        <v>236</v>
      </c>
      <c r="D1620" t="s">
        <v>1899</v>
      </c>
      <c r="E1620" t="s">
        <v>1600</v>
      </c>
      <c r="F1620" t="s">
        <v>1895</v>
      </c>
      <c r="G1620">
        <v>36920</v>
      </c>
      <c r="H1620" s="1">
        <v>45076</v>
      </c>
      <c r="I1620" s="1"/>
      <c r="K1620">
        <v>13.5</v>
      </c>
      <c r="L1620" t="s">
        <v>21</v>
      </c>
      <c r="M1620" t="s">
        <v>1893</v>
      </c>
      <c r="N1620" t="s">
        <v>1887</v>
      </c>
    </row>
    <row r="1621" spans="1:14" x14ac:dyDescent="0.35">
      <c r="A1621" t="s">
        <v>3545</v>
      </c>
      <c r="B1621" t="s">
        <v>1898</v>
      </c>
      <c r="C1621" t="s">
        <v>447</v>
      </c>
      <c r="D1621" t="s">
        <v>1883</v>
      </c>
      <c r="E1621" t="s">
        <v>1587</v>
      </c>
      <c r="F1621" t="s">
        <v>1885</v>
      </c>
      <c r="G1621">
        <v>446485</v>
      </c>
      <c r="H1621" s="1">
        <v>45416</v>
      </c>
      <c r="I1621" s="1">
        <v>45488</v>
      </c>
      <c r="J1621">
        <v>72</v>
      </c>
      <c r="K1621">
        <v>10</v>
      </c>
      <c r="L1621" t="s">
        <v>30</v>
      </c>
      <c r="M1621" t="s">
        <v>1935</v>
      </c>
      <c r="N1621" t="s">
        <v>1887</v>
      </c>
    </row>
    <row r="1622" spans="1:14" x14ac:dyDescent="0.35">
      <c r="A1622" t="s">
        <v>3546</v>
      </c>
      <c r="B1622" t="s">
        <v>1889</v>
      </c>
      <c r="C1622" t="s">
        <v>156</v>
      </c>
      <c r="D1622" t="s">
        <v>1927</v>
      </c>
      <c r="E1622" t="s">
        <v>1587</v>
      </c>
      <c r="F1622" t="s">
        <v>1900</v>
      </c>
      <c r="G1622">
        <v>209365</v>
      </c>
      <c r="H1622" s="1">
        <v>45573</v>
      </c>
      <c r="I1622" s="1">
        <v>45738</v>
      </c>
      <c r="J1622">
        <v>165</v>
      </c>
      <c r="K1622">
        <v>23</v>
      </c>
      <c r="L1622" t="s">
        <v>47</v>
      </c>
      <c r="M1622" t="s">
        <v>1901</v>
      </c>
      <c r="N1622" t="s">
        <v>1887</v>
      </c>
    </row>
    <row r="1623" spans="1:14" x14ac:dyDescent="0.35">
      <c r="A1623" t="s">
        <v>3547</v>
      </c>
      <c r="B1623" t="s">
        <v>1924</v>
      </c>
      <c r="C1623" t="s">
        <v>112</v>
      </c>
      <c r="D1623" t="s">
        <v>1883</v>
      </c>
      <c r="E1623" t="s">
        <v>1884</v>
      </c>
      <c r="F1623" t="s">
        <v>1895</v>
      </c>
      <c r="G1623">
        <v>17407</v>
      </c>
      <c r="H1623" s="1">
        <v>45208</v>
      </c>
      <c r="I1623" s="1"/>
      <c r="K1623">
        <v>4.3</v>
      </c>
      <c r="L1623" t="s">
        <v>30</v>
      </c>
      <c r="M1623" t="s">
        <v>1886</v>
      </c>
      <c r="N1623" t="s">
        <v>1887</v>
      </c>
    </row>
    <row r="1624" spans="1:14" x14ac:dyDescent="0.35">
      <c r="A1624" t="s">
        <v>3548</v>
      </c>
      <c r="B1624" t="s">
        <v>1924</v>
      </c>
      <c r="C1624" t="s">
        <v>339</v>
      </c>
      <c r="D1624" t="s">
        <v>1904</v>
      </c>
      <c r="E1624" t="s">
        <v>1918</v>
      </c>
      <c r="F1624" t="s">
        <v>1885</v>
      </c>
      <c r="G1624">
        <v>489655</v>
      </c>
      <c r="H1624" s="1">
        <v>45648</v>
      </c>
      <c r="I1624" s="1">
        <v>45801</v>
      </c>
      <c r="J1624">
        <v>153</v>
      </c>
      <c r="K1624">
        <v>8.8000000000000007</v>
      </c>
      <c r="L1624" t="s">
        <v>21</v>
      </c>
      <c r="M1624" t="s">
        <v>1901</v>
      </c>
      <c r="N1624" t="s">
        <v>1887</v>
      </c>
    </row>
    <row r="1625" spans="1:14" x14ac:dyDescent="0.35">
      <c r="A1625" t="s">
        <v>3549</v>
      </c>
      <c r="B1625" t="s">
        <v>1963</v>
      </c>
      <c r="C1625" t="s">
        <v>277</v>
      </c>
      <c r="D1625" t="s">
        <v>1899</v>
      </c>
      <c r="E1625" t="s">
        <v>1600</v>
      </c>
      <c r="F1625" t="s">
        <v>1885</v>
      </c>
      <c r="G1625">
        <v>259882</v>
      </c>
      <c r="H1625" s="1">
        <v>45571</v>
      </c>
      <c r="I1625" s="1">
        <v>45648</v>
      </c>
      <c r="J1625">
        <v>77</v>
      </c>
      <c r="K1625">
        <v>2.4</v>
      </c>
      <c r="L1625" t="s">
        <v>21</v>
      </c>
      <c r="M1625" t="s">
        <v>1901</v>
      </c>
      <c r="N1625" t="s">
        <v>1887</v>
      </c>
    </row>
    <row r="1626" spans="1:14" x14ac:dyDescent="0.35">
      <c r="A1626" t="s">
        <v>3550</v>
      </c>
      <c r="B1626" t="s">
        <v>1898</v>
      </c>
      <c r="C1626" t="s">
        <v>474</v>
      </c>
      <c r="D1626" t="s">
        <v>1890</v>
      </c>
      <c r="E1626" t="s">
        <v>1905</v>
      </c>
      <c r="F1626" t="s">
        <v>1946</v>
      </c>
      <c r="G1626">
        <v>39625</v>
      </c>
      <c r="H1626" s="1">
        <v>45500</v>
      </c>
      <c r="I1626" s="1"/>
      <c r="K1626">
        <v>13.3</v>
      </c>
      <c r="L1626" t="s">
        <v>21</v>
      </c>
      <c r="M1626" t="s">
        <v>1953</v>
      </c>
      <c r="N1626" t="s">
        <v>1887</v>
      </c>
    </row>
    <row r="1627" spans="1:14" x14ac:dyDescent="0.35">
      <c r="A1627" t="s">
        <v>3551</v>
      </c>
      <c r="B1627" t="s">
        <v>1889</v>
      </c>
      <c r="C1627" t="s">
        <v>494</v>
      </c>
      <c r="D1627" t="s">
        <v>1927</v>
      </c>
      <c r="E1627" t="s">
        <v>1884</v>
      </c>
      <c r="F1627" t="s">
        <v>1892</v>
      </c>
      <c r="G1627">
        <v>242452</v>
      </c>
      <c r="H1627" s="1">
        <v>45671</v>
      </c>
      <c r="I1627" s="1"/>
      <c r="K1627">
        <v>0.1</v>
      </c>
      <c r="L1627" t="s">
        <v>47</v>
      </c>
      <c r="M1627" t="s">
        <v>1912</v>
      </c>
      <c r="N1627" t="s">
        <v>1887</v>
      </c>
    </row>
    <row r="1628" spans="1:14" x14ac:dyDescent="0.35">
      <c r="A1628" t="s">
        <v>3552</v>
      </c>
      <c r="B1628" t="s">
        <v>1889</v>
      </c>
      <c r="C1628" t="s">
        <v>309</v>
      </c>
      <c r="D1628" t="s">
        <v>1904</v>
      </c>
      <c r="E1628" t="s">
        <v>1891</v>
      </c>
      <c r="F1628" t="s">
        <v>1895</v>
      </c>
      <c r="G1628">
        <v>58727</v>
      </c>
      <c r="H1628" s="1">
        <v>45668</v>
      </c>
      <c r="I1628" s="1"/>
      <c r="K1628">
        <v>3.5</v>
      </c>
      <c r="L1628" t="s">
        <v>21</v>
      </c>
      <c r="M1628" t="s">
        <v>1912</v>
      </c>
      <c r="N1628" t="s">
        <v>1887</v>
      </c>
    </row>
    <row r="1629" spans="1:14" x14ac:dyDescent="0.35">
      <c r="A1629" t="s">
        <v>3553</v>
      </c>
      <c r="B1629" t="s">
        <v>1930</v>
      </c>
      <c r="C1629" t="s">
        <v>128</v>
      </c>
      <c r="D1629" t="s">
        <v>1915</v>
      </c>
      <c r="E1629" t="s">
        <v>1945</v>
      </c>
      <c r="F1629" t="s">
        <v>1900</v>
      </c>
      <c r="G1629">
        <v>130338</v>
      </c>
      <c r="H1629" s="1">
        <v>45288</v>
      </c>
      <c r="I1629" s="1">
        <v>45377</v>
      </c>
      <c r="J1629">
        <v>89</v>
      </c>
      <c r="K1629">
        <v>3.7</v>
      </c>
      <c r="L1629" t="s">
        <v>47</v>
      </c>
      <c r="M1629" t="s">
        <v>1886</v>
      </c>
      <c r="N1629" t="s">
        <v>1887</v>
      </c>
    </row>
    <row r="1630" spans="1:14" x14ac:dyDescent="0.35">
      <c r="A1630" t="s">
        <v>3554</v>
      </c>
      <c r="B1630" t="s">
        <v>1922</v>
      </c>
      <c r="C1630" t="s">
        <v>474</v>
      </c>
      <c r="D1630" t="s">
        <v>1883</v>
      </c>
      <c r="E1630" t="s">
        <v>1931</v>
      </c>
      <c r="F1630" t="s">
        <v>1900</v>
      </c>
      <c r="G1630">
        <v>440778</v>
      </c>
      <c r="H1630" s="1">
        <v>45106</v>
      </c>
      <c r="I1630" s="1">
        <v>45197</v>
      </c>
      <c r="J1630">
        <v>91</v>
      </c>
      <c r="K1630">
        <v>21.4</v>
      </c>
      <c r="L1630" t="s">
        <v>21</v>
      </c>
      <c r="M1630" t="s">
        <v>1893</v>
      </c>
      <c r="N1630" t="s">
        <v>1887</v>
      </c>
    </row>
    <row r="1631" spans="1:14" x14ac:dyDescent="0.35">
      <c r="A1631" t="s">
        <v>3555</v>
      </c>
      <c r="B1631" t="s">
        <v>1914</v>
      </c>
      <c r="C1631" t="s">
        <v>222</v>
      </c>
      <c r="D1631" t="s">
        <v>1883</v>
      </c>
      <c r="E1631" t="s">
        <v>1884</v>
      </c>
      <c r="F1631" t="s">
        <v>1892</v>
      </c>
      <c r="G1631">
        <v>354433</v>
      </c>
      <c r="H1631" s="1">
        <v>45075</v>
      </c>
      <c r="I1631" s="1"/>
      <c r="L1631" t="s">
        <v>21</v>
      </c>
      <c r="M1631" t="s">
        <v>1893</v>
      </c>
      <c r="N1631" t="s">
        <v>1887</v>
      </c>
    </row>
    <row r="1632" spans="1:14" x14ac:dyDescent="0.35">
      <c r="A1632" t="s">
        <v>3556</v>
      </c>
      <c r="B1632" t="s">
        <v>1914</v>
      </c>
      <c r="C1632" t="s">
        <v>329</v>
      </c>
      <c r="D1632" t="s">
        <v>1927</v>
      </c>
      <c r="E1632" t="s">
        <v>1905</v>
      </c>
      <c r="F1632" t="s">
        <v>1895</v>
      </c>
      <c r="G1632">
        <v>23074</v>
      </c>
      <c r="H1632" s="1">
        <v>45119</v>
      </c>
      <c r="I1632" s="1"/>
      <c r="K1632">
        <v>13.7</v>
      </c>
      <c r="L1632" t="s">
        <v>47</v>
      </c>
      <c r="M1632" t="s">
        <v>1932</v>
      </c>
      <c r="N1632" t="s">
        <v>1887</v>
      </c>
    </row>
    <row r="1633" spans="1:14" x14ac:dyDescent="0.35">
      <c r="A1633" t="s">
        <v>3557</v>
      </c>
      <c r="B1633" t="s">
        <v>1911</v>
      </c>
      <c r="C1633" t="s">
        <v>496</v>
      </c>
      <c r="D1633" t="s">
        <v>1883</v>
      </c>
      <c r="E1633" t="s">
        <v>1918</v>
      </c>
      <c r="F1633" t="s">
        <v>1895</v>
      </c>
      <c r="G1633">
        <v>269035</v>
      </c>
      <c r="H1633" s="1">
        <v>45245</v>
      </c>
      <c r="I1633" s="1"/>
      <c r="K1633">
        <v>5</v>
      </c>
      <c r="L1633" t="s">
        <v>15</v>
      </c>
      <c r="M1633" t="s">
        <v>1886</v>
      </c>
      <c r="N1633" t="s">
        <v>1887</v>
      </c>
    </row>
    <row r="1634" spans="1:14" x14ac:dyDescent="0.35">
      <c r="A1634" t="s">
        <v>3558</v>
      </c>
      <c r="B1634" t="s">
        <v>1898</v>
      </c>
      <c r="C1634" t="s">
        <v>162</v>
      </c>
      <c r="D1634" t="s">
        <v>1927</v>
      </c>
      <c r="E1634" t="s">
        <v>1678</v>
      </c>
      <c r="F1634" t="s">
        <v>1895</v>
      </c>
      <c r="G1634">
        <v>167033</v>
      </c>
      <c r="H1634" s="1">
        <v>45249</v>
      </c>
      <c r="I1634" s="1"/>
      <c r="K1634">
        <v>7.3</v>
      </c>
      <c r="L1634" t="s">
        <v>15</v>
      </c>
      <c r="M1634" t="s">
        <v>1886</v>
      </c>
      <c r="N1634" t="s">
        <v>1887</v>
      </c>
    </row>
    <row r="1635" spans="1:14" x14ac:dyDescent="0.35">
      <c r="A1635" t="s">
        <v>3559</v>
      </c>
      <c r="B1635" t="s">
        <v>1898</v>
      </c>
      <c r="C1635" t="s">
        <v>309</v>
      </c>
      <c r="D1635" t="s">
        <v>1899</v>
      </c>
      <c r="E1635" t="s">
        <v>1587</v>
      </c>
      <c r="F1635" t="s">
        <v>1885</v>
      </c>
      <c r="G1635">
        <v>365937</v>
      </c>
      <c r="H1635" s="1">
        <v>45718</v>
      </c>
      <c r="I1635" s="1">
        <v>45768</v>
      </c>
      <c r="J1635">
        <v>50</v>
      </c>
      <c r="L1635" t="s">
        <v>47</v>
      </c>
      <c r="M1635" t="s">
        <v>1912</v>
      </c>
      <c r="N1635" t="s">
        <v>1887</v>
      </c>
    </row>
    <row r="1636" spans="1:14" x14ac:dyDescent="0.35">
      <c r="A1636" t="s">
        <v>3560</v>
      </c>
      <c r="B1636" t="s">
        <v>1944</v>
      </c>
      <c r="C1636" t="s">
        <v>173</v>
      </c>
      <c r="D1636" t="s">
        <v>1883</v>
      </c>
      <c r="E1636" t="s">
        <v>1884</v>
      </c>
      <c r="F1636" t="s">
        <v>1946</v>
      </c>
      <c r="G1636">
        <v>74013</v>
      </c>
      <c r="H1636" s="1">
        <v>45285</v>
      </c>
      <c r="I1636" s="1"/>
      <c r="K1636">
        <v>1.3</v>
      </c>
      <c r="L1636" t="s">
        <v>47</v>
      </c>
      <c r="M1636" t="s">
        <v>1886</v>
      </c>
      <c r="N1636" t="s">
        <v>1887</v>
      </c>
    </row>
    <row r="1637" spans="1:14" x14ac:dyDescent="0.35">
      <c r="A1637" t="s">
        <v>3561</v>
      </c>
      <c r="B1637" t="s">
        <v>1898</v>
      </c>
      <c r="C1637" t="s">
        <v>122</v>
      </c>
      <c r="D1637" t="s">
        <v>1904</v>
      </c>
      <c r="E1637" t="s">
        <v>1587</v>
      </c>
      <c r="F1637" t="s">
        <v>1946</v>
      </c>
      <c r="G1637">
        <v>258423</v>
      </c>
      <c r="H1637" s="1">
        <v>45427</v>
      </c>
      <c r="I1637" s="1"/>
      <c r="K1637">
        <v>13.1</v>
      </c>
      <c r="L1637" t="s">
        <v>47</v>
      </c>
      <c r="M1637" t="s">
        <v>1935</v>
      </c>
      <c r="N1637" t="s">
        <v>1887</v>
      </c>
    </row>
    <row r="1638" spans="1:14" x14ac:dyDescent="0.35">
      <c r="A1638" t="s">
        <v>3562</v>
      </c>
      <c r="B1638" t="s">
        <v>1882</v>
      </c>
      <c r="C1638" t="s">
        <v>432</v>
      </c>
      <c r="D1638" t="s">
        <v>1899</v>
      </c>
      <c r="E1638" t="s">
        <v>1678</v>
      </c>
      <c r="F1638" t="s">
        <v>1946</v>
      </c>
      <c r="G1638">
        <v>305204</v>
      </c>
      <c r="H1638" s="1">
        <v>45019</v>
      </c>
      <c r="I1638" s="1"/>
      <c r="K1638">
        <v>11.3</v>
      </c>
      <c r="L1638" t="s">
        <v>15</v>
      </c>
      <c r="M1638" t="s">
        <v>1893</v>
      </c>
      <c r="N1638" t="s">
        <v>1887</v>
      </c>
    </row>
    <row r="1639" spans="1:14" x14ac:dyDescent="0.35">
      <c r="A1639" t="s">
        <v>3563</v>
      </c>
      <c r="B1639" t="s">
        <v>1903</v>
      </c>
      <c r="C1639" t="s">
        <v>387</v>
      </c>
      <c r="D1639" t="s">
        <v>1883</v>
      </c>
      <c r="E1639" t="s">
        <v>1587</v>
      </c>
      <c r="F1639" t="s">
        <v>1895</v>
      </c>
      <c r="G1639">
        <v>217551</v>
      </c>
      <c r="H1639" s="1">
        <v>45625</v>
      </c>
      <c r="I1639" s="1"/>
      <c r="L1639" t="s">
        <v>15</v>
      </c>
      <c r="M1639" t="s">
        <v>1901</v>
      </c>
      <c r="N1639" t="s">
        <v>1887</v>
      </c>
    </row>
    <row r="1640" spans="1:14" x14ac:dyDescent="0.35">
      <c r="A1640" t="s">
        <v>3564</v>
      </c>
      <c r="B1640" t="s">
        <v>1934</v>
      </c>
      <c r="C1640" t="s">
        <v>363</v>
      </c>
      <c r="D1640" t="s">
        <v>1883</v>
      </c>
      <c r="E1640" t="s">
        <v>1918</v>
      </c>
      <c r="F1640" t="s">
        <v>1892</v>
      </c>
      <c r="G1640">
        <v>225361</v>
      </c>
      <c r="H1640" s="1">
        <v>45520</v>
      </c>
      <c r="I1640" s="1"/>
      <c r="K1640">
        <v>5.2</v>
      </c>
      <c r="L1640" t="s">
        <v>21</v>
      </c>
      <c r="M1640" t="s">
        <v>1953</v>
      </c>
      <c r="N1640" t="s">
        <v>1887</v>
      </c>
    </row>
    <row r="1641" spans="1:14" x14ac:dyDescent="0.35">
      <c r="A1641" t="s">
        <v>3565</v>
      </c>
      <c r="B1641" t="s">
        <v>1944</v>
      </c>
      <c r="C1641" t="s">
        <v>74</v>
      </c>
      <c r="D1641" t="s">
        <v>1915</v>
      </c>
      <c r="E1641" t="s">
        <v>1891</v>
      </c>
      <c r="F1641" t="s">
        <v>1946</v>
      </c>
      <c r="G1641">
        <v>227425</v>
      </c>
      <c r="H1641" s="1">
        <v>45533</v>
      </c>
      <c r="I1641" s="1"/>
      <c r="K1641">
        <v>11.6</v>
      </c>
      <c r="L1641" t="s">
        <v>30</v>
      </c>
      <c r="M1641" t="s">
        <v>1953</v>
      </c>
      <c r="N1641" t="s">
        <v>1887</v>
      </c>
    </row>
    <row r="1642" spans="1:14" x14ac:dyDescent="0.35">
      <c r="A1642" t="s">
        <v>3566</v>
      </c>
      <c r="B1642" t="s">
        <v>1889</v>
      </c>
      <c r="C1642" t="s">
        <v>405</v>
      </c>
      <c r="D1642" t="s">
        <v>1883</v>
      </c>
      <c r="E1642" t="s">
        <v>1587</v>
      </c>
      <c r="F1642" t="s">
        <v>1900</v>
      </c>
      <c r="G1642">
        <v>268674</v>
      </c>
      <c r="H1642" s="1">
        <v>45381</v>
      </c>
      <c r="I1642" s="1">
        <v>45532</v>
      </c>
      <c r="J1642">
        <v>151</v>
      </c>
      <c r="K1642">
        <v>3.2</v>
      </c>
      <c r="L1642" t="s">
        <v>15</v>
      </c>
      <c r="M1642" t="s">
        <v>1916</v>
      </c>
      <c r="N1642" t="s">
        <v>1887</v>
      </c>
    </row>
    <row r="1643" spans="1:14" x14ac:dyDescent="0.35">
      <c r="A1643" t="s">
        <v>3567</v>
      </c>
      <c r="B1643" t="s">
        <v>1907</v>
      </c>
      <c r="C1643" t="s">
        <v>319</v>
      </c>
      <c r="D1643" t="s">
        <v>1927</v>
      </c>
      <c r="E1643" t="s">
        <v>1587</v>
      </c>
      <c r="F1643" t="s">
        <v>1885</v>
      </c>
      <c r="G1643">
        <v>198382</v>
      </c>
      <c r="H1643" s="1">
        <v>45094</v>
      </c>
      <c r="I1643" s="1">
        <v>45131</v>
      </c>
      <c r="J1643">
        <v>37</v>
      </c>
      <c r="K1643">
        <v>11.3</v>
      </c>
      <c r="L1643" t="s">
        <v>30</v>
      </c>
      <c r="M1643" t="s">
        <v>1893</v>
      </c>
      <c r="N1643" t="s">
        <v>1887</v>
      </c>
    </row>
    <row r="1644" spans="1:14" x14ac:dyDescent="0.35">
      <c r="A1644" t="s">
        <v>3568</v>
      </c>
      <c r="B1644" t="s">
        <v>1937</v>
      </c>
      <c r="C1644" t="s">
        <v>302</v>
      </c>
      <c r="D1644" t="s">
        <v>1890</v>
      </c>
      <c r="E1644" t="s">
        <v>1931</v>
      </c>
      <c r="F1644" t="s">
        <v>1908</v>
      </c>
      <c r="G1644">
        <v>405689</v>
      </c>
      <c r="H1644" s="1">
        <v>45177</v>
      </c>
      <c r="I1644" s="1"/>
      <c r="K1644">
        <v>2</v>
      </c>
      <c r="L1644" t="s">
        <v>30</v>
      </c>
      <c r="M1644" t="s">
        <v>1932</v>
      </c>
      <c r="N1644" t="s">
        <v>1887</v>
      </c>
    </row>
    <row r="1645" spans="1:14" x14ac:dyDescent="0.35">
      <c r="A1645" t="s">
        <v>3569</v>
      </c>
      <c r="B1645" t="s">
        <v>1937</v>
      </c>
      <c r="C1645" t="s">
        <v>52</v>
      </c>
      <c r="D1645" t="s">
        <v>1883</v>
      </c>
      <c r="E1645" t="s">
        <v>1678</v>
      </c>
      <c r="F1645" t="s">
        <v>1892</v>
      </c>
      <c r="G1645">
        <v>16284</v>
      </c>
      <c r="H1645" s="1">
        <v>45040</v>
      </c>
      <c r="I1645" s="1"/>
      <c r="L1645" t="s">
        <v>21</v>
      </c>
      <c r="M1645" t="s">
        <v>1893</v>
      </c>
      <c r="N1645" t="s">
        <v>1887</v>
      </c>
    </row>
    <row r="1646" spans="1:14" x14ac:dyDescent="0.35">
      <c r="A1646" t="s">
        <v>3570</v>
      </c>
      <c r="B1646" t="s">
        <v>1914</v>
      </c>
      <c r="C1646" t="s">
        <v>380</v>
      </c>
      <c r="D1646" t="s">
        <v>1915</v>
      </c>
      <c r="E1646" t="s">
        <v>1905</v>
      </c>
      <c r="F1646" t="s">
        <v>1900</v>
      </c>
      <c r="G1646">
        <v>263881</v>
      </c>
      <c r="H1646" s="1">
        <v>45692</v>
      </c>
      <c r="I1646" s="1">
        <v>45723</v>
      </c>
      <c r="J1646">
        <v>31</v>
      </c>
      <c r="K1646">
        <v>3.2</v>
      </c>
      <c r="L1646" t="s">
        <v>21</v>
      </c>
      <c r="M1646" t="s">
        <v>1912</v>
      </c>
      <c r="N1646" t="s">
        <v>1887</v>
      </c>
    </row>
    <row r="1647" spans="1:14" x14ac:dyDescent="0.35">
      <c r="A1647" t="s">
        <v>3571</v>
      </c>
      <c r="B1647" t="s">
        <v>1898</v>
      </c>
      <c r="C1647" t="s">
        <v>289</v>
      </c>
      <c r="D1647" t="s">
        <v>1890</v>
      </c>
      <c r="E1647" t="s">
        <v>1905</v>
      </c>
      <c r="F1647" t="s">
        <v>1892</v>
      </c>
      <c r="G1647">
        <v>270686</v>
      </c>
      <c r="H1647" s="1">
        <v>45094</v>
      </c>
      <c r="I1647" s="1"/>
      <c r="K1647">
        <v>13</v>
      </c>
      <c r="L1647" t="s">
        <v>47</v>
      </c>
      <c r="M1647" t="s">
        <v>1893</v>
      </c>
      <c r="N1647" t="s">
        <v>1887</v>
      </c>
    </row>
    <row r="1648" spans="1:14" x14ac:dyDescent="0.35">
      <c r="A1648" t="s">
        <v>3572</v>
      </c>
      <c r="B1648" t="s">
        <v>1944</v>
      </c>
      <c r="C1648" t="s">
        <v>178</v>
      </c>
      <c r="D1648" t="s">
        <v>1915</v>
      </c>
      <c r="E1648" t="s">
        <v>1891</v>
      </c>
      <c r="F1648" t="s">
        <v>1885</v>
      </c>
      <c r="G1648">
        <v>165454</v>
      </c>
      <c r="H1648" s="1">
        <v>45094</v>
      </c>
      <c r="I1648" s="1">
        <v>45256</v>
      </c>
      <c r="J1648">
        <v>162</v>
      </c>
      <c r="K1648">
        <v>13.3</v>
      </c>
      <c r="L1648" t="s">
        <v>47</v>
      </c>
      <c r="M1648" t="s">
        <v>1893</v>
      </c>
      <c r="N1648" t="s">
        <v>1887</v>
      </c>
    </row>
    <row r="1649" spans="1:14" x14ac:dyDescent="0.35">
      <c r="A1649" t="s">
        <v>3573</v>
      </c>
      <c r="B1649" t="s">
        <v>1934</v>
      </c>
      <c r="C1649" t="s">
        <v>486</v>
      </c>
      <c r="D1649" t="s">
        <v>1890</v>
      </c>
      <c r="E1649" t="s">
        <v>1884</v>
      </c>
      <c r="F1649" t="s">
        <v>1900</v>
      </c>
      <c r="G1649">
        <v>408923</v>
      </c>
      <c r="H1649" s="1">
        <v>45288</v>
      </c>
      <c r="I1649" s="1">
        <v>45371</v>
      </c>
      <c r="J1649">
        <v>83</v>
      </c>
      <c r="K1649">
        <v>10.6</v>
      </c>
      <c r="L1649" t="s">
        <v>47</v>
      </c>
      <c r="M1649" t="s">
        <v>1886</v>
      </c>
      <c r="N1649" t="s">
        <v>1887</v>
      </c>
    </row>
    <row r="1650" spans="1:14" x14ac:dyDescent="0.35">
      <c r="A1650" t="s">
        <v>3574</v>
      </c>
      <c r="B1650" t="s">
        <v>1882</v>
      </c>
      <c r="C1650" t="s">
        <v>313</v>
      </c>
      <c r="D1650" t="s">
        <v>1899</v>
      </c>
      <c r="E1650" t="s">
        <v>1918</v>
      </c>
      <c r="F1650" t="s">
        <v>1895</v>
      </c>
      <c r="G1650">
        <v>352907</v>
      </c>
      <c r="H1650" s="1">
        <v>45081</v>
      </c>
      <c r="I1650" s="1"/>
      <c r="K1650">
        <v>4.3</v>
      </c>
      <c r="L1650" t="s">
        <v>30</v>
      </c>
      <c r="M1650" t="s">
        <v>1893</v>
      </c>
      <c r="N1650" t="s">
        <v>1887</v>
      </c>
    </row>
    <row r="1651" spans="1:14" x14ac:dyDescent="0.35">
      <c r="A1651" t="s">
        <v>3575</v>
      </c>
      <c r="B1651" t="s">
        <v>1944</v>
      </c>
      <c r="C1651" t="s">
        <v>371</v>
      </c>
      <c r="D1651" t="s">
        <v>1883</v>
      </c>
      <c r="E1651" t="s">
        <v>1600</v>
      </c>
      <c r="F1651" t="s">
        <v>1946</v>
      </c>
      <c r="G1651">
        <v>239705</v>
      </c>
      <c r="H1651" s="1">
        <v>44944</v>
      </c>
      <c r="I1651" s="1"/>
      <c r="K1651">
        <v>11.7</v>
      </c>
      <c r="L1651" t="s">
        <v>30</v>
      </c>
      <c r="M1651" t="s">
        <v>1896</v>
      </c>
      <c r="N1651" t="s">
        <v>1887</v>
      </c>
    </row>
    <row r="1652" spans="1:14" x14ac:dyDescent="0.35">
      <c r="A1652" t="s">
        <v>3576</v>
      </c>
      <c r="B1652" t="s">
        <v>1926</v>
      </c>
      <c r="C1652" t="s">
        <v>108</v>
      </c>
      <c r="D1652" t="s">
        <v>1890</v>
      </c>
      <c r="E1652" t="s">
        <v>1884</v>
      </c>
      <c r="F1652" t="s">
        <v>1900</v>
      </c>
      <c r="G1652">
        <v>149950</v>
      </c>
      <c r="H1652" s="1">
        <v>45588</v>
      </c>
      <c r="I1652" s="1">
        <v>45644</v>
      </c>
      <c r="J1652">
        <v>56</v>
      </c>
      <c r="K1652">
        <v>15</v>
      </c>
      <c r="L1652" t="s">
        <v>30</v>
      </c>
      <c r="M1652" t="s">
        <v>1901</v>
      </c>
      <c r="N1652" t="s">
        <v>1887</v>
      </c>
    </row>
    <row r="1653" spans="1:14" x14ac:dyDescent="0.35">
      <c r="A1653" t="s">
        <v>3577</v>
      </c>
      <c r="B1653" t="s">
        <v>1924</v>
      </c>
      <c r="C1653" t="s">
        <v>376</v>
      </c>
      <c r="D1653" t="s">
        <v>1927</v>
      </c>
      <c r="E1653" t="s">
        <v>1884</v>
      </c>
      <c r="F1653" t="s">
        <v>1892</v>
      </c>
      <c r="G1653">
        <v>75539</v>
      </c>
      <c r="H1653" s="1">
        <v>45325</v>
      </c>
      <c r="I1653" s="1"/>
      <c r="K1653">
        <v>9.9</v>
      </c>
      <c r="L1653" t="s">
        <v>21</v>
      </c>
      <c r="M1653" t="s">
        <v>1916</v>
      </c>
      <c r="N1653" t="s">
        <v>1887</v>
      </c>
    </row>
    <row r="1654" spans="1:14" x14ac:dyDescent="0.35">
      <c r="A1654" t="s">
        <v>3578</v>
      </c>
      <c r="B1654" t="s">
        <v>1914</v>
      </c>
      <c r="C1654" t="s">
        <v>57</v>
      </c>
      <c r="D1654" t="s">
        <v>1927</v>
      </c>
      <c r="E1654" t="s">
        <v>1931</v>
      </c>
      <c r="F1654" t="s">
        <v>1908</v>
      </c>
      <c r="G1654">
        <v>363008</v>
      </c>
      <c r="H1654" s="1">
        <v>45735</v>
      </c>
      <c r="I1654" s="1"/>
      <c r="K1654">
        <v>13.1</v>
      </c>
      <c r="L1654" t="s">
        <v>47</v>
      </c>
      <c r="M1654" t="s">
        <v>1912</v>
      </c>
      <c r="N1654" t="s">
        <v>1887</v>
      </c>
    </row>
    <row r="1655" spans="1:14" x14ac:dyDescent="0.35">
      <c r="A1655" t="s">
        <v>3579</v>
      </c>
      <c r="B1655" t="s">
        <v>1889</v>
      </c>
      <c r="C1655" t="s">
        <v>144</v>
      </c>
      <c r="D1655" t="s">
        <v>1899</v>
      </c>
      <c r="E1655" t="s">
        <v>1905</v>
      </c>
      <c r="F1655" t="s">
        <v>1908</v>
      </c>
      <c r="G1655">
        <v>302808</v>
      </c>
      <c r="H1655" s="1">
        <v>45636</v>
      </c>
      <c r="I1655" s="1"/>
      <c r="K1655">
        <v>11</v>
      </c>
      <c r="L1655" t="s">
        <v>15</v>
      </c>
      <c r="M1655" t="s">
        <v>1901</v>
      </c>
      <c r="N1655" t="s">
        <v>1887</v>
      </c>
    </row>
    <row r="1656" spans="1:14" x14ac:dyDescent="0.35">
      <c r="A1656" t="s">
        <v>3580</v>
      </c>
      <c r="B1656" t="s">
        <v>1922</v>
      </c>
      <c r="C1656" t="s">
        <v>32</v>
      </c>
      <c r="D1656" t="s">
        <v>1927</v>
      </c>
      <c r="E1656" t="s">
        <v>1600</v>
      </c>
      <c r="F1656" t="s">
        <v>1892</v>
      </c>
      <c r="G1656">
        <v>275870</v>
      </c>
      <c r="H1656" s="1">
        <v>45499</v>
      </c>
      <c r="I1656" s="1"/>
      <c r="K1656">
        <v>12.9</v>
      </c>
      <c r="L1656" t="s">
        <v>15</v>
      </c>
      <c r="M1656" t="s">
        <v>1953</v>
      </c>
      <c r="N1656" t="s">
        <v>1887</v>
      </c>
    </row>
    <row r="1657" spans="1:14" x14ac:dyDescent="0.35">
      <c r="A1657" t="s">
        <v>3581</v>
      </c>
      <c r="B1657" t="s">
        <v>1903</v>
      </c>
      <c r="C1657" t="s">
        <v>365</v>
      </c>
      <c r="D1657" t="s">
        <v>1915</v>
      </c>
      <c r="E1657" t="s">
        <v>1931</v>
      </c>
      <c r="F1657" t="s">
        <v>1908</v>
      </c>
      <c r="G1657">
        <v>346286</v>
      </c>
      <c r="H1657" s="1">
        <v>45283</v>
      </c>
      <c r="I1657" s="1"/>
      <c r="L1657" t="s">
        <v>15</v>
      </c>
      <c r="M1657" t="s">
        <v>1886</v>
      </c>
      <c r="N1657" t="s">
        <v>1887</v>
      </c>
    </row>
    <row r="1658" spans="1:14" x14ac:dyDescent="0.35">
      <c r="A1658" t="s">
        <v>3582</v>
      </c>
      <c r="B1658" t="s">
        <v>1889</v>
      </c>
      <c r="C1658" t="s">
        <v>419</v>
      </c>
      <c r="D1658" t="s">
        <v>1904</v>
      </c>
      <c r="E1658" t="s">
        <v>1905</v>
      </c>
      <c r="F1658" t="s">
        <v>1885</v>
      </c>
      <c r="G1658">
        <v>262795</v>
      </c>
      <c r="H1658" s="1">
        <v>45173</v>
      </c>
      <c r="I1658" s="1">
        <v>45250</v>
      </c>
      <c r="J1658">
        <v>77</v>
      </c>
      <c r="K1658">
        <v>11.3</v>
      </c>
      <c r="L1658" t="s">
        <v>47</v>
      </c>
      <c r="M1658" t="s">
        <v>1932</v>
      </c>
      <c r="N1658" t="s">
        <v>1887</v>
      </c>
    </row>
    <row r="1659" spans="1:14" x14ac:dyDescent="0.35">
      <c r="A1659" t="s">
        <v>3583</v>
      </c>
      <c r="B1659" t="s">
        <v>1924</v>
      </c>
      <c r="C1659" t="s">
        <v>232</v>
      </c>
      <c r="D1659" t="s">
        <v>1904</v>
      </c>
      <c r="E1659" t="s">
        <v>1884</v>
      </c>
      <c r="F1659" t="s">
        <v>1908</v>
      </c>
      <c r="G1659">
        <v>251620</v>
      </c>
      <c r="H1659" s="1">
        <v>45387</v>
      </c>
      <c r="I1659" s="1"/>
      <c r="L1659" t="s">
        <v>47</v>
      </c>
      <c r="M1659" t="s">
        <v>1935</v>
      </c>
      <c r="N1659" t="s">
        <v>1887</v>
      </c>
    </row>
    <row r="1660" spans="1:14" x14ac:dyDescent="0.35">
      <c r="A1660" t="s">
        <v>3584</v>
      </c>
      <c r="B1660" t="s">
        <v>1898</v>
      </c>
      <c r="C1660" t="s">
        <v>287</v>
      </c>
      <c r="D1660" t="s">
        <v>1915</v>
      </c>
      <c r="E1660" t="s">
        <v>1587</v>
      </c>
      <c r="F1660" t="s">
        <v>1900</v>
      </c>
      <c r="G1660">
        <v>450628</v>
      </c>
      <c r="H1660" s="1">
        <v>44970</v>
      </c>
      <c r="I1660" s="1">
        <v>45114</v>
      </c>
      <c r="J1660">
        <v>144</v>
      </c>
      <c r="K1660">
        <v>15.1</v>
      </c>
      <c r="L1660" t="s">
        <v>30</v>
      </c>
      <c r="M1660" t="s">
        <v>1896</v>
      </c>
      <c r="N1660" t="s">
        <v>1887</v>
      </c>
    </row>
    <row r="1661" spans="1:14" x14ac:dyDescent="0.35">
      <c r="A1661" t="s">
        <v>3585</v>
      </c>
      <c r="B1661" t="s">
        <v>1937</v>
      </c>
      <c r="C1661" t="s">
        <v>353</v>
      </c>
      <c r="D1661" t="s">
        <v>1899</v>
      </c>
      <c r="E1661" t="s">
        <v>1600</v>
      </c>
      <c r="F1661" t="s">
        <v>1900</v>
      </c>
      <c r="G1661">
        <v>234206</v>
      </c>
      <c r="H1661" s="1">
        <v>45308</v>
      </c>
      <c r="I1661" s="1">
        <v>45326</v>
      </c>
      <c r="J1661">
        <v>18</v>
      </c>
      <c r="K1661">
        <v>8.8000000000000007</v>
      </c>
      <c r="L1661" t="s">
        <v>30</v>
      </c>
      <c r="M1661" t="s">
        <v>1916</v>
      </c>
      <c r="N1661" t="s">
        <v>1887</v>
      </c>
    </row>
    <row r="1662" spans="1:14" x14ac:dyDescent="0.35">
      <c r="A1662" t="s">
        <v>3586</v>
      </c>
      <c r="B1662" t="s">
        <v>1920</v>
      </c>
      <c r="C1662" t="s">
        <v>389</v>
      </c>
      <c r="D1662" t="s">
        <v>1904</v>
      </c>
      <c r="E1662" t="s">
        <v>1905</v>
      </c>
      <c r="F1662" t="s">
        <v>1908</v>
      </c>
      <c r="G1662">
        <v>379914</v>
      </c>
      <c r="H1662" s="1">
        <v>45360</v>
      </c>
      <c r="I1662" s="1"/>
      <c r="K1662">
        <v>1</v>
      </c>
      <c r="L1662" t="s">
        <v>21</v>
      </c>
      <c r="M1662" t="s">
        <v>1916</v>
      </c>
      <c r="N1662" t="s">
        <v>1887</v>
      </c>
    </row>
    <row r="1663" spans="1:14" x14ac:dyDescent="0.35">
      <c r="A1663" t="s">
        <v>3587</v>
      </c>
      <c r="B1663" t="s">
        <v>1889</v>
      </c>
      <c r="C1663" t="s">
        <v>116</v>
      </c>
      <c r="D1663" t="s">
        <v>1927</v>
      </c>
      <c r="E1663" t="s">
        <v>1918</v>
      </c>
      <c r="F1663" t="s">
        <v>1908</v>
      </c>
      <c r="G1663">
        <v>281186</v>
      </c>
      <c r="H1663" s="1">
        <v>45047</v>
      </c>
      <c r="I1663" s="1"/>
      <c r="L1663" t="s">
        <v>21</v>
      </c>
      <c r="M1663" t="s">
        <v>1893</v>
      </c>
      <c r="N1663" t="s">
        <v>1887</v>
      </c>
    </row>
    <row r="1664" spans="1:14" x14ac:dyDescent="0.35">
      <c r="A1664" t="s">
        <v>3588</v>
      </c>
      <c r="B1664" t="s">
        <v>1930</v>
      </c>
      <c r="C1664" t="s">
        <v>453</v>
      </c>
      <c r="D1664" t="s">
        <v>1899</v>
      </c>
      <c r="E1664" t="s">
        <v>1678</v>
      </c>
      <c r="F1664" t="s">
        <v>1900</v>
      </c>
      <c r="G1664">
        <v>391292</v>
      </c>
      <c r="H1664" s="1">
        <v>45379</v>
      </c>
      <c r="I1664" s="1">
        <v>45447</v>
      </c>
      <c r="J1664">
        <v>68</v>
      </c>
      <c r="K1664">
        <v>18.600000000000001</v>
      </c>
      <c r="L1664" t="s">
        <v>30</v>
      </c>
      <c r="M1664" t="s">
        <v>1916</v>
      </c>
      <c r="N1664" t="s">
        <v>1887</v>
      </c>
    </row>
    <row r="1665" spans="1:14" x14ac:dyDescent="0.35">
      <c r="A1665" t="s">
        <v>3589</v>
      </c>
      <c r="B1665" t="s">
        <v>1934</v>
      </c>
      <c r="C1665" t="s">
        <v>408</v>
      </c>
      <c r="D1665" t="s">
        <v>1927</v>
      </c>
      <c r="E1665" t="s">
        <v>1600</v>
      </c>
      <c r="F1665" t="s">
        <v>1892</v>
      </c>
      <c r="G1665">
        <v>61123</v>
      </c>
      <c r="H1665" s="1">
        <v>45512</v>
      </c>
      <c r="I1665" s="1"/>
      <c r="L1665" t="s">
        <v>15</v>
      </c>
      <c r="M1665" t="s">
        <v>1953</v>
      </c>
      <c r="N1665" t="s">
        <v>1887</v>
      </c>
    </row>
    <row r="1666" spans="1:14" x14ac:dyDescent="0.35">
      <c r="A1666" t="s">
        <v>3590</v>
      </c>
      <c r="B1666" t="s">
        <v>1963</v>
      </c>
      <c r="C1666" t="s">
        <v>126</v>
      </c>
      <c r="D1666" t="s">
        <v>1927</v>
      </c>
      <c r="E1666" t="s">
        <v>1891</v>
      </c>
      <c r="F1666" t="s">
        <v>1946</v>
      </c>
      <c r="G1666">
        <v>444653</v>
      </c>
      <c r="H1666" s="1">
        <v>45144</v>
      </c>
      <c r="I1666" s="1"/>
      <c r="L1666" t="s">
        <v>21</v>
      </c>
      <c r="M1666" t="s">
        <v>1932</v>
      </c>
      <c r="N1666" t="s">
        <v>1887</v>
      </c>
    </row>
    <row r="1667" spans="1:14" x14ac:dyDescent="0.35">
      <c r="A1667" t="s">
        <v>3591</v>
      </c>
      <c r="B1667" t="s">
        <v>1914</v>
      </c>
      <c r="C1667" t="s">
        <v>68</v>
      </c>
      <c r="D1667" t="s">
        <v>1883</v>
      </c>
      <c r="E1667" t="s">
        <v>1678</v>
      </c>
      <c r="F1667" t="s">
        <v>1946</v>
      </c>
      <c r="G1667">
        <v>132555</v>
      </c>
      <c r="H1667" s="1">
        <v>45637</v>
      </c>
      <c r="I1667" s="1"/>
      <c r="K1667">
        <v>5</v>
      </c>
      <c r="L1667" t="s">
        <v>15</v>
      </c>
      <c r="M1667" t="s">
        <v>1901</v>
      </c>
      <c r="N1667" t="s">
        <v>1887</v>
      </c>
    </row>
    <row r="1668" spans="1:14" x14ac:dyDescent="0.35">
      <c r="A1668" t="s">
        <v>3592</v>
      </c>
      <c r="B1668" t="s">
        <v>1898</v>
      </c>
      <c r="C1668" t="s">
        <v>380</v>
      </c>
      <c r="D1668" t="s">
        <v>1904</v>
      </c>
      <c r="E1668" t="s">
        <v>1905</v>
      </c>
      <c r="F1668" t="s">
        <v>1892</v>
      </c>
      <c r="G1668">
        <v>165173</v>
      </c>
      <c r="H1668" s="1">
        <v>45570</v>
      </c>
      <c r="I1668" s="1"/>
      <c r="K1668">
        <v>9.6999999999999993</v>
      </c>
      <c r="L1668" t="s">
        <v>47</v>
      </c>
      <c r="M1668" t="s">
        <v>1901</v>
      </c>
      <c r="N1668" t="s">
        <v>1887</v>
      </c>
    </row>
    <row r="1669" spans="1:14" x14ac:dyDescent="0.35">
      <c r="A1669" t="s">
        <v>3593</v>
      </c>
      <c r="B1669" t="s">
        <v>1882</v>
      </c>
      <c r="C1669" t="s">
        <v>495</v>
      </c>
      <c r="D1669" t="s">
        <v>1927</v>
      </c>
      <c r="E1669" t="s">
        <v>1931</v>
      </c>
      <c r="F1669" t="s">
        <v>1900</v>
      </c>
      <c r="G1669">
        <v>490747</v>
      </c>
      <c r="H1669" s="1">
        <v>44934</v>
      </c>
      <c r="I1669" s="1">
        <v>45000</v>
      </c>
      <c r="J1669">
        <v>66</v>
      </c>
      <c r="K1669">
        <v>8.6999999999999993</v>
      </c>
      <c r="L1669" t="s">
        <v>21</v>
      </c>
      <c r="M1669" t="s">
        <v>1896</v>
      </c>
      <c r="N1669" t="s">
        <v>1887</v>
      </c>
    </row>
    <row r="1670" spans="1:14" x14ac:dyDescent="0.35">
      <c r="A1670" t="s">
        <v>3594</v>
      </c>
      <c r="B1670" t="s">
        <v>1924</v>
      </c>
      <c r="C1670" t="s">
        <v>328</v>
      </c>
      <c r="D1670" t="s">
        <v>1883</v>
      </c>
      <c r="E1670" t="s">
        <v>1905</v>
      </c>
      <c r="F1670" t="s">
        <v>1908</v>
      </c>
      <c r="G1670">
        <v>397168</v>
      </c>
      <c r="H1670" s="1">
        <v>45425</v>
      </c>
      <c r="I1670" s="1"/>
      <c r="K1670">
        <v>4.7</v>
      </c>
      <c r="L1670" t="s">
        <v>47</v>
      </c>
      <c r="M1670" t="s">
        <v>1935</v>
      </c>
      <c r="N1670" t="s">
        <v>1887</v>
      </c>
    </row>
    <row r="1671" spans="1:14" x14ac:dyDescent="0.35">
      <c r="A1671" t="s">
        <v>3595</v>
      </c>
      <c r="B1671" t="s">
        <v>1944</v>
      </c>
      <c r="C1671" t="s">
        <v>387</v>
      </c>
      <c r="D1671" t="s">
        <v>1899</v>
      </c>
      <c r="E1671" t="s">
        <v>1945</v>
      </c>
      <c r="F1671" t="s">
        <v>1885</v>
      </c>
      <c r="G1671">
        <v>444549</v>
      </c>
      <c r="H1671" s="1">
        <v>45621</v>
      </c>
      <c r="I1671" s="1">
        <v>45772</v>
      </c>
      <c r="J1671">
        <v>151</v>
      </c>
      <c r="K1671">
        <v>2.1</v>
      </c>
      <c r="L1671" t="s">
        <v>47</v>
      </c>
      <c r="M1671" t="s">
        <v>1901</v>
      </c>
      <c r="N1671" t="s">
        <v>1887</v>
      </c>
    </row>
    <row r="1672" spans="1:14" x14ac:dyDescent="0.35">
      <c r="A1672" t="s">
        <v>3596</v>
      </c>
      <c r="B1672" t="s">
        <v>1963</v>
      </c>
      <c r="C1672" t="s">
        <v>124</v>
      </c>
      <c r="D1672" t="s">
        <v>1904</v>
      </c>
      <c r="E1672" t="s">
        <v>1931</v>
      </c>
      <c r="F1672" t="s">
        <v>1946</v>
      </c>
      <c r="G1672">
        <v>51017</v>
      </c>
      <c r="H1672" s="1">
        <v>45551</v>
      </c>
      <c r="I1672" s="1"/>
      <c r="K1672">
        <v>1.3</v>
      </c>
      <c r="L1672" t="s">
        <v>47</v>
      </c>
      <c r="M1672" t="s">
        <v>1953</v>
      </c>
      <c r="N1672" t="s">
        <v>1887</v>
      </c>
    </row>
    <row r="1673" spans="1:14" x14ac:dyDescent="0.35">
      <c r="A1673" t="s">
        <v>3597</v>
      </c>
      <c r="B1673" t="s">
        <v>1920</v>
      </c>
      <c r="C1673" t="s">
        <v>122</v>
      </c>
      <c r="D1673" t="s">
        <v>1904</v>
      </c>
      <c r="E1673" t="s">
        <v>1884</v>
      </c>
      <c r="F1673" t="s">
        <v>1900</v>
      </c>
      <c r="G1673">
        <v>54053</v>
      </c>
      <c r="H1673" s="1">
        <v>45514</v>
      </c>
      <c r="I1673" s="1">
        <v>45586</v>
      </c>
      <c r="J1673">
        <v>72</v>
      </c>
      <c r="K1673">
        <v>16.100000000000001</v>
      </c>
      <c r="L1673" t="s">
        <v>15</v>
      </c>
      <c r="M1673" t="s">
        <v>1953</v>
      </c>
      <c r="N1673" t="s">
        <v>1887</v>
      </c>
    </row>
    <row r="1674" spans="1:14" x14ac:dyDescent="0.35">
      <c r="A1674" t="s">
        <v>3598</v>
      </c>
      <c r="B1674" t="s">
        <v>1882</v>
      </c>
      <c r="C1674" t="s">
        <v>400</v>
      </c>
      <c r="D1674" t="s">
        <v>1890</v>
      </c>
      <c r="E1674" t="s">
        <v>1918</v>
      </c>
      <c r="F1674" t="s">
        <v>1885</v>
      </c>
      <c r="G1674">
        <v>67428</v>
      </c>
      <c r="H1674" s="1">
        <v>45429</v>
      </c>
      <c r="I1674" s="1">
        <v>45518</v>
      </c>
      <c r="J1674">
        <v>89</v>
      </c>
      <c r="L1674" t="s">
        <v>21</v>
      </c>
      <c r="M1674" t="s">
        <v>1935</v>
      </c>
      <c r="N1674" t="s">
        <v>1887</v>
      </c>
    </row>
    <row r="1675" spans="1:14" x14ac:dyDescent="0.35">
      <c r="A1675" t="s">
        <v>3599</v>
      </c>
      <c r="B1675" t="s">
        <v>1937</v>
      </c>
      <c r="C1675" t="s">
        <v>263</v>
      </c>
      <c r="D1675" t="s">
        <v>1890</v>
      </c>
      <c r="E1675" t="s">
        <v>1905</v>
      </c>
      <c r="F1675" t="s">
        <v>1900</v>
      </c>
      <c r="G1675">
        <v>247902</v>
      </c>
      <c r="H1675" s="1">
        <v>44948</v>
      </c>
      <c r="I1675" s="1">
        <v>45090</v>
      </c>
      <c r="J1675">
        <v>142</v>
      </c>
      <c r="K1675">
        <v>6.8</v>
      </c>
      <c r="L1675" t="s">
        <v>30</v>
      </c>
      <c r="M1675" t="s">
        <v>1896</v>
      </c>
      <c r="N1675" t="s">
        <v>1887</v>
      </c>
    </row>
    <row r="1676" spans="1:14" x14ac:dyDescent="0.35">
      <c r="A1676" t="s">
        <v>3600</v>
      </c>
      <c r="B1676" t="s">
        <v>1922</v>
      </c>
      <c r="C1676" t="s">
        <v>284</v>
      </c>
      <c r="D1676" t="s">
        <v>1904</v>
      </c>
      <c r="E1676" t="s">
        <v>1678</v>
      </c>
      <c r="F1676" t="s">
        <v>1946</v>
      </c>
      <c r="G1676">
        <v>139393</v>
      </c>
      <c r="H1676" s="1">
        <v>45698</v>
      </c>
      <c r="I1676" s="1"/>
      <c r="K1676">
        <v>3.8</v>
      </c>
      <c r="L1676" t="s">
        <v>15</v>
      </c>
      <c r="M1676" t="s">
        <v>1912</v>
      </c>
      <c r="N1676" t="s">
        <v>1887</v>
      </c>
    </row>
    <row r="1677" spans="1:14" x14ac:dyDescent="0.35">
      <c r="A1677" t="s">
        <v>3601</v>
      </c>
      <c r="B1677" t="s">
        <v>1924</v>
      </c>
      <c r="C1677" t="s">
        <v>218</v>
      </c>
      <c r="D1677" t="s">
        <v>1927</v>
      </c>
      <c r="E1677" t="s">
        <v>1600</v>
      </c>
      <c r="F1677" t="s">
        <v>1908</v>
      </c>
      <c r="G1677">
        <v>335023</v>
      </c>
      <c r="H1677" s="1">
        <v>45297</v>
      </c>
      <c r="I1677" s="1"/>
      <c r="L1677" t="s">
        <v>15</v>
      </c>
      <c r="M1677" t="s">
        <v>1916</v>
      </c>
      <c r="N1677" t="s">
        <v>1887</v>
      </c>
    </row>
    <row r="1678" spans="1:14" x14ac:dyDescent="0.35">
      <c r="A1678" t="s">
        <v>3602</v>
      </c>
      <c r="B1678" t="s">
        <v>1922</v>
      </c>
      <c r="C1678" t="s">
        <v>120</v>
      </c>
      <c r="D1678" t="s">
        <v>1883</v>
      </c>
      <c r="E1678" t="s">
        <v>1891</v>
      </c>
      <c r="F1678" t="s">
        <v>1900</v>
      </c>
      <c r="G1678">
        <v>306951</v>
      </c>
      <c r="H1678" s="1">
        <v>45024</v>
      </c>
      <c r="I1678" s="1">
        <v>45141</v>
      </c>
      <c r="J1678">
        <v>117</v>
      </c>
      <c r="K1678">
        <v>6.2</v>
      </c>
      <c r="L1678" t="s">
        <v>15</v>
      </c>
      <c r="M1678" t="s">
        <v>1893</v>
      </c>
      <c r="N1678" t="s">
        <v>1887</v>
      </c>
    </row>
    <row r="1679" spans="1:14" x14ac:dyDescent="0.35">
      <c r="A1679" t="s">
        <v>3603</v>
      </c>
      <c r="B1679" t="s">
        <v>1903</v>
      </c>
      <c r="C1679" t="s">
        <v>261</v>
      </c>
      <c r="D1679" t="s">
        <v>1904</v>
      </c>
      <c r="E1679" t="s">
        <v>1891</v>
      </c>
      <c r="F1679" t="s">
        <v>1900</v>
      </c>
      <c r="G1679">
        <v>243273</v>
      </c>
      <c r="H1679" s="1">
        <v>45611</v>
      </c>
      <c r="I1679" s="1">
        <v>45626</v>
      </c>
      <c r="J1679">
        <v>15</v>
      </c>
      <c r="K1679">
        <v>11.3</v>
      </c>
      <c r="L1679" t="s">
        <v>21</v>
      </c>
      <c r="M1679" t="s">
        <v>1901</v>
      </c>
      <c r="N1679" t="s">
        <v>1887</v>
      </c>
    </row>
    <row r="1680" spans="1:14" x14ac:dyDescent="0.35">
      <c r="A1680" t="s">
        <v>3604</v>
      </c>
      <c r="B1680" t="s">
        <v>1911</v>
      </c>
      <c r="C1680" t="s">
        <v>173</v>
      </c>
      <c r="D1680" t="s">
        <v>1883</v>
      </c>
      <c r="E1680" t="s">
        <v>1587</v>
      </c>
      <c r="F1680" t="s">
        <v>1908</v>
      </c>
      <c r="G1680">
        <v>464944</v>
      </c>
      <c r="H1680" s="1">
        <v>45415</v>
      </c>
      <c r="I1680" s="1"/>
      <c r="K1680">
        <v>5.5</v>
      </c>
      <c r="L1680" t="s">
        <v>30</v>
      </c>
      <c r="M1680" t="s">
        <v>1935</v>
      </c>
      <c r="N1680" t="s">
        <v>1887</v>
      </c>
    </row>
    <row r="1681" spans="1:14" x14ac:dyDescent="0.35">
      <c r="A1681" t="s">
        <v>3605</v>
      </c>
      <c r="B1681" t="s">
        <v>1963</v>
      </c>
      <c r="C1681" t="s">
        <v>361</v>
      </c>
      <c r="D1681" t="s">
        <v>1890</v>
      </c>
      <c r="E1681" t="s">
        <v>1891</v>
      </c>
      <c r="F1681" t="s">
        <v>1908</v>
      </c>
      <c r="G1681">
        <v>344195</v>
      </c>
      <c r="H1681" s="1">
        <v>44989</v>
      </c>
      <c r="I1681" s="1"/>
      <c r="K1681">
        <v>12</v>
      </c>
      <c r="L1681" t="s">
        <v>47</v>
      </c>
      <c r="M1681" t="s">
        <v>1896</v>
      </c>
      <c r="N1681" t="s">
        <v>1887</v>
      </c>
    </row>
    <row r="1682" spans="1:14" x14ac:dyDescent="0.35">
      <c r="A1682" t="s">
        <v>3606</v>
      </c>
      <c r="B1682" t="s">
        <v>1930</v>
      </c>
      <c r="C1682" t="s">
        <v>426</v>
      </c>
      <c r="D1682" t="s">
        <v>1883</v>
      </c>
      <c r="E1682" t="s">
        <v>1884</v>
      </c>
      <c r="F1682" t="s">
        <v>1908</v>
      </c>
      <c r="G1682">
        <v>313383</v>
      </c>
      <c r="H1682" s="1">
        <v>45710</v>
      </c>
      <c r="I1682" s="1"/>
      <c r="K1682">
        <v>12</v>
      </c>
      <c r="L1682" t="s">
        <v>21</v>
      </c>
      <c r="M1682" t="s">
        <v>1912</v>
      </c>
      <c r="N1682" t="s">
        <v>1887</v>
      </c>
    </row>
    <row r="1683" spans="1:14" x14ac:dyDescent="0.35">
      <c r="A1683" t="s">
        <v>3607</v>
      </c>
      <c r="B1683" t="s">
        <v>1922</v>
      </c>
      <c r="C1683" t="s">
        <v>171</v>
      </c>
      <c r="D1683" t="s">
        <v>1890</v>
      </c>
      <c r="E1683" t="s">
        <v>1905</v>
      </c>
      <c r="F1683" t="s">
        <v>1885</v>
      </c>
      <c r="G1683">
        <v>183026</v>
      </c>
      <c r="H1683" s="1">
        <v>45027</v>
      </c>
      <c r="I1683" s="1">
        <v>45191</v>
      </c>
      <c r="J1683">
        <v>164</v>
      </c>
      <c r="K1683">
        <v>0.7</v>
      </c>
      <c r="L1683" t="s">
        <v>15</v>
      </c>
      <c r="M1683" t="s">
        <v>1893</v>
      </c>
      <c r="N1683" t="s">
        <v>1887</v>
      </c>
    </row>
    <row r="1684" spans="1:14" x14ac:dyDescent="0.35">
      <c r="A1684" t="s">
        <v>3608</v>
      </c>
      <c r="B1684" t="s">
        <v>1944</v>
      </c>
      <c r="C1684" t="s">
        <v>425</v>
      </c>
      <c r="D1684" t="s">
        <v>1915</v>
      </c>
      <c r="E1684" t="s">
        <v>1891</v>
      </c>
      <c r="F1684" t="s">
        <v>1908</v>
      </c>
      <c r="G1684">
        <v>1154021</v>
      </c>
      <c r="H1684" s="1">
        <v>45097</v>
      </c>
      <c r="I1684" s="1"/>
      <c r="K1684">
        <v>6.5</v>
      </c>
      <c r="L1684" t="s">
        <v>21</v>
      </c>
      <c r="M1684" t="s">
        <v>1893</v>
      </c>
      <c r="N1684" t="s">
        <v>1966</v>
      </c>
    </row>
    <row r="1685" spans="1:14" x14ac:dyDescent="0.35">
      <c r="A1685" t="s">
        <v>3609</v>
      </c>
      <c r="B1685" t="s">
        <v>1882</v>
      </c>
      <c r="C1685" t="s">
        <v>293</v>
      </c>
      <c r="D1685" t="s">
        <v>1899</v>
      </c>
      <c r="E1685" t="s">
        <v>1905</v>
      </c>
      <c r="F1685" t="s">
        <v>1900</v>
      </c>
      <c r="G1685">
        <v>166026</v>
      </c>
      <c r="H1685" s="1">
        <v>45476</v>
      </c>
      <c r="I1685" s="1">
        <v>45528</v>
      </c>
      <c r="J1685">
        <v>52</v>
      </c>
      <c r="K1685">
        <v>10.6</v>
      </c>
      <c r="L1685" t="s">
        <v>47</v>
      </c>
      <c r="M1685" t="s">
        <v>1953</v>
      </c>
      <c r="N1685" t="s">
        <v>1887</v>
      </c>
    </row>
    <row r="1686" spans="1:14" x14ac:dyDescent="0.35">
      <c r="A1686" t="s">
        <v>3610</v>
      </c>
      <c r="B1686" t="s">
        <v>1937</v>
      </c>
      <c r="C1686" t="s">
        <v>433</v>
      </c>
      <c r="D1686" t="s">
        <v>1915</v>
      </c>
      <c r="E1686" t="s">
        <v>1891</v>
      </c>
      <c r="F1686" t="s">
        <v>1895</v>
      </c>
      <c r="G1686">
        <v>227546</v>
      </c>
      <c r="H1686" s="1">
        <v>45467</v>
      </c>
      <c r="I1686" s="1"/>
      <c r="L1686" t="s">
        <v>47</v>
      </c>
      <c r="M1686" t="s">
        <v>1935</v>
      </c>
      <c r="N1686" t="s">
        <v>1887</v>
      </c>
    </row>
    <row r="1687" spans="1:14" x14ac:dyDescent="0.35">
      <c r="A1687" t="s">
        <v>3611</v>
      </c>
      <c r="B1687" t="s">
        <v>1937</v>
      </c>
      <c r="C1687" t="s">
        <v>398</v>
      </c>
      <c r="D1687" t="s">
        <v>1915</v>
      </c>
      <c r="E1687" t="s">
        <v>1905</v>
      </c>
      <c r="F1687" t="s">
        <v>1946</v>
      </c>
      <c r="G1687">
        <v>119338</v>
      </c>
      <c r="H1687" s="1">
        <v>44966</v>
      </c>
      <c r="I1687" s="1"/>
      <c r="L1687" t="s">
        <v>30</v>
      </c>
      <c r="M1687" t="s">
        <v>1896</v>
      </c>
      <c r="N1687" t="s">
        <v>1887</v>
      </c>
    </row>
    <row r="1688" spans="1:14" x14ac:dyDescent="0.35">
      <c r="A1688" t="s">
        <v>3612</v>
      </c>
      <c r="B1688" t="s">
        <v>1924</v>
      </c>
      <c r="C1688" t="s">
        <v>173</v>
      </c>
      <c r="D1688" t="s">
        <v>1904</v>
      </c>
      <c r="E1688" t="s">
        <v>1905</v>
      </c>
      <c r="F1688" t="s">
        <v>1946</v>
      </c>
      <c r="G1688">
        <v>296280</v>
      </c>
      <c r="H1688" s="1">
        <v>44986</v>
      </c>
      <c r="I1688" s="1"/>
      <c r="K1688">
        <v>4.9000000000000004</v>
      </c>
      <c r="L1688" t="s">
        <v>21</v>
      </c>
      <c r="M1688" t="s">
        <v>1896</v>
      </c>
      <c r="N1688" t="s">
        <v>1887</v>
      </c>
    </row>
    <row r="1689" spans="1:14" x14ac:dyDescent="0.35">
      <c r="A1689" t="s">
        <v>3613</v>
      </c>
      <c r="B1689" t="s">
        <v>1903</v>
      </c>
      <c r="C1689" t="s">
        <v>135</v>
      </c>
      <c r="D1689" t="s">
        <v>1915</v>
      </c>
      <c r="E1689" t="s">
        <v>1905</v>
      </c>
      <c r="F1689" t="s">
        <v>1946</v>
      </c>
      <c r="G1689">
        <v>388143</v>
      </c>
      <c r="H1689" s="1">
        <v>45053</v>
      </c>
      <c r="I1689" s="1"/>
      <c r="K1689">
        <v>8.1999999999999993</v>
      </c>
      <c r="L1689" t="s">
        <v>15</v>
      </c>
      <c r="M1689" t="s">
        <v>1893</v>
      </c>
      <c r="N1689" t="s">
        <v>1887</v>
      </c>
    </row>
    <row r="1690" spans="1:14" x14ac:dyDescent="0.35">
      <c r="A1690" t="s">
        <v>3614</v>
      </c>
      <c r="B1690" t="s">
        <v>1903</v>
      </c>
      <c r="C1690" t="s">
        <v>431</v>
      </c>
      <c r="D1690" t="s">
        <v>1890</v>
      </c>
      <c r="E1690" t="s">
        <v>1678</v>
      </c>
      <c r="F1690" t="s">
        <v>1946</v>
      </c>
      <c r="G1690">
        <v>81037</v>
      </c>
      <c r="H1690" s="1">
        <v>45098</v>
      </c>
      <c r="I1690" s="1"/>
      <c r="K1690">
        <v>12.7</v>
      </c>
      <c r="L1690" t="s">
        <v>15</v>
      </c>
      <c r="M1690" t="s">
        <v>1893</v>
      </c>
      <c r="N1690" t="s">
        <v>1887</v>
      </c>
    </row>
    <row r="1691" spans="1:14" x14ac:dyDescent="0.35">
      <c r="A1691" t="s">
        <v>3615</v>
      </c>
      <c r="B1691" t="s">
        <v>1889</v>
      </c>
      <c r="C1691" t="s">
        <v>258</v>
      </c>
      <c r="D1691" t="s">
        <v>1927</v>
      </c>
      <c r="E1691" t="s">
        <v>1600</v>
      </c>
      <c r="F1691" t="s">
        <v>1900</v>
      </c>
      <c r="G1691">
        <v>416457</v>
      </c>
      <c r="H1691" s="1">
        <v>45238</v>
      </c>
      <c r="I1691" s="1">
        <v>45338</v>
      </c>
      <c r="J1691">
        <v>100</v>
      </c>
      <c r="K1691">
        <v>18.399999999999999</v>
      </c>
      <c r="L1691" t="s">
        <v>21</v>
      </c>
      <c r="M1691" t="s">
        <v>1886</v>
      </c>
      <c r="N1691" t="s">
        <v>1887</v>
      </c>
    </row>
    <row r="1692" spans="1:14" x14ac:dyDescent="0.35">
      <c r="A1692" t="s">
        <v>3616</v>
      </c>
      <c r="B1692" t="s">
        <v>1934</v>
      </c>
      <c r="C1692" t="s">
        <v>308</v>
      </c>
      <c r="D1692" t="s">
        <v>1904</v>
      </c>
      <c r="E1692" t="s">
        <v>1891</v>
      </c>
      <c r="F1692" t="s">
        <v>1908</v>
      </c>
      <c r="G1692">
        <v>150616</v>
      </c>
      <c r="H1692" s="1">
        <v>45340</v>
      </c>
      <c r="I1692" s="1"/>
      <c r="L1692" t="s">
        <v>21</v>
      </c>
      <c r="M1692" t="s">
        <v>1916</v>
      </c>
      <c r="N1692" t="s">
        <v>1887</v>
      </c>
    </row>
    <row r="1693" spans="1:14" x14ac:dyDescent="0.35">
      <c r="A1693" t="s">
        <v>3617</v>
      </c>
      <c r="B1693" t="s">
        <v>1944</v>
      </c>
      <c r="C1693" t="s">
        <v>52</v>
      </c>
      <c r="D1693" t="s">
        <v>1927</v>
      </c>
      <c r="E1693" t="s">
        <v>1884</v>
      </c>
      <c r="F1693" t="s">
        <v>1895</v>
      </c>
      <c r="G1693">
        <v>419412</v>
      </c>
      <c r="H1693" s="1">
        <v>45514</v>
      </c>
      <c r="I1693" s="1"/>
      <c r="K1693">
        <v>1.3</v>
      </c>
      <c r="L1693" t="s">
        <v>21</v>
      </c>
      <c r="M1693" t="s">
        <v>1953</v>
      </c>
      <c r="N1693" t="s">
        <v>1887</v>
      </c>
    </row>
    <row r="1694" spans="1:14" x14ac:dyDescent="0.35">
      <c r="A1694" t="s">
        <v>3618</v>
      </c>
      <c r="B1694" t="s">
        <v>1934</v>
      </c>
      <c r="C1694" t="s">
        <v>188</v>
      </c>
      <c r="D1694" t="s">
        <v>1883</v>
      </c>
      <c r="E1694" t="s">
        <v>1600</v>
      </c>
      <c r="F1694" t="s">
        <v>1900</v>
      </c>
      <c r="G1694">
        <v>206049</v>
      </c>
      <c r="H1694" s="1">
        <v>45537</v>
      </c>
      <c r="I1694" s="1">
        <v>45556</v>
      </c>
      <c r="J1694">
        <v>19</v>
      </c>
      <c r="K1694">
        <v>23.5</v>
      </c>
      <c r="L1694" t="s">
        <v>15</v>
      </c>
      <c r="M1694" t="s">
        <v>1953</v>
      </c>
      <c r="N1694" t="s">
        <v>1887</v>
      </c>
    </row>
    <row r="1695" spans="1:14" x14ac:dyDescent="0.35">
      <c r="A1695" t="s">
        <v>3619</v>
      </c>
      <c r="B1695" t="s">
        <v>1937</v>
      </c>
      <c r="C1695" t="s">
        <v>34</v>
      </c>
      <c r="D1695" t="s">
        <v>1890</v>
      </c>
      <c r="E1695" t="s">
        <v>1678</v>
      </c>
      <c r="F1695" t="s">
        <v>1885</v>
      </c>
      <c r="G1695">
        <v>135384</v>
      </c>
      <c r="H1695" s="1">
        <v>45195</v>
      </c>
      <c r="I1695" s="1">
        <v>45290</v>
      </c>
      <c r="J1695">
        <v>95</v>
      </c>
      <c r="K1695">
        <v>8.9</v>
      </c>
      <c r="L1695" t="s">
        <v>15</v>
      </c>
      <c r="M1695" t="s">
        <v>1932</v>
      </c>
      <c r="N1695" t="s">
        <v>1887</v>
      </c>
    </row>
    <row r="1696" spans="1:14" x14ac:dyDescent="0.35">
      <c r="A1696" t="s">
        <v>3620</v>
      </c>
      <c r="B1696" t="s">
        <v>1889</v>
      </c>
      <c r="C1696" t="s">
        <v>158</v>
      </c>
      <c r="D1696" t="s">
        <v>1899</v>
      </c>
      <c r="E1696" t="s">
        <v>1600</v>
      </c>
      <c r="F1696" t="s">
        <v>1946</v>
      </c>
      <c r="G1696">
        <v>420265</v>
      </c>
      <c r="H1696" s="1">
        <v>45174</v>
      </c>
      <c r="I1696" s="1"/>
      <c r="L1696" t="s">
        <v>15</v>
      </c>
      <c r="M1696" t="s">
        <v>1932</v>
      </c>
      <c r="N1696" t="s">
        <v>1887</v>
      </c>
    </row>
    <row r="1697" spans="1:14" x14ac:dyDescent="0.35">
      <c r="A1697" t="s">
        <v>3621</v>
      </c>
      <c r="B1697" t="s">
        <v>1898</v>
      </c>
      <c r="C1697" t="s">
        <v>178</v>
      </c>
      <c r="D1697" t="s">
        <v>1915</v>
      </c>
      <c r="E1697" t="s">
        <v>1931</v>
      </c>
      <c r="F1697" t="s">
        <v>1900</v>
      </c>
      <c r="G1697">
        <v>491746</v>
      </c>
      <c r="H1697" s="1">
        <v>45493</v>
      </c>
      <c r="I1697" s="1">
        <v>45577</v>
      </c>
      <c r="J1697">
        <v>84</v>
      </c>
      <c r="K1697">
        <v>8.1</v>
      </c>
      <c r="L1697" t="s">
        <v>47</v>
      </c>
      <c r="M1697" t="s">
        <v>1953</v>
      </c>
      <c r="N1697" t="s">
        <v>1887</v>
      </c>
    </row>
    <row r="1698" spans="1:14" x14ac:dyDescent="0.35">
      <c r="A1698" t="s">
        <v>3622</v>
      </c>
      <c r="B1698" t="s">
        <v>1898</v>
      </c>
      <c r="C1698" t="s">
        <v>476</v>
      </c>
      <c r="D1698" t="s">
        <v>1890</v>
      </c>
      <c r="E1698" t="s">
        <v>1884</v>
      </c>
      <c r="F1698" t="s">
        <v>1946</v>
      </c>
      <c r="G1698">
        <v>12163</v>
      </c>
      <c r="H1698" s="1">
        <v>45511</v>
      </c>
      <c r="I1698" s="1"/>
      <c r="K1698">
        <v>2.7</v>
      </c>
      <c r="L1698" t="s">
        <v>15</v>
      </c>
      <c r="M1698" t="s">
        <v>1953</v>
      </c>
      <c r="N1698" t="s">
        <v>1887</v>
      </c>
    </row>
    <row r="1699" spans="1:14" x14ac:dyDescent="0.35">
      <c r="A1699" t="s">
        <v>3623</v>
      </c>
      <c r="B1699" t="s">
        <v>1920</v>
      </c>
      <c r="C1699" t="s">
        <v>307</v>
      </c>
      <c r="D1699" t="s">
        <v>1890</v>
      </c>
      <c r="E1699" t="s">
        <v>1931</v>
      </c>
      <c r="F1699" t="s">
        <v>1895</v>
      </c>
      <c r="G1699">
        <v>484981</v>
      </c>
      <c r="H1699" s="1">
        <v>45673</v>
      </c>
      <c r="I1699" s="1"/>
      <c r="L1699" t="s">
        <v>21</v>
      </c>
      <c r="M1699" t="s">
        <v>1912</v>
      </c>
      <c r="N1699" t="s">
        <v>1887</v>
      </c>
    </row>
    <row r="1700" spans="1:14" x14ac:dyDescent="0.35">
      <c r="A1700" t="s">
        <v>3624</v>
      </c>
      <c r="B1700" t="s">
        <v>1926</v>
      </c>
      <c r="C1700" t="s">
        <v>350</v>
      </c>
      <c r="D1700" t="s">
        <v>1927</v>
      </c>
      <c r="E1700" t="s">
        <v>1905</v>
      </c>
      <c r="F1700" t="s">
        <v>1885</v>
      </c>
      <c r="G1700">
        <v>30434</v>
      </c>
      <c r="H1700" s="1">
        <v>45038</v>
      </c>
      <c r="I1700" s="1">
        <v>45142</v>
      </c>
      <c r="J1700">
        <v>104</v>
      </c>
      <c r="L1700" t="s">
        <v>15</v>
      </c>
      <c r="M1700" t="s">
        <v>1893</v>
      </c>
      <c r="N1700" t="s">
        <v>1887</v>
      </c>
    </row>
    <row r="1701" spans="1:14" x14ac:dyDescent="0.35">
      <c r="A1701" t="s">
        <v>3625</v>
      </c>
      <c r="B1701" t="s">
        <v>1898</v>
      </c>
      <c r="C1701" t="s">
        <v>457</v>
      </c>
      <c r="D1701" t="s">
        <v>1883</v>
      </c>
      <c r="E1701" t="s">
        <v>1931</v>
      </c>
      <c r="F1701" t="s">
        <v>1946</v>
      </c>
      <c r="G1701">
        <v>137088</v>
      </c>
      <c r="H1701" s="1">
        <v>45734</v>
      </c>
      <c r="I1701" s="1"/>
      <c r="K1701">
        <v>10</v>
      </c>
      <c r="L1701" t="s">
        <v>47</v>
      </c>
      <c r="M1701" t="s">
        <v>1912</v>
      </c>
      <c r="N1701" t="s">
        <v>1887</v>
      </c>
    </row>
    <row r="1702" spans="1:14" x14ac:dyDescent="0.35">
      <c r="A1702" t="s">
        <v>3626</v>
      </c>
      <c r="B1702" t="s">
        <v>1924</v>
      </c>
      <c r="C1702" t="s">
        <v>27</v>
      </c>
      <c r="D1702" t="s">
        <v>1927</v>
      </c>
      <c r="E1702" t="s">
        <v>1918</v>
      </c>
      <c r="F1702" t="s">
        <v>1946</v>
      </c>
      <c r="G1702">
        <v>111166</v>
      </c>
      <c r="H1702" s="1">
        <v>45535</v>
      </c>
      <c r="I1702" s="1"/>
      <c r="K1702">
        <v>3.2</v>
      </c>
      <c r="L1702" t="s">
        <v>21</v>
      </c>
      <c r="M1702" t="s">
        <v>1953</v>
      </c>
      <c r="N1702" t="s">
        <v>1887</v>
      </c>
    </row>
    <row r="1703" spans="1:14" x14ac:dyDescent="0.35">
      <c r="A1703" t="s">
        <v>3627</v>
      </c>
      <c r="B1703" t="s">
        <v>1898</v>
      </c>
      <c r="C1703" t="s">
        <v>201</v>
      </c>
      <c r="D1703" t="s">
        <v>1904</v>
      </c>
      <c r="E1703" t="s">
        <v>1678</v>
      </c>
      <c r="F1703" t="s">
        <v>1895</v>
      </c>
      <c r="G1703">
        <v>30633</v>
      </c>
      <c r="H1703" s="1">
        <v>45412</v>
      </c>
      <c r="I1703" s="1"/>
      <c r="K1703">
        <v>5.8</v>
      </c>
      <c r="L1703" t="s">
        <v>15</v>
      </c>
      <c r="M1703" t="s">
        <v>1935</v>
      </c>
      <c r="N1703" t="s">
        <v>1887</v>
      </c>
    </row>
    <row r="1704" spans="1:14" x14ac:dyDescent="0.35">
      <c r="A1704" t="s">
        <v>3628</v>
      </c>
      <c r="B1704" t="s">
        <v>1922</v>
      </c>
      <c r="C1704" t="s">
        <v>297</v>
      </c>
      <c r="D1704" t="s">
        <v>1915</v>
      </c>
      <c r="E1704" t="s">
        <v>1891</v>
      </c>
      <c r="F1704" t="s">
        <v>1946</v>
      </c>
      <c r="G1704">
        <v>324644</v>
      </c>
      <c r="H1704" s="1">
        <v>45566</v>
      </c>
      <c r="I1704" s="1"/>
      <c r="K1704">
        <v>10.199999999999999</v>
      </c>
      <c r="L1704" t="s">
        <v>15</v>
      </c>
      <c r="M1704" t="s">
        <v>1901</v>
      </c>
      <c r="N1704" t="s">
        <v>1887</v>
      </c>
    </row>
    <row r="1705" spans="1:14" x14ac:dyDescent="0.35">
      <c r="A1705" t="s">
        <v>3629</v>
      </c>
      <c r="B1705" t="s">
        <v>1920</v>
      </c>
      <c r="C1705" t="s">
        <v>190</v>
      </c>
      <c r="D1705" t="s">
        <v>1904</v>
      </c>
      <c r="E1705" t="s">
        <v>1891</v>
      </c>
      <c r="F1705" t="s">
        <v>1946</v>
      </c>
      <c r="G1705">
        <v>494350</v>
      </c>
      <c r="H1705" s="1">
        <v>45184</v>
      </c>
      <c r="I1705" s="1"/>
      <c r="K1705">
        <v>12.6</v>
      </c>
      <c r="L1705" t="s">
        <v>30</v>
      </c>
      <c r="M1705" t="s">
        <v>1932</v>
      </c>
      <c r="N1705" t="s">
        <v>1887</v>
      </c>
    </row>
    <row r="1706" spans="1:14" x14ac:dyDescent="0.35">
      <c r="A1706" t="s">
        <v>3630</v>
      </c>
      <c r="B1706" t="s">
        <v>1907</v>
      </c>
      <c r="C1706" t="s">
        <v>328</v>
      </c>
      <c r="D1706" t="s">
        <v>1883</v>
      </c>
      <c r="E1706" t="s">
        <v>1600</v>
      </c>
      <c r="F1706" t="s">
        <v>1895</v>
      </c>
      <c r="G1706">
        <v>168276</v>
      </c>
      <c r="H1706" s="1">
        <v>45269</v>
      </c>
      <c r="I1706" s="1"/>
      <c r="L1706" t="s">
        <v>15</v>
      </c>
      <c r="M1706" t="s">
        <v>1886</v>
      </c>
      <c r="N1706" t="s">
        <v>1887</v>
      </c>
    </row>
    <row r="1707" spans="1:14" x14ac:dyDescent="0.35">
      <c r="A1707" t="s">
        <v>3631</v>
      </c>
      <c r="B1707" t="s">
        <v>1944</v>
      </c>
      <c r="C1707" t="s">
        <v>474</v>
      </c>
      <c r="D1707" t="s">
        <v>1883</v>
      </c>
      <c r="E1707" t="s">
        <v>1600</v>
      </c>
      <c r="F1707" t="s">
        <v>1892</v>
      </c>
      <c r="G1707">
        <v>386542</v>
      </c>
      <c r="H1707" s="1">
        <v>45524</v>
      </c>
      <c r="I1707" s="1"/>
      <c r="K1707">
        <v>3.5</v>
      </c>
      <c r="L1707" t="s">
        <v>30</v>
      </c>
      <c r="M1707" t="s">
        <v>1953</v>
      </c>
      <c r="N1707" t="s">
        <v>1887</v>
      </c>
    </row>
    <row r="1708" spans="1:14" x14ac:dyDescent="0.35">
      <c r="A1708" t="s">
        <v>3632</v>
      </c>
      <c r="B1708" t="s">
        <v>1898</v>
      </c>
      <c r="C1708" t="s">
        <v>291</v>
      </c>
      <c r="D1708" t="s">
        <v>1904</v>
      </c>
      <c r="E1708" t="s">
        <v>1918</v>
      </c>
      <c r="F1708" t="s">
        <v>1900</v>
      </c>
      <c r="G1708">
        <v>143693</v>
      </c>
      <c r="H1708" s="1">
        <v>45436</v>
      </c>
      <c r="I1708" s="1">
        <v>45451</v>
      </c>
      <c r="J1708">
        <v>15</v>
      </c>
      <c r="K1708">
        <v>10.1</v>
      </c>
      <c r="L1708" t="s">
        <v>15</v>
      </c>
      <c r="M1708" t="s">
        <v>1935</v>
      </c>
      <c r="N1708" t="s">
        <v>1887</v>
      </c>
    </row>
    <row r="1709" spans="1:14" x14ac:dyDescent="0.35">
      <c r="A1709" t="s">
        <v>3633</v>
      </c>
      <c r="B1709" t="s">
        <v>1914</v>
      </c>
      <c r="C1709" t="s">
        <v>92</v>
      </c>
      <c r="D1709" t="s">
        <v>1904</v>
      </c>
      <c r="E1709" t="s">
        <v>1918</v>
      </c>
      <c r="F1709" t="s">
        <v>1892</v>
      </c>
      <c r="G1709">
        <v>313085</v>
      </c>
      <c r="H1709" s="1">
        <v>45293</v>
      </c>
      <c r="I1709" s="1"/>
      <c r="L1709" t="s">
        <v>15</v>
      </c>
      <c r="M1709" t="s">
        <v>1916</v>
      </c>
      <c r="N1709" t="s">
        <v>1887</v>
      </c>
    </row>
    <row r="1710" spans="1:14" x14ac:dyDescent="0.35">
      <c r="A1710" t="s">
        <v>3634</v>
      </c>
      <c r="B1710" t="s">
        <v>1930</v>
      </c>
      <c r="C1710" t="s">
        <v>52</v>
      </c>
      <c r="D1710" t="s">
        <v>1899</v>
      </c>
      <c r="E1710" t="s">
        <v>1587</v>
      </c>
      <c r="F1710" t="s">
        <v>1895</v>
      </c>
      <c r="G1710">
        <v>351161</v>
      </c>
      <c r="H1710" s="1">
        <v>45287</v>
      </c>
      <c r="I1710" s="1"/>
      <c r="K1710">
        <v>13.6</v>
      </c>
      <c r="L1710" t="s">
        <v>15</v>
      </c>
      <c r="M1710" t="s">
        <v>1886</v>
      </c>
      <c r="N1710" t="s">
        <v>1887</v>
      </c>
    </row>
    <row r="1711" spans="1:14" x14ac:dyDescent="0.35">
      <c r="A1711" t="s">
        <v>3635</v>
      </c>
      <c r="B1711" t="s">
        <v>1930</v>
      </c>
      <c r="C1711" t="s">
        <v>450</v>
      </c>
      <c r="D1711" t="s">
        <v>1915</v>
      </c>
      <c r="E1711" t="s">
        <v>1884</v>
      </c>
      <c r="F1711" t="s">
        <v>1892</v>
      </c>
      <c r="G1711">
        <v>450050</v>
      </c>
      <c r="H1711" s="1">
        <v>45338</v>
      </c>
      <c r="I1711" s="1"/>
      <c r="K1711">
        <v>5.7</v>
      </c>
      <c r="L1711" t="s">
        <v>21</v>
      </c>
      <c r="M1711" t="s">
        <v>1916</v>
      </c>
      <c r="N1711" t="s">
        <v>1887</v>
      </c>
    </row>
    <row r="1712" spans="1:14" x14ac:dyDescent="0.35">
      <c r="A1712" t="s">
        <v>3636</v>
      </c>
      <c r="B1712" t="s">
        <v>1898</v>
      </c>
      <c r="C1712" t="s">
        <v>373</v>
      </c>
      <c r="D1712" t="s">
        <v>1899</v>
      </c>
      <c r="E1712" t="s">
        <v>1587</v>
      </c>
      <c r="F1712" t="s">
        <v>1908</v>
      </c>
      <c r="G1712">
        <v>456045</v>
      </c>
      <c r="H1712" s="1">
        <v>45066</v>
      </c>
      <c r="I1712" s="1"/>
      <c r="L1712" t="s">
        <v>30</v>
      </c>
      <c r="M1712" t="s">
        <v>1893</v>
      </c>
      <c r="N1712" t="s">
        <v>1887</v>
      </c>
    </row>
    <row r="1713" spans="1:14" x14ac:dyDescent="0.35">
      <c r="A1713" t="s">
        <v>3637</v>
      </c>
      <c r="B1713" t="s">
        <v>1922</v>
      </c>
      <c r="C1713" t="s">
        <v>450</v>
      </c>
      <c r="D1713" t="s">
        <v>1890</v>
      </c>
      <c r="E1713" t="s">
        <v>1678</v>
      </c>
      <c r="F1713" t="s">
        <v>1900</v>
      </c>
      <c r="G1713">
        <v>259479</v>
      </c>
      <c r="H1713" s="1">
        <v>45265</v>
      </c>
      <c r="I1713" s="1">
        <v>45352</v>
      </c>
      <c r="J1713">
        <v>87</v>
      </c>
      <c r="K1713">
        <v>13.8</v>
      </c>
      <c r="L1713" t="s">
        <v>47</v>
      </c>
      <c r="M1713" t="s">
        <v>1886</v>
      </c>
      <c r="N1713" t="s">
        <v>1887</v>
      </c>
    </row>
    <row r="1714" spans="1:14" x14ac:dyDescent="0.35">
      <c r="A1714" t="s">
        <v>3638</v>
      </c>
      <c r="B1714" t="s">
        <v>1937</v>
      </c>
      <c r="C1714" t="s">
        <v>411</v>
      </c>
      <c r="D1714" t="s">
        <v>1915</v>
      </c>
      <c r="E1714" t="s">
        <v>1600</v>
      </c>
      <c r="F1714" t="s">
        <v>1900</v>
      </c>
      <c r="G1714">
        <v>415205</v>
      </c>
      <c r="H1714" s="1">
        <v>45082</v>
      </c>
      <c r="I1714" s="1">
        <v>45169</v>
      </c>
      <c r="J1714">
        <v>87</v>
      </c>
      <c r="K1714">
        <v>15.6</v>
      </c>
      <c r="L1714" t="s">
        <v>47</v>
      </c>
      <c r="M1714" t="s">
        <v>1893</v>
      </c>
      <c r="N1714" t="s">
        <v>1887</v>
      </c>
    </row>
    <row r="1715" spans="1:14" x14ac:dyDescent="0.35">
      <c r="A1715" t="s">
        <v>3639</v>
      </c>
      <c r="B1715" t="s">
        <v>1937</v>
      </c>
      <c r="C1715" t="s">
        <v>57</v>
      </c>
      <c r="D1715" t="s">
        <v>1883</v>
      </c>
      <c r="E1715" t="s">
        <v>1600</v>
      </c>
      <c r="F1715" t="s">
        <v>1908</v>
      </c>
      <c r="G1715">
        <v>358285</v>
      </c>
      <c r="H1715" s="1">
        <v>45070</v>
      </c>
      <c r="I1715" s="1"/>
      <c r="K1715">
        <v>10.5</v>
      </c>
      <c r="L1715" t="s">
        <v>30</v>
      </c>
      <c r="M1715" t="s">
        <v>1893</v>
      </c>
      <c r="N1715" t="s">
        <v>1887</v>
      </c>
    </row>
    <row r="1716" spans="1:14" x14ac:dyDescent="0.35">
      <c r="A1716" t="s">
        <v>3640</v>
      </c>
      <c r="B1716" t="s">
        <v>1944</v>
      </c>
      <c r="C1716" t="s">
        <v>234</v>
      </c>
      <c r="D1716" t="s">
        <v>1915</v>
      </c>
      <c r="E1716" t="s">
        <v>1678</v>
      </c>
      <c r="F1716" t="s">
        <v>1885</v>
      </c>
      <c r="G1716">
        <v>306246</v>
      </c>
      <c r="H1716" s="1">
        <v>45117</v>
      </c>
      <c r="I1716" s="1">
        <v>45250</v>
      </c>
      <c r="J1716">
        <v>133</v>
      </c>
      <c r="K1716">
        <v>1.6</v>
      </c>
      <c r="L1716" t="s">
        <v>21</v>
      </c>
      <c r="M1716" t="s">
        <v>1932</v>
      </c>
      <c r="N1716" t="s">
        <v>1887</v>
      </c>
    </row>
    <row r="1717" spans="1:14" x14ac:dyDescent="0.35">
      <c r="A1717" t="s">
        <v>3641</v>
      </c>
      <c r="B1717" t="s">
        <v>1911</v>
      </c>
      <c r="C1717" t="s">
        <v>292</v>
      </c>
      <c r="D1717" t="s">
        <v>1927</v>
      </c>
      <c r="E1717" t="s">
        <v>1918</v>
      </c>
      <c r="F1717" t="s">
        <v>1895</v>
      </c>
      <c r="G1717">
        <v>976351</v>
      </c>
      <c r="H1717" s="1">
        <v>45148</v>
      </c>
      <c r="I1717" s="1"/>
      <c r="K1717">
        <v>12.2</v>
      </c>
      <c r="L1717" t="s">
        <v>30</v>
      </c>
      <c r="M1717" t="s">
        <v>1932</v>
      </c>
      <c r="N1717" t="s">
        <v>1966</v>
      </c>
    </row>
    <row r="1718" spans="1:14" x14ac:dyDescent="0.35">
      <c r="A1718" t="s">
        <v>3642</v>
      </c>
      <c r="B1718" t="s">
        <v>1963</v>
      </c>
      <c r="C1718" t="s">
        <v>496</v>
      </c>
      <c r="D1718" t="s">
        <v>1890</v>
      </c>
      <c r="E1718" t="s">
        <v>1931</v>
      </c>
      <c r="F1718" t="s">
        <v>1946</v>
      </c>
      <c r="G1718">
        <v>179695</v>
      </c>
      <c r="H1718" s="1">
        <v>45641</v>
      </c>
      <c r="I1718" s="1"/>
      <c r="K1718">
        <v>6.6</v>
      </c>
      <c r="L1718" t="s">
        <v>30</v>
      </c>
      <c r="M1718" t="s">
        <v>1901</v>
      </c>
      <c r="N1718" t="s">
        <v>1887</v>
      </c>
    </row>
    <row r="1719" spans="1:14" x14ac:dyDescent="0.35">
      <c r="A1719" t="s">
        <v>3643</v>
      </c>
      <c r="B1719" t="s">
        <v>1926</v>
      </c>
      <c r="C1719" t="s">
        <v>329</v>
      </c>
      <c r="D1719" t="s">
        <v>1890</v>
      </c>
      <c r="E1719" t="s">
        <v>1905</v>
      </c>
      <c r="F1719" t="s">
        <v>1895</v>
      </c>
      <c r="G1719">
        <v>361562</v>
      </c>
      <c r="H1719" s="1">
        <v>45332</v>
      </c>
      <c r="I1719" s="1"/>
      <c r="L1719" t="s">
        <v>30</v>
      </c>
      <c r="M1719" t="s">
        <v>1916</v>
      </c>
      <c r="N1719" t="s">
        <v>1887</v>
      </c>
    </row>
    <row r="1720" spans="1:14" x14ac:dyDescent="0.35">
      <c r="A1720" t="s">
        <v>3644</v>
      </c>
      <c r="B1720" t="s">
        <v>1911</v>
      </c>
      <c r="C1720" t="s">
        <v>466</v>
      </c>
      <c r="D1720" t="s">
        <v>1927</v>
      </c>
      <c r="E1720" t="s">
        <v>1884</v>
      </c>
      <c r="F1720" t="s">
        <v>1900</v>
      </c>
      <c r="G1720">
        <v>52445</v>
      </c>
      <c r="H1720" s="1">
        <v>45270</v>
      </c>
      <c r="I1720" s="1">
        <v>45299</v>
      </c>
      <c r="J1720">
        <v>29</v>
      </c>
      <c r="K1720">
        <v>22.8</v>
      </c>
      <c r="L1720" t="s">
        <v>21</v>
      </c>
      <c r="M1720" t="s">
        <v>1886</v>
      </c>
      <c r="N1720" t="s">
        <v>1887</v>
      </c>
    </row>
    <row r="1721" spans="1:14" x14ac:dyDescent="0.35">
      <c r="A1721" t="s">
        <v>3645</v>
      </c>
      <c r="B1721" t="s">
        <v>1903</v>
      </c>
      <c r="C1721" t="s">
        <v>301</v>
      </c>
      <c r="D1721" t="s">
        <v>1927</v>
      </c>
      <c r="E1721" t="s">
        <v>1678</v>
      </c>
      <c r="F1721" t="s">
        <v>1946</v>
      </c>
      <c r="G1721">
        <v>57862</v>
      </c>
      <c r="H1721" s="1">
        <v>45320</v>
      </c>
      <c r="I1721" s="1"/>
      <c r="K1721">
        <v>3.6</v>
      </c>
      <c r="L1721" t="s">
        <v>30</v>
      </c>
      <c r="M1721" t="s">
        <v>1916</v>
      </c>
      <c r="N1721" t="s">
        <v>1887</v>
      </c>
    </row>
    <row r="1722" spans="1:14" x14ac:dyDescent="0.35">
      <c r="A1722" t="s">
        <v>3646</v>
      </c>
      <c r="B1722" t="s">
        <v>1963</v>
      </c>
      <c r="C1722" t="s">
        <v>374</v>
      </c>
      <c r="D1722" t="s">
        <v>1883</v>
      </c>
      <c r="E1722" t="s">
        <v>1918</v>
      </c>
      <c r="F1722" t="s">
        <v>1908</v>
      </c>
      <c r="G1722">
        <v>17274</v>
      </c>
      <c r="H1722" s="1">
        <v>44943</v>
      </c>
      <c r="I1722" s="1"/>
      <c r="L1722" t="s">
        <v>47</v>
      </c>
      <c r="M1722" t="s">
        <v>1896</v>
      </c>
      <c r="N1722" t="s">
        <v>1887</v>
      </c>
    </row>
    <row r="1723" spans="1:14" x14ac:dyDescent="0.35">
      <c r="A1723" t="s">
        <v>3647</v>
      </c>
      <c r="B1723" t="s">
        <v>1944</v>
      </c>
      <c r="C1723" t="s">
        <v>86</v>
      </c>
      <c r="D1723" t="s">
        <v>1899</v>
      </c>
      <c r="E1723" t="s">
        <v>1918</v>
      </c>
      <c r="F1723" t="s">
        <v>1895</v>
      </c>
      <c r="G1723">
        <v>285905</v>
      </c>
      <c r="H1723" s="1">
        <v>45150</v>
      </c>
      <c r="I1723" s="1"/>
      <c r="K1723">
        <v>14.9</v>
      </c>
      <c r="L1723" t="s">
        <v>30</v>
      </c>
      <c r="M1723" t="s">
        <v>1932</v>
      </c>
      <c r="N1723" t="s">
        <v>1887</v>
      </c>
    </row>
    <row r="1724" spans="1:14" x14ac:dyDescent="0.35">
      <c r="A1724" t="s">
        <v>3648</v>
      </c>
      <c r="B1724" t="s">
        <v>1934</v>
      </c>
      <c r="C1724" t="s">
        <v>301</v>
      </c>
      <c r="D1724" t="s">
        <v>1890</v>
      </c>
      <c r="E1724" t="s">
        <v>1891</v>
      </c>
      <c r="F1724" t="s">
        <v>1900</v>
      </c>
      <c r="G1724">
        <v>300964</v>
      </c>
      <c r="H1724" s="1">
        <v>45444</v>
      </c>
      <c r="I1724" s="1">
        <v>45613</v>
      </c>
      <c r="J1724">
        <v>169</v>
      </c>
      <c r="K1724">
        <v>20.399999999999999</v>
      </c>
      <c r="L1724" t="s">
        <v>47</v>
      </c>
      <c r="M1724" t="s">
        <v>1935</v>
      </c>
      <c r="N1724" t="s">
        <v>1887</v>
      </c>
    </row>
    <row r="1725" spans="1:14" x14ac:dyDescent="0.35">
      <c r="A1725" t="s">
        <v>3649</v>
      </c>
      <c r="B1725" t="s">
        <v>1924</v>
      </c>
      <c r="C1725" t="s">
        <v>190</v>
      </c>
      <c r="D1725" t="s">
        <v>1883</v>
      </c>
      <c r="E1725" t="s">
        <v>1600</v>
      </c>
      <c r="F1725" t="s">
        <v>1946</v>
      </c>
      <c r="G1725">
        <v>181602</v>
      </c>
      <c r="H1725" s="1">
        <v>44984</v>
      </c>
      <c r="I1725" s="1"/>
      <c r="L1725" t="s">
        <v>47</v>
      </c>
      <c r="M1725" t="s">
        <v>1896</v>
      </c>
      <c r="N1725" t="s">
        <v>1887</v>
      </c>
    </row>
    <row r="1726" spans="1:14" x14ac:dyDescent="0.35">
      <c r="A1726" t="s">
        <v>3650</v>
      </c>
      <c r="B1726" t="s">
        <v>1937</v>
      </c>
      <c r="C1726" t="s">
        <v>74</v>
      </c>
      <c r="D1726" t="s">
        <v>1883</v>
      </c>
      <c r="E1726" t="s">
        <v>1587</v>
      </c>
      <c r="F1726" t="s">
        <v>1946</v>
      </c>
      <c r="G1726">
        <v>476786</v>
      </c>
      <c r="H1726" s="1">
        <v>45234</v>
      </c>
      <c r="I1726" s="1"/>
      <c r="L1726" t="s">
        <v>21</v>
      </c>
      <c r="M1726" t="s">
        <v>1886</v>
      </c>
      <c r="N1726" t="s">
        <v>1887</v>
      </c>
    </row>
    <row r="1727" spans="1:14" x14ac:dyDescent="0.35">
      <c r="A1727" t="s">
        <v>3651</v>
      </c>
      <c r="B1727" t="s">
        <v>1920</v>
      </c>
      <c r="C1727" t="s">
        <v>442</v>
      </c>
      <c r="D1727" t="s">
        <v>1899</v>
      </c>
      <c r="E1727" t="s">
        <v>1678</v>
      </c>
      <c r="F1727" t="s">
        <v>1900</v>
      </c>
      <c r="G1727">
        <v>76484</v>
      </c>
      <c r="H1727" s="1">
        <v>45700</v>
      </c>
      <c r="I1727" s="1">
        <v>45852</v>
      </c>
      <c r="J1727">
        <v>152</v>
      </c>
      <c r="K1727">
        <v>2.6</v>
      </c>
      <c r="L1727" t="s">
        <v>15</v>
      </c>
      <c r="M1727" t="s">
        <v>1912</v>
      </c>
      <c r="N1727" t="s">
        <v>1887</v>
      </c>
    </row>
    <row r="1728" spans="1:14" x14ac:dyDescent="0.35">
      <c r="A1728" t="s">
        <v>3652</v>
      </c>
      <c r="B1728" t="s">
        <v>1930</v>
      </c>
      <c r="C1728" t="s">
        <v>471</v>
      </c>
      <c r="D1728" t="s">
        <v>1890</v>
      </c>
      <c r="E1728" t="s">
        <v>1905</v>
      </c>
      <c r="F1728" t="s">
        <v>1900</v>
      </c>
      <c r="G1728">
        <v>157447</v>
      </c>
      <c r="H1728" s="1">
        <v>45182</v>
      </c>
      <c r="I1728" s="1">
        <v>45226</v>
      </c>
      <c r="J1728">
        <v>44</v>
      </c>
      <c r="K1728">
        <v>3.7</v>
      </c>
      <c r="L1728" t="s">
        <v>30</v>
      </c>
      <c r="M1728" t="s">
        <v>1932</v>
      </c>
      <c r="N1728" t="s">
        <v>1887</v>
      </c>
    </row>
    <row r="1729" spans="1:14" x14ac:dyDescent="0.35">
      <c r="A1729" t="s">
        <v>3653</v>
      </c>
      <c r="B1729" t="s">
        <v>1882</v>
      </c>
      <c r="C1729" t="s">
        <v>498</v>
      </c>
      <c r="D1729" t="s">
        <v>1883</v>
      </c>
      <c r="E1729" t="s">
        <v>1905</v>
      </c>
      <c r="F1729" t="s">
        <v>1885</v>
      </c>
      <c r="G1729">
        <v>175594</v>
      </c>
      <c r="H1729" s="1">
        <v>44996</v>
      </c>
      <c r="I1729" s="1">
        <v>45155</v>
      </c>
      <c r="J1729">
        <v>159</v>
      </c>
      <c r="L1729" t="s">
        <v>30</v>
      </c>
      <c r="M1729" t="s">
        <v>1896</v>
      </c>
      <c r="N1729" t="s">
        <v>1887</v>
      </c>
    </row>
    <row r="1730" spans="1:14" x14ac:dyDescent="0.35">
      <c r="A1730" t="s">
        <v>3654</v>
      </c>
      <c r="B1730" t="s">
        <v>1920</v>
      </c>
      <c r="C1730" t="s">
        <v>477</v>
      </c>
      <c r="D1730" t="s">
        <v>1927</v>
      </c>
      <c r="E1730" t="s">
        <v>1945</v>
      </c>
      <c r="F1730" t="s">
        <v>1892</v>
      </c>
      <c r="G1730">
        <v>148935</v>
      </c>
      <c r="H1730" s="1">
        <v>45236</v>
      </c>
      <c r="I1730" s="1"/>
      <c r="L1730" t="s">
        <v>47</v>
      </c>
      <c r="M1730" t="s">
        <v>1886</v>
      </c>
      <c r="N1730" t="s">
        <v>1887</v>
      </c>
    </row>
    <row r="1731" spans="1:14" x14ac:dyDescent="0.35">
      <c r="A1731" t="s">
        <v>3655</v>
      </c>
      <c r="B1731" t="s">
        <v>1930</v>
      </c>
      <c r="C1731" t="s">
        <v>167</v>
      </c>
      <c r="D1731" t="s">
        <v>1899</v>
      </c>
      <c r="E1731" t="s">
        <v>1931</v>
      </c>
      <c r="F1731" t="s">
        <v>1900</v>
      </c>
      <c r="G1731">
        <v>196782</v>
      </c>
      <c r="H1731" s="1">
        <v>45288</v>
      </c>
      <c r="I1731" s="1">
        <v>45348</v>
      </c>
      <c r="J1731">
        <v>60</v>
      </c>
      <c r="K1731">
        <v>4.7</v>
      </c>
      <c r="L1731" t="s">
        <v>21</v>
      </c>
      <c r="M1731" t="s">
        <v>1886</v>
      </c>
      <c r="N1731" t="s">
        <v>1887</v>
      </c>
    </row>
    <row r="1732" spans="1:14" x14ac:dyDescent="0.35">
      <c r="A1732" t="s">
        <v>3656</v>
      </c>
      <c r="B1732" t="s">
        <v>1934</v>
      </c>
      <c r="C1732" t="s">
        <v>138</v>
      </c>
      <c r="D1732" t="s">
        <v>1927</v>
      </c>
      <c r="E1732" t="s">
        <v>1884</v>
      </c>
      <c r="F1732" t="s">
        <v>1895</v>
      </c>
      <c r="G1732">
        <v>442469</v>
      </c>
      <c r="H1732" s="1">
        <v>44927</v>
      </c>
      <c r="I1732" s="1"/>
      <c r="K1732">
        <v>1.2</v>
      </c>
      <c r="L1732" t="s">
        <v>21</v>
      </c>
      <c r="M1732" t="s">
        <v>1896</v>
      </c>
      <c r="N1732" t="s">
        <v>1887</v>
      </c>
    </row>
    <row r="1733" spans="1:14" x14ac:dyDescent="0.35">
      <c r="A1733" t="s">
        <v>3657</v>
      </c>
      <c r="B1733" t="s">
        <v>1914</v>
      </c>
      <c r="C1733" t="s">
        <v>425</v>
      </c>
      <c r="D1733" t="s">
        <v>1890</v>
      </c>
      <c r="E1733" t="s">
        <v>1678</v>
      </c>
      <c r="F1733" t="s">
        <v>1908</v>
      </c>
      <c r="G1733">
        <v>139013</v>
      </c>
      <c r="H1733" s="1">
        <v>45130</v>
      </c>
      <c r="I1733" s="1"/>
      <c r="L1733" t="s">
        <v>21</v>
      </c>
      <c r="M1733" t="s">
        <v>1932</v>
      </c>
      <c r="N1733" t="s">
        <v>1887</v>
      </c>
    </row>
    <row r="1734" spans="1:14" x14ac:dyDescent="0.35">
      <c r="A1734" t="s">
        <v>3658</v>
      </c>
      <c r="B1734" t="s">
        <v>1934</v>
      </c>
      <c r="C1734" t="s">
        <v>110</v>
      </c>
      <c r="D1734" t="s">
        <v>1890</v>
      </c>
      <c r="E1734" t="s">
        <v>1587</v>
      </c>
      <c r="F1734" t="s">
        <v>1900</v>
      </c>
      <c r="G1734">
        <v>122521</v>
      </c>
      <c r="H1734" s="1">
        <v>45509</v>
      </c>
      <c r="I1734" s="1">
        <v>45676</v>
      </c>
      <c r="J1734">
        <v>167</v>
      </c>
      <c r="K1734">
        <v>19.5</v>
      </c>
      <c r="L1734" t="s">
        <v>30</v>
      </c>
      <c r="M1734" t="s">
        <v>1953</v>
      </c>
      <c r="N1734" t="s">
        <v>1887</v>
      </c>
    </row>
    <row r="1735" spans="1:14" x14ac:dyDescent="0.35">
      <c r="A1735" t="s">
        <v>3659</v>
      </c>
      <c r="B1735" t="s">
        <v>1889</v>
      </c>
      <c r="C1735" t="s">
        <v>390</v>
      </c>
      <c r="D1735" t="s">
        <v>1915</v>
      </c>
      <c r="E1735" t="s">
        <v>1884</v>
      </c>
      <c r="F1735" t="s">
        <v>1908</v>
      </c>
      <c r="G1735">
        <v>61246</v>
      </c>
      <c r="H1735" s="1">
        <v>45232</v>
      </c>
      <c r="I1735" s="1"/>
      <c r="K1735">
        <v>0.2</v>
      </c>
      <c r="L1735" t="s">
        <v>15</v>
      </c>
      <c r="M1735" t="s">
        <v>1886</v>
      </c>
      <c r="N1735" t="s">
        <v>1887</v>
      </c>
    </row>
    <row r="1736" spans="1:14" x14ac:dyDescent="0.35">
      <c r="A1736" t="s">
        <v>3660</v>
      </c>
      <c r="B1736" t="s">
        <v>1922</v>
      </c>
      <c r="C1736" t="s">
        <v>258</v>
      </c>
      <c r="D1736" t="s">
        <v>1904</v>
      </c>
      <c r="E1736" t="s">
        <v>1678</v>
      </c>
      <c r="F1736" t="s">
        <v>1900</v>
      </c>
      <c r="G1736">
        <v>320540</v>
      </c>
      <c r="H1736" s="1">
        <v>45349</v>
      </c>
      <c r="I1736" s="1">
        <v>45493</v>
      </c>
      <c r="J1736">
        <v>144</v>
      </c>
      <c r="K1736">
        <v>5.5</v>
      </c>
      <c r="L1736" t="s">
        <v>21</v>
      </c>
      <c r="M1736" t="s">
        <v>1916</v>
      </c>
      <c r="N1736" t="s">
        <v>1887</v>
      </c>
    </row>
    <row r="1737" spans="1:14" x14ac:dyDescent="0.35">
      <c r="A1737" t="s">
        <v>3661</v>
      </c>
      <c r="B1737" t="s">
        <v>1937</v>
      </c>
      <c r="C1737" t="s">
        <v>373</v>
      </c>
      <c r="D1737" t="s">
        <v>1904</v>
      </c>
      <c r="E1737" t="s">
        <v>1600</v>
      </c>
      <c r="F1737" t="s">
        <v>1892</v>
      </c>
      <c r="G1737">
        <v>91741</v>
      </c>
      <c r="H1737" s="1">
        <v>45174</v>
      </c>
      <c r="I1737" s="1"/>
      <c r="K1737">
        <v>12.9</v>
      </c>
      <c r="L1737" t="s">
        <v>21</v>
      </c>
      <c r="M1737" t="s">
        <v>1932</v>
      </c>
      <c r="N1737" t="s">
        <v>1887</v>
      </c>
    </row>
    <row r="1738" spans="1:14" x14ac:dyDescent="0.35">
      <c r="A1738" t="s">
        <v>3662</v>
      </c>
      <c r="B1738" t="s">
        <v>1934</v>
      </c>
      <c r="C1738" t="s">
        <v>330</v>
      </c>
      <c r="D1738" t="s">
        <v>1890</v>
      </c>
      <c r="E1738" t="s">
        <v>1905</v>
      </c>
      <c r="F1738" t="s">
        <v>1908</v>
      </c>
      <c r="G1738">
        <v>264036</v>
      </c>
      <c r="H1738" s="1">
        <v>45554</v>
      </c>
      <c r="I1738" s="1"/>
      <c r="K1738">
        <v>11.9</v>
      </c>
      <c r="L1738" t="s">
        <v>30</v>
      </c>
      <c r="M1738" t="s">
        <v>1953</v>
      </c>
      <c r="N1738" t="s">
        <v>1887</v>
      </c>
    </row>
    <row r="1739" spans="1:14" x14ac:dyDescent="0.35">
      <c r="A1739" t="s">
        <v>3663</v>
      </c>
      <c r="B1739" t="s">
        <v>1924</v>
      </c>
      <c r="C1739" t="s">
        <v>472</v>
      </c>
      <c r="D1739" t="s">
        <v>1904</v>
      </c>
      <c r="E1739" t="s">
        <v>1931</v>
      </c>
      <c r="F1739" t="s">
        <v>1892</v>
      </c>
      <c r="G1739">
        <v>155604</v>
      </c>
      <c r="H1739" s="1">
        <v>45086</v>
      </c>
      <c r="I1739" s="1"/>
      <c r="K1739">
        <v>7.9</v>
      </c>
      <c r="L1739" t="s">
        <v>21</v>
      </c>
      <c r="M1739" t="s">
        <v>1893</v>
      </c>
      <c r="N1739" t="s">
        <v>1887</v>
      </c>
    </row>
    <row r="1740" spans="1:14" x14ac:dyDescent="0.35">
      <c r="A1740" t="s">
        <v>3664</v>
      </c>
      <c r="B1740" t="s">
        <v>1882</v>
      </c>
      <c r="C1740" t="s">
        <v>210</v>
      </c>
      <c r="D1740" t="s">
        <v>1899</v>
      </c>
      <c r="E1740" t="s">
        <v>1905</v>
      </c>
      <c r="F1740" t="s">
        <v>1908</v>
      </c>
      <c r="G1740">
        <v>321096</v>
      </c>
      <c r="H1740" s="1">
        <v>45465</v>
      </c>
      <c r="I1740" s="1"/>
      <c r="K1740">
        <v>1.1000000000000001</v>
      </c>
      <c r="L1740" t="s">
        <v>15</v>
      </c>
      <c r="M1740" t="s">
        <v>1935</v>
      </c>
      <c r="N1740" t="s">
        <v>1887</v>
      </c>
    </row>
    <row r="1741" spans="1:14" x14ac:dyDescent="0.35">
      <c r="A1741" t="s">
        <v>3665</v>
      </c>
      <c r="B1741" t="s">
        <v>1934</v>
      </c>
      <c r="C1741" t="s">
        <v>266</v>
      </c>
      <c r="D1741" t="s">
        <v>1883</v>
      </c>
      <c r="E1741" t="s">
        <v>1918</v>
      </c>
      <c r="F1741" t="s">
        <v>1908</v>
      </c>
      <c r="G1741">
        <v>323038</v>
      </c>
      <c r="H1741" s="1">
        <v>45118</v>
      </c>
      <c r="I1741" s="1"/>
      <c r="L1741" t="s">
        <v>15</v>
      </c>
      <c r="M1741" t="s">
        <v>1932</v>
      </c>
      <c r="N1741" t="s">
        <v>1887</v>
      </c>
    </row>
    <row r="1742" spans="1:14" x14ac:dyDescent="0.35">
      <c r="A1742" t="s">
        <v>3666</v>
      </c>
      <c r="B1742" t="s">
        <v>1911</v>
      </c>
      <c r="C1742" t="s">
        <v>18</v>
      </c>
      <c r="D1742" t="s">
        <v>1890</v>
      </c>
      <c r="E1742" t="s">
        <v>1884</v>
      </c>
      <c r="F1742" t="s">
        <v>1900</v>
      </c>
      <c r="G1742">
        <v>445143</v>
      </c>
      <c r="H1742" s="1">
        <v>45350</v>
      </c>
      <c r="I1742" s="1">
        <v>45392</v>
      </c>
      <c r="J1742">
        <v>42</v>
      </c>
      <c r="K1742">
        <v>11.2</v>
      </c>
      <c r="L1742" t="s">
        <v>15</v>
      </c>
      <c r="M1742" t="s">
        <v>1916</v>
      </c>
      <c r="N1742" t="s">
        <v>1887</v>
      </c>
    </row>
    <row r="1743" spans="1:14" x14ac:dyDescent="0.35">
      <c r="A1743" t="s">
        <v>3667</v>
      </c>
      <c r="B1743" t="s">
        <v>1882</v>
      </c>
      <c r="C1743" t="s">
        <v>484</v>
      </c>
      <c r="D1743" t="s">
        <v>1915</v>
      </c>
      <c r="E1743" t="s">
        <v>1931</v>
      </c>
      <c r="F1743" t="s">
        <v>1892</v>
      </c>
      <c r="G1743">
        <v>420677</v>
      </c>
      <c r="H1743" s="1">
        <v>44931</v>
      </c>
      <c r="I1743" s="1"/>
      <c r="L1743" t="s">
        <v>30</v>
      </c>
      <c r="M1743" t="s">
        <v>1896</v>
      </c>
      <c r="N1743" t="s">
        <v>1887</v>
      </c>
    </row>
    <row r="1744" spans="1:14" x14ac:dyDescent="0.35">
      <c r="A1744" t="s">
        <v>3668</v>
      </c>
      <c r="B1744" t="s">
        <v>1934</v>
      </c>
      <c r="C1744" t="s">
        <v>152</v>
      </c>
      <c r="D1744" t="s">
        <v>1915</v>
      </c>
      <c r="E1744" t="s">
        <v>1587</v>
      </c>
      <c r="F1744" t="s">
        <v>1946</v>
      </c>
      <c r="G1744">
        <v>83315</v>
      </c>
      <c r="H1744" s="1">
        <v>44936</v>
      </c>
      <c r="I1744" s="1"/>
      <c r="L1744" t="s">
        <v>21</v>
      </c>
      <c r="M1744" t="s">
        <v>1896</v>
      </c>
      <c r="N1744" t="s">
        <v>1887</v>
      </c>
    </row>
    <row r="1745" spans="1:14" x14ac:dyDescent="0.35">
      <c r="A1745" t="s">
        <v>3669</v>
      </c>
      <c r="B1745" t="s">
        <v>1934</v>
      </c>
      <c r="C1745" t="s">
        <v>216</v>
      </c>
      <c r="D1745" t="s">
        <v>1899</v>
      </c>
      <c r="E1745" t="s">
        <v>1587</v>
      </c>
      <c r="F1745" t="s">
        <v>1895</v>
      </c>
      <c r="G1745">
        <v>127137</v>
      </c>
      <c r="H1745" s="1">
        <v>45626</v>
      </c>
      <c r="I1745" s="1"/>
      <c r="K1745">
        <v>8.8000000000000007</v>
      </c>
      <c r="L1745" t="s">
        <v>30</v>
      </c>
      <c r="M1745" t="s">
        <v>1901</v>
      </c>
      <c r="N1745" t="s">
        <v>1887</v>
      </c>
    </row>
    <row r="1746" spans="1:14" x14ac:dyDescent="0.35">
      <c r="A1746" t="s">
        <v>3670</v>
      </c>
      <c r="B1746" t="s">
        <v>1898</v>
      </c>
      <c r="C1746" t="s">
        <v>453</v>
      </c>
      <c r="D1746" t="s">
        <v>1927</v>
      </c>
      <c r="E1746" t="s">
        <v>1600</v>
      </c>
      <c r="F1746" t="s">
        <v>1885</v>
      </c>
      <c r="G1746">
        <v>179417</v>
      </c>
      <c r="H1746" s="1">
        <v>45356</v>
      </c>
      <c r="I1746" s="1">
        <v>45525</v>
      </c>
      <c r="J1746">
        <v>169</v>
      </c>
      <c r="L1746" t="s">
        <v>21</v>
      </c>
      <c r="M1746" t="s">
        <v>1916</v>
      </c>
      <c r="N1746" t="s">
        <v>1887</v>
      </c>
    </row>
    <row r="1747" spans="1:14" x14ac:dyDescent="0.35">
      <c r="A1747" t="s">
        <v>3671</v>
      </c>
      <c r="B1747" t="s">
        <v>1889</v>
      </c>
      <c r="C1747" t="s">
        <v>277</v>
      </c>
      <c r="D1747" t="s">
        <v>1899</v>
      </c>
      <c r="E1747" t="s">
        <v>1891</v>
      </c>
      <c r="F1747" t="s">
        <v>1892</v>
      </c>
      <c r="G1747">
        <v>466903</v>
      </c>
      <c r="H1747" s="1">
        <v>45221</v>
      </c>
      <c r="I1747" s="1"/>
      <c r="K1747">
        <v>1.1000000000000001</v>
      </c>
      <c r="L1747" t="s">
        <v>21</v>
      </c>
      <c r="M1747" t="s">
        <v>1886</v>
      </c>
      <c r="N1747" t="s">
        <v>1887</v>
      </c>
    </row>
    <row r="1748" spans="1:14" x14ac:dyDescent="0.35">
      <c r="A1748" t="s">
        <v>3672</v>
      </c>
      <c r="B1748" t="s">
        <v>1898</v>
      </c>
      <c r="C1748" t="s">
        <v>456</v>
      </c>
      <c r="D1748" t="s">
        <v>1927</v>
      </c>
      <c r="E1748" t="s">
        <v>1905</v>
      </c>
      <c r="F1748" t="s">
        <v>1900</v>
      </c>
      <c r="G1748">
        <v>199142</v>
      </c>
      <c r="H1748" s="1">
        <v>45437</v>
      </c>
      <c r="I1748" s="1">
        <v>45496</v>
      </c>
      <c r="J1748">
        <v>59</v>
      </c>
      <c r="K1748">
        <v>23.9</v>
      </c>
      <c r="L1748" t="s">
        <v>15</v>
      </c>
      <c r="M1748" t="s">
        <v>1935</v>
      </c>
      <c r="N1748" t="s">
        <v>1887</v>
      </c>
    </row>
    <row r="1749" spans="1:14" x14ac:dyDescent="0.35">
      <c r="A1749" t="s">
        <v>3673</v>
      </c>
      <c r="B1749" t="s">
        <v>1934</v>
      </c>
      <c r="C1749" t="s">
        <v>447</v>
      </c>
      <c r="D1749" t="s">
        <v>1904</v>
      </c>
      <c r="E1749" t="s">
        <v>1678</v>
      </c>
      <c r="F1749" t="s">
        <v>1946</v>
      </c>
      <c r="G1749">
        <v>398007</v>
      </c>
      <c r="H1749" s="1">
        <v>45641</v>
      </c>
      <c r="I1749" s="1"/>
      <c r="L1749" t="s">
        <v>21</v>
      </c>
      <c r="M1749" t="s">
        <v>1901</v>
      </c>
      <c r="N1749" t="s">
        <v>1887</v>
      </c>
    </row>
    <row r="1750" spans="1:14" x14ac:dyDescent="0.35">
      <c r="A1750" t="s">
        <v>3674</v>
      </c>
      <c r="B1750" t="s">
        <v>1889</v>
      </c>
      <c r="C1750" t="s">
        <v>169</v>
      </c>
      <c r="D1750" t="s">
        <v>1904</v>
      </c>
      <c r="E1750" t="s">
        <v>1905</v>
      </c>
      <c r="F1750" t="s">
        <v>1885</v>
      </c>
      <c r="G1750">
        <v>394050</v>
      </c>
      <c r="H1750" s="1">
        <v>45574</v>
      </c>
      <c r="I1750" s="1">
        <v>45628</v>
      </c>
      <c r="J1750">
        <v>54</v>
      </c>
      <c r="K1750">
        <v>4.8</v>
      </c>
      <c r="L1750" t="s">
        <v>21</v>
      </c>
      <c r="M1750" t="s">
        <v>1901</v>
      </c>
      <c r="N1750" t="s">
        <v>1887</v>
      </c>
    </row>
    <row r="1751" spans="1:14" x14ac:dyDescent="0.35">
      <c r="A1751" t="s">
        <v>3675</v>
      </c>
      <c r="B1751" t="s">
        <v>1937</v>
      </c>
      <c r="C1751" t="s">
        <v>309</v>
      </c>
      <c r="D1751" t="s">
        <v>1915</v>
      </c>
      <c r="E1751" t="s">
        <v>1678</v>
      </c>
      <c r="F1751" t="s">
        <v>1885</v>
      </c>
      <c r="G1751">
        <v>387457</v>
      </c>
      <c r="H1751" s="1">
        <v>45619</v>
      </c>
      <c r="I1751" s="1">
        <v>45703</v>
      </c>
      <c r="J1751">
        <v>84</v>
      </c>
      <c r="K1751">
        <v>9.1999999999999993</v>
      </c>
      <c r="L1751" t="s">
        <v>15</v>
      </c>
      <c r="M1751" t="s">
        <v>1901</v>
      </c>
      <c r="N1751" t="s">
        <v>1887</v>
      </c>
    </row>
    <row r="1752" spans="1:14" x14ac:dyDescent="0.35">
      <c r="A1752" t="s">
        <v>3676</v>
      </c>
      <c r="B1752" t="s">
        <v>1930</v>
      </c>
      <c r="C1752" t="s">
        <v>220</v>
      </c>
      <c r="D1752" t="s">
        <v>1927</v>
      </c>
      <c r="E1752" t="s">
        <v>1918</v>
      </c>
      <c r="F1752" t="s">
        <v>1908</v>
      </c>
      <c r="G1752">
        <v>331847</v>
      </c>
      <c r="H1752" s="1">
        <v>45539</v>
      </c>
      <c r="I1752" s="1"/>
      <c r="L1752" t="s">
        <v>30</v>
      </c>
      <c r="M1752" t="s">
        <v>1953</v>
      </c>
      <c r="N1752" t="s">
        <v>1887</v>
      </c>
    </row>
    <row r="1753" spans="1:14" x14ac:dyDescent="0.35">
      <c r="A1753" t="s">
        <v>3677</v>
      </c>
      <c r="B1753" t="s">
        <v>1937</v>
      </c>
      <c r="C1753" t="s">
        <v>264</v>
      </c>
      <c r="D1753" t="s">
        <v>1890</v>
      </c>
      <c r="E1753" t="s">
        <v>1587</v>
      </c>
      <c r="F1753" t="s">
        <v>1908</v>
      </c>
      <c r="G1753">
        <v>80912</v>
      </c>
      <c r="H1753" s="1">
        <v>45195</v>
      </c>
      <c r="I1753" s="1"/>
      <c r="K1753">
        <v>5.0999999999999996</v>
      </c>
      <c r="L1753" t="s">
        <v>30</v>
      </c>
      <c r="M1753" t="s">
        <v>1932</v>
      </c>
      <c r="N1753" t="s">
        <v>1887</v>
      </c>
    </row>
    <row r="1754" spans="1:14" x14ac:dyDescent="0.35">
      <c r="A1754" t="s">
        <v>3678</v>
      </c>
      <c r="B1754" t="s">
        <v>1903</v>
      </c>
      <c r="C1754" t="s">
        <v>389</v>
      </c>
      <c r="D1754" t="s">
        <v>1883</v>
      </c>
      <c r="E1754" t="s">
        <v>1884</v>
      </c>
      <c r="F1754" t="s">
        <v>1900</v>
      </c>
      <c r="G1754">
        <v>362912</v>
      </c>
      <c r="H1754" s="1">
        <v>45569</v>
      </c>
      <c r="I1754" s="1">
        <v>45587</v>
      </c>
      <c r="J1754">
        <v>18</v>
      </c>
      <c r="K1754">
        <v>15.9</v>
      </c>
      <c r="L1754" t="s">
        <v>47</v>
      </c>
      <c r="M1754" t="s">
        <v>1901</v>
      </c>
      <c r="N1754" t="s">
        <v>1887</v>
      </c>
    </row>
    <row r="1755" spans="1:14" x14ac:dyDescent="0.35">
      <c r="A1755" t="s">
        <v>3679</v>
      </c>
      <c r="B1755" t="s">
        <v>1889</v>
      </c>
      <c r="C1755" t="s">
        <v>357</v>
      </c>
      <c r="D1755" t="s">
        <v>1915</v>
      </c>
      <c r="E1755" t="s">
        <v>1891</v>
      </c>
      <c r="F1755" t="s">
        <v>1946</v>
      </c>
      <c r="G1755">
        <v>244504</v>
      </c>
      <c r="H1755" s="1">
        <v>45630</v>
      </c>
      <c r="I1755" s="1"/>
      <c r="K1755">
        <v>4</v>
      </c>
      <c r="L1755" t="s">
        <v>47</v>
      </c>
      <c r="M1755" t="s">
        <v>1901</v>
      </c>
      <c r="N1755" t="s">
        <v>1887</v>
      </c>
    </row>
    <row r="1756" spans="1:14" x14ac:dyDescent="0.35">
      <c r="A1756" t="s">
        <v>3680</v>
      </c>
      <c r="B1756" t="s">
        <v>1926</v>
      </c>
      <c r="C1756" t="s">
        <v>152</v>
      </c>
      <c r="D1756" t="s">
        <v>1904</v>
      </c>
      <c r="E1756" t="s">
        <v>1931</v>
      </c>
      <c r="F1756" t="s">
        <v>1895</v>
      </c>
      <c r="G1756">
        <v>138080</v>
      </c>
      <c r="H1756" s="1">
        <v>45611</v>
      </c>
      <c r="I1756" s="1"/>
      <c r="K1756">
        <v>14</v>
      </c>
      <c r="L1756" t="s">
        <v>15</v>
      </c>
      <c r="M1756" t="s">
        <v>1901</v>
      </c>
      <c r="N1756" t="s">
        <v>1887</v>
      </c>
    </row>
    <row r="1757" spans="1:14" x14ac:dyDescent="0.35">
      <c r="A1757" t="s">
        <v>3681</v>
      </c>
      <c r="B1757" t="s">
        <v>1944</v>
      </c>
      <c r="C1757" t="s">
        <v>342</v>
      </c>
      <c r="D1757" t="s">
        <v>1927</v>
      </c>
      <c r="E1757" t="s">
        <v>1891</v>
      </c>
      <c r="F1757" t="s">
        <v>1885</v>
      </c>
      <c r="G1757">
        <v>145310</v>
      </c>
      <c r="H1757" s="1">
        <v>45488</v>
      </c>
      <c r="I1757" s="1">
        <v>45587</v>
      </c>
      <c r="J1757">
        <v>99</v>
      </c>
      <c r="L1757" t="s">
        <v>21</v>
      </c>
      <c r="M1757" t="s">
        <v>1953</v>
      </c>
      <c r="N1757" t="s">
        <v>1887</v>
      </c>
    </row>
    <row r="1758" spans="1:14" x14ac:dyDescent="0.35">
      <c r="A1758" t="s">
        <v>3682</v>
      </c>
      <c r="B1758" t="s">
        <v>1920</v>
      </c>
      <c r="C1758" t="s">
        <v>490</v>
      </c>
      <c r="D1758" t="s">
        <v>1890</v>
      </c>
      <c r="E1758" t="s">
        <v>1600</v>
      </c>
      <c r="F1758" t="s">
        <v>1900</v>
      </c>
      <c r="G1758">
        <v>427257</v>
      </c>
      <c r="H1758" s="1">
        <v>45248</v>
      </c>
      <c r="I1758" s="1">
        <v>45293</v>
      </c>
      <c r="J1758">
        <v>45</v>
      </c>
      <c r="K1758">
        <v>10.5</v>
      </c>
      <c r="L1758" t="s">
        <v>15</v>
      </c>
      <c r="M1758" t="s">
        <v>1886</v>
      </c>
      <c r="N1758" t="s">
        <v>1887</v>
      </c>
    </row>
    <row r="1759" spans="1:14" x14ac:dyDescent="0.35">
      <c r="A1759" t="s">
        <v>3683</v>
      </c>
      <c r="B1759" t="s">
        <v>1926</v>
      </c>
      <c r="C1759" t="s">
        <v>289</v>
      </c>
      <c r="D1759" t="s">
        <v>1904</v>
      </c>
      <c r="E1759" t="s">
        <v>1891</v>
      </c>
      <c r="F1759" t="s">
        <v>1895</v>
      </c>
      <c r="G1759">
        <v>356660</v>
      </c>
      <c r="H1759" s="1">
        <v>45681</v>
      </c>
      <c r="I1759" s="1"/>
      <c r="L1759" t="s">
        <v>30</v>
      </c>
      <c r="M1759" t="s">
        <v>1912</v>
      </c>
      <c r="N1759" t="s">
        <v>1887</v>
      </c>
    </row>
    <row r="1760" spans="1:14" x14ac:dyDescent="0.35">
      <c r="A1760" t="s">
        <v>3684</v>
      </c>
      <c r="B1760" t="s">
        <v>1922</v>
      </c>
      <c r="C1760" t="s">
        <v>191</v>
      </c>
      <c r="D1760" t="s">
        <v>1899</v>
      </c>
      <c r="E1760" t="s">
        <v>1945</v>
      </c>
      <c r="F1760" t="s">
        <v>1946</v>
      </c>
      <c r="G1760">
        <v>250852</v>
      </c>
      <c r="H1760" s="1">
        <v>45107</v>
      </c>
      <c r="I1760" s="1"/>
      <c r="K1760">
        <v>2.8</v>
      </c>
      <c r="L1760" t="s">
        <v>15</v>
      </c>
      <c r="M1760" t="s">
        <v>1893</v>
      </c>
      <c r="N1760" t="s">
        <v>1887</v>
      </c>
    </row>
    <row r="1761" spans="1:14" x14ac:dyDescent="0.35">
      <c r="A1761" t="s">
        <v>3685</v>
      </c>
      <c r="B1761" t="s">
        <v>1937</v>
      </c>
      <c r="C1761" t="s">
        <v>345</v>
      </c>
      <c r="D1761" t="s">
        <v>1890</v>
      </c>
      <c r="E1761" t="s">
        <v>1884</v>
      </c>
      <c r="F1761" t="s">
        <v>1900</v>
      </c>
      <c r="G1761">
        <v>398854</v>
      </c>
      <c r="H1761" s="1">
        <v>45554</v>
      </c>
      <c r="I1761" s="1">
        <v>45679</v>
      </c>
      <c r="J1761">
        <v>125</v>
      </c>
      <c r="K1761">
        <v>5.0999999999999996</v>
      </c>
      <c r="L1761" t="s">
        <v>30</v>
      </c>
      <c r="M1761" t="s">
        <v>1953</v>
      </c>
      <c r="N1761" t="s">
        <v>1887</v>
      </c>
    </row>
    <row r="1762" spans="1:14" x14ac:dyDescent="0.35">
      <c r="A1762" t="s">
        <v>3686</v>
      </c>
      <c r="B1762" t="s">
        <v>1924</v>
      </c>
      <c r="C1762" t="s">
        <v>250</v>
      </c>
      <c r="D1762" t="s">
        <v>1883</v>
      </c>
      <c r="E1762" t="s">
        <v>1600</v>
      </c>
      <c r="F1762" t="s">
        <v>1895</v>
      </c>
      <c r="G1762">
        <v>300720</v>
      </c>
      <c r="H1762" s="1">
        <v>45127</v>
      </c>
      <c r="I1762" s="1"/>
      <c r="K1762">
        <v>0.3</v>
      </c>
      <c r="L1762" t="s">
        <v>47</v>
      </c>
      <c r="M1762" t="s">
        <v>1932</v>
      </c>
      <c r="N1762" t="s">
        <v>1887</v>
      </c>
    </row>
    <row r="1763" spans="1:14" x14ac:dyDescent="0.35">
      <c r="A1763" t="s">
        <v>3687</v>
      </c>
      <c r="B1763" t="s">
        <v>1914</v>
      </c>
      <c r="C1763" t="s">
        <v>62</v>
      </c>
      <c r="D1763" t="s">
        <v>1883</v>
      </c>
      <c r="E1763" t="s">
        <v>1905</v>
      </c>
      <c r="F1763" t="s">
        <v>1946</v>
      </c>
      <c r="G1763">
        <v>89528</v>
      </c>
      <c r="H1763" s="1">
        <v>44938</v>
      </c>
      <c r="I1763" s="1"/>
      <c r="K1763">
        <v>2.2999999999999998</v>
      </c>
      <c r="L1763" t="s">
        <v>30</v>
      </c>
      <c r="M1763" t="s">
        <v>1896</v>
      </c>
      <c r="N1763" t="s">
        <v>1887</v>
      </c>
    </row>
    <row r="1764" spans="1:14" x14ac:dyDescent="0.35">
      <c r="A1764" t="s">
        <v>3688</v>
      </c>
      <c r="B1764" t="s">
        <v>1934</v>
      </c>
      <c r="C1764" t="s">
        <v>381</v>
      </c>
      <c r="D1764" t="s">
        <v>1883</v>
      </c>
      <c r="E1764" t="s">
        <v>1600</v>
      </c>
      <c r="F1764" t="s">
        <v>1908</v>
      </c>
      <c r="G1764">
        <v>267344</v>
      </c>
      <c r="H1764" s="1">
        <v>45680</v>
      </c>
      <c r="I1764" s="1"/>
      <c r="K1764">
        <v>12.1</v>
      </c>
      <c r="L1764" t="s">
        <v>15</v>
      </c>
      <c r="M1764" t="s">
        <v>1912</v>
      </c>
      <c r="N1764" t="s">
        <v>1887</v>
      </c>
    </row>
    <row r="1765" spans="1:14" x14ac:dyDescent="0.35">
      <c r="A1765" t="s">
        <v>3689</v>
      </c>
      <c r="B1765" t="s">
        <v>1944</v>
      </c>
      <c r="C1765" t="s">
        <v>387</v>
      </c>
      <c r="D1765" t="s">
        <v>1899</v>
      </c>
      <c r="E1765" t="s">
        <v>1918</v>
      </c>
      <c r="F1765" t="s">
        <v>1908</v>
      </c>
      <c r="G1765">
        <v>228881</v>
      </c>
      <c r="H1765" s="1">
        <v>45473</v>
      </c>
      <c r="I1765" s="1"/>
      <c r="L1765" t="s">
        <v>47</v>
      </c>
      <c r="M1765" t="s">
        <v>1935</v>
      </c>
      <c r="N1765" t="s">
        <v>1887</v>
      </c>
    </row>
    <row r="1766" spans="1:14" x14ac:dyDescent="0.35">
      <c r="A1766" t="s">
        <v>3690</v>
      </c>
      <c r="B1766" t="s">
        <v>1903</v>
      </c>
      <c r="C1766" t="s">
        <v>343</v>
      </c>
      <c r="D1766" t="s">
        <v>1899</v>
      </c>
      <c r="E1766" t="s">
        <v>1587</v>
      </c>
      <c r="F1766" t="s">
        <v>1885</v>
      </c>
      <c r="G1766">
        <v>453089</v>
      </c>
      <c r="H1766" s="1">
        <v>45422</v>
      </c>
      <c r="I1766" s="1">
        <v>45450</v>
      </c>
      <c r="J1766">
        <v>28</v>
      </c>
      <c r="K1766">
        <v>11.7</v>
      </c>
      <c r="L1766" t="s">
        <v>21</v>
      </c>
      <c r="M1766" t="s">
        <v>1935</v>
      </c>
      <c r="N1766" t="s">
        <v>1887</v>
      </c>
    </row>
    <row r="1767" spans="1:14" x14ac:dyDescent="0.35">
      <c r="A1767" t="s">
        <v>3691</v>
      </c>
      <c r="B1767" t="s">
        <v>1926</v>
      </c>
      <c r="C1767" t="s">
        <v>483</v>
      </c>
      <c r="D1767" t="s">
        <v>1883</v>
      </c>
      <c r="E1767" t="s">
        <v>1931</v>
      </c>
      <c r="F1767" t="s">
        <v>1885</v>
      </c>
      <c r="G1767">
        <v>184299</v>
      </c>
      <c r="H1767" s="1">
        <v>45222</v>
      </c>
      <c r="I1767" s="1">
        <v>45279</v>
      </c>
      <c r="J1767">
        <v>57</v>
      </c>
      <c r="K1767">
        <v>1.2</v>
      </c>
      <c r="L1767" t="s">
        <v>21</v>
      </c>
      <c r="M1767" t="s">
        <v>1886</v>
      </c>
      <c r="N1767" t="s">
        <v>1887</v>
      </c>
    </row>
    <row r="1768" spans="1:14" x14ac:dyDescent="0.35">
      <c r="A1768" t="s">
        <v>3692</v>
      </c>
      <c r="B1768" t="s">
        <v>1911</v>
      </c>
      <c r="C1768" t="s">
        <v>482</v>
      </c>
      <c r="D1768" t="s">
        <v>1927</v>
      </c>
      <c r="E1768" t="s">
        <v>1905</v>
      </c>
      <c r="F1768" t="s">
        <v>1895</v>
      </c>
      <c r="G1768">
        <v>400782</v>
      </c>
      <c r="H1768" s="1">
        <v>45534</v>
      </c>
      <c r="I1768" s="1"/>
      <c r="K1768">
        <v>2.7</v>
      </c>
      <c r="L1768" t="s">
        <v>30</v>
      </c>
      <c r="M1768" t="s">
        <v>1953</v>
      </c>
      <c r="N1768" t="s">
        <v>1887</v>
      </c>
    </row>
    <row r="1769" spans="1:14" x14ac:dyDescent="0.35">
      <c r="A1769" t="s">
        <v>3693</v>
      </c>
      <c r="B1769" t="s">
        <v>1920</v>
      </c>
      <c r="C1769" t="s">
        <v>182</v>
      </c>
      <c r="D1769" t="s">
        <v>1883</v>
      </c>
      <c r="E1769" t="s">
        <v>1678</v>
      </c>
      <c r="F1769" t="s">
        <v>1908</v>
      </c>
      <c r="G1769">
        <v>434790</v>
      </c>
      <c r="H1769" s="1">
        <v>45673</v>
      </c>
      <c r="I1769" s="1"/>
      <c r="K1769">
        <v>14.8</v>
      </c>
      <c r="L1769" t="s">
        <v>30</v>
      </c>
      <c r="M1769" t="s">
        <v>1912</v>
      </c>
      <c r="N1769" t="s">
        <v>1887</v>
      </c>
    </row>
    <row r="1770" spans="1:14" x14ac:dyDescent="0.35">
      <c r="A1770" t="s">
        <v>3694</v>
      </c>
      <c r="B1770" t="s">
        <v>1903</v>
      </c>
      <c r="C1770" t="s">
        <v>342</v>
      </c>
      <c r="D1770" t="s">
        <v>1904</v>
      </c>
      <c r="E1770" t="s">
        <v>1931</v>
      </c>
      <c r="F1770" t="s">
        <v>1908</v>
      </c>
      <c r="G1770">
        <v>88689</v>
      </c>
      <c r="H1770" s="1">
        <v>45723</v>
      </c>
      <c r="I1770" s="1"/>
      <c r="L1770" t="s">
        <v>15</v>
      </c>
      <c r="M1770" t="s">
        <v>1912</v>
      </c>
      <c r="N1770" t="s">
        <v>1887</v>
      </c>
    </row>
    <row r="1771" spans="1:14" x14ac:dyDescent="0.35">
      <c r="A1771" t="s">
        <v>3695</v>
      </c>
      <c r="B1771" t="s">
        <v>1944</v>
      </c>
      <c r="C1771" t="s">
        <v>460</v>
      </c>
      <c r="D1771" t="s">
        <v>1915</v>
      </c>
      <c r="E1771" t="s">
        <v>1905</v>
      </c>
      <c r="F1771" t="s">
        <v>1908</v>
      </c>
      <c r="G1771">
        <v>360717</v>
      </c>
      <c r="H1771" s="1">
        <v>45155</v>
      </c>
      <c r="I1771" s="1"/>
      <c r="K1771">
        <v>13.9</v>
      </c>
      <c r="L1771" t="s">
        <v>47</v>
      </c>
      <c r="M1771" t="s">
        <v>1932</v>
      </c>
      <c r="N1771" t="s">
        <v>1887</v>
      </c>
    </row>
    <row r="1772" spans="1:14" x14ac:dyDescent="0.35">
      <c r="A1772" t="s">
        <v>3696</v>
      </c>
      <c r="B1772" t="s">
        <v>1924</v>
      </c>
      <c r="C1772" t="s">
        <v>175</v>
      </c>
      <c r="D1772" t="s">
        <v>1904</v>
      </c>
      <c r="E1772" t="s">
        <v>1891</v>
      </c>
      <c r="F1772" t="s">
        <v>1892</v>
      </c>
      <c r="G1772">
        <v>401025</v>
      </c>
      <c r="H1772" s="1">
        <v>45163</v>
      </c>
      <c r="I1772" s="1"/>
      <c r="K1772">
        <v>0</v>
      </c>
      <c r="L1772" t="s">
        <v>21</v>
      </c>
      <c r="M1772" t="s">
        <v>1932</v>
      </c>
      <c r="N1772" t="s">
        <v>1887</v>
      </c>
    </row>
    <row r="1773" spans="1:14" x14ac:dyDescent="0.35">
      <c r="A1773" t="s">
        <v>3697</v>
      </c>
      <c r="B1773" t="s">
        <v>1882</v>
      </c>
      <c r="C1773" t="s">
        <v>470</v>
      </c>
      <c r="D1773" t="s">
        <v>1915</v>
      </c>
      <c r="E1773" t="s">
        <v>1600</v>
      </c>
      <c r="F1773" t="s">
        <v>1908</v>
      </c>
      <c r="G1773">
        <v>377223</v>
      </c>
      <c r="H1773" s="1">
        <v>45028</v>
      </c>
      <c r="I1773" s="1"/>
      <c r="K1773">
        <v>9.6999999999999993</v>
      </c>
      <c r="L1773" t="s">
        <v>15</v>
      </c>
      <c r="M1773" t="s">
        <v>1893</v>
      </c>
      <c r="N1773" t="s">
        <v>1887</v>
      </c>
    </row>
    <row r="1774" spans="1:14" x14ac:dyDescent="0.35">
      <c r="A1774" t="s">
        <v>3698</v>
      </c>
      <c r="B1774" t="s">
        <v>1882</v>
      </c>
      <c r="C1774" t="s">
        <v>457</v>
      </c>
      <c r="D1774" t="s">
        <v>1904</v>
      </c>
      <c r="E1774" t="s">
        <v>1891</v>
      </c>
      <c r="F1774" t="s">
        <v>1895</v>
      </c>
      <c r="G1774">
        <v>189422</v>
      </c>
      <c r="H1774" s="1">
        <v>45192</v>
      </c>
      <c r="I1774" s="1"/>
      <c r="K1774">
        <v>9.5</v>
      </c>
      <c r="L1774" t="s">
        <v>47</v>
      </c>
      <c r="M1774" t="s">
        <v>1932</v>
      </c>
      <c r="N1774" t="s">
        <v>1887</v>
      </c>
    </row>
    <row r="1775" spans="1:14" x14ac:dyDescent="0.35">
      <c r="A1775" t="s">
        <v>3699</v>
      </c>
      <c r="B1775" t="s">
        <v>1930</v>
      </c>
      <c r="C1775" t="s">
        <v>305</v>
      </c>
      <c r="D1775" t="s">
        <v>1899</v>
      </c>
      <c r="E1775" t="s">
        <v>1905</v>
      </c>
      <c r="F1775" t="s">
        <v>1900</v>
      </c>
      <c r="G1775">
        <v>453391</v>
      </c>
      <c r="H1775" s="1">
        <v>45011</v>
      </c>
      <c r="I1775" s="1">
        <v>45151</v>
      </c>
      <c r="J1775">
        <v>140</v>
      </c>
      <c r="K1775">
        <v>19.3</v>
      </c>
      <c r="L1775" t="s">
        <v>15</v>
      </c>
      <c r="M1775" t="s">
        <v>1896</v>
      </c>
      <c r="N1775" t="s">
        <v>1887</v>
      </c>
    </row>
    <row r="1776" spans="1:14" x14ac:dyDescent="0.35">
      <c r="A1776" t="s">
        <v>3700</v>
      </c>
      <c r="B1776" t="s">
        <v>1934</v>
      </c>
      <c r="C1776" t="s">
        <v>357</v>
      </c>
      <c r="D1776" t="s">
        <v>1927</v>
      </c>
      <c r="E1776" t="s">
        <v>1678</v>
      </c>
      <c r="F1776" t="s">
        <v>1900</v>
      </c>
      <c r="G1776">
        <v>308194</v>
      </c>
      <c r="H1776" s="1">
        <v>45265</v>
      </c>
      <c r="I1776" s="1">
        <v>45424</v>
      </c>
      <c r="J1776">
        <v>159</v>
      </c>
      <c r="K1776">
        <v>0.5</v>
      </c>
      <c r="L1776" t="s">
        <v>21</v>
      </c>
      <c r="M1776" t="s">
        <v>1886</v>
      </c>
      <c r="N1776" t="s">
        <v>1887</v>
      </c>
    </row>
    <row r="1777" spans="1:14" x14ac:dyDescent="0.35">
      <c r="A1777" t="s">
        <v>3701</v>
      </c>
      <c r="B1777" t="s">
        <v>1934</v>
      </c>
      <c r="C1777" t="s">
        <v>387</v>
      </c>
      <c r="D1777" t="s">
        <v>1890</v>
      </c>
      <c r="E1777" t="s">
        <v>1678</v>
      </c>
      <c r="F1777" t="s">
        <v>1900</v>
      </c>
      <c r="G1777">
        <v>314108</v>
      </c>
      <c r="H1777" s="1">
        <v>44964</v>
      </c>
      <c r="I1777" s="1">
        <v>45106</v>
      </c>
      <c r="J1777">
        <v>142</v>
      </c>
      <c r="K1777">
        <v>19.899999999999999</v>
      </c>
      <c r="L1777" t="s">
        <v>47</v>
      </c>
      <c r="M1777" t="s">
        <v>1896</v>
      </c>
      <c r="N1777" t="s">
        <v>1887</v>
      </c>
    </row>
    <row r="1778" spans="1:14" x14ac:dyDescent="0.35">
      <c r="A1778" t="s">
        <v>3702</v>
      </c>
      <c r="B1778" t="s">
        <v>1907</v>
      </c>
      <c r="C1778" t="s">
        <v>27</v>
      </c>
      <c r="D1778" t="s">
        <v>1899</v>
      </c>
      <c r="E1778" t="s">
        <v>1884</v>
      </c>
      <c r="F1778" t="s">
        <v>1900</v>
      </c>
      <c r="G1778">
        <v>475288</v>
      </c>
      <c r="H1778" s="1">
        <v>45017</v>
      </c>
      <c r="I1778" s="1">
        <v>45160</v>
      </c>
      <c r="J1778">
        <v>143</v>
      </c>
      <c r="K1778">
        <v>23.1</v>
      </c>
      <c r="L1778" t="s">
        <v>21</v>
      </c>
      <c r="M1778" t="s">
        <v>1893</v>
      </c>
      <c r="N1778" t="s">
        <v>1887</v>
      </c>
    </row>
    <row r="1779" spans="1:14" x14ac:dyDescent="0.35">
      <c r="A1779" t="s">
        <v>3703</v>
      </c>
      <c r="B1779" t="s">
        <v>1920</v>
      </c>
      <c r="C1779" t="s">
        <v>334</v>
      </c>
      <c r="D1779" t="s">
        <v>1890</v>
      </c>
      <c r="E1779" t="s">
        <v>1884</v>
      </c>
      <c r="F1779" t="s">
        <v>1885</v>
      </c>
      <c r="G1779">
        <v>231386</v>
      </c>
      <c r="H1779" s="1">
        <v>45693</v>
      </c>
      <c r="I1779" s="1">
        <v>45823</v>
      </c>
      <c r="J1779">
        <v>130</v>
      </c>
      <c r="K1779">
        <v>3.8</v>
      </c>
      <c r="L1779" t="s">
        <v>21</v>
      </c>
      <c r="M1779" t="s">
        <v>1912</v>
      </c>
      <c r="N1779" t="s">
        <v>1887</v>
      </c>
    </row>
    <row r="1780" spans="1:14" x14ac:dyDescent="0.35">
      <c r="A1780" t="s">
        <v>3704</v>
      </c>
      <c r="B1780" t="s">
        <v>1903</v>
      </c>
      <c r="C1780" t="s">
        <v>252</v>
      </c>
      <c r="D1780" t="s">
        <v>1904</v>
      </c>
      <c r="E1780" t="s">
        <v>1587</v>
      </c>
      <c r="F1780" t="s">
        <v>1900</v>
      </c>
      <c r="G1780">
        <v>125897</v>
      </c>
      <c r="H1780" s="1">
        <v>45221</v>
      </c>
      <c r="I1780" s="1">
        <v>45391</v>
      </c>
      <c r="J1780">
        <v>170</v>
      </c>
      <c r="K1780">
        <v>14.7</v>
      </c>
      <c r="L1780" t="s">
        <v>21</v>
      </c>
      <c r="M1780" t="s">
        <v>1886</v>
      </c>
      <c r="N1780" t="s">
        <v>1887</v>
      </c>
    </row>
    <row r="1781" spans="1:14" x14ac:dyDescent="0.35">
      <c r="A1781" t="s">
        <v>3705</v>
      </c>
      <c r="B1781" t="s">
        <v>1930</v>
      </c>
      <c r="C1781" t="s">
        <v>461</v>
      </c>
      <c r="D1781" t="s">
        <v>1883</v>
      </c>
      <c r="E1781" t="s">
        <v>1884</v>
      </c>
      <c r="F1781" t="s">
        <v>1908</v>
      </c>
      <c r="G1781">
        <v>211947</v>
      </c>
      <c r="H1781" s="1">
        <v>45045</v>
      </c>
      <c r="I1781" s="1"/>
      <c r="K1781">
        <v>11.3</v>
      </c>
      <c r="L1781" t="s">
        <v>30</v>
      </c>
      <c r="M1781" t="s">
        <v>1893</v>
      </c>
      <c r="N1781" t="s">
        <v>1887</v>
      </c>
    </row>
    <row r="1782" spans="1:14" x14ac:dyDescent="0.35">
      <c r="A1782" t="s">
        <v>3706</v>
      </c>
      <c r="B1782" t="s">
        <v>1924</v>
      </c>
      <c r="C1782" t="s">
        <v>431</v>
      </c>
      <c r="D1782" t="s">
        <v>1883</v>
      </c>
      <c r="E1782" t="s">
        <v>1678</v>
      </c>
      <c r="F1782" t="s">
        <v>1900</v>
      </c>
      <c r="G1782">
        <v>421072</v>
      </c>
      <c r="H1782" s="1">
        <v>45481</v>
      </c>
      <c r="I1782" s="1">
        <v>45661</v>
      </c>
      <c r="J1782">
        <v>180</v>
      </c>
      <c r="K1782">
        <v>7</v>
      </c>
      <c r="L1782" t="s">
        <v>30</v>
      </c>
      <c r="M1782" t="s">
        <v>1953</v>
      </c>
      <c r="N1782" t="s">
        <v>1887</v>
      </c>
    </row>
    <row r="1783" spans="1:14" x14ac:dyDescent="0.35">
      <c r="A1783" t="s">
        <v>3707</v>
      </c>
      <c r="B1783" t="s">
        <v>1898</v>
      </c>
      <c r="C1783" t="s">
        <v>471</v>
      </c>
      <c r="D1783" t="s">
        <v>1899</v>
      </c>
      <c r="E1783" t="s">
        <v>1678</v>
      </c>
      <c r="F1783" t="s">
        <v>1946</v>
      </c>
      <c r="G1783">
        <v>283582</v>
      </c>
      <c r="H1783" s="1">
        <v>45206</v>
      </c>
      <c r="I1783" s="1"/>
      <c r="K1783">
        <v>2.2000000000000002</v>
      </c>
      <c r="L1783" t="s">
        <v>21</v>
      </c>
      <c r="M1783" t="s">
        <v>1886</v>
      </c>
      <c r="N1783" t="s">
        <v>1887</v>
      </c>
    </row>
    <row r="1784" spans="1:14" x14ac:dyDescent="0.35">
      <c r="A1784" t="s">
        <v>3708</v>
      </c>
      <c r="B1784" t="s">
        <v>1944</v>
      </c>
      <c r="C1784" t="s">
        <v>496</v>
      </c>
      <c r="D1784" t="s">
        <v>1915</v>
      </c>
      <c r="E1784" t="s">
        <v>1884</v>
      </c>
      <c r="F1784" t="s">
        <v>1946</v>
      </c>
      <c r="G1784">
        <v>227842</v>
      </c>
      <c r="H1784" s="1">
        <v>44955</v>
      </c>
      <c r="I1784" s="1"/>
      <c r="K1784">
        <v>8.3000000000000007</v>
      </c>
      <c r="L1784" t="s">
        <v>30</v>
      </c>
      <c r="M1784" t="s">
        <v>1896</v>
      </c>
      <c r="N1784" t="s">
        <v>1887</v>
      </c>
    </row>
    <row r="1785" spans="1:14" x14ac:dyDescent="0.35">
      <c r="A1785" t="s">
        <v>3709</v>
      </c>
      <c r="B1785" t="s">
        <v>1889</v>
      </c>
      <c r="C1785" t="s">
        <v>365</v>
      </c>
      <c r="D1785" t="s">
        <v>1927</v>
      </c>
      <c r="E1785" t="s">
        <v>1587</v>
      </c>
      <c r="F1785" t="s">
        <v>1900</v>
      </c>
      <c r="G1785">
        <v>257785</v>
      </c>
      <c r="H1785" s="1">
        <v>45597</v>
      </c>
      <c r="I1785" s="1">
        <v>45711</v>
      </c>
      <c r="J1785">
        <v>114</v>
      </c>
      <c r="K1785">
        <v>4.5999999999999996</v>
      </c>
      <c r="L1785" t="s">
        <v>47</v>
      </c>
      <c r="M1785" t="s">
        <v>1901</v>
      </c>
      <c r="N1785" t="s">
        <v>1887</v>
      </c>
    </row>
    <row r="1786" spans="1:14" x14ac:dyDescent="0.35">
      <c r="A1786" t="s">
        <v>3710</v>
      </c>
      <c r="B1786" t="s">
        <v>1914</v>
      </c>
      <c r="C1786" t="s">
        <v>288</v>
      </c>
      <c r="D1786" t="s">
        <v>1890</v>
      </c>
      <c r="E1786" t="s">
        <v>1891</v>
      </c>
      <c r="F1786" t="s">
        <v>1908</v>
      </c>
      <c r="G1786">
        <v>366520</v>
      </c>
      <c r="H1786" s="1">
        <v>45638</v>
      </c>
      <c r="I1786" s="1"/>
      <c r="K1786">
        <v>14.1</v>
      </c>
      <c r="L1786" t="s">
        <v>47</v>
      </c>
      <c r="M1786" t="s">
        <v>1901</v>
      </c>
      <c r="N1786" t="s">
        <v>1887</v>
      </c>
    </row>
    <row r="1787" spans="1:14" x14ac:dyDescent="0.35">
      <c r="A1787" t="s">
        <v>3711</v>
      </c>
      <c r="B1787" t="s">
        <v>1944</v>
      </c>
      <c r="C1787" t="s">
        <v>130</v>
      </c>
      <c r="D1787" t="s">
        <v>1915</v>
      </c>
      <c r="E1787" t="s">
        <v>1905</v>
      </c>
      <c r="F1787" t="s">
        <v>1908</v>
      </c>
      <c r="G1787">
        <v>179473</v>
      </c>
      <c r="H1787" s="1">
        <v>45334</v>
      </c>
      <c r="I1787" s="1"/>
      <c r="K1787">
        <v>10.3</v>
      </c>
      <c r="L1787" t="s">
        <v>30</v>
      </c>
      <c r="M1787" t="s">
        <v>1916</v>
      </c>
      <c r="N1787" t="s">
        <v>1887</v>
      </c>
    </row>
    <row r="1788" spans="1:14" x14ac:dyDescent="0.35">
      <c r="A1788" t="s">
        <v>3712</v>
      </c>
      <c r="B1788" t="s">
        <v>1924</v>
      </c>
      <c r="C1788" t="s">
        <v>226</v>
      </c>
      <c r="D1788" t="s">
        <v>1915</v>
      </c>
      <c r="E1788" t="s">
        <v>1600</v>
      </c>
      <c r="F1788" t="s">
        <v>1900</v>
      </c>
      <c r="G1788">
        <v>433141</v>
      </c>
      <c r="H1788" s="1">
        <v>45228</v>
      </c>
      <c r="I1788" s="1">
        <v>45279</v>
      </c>
      <c r="J1788">
        <v>51</v>
      </c>
      <c r="K1788">
        <v>10.7</v>
      </c>
      <c r="L1788" t="s">
        <v>47</v>
      </c>
      <c r="M1788" t="s">
        <v>1886</v>
      </c>
      <c r="N1788" t="s">
        <v>1887</v>
      </c>
    </row>
    <row r="1789" spans="1:14" x14ac:dyDescent="0.35">
      <c r="A1789" t="s">
        <v>3713</v>
      </c>
      <c r="B1789" t="s">
        <v>1882</v>
      </c>
      <c r="C1789" t="s">
        <v>330</v>
      </c>
      <c r="D1789" t="s">
        <v>1915</v>
      </c>
      <c r="E1789" t="s">
        <v>1918</v>
      </c>
      <c r="F1789" t="s">
        <v>1946</v>
      </c>
      <c r="G1789">
        <v>286656</v>
      </c>
      <c r="H1789" s="1">
        <v>45600</v>
      </c>
      <c r="I1789" s="1"/>
      <c r="K1789">
        <v>0.3</v>
      </c>
      <c r="L1789" t="s">
        <v>21</v>
      </c>
      <c r="M1789" t="s">
        <v>1901</v>
      </c>
      <c r="N1789" t="s">
        <v>1887</v>
      </c>
    </row>
    <row r="1790" spans="1:14" x14ac:dyDescent="0.35">
      <c r="A1790" t="s">
        <v>3714</v>
      </c>
      <c r="B1790" t="s">
        <v>1924</v>
      </c>
      <c r="C1790" t="s">
        <v>144</v>
      </c>
      <c r="D1790" t="s">
        <v>1890</v>
      </c>
      <c r="E1790" t="s">
        <v>1905</v>
      </c>
      <c r="F1790" t="s">
        <v>1900</v>
      </c>
      <c r="G1790">
        <v>430962</v>
      </c>
      <c r="H1790" s="1">
        <v>45743</v>
      </c>
      <c r="I1790" s="1">
        <v>45893</v>
      </c>
      <c r="J1790">
        <v>150</v>
      </c>
      <c r="K1790">
        <v>9.1999999999999993</v>
      </c>
      <c r="L1790" t="s">
        <v>47</v>
      </c>
      <c r="M1790" t="s">
        <v>1912</v>
      </c>
      <c r="N1790" t="s">
        <v>1887</v>
      </c>
    </row>
    <row r="1791" spans="1:14" x14ac:dyDescent="0.35">
      <c r="A1791" t="s">
        <v>3715</v>
      </c>
      <c r="B1791" t="s">
        <v>1922</v>
      </c>
      <c r="C1791" t="s">
        <v>470</v>
      </c>
      <c r="D1791" t="s">
        <v>1899</v>
      </c>
      <c r="E1791" t="s">
        <v>1918</v>
      </c>
      <c r="F1791" t="s">
        <v>1885</v>
      </c>
      <c r="G1791">
        <v>302018</v>
      </c>
      <c r="H1791" s="1">
        <v>45087</v>
      </c>
      <c r="I1791" s="1">
        <v>45155</v>
      </c>
      <c r="J1791">
        <v>68</v>
      </c>
      <c r="L1791" t="s">
        <v>15</v>
      </c>
      <c r="M1791" t="s">
        <v>1893</v>
      </c>
      <c r="N1791" t="s">
        <v>1887</v>
      </c>
    </row>
    <row r="1792" spans="1:14" x14ac:dyDescent="0.35">
      <c r="A1792" t="s">
        <v>3716</v>
      </c>
      <c r="B1792" t="s">
        <v>1926</v>
      </c>
      <c r="C1792" t="s">
        <v>396</v>
      </c>
      <c r="D1792" t="s">
        <v>1904</v>
      </c>
      <c r="E1792" t="s">
        <v>1891</v>
      </c>
      <c r="F1792" t="s">
        <v>1908</v>
      </c>
      <c r="G1792">
        <v>468228</v>
      </c>
      <c r="H1792" s="1">
        <v>45396</v>
      </c>
      <c r="I1792" s="1"/>
      <c r="L1792" t="s">
        <v>47</v>
      </c>
      <c r="M1792" t="s">
        <v>1935</v>
      </c>
      <c r="N1792" t="s">
        <v>1887</v>
      </c>
    </row>
    <row r="1793" spans="1:14" x14ac:dyDescent="0.35">
      <c r="A1793" t="s">
        <v>3717</v>
      </c>
      <c r="B1793" t="s">
        <v>1911</v>
      </c>
      <c r="C1793" t="s">
        <v>299</v>
      </c>
      <c r="D1793" t="s">
        <v>1899</v>
      </c>
      <c r="E1793" t="s">
        <v>1678</v>
      </c>
      <c r="F1793" t="s">
        <v>1895</v>
      </c>
      <c r="G1793">
        <v>326982</v>
      </c>
      <c r="H1793" s="1">
        <v>45659</v>
      </c>
      <c r="I1793" s="1"/>
      <c r="K1793">
        <v>2.1</v>
      </c>
      <c r="L1793" t="s">
        <v>15</v>
      </c>
      <c r="M1793" t="s">
        <v>1912</v>
      </c>
      <c r="N1793" t="s">
        <v>1887</v>
      </c>
    </row>
    <row r="1794" spans="1:14" x14ac:dyDescent="0.35">
      <c r="A1794" t="s">
        <v>3718</v>
      </c>
      <c r="B1794" t="s">
        <v>1934</v>
      </c>
      <c r="C1794" t="s">
        <v>71</v>
      </c>
      <c r="D1794" t="s">
        <v>1927</v>
      </c>
      <c r="E1794" t="s">
        <v>1884</v>
      </c>
      <c r="F1794" t="s">
        <v>1946</v>
      </c>
      <c r="G1794">
        <v>50712</v>
      </c>
      <c r="H1794" s="1">
        <v>45364</v>
      </c>
      <c r="I1794" s="1"/>
      <c r="K1794">
        <v>0.7</v>
      </c>
      <c r="L1794" t="s">
        <v>30</v>
      </c>
      <c r="M1794" t="s">
        <v>1916</v>
      </c>
      <c r="N1794" t="s">
        <v>1887</v>
      </c>
    </row>
    <row r="1795" spans="1:14" x14ac:dyDescent="0.35">
      <c r="A1795" t="s">
        <v>3719</v>
      </c>
      <c r="B1795" t="s">
        <v>1926</v>
      </c>
      <c r="C1795" t="s">
        <v>460</v>
      </c>
      <c r="D1795" t="s">
        <v>1927</v>
      </c>
      <c r="E1795" t="s">
        <v>1918</v>
      </c>
      <c r="F1795" t="s">
        <v>1900</v>
      </c>
      <c r="G1795">
        <v>315544</v>
      </c>
      <c r="H1795" s="1">
        <v>45388</v>
      </c>
      <c r="I1795" s="1">
        <v>45561</v>
      </c>
      <c r="J1795">
        <v>173</v>
      </c>
      <c r="K1795">
        <v>1.3</v>
      </c>
      <c r="L1795" t="s">
        <v>15</v>
      </c>
      <c r="M1795" t="s">
        <v>1935</v>
      </c>
      <c r="N1795" t="s">
        <v>1887</v>
      </c>
    </row>
    <row r="1796" spans="1:14" x14ac:dyDescent="0.35">
      <c r="A1796" t="s">
        <v>3720</v>
      </c>
      <c r="B1796" t="s">
        <v>1889</v>
      </c>
      <c r="C1796" t="s">
        <v>475</v>
      </c>
      <c r="D1796" t="s">
        <v>1899</v>
      </c>
      <c r="E1796" t="s">
        <v>1587</v>
      </c>
      <c r="F1796" t="s">
        <v>1895</v>
      </c>
      <c r="G1796">
        <v>133830</v>
      </c>
      <c r="H1796" s="1">
        <v>45697</v>
      </c>
      <c r="I1796" s="1"/>
      <c r="L1796" t="s">
        <v>47</v>
      </c>
      <c r="M1796" t="s">
        <v>1912</v>
      </c>
      <c r="N1796" t="s">
        <v>1887</v>
      </c>
    </row>
    <row r="1797" spans="1:14" x14ac:dyDescent="0.35">
      <c r="A1797" t="s">
        <v>3721</v>
      </c>
      <c r="B1797" t="s">
        <v>1934</v>
      </c>
      <c r="C1797" t="s">
        <v>432</v>
      </c>
      <c r="D1797" t="s">
        <v>1915</v>
      </c>
      <c r="E1797" t="s">
        <v>1884</v>
      </c>
      <c r="F1797" t="s">
        <v>1895</v>
      </c>
      <c r="G1797">
        <v>273595</v>
      </c>
      <c r="H1797" s="1">
        <v>45610</v>
      </c>
      <c r="I1797" s="1"/>
      <c r="K1797">
        <v>5.0999999999999996</v>
      </c>
      <c r="L1797" t="s">
        <v>21</v>
      </c>
      <c r="M1797" t="s">
        <v>1901</v>
      </c>
      <c r="N1797" t="s">
        <v>1887</v>
      </c>
    </row>
    <row r="1798" spans="1:14" x14ac:dyDescent="0.35">
      <c r="A1798" t="s">
        <v>3722</v>
      </c>
      <c r="B1798" t="s">
        <v>1907</v>
      </c>
      <c r="C1798" t="s">
        <v>144</v>
      </c>
      <c r="D1798" t="s">
        <v>1915</v>
      </c>
      <c r="E1798" t="s">
        <v>1587</v>
      </c>
      <c r="F1798" t="s">
        <v>1908</v>
      </c>
      <c r="G1798">
        <v>415324</v>
      </c>
      <c r="H1798" s="1">
        <v>45395</v>
      </c>
      <c r="I1798" s="1"/>
      <c r="K1798">
        <v>12.5</v>
      </c>
      <c r="L1798" t="s">
        <v>15</v>
      </c>
      <c r="M1798" t="s">
        <v>1935</v>
      </c>
      <c r="N1798" t="s">
        <v>1887</v>
      </c>
    </row>
    <row r="1799" spans="1:14" x14ac:dyDescent="0.35">
      <c r="A1799" t="s">
        <v>3723</v>
      </c>
      <c r="B1799" t="s">
        <v>1922</v>
      </c>
      <c r="C1799" t="s">
        <v>440</v>
      </c>
      <c r="D1799" t="s">
        <v>1899</v>
      </c>
      <c r="E1799" t="s">
        <v>1678</v>
      </c>
      <c r="F1799" t="s">
        <v>1908</v>
      </c>
      <c r="G1799">
        <v>88245</v>
      </c>
      <c r="H1799" s="1">
        <v>45479</v>
      </c>
      <c r="I1799" s="1"/>
      <c r="K1799">
        <v>10.9</v>
      </c>
      <c r="L1799" t="s">
        <v>21</v>
      </c>
      <c r="M1799" t="s">
        <v>1953</v>
      </c>
      <c r="N1799" t="s">
        <v>1887</v>
      </c>
    </row>
    <row r="1800" spans="1:14" x14ac:dyDescent="0.35">
      <c r="A1800" t="s">
        <v>3724</v>
      </c>
      <c r="B1800" t="s">
        <v>1926</v>
      </c>
      <c r="C1800" t="s">
        <v>433</v>
      </c>
      <c r="D1800" t="s">
        <v>1899</v>
      </c>
      <c r="E1800" t="s">
        <v>1931</v>
      </c>
      <c r="F1800" t="s">
        <v>1892</v>
      </c>
      <c r="G1800">
        <v>235672</v>
      </c>
      <c r="H1800" s="1">
        <v>45538</v>
      </c>
      <c r="I1800" s="1"/>
      <c r="L1800" t="s">
        <v>21</v>
      </c>
      <c r="M1800" t="s">
        <v>1953</v>
      </c>
      <c r="N1800" t="s">
        <v>1887</v>
      </c>
    </row>
    <row r="1801" spans="1:14" x14ac:dyDescent="0.35">
      <c r="A1801" t="s">
        <v>3725</v>
      </c>
      <c r="B1801" t="s">
        <v>1930</v>
      </c>
      <c r="C1801" t="s">
        <v>234</v>
      </c>
      <c r="D1801" t="s">
        <v>1927</v>
      </c>
      <c r="E1801" t="s">
        <v>1600</v>
      </c>
      <c r="F1801" t="s">
        <v>1908</v>
      </c>
      <c r="G1801">
        <v>184665</v>
      </c>
      <c r="H1801" s="1">
        <v>44982</v>
      </c>
      <c r="I1801" s="1"/>
      <c r="K1801">
        <v>14.6</v>
      </c>
      <c r="L1801" t="s">
        <v>15</v>
      </c>
      <c r="M1801" t="s">
        <v>1896</v>
      </c>
      <c r="N1801" t="s">
        <v>1887</v>
      </c>
    </row>
    <row r="1802" spans="1:14" x14ac:dyDescent="0.35">
      <c r="A1802" t="s">
        <v>3726</v>
      </c>
      <c r="B1802" t="s">
        <v>1963</v>
      </c>
      <c r="C1802" t="s">
        <v>480</v>
      </c>
      <c r="D1802" t="s">
        <v>1883</v>
      </c>
      <c r="E1802" t="s">
        <v>1891</v>
      </c>
      <c r="F1802" t="s">
        <v>1895</v>
      </c>
      <c r="G1802">
        <v>52870</v>
      </c>
      <c r="H1802" s="1">
        <v>44943</v>
      </c>
      <c r="I1802" s="1"/>
      <c r="K1802">
        <v>1.7</v>
      </c>
      <c r="L1802" t="s">
        <v>15</v>
      </c>
      <c r="M1802" t="s">
        <v>1896</v>
      </c>
      <c r="N1802" t="s">
        <v>1887</v>
      </c>
    </row>
    <row r="1803" spans="1:14" x14ac:dyDescent="0.35">
      <c r="A1803" t="s">
        <v>3727</v>
      </c>
      <c r="B1803" t="s">
        <v>1889</v>
      </c>
      <c r="C1803" t="s">
        <v>455</v>
      </c>
      <c r="D1803" t="s">
        <v>1883</v>
      </c>
      <c r="E1803" t="s">
        <v>1600</v>
      </c>
      <c r="F1803" t="s">
        <v>1895</v>
      </c>
      <c r="G1803">
        <v>121086</v>
      </c>
      <c r="H1803" s="1">
        <v>45638</v>
      </c>
      <c r="I1803" s="1"/>
      <c r="K1803">
        <v>1.7</v>
      </c>
      <c r="L1803" t="s">
        <v>15</v>
      </c>
      <c r="M1803" t="s">
        <v>1901</v>
      </c>
      <c r="N1803" t="s">
        <v>1887</v>
      </c>
    </row>
    <row r="1804" spans="1:14" x14ac:dyDescent="0.35">
      <c r="A1804" t="s">
        <v>3728</v>
      </c>
      <c r="B1804" t="s">
        <v>1934</v>
      </c>
      <c r="C1804" t="s">
        <v>249</v>
      </c>
      <c r="D1804" t="s">
        <v>1927</v>
      </c>
      <c r="E1804" t="s">
        <v>1600</v>
      </c>
      <c r="F1804" t="s">
        <v>1885</v>
      </c>
      <c r="G1804">
        <v>495536</v>
      </c>
      <c r="H1804" s="1">
        <v>45113</v>
      </c>
      <c r="I1804" s="1">
        <v>45172</v>
      </c>
      <c r="J1804">
        <v>59</v>
      </c>
      <c r="K1804">
        <v>14.3</v>
      </c>
      <c r="L1804" t="s">
        <v>15</v>
      </c>
      <c r="M1804" t="s">
        <v>1932</v>
      </c>
      <c r="N1804" t="s">
        <v>1887</v>
      </c>
    </row>
    <row r="1805" spans="1:14" x14ac:dyDescent="0.35">
      <c r="A1805" t="s">
        <v>3729</v>
      </c>
      <c r="B1805" t="s">
        <v>1944</v>
      </c>
      <c r="C1805" t="s">
        <v>18</v>
      </c>
      <c r="D1805" t="s">
        <v>1927</v>
      </c>
      <c r="E1805" t="s">
        <v>1678</v>
      </c>
      <c r="F1805" t="s">
        <v>1900</v>
      </c>
      <c r="G1805">
        <v>378885</v>
      </c>
      <c r="H1805" s="1">
        <v>45286</v>
      </c>
      <c r="I1805" s="1">
        <v>45403</v>
      </c>
      <c r="J1805">
        <v>117</v>
      </c>
      <c r="K1805">
        <v>21.4</v>
      </c>
      <c r="L1805" t="s">
        <v>21</v>
      </c>
      <c r="M1805" t="s">
        <v>1886</v>
      </c>
      <c r="N1805" t="s">
        <v>1887</v>
      </c>
    </row>
    <row r="1806" spans="1:14" x14ac:dyDescent="0.35">
      <c r="A1806" t="s">
        <v>3730</v>
      </c>
      <c r="B1806" t="s">
        <v>1920</v>
      </c>
      <c r="C1806" t="s">
        <v>77</v>
      </c>
      <c r="D1806" t="s">
        <v>1899</v>
      </c>
      <c r="E1806" t="s">
        <v>1891</v>
      </c>
      <c r="F1806" t="s">
        <v>1892</v>
      </c>
      <c r="G1806">
        <v>50646</v>
      </c>
      <c r="H1806" s="1">
        <v>45199</v>
      </c>
      <c r="I1806" s="1"/>
      <c r="K1806">
        <v>6.6</v>
      </c>
      <c r="L1806" t="s">
        <v>47</v>
      </c>
      <c r="M1806" t="s">
        <v>1932</v>
      </c>
      <c r="N1806" t="s">
        <v>1887</v>
      </c>
    </row>
    <row r="1807" spans="1:14" x14ac:dyDescent="0.35">
      <c r="A1807" t="s">
        <v>3731</v>
      </c>
      <c r="B1807" t="s">
        <v>1926</v>
      </c>
      <c r="C1807" t="s">
        <v>158</v>
      </c>
      <c r="D1807" t="s">
        <v>1927</v>
      </c>
      <c r="E1807" t="s">
        <v>1931</v>
      </c>
      <c r="F1807" t="s">
        <v>1900</v>
      </c>
      <c r="G1807">
        <v>219968</v>
      </c>
      <c r="H1807" s="1">
        <v>45440</v>
      </c>
      <c r="I1807" s="1">
        <v>45591</v>
      </c>
      <c r="J1807">
        <v>151</v>
      </c>
      <c r="K1807">
        <v>13.1</v>
      </c>
      <c r="L1807" t="s">
        <v>21</v>
      </c>
      <c r="M1807" t="s">
        <v>1935</v>
      </c>
      <c r="N1807" t="s">
        <v>1887</v>
      </c>
    </row>
    <row r="1808" spans="1:14" x14ac:dyDescent="0.35">
      <c r="A1808" t="s">
        <v>3732</v>
      </c>
      <c r="B1808" t="s">
        <v>1924</v>
      </c>
      <c r="C1808" t="s">
        <v>366</v>
      </c>
      <c r="D1808" t="s">
        <v>1904</v>
      </c>
      <c r="E1808" t="s">
        <v>1931</v>
      </c>
      <c r="F1808" t="s">
        <v>1885</v>
      </c>
      <c r="G1808">
        <v>264510</v>
      </c>
      <c r="H1808" s="1">
        <v>45375</v>
      </c>
      <c r="I1808" s="1">
        <v>45482</v>
      </c>
      <c r="J1808">
        <v>107</v>
      </c>
      <c r="K1808">
        <v>14.4</v>
      </c>
      <c r="L1808" t="s">
        <v>47</v>
      </c>
      <c r="M1808" t="s">
        <v>1916</v>
      </c>
      <c r="N1808" t="s">
        <v>1887</v>
      </c>
    </row>
    <row r="1809" spans="1:14" x14ac:dyDescent="0.35">
      <c r="A1809" t="s">
        <v>3733</v>
      </c>
      <c r="B1809" t="s">
        <v>1914</v>
      </c>
      <c r="C1809" t="s">
        <v>152</v>
      </c>
      <c r="D1809" t="s">
        <v>1883</v>
      </c>
      <c r="E1809" t="s">
        <v>1884</v>
      </c>
      <c r="F1809" t="s">
        <v>1946</v>
      </c>
      <c r="G1809">
        <v>428715</v>
      </c>
      <c r="H1809" s="1">
        <v>45689</v>
      </c>
      <c r="I1809" s="1"/>
      <c r="K1809">
        <v>13</v>
      </c>
      <c r="L1809" t="s">
        <v>15</v>
      </c>
      <c r="M1809" t="s">
        <v>1912</v>
      </c>
      <c r="N1809" t="s">
        <v>1887</v>
      </c>
    </row>
    <row r="1810" spans="1:14" x14ac:dyDescent="0.35">
      <c r="A1810" t="s">
        <v>3734</v>
      </c>
      <c r="B1810" t="s">
        <v>1924</v>
      </c>
      <c r="C1810" t="s">
        <v>138</v>
      </c>
      <c r="D1810" t="s">
        <v>1927</v>
      </c>
      <c r="E1810" t="s">
        <v>1884</v>
      </c>
      <c r="F1810" t="s">
        <v>1900</v>
      </c>
      <c r="G1810">
        <v>143364</v>
      </c>
      <c r="H1810" s="1">
        <v>45618</v>
      </c>
      <c r="I1810" s="1">
        <v>45715</v>
      </c>
      <c r="J1810">
        <v>97</v>
      </c>
      <c r="K1810">
        <v>13.5</v>
      </c>
      <c r="L1810" t="s">
        <v>47</v>
      </c>
      <c r="M1810" t="s">
        <v>1901</v>
      </c>
      <c r="N1810" t="s">
        <v>1887</v>
      </c>
    </row>
    <row r="1811" spans="1:14" x14ac:dyDescent="0.35">
      <c r="A1811" t="s">
        <v>3735</v>
      </c>
      <c r="B1811" t="s">
        <v>1922</v>
      </c>
      <c r="C1811" t="s">
        <v>167</v>
      </c>
      <c r="D1811" t="s">
        <v>1899</v>
      </c>
      <c r="E1811" t="s">
        <v>1905</v>
      </c>
      <c r="F1811" t="s">
        <v>1946</v>
      </c>
      <c r="G1811">
        <v>425511</v>
      </c>
      <c r="H1811" s="1">
        <v>45222</v>
      </c>
      <c r="I1811" s="1"/>
      <c r="L1811" t="s">
        <v>15</v>
      </c>
      <c r="M1811" t="s">
        <v>1886</v>
      </c>
      <c r="N1811" t="s">
        <v>1887</v>
      </c>
    </row>
    <row r="1812" spans="1:14" x14ac:dyDescent="0.35">
      <c r="A1812" t="s">
        <v>3736</v>
      </c>
      <c r="B1812" t="s">
        <v>1882</v>
      </c>
      <c r="C1812" t="s">
        <v>392</v>
      </c>
      <c r="D1812" t="s">
        <v>1883</v>
      </c>
      <c r="E1812" t="s">
        <v>1678</v>
      </c>
      <c r="F1812" t="s">
        <v>1895</v>
      </c>
      <c r="G1812">
        <v>368659</v>
      </c>
      <c r="H1812" s="1">
        <v>45067</v>
      </c>
      <c r="I1812" s="1"/>
      <c r="K1812">
        <v>4.8</v>
      </c>
      <c r="L1812" t="s">
        <v>15</v>
      </c>
      <c r="M1812" t="s">
        <v>1893</v>
      </c>
      <c r="N1812" t="s">
        <v>1887</v>
      </c>
    </row>
    <row r="1813" spans="1:14" x14ac:dyDescent="0.35">
      <c r="A1813" t="s">
        <v>3737</v>
      </c>
      <c r="B1813" t="s">
        <v>1889</v>
      </c>
      <c r="C1813" t="s">
        <v>34</v>
      </c>
      <c r="D1813" t="s">
        <v>1890</v>
      </c>
      <c r="E1813" t="s">
        <v>1587</v>
      </c>
      <c r="F1813" t="s">
        <v>1895</v>
      </c>
      <c r="G1813">
        <v>114670</v>
      </c>
      <c r="H1813" s="1">
        <v>45316</v>
      </c>
      <c r="I1813" s="1"/>
      <c r="K1813">
        <v>5.8</v>
      </c>
      <c r="L1813" t="s">
        <v>21</v>
      </c>
      <c r="M1813" t="s">
        <v>1916</v>
      </c>
      <c r="N1813" t="s">
        <v>1887</v>
      </c>
    </row>
    <row r="1814" spans="1:14" x14ac:dyDescent="0.35">
      <c r="A1814" t="s">
        <v>3738</v>
      </c>
      <c r="B1814" t="s">
        <v>1903</v>
      </c>
      <c r="C1814" t="s">
        <v>214</v>
      </c>
      <c r="D1814" t="s">
        <v>1883</v>
      </c>
      <c r="E1814" t="s">
        <v>1931</v>
      </c>
      <c r="F1814" t="s">
        <v>1895</v>
      </c>
      <c r="G1814">
        <v>446962</v>
      </c>
      <c r="H1814" s="1">
        <v>45253</v>
      </c>
      <c r="I1814" s="1"/>
      <c r="K1814">
        <v>6.5</v>
      </c>
      <c r="L1814" t="s">
        <v>47</v>
      </c>
      <c r="M1814" t="s">
        <v>1886</v>
      </c>
      <c r="N1814" t="s">
        <v>1887</v>
      </c>
    </row>
    <row r="1815" spans="1:14" x14ac:dyDescent="0.35">
      <c r="A1815" t="s">
        <v>3739</v>
      </c>
      <c r="B1815" t="s">
        <v>1920</v>
      </c>
      <c r="C1815" t="s">
        <v>34</v>
      </c>
      <c r="D1815" t="s">
        <v>1899</v>
      </c>
      <c r="E1815" t="s">
        <v>1587</v>
      </c>
      <c r="F1815" t="s">
        <v>1900</v>
      </c>
      <c r="G1815">
        <v>463209</v>
      </c>
      <c r="H1815" s="1">
        <v>45383</v>
      </c>
      <c r="I1815" s="1">
        <v>45550</v>
      </c>
      <c r="J1815">
        <v>167</v>
      </c>
      <c r="K1815">
        <v>3.4</v>
      </c>
      <c r="L1815" t="s">
        <v>30</v>
      </c>
      <c r="M1815" t="s">
        <v>1935</v>
      </c>
      <c r="N1815" t="s">
        <v>1887</v>
      </c>
    </row>
    <row r="1816" spans="1:14" x14ac:dyDescent="0.35">
      <c r="A1816" t="s">
        <v>3740</v>
      </c>
      <c r="B1816" t="s">
        <v>1926</v>
      </c>
      <c r="C1816" t="s">
        <v>211</v>
      </c>
      <c r="D1816" t="s">
        <v>1904</v>
      </c>
      <c r="E1816" t="s">
        <v>1931</v>
      </c>
      <c r="F1816" t="s">
        <v>1900</v>
      </c>
      <c r="G1816">
        <v>99457</v>
      </c>
      <c r="H1816" s="1">
        <v>45148</v>
      </c>
      <c r="I1816" s="1">
        <v>45232</v>
      </c>
      <c r="J1816">
        <v>84</v>
      </c>
      <c r="K1816">
        <v>23.8</v>
      </c>
      <c r="L1816" t="s">
        <v>15</v>
      </c>
      <c r="M1816" t="s">
        <v>1932</v>
      </c>
      <c r="N1816" t="s">
        <v>1887</v>
      </c>
    </row>
    <row r="1817" spans="1:14" x14ac:dyDescent="0.35">
      <c r="A1817" t="s">
        <v>3741</v>
      </c>
      <c r="B1817" t="s">
        <v>1903</v>
      </c>
      <c r="C1817" t="s">
        <v>455</v>
      </c>
      <c r="D1817" t="s">
        <v>1904</v>
      </c>
      <c r="E1817" t="s">
        <v>1884</v>
      </c>
      <c r="F1817" t="s">
        <v>1892</v>
      </c>
      <c r="G1817">
        <v>198909</v>
      </c>
      <c r="H1817" s="1">
        <v>45273</v>
      </c>
      <c r="I1817" s="1"/>
      <c r="K1817">
        <v>1.2</v>
      </c>
      <c r="L1817" t="s">
        <v>47</v>
      </c>
      <c r="M1817" t="s">
        <v>1886</v>
      </c>
      <c r="N1817" t="s">
        <v>1887</v>
      </c>
    </row>
    <row r="1818" spans="1:14" x14ac:dyDescent="0.35">
      <c r="A1818" t="s">
        <v>3742</v>
      </c>
      <c r="B1818" t="s">
        <v>1924</v>
      </c>
      <c r="C1818" t="s">
        <v>200</v>
      </c>
      <c r="D1818" t="s">
        <v>1915</v>
      </c>
      <c r="E1818" t="s">
        <v>1884</v>
      </c>
      <c r="F1818" t="s">
        <v>1895</v>
      </c>
      <c r="G1818">
        <v>481802</v>
      </c>
      <c r="H1818" s="1">
        <v>45256</v>
      </c>
      <c r="I1818" s="1"/>
      <c r="K1818">
        <v>6.6</v>
      </c>
      <c r="L1818" t="s">
        <v>30</v>
      </c>
      <c r="M1818" t="s">
        <v>1886</v>
      </c>
      <c r="N1818" t="s">
        <v>1887</v>
      </c>
    </row>
    <row r="1819" spans="1:14" x14ac:dyDescent="0.35">
      <c r="A1819" t="s">
        <v>3743</v>
      </c>
      <c r="B1819" t="s">
        <v>1920</v>
      </c>
      <c r="C1819" t="s">
        <v>399</v>
      </c>
      <c r="D1819" t="s">
        <v>1883</v>
      </c>
      <c r="E1819" t="s">
        <v>1600</v>
      </c>
      <c r="F1819" t="s">
        <v>1895</v>
      </c>
      <c r="G1819">
        <v>23206</v>
      </c>
      <c r="H1819" s="1">
        <v>45277</v>
      </c>
      <c r="I1819" s="1"/>
      <c r="K1819">
        <v>2.7</v>
      </c>
      <c r="L1819" t="s">
        <v>30</v>
      </c>
      <c r="M1819" t="s">
        <v>1886</v>
      </c>
      <c r="N1819" t="s">
        <v>1887</v>
      </c>
    </row>
    <row r="1820" spans="1:14" x14ac:dyDescent="0.35">
      <c r="A1820" t="s">
        <v>3744</v>
      </c>
      <c r="B1820" t="s">
        <v>1924</v>
      </c>
      <c r="C1820" t="s">
        <v>491</v>
      </c>
      <c r="D1820" t="s">
        <v>1883</v>
      </c>
      <c r="E1820" t="s">
        <v>1884</v>
      </c>
      <c r="F1820" t="s">
        <v>1895</v>
      </c>
      <c r="G1820">
        <v>251012</v>
      </c>
      <c r="H1820" s="1">
        <v>44955</v>
      </c>
      <c r="I1820" s="1"/>
      <c r="K1820">
        <v>14.4</v>
      </c>
      <c r="L1820" t="s">
        <v>30</v>
      </c>
      <c r="M1820" t="s">
        <v>1896</v>
      </c>
      <c r="N1820" t="s">
        <v>1887</v>
      </c>
    </row>
    <row r="1821" spans="1:14" x14ac:dyDescent="0.35">
      <c r="A1821" t="s">
        <v>3745</v>
      </c>
      <c r="B1821" t="s">
        <v>1898</v>
      </c>
      <c r="C1821" t="s">
        <v>18</v>
      </c>
      <c r="D1821" t="s">
        <v>1899</v>
      </c>
      <c r="E1821" t="s">
        <v>1905</v>
      </c>
      <c r="F1821" t="s">
        <v>1908</v>
      </c>
      <c r="G1821">
        <v>419675</v>
      </c>
      <c r="H1821" s="1">
        <v>44988</v>
      </c>
      <c r="I1821" s="1"/>
      <c r="K1821">
        <v>11.2</v>
      </c>
      <c r="L1821" t="s">
        <v>15</v>
      </c>
      <c r="M1821" t="s">
        <v>1896</v>
      </c>
      <c r="N1821" t="s">
        <v>1887</v>
      </c>
    </row>
    <row r="1822" spans="1:14" x14ac:dyDescent="0.35">
      <c r="A1822" t="s">
        <v>3746</v>
      </c>
      <c r="B1822" t="s">
        <v>1963</v>
      </c>
      <c r="C1822" t="s">
        <v>414</v>
      </c>
      <c r="D1822" t="s">
        <v>1899</v>
      </c>
      <c r="E1822" t="s">
        <v>1891</v>
      </c>
      <c r="F1822" t="s">
        <v>1900</v>
      </c>
      <c r="G1822">
        <v>458671</v>
      </c>
      <c r="H1822" s="1">
        <v>44965</v>
      </c>
      <c r="I1822" s="1">
        <v>44982</v>
      </c>
      <c r="J1822">
        <v>17</v>
      </c>
      <c r="K1822">
        <v>17.7</v>
      </c>
      <c r="L1822" t="s">
        <v>15</v>
      </c>
      <c r="M1822" t="s">
        <v>1896</v>
      </c>
      <c r="N1822" t="s">
        <v>1887</v>
      </c>
    </row>
    <row r="1823" spans="1:14" x14ac:dyDescent="0.35">
      <c r="A1823" t="s">
        <v>3747</v>
      </c>
      <c r="B1823" t="s">
        <v>1934</v>
      </c>
      <c r="C1823" t="s">
        <v>466</v>
      </c>
      <c r="D1823" t="s">
        <v>1890</v>
      </c>
      <c r="E1823" t="s">
        <v>1884</v>
      </c>
      <c r="F1823" t="s">
        <v>1895</v>
      </c>
      <c r="G1823">
        <v>357507</v>
      </c>
      <c r="H1823" s="1">
        <v>45418</v>
      </c>
      <c r="I1823" s="1"/>
      <c r="K1823">
        <v>5.7</v>
      </c>
      <c r="L1823" t="s">
        <v>21</v>
      </c>
      <c r="M1823" t="s">
        <v>1935</v>
      </c>
      <c r="N1823" t="s">
        <v>1887</v>
      </c>
    </row>
    <row r="1824" spans="1:14" x14ac:dyDescent="0.35">
      <c r="A1824" t="s">
        <v>3748</v>
      </c>
      <c r="B1824" t="s">
        <v>1934</v>
      </c>
      <c r="C1824" t="s">
        <v>358</v>
      </c>
      <c r="D1824" t="s">
        <v>1915</v>
      </c>
      <c r="E1824" t="s">
        <v>1931</v>
      </c>
      <c r="F1824" t="s">
        <v>1895</v>
      </c>
      <c r="G1824">
        <v>194044</v>
      </c>
      <c r="H1824" s="1">
        <v>45020</v>
      </c>
      <c r="I1824" s="1"/>
      <c r="K1824">
        <v>1.8</v>
      </c>
      <c r="L1824" t="s">
        <v>30</v>
      </c>
      <c r="M1824" t="s">
        <v>1893</v>
      </c>
      <c r="N1824" t="s">
        <v>1887</v>
      </c>
    </row>
    <row r="1825" spans="1:14" x14ac:dyDescent="0.35">
      <c r="A1825" t="s">
        <v>3749</v>
      </c>
      <c r="B1825" t="s">
        <v>1882</v>
      </c>
      <c r="C1825" t="s">
        <v>128</v>
      </c>
      <c r="D1825" t="s">
        <v>1883</v>
      </c>
      <c r="E1825" t="s">
        <v>1600</v>
      </c>
      <c r="F1825" t="s">
        <v>1946</v>
      </c>
      <c r="G1825">
        <v>128677</v>
      </c>
      <c r="H1825" s="1">
        <v>44947</v>
      </c>
      <c r="I1825" s="1"/>
      <c r="L1825" t="s">
        <v>30</v>
      </c>
      <c r="M1825" t="s">
        <v>1896</v>
      </c>
      <c r="N1825" t="s">
        <v>1887</v>
      </c>
    </row>
    <row r="1826" spans="1:14" x14ac:dyDescent="0.35">
      <c r="A1826" t="s">
        <v>3750</v>
      </c>
      <c r="B1826" t="s">
        <v>1937</v>
      </c>
      <c r="C1826" t="s">
        <v>382</v>
      </c>
      <c r="D1826" t="s">
        <v>1927</v>
      </c>
      <c r="E1826" t="s">
        <v>1678</v>
      </c>
      <c r="F1826" t="s">
        <v>1892</v>
      </c>
      <c r="G1826">
        <v>386877</v>
      </c>
      <c r="H1826" s="1">
        <v>45052</v>
      </c>
      <c r="I1826" s="1"/>
      <c r="L1826" t="s">
        <v>21</v>
      </c>
      <c r="M1826" t="s">
        <v>1893</v>
      </c>
      <c r="N1826" t="s">
        <v>1887</v>
      </c>
    </row>
    <row r="1827" spans="1:14" x14ac:dyDescent="0.35">
      <c r="A1827" t="s">
        <v>3751</v>
      </c>
      <c r="B1827" t="s">
        <v>1924</v>
      </c>
      <c r="C1827" t="s">
        <v>216</v>
      </c>
      <c r="D1827" t="s">
        <v>1904</v>
      </c>
      <c r="E1827" t="s">
        <v>1918</v>
      </c>
      <c r="F1827" t="s">
        <v>1895</v>
      </c>
      <c r="G1827">
        <v>453444</v>
      </c>
      <c r="H1827" s="1">
        <v>45381</v>
      </c>
      <c r="I1827" s="1"/>
      <c r="L1827" t="s">
        <v>47</v>
      </c>
      <c r="M1827" t="s">
        <v>1916</v>
      </c>
      <c r="N1827" t="s">
        <v>1887</v>
      </c>
    </row>
    <row r="1828" spans="1:14" x14ac:dyDescent="0.35">
      <c r="A1828" t="s">
        <v>3752</v>
      </c>
      <c r="B1828" t="s">
        <v>1944</v>
      </c>
      <c r="C1828" t="s">
        <v>426</v>
      </c>
      <c r="D1828" t="s">
        <v>1883</v>
      </c>
      <c r="E1828" t="s">
        <v>1931</v>
      </c>
      <c r="F1828" t="s">
        <v>1900</v>
      </c>
      <c r="G1828">
        <v>318681</v>
      </c>
      <c r="H1828" s="1">
        <v>45610</v>
      </c>
      <c r="I1828" s="1">
        <v>45695</v>
      </c>
      <c r="J1828">
        <v>85</v>
      </c>
      <c r="K1828">
        <v>17.399999999999999</v>
      </c>
      <c r="L1828" t="s">
        <v>47</v>
      </c>
      <c r="M1828" t="s">
        <v>1901</v>
      </c>
      <c r="N1828" t="s">
        <v>1887</v>
      </c>
    </row>
    <row r="1829" spans="1:14" x14ac:dyDescent="0.35">
      <c r="A1829" t="s">
        <v>3753</v>
      </c>
      <c r="B1829" t="s">
        <v>1926</v>
      </c>
      <c r="C1829" t="s">
        <v>457</v>
      </c>
      <c r="D1829" t="s">
        <v>1899</v>
      </c>
      <c r="E1829" t="s">
        <v>1884</v>
      </c>
      <c r="F1829" t="s">
        <v>1908</v>
      </c>
      <c r="G1829">
        <v>336617</v>
      </c>
      <c r="H1829" s="1">
        <v>45146</v>
      </c>
      <c r="I1829" s="1"/>
      <c r="K1829">
        <v>0.6</v>
      </c>
      <c r="L1829" t="s">
        <v>30</v>
      </c>
      <c r="M1829" t="s">
        <v>1932</v>
      </c>
      <c r="N1829" t="s">
        <v>1887</v>
      </c>
    </row>
    <row r="1830" spans="1:14" x14ac:dyDescent="0.35">
      <c r="A1830" t="s">
        <v>3754</v>
      </c>
      <c r="B1830" t="s">
        <v>1903</v>
      </c>
      <c r="C1830" t="s">
        <v>455</v>
      </c>
      <c r="D1830" t="s">
        <v>1927</v>
      </c>
      <c r="E1830" t="s">
        <v>1905</v>
      </c>
      <c r="F1830" t="s">
        <v>1900</v>
      </c>
      <c r="G1830">
        <v>369868</v>
      </c>
      <c r="H1830" s="1">
        <v>45023</v>
      </c>
      <c r="I1830" s="1">
        <v>45149</v>
      </c>
      <c r="J1830">
        <v>126</v>
      </c>
      <c r="K1830">
        <v>2.8</v>
      </c>
      <c r="L1830" t="s">
        <v>30</v>
      </c>
      <c r="M1830" t="s">
        <v>1893</v>
      </c>
      <c r="N1830" t="s">
        <v>1887</v>
      </c>
    </row>
    <row r="1831" spans="1:14" x14ac:dyDescent="0.35">
      <c r="A1831" t="s">
        <v>3755</v>
      </c>
      <c r="B1831" t="s">
        <v>1963</v>
      </c>
      <c r="C1831" t="s">
        <v>103</v>
      </c>
      <c r="D1831" t="s">
        <v>1915</v>
      </c>
      <c r="E1831" t="s">
        <v>1918</v>
      </c>
      <c r="F1831" t="s">
        <v>1946</v>
      </c>
      <c r="G1831">
        <v>10537</v>
      </c>
      <c r="H1831" s="1">
        <v>45401</v>
      </c>
      <c r="I1831" s="1"/>
      <c r="L1831" t="s">
        <v>47</v>
      </c>
      <c r="M1831" t="s">
        <v>1935</v>
      </c>
      <c r="N1831" t="s">
        <v>1887</v>
      </c>
    </row>
    <row r="1832" spans="1:14" x14ac:dyDescent="0.35">
      <c r="A1832" t="s">
        <v>3756</v>
      </c>
      <c r="B1832" t="s">
        <v>1898</v>
      </c>
      <c r="C1832" t="s">
        <v>408</v>
      </c>
      <c r="D1832" t="s">
        <v>1927</v>
      </c>
      <c r="E1832" t="s">
        <v>1600</v>
      </c>
      <c r="F1832" t="s">
        <v>1895</v>
      </c>
      <c r="G1832">
        <v>354519</v>
      </c>
      <c r="H1832" s="1">
        <v>45121</v>
      </c>
      <c r="I1832" s="1"/>
      <c r="L1832" t="s">
        <v>21</v>
      </c>
      <c r="M1832" t="s">
        <v>1932</v>
      </c>
      <c r="N1832" t="s">
        <v>1887</v>
      </c>
    </row>
    <row r="1833" spans="1:14" x14ac:dyDescent="0.35">
      <c r="A1833" t="s">
        <v>3757</v>
      </c>
      <c r="B1833" t="s">
        <v>1944</v>
      </c>
      <c r="C1833" t="s">
        <v>236</v>
      </c>
      <c r="D1833" t="s">
        <v>1883</v>
      </c>
      <c r="E1833" t="s">
        <v>1678</v>
      </c>
      <c r="F1833" t="s">
        <v>1900</v>
      </c>
      <c r="G1833">
        <v>268024</v>
      </c>
      <c r="H1833" s="1">
        <v>45448</v>
      </c>
      <c r="I1833" s="1">
        <v>45466</v>
      </c>
      <c r="J1833">
        <v>18</v>
      </c>
      <c r="K1833">
        <v>12.5</v>
      </c>
      <c r="L1833" t="s">
        <v>15</v>
      </c>
      <c r="M1833" t="s">
        <v>1935</v>
      </c>
      <c r="N1833" t="s">
        <v>1887</v>
      </c>
    </row>
    <row r="1834" spans="1:14" x14ac:dyDescent="0.35">
      <c r="A1834" t="s">
        <v>3758</v>
      </c>
      <c r="B1834" t="s">
        <v>1937</v>
      </c>
      <c r="C1834" t="s">
        <v>219</v>
      </c>
      <c r="D1834" t="s">
        <v>1890</v>
      </c>
      <c r="E1834" t="s">
        <v>1905</v>
      </c>
      <c r="F1834" t="s">
        <v>1908</v>
      </c>
      <c r="G1834">
        <v>95643</v>
      </c>
      <c r="H1834" s="1">
        <v>45076</v>
      </c>
      <c r="I1834" s="1"/>
      <c r="K1834">
        <v>13</v>
      </c>
      <c r="L1834" t="s">
        <v>21</v>
      </c>
      <c r="M1834" t="s">
        <v>1893</v>
      </c>
      <c r="N1834" t="s">
        <v>1887</v>
      </c>
    </row>
    <row r="1835" spans="1:14" x14ac:dyDescent="0.35">
      <c r="A1835" t="s">
        <v>3759</v>
      </c>
      <c r="B1835" t="s">
        <v>1926</v>
      </c>
      <c r="C1835" t="s">
        <v>373</v>
      </c>
      <c r="D1835" t="s">
        <v>1890</v>
      </c>
      <c r="E1835" t="s">
        <v>1678</v>
      </c>
      <c r="F1835" t="s">
        <v>1885</v>
      </c>
      <c r="G1835">
        <v>296216</v>
      </c>
      <c r="H1835" s="1">
        <v>45606</v>
      </c>
      <c r="I1835" s="1">
        <v>45758</v>
      </c>
      <c r="J1835">
        <v>152</v>
      </c>
      <c r="K1835">
        <v>13.7</v>
      </c>
      <c r="L1835" t="s">
        <v>30</v>
      </c>
      <c r="M1835" t="s">
        <v>1901</v>
      </c>
      <c r="N1835" t="s">
        <v>1887</v>
      </c>
    </row>
    <row r="1836" spans="1:14" x14ac:dyDescent="0.35">
      <c r="A1836" t="s">
        <v>3760</v>
      </c>
      <c r="B1836" t="s">
        <v>1937</v>
      </c>
      <c r="C1836" t="s">
        <v>293</v>
      </c>
      <c r="D1836" t="s">
        <v>1883</v>
      </c>
      <c r="E1836" t="s">
        <v>1600</v>
      </c>
      <c r="F1836" t="s">
        <v>1908</v>
      </c>
      <c r="G1836">
        <v>279618</v>
      </c>
      <c r="H1836" s="1">
        <v>45712</v>
      </c>
      <c r="I1836" s="1"/>
      <c r="L1836" t="s">
        <v>15</v>
      </c>
      <c r="M1836" t="s">
        <v>1912</v>
      </c>
      <c r="N1836" t="s">
        <v>1887</v>
      </c>
    </row>
    <row r="1837" spans="1:14" x14ac:dyDescent="0.35">
      <c r="A1837" t="s">
        <v>3761</v>
      </c>
      <c r="B1837" t="s">
        <v>1924</v>
      </c>
      <c r="C1837" t="s">
        <v>492</v>
      </c>
      <c r="D1837" t="s">
        <v>1927</v>
      </c>
      <c r="E1837" t="s">
        <v>1918</v>
      </c>
      <c r="F1837" t="s">
        <v>1908</v>
      </c>
      <c r="G1837">
        <v>14080</v>
      </c>
      <c r="H1837" s="1">
        <v>45305</v>
      </c>
      <c r="I1837" s="1"/>
      <c r="K1837">
        <v>10.1</v>
      </c>
      <c r="L1837" t="s">
        <v>21</v>
      </c>
      <c r="M1837" t="s">
        <v>1916</v>
      </c>
      <c r="N1837" t="s">
        <v>1887</v>
      </c>
    </row>
    <row r="1838" spans="1:14" x14ac:dyDescent="0.35">
      <c r="A1838" t="s">
        <v>3762</v>
      </c>
      <c r="B1838" t="s">
        <v>1898</v>
      </c>
      <c r="C1838" t="s">
        <v>432</v>
      </c>
      <c r="D1838" t="s">
        <v>1883</v>
      </c>
      <c r="E1838" t="s">
        <v>1884</v>
      </c>
      <c r="F1838" t="s">
        <v>1908</v>
      </c>
      <c r="G1838">
        <v>99418</v>
      </c>
      <c r="H1838" s="1">
        <v>45288</v>
      </c>
      <c r="I1838" s="1"/>
      <c r="K1838">
        <v>6.1</v>
      </c>
      <c r="L1838" t="s">
        <v>21</v>
      </c>
      <c r="M1838" t="s">
        <v>1886</v>
      </c>
      <c r="N1838" t="s">
        <v>1887</v>
      </c>
    </row>
    <row r="1839" spans="1:14" x14ac:dyDescent="0.35">
      <c r="A1839" t="s">
        <v>3763</v>
      </c>
      <c r="B1839" t="s">
        <v>1882</v>
      </c>
      <c r="C1839" t="s">
        <v>120</v>
      </c>
      <c r="D1839" t="s">
        <v>1883</v>
      </c>
      <c r="E1839" t="s">
        <v>1600</v>
      </c>
      <c r="F1839" t="s">
        <v>1946</v>
      </c>
      <c r="G1839">
        <v>154760</v>
      </c>
      <c r="H1839" s="1">
        <v>45680</v>
      </c>
      <c r="I1839" s="1"/>
      <c r="K1839">
        <v>7.7</v>
      </c>
      <c r="L1839" t="s">
        <v>21</v>
      </c>
      <c r="M1839" t="s">
        <v>1912</v>
      </c>
      <c r="N1839" t="s">
        <v>1887</v>
      </c>
    </row>
    <row r="1840" spans="1:14" x14ac:dyDescent="0.35">
      <c r="A1840" t="s">
        <v>3764</v>
      </c>
      <c r="B1840" t="s">
        <v>1920</v>
      </c>
      <c r="C1840" t="s">
        <v>413</v>
      </c>
      <c r="D1840" t="s">
        <v>1899</v>
      </c>
      <c r="E1840" t="s">
        <v>1891</v>
      </c>
      <c r="F1840" t="s">
        <v>1946</v>
      </c>
      <c r="G1840">
        <v>12398</v>
      </c>
      <c r="H1840" s="1">
        <v>45550</v>
      </c>
      <c r="I1840" s="1"/>
      <c r="L1840" t="s">
        <v>30</v>
      </c>
      <c r="M1840" t="s">
        <v>1953</v>
      </c>
      <c r="N1840" t="s">
        <v>1887</v>
      </c>
    </row>
    <row r="1841" spans="1:14" x14ac:dyDescent="0.35">
      <c r="A1841" t="s">
        <v>3765</v>
      </c>
      <c r="B1841" t="s">
        <v>1924</v>
      </c>
      <c r="C1841" t="s">
        <v>350</v>
      </c>
      <c r="D1841" t="s">
        <v>1899</v>
      </c>
      <c r="E1841" t="s">
        <v>1587</v>
      </c>
      <c r="F1841" t="s">
        <v>1908</v>
      </c>
      <c r="G1841">
        <v>398503</v>
      </c>
      <c r="H1841" s="1">
        <v>45368</v>
      </c>
      <c r="I1841" s="1"/>
      <c r="K1841">
        <v>5.4</v>
      </c>
      <c r="L1841" t="s">
        <v>15</v>
      </c>
      <c r="M1841" t="s">
        <v>1916</v>
      </c>
      <c r="N1841" t="s">
        <v>1887</v>
      </c>
    </row>
    <row r="1842" spans="1:14" x14ac:dyDescent="0.35">
      <c r="A1842" t="s">
        <v>3766</v>
      </c>
      <c r="B1842" t="s">
        <v>1924</v>
      </c>
      <c r="C1842" t="s">
        <v>167</v>
      </c>
      <c r="D1842" t="s">
        <v>1899</v>
      </c>
      <c r="E1842" t="s">
        <v>1884</v>
      </c>
      <c r="F1842" t="s">
        <v>1908</v>
      </c>
      <c r="G1842">
        <v>426458</v>
      </c>
      <c r="H1842" s="1">
        <v>45600</v>
      </c>
      <c r="I1842" s="1"/>
      <c r="K1842">
        <v>7.3</v>
      </c>
      <c r="L1842" t="s">
        <v>30</v>
      </c>
      <c r="M1842" t="s">
        <v>1901</v>
      </c>
      <c r="N1842" t="s">
        <v>1887</v>
      </c>
    </row>
    <row r="1843" spans="1:14" x14ac:dyDescent="0.35">
      <c r="A1843" t="s">
        <v>3767</v>
      </c>
      <c r="B1843" t="s">
        <v>1920</v>
      </c>
      <c r="C1843" t="s">
        <v>279</v>
      </c>
      <c r="D1843" t="s">
        <v>1883</v>
      </c>
      <c r="E1843" t="s">
        <v>1931</v>
      </c>
      <c r="F1843" t="s">
        <v>1908</v>
      </c>
      <c r="G1843">
        <v>32657</v>
      </c>
      <c r="H1843" s="1">
        <v>45522</v>
      </c>
      <c r="I1843" s="1"/>
      <c r="L1843" t="s">
        <v>30</v>
      </c>
      <c r="M1843" t="s">
        <v>1953</v>
      </c>
      <c r="N1843" t="s">
        <v>1887</v>
      </c>
    </row>
    <row r="1844" spans="1:14" x14ac:dyDescent="0.35">
      <c r="A1844" t="s">
        <v>3768</v>
      </c>
      <c r="B1844" t="s">
        <v>1922</v>
      </c>
      <c r="C1844" t="s">
        <v>226</v>
      </c>
      <c r="D1844" t="s">
        <v>1890</v>
      </c>
      <c r="E1844" t="s">
        <v>1905</v>
      </c>
      <c r="F1844" t="s">
        <v>1908</v>
      </c>
      <c r="G1844">
        <v>136734</v>
      </c>
      <c r="H1844" s="1">
        <v>44972</v>
      </c>
      <c r="I1844" s="1"/>
      <c r="L1844" t="s">
        <v>47</v>
      </c>
      <c r="M1844" t="s">
        <v>1896</v>
      </c>
      <c r="N1844" t="s">
        <v>1887</v>
      </c>
    </row>
    <row r="1845" spans="1:14" x14ac:dyDescent="0.35">
      <c r="A1845" t="s">
        <v>3769</v>
      </c>
      <c r="B1845" t="s">
        <v>1963</v>
      </c>
      <c r="C1845" t="s">
        <v>457</v>
      </c>
      <c r="D1845" t="s">
        <v>1899</v>
      </c>
      <c r="E1845" t="s">
        <v>1884</v>
      </c>
      <c r="F1845" t="s">
        <v>1900</v>
      </c>
      <c r="G1845">
        <v>309038</v>
      </c>
      <c r="H1845" s="1">
        <v>45439</v>
      </c>
      <c r="I1845" s="1">
        <v>45544</v>
      </c>
      <c r="J1845">
        <v>105</v>
      </c>
      <c r="K1845">
        <v>22.5</v>
      </c>
      <c r="L1845" t="s">
        <v>15</v>
      </c>
      <c r="M1845" t="s">
        <v>1935</v>
      </c>
      <c r="N1845" t="s">
        <v>1887</v>
      </c>
    </row>
    <row r="1846" spans="1:14" x14ac:dyDescent="0.35">
      <c r="A1846" t="s">
        <v>3770</v>
      </c>
      <c r="B1846" t="s">
        <v>1920</v>
      </c>
      <c r="C1846" t="s">
        <v>164</v>
      </c>
      <c r="D1846" t="s">
        <v>1927</v>
      </c>
      <c r="E1846" t="s">
        <v>1918</v>
      </c>
      <c r="F1846" t="s">
        <v>1946</v>
      </c>
      <c r="G1846">
        <v>389000</v>
      </c>
      <c r="H1846" s="1">
        <v>45571</v>
      </c>
      <c r="I1846" s="1"/>
      <c r="L1846" t="s">
        <v>15</v>
      </c>
      <c r="M1846" t="s">
        <v>1901</v>
      </c>
      <c r="N1846" t="s">
        <v>1887</v>
      </c>
    </row>
    <row r="1847" spans="1:14" x14ac:dyDescent="0.35">
      <c r="A1847" t="s">
        <v>3771</v>
      </c>
      <c r="B1847" t="s">
        <v>1934</v>
      </c>
      <c r="C1847" t="s">
        <v>429</v>
      </c>
      <c r="D1847" t="s">
        <v>1915</v>
      </c>
      <c r="E1847" t="s">
        <v>1587</v>
      </c>
      <c r="F1847" t="s">
        <v>1895</v>
      </c>
      <c r="G1847">
        <v>1547947</v>
      </c>
      <c r="H1847" s="1">
        <v>45696</v>
      </c>
      <c r="I1847" s="1"/>
      <c r="K1847">
        <v>4.2</v>
      </c>
      <c r="L1847" t="s">
        <v>15</v>
      </c>
      <c r="M1847" t="s">
        <v>1912</v>
      </c>
      <c r="N1847" t="s">
        <v>1966</v>
      </c>
    </row>
    <row r="1848" spans="1:14" x14ac:dyDescent="0.35">
      <c r="A1848" t="s">
        <v>3772</v>
      </c>
      <c r="B1848" t="s">
        <v>1920</v>
      </c>
      <c r="C1848" t="s">
        <v>303</v>
      </c>
      <c r="D1848" t="s">
        <v>1899</v>
      </c>
      <c r="E1848" t="s">
        <v>1600</v>
      </c>
      <c r="F1848" t="s">
        <v>1946</v>
      </c>
      <c r="G1848">
        <v>370627</v>
      </c>
      <c r="H1848" s="1">
        <v>44956</v>
      </c>
      <c r="I1848" s="1"/>
      <c r="L1848" t="s">
        <v>47</v>
      </c>
      <c r="M1848" t="s">
        <v>1896</v>
      </c>
      <c r="N1848" t="s">
        <v>1887</v>
      </c>
    </row>
    <row r="1849" spans="1:14" x14ac:dyDescent="0.35">
      <c r="A1849" t="s">
        <v>3773</v>
      </c>
      <c r="B1849" t="s">
        <v>1934</v>
      </c>
      <c r="C1849" t="s">
        <v>296</v>
      </c>
      <c r="D1849" t="s">
        <v>1890</v>
      </c>
      <c r="E1849" t="s">
        <v>1600</v>
      </c>
      <c r="F1849" t="s">
        <v>1895</v>
      </c>
      <c r="G1849">
        <v>417769</v>
      </c>
      <c r="H1849" s="1">
        <v>45179</v>
      </c>
      <c r="I1849" s="1"/>
      <c r="L1849" t="s">
        <v>21</v>
      </c>
      <c r="M1849" t="s">
        <v>1932</v>
      </c>
      <c r="N1849" t="s">
        <v>1887</v>
      </c>
    </row>
    <row r="1850" spans="1:14" x14ac:dyDescent="0.35">
      <c r="A1850" t="s">
        <v>3774</v>
      </c>
      <c r="B1850" t="s">
        <v>1903</v>
      </c>
      <c r="C1850" t="s">
        <v>190</v>
      </c>
      <c r="D1850" t="s">
        <v>1915</v>
      </c>
      <c r="E1850" t="s">
        <v>1587</v>
      </c>
      <c r="F1850" t="s">
        <v>1900</v>
      </c>
      <c r="G1850">
        <v>385562</v>
      </c>
      <c r="H1850" s="1">
        <v>45071</v>
      </c>
      <c r="I1850" s="1">
        <v>45135</v>
      </c>
      <c r="J1850">
        <v>64</v>
      </c>
      <c r="K1850">
        <v>7.3</v>
      </c>
      <c r="L1850" t="s">
        <v>15</v>
      </c>
      <c r="M1850" t="s">
        <v>1893</v>
      </c>
      <c r="N1850" t="s">
        <v>1887</v>
      </c>
    </row>
    <row r="1851" spans="1:14" x14ac:dyDescent="0.35">
      <c r="A1851" t="s">
        <v>3775</v>
      </c>
      <c r="B1851" t="s">
        <v>1922</v>
      </c>
      <c r="C1851" t="s">
        <v>293</v>
      </c>
      <c r="D1851" t="s">
        <v>1904</v>
      </c>
      <c r="E1851" t="s">
        <v>1884</v>
      </c>
      <c r="F1851" t="s">
        <v>1895</v>
      </c>
      <c r="G1851">
        <v>61352</v>
      </c>
      <c r="H1851" s="1">
        <v>45154</v>
      </c>
      <c r="I1851" s="1"/>
      <c r="L1851" t="s">
        <v>47</v>
      </c>
      <c r="M1851" t="s">
        <v>1932</v>
      </c>
      <c r="N1851" t="s">
        <v>1887</v>
      </c>
    </row>
    <row r="1852" spans="1:14" x14ac:dyDescent="0.35">
      <c r="A1852" t="s">
        <v>3776</v>
      </c>
      <c r="B1852" t="s">
        <v>1903</v>
      </c>
      <c r="C1852" t="s">
        <v>404</v>
      </c>
      <c r="D1852" t="s">
        <v>1927</v>
      </c>
      <c r="E1852" t="s">
        <v>1931</v>
      </c>
      <c r="F1852" t="s">
        <v>1946</v>
      </c>
      <c r="G1852">
        <v>312721</v>
      </c>
      <c r="H1852" s="1">
        <v>44968</v>
      </c>
      <c r="I1852" s="1"/>
      <c r="K1852">
        <v>2.9</v>
      </c>
      <c r="L1852" t="s">
        <v>15</v>
      </c>
      <c r="M1852" t="s">
        <v>1896</v>
      </c>
      <c r="N1852" t="s">
        <v>1887</v>
      </c>
    </row>
    <row r="1853" spans="1:14" x14ac:dyDescent="0.35">
      <c r="A1853" t="s">
        <v>3777</v>
      </c>
      <c r="B1853" t="s">
        <v>1930</v>
      </c>
      <c r="C1853" t="s">
        <v>243</v>
      </c>
      <c r="D1853" t="s">
        <v>1890</v>
      </c>
      <c r="E1853" t="s">
        <v>1931</v>
      </c>
      <c r="F1853" t="s">
        <v>1900</v>
      </c>
      <c r="G1853">
        <v>221222</v>
      </c>
      <c r="H1853" s="1">
        <v>45565</v>
      </c>
      <c r="I1853" s="1">
        <v>45586</v>
      </c>
      <c r="J1853">
        <v>21</v>
      </c>
      <c r="K1853">
        <v>24.4</v>
      </c>
      <c r="L1853" t="s">
        <v>15</v>
      </c>
      <c r="M1853" t="s">
        <v>1953</v>
      </c>
      <c r="N1853" t="s">
        <v>1887</v>
      </c>
    </row>
    <row r="1854" spans="1:14" x14ac:dyDescent="0.35">
      <c r="A1854" t="s">
        <v>3778</v>
      </c>
      <c r="B1854" t="s">
        <v>1889</v>
      </c>
      <c r="C1854" t="s">
        <v>295</v>
      </c>
      <c r="D1854" t="s">
        <v>1904</v>
      </c>
      <c r="E1854" t="s">
        <v>1600</v>
      </c>
      <c r="F1854" t="s">
        <v>1885</v>
      </c>
      <c r="G1854">
        <v>404465</v>
      </c>
      <c r="H1854" s="1">
        <v>45483</v>
      </c>
      <c r="I1854" s="1">
        <v>45564</v>
      </c>
      <c r="J1854">
        <v>81</v>
      </c>
      <c r="K1854">
        <v>4.5</v>
      </c>
      <c r="L1854" t="s">
        <v>30</v>
      </c>
      <c r="M1854" t="s">
        <v>1953</v>
      </c>
      <c r="N1854" t="s">
        <v>1887</v>
      </c>
    </row>
    <row r="1855" spans="1:14" x14ac:dyDescent="0.35">
      <c r="A1855" t="s">
        <v>3779</v>
      </c>
      <c r="B1855" t="s">
        <v>1914</v>
      </c>
      <c r="C1855" t="s">
        <v>424</v>
      </c>
      <c r="D1855" t="s">
        <v>1883</v>
      </c>
      <c r="E1855" t="s">
        <v>1905</v>
      </c>
      <c r="F1855" t="s">
        <v>1900</v>
      </c>
      <c r="G1855">
        <v>444535</v>
      </c>
      <c r="H1855" s="1">
        <v>45120</v>
      </c>
      <c r="I1855" s="1">
        <v>45232</v>
      </c>
      <c r="J1855">
        <v>112</v>
      </c>
      <c r="K1855">
        <v>7.5</v>
      </c>
      <c r="L1855" t="s">
        <v>30</v>
      </c>
      <c r="M1855" t="s">
        <v>1932</v>
      </c>
      <c r="N1855" t="s">
        <v>1887</v>
      </c>
    </row>
    <row r="1856" spans="1:14" x14ac:dyDescent="0.35">
      <c r="A1856" t="s">
        <v>3780</v>
      </c>
      <c r="B1856" t="s">
        <v>1934</v>
      </c>
      <c r="C1856" t="s">
        <v>147</v>
      </c>
      <c r="D1856" t="s">
        <v>1890</v>
      </c>
      <c r="E1856" t="s">
        <v>1587</v>
      </c>
      <c r="F1856" t="s">
        <v>1895</v>
      </c>
      <c r="G1856">
        <v>401722</v>
      </c>
      <c r="H1856" s="1">
        <v>45343</v>
      </c>
      <c r="I1856" s="1"/>
      <c r="K1856">
        <v>12.6</v>
      </c>
      <c r="L1856" t="s">
        <v>47</v>
      </c>
      <c r="M1856" t="s">
        <v>1916</v>
      </c>
      <c r="N1856" t="s">
        <v>1887</v>
      </c>
    </row>
    <row r="1857" spans="1:14" x14ac:dyDescent="0.35">
      <c r="A1857" t="s">
        <v>3781</v>
      </c>
      <c r="B1857" t="s">
        <v>1882</v>
      </c>
      <c r="C1857" t="s">
        <v>140</v>
      </c>
      <c r="D1857" t="s">
        <v>1904</v>
      </c>
      <c r="E1857" t="s">
        <v>1600</v>
      </c>
      <c r="F1857" t="s">
        <v>1895</v>
      </c>
      <c r="G1857">
        <v>472525</v>
      </c>
      <c r="H1857" s="1">
        <v>45250</v>
      </c>
      <c r="I1857" s="1"/>
      <c r="K1857">
        <v>4.0999999999999996</v>
      </c>
      <c r="L1857" t="s">
        <v>47</v>
      </c>
      <c r="M1857" t="s">
        <v>1886</v>
      </c>
      <c r="N1857" t="s">
        <v>1887</v>
      </c>
    </row>
    <row r="1858" spans="1:14" x14ac:dyDescent="0.35">
      <c r="A1858" t="s">
        <v>3782</v>
      </c>
      <c r="B1858" t="s">
        <v>1911</v>
      </c>
      <c r="C1858" t="s">
        <v>277</v>
      </c>
      <c r="D1858" t="s">
        <v>1899</v>
      </c>
      <c r="E1858" t="s">
        <v>1587</v>
      </c>
      <c r="F1858" t="s">
        <v>1885</v>
      </c>
      <c r="G1858">
        <v>88042</v>
      </c>
      <c r="H1858" s="1">
        <v>44927</v>
      </c>
      <c r="I1858" s="1">
        <v>44951</v>
      </c>
      <c r="J1858">
        <v>24</v>
      </c>
      <c r="K1858">
        <v>4</v>
      </c>
      <c r="L1858" t="s">
        <v>30</v>
      </c>
      <c r="M1858" t="s">
        <v>1896</v>
      </c>
      <c r="N1858" t="s">
        <v>1887</v>
      </c>
    </row>
    <row r="1859" spans="1:14" x14ac:dyDescent="0.35">
      <c r="A1859" t="s">
        <v>3783</v>
      </c>
      <c r="B1859" t="s">
        <v>1920</v>
      </c>
      <c r="C1859" t="s">
        <v>49</v>
      </c>
      <c r="D1859" t="s">
        <v>1915</v>
      </c>
      <c r="E1859" t="s">
        <v>1891</v>
      </c>
      <c r="F1859" t="s">
        <v>1908</v>
      </c>
      <c r="G1859">
        <v>367011</v>
      </c>
      <c r="H1859" s="1">
        <v>45385</v>
      </c>
      <c r="I1859" s="1"/>
      <c r="L1859" t="s">
        <v>47</v>
      </c>
      <c r="M1859" t="s">
        <v>1935</v>
      </c>
      <c r="N1859" t="s">
        <v>1887</v>
      </c>
    </row>
    <row r="1860" spans="1:14" x14ac:dyDescent="0.35">
      <c r="A1860" t="s">
        <v>3784</v>
      </c>
      <c r="B1860" t="s">
        <v>1903</v>
      </c>
      <c r="C1860" t="s">
        <v>329</v>
      </c>
      <c r="D1860" t="s">
        <v>1890</v>
      </c>
      <c r="E1860" t="s">
        <v>1678</v>
      </c>
      <c r="F1860" t="s">
        <v>1908</v>
      </c>
      <c r="G1860">
        <v>56146</v>
      </c>
      <c r="H1860" s="1">
        <v>45304</v>
      </c>
      <c r="I1860" s="1"/>
      <c r="K1860">
        <v>12.2</v>
      </c>
      <c r="L1860" t="s">
        <v>47</v>
      </c>
      <c r="M1860" t="s">
        <v>1916</v>
      </c>
      <c r="N1860" t="s">
        <v>1887</v>
      </c>
    </row>
    <row r="1861" spans="1:14" x14ac:dyDescent="0.35">
      <c r="A1861" t="s">
        <v>3785</v>
      </c>
      <c r="B1861" t="s">
        <v>1963</v>
      </c>
      <c r="C1861" t="s">
        <v>350</v>
      </c>
      <c r="D1861" t="s">
        <v>1890</v>
      </c>
      <c r="E1861" t="s">
        <v>1587</v>
      </c>
      <c r="F1861" t="s">
        <v>1946</v>
      </c>
      <c r="G1861">
        <v>185841</v>
      </c>
      <c r="H1861" s="1">
        <v>45269</v>
      </c>
      <c r="I1861" s="1"/>
      <c r="K1861">
        <v>11.8</v>
      </c>
      <c r="L1861" t="s">
        <v>30</v>
      </c>
      <c r="M1861" t="s">
        <v>1886</v>
      </c>
      <c r="N1861" t="s">
        <v>1887</v>
      </c>
    </row>
    <row r="1862" spans="1:14" x14ac:dyDescent="0.35">
      <c r="A1862" t="s">
        <v>3786</v>
      </c>
      <c r="B1862" t="s">
        <v>1911</v>
      </c>
      <c r="C1862" t="s">
        <v>351</v>
      </c>
      <c r="D1862" t="s">
        <v>1915</v>
      </c>
      <c r="E1862" t="s">
        <v>1678</v>
      </c>
      <c r="F1862" t="s">
        <v>1946</v>
      </c>
      <c r="G1862">
        <v>345337</v>
      </c>
      <c r="H1862" s="1">
        <v>45504</v>
      </c>
      <c r="I1862" s="1"/>
      <c r="L1862" t="s">
        <v>30</v>
      </c>
      <c r="M1862" t="s">
        <v>1953</v>
      </c>
      <c r="N1862" t="s">
        <v>1887</v>
      </c>
    </row>
    <row r="1863" spans="1:14" x14ac:dyDescent="0.35">
      <c r="A1863" t="s">
        <v>3787</v>
      </c>
      <c r="B1863" t="s">
        <v>1889</v>
      </c>
      <c r="C1863" t="s">
        <v>386</v>
      </c>
      <c r="D1863" t="s">
        <v>1899</v>
      </c>
      <c r="E1863" t="s">
        <v>1931</v>
      </c>
      <c r="F1863" t="s">
        <v>1900</v>
      </c>
      <c r="G1863">
        <v>59673</v>
      </c>
      <c r="H1863" s="1">
        <v>45243</v>
      </c>
      <c r="I1863" s="1">
        <v>45338</v>
      </c>
      <c r="J1863">
        <v>95</v>
      </c>
      <c r="K1863">
        <v>8.9</v>
      </c>
      <c r="L1863" t="s">
        <v>15</v>
      </c>
      <c r="M1863" t="s">
        <v>1886</v>
      </c>
      <c r="N1863" t="s">
        <v>1887</v>
      </c>
    </row>
    <row r="1864" spans="1:14" x14ac:dyDescent="0.35">
      <c r="A1864" t="s">
        <v>3788</v>
      </c>
      <c r="B1864" t="s">
        <v>1930</v>
      </c>
      <c r="C1864" t="s">
        <v>458</v>
      </c>
      <c r="D1864" t="s">
        <v>1904</v>
      </c>
      <c r="E1864" t="s">
        <v>1600</v>
      </c>
      <c r="F1864" t="s">
        <v>1885</v>
      </c>
      <c r="G1864">
        <v>178107</v>
      </c>
      <c r="H1864" s="1">
        <v>45654</v>
      </c>
      <c r="I1864" s="1">
        <v>45791</v>
      </c>
      <c r="J1864">
        <v>137</v>
      </c>
      <c r="L1864" t="s">
        <v>21</v>
      </c>
      <c r="M1864" t="s">
        <v>1901</v>
      </c>
      <c r="N1864" t="s">
        <v>1887</v>
      </c>
    </row>
    <row r="1865" spans="1:14" x14ac:dyDescent="0.35">
      <c r="A1865" t="s">
        <v>3789</v>
      </c>
      <c r="B1865" t="s">
        <v>1898</v>
      </c>
      <c r="C1865" t="s">
        <v>411</v>
      </c>
      <c r="D1865" t="s">
        <v>1883</v>
      </c>
      <c r="E1865" t="s">
        <v>1931</v>
      </c>
      <c r="F1865" t="s">
        <v>1895</v>
      </c>
      <c r="G1865">
        <v>441714</v>
      </c>
      <c r="H1865" s="1">
        <v>45106</v>
      </c>
      <c r="I1865" s="1"/>
      <c r="L1865" t="s">
        <v>30</v>
      </c>
      <c r="M1865" t="s">
        <v>1893</v>
      </c>
      <c r="N1865" t="s">
        <v>1887</v>
      </c>
    </row>
    <row r="1866" spans="1:14" x14ac:dyDescent="0.35">
      <c r="A1866" t="s">
        <v>3790</v>
      </c>
      <c r="B1866" t="s">
        <v>1922</v>
      </c>
      <c r="C1866" t="s">
        <v>266</v>
      </c>
      <c r="D1866" t="s">
        <v>1915</v>
      </c>
      <c r="E1866" t="s">
        <v>1587</v>
      </c>
      <c r="F1866" t="s">
        <v>1946</v>
      </c>
      <c r="G1866">
        <v>434422</v>
      </c>
      <c r="H1866" s="1">
        <v>45304</v>
      </c>
      <c r="I1866" s="1"/>
      <c r="K1866">
        <v>14.7</v>
      </c>
      <c r="L1866" t="s">
        <v>15</v>
      </c>
      <c r="M1866" t="s">
        <v>1916</v>
      </c>
      <c r="N1866" t="s">
        <v>1887</v>
      </c>
    </row>
    <row r="1867" spans="1:14" x14ac:dyDescent="0.35">
      <c r="A1867" t="s">
        <v>3791</v>
      </c>
      <c r="B1867" t="s">
        <v>1926</v>
      </c>
      <c r="C1867" t="s">
        <v>450</v>
      </c>
      <c r="D1867" t="s">
        <v>1890</v>
      </c>
      <c r="E1867" t="s">
        <v>1884</v>
      </c>
      <c r="F1867" t="s">
        <v>1900</v>
      </c>
      <c r="G1867">
        <v>56338</v>
      </c>
      <c r="H1867" s="1">
        <v>44950</v>
      </c>
      <c r="I1867" s="1">
        <v>45092</v>
      </c>
      <c r="J1867">
        <v>142</v>
      </c>
      <c r="K1867">
        <v>11.8</v>
      </c>
      <c r="L1867" t="s">
        <v>30</v>
      </c>
      <c r="M1867" t="s">
        <v>1896</v>
      </c>
      <c r="N1867" t="s">
        <v>1887</v>
      </c>
    </row>
    <row r="1868" spans="1:14" x14ac:dyDescent="0.35">
      <c r="A1868" t="s">
        <v>3792</v>
      </c>
      <c r="B1868" t="s">
        <v>1898</v>
      </c>
      <c r="C1868" t="s">
        <v>399</v>
      </c>
      <c r="D1868" t="s">
        <v>1927</v>
      </c>
      <c r="E1868" t="s">
        <v>1678</v>
      </c>
      <c r="F1868" t="s">
        <v>1892</v>
      </c>
      <c r="G1868">
        <v>55740</v>
      </c>
      <c r="H1868" s="1">
        <v>45607</v>
      </c>
      <c r="I1868" s="1"/>
      <c r="K1868">
        <v>5.4</v>
      </c>
      <c r="L1868" t="s">
        <v>15</v>
      </c>
      <c r="M1868" t="s">
        <v>1901</v>
      </c>
      <c r="N1868" t="s">
        <v>1887</v>
      </c>
    </row>
    <row r="1869" spans="1:14" x14ac:dyDescent="0.35">
      <c r="A1869" t="s">
        <v>3793</v>
      </c>
      <c r="B1869" t="s">
        <v>1963</v>
      </c>
      <c r="C1869" t="s">
        <v>264</v>
      </c>
      <c r="D1869" t="s">
        <v>1890</v>
      </c>
      <c r="E1869" t="s">
        <v>1884</v>
      </c>
      <c r="F1869" t="s">
        <v>1885</v>
      </c>
      <c r="G1869">
        <v>237241</v>
      </c>
      <c r="H1869" s="1">
        <v>45528</v>
      </c>
      <c r="I1869" s="1">
        <v>45553</v>
      </c>
      <c r="J1869">
        <v>25</v>
      </c>
      <c r="K1869">
        <v>0</v>
      </c>
      <c r="L1869" t="s">
        <v>15</v>
      </c>
      <c r="M1869" t="s">
        <v>1953</v>
      </c>
      <c r="N1869" t="s">
        <v>1887</v>
      </c>
    </row>
    <row r="1870" spans="1:14" x14ac:dyDescent="0.35">
      <c r="A1870" t="s">
        <v>3794</v>
      </c>
      <c r="B1870" t="s">
        <v>1934</v>
      </c>
      <c r="C1870" t="s">
        <v>312</v>
      </c>
      <c r="D1870" t="s">
        <v>1890</v>
      </c>
      <c r="E1870" t="s">
        <v>1678</v>
      </c>
      <c r="F1870" t="s">
        <v>1908</v>
      </c>
      <c r="G1870">
        <v>43170</v>
      </c>
      <c r="H1870" s="1">
        <v>45089</v>
      </c>
      <c r="I1870" s="1"/>
      <c r="L1870" t="s">
        <v>21</v>
      </c>
      <c r="M1870" t="s">
        <v>1893</v>
      </c>
      <c r="N1870" t="s">
        <v>1887</v>
      </c>
    </row>
    <row r="1871" spans="1:14" x14ac:dyDescent="0.35">
      <c r="A1871" t="s">
        <v>3795</v>
      </c>
      <c r="B1871" t="s">
        <v>1937</v>
      </c>
      <c r="C1871" t="s">
        <v>152</v>
      </c>
      <c r="D1871" t="s">
        <v>1927</v>
      </c>
      <c r="E1871" t="s">
        <v>1918</v>
      </c>
      <c r="F1871" t="s">
        <v>1895</v>
      </c>
      <c r="G1871">
        <v>13588</v>
      </c>
      <c r="H1871" s="1">
        <v>45663</v>
      </c>
      <c r="I1871" s="1"/>
      <c r="K1871">
        <v>11.2</v>
      </c>
      <c r="L1871" t="s">
        <v>15</v>
      </c>
      <c r="M1871" t="s">
        <v>1912</v>
      </c>
      <c r="N1871" t="s">
        <v>1887</v>
      </c>
    </row>
    <row r="1872" spans="1:14" x14ac:dyDescent="0.35">
      <c r="A1872" t="s">
        <v>3796</v>
      </c>
      <c r="B1872" t="s">
        <v>1903</v>
      </c>
      <c r="C1872" t="s">
        <v>295</v>
      </c>
      <c r="D1872" t="s">
        <v>1883</v>
      </c>
      <c r="E1872" t="s">
        <v>1587</v>
      </c>
      <c r="F1872" t="s">
        <v>1900</v>
      </c>
      <c r="G1872">
        <v>120776</v>
      </c>
      <c r="H1872" s="1">
        <v>45285</v>
      </c>
      <c r="I1872" s="1">
        <v>45316</v>
      </c>
      <c r="J1872">
        <v>31</v>
      </c>
      <c r="K1872">
        <v>21.3</v>
      </c>
      <c r="L1872" t="s">
        <v>21</v>
      </c>
      <c r="M1872" t="s">
        <v>1886</v>
      </c>
      <c r="N1872" t="s">
        <v>1887</v>
      </c>
    </row>
    <row r="1873" spans="1:14" x14ac:dyDescent="0.35">
      <c r="A1873" t="s">
        <v>3797</v>
      </c>
      <c r="B1873" t="s">
        <v>1944</v>
      </c>
      <c r="C1873" t="s">
        <v>378</v>
      </c>
      <c r="D1873" t="s">
        <v>1927</v>
      </c>
      <c r="E1873" t="s">
        <v>1600</v>
      </c>
      <c r="F1873" t="s">
        <v>1900</v>
      </c>
      <c r="G1873">
        <v>455057</v>
      </c>
      <c r="H1873" s="1">
        <v>45202</v>
      </c>
      <c r="I1873" s="1">
        <v>45294</v>
      </c>
      <c r="J1873">
        <v>92</v>
      </c>
      <c r="K1873">
        <v>20.9</v>
      </c>
      <c r="L1873" t="s">
        <v>15</v>
      </c>
      <c r="M1873" t="s">
        <v>1886</v>
      </c>
      <c r="N1873" t="s">
        <v>1887</v>
      </c>
    </row>
    <row r="1874" spans="1:14" x14ac:dyDescent="0.35">
      <c r="A1874" t="s">
        <v>3798</v>
      </c>
      <c r="B1874" t="s">
        <v>1903</v>
      </c>
      <c r="C1874" t="s">
        <v>451</v>
      </c>
      <c r="D1874" t="s">
        <v>1890</v>
      </c>
      <c r="E1874" t="s">
        <v>1600</v>
      </c>
      <c r="F1874" t="s">
        <v>1900</v>
      </c>
      <c r="G1874">
        <v>275730</v>
      </c>
      <c r="H1874" s="1">
        <v>44939</v>
      </c>
      <c r="I1874" s="1">
        <v>45040</v>
      </c>
      <c r="J1874">
        <v>101</v>
      </c>
      <c r="K1874">
        <v>10.1</v>
      </c>
      <c r="L1874" t="s">
        <v>47</v>
      </c>
      <c r="M1874" t="s">
        <v>1896</v>
      </c>
      <c r="N1874" t="s">
        <v>1887</v>
      </c>
    </row>
    <row r="1875" spans="1:14" x14ac:dyDescent="0.35">
      <c r="A1875" t="s">
        <v>3799</v>
      </c>
      <c r="B1875" t="s">
        <v>1882</v>
      </c>
      <c r="C1875" t="s">
        <v>297</v>
      </c>
      <c r="D1875" t="s">
        <v>1915</v>
      </c>
      <c r="E1875" t="s">
        <v>1678</v>
      </c>
      <c r="F1875" t="s">
        <v>1895</v>
      </c>
      <c r="G1875">
        <v>482360</v>
      </c>
      <c r="H1875" s="1">
        <v>45358</v>
      </c>
      <c r="I1875" s="1"/>
      <c r="K1875">
        <v>13.4</v>
      </c>
      <c r="L1875" t="s">
        <v>15</v>
      </c>
      <c r="M1875" t="s">
        <v>1916</v>
      </c>
      <c r="N1875" t="s">
        <v>1887</v>
      </c>
    </row>
    <row r="1876" spans="1:14" x14ac:dyDescent="0.35">
      <c r="A1876" t="s">
        <v>3800</v>
      </c>
      <c r="B1876" t="s">
        <v>1944</v>
      </c>
      <c r="C1876" t="s">
        <v>275</v>
      </c>
      <c r="D1876" t="s">
        <v>1927</v>
      </c>
      <c r="E1876" t="s">
        <v>1891</v>
      </c>
      <c r="F1876" t="s">
        <v>1895</v>
      </c>
      <c r="G1876">
        <v>383450</v>
      </c>
      <c r="H1876" s="1">
        <v>45082</v>
      </c>
      <c r="I1876" s="1"/>
      <c r="K1876">
        <v>15</v>
      </c>
      <c r="L1876" t="s">
        <v>15</v>
      </c>
      <c r="M1876" t="s">
        <v>1893</v>
      </c>
      <c r="N1876" t="s">
        <v>1887</v>
      </c>
    </row>
    <row r="1877" spans="1:14" x14ac:dyDescent="0.35">
      <c r="A1877" t="s">
        <v>3801</v>
      </c>
      <c r="B1877" t="s">
        <v>1907</v>
      </c>
      <c r="C1877" t="s">
        <v>374</v>
      </c>
      <c r="D1877" t="s">
        <v>1883</v>
      </c>
      <c r="E1877" t="s">
        <v>1918</v>
      </c>
      <c r="F1877" t="s">
        <v>1908</v>
      </c>
      <c r="G1877">
        <v>393447</v>
      </c>
      <c r="H1877" s="1">
        <v>45288</v>
      </c>
      <c r="I1877" s="1"/>
      <c r="K1877">
        <v>5</v>
      </c>
      <c r="L1877" t="s">
        <v>47</v>
      </c>
      <c r="M1877" t="s">
        <v>1886</v>
      </c>
      <c r="N1877" t="s">
        <v>1887</v>
      </c>
    </row>
    <row r="1878" spans="1:14" x14ac:dyDescent="0.35">
      <c r="A1878" t="s">
        <v>3802</v>
      </c>
      <c r="B1878" t="s">
        <v>1907</v>
      </c>
      <c r="C1878" t="s">
        <v>460</v>
      </c>
      <c r="D1878" t="s">
        <v>1899</v>
      </c>
      <c r="E1878" t="s">
        <v>1587</v>
      </c>
      <c r="F1878" t="s">
        <v>1946</v>
      </c>
      <c r="G1878">
        <v>132358</v>
      </c>
      <c r="H1878" s="1">
        <v>45408</v>
      </c>
      <c r="I1878" s="1"/>
      <c r="K1878">
        <v>13</v>
      </c>
      <c r="L1878" t="s">
        <v>30</v>
      </c>
      <c r="M1878" t="s">
        <v>1935</v>
      </c>
      <c r="N1878" t="s">
        <v>1887</v>
      </c>
    </row>
    <row r="1879" spans="1:14" x14ac:dyDescent="0.35">
      <c r="A1879" t="s">
        <v>3803</v>
      </c>
      <c r="B1879" t="s">
        <v>1926</v>
      </c>
      <c r="C1879" t="s">
        <v>342</v>
      </c>
      <c r="D1879" t="s">
        <v>1883</v>
      </c>
      <c r="E1879" t="s">
        <v>1905</v>
      </c>
      <c r="F1879" t="s">
        <v>1946</v>
      </c>
      <c r="G1879">
        <v>96397</v>
      </c>
      <c r="H1879" s="1">
        <v>45312</v>
      </c>
      <c r="I1879" s="1"/>
      <c r="L1879" t="s">
        <v>30</v>
      </c>
      <c r="M1879" t="s">
        <v>1916</v>
      </c>
      <c r="N1879" t="s">
        <v>1887</v>
      </c>
    </row>
    <row r="1880" spans="1:14" x14ac:dyDescent="0.35">
      <c r="A1880" t="s">
        <v>3804</v>
      </c>
      <c r="B1880" t="s">
        <v>1937</v>
      </c>
      <c r="C1880" t="s">
        <v>176</v>
      </c>
      <c r="D1880" t="s">
        <v>1890</v>
      </c>
      <c r="E1880" t="s">
        <v>1600</v>
      </c>
      <c r="F1880" t="s">
        <v>1895</v>
      </c>
      <c r="G1880">
        <v>494338</v>
      </c>
      <c r="H1880" s="1">
        <v>45181</v>
      </c>
      <c r="I1880" s="1"/>
      <c r="K1880">
        <v>0.8</v>
      </c>
      <c r="L1880" t="s">
        <v>15</v>
      </c>
      <c r="M1880" t="s">
        <v>1932</v>
      </c>
      <c r="N1880" t="s">
        <v>1887</v>
      </c>
    </row>
    <row r="1881" spans="1:14" x14ac:dyDescent="0.35">
      <c r="A1881" t="s">
        <v>3805</v>
      </c>
      <c r="B1881" t="s">
        <v>1903</v>
      </c>
      <c r="C1881" t="s">
        <v>323</v>
      </c>
      <c r="D1881" t="s">
        <v>1890</v>
      </c>
      <c r="E1881" t="s">
        <v>1678</v>
      </c>
      <c r="F1881" t="s">
        <v>1946</v>
      </c>
      <c r="G1881">
        <v>140891</v>
      </c>
      <c r="H1881" s="1">
        <v>45483</v>
      </c>
      <c r="I1881" s="1"/>
      <c r="L1881" t="s">
        <v>30</v>
      </c>
      <c r="M1881" t="s">
        <v>1953</v>
      </c>
      <c r="N1881" t="s">
        <v>1887</v>
      </c>
    </row>
    <row r="1882" spans="1:14" x14ac:dyDescent="0.35">
      <c r="A1882" t="s">
        <v>3806</v>
      </c>
      <c r="B1882" t="s">
        <v>1907</v>
      </c>
      <c r="C1882" t="s">
        <v>184</v>
      </c>
      <c r="D1882" t="s">
        <v>1883</v>
      </c>
      <c r="E1882" t="s">
        <v>1678</v>
      </c>
      <c r="F1882" t="s">
        <v>1892</v>
      </c>
      <c r="G1882">
        <v>15497</v>
      </c>
      <c r="H1882" s="1">
        <v>45582</v>
      </c>
      <c r="I1882" s="1"/>
      <c r="K1882">
        <v>2.2999999999999998</v>
      </c>
      <c r="L1882" t="s">
        <v>30</v>
      </c>
      <c r="M1882" t="s">
        <v>1901</v>
      </c>
      <c r="N1882" t="s">
        <v>1887</v>
      </c>
    </row>
    <row r="1883" spans="1:14" x14ac:dyDescent="0.35">
      <c r="A1883" t="s">
        <v>3807</v>
      </c>
      <c r="B1883" t="s">
        <v>1963</v>
      </c>
      <c r="C1883" t="s">
        <v>459</v>
      </c>
      <c r="D1883" t="s">
        <v>1927</v>
      </c>
      <c r="E1883" t="s">
        <v>1678</v>
      </c>
      <c r="F1883" t="s">
        <v>1946</v>
      </c>
      <c r="G1883">
        <v>76884</v>
      </c>
      <c r="H1883" s="1">
        <v>45630</v>
      </c>
      <c r="I1883" s="1"/>
      <c r="L1883" t="s">
        <v>15</v>
      </c>
      <c r="M1883" t="s">
        <v>1901</v>
      </c>
      <c r="N1883" t="s">
        <v>1887</v>
      </c>
    </row>
    <row r="1884" spans="1:14" x14ac:dyDescent="0.35">
      <c r="A1884" t="s">
        <v>3808</v>
      </c>
      <c r="B1884" t="s">
        <v>1920</v>
      </c>
      <c r="C1884" t="s">
        <v>198</v>
      </c>
      <c r="D1884" t="s">
        <v>1927</v>
      </c>
      <c r="E1884" t="s">
        <v>1891</v>
      </c>
      <c r="F1884" t="s">
        <v>1946</v>
      </c>
      <c r="G1884">
        <v>208169</v>
      </c>
      <c r="H1884" s="1">
        <v>45423</v>
      </c>
      <c r="I1884" s="1"/>
      <c r="K1884">
        <v>9.6999999999999993</v>
      </c>
      <c r="L1884" t="s">
        <v>30</v>
      </c>
      <c r="M1884" t="s">
        <v>1935</v>
      </c>
      <c r="N1884" t="s">
        <v>1887</v>
      </c>
    </row>
    <row r="1885" spans="1:14" x14ac:dyDescent="0.35">
      <c r="A1885" t="s">
        <v>3809</v>
      </c>
      <c r="B1885" t="s">
        <v>1882</v>
      </c>
      <c r="C1885" t="s">
        <v>475</v>
      </c>
      <c r="D1885" t="s">
        <v>1915</v>
      </c>
      <c r="E1885" t="s">
        <v>1600</v>
      </c>
      <c r="F1885" t="s">
        <v>1885</v>
      </c>
      <c r="G1885">
        <v>162389</v>
      </c>
      <c r="H1885" s="1">
        <v>45510</v>
      </c>
      <c r="I1885" s="1">
        <v>45627</v>
      </c>
      <c r="J1885">
        <v>117</v>
      </c>
      <c r="K1885">
        <v>3.3</v>
      </c>
      <c r="L1885" t="s">
        <v>47</v>
      </c>
      <c r="M1885" t="s">
        <v>1953</v>
      </c>
      <c r="N1885" t="s">
        <v>1887</v>
      </c>
    </row>
    <row r="1886" spans="1:14" x14ac:dyDescent="0.35">
      <c r="A1886" t="s">
        <v>3810</v>
      </c>
      <c r="B1886" t="s">
        <v>1907</v>
      </c>
      <c r="C1886" t="s">
        <v>160</v>
      </c>
      <c r="D1886" t="s">
        <v>1927</v>
      </c>
      <c r="E1886" t="s">
        <v>1931</v>
      </c>
      <c r="F1886" t="s">
        <v>1900</v>
      </c>
      <c r="G1886">
        <v>412959</v>
      </c>
      <c r="H1886" s="1">
        <v>45058</v>
      </c>
      <c r="I1886" s="1">
        <v>45105</v>
      </c>
      <c r="J1886">
        <v>47</v>
      </c>
      <c r="K1886">
        <v>4.3</v>
      </c>
      <c r="L1886" t="s">
        <v>47</v>
      </c>
      <c r="M1886" t="s">
        <v>1893</v>
      </c>
      <c r="N1886" t="s">
        <v>1887</v>
      </c>
    </row>
    <row r="1887" spans="1:14" x14ac:dyDescent="0.35">
      <c r="A1887" t="s">
        <v>3811</v>
      </c>
      <c r="B1887" t="s">
        <v>1903</v>
      </c>
      <c r="C1887" t="s">
        <v>180</v>
      </c>
      <c r="D1887" t="s">
        <v>1899</v>
      </c>
      <c r="E1887" t="s">
        <v>1918</v>
      </c>
      <c r="F1887" t="s">
        <v>1895</v>
      </c>
      <c r="G1887">
        <v>499664</v>
      </c>
      <c r="H1887" s="1">
        <v>45740</v>
      </c>
      <c r="I1887" s="1"/>
      <c r="L1887" t="s">
        <v>47</v>
      </c>
      <c r="M1887" t="s">
        <v>1912</v>
      </c>
      <c r="N1887" t="s">
        <v>1887</v>
      </c>
    </row>
    <row r="1888" spans="1:14" x14ac:dyDescent="0.35">
      <c r="A1888" t="s">
        <v>3812</v>
      </c>
      <c r="B1888" t="s">
        <v>1898</v>
      </c>
      <c r="C1888" t="s">
        <v>364</v>
      </c>
      <c r="D1888" t="s">
        <v>1890</v>
      </c>
      <c r="E1888" t="s">
        <v>1918</v>
      </c>
      <c r="F1888" t="s">
        <v>1895</v>
      </c>
      <c r="G1888">
        <v>262812</v>
      </c>
      <c r="H1888" s="1">
        <v>45129</v>
      </c>
      <c r="I1888" s="1"/>
      <c r="L1888" t="s">
        <v>21</v>
      </c>
      <c r="M1888" t="s">
        <v>1932</v>
      </c>
      <c r="N1888" t="s">
        <v>1887</v>
      </c>
    </row>
    <row r="1889" spans="1:14" x14ac:dyDescent="0.35">
      <c r="A1889" t="s">
        <v>3813</v>
      </c>
      <c r="B1889" t="s">
        <v>1903</v>
      </c>
      <c r="C1889" t="s">
        <v>358</v>
      </c>
      <c r="D1889" t="s">
        <v>1899</v>
      </c>
      <c r="E1889" t="s">
        <v>1884</v>
      </c>
      <c r="F1889" t="s">
        <v>1946</v>
      </c>
      <c r="G1889">
        <v>360600</v>
      </c>
      <c r="H1889" s="1">
        <v>45223</v>
      </c>
      <c r="I1889" s="1"/>
      <c r="L1889" t="s">
        <v>15</v>
      </c>
      <c r="M1889" t="s">
        <v>1886</v>
      </c>
      <c r="N1889" t="s">
        <v>1887</v>
      </c>
    </row>
    <row r="1890" spans="1:14" x14ac:dyDescent="0.35">
      <c r="A1890" t="s">
        <v>3814</v>
      </c>
      <c r="B1890" t="s">
        <v>1914</v>
      </c>
      <c r="C1890" t="s">
        <v>86</v>
      </c>
      <c r="D1890" t="s">
        <v>1904</v>
      </c>
      <c r="E1890" t="s">
        <v>1891</v>
      </c>
      <c r="F1890" t="s">
        <v>1900</v>
      </c>
      <c r="G1890">
        <v>433801</v>
      </c>
      <c r="H1890" s="1">
        <v>45323</v>
      </c>
      <c r="I1890" s="1">
        <v>45458</v>
      </c>
      <c r="J1890">
        <v>135</v>
      </c>
      <c r="K1890">
        <v>14.3</v>
      </c>
      <c r="L1890" t="s">
        <v>15</v>
      </c>
      <c r="M1890" t="s">
        <v>1916</v>
      </c>
      <c r="N1890" t="s">
        <v>1887</v>
      </c>
    </row>
    <row r="1891" spans="1:14" x14ac:dyDescent="0.35">
      <c r="A1891" t="s">
        <v>3815</v>
      </c>
      <c r="B1891" t="s">
        <v>1903</v>
      </c>
      <c r="C1891" t="s">
        <v>431</v>
      </c>
      <c r="D1891" t="s">
        <v>1927</v>
      </c>
      <c r="E1891" t="s">
        <v>1945</v>
      </c>
      <c r="F1891" t="s">
        <v>1892</v>
      </c>
      <c r="G1891">
        <v>402173</v>
      </c>
      <c r="H1891" s="1">
        <v>45305</v>
      </c>
      <c r="I1891" s="1"/>
      <c r="K1891">
        <v>4.5999999999999996</v>
      </c>
      <c r="L1891" t="s">
        <v>30</v>
      </c>
      <c r="M1891" t="s">
        <v>1916</v>
      </c>
      <c r="N1891" t="s">
        <v>1887</v>
      </c>
    </row>
    <row r="1892" spans="1:14" x14ac:dyDescent="0.35">
      <c r="A1892" t="s">
        <v>3816</v>
      </c>
      <c r="B1892" t="s">
        <v>1926</v>
      </c>
      <c r="C1892" t="s">
        <v>190</v>
      </c>
      <c r="D1892" t="s">
        <v>1904</v>
      </c>
      <c r="E1892" t="s">
        <v>1905</v>
      </c>
      <c r="F1892" t="s">
        <v>1900</v>
      </c>
      <c r="G1892">
        <v>55310</v>
      </c>
      <c r="H1892" s="1">
        <v>45326</v>
      </c>
      <c r="I1892" s="1">
        <v>45444</v>
      </c>
      <c r="J1892">
        <v>118</v>
      </c>
      <c r="K1892">
        <v>16.3</v>
      </c>
      <c r="L1892" t="s">
        <v>30</v>
      </c>
      <c r="M1892" t="s">
        <v>1916</v>
      </c>
      <c r="N1892" t="s">
        <v>1887</v>
      </c>
    </row>
    <row r="1893" spans="1:14" x14ac:dyDescent="0.35">
      <c r="A1893" t="s">
        <v>3817</v>
      </c>
      <c r="B1893" t="s">
        <v>1882</v>
      </c>
      <c r="C1893" t="s">
        <v>205</v>
      </c>
      <c r="D1893" t="s">
        <v>1890</v>
      </c>
      <c r="E1893" t="s">
        <v>1678</v>
      </c>
      <c r="F1893" t="s">
        <v>1900</v>
      </c>
      <c r="G1893">
        <v>125653</v>
      </c>
      <c r="H1893" s="1">
        <v>45359</v>
      </c>
      <c r="I1893" s="1">
        <v>45534</v>
      </c>
      <c r="J1893">
        <v>175</v>
      </c>
      <c r="K1893">
        <v>19.100000000000001</v>
      </c>
      <c r="L1893" t="s">
        <v>21</v>
      </c>
      <c r="M1893" t="s">
        <v>1916</v>
      </c>
      <c r="N1893" t="s">
        <v>1887</v>
      </c>
    </row>
    <row r="1894" spans="1:14" x14ac:dyDescent="0.35">
      <c r="A1894" t="s">
        <v>3818</v>
      </c>
      <c r="B1894" t="s">
        <v>1944</v>
      </c>
      <c r="C1894" t="s">
        <v>372</v>
      </c>
      <c r="D1894" t="s">
        <v>1927</v>
      </c>
      <c r="E1894" t="s">
        <v>1931</v>
      </c>
      <c r="F1894" t="s">
        <v>1892</v>
      </c>
      <c r="G1894">
        <v>125722</v>
      </c>
      <c r="H1894" s="1">
        <v>44999</v>
      </c>
      <c r="I1894" s="1"/>
      <c r="K1894">
        <v>0.2</v>
      </c>
      <c r="L1894" t="s">
        <v>30</v>
      </c>
      <c r="M1894" t="s">
        <v>1896</v>
      </c>
      <c r="N1894" t="s">
        <v>1887</v>
      </c>
    </row>
    <row r="1895" spans="1:14" x14ac:dyDescent="0.35">
      <c r="A1895" t="s">
        <v>3819</v>
      </c>
      <c r="B1895" t="s">
        <v>1920</v>
      </c>
      <c r="C1895" t="s">
        <v>88</v>
      </c>
      <c r="D1895" t="s">
        <v>1890</v>
      </c>
      <c r="E1895" t="s">
        <v>1891</v>
      </c>
      <c r="F1895" t="s">
        <v>1900</v>
      </c>
      <c r="G1895">
        <v>436598</v>
      </c>
      <c r="H1895" s="1">
        <v>45476</v>
      </c>
      <c r="I1895" s="1">
        <v>45507</v>
      </c>
      <c r="J1895">
        <v>31</v>
      </c>
      <c r="K1895">
        <v>23.4</v>
      </c>
      <c r="L1895" t="s">
        <v>21</v>
      </c>
      <c r="M1895" t="s">
        <v>1953</v>
      </c>
      <c r="N1895" t="s">
        <v>1887</v>
      </c>
    </row>
    <row r="1896" spans="1:14" x14ac:dyDescent="0.35">
      <c r="A1896" t="s">
        <v>3820</v>
      </c>
      <c r="B1896" t="s">
        <v>1934</v>
      </c>
      <c r="C1896" t="s">
        <v>214</v>
      </c>
      <c r="D1896" t="s">
        <v>1927</v>
      </c>
      <c r="E1896" t="s">
        <v>1945</v>
      </c>
      <c r="F1896" t="s">
        <v>1895</v>
      </c>
      <c r="G1896">
        <v>121368</v>
      </c>
      <c r="H1896" s="1">
        <v>45433</v>
      </c>
      <c r="I1896" s="1"/>
      <c r="K1896">
        <v>9.9</v>
      </c>
      <c r="L1896" t="s">
        <v>15</v>
      </c>
      <c r="M1896" t="s">
        <v>1935</v>
      </c>
      <c r="N1896" t="s">
        <v>1887</v>
      </c>
    </row>
    <row r="1897" spans="1:14" x14ac:dyDescent="0.35">
      <c r="A1897" t="s">
        <v>3821</v>
      </c>
      <c r="B1897" t="s">
        <v>1922</v>
      </c>
      <c r="C1897" t="s">
        <v>343</v>
      </c>
      <c r="D1897" t="s">
        <v>1927</v>
      </c>
      <c r="E1897" t="s">
        <v>1587</v>
      </c>
      <c r="F1897" t="s">
        <v>1900</v>
      </c>
      <c r="G1897">
        <v>98738</v>
      </c>
      <c r="H1897" s="1">
        <v>45558</v>
      </c>
      <c r="I1897" s="1">
        <v>45686</v>
      </c>
      <c r="J1897">
        <v>128</v>
      </c>
      <c r="K1897">
        <v>11</v>
      </c>
      <c r="L1897" t="s">
        <v>15</v>
      </c>
      <c r="M1897" t="s">
        <v>1953</v>
      </c>
      <c r="N1897" t="s">
        <v>1887</v>
      </c>
    </row>
    <row r="1898" spans="1:14" x14ac:dyDescent="0.35">
      <c r="A1898" t="s">
        <v>3822</v>
      </c>
      <c r="B1898" t="s">
        <v>1930</v>
      </c>
      <c r="C1898" t="s">
        <v>461</v>
      </c>
      <c r="D1898" t="s">
        <v>1915</v>
      </c>
      <c r="E1898" t="s">
        <v>1945</v>
      </c>
      <c r="F1898" t="s">
        <v>1946</v>
      </c>
      <c r="G1898">
        <v>398313</v>
      </c>
      <c r="H1898" s="1">
        <v>45098</v>
      </c>
      <c r="I1898" s="1"/>
      <c r="L1898" t="s">
        <v>21</v>
      </c>
      <c r="M1898" t="s">
        <v>1893</v>
      </c>
      <c r="N1898" t="s">
        <v>1887</v>
      </c>
    </row>
    <row r="1899" spans="1:14" x14ac:dyDescent="0.35">
      <c r="A1899" t="s">
        <v>3823</v>
      </c>
      <c r="B1899" t="s">
        <v>1914</v>
      </c>
      <c r="C1899" t="s">
        <v>403</v>
      </c>
      <c r="D1899" t="s">
        <v>1915</v>
      </c>
      <c r="E1899" t="s">
        <v>1931</v>
      </c>
      <c r="F1899" t="s">
        <v>1946</v>
      </c>
      <c r="G1899">
        <v>132675</v>
      </c>
      <c r="H1899" s="1">
        <v>45599</v>
      </c>
      <c r="I1899" s="1"/>
      <c r="L1899" t="s">
        <v>47</v>
      </c>
      <c r="M1899" t="s">
        <v>1901</v>
      </c>
      <c r="N1899" t="s">
        <v>1887</v>
      </c>
    </row>
    <row r="1900" spans="1:14" x14ac:dyDescent="0.35">
      <c r="A1900" t="s">
        <v>3824</v>
      </c>
      <c r="B1900" t="s">
        <v>1914</v>
      </c>
      <c r="C1900" t="s">
        <v>314</v>
      </c>
      <c r="D1900" t="s">
        <v>1883</v>
      </c>
      <c r="E1900" t="s">
        <v>1905</v>
      </c>
      <c r="F1900" t="s">
        <v>1908</v>
      </c>
      <c r="G1900">
        <v>155524</v>
      </c>
      <c r="H1900" s="1">
        <v>44959</v>
      </c>
      <c r="I1900" s="1"/>
      <c r="K1900">
        <v>8.4</v>
      </c>
      <c r="L1900" t="s">
        <v>15</v>
      </c>
      <c r="M1900" t="s">
        <v>1896</v>
      </c>
      <c r="N1900" t="s">
        <v>1887</v>
      </c>
    </row>
    <row r="1901" spans="1:14" x14ac:dyDescent="0.35">
      <c r="A1901" t="s">
        <v>3825</v>
      </c>
      <c r="B1901" t="s">
        <v>1914</v>
      </c>
      <c r="C1901" t="s">
        <v>335</v>
      </c>
      <c r="D1901" t="s">
        <v>1890</v>
      </c>
      <c r="E1901" t="s">
        <v>1891</v>
      </c>
      <c r="F1901" t="s">
        <v>1885</v>
      </c>
      <c r="G1901">
        <v>19891</v>
      </c>
      <c r="H1901" s="1">
        <v>45068</v>
      </c>
      <c r="I1901" s="1">
        <v>45126</v>
      </c>
      <c r="J1901">
        <v>58</v>
      </c>
      <c r="L1901" t="s">
        <v>15</v>
      </c>
      <c r="M1901" t="s">
        <v>1893</v>
      </c>
      <c r="N1901" t="s">
        <v>1887</v>
      </c>
    </row>
    <row r="1902" spans="1:14" x14ac:dyDescent="0.35">
      <c r="A1902" t="s">
        <v>3826</v>
      </c>
      <c r="B1902" t="s">
        <v>1920</v>
      </c>
      <c r="C1902" t="s">
        <v>434</v>
      </c>
      <c r="D1902" t="s">
        <v>1915</v>
      </c>
      <c r="E1902" t="s">
        <v>1905</v>
      </c>
      <c r="F1902" t="s">
        <v>1892</v>
      </c>
      <c r="G1902">
        <v>16012</v>
      </c>
      <c r="H1902" s="1">
        <v>45551</v>
      </c>
      <c r="I1902" s="1"/>
      <c r="K1902">
        <v>14.2</v>
      </c>
      <c r="L1902" t="s">
        <v>15</v>
      </c>
      <c r="M1902" t="s">
        <v>1953</v>
      </c>
      <c r="N1902" t="s">
        <v>1887</v>
      </c>
    </row>
    <row r="1903" spans="1:14" x14ac:dyDescent="0.35">
      <c r="A1903" t="s">
        <v>3827</v>
      </c>
      <c r="B1903" t="s">
        <v>1930</v>
      </c>
      <c r="C1903" t="s">
        <v>439</v>
      </c>
      <c r="D1903" t="s">
        <v>1890</v>
      </c>
      <c r="E1903" t="s">
        <v>1945</v>
      </c>
      <c r="F1903" t="s">
        <v>1908</v>
      </c>
      <c r="G1903">
        <v>200702</v>
      </c>
      <c r="H1903" s="1">
        <v>45068</v>
      </c>
      <c r="I1903" s="1"/>
      <c r="L1903" t="s">
        <v>30</v>
      </c>
      <c r="M1903" t="s">
        <v>1893</v>
      </c>
      <c r="N1903" t="s">
        <v>1887</v>
      </c>
    </row>
    <row r="1904" spans="1:14" x14ac:dyDescent="0.35">
      <c r="A1904" t="s">
        <v>3828</v>
      </c>
      <c r="B1904" t="s">
        <v>1924</v>
      </c>
      <c r="C1904" t="s">
        <v>337</v>
      </c>
      <c r="D1904" t="s">
        <v>1915</v>
      </c>
      <c r="E1904" t="s">
        <v>1891</v>
      </c>
      <c r="F1904" t="s">
        <v>1885</v>
      </c>
      <c r="G1904">
        <v>88710</v>
      </c>
      <c r="H1904" s="1">
        <v>45311</v>
      </c>
      <c r="I1904" s="1">
        <v>45358</v>
      </c>
      <c r="J1904">
        <v>47</v>
      </c>
      <c r="L1904" t="s">
        <v>21</v>
      </c>
      <c r="M1904" t="s">
        <v>1916</v>
      </c>
      <c r="N1904" t="s">
        <v>1887</v>
      </c>
    </row>
    <row r="1905" spans="1:14" x14ac:dyDescent="0.35">
      <c r="A1905" t="s">
        <v>3829</v>
      </c>
      <c r="B1905" t="s">
        <v>1898</v>
      </c>
      <c r="C1905" t="s">
        <v>337</v>
      </c>
      <c r="D1905" t="s">
        <v>1915</v>
      </c>
      <c r="E1905" t="s">
        <v>1587</v>
      </c>
      <c r="F1905" t="s">
        <v>1900</v>
      </c>
      <c r="G1905">
        <v>418969</v>
      </c>
      <c r="H1905" s="1">
        <v>45607</v>
      </c>
      <c r="I1905" s="1">
        <v>45628</v>
      </c>
      <c r="J1905">
        <v>21</v>
      </c>
      <c r="K1905">
        <v>18.100000000000001</v>
      </c>
      <c r="L1905" t="s">
        <v>47</v>
      </c>
      <c r="M1905" t="s">
        <v>1901</v>
      </c>
      <c r="N1905" t="s">
        <v>1887</v>
      </c>
    </row>
    <row r="1906" spans="1:14" x14ac:dyDescent="0.35">
      <c r="A1906" t="s">
        <v>3830</v>
      </c>
      <c r="B1906" t="s">
        <v>1898</v>
      </c>
      <c r="C1906" t="s">
        <v>335</v>
      </c>
      <c r="D1906" t="s">
        <v>1899</v>
      </c>
      <c r="E1906" t="s">
        <v>1931</v>
      </c>
      <c r="F1906" t="s">
        <v>1895</v>
      </c>
      <c r="G1906">
        <v>123549</v>
      </c>
      <c r="H1906" s="1">
        <v>45439</v>
      </c>
      <c r="I1906" s="1"/>
      <c r="K1906">
        <v>6</v>
      </c>
      <c r="L1906" t="s">
        <v>21</v>
      </c>
      <c r="M1906" t="s">
        <v>1935</v>
      </c>
      <c r="N1906" t="s">
        <v>1887</v>
      </c>
    </row>
    <row r="1907" spans="1:14" x14ac:dyDescent="0.35">
      <c r="A1907" t="s">
        <v>3831</v>
      </c>
      <c r="B1907" t="s">
        <v>1911</v>
      </c>
      <c r="C1907" t="s">
        <v>331</v>
      </c>
      <c r="D1907" t="s">
        <v>1927</v>
      </c>
      <c r="E1907" t="s">
        <v>1918</v>
      </c>
      <c r="F1907" t="s">
        <v>1900</v>
      </c>
      <c r="G1907">
        <v>298183</v>
      </c>
      <c r="H1907" s="1">
        <v>45236</v>
      </c>
      <c r="I1907" s="1">
        <v>45320</v>
      </c>
      <c r="J1907">
        <v>84</v>
      </c>
      <c r="K1907">
        <v>4.2</v>
      </c>
      <c r="L1907" t="s">
        <v>30</v>
      </c>
      <c r="M1907" t="s">
        <v>1886</v>
      </c>
      <c r="N1907" t="s">
        <v>1887</v>
      </c>
    </row>
    <row r="1908" spans="1:14" x14ac:dyDescent="0.35">
      <c r="A1908" t="s">
        <v>3832</v>
      </c>
      <c r="B1908" t="s">
        <v>1963</v>
      </c>
      <c r="C1908" t="s">
        <v>301</v>
      </c>
      <c r="D1908" t="s">
        <v>1883</v>
      </c>
      <c r="E1908" t="s">
        <v>1884</v>
      </c>
      <c r="F1908" t="s">
        <v>1892</v>
      </c>
      <c r="G1908">
        <v>334742</v>
      </c>
      <c r="H1908" s="1">
        <v>45535</v>
      </c>
      <c r="I1908" s="1"/>
      <c r="K1908">
        <v>9.8000000000000007</v>
      </c>
      <c r="L1908" t="s">
        <v>47</v>
      </c>
      <c r="M1908" t="s">
        <v>1953</v>
      </c>
      <c r="N1908" t="s">
        <v>1887</v>
      </c>
    </row>
    <row r="1909" spans="1:14" x14ac:dyDescent="0.35">
      <c r="A1909" t="s">
        <v>3833</v>
      </c>
      <c r="B1909" t="s">
        <v>1920</v>
      </c>
      <c r="C1909" t="s">
        <v>23</v>
      </c>
      <c r="D1909" t="s">
        <v>1904</v>
      </c>
      <c r="E1909" t="s">
        <v>1587</v>
      </c>
      <c r="F1909" t="s">
        <v>1892</v>
      </c>
      <c r="G1909">
        <v>82198</v>
      </c>
      <c r="H1909" s="1">
        <v>45286</v>
      </c>
      <c r="I1909" s="1"/>
      <c r="L1909" t="s">
        <v>15</v>
      </c>
      <c r="M1909" t="s">
        <v>1886</v>
      </c>
      <c r="N1909" t="s">
        <v>1887</v>
      </c>
    </row>
    <row r="1910" spans="1:14" x14ac:dyDescent="0.35">
      <c r="A1910" t="s">
        <v>3834</v>
      </c>
      <c r="B1910" t="s">
        <v>1889</v>
      </c>
      <c r="C1910" t="s">
        <v>348</v>
      </c>
      <c r="D1910" t="s">
        <v>1899</v>
      </c>
      <c r="E1910" t="s">
        <v>1891</v>
      </c>
      <c r="F1910" t="s">
        <v>1900</v>
      </c>
      <c r="G1910">
        <v>290170</v>
      </c>
      <c r="H1910" s="1">
        <v>45009</v>
      </c>
      <c r="I1910" s="1">
        <v>45189</v>
      </c>
      <c r="J1910">
        <v>180</v>
      </c>
      <c r="K1910">
        <v>24.4</v>
      </c>
      <c r="L1910" t="s">
        <v>30</v>
      </c>
      <c r="M1910" t="s">
        <v>1896</v>
      </c>
      <c r="N1910" t="s">
        <v>1887</v>
      </c>
    </row>
    <row r="1911" spans="1:14" x14ac:dyDescent="0.35">
      <c r="A1911" t="s">
        <v>3835</v>
      </c>
      <c r="B1911" t="s">
        <v>1898</v>
      </c>
      <c r="C1911" t="s">
        <v>284</v>
      </c>
      <c r="D1911" t="s">
        <v>1904</v>
      </c>
      <c r="E1911" t="s">
        <v>1918</v>
      </c>
      <c r="F1911" t="s">
        <v>1946</v>
      </c>
      <c r="G1911">
        <v>380801</v>
      </c>
      <c r="H1911" s="1">
        <v>45233</v>
      </c>
      <c r="I1911" s="1"/>
      <c r="K1911">
        <v>3.7</v>
      </c>
      <c r="L1911" t="s">
        <v>21</v>
      </c>
      <c r="M1911" t="s">
        <v>1886</v>
      </c>
      <c r="N1911" t="s">
        <v>1887</v>
      </c>
    </row>
    <row r="1912" spans="1:14" x14ac:dyDescent="0.35">
      <c r="A1912" t="s">
        <v>3836</v>
      </c>
      <c r="B1912" t="s">
        <v>1889</v>
      </c>
      <c r="C1912" t="s">
        <v>138</v>
      </c>
      <c r="D1912" t="s">
        <v>1899</v>
      </c>
      <c r="E1912" t="s">
        <v>1600</v>
      </c>
      <c r="F1912" t="s">
        <v>1900</v>
      </c>
      <c r="G1912">
        <v>82804</v>
      </c>
      <c r="H1912" s="1">
        <v>45133</v>
      </c>
      <c r="I1912" s="1">
        <v>45264</v>
      </c>
      <c r="J1912">
        <v>131</v>
      </c>
      <c r="K1912">
        <v>14.5</v>
      </c>
      <c r="L1912" t="s">
        <v>30</v>
      </c>
      <c r="M1912" t="s">
        <v>1932</v>
      </c>
      <c r="N1912" t="s">
        <v>1887</v>
      </c>
    </row>
    <row r="1913" spans="1:14" x14ac:dyDescent="0.35">
      <c r="A1913" t="s">
        <v>3837</v>
      </c>
      <c r="B1913" t="s">
        <v>1926</v>
      </c>
      <c r="C1913" t="s">
        <v>480</v>
      </c>
      <c r="D1913" t="s">
        <v>1915</v>
      </c>
      <c r="E1913" t="s">
        <v>1891</v>
      </c>
      <c r="F1913" t="s">
        <v>1908</v>
      </c>
      <c r="G1913">
        <v>215152</v>
      </c>
      <c r="H1913" s="1">
        <v>44960</v>
      </c>
      <c r="I1913" s="1"/>
      <c r="L1913" t="s">
        <v>21</v>
      </c>
      <c r="M1913" t="s">
        <v>1896</v>
      </c>
      <c r="N1913" t="s">
        <v>1887</v>
      </c>
    </row>
    <row r="1914" spans="1:14" x14ac:dyDescent="0.35">
      <c r="A1914" t="s">
        <v>3838</v>
      </c>
      <c r="B1914" t="s">
        <v>1934</v>
      </c>
      <c r="C1914" t="s">
        <v>101</v>
      </c>
      <c r="D1914" t="s">
        <v>1899</v>
      </c>
      <c r="E1914" t="s">
        <v>1884</v>
      </c>
      <c r="F1914" t="s">
        <v>1885</v>
      </c>
      <c r="G1914">
        <v>81235</v>
      </c>
      <c r="H1914" s="1">
        <v>45541</v>
      </c>
      <c r="I1914" s="1">
        <v>45572</v>
      </c>
      <c r="J1914">
        <v>31</v>
      </c>
      <c r="L1914" t="s">
        <v>15</v>
      </c>
      <c r="M1914" t="s">
        <v>1953</v>
      </c>
      <c r="N1914" t="s">
        <v>1887</v>
      </c>
    </row>
    <row r="1915" spans="1:14" x14ac:dyDescent="0.35">
      <c r="A1915" t="s">
        <v>3839</v>
      </c>
      <c r="B1915" t="s">
        <v>1924</v>
      </c>
      <c r="C1915" t="s">
        <v>280</v>
      </c>
      <c r="D1915" t="s">
        <v>1915</v>
      </c>
      <c r="E1915" t="s">
        <v>1600</v>
      </c>
      <c r="F1915" t="s">
        <v>1895</v>
      </c>
      <c r="G1915">
        <v>223530</v>
      </c>
      <c r="H1915" s="1">
        <v>44987</v>
      </c>
      <c r="I1915" s="1"/>
      <c r="K1915">
        <v>9.1999999999999993</v>
      </c>
      <c r="L1915" t="s">
        <v>47</v>
      </c>
      <c r="M1915" t="s">
        <v>1896</v>
      </c>
      <c r="N1915" t="s">
        <v>1887</v>
      </c>
    </row>
    <row r="1916" spans="1:14" x14ac:dyDescent="0.35">
      <c r="A1916" t="s">
        <v>3840</v>
      </c>
      <c r="B1916" t="s">
        <v>1926</v>
      </c>
      <c r="C1916" t="s">
        <v>236</v>
      </c>
      <c r="D1916" t="s">
        <v>1915</v>
      </c>
      <c r="E1916" t="s">
        <v>1587</v>
      </c>
      <c r="F1916" t="s">
        <v>1885</v>
      </c>
      <c r="G1916">
        <v>498659</v>
      </c>
      <c r="H1916" s="1">
        <v>44941</v>
      </c>
      <c r="I1916" s="1">
        <v>44984</v>
      </c>
      <c r="J1916">
        <v>43</v>
      </c>
      <c r="K1916">
        <v>3.5</v>
      </c>
      <c r="L1916" t="s">
        <v>21</v>
      </c>
      <c r="M1916" t="s">
        <v>1896</v>
      </c>
      <c r="N1916" t="s">
        <v>1887</v>
      </c>
    </row>
    <row r="1917" spans="1:14" x14ac:dyDescent="0.35">
      <c r="A1917" t="s">
        <v>3841</v>
      </c>
      <c r="B1917" t="s">
        <v>1903</v>
      </c>
      <c r="C1917" t="s">
        <v>437</v>
      </c>
      <c r="D1917" t="s">
        <v>1883</v>
      </c>
      <c r="E1917" t="s">
        <v>1891</v>
      </c>
      <c r="F1917" t="s">
        <v>1885</v>
      </c>
      <c r="G1917">
        <v>255140</v>
      </c>
      <c r="H1917" s="1">
        <v>45294</v>
      </c>
      <c r="I1917" s="1">
        <v>45472</v>
      </c>
      <c r="J1917">
        <v>178</v>
      </c>
      <c r="L1917" t="s">
        <v>15</v>
      </c>
      <c r="M1917" t="s">
        <v>1916</v>
      </c>
      <c r="N1917" t="s">
        <v>1887</v>
      </c>
    </row>
    <row r="1918" spans="1:14" x14ac:dyDescent="0.35">
      <c r="A1918" t="s">
        <v>3842</v>
      </c>
      <c r="B1918" t="s">
        <v>1920</v>
      </c>
      <c r="C1918" t="s">
        <v>326</v>
      </c>
      <c r="D1918" t="s">
        <v>1927</v>
      </c>
      <c r="E1918" t="s">
        <v>1918</v>
      </c>
      <c r="F1918" t="s">
        <v>1892</v>
      </c>
      <c r="G1918">
        <v>77384</v>
      </c>
      <c r="H1918" s="1">
        <v>45036</v>
      </c>
      <c r="I1918" s="1"/>
      <c r="L1918" t="s">
        <v>47</v>
      </c>
      <c r="M1918" t="s">
        <v>1893</v>
      </c>
      <c r="N1918" t="s">
        <v>1887</v>
      </c>
    </row>
    <row r="1919" spans="1:14" x14ac:dyDescent="0.35">
      <c r="A1919" t="s">
        <v>3843</v>
      </c>
      <c r="B1919" t="s">
        <v>1911</v>
      </c>
      <c r="C1919" t="s">
        <v>74</v>
      </c>
      <c r="D1919" t="s">
        <v>1927</v>
      </c>
      <c r="E1919" t="s">
        <v>1891</v>
      </c>
      <c r="F1919" t="s">
        <v>1885</v>
      </c>
      <c r="G1919">
        <v>180158</v>
      </c>
      <c r="H1919" s="1">
        <v>45432</v>
      </c>
      <c r="I1919" s="1">
        <v>45608</v>
      </c>
      <c r="J1919">
        <v>176</v>
      </c>
      <c r="K1919">
        <v>11</v>
      </c>
      <c r="L1919" t="s">
        <v>47</v>
      </c>
      <c r="M1919" t="s">
        <v>1935</v>
      </c>
      <c r="N1919" t="s">
        <v>1887</v>
      </c>
    </row>
    <row r="1920" spans="1:14" x14ac:dyDescent="0.35">
      <c r="A1920" t="s">
        <v>3844</v>
      </c>
      <c r="B1920" t="s">
        <v>1920</v>
      </c>
      <c r="C1920" t="s">
        <v>484</v>
      </c>
      <c r="D1920" t="s">
        <v>1915</v>
      </c>
      <c r="E1920" t="s">
        <v>1891</v>
      </c>
      <c r="F1920" t="s">
        <v>1908</v>
      </c>
      <c r="G1920">
        <v>88398</v>
      </c>
      <c r="H1920" s="1">
        <v>45500</v>
      </c>
      <c r="I1920" s="1"/>
      <c r="K1920">
        <v>9.8000000000000007</v>
      </c>
      <c r="L1920" t="s">
        <v>47</v>
      </c>
      <c r="M1920" t="s">
        <v>1953</v>
      </c>
      <c r="N1920" t="s">
        <v>1887</v>
      </c>
    </row>
    <row r="1921" spans="1:14" x14ac:dyDescent="0.35">
      <c r="A1921" t="s">
        <v>3845</v>
      </c>
      <c r="B1921" t="s">
        <v>1898</v>
      </c>
      <c r="C1921" t="s">
        <v>444</v>
      </c>
      <c r="D1921" t="s">
        <v>1883</v>
      </c>
      <c r="E1921" t="s">
        <v>1600</v>
      </c>
      <c r="F1921" t="s">
        <v>1900</v>
      </c>
      <c r="G1921">
        <v>372578</v>
      </c>
      <c r="H1921" s="1">
        <v>45666</v>
      </c>
      <c r="I1921" s="1">
        <v>45758</v>
      </c>
      <c r="J1921">
        <v>92</v>
      </c>
      <c r="K1921">
        <v>21.6</v>
      </c>
      <c r="L1921" t="s">
        <v>15</v>
      </c>
      <c r="M1921" t="s">
        <v>1912</v>
      </c>
      <c r="N1921" t="s">
        <v>1887</v>
      </c>
    </row>
    <row r="1922" spans="1:14" x14ac:dyDescent="0.35">
      <c r="A1922" t="s">
        <v>3846</v>
      </c>
      <c r="B1922" t="s">
        <v>1889</v>
      </c>
      <c r="C1922" t="s">
        <v>404</v>
      </c>
      <c r="D1922" t="s">
        <v>1899</v>
      </c>
      <c r="E1922" t="s">
        <v>1891</v>
      </c>
      <c r="F1922" t="s">
        <v>1900</v>
      </c>
      <c r="G1922">
        <v>161907</v>
      </c>
      <c r="H1922" s="1">
        <v>45502</v>
      </c>
      <c r="I1922" s="1">
        <v>45557</v>
      </c>
      <c r="J1922">
        <v>55</v>
      </c>
      <c r="K1922">
        <v>3.8</v>
      </c>
      <c r="L1922" t="s">
        <v>30</v>
      </c>
      <c r="M1922" t="s">
        <v>1953</v>
      </c>
      <c r="N1922" t="s">
        <v>1887</v>
      </c>
    </row>
    <row r="1923" spans="1:14" x14ac:dyDescent="0.35">
      <c r="A1923" t="s">
        <v>3847</v>
      </c>
      <c r="B1923" t="s">
        <v>1898</v>
      </c>
      <c r="C1923" t="s">
        <v>424</v>
      </c>
      <c r="D1923" t="s">
        <v>1883</v>
      </c>
      <c r="E1923" t="s">
        <v>1905</v>
      </c>
      <c r="F1923" t="s">
        <v>1900</v>
      </c>
      <c r="G1923">
        <v>83634</v>
      </c>
      <c r="H1923" s="1">
        <v>45509</v>
      </c>
      <c r="I1923" s="1">
        <v>45648</v>
      </c>
      <c r="J1923">
        <v>139</v>
      </c>
      <c r="K1923">
        <v>21.5</v>
      </c>
      <c r="L1923" t="s">
        <v>30</v>
      </c>
      <c r="M1923" t="s">
        <v>1953</v>
      </c>
      <c r="N1923" t="s">
        <v>1887</v>
      </c>
    </row>
    <row r="1924" spans="1:14" x14ac:dyDescent="0.35">
      <c r="A1924" t="s">
        <v>3848</v>
      </c>
      <c r="B1924" t="s">
        <v>1930</v>
      </c>
      <c r="C1924" t="s">
        <v>461</v>
      </c>
      <c r="D1924" t="s">
        <v>1927</v>
      </c>
      <c r="E1924" t="s">
        <v>1891</v>
      </c>
      <c r="F1924" t="s">
        <v>1885</v>
      </c>
      <c r="G1924">
        <v>92521</v>
      </c>
      <c r="H1924" s="1">
        <v>45535</v>
      </c>
      <c r="I1924" s="1">
        <v>45686</v>
      </c>
      <c r="J1924">
        <v>151</v>
      </c>
      <c r="K1924">
        <v>3.2</v>
      </c>
      <c r="L1924" t="s">
        <v>15</v>
      </c>
      <c r="M1924" t="s">
        <v>1953</v>
      </c>
      <c r="N1924" t="s">
        <v>1887</v>
      </c>
    </row>
    <row r="1925" spans="1:14" x14ac:dyDescent="0.35">
      <c r="A1925" t="s">
        <v>3849</v>
      </c>
      <c r="B1925" t="s">
        <v>1924</v>
      </c>
      <c r="C1925" t="s">
        <v>424</v>
      </c>
      <c r="D1925" t="s">
        <v>1883</v>
      </c>
      <c r="E1925" t="s">
        <v>1678</v>
      </c>
      <c r="F1925" t="s">
        <v>1895</v>
      </c>
      <c r="G1925">
        <v>348000</v>
      </c>
      <c r="H1925" s="1">
        <v>45120</v>
      </c>
      <c r="I1925" s="1"/>
      <c r="K1925">
        <v>0.9</v>
      </c>
      <c r="L1925" t="s">
        <v>15</v>
      </c>
      <c r="M1925" t="s">
        <v>1932</v>
      </c>
      <c r="N1925" t="s">
        <v>1887</v>
      </c>
    </row>
    <row r="1926" spans="1:14" x14ac:dyDescent="0.35">
      <c r="A1926" t="s">
        <v>3850</v>
      </c>
      <c r="B1926" t="s">
        <v>1944</v>
      </c>
      <c r="C1926" t="s">
        <v>341</v>
      </c>
      <c r="D1926" t="s">
        <v>1904</v>
      </c>
      <c r="E1926" t="s">
        <v>1945</v>
      </c>
      <c r="F1926" t="s">
        <v>1946</v>
      </c>
      <c r="G1926">
        <v>380235</v>
      </c>
      <c r="H1926" s="1">
        <v>45410</v>
      </c>
      <c r="I1926" s="1"/>
      <c r="K1926">
        <v>13.8</v>
      </c>
      <c r="L1926" t="s">
        <v>30</v>
      </c>
      <c r="M1926" t="s">
        <v>1935</v>
      </c>
      <c r="N1926" t="s">
        <v>1887</v>
      </c>
    </row>
    <row r="1927" spans="1:14" x14ac:dyDescent="0.35">
      <c r="A1927" t="s">
        <v>3851</v>
      </c>
      <c r="B1927" t="s">
        <v>1903</v>
      </c>
      <c r="C1927" t="s">
        <v>370</v>
      </c>
      <c r="D1927" t="s">
        <v>1927</v>
      </c>
      <c r="E1927" t="s">
        <v>1884</v>
      </c>
      <c r="F1927" t="s">
        <v>1892</v>
      </c>
      <c r="G1927">
        <v>360389</v>
      </c>
      <c r="H1927" s="1">
        <v>45553</v>
      </c>
      <c r="I1927" s="1"/>
      <c r="K1927">
        <v>5</v>
      </c>
      <c r="L1927" t="s">
        <v>47</v>
      </c>
      <c r="M1927" t="s">
        <v>1953</v>
      </c>
      <c r="N1927" t="s">
        <v>1887</v>
      </c>
    </row>
    <row r="1928" spans="1:14" x14ac:dyDescent="0.35">
      <c r="A1928" t="s">
        <v>3852</v>
      </c>
      <c r="B1928" t="s">
        <v>1920</v>
      </c>
      <c r="C1928" t="s">
        <v>491</v>
      </c>
      <c r="D1928" t="s">
        <v>1904</v>
      </c>
      <c r="E1928" t="s">
        <v>1918</v>
      </c>
      <c r="F1928" t="s">
        <v>1946</v>
      </c>
      <c r="G1928">
        <v>124079</v>
      </c>
      <c r="H1928" s="1">
        <v>45642</v>
      </c>
      <c r="I1928" s="1"/>
      <c r="K1928">
        <v>11.6</v>
      </c>
      <c r="L1928" t="s">
        <v>21</v>
      </c>
      <c r="M1928" t="s">
        <v>1901</v>
      </c>
      <c r="N1928" t="s">
        <v>1887</v>
      </c>
    </row>
    <row r="1929" spans="1:14" x14ac:dyDescent="0.35">
      <c r="A1929" t="s">
        <v>3853</v>
      </c>
      <c r="B1929" t="s">
        <v>1882</v>
      </c>
      <c r="C1929" t="s">
        <v>330</v>
      </c>
      <c r="D1929" t="s">
        <v>1927</v>
      </c>
      <c r="E1929" t="s">
        <v>1600</v>
      </c>
      <c r="F1929" t="s">
        <v>1892</v>
      </c>
      <c r="G1929">
        <v>246606</v>
      </c>
      <c r="H1929" s="1">
        <v>45272</v>
      </c>
      <c r="I1929" s="1"/>
      <c r="L1929" t="s">
        <v>47</v>
      </c>
      <c r="M1929" t="s">
        <v>1886</v>
      </c>
      <c r="N1929" t="s">
        <v>1887</v>
      </c>
    </row>
    <row r="1930" spans="1:14" x14ac:dyDescent="0.35">
      <c r="A1930" t="s">
        <v>3854</v>
      </c>
      <c r="B1930" t="s">
        <v>1963</v>
      </c>
      <c r="C1930" t="s">
        <v>461</v>
      </c>
      <c r="D1930" t="s">
        <v>1915</v>
      </c>
      <c r="E1930" t="s">
        <v>1918</v>
      </c>
      <c r="F1930" t="s">
        <v>1946</v>
      </c>
      <c r="G1930">
        <v>90877</v>
      </c>
      <c r="H1930" s="1">
        <v>45141</v>
      </c>
      <c r="I1930" s="1"/>
      <c r="K1930">
        <v>0.6</v>
      </c>
      <c r="L1930" t="s">
        <v>21</v>
      </c>
      <c r="M1930" t="s">
        <v>1932</v>
      </c>
      <c r="N1930" t="s">
        <v>1887</v>
      </c>
    </row>
    <row r="1931" spans="1:14" x14ac:dyDescent="0.35">
      <c r="A1931" t="s">
        <v>3855</v>
      </c>
      <c r="B1931" t="s">
        <v>1937</v>
      </c>
      <c r="C1931" t="s">
        <v>264</v>
      </c>
      <c r="D1931" t="s">
        <v>1883</v>
      </c>
      <c r="E1931" t="s">
        <v>1587</v>
      </c>
      <c r="F1931" t="s">
        <v>1895</v>
      </c>
      <c r="G1931">
        <v>455998</v>
      </c>
      <c r="H1931" s="1">
        <v>45296</v>
      </c>
      <c r="I1931" s="1"/>
      <c r="K1931">
        <v>5.2</v>
      </c>
      <c r="L1931" t="s">
        <v>15</v>
      </c>
      <c r="M1931" t="s">
        <v>1916</v>
      </c>
      <c r="N1931" t="s">
        <v>1887</v>
      </c>
    </row>
    <row r="1932" spans="1:14" x14ac:dyDescent="0.35">
      <c r="A1932" t="s">
        <v>3856</v>
      </c>
      <c r="B1932" t="s">
        <v>1944</v>
      </c>
      <c r="C1932" t="s">
        <v>214</v>
      </c>
      <c r="D1932" t="s">
        <v>1890</v>
      </c>
      <c r="E1932" t="s">
        <v>1931</v>
      </c>
      <c r="F1932" t="s">
        <v>1885</v>
      </c>
      <c r="G1932">
        <v>273125</v>
      </c>
      <c r="H1932" s="1">
        <v>45159</v>
      </c>
      <c r="I1932" s="1">
        <v>45282</v>
      </c>
      <c r="J1932">
        <v>123</v>
      </c>
      <c r="L1932" t="s">
        <v>30</v>
      </c>
      <c r="M1932" t="s">
        <v>1932</v>
      </c>
      <c r="N1932" t="s">
        <v>1887</v>
      </c>
    </row>
    <row r="1933" spans="1:14" x14ac:dyDescent="0.35">
      <c r="A1933" t="s">
        <v>3857</v>
      </c>
      <c r="B1933" t="s">
        <v>1934</v>
      </c>
      <c r="C1933" t="s">
        <v>411</v>
      </c>
      <c r="D1933" t="s">
        <v>1927</v>
      </c>
      <c r="E1933" t="s">
        <v>1678</v>
      </c>
      <c r="F1933" t="s">
        <v>1900</v>
      </c>
      <c r="G1933">
        <v>258288</v>
      </c>
      <c r="H1933" s="1">
        <v>45185</v>
      </c>
      <c r="I1933" s="1">
        <v>45295</v>
      </c>
      <c r="J1933">
        <v>110</v>
      </c>
      <c r="K1933">
        <v>12.1</v>
      </c>
      <c r="L1933" t="s">
        <v>30</v>
      </c>
      <c r="M1933" t="s">
        <v>1932</v>
      </c>
      <c r="N1933" t="s">
        <v>1887</v>
      </c>
    </row>
    <row r="1934" spans="1:14" x14ac:dyDescent="0.35">
      <c r="A1934" t="s">
        <v>3858</v>
      </c>
      <c r="B1934" t="s">
        <v>1903</v>
      </c>
      <c r="C1934" t="s">
        <v>440</v>
      </c>
      <c r="D1934" t="s">
        <v>1883</v>
      </c>
      <c r="E1934" t="s">
        <v>1600</v>
      </c>
      <c r="F1934" t="s">
        <v>1895</v>
      </c>
      <c r="G1934">
        <v>373485</v>
      </c>
      <c r="H1934" s="1">
        <v>45595</v>
      </c>
      <c r="I1934" s="1"/>
      <c r="K1934">
        <v>7.6</v>
      </c>
      <c r="L1934" t="s">
        <v>47</v>
      </c>
      <c r="M1934" t="s">
        <v>1901</v>
      </c>
      <c r="N1934" t="s">
        <v>1887</v>
      </c>
    </row>
    <row r="1935" spans="1:14" x14ac:dyDescent="0.35">
      <c r="A1935" t="s">
        <v>3859</v>
      </c>
      <c r="B1935" t="s">
        <v>1930</v>
      </c>
      <c r="C1935" t="s">
        <v>255</v>
      </c>
      <c r="D1935" t="s">
        <v>1899</v>
      </c>
      <c r="E1935" t="s">
        <v>1931</v>
      </c>
      <c r="F1935" t="s">
        <v>1885</v>
      </c>
      <c r="G1935">
        <v>421506</v>
      </c>
      <c r="H1935" s="1">
        <v>44974</v>
      </c>
      <c r="I1935" s="1">
        <v>45131</v>
      </c>
      <c r="J1935">
        <v>157</v>
      </c>
      <c r="K1935">
        <v>2.2999999999999998</v>
      </c>
      <c r="L1935" t="s">
        <v>47</v>
      </c>
      <c r="M1935" t="s">
        <v>1896</v>
      </c>
      <c r="N1935" t="s">
        <v>1887</v>
      </c>
    </row>
    <row r="1936" spans="1:14" x14ac:dyDescent="0.35">
      <c r="A1936" t="s">
        <v>3860</v>
      </c>
      <c r="B1936" t="s">
        <v>1889</v>
      </c>
      <c r="C1936" t="s">
        <v>455</v>
      </c>
      <c r="D1936" t="s">
        <v>1915</v>
      </c>
      <c r="E1936" t="s">
        <v>1587</v>
      </c>
      <c r="F1936" t="s">
        <v>1895</v>
      </c>
      <c r="G1936">
        <v>33084</v>
      </c>
      <c r="H1936" s="1">
        <v>45535</v>
      </c>
      <c r="I1936" s="1"/>
      <c r="K1936">
        <v>13.1</v>
      </c>
      <c r="L1936" t="s">
        <v>47</v>
      </c>
      <c r="M1936" t="s">
        <v>1953</v>
      </c>
      <c r="N1936" t="s">
        <v>1887</v>
      </c>
    </row>
    <row r="1937" spans="1:14" x14ac:dyDescent="0.35">
      <c r="A1937" t="s">
        <v>3861</v>
      </c>
      <c r="B1937" t="s">
        <v>1882</v>
      </c>
      <c r="C1937" t="s">
        <v>261</v>
      </c>
      <c r="D1937" t="s">
        <v>1927</v>
      </c>
      <c r="E1937" t="s">
        <v>1945</v>
      </c>
      <c r="F1937" t="s">
        <v>1892</v>
      </c>
      <c r="G1937">
        <v>141097</v>
      </c>
      <c r="H1937" s="1">
        <v>44993</v>
      </c>
      <c r="I1937" s="1"/>
      <c r="K1937">
        <v>9.4</v>
      </c>
      <c r="L1937" t="s">
        <v>15</v>
      </c>
      <c r="M1937" t="s">
        <v>1896</v>
      </c>
      <c r="N1937" t="s">
        <v>1887</v>
      </c>
    </row>
    <row r="1938" spans="1:14" x14ac:dyDescent="0.35">
      <c r="A1938" t="s">
        <v>3862</v>
      </c>
      <c r="B1938" t="s">
        <v>1924</v>
      </c>
      <c r="C1938" t="s">
        <v>205</v>
      </c>
      <c r="D1938" t="s">
        <v>1904</v>
      </c>
      <c r="E1938" t="s">
        <v>1945</v>
      </c>
      <c r="F1938" t="s">
        <v>1900</v>
      </c>
      <c r="G1938">
        <v>36901</v>
      </c>
      <c r="H1938" s="1">
        <v>45243</v>
      </c>
      <c r="I1938" s="1">
        <v>45372</v>
      </c>
      <c r="J1938">
        <v>129</v>
      </c>
      <c r="K1938">
        <v>4.5</v>
      </c>
      <c r="L1938" t="s">
        <v>15</v>
      </c>
      <c r="M1938" t="s">
        <v>1886</v>
      </c>
      <c r="N1938" t="s">
        <v>1887</v>
      </c>
    </row>
    <row r="1939" spans="1:14" x14ac:dyDescent="0.35">
      <c r="A1939" t="s">
        <v>3863</v>
      </c>
      <c r="B1939" t="s">
        <v>1944</v>
      </c>
      <c r="C1939" t="s">
        <v>396</v>
      </c>
      <c r="D1939" t="s">
        <v>1899</v>
      </c>
      <c r="E1939" t="s">
        <v>1891</v>
      </c>
      <c r="F1939" t="s">
        <v>1900</v>
      </c>
      <c r="G1939">
        <v>176210</v>
      </c>
      <c r="H1939" s="1">
        <v>44952</v>
      </c>
      <c r="I1939" s="1">
        <v>45012</v>
      </c>
      <c r="J1939">
        <v>60</v>
      </c>
      <c r="K1939">
        <v>6.6</v>
      </c>
      <c r="L1939" t="s">
        <v>47</v>
      </c>
      <c r="M1939" t="s">
        <v>1896</v>
      </c>
      <c r="N1939" t="s">
        <v>1887</v>
      </c>
    </row>
    <row r="1940" spans="1:14" x14ac:dyDescent="0.35">
      <c r="A1940" t="s">
        <v>3864</v>
      </c>
      <c r="B1940" t="s">
        <v>1920</v>
      </c>
      <c r="C1940" t="s">
        <v>331</v>
      </c>
      <c r="D1940" t="s">
        <v>1890</v>
      </c>
      <c r="E1940" t="s">
        <v>1678</v>
      </c>
      <c r="F1940" t="s">
        <v>1895</v>
      </c>
      <c r="G1940">
        <v>399169</v>
      </c>
      <c r="H1940" s="1">
        <v>45641</v>
      </c>
      <c r="I1940" s="1"/>
      <c r="K1940">
        <v>2</v>
      </c>
      <c r="L1940" t="s">
        <v>21</v>
      </c>
      <c r="M1940" t="s">
        <v>1901</v>
      </c>
      <c r="N1940" t="s">
        <v>1887</v>
      </c>
    </row>
    <row r="1941" spans="1:14" x14ac:dyDescent="0.35">
      <c r="A1941" t="s">
        <v>3865</v>
      </c>
      <c r="B1941" t="s">
        <v>1926</v>
      </c>
      <c r="C1941" t="s">
        <v>474</v>
      </c>
      <c r="D1941" t="s">
        <v>1890</v>
      </c>
      <c r="E1941" t="s">
        <v>1587</v>
      </c>
      <c r="F1941" t="s">
        <v>1900</v>
      </c>
      <c r="G1941">
        <v>129193</v>
      </c>
      <c r="H1941" s="1">
        <v>45526</v>
      </c>
      <c r="I1941" s="1">
        <v>45570</v>
      </c>
      <c r="J1941">
        <v>44</v>
      </c>
      <c r="K1941">
        <v>2.4</v>
      </c>
      <c r="L1941" t="s">
        <v>30</v>
      </c>
      <c r="M1941" t="s">
        <v>1953</v>
      </c>
      <c r="N1941" t="s">
        <v>1887</v>
      </c>
    </row>
    <row r="1942" spans="1:14" x14ac:dyDescent="0.35">
      <c r="A1942" t="s">
        <v>3866</v>
      </c>
      <c r="B1942" t="s">
        <v>1903</v>
      </c>
      <c r="C1942" t="s">
        <v>365</v>
      </c>
      <c r="D1942" t="s">
        <v>1883</v>
      </c>
      <c r="E1942" t="s">
        <v>1587</v>
      </c>
      <c r="F1942" t="s">
        <v>1895</v>
      </c>
      <c r="G1942">
        <v>1149522</v>
      </c>
      <c r="H1942" s="1">
        <v>45605</v>
      </c>
      <c r="I1942" s="1"/>
      <c r="K1942">
        <v>9.6</v>
      </c>
      <c r="L1942" t="s">
        <v>47</v>
      </c>
      <c r="M1942" t="s">
        <v>1901</v>
      </c>
      <c r="N1942" t="s">
        <v>1966</v>
      </c>
    </row>
    <row r="1943" spans="1:14" x14ac:dyDescent="0.35">
      <c r="A1943" t="s">
        <v>3867</v>
      </c>
      <c r="B1943" t="s">
        <v>1911</v>
      </c>
      <c r="C1943" t="s">
        <v>144</v>
      </c>
      <c r="D1943" t="s">
        <v>1883</v>
      </c>
      <c r="E1943" t="s">
        <v>1945</v>
      </c>
      <c r="F1943" t="s">
        <v>1908</v>
      </c>
      <c r="G1943">
        <v>496633</v>
      </c>
      <c r="H1943" s="1">
        <v>45331</v>
      </c>
      <c r="I1943" s="1"/>
      <c r="K1943">
        <v>9.6</v>
      </c>
      <c r="L1943" t="s">
        <v>47</v>
      </c>
      <c r="M1943" t="s">
        <v>1916</v>
      </c>
      <c r="N1943" t="s">
        <v>1887</v>
      </c>
    </row>
    <row r="1944" spans="1:14" x14ac:dyDescent="0.35">
      <c r="A1944" t="s">
        <v>3868</v>
      </c>
      <c r="B1944" t="s">
        <v>1882</v>
      </c>
      <c r="C1944" t="s">
        <v>236</v>
      </c>
      <c r="D1944" t="s">
        <v>1915</v>
      </c>
      <c r="E1944" t="s">
        <v>1600</v>
      </c>
      <c r="F1944" t="s">
        <v>1885</v>
      </c>
      <c r="G1944">
        <v>240311</v>
      </c>
      <c r="H1944" s="1">
        <v>45428</v>
      </c>
      <c r="I1944" s="1">
        <v>45526</v>
      </c>
      <c r="J1944">
        <v>98</v>
      </c>
      <c r="K1944">
        <v>13.3</v>
      </c>
      <c r="L1944" t="s">
        <v>47</v>
      </c>
      <c r="M1944" t="s">
        <v>1935</v>
      </c>
      <c r="N1944" t="s">
        <v>1887</v>
      </c>
    </row>
    <row r="1945" spans="1:14" x14ac:dyDescent="0.35">
      <c r="A1945" t="s">
        <v>3869</v>
      </c>
      <c r="B1945" t="s">
        <v>1920</v>
      </c>
      <c r="C1945" t="s">
        <v>402</v>
      </c>
      <c r="D1945" t="s">
        <v>1899</v>
      </c>
      <c r="E1945" t="s">
        <v>1600</v>
      </c>
      <c r="F1945" t="s">
        <v>1895</v>
      </c>
      <c r="G1945">
        <v>109894</v>
      </c>
      <c r="H1945" s="1">
        <v>45569</v>
      </c>
      <c r="I1945" s="1"/>
      <c r="K1945">
        <v>8</v>
      </c>
      <c r="L1945" t="s">
        <v>30</v>
      </c>
      <c r="M1945" t="s">
        <v>1901</v>
      </c>
      <c r="N1945" t="s">
        <v>1887</v>
      </c>
    </row>
    <row r="1946" spans="1:14" x14ac:dyDescent="0.35">
      <c r="A1946" t="s">
        <v>3870</v>
      </c>
      <c r="B1946" t="s">
        <v>1898</v>
      </c>
      <c r="C1946" t="s">
        <v>439</v>
      </c>
      <c r="D1946" t="s">
        <v>1883</v>
      </c>
      <c r="E1946" t="s">
        <v>1918</v>
      </c>
      <c r="F1946" t="s">
        <v>1900</v>
      </c>
      <c r="G1946">
        <v>237072</v>
      </c>
      <c r="H1946" s="1">
        <v>45172</v>
      </c>
      <c r="I1946" s="1">
        <v>45252</v>
      </c>
      <c r="J1946">
        <v>80</v>
      </c>
      <c r="K1946">
        <v>17.7</v>
      </c>
      <c r="L1946" t="s">
        <v>47</v>
      </c>
      <c r="M1946" t="s">
        <v>1932</v>
      </c>
      <c r="N1946" t="s">
        <v>1887</v>
      </c>
    </row>
    <row r="1947" spans="1:14" x14ac:dyDescent="0.35">
      <c r="A1947" t="s">
        <v>3871</v>
      </c>
      <c r="B1947" t="s">
        <v>1889</v>
      </c>
      <c r="C1947" t="s">
        <v>66</v>
      </c>
      <c r="D1947" t="s">
        <v>1899</v>
      </c>
      <c r="E1947" t="s">
        <v>1918</v>
      </c>
      <c r="F1947" t="s">
        <v>1895</v>
      </c>
      <c r="G1947">
        <v>196905</v>
      </c>
      <c r="H1947" s="1">
        <v>45437</v>
      </c>
      <c r="I1947" s="1"/>
      <c r="K1947">
        <v>0.8</v>
      </c>
      <c r="L1947" t="s">
        <v>21</v>
      </c>
      <c r="M1947" t="s">
        <v>1935</v>
      </c>
      <c r="N1947" t="s">
        <v>1887</v>
      </c>
    </row>
    <row r="1948" spans="1:14" x14ac:dyDescent="0.35">
      <c r="A1948" t="s">
        <v>3872</v>
      </c>
      <c r="B1948" t="s">
        <v>1963</v>
      </c>
      <c r="C1948" t="s">
        <v>147</v>
      </c>
      <c r="D1948" t="s">
        <v>1915</v>
      </c>
      <c r="E1948" t="s">
        <v>1678</v>
      </c>
      <c r="F1948" t="s">
        <v>1885</v>
      </c>
      <c r="G1948">
        <v>491148</v>
      </c>
      <c r="H1948" s="1">
        <v>45318</v>
      </c>
      <c r="I1948" s="1">
        <v>45497</v>
      </c>
      <c r="J1948">
        <v>179</v>
      </c>
      <c r="L1948" t="s">
        <v>15</v>
      </c>
      <c r="M1948" t="s">
        <v>1916</v>
      </c>
      <c r="N1948" t="s">
        <v>1887</v>
      </c>
    </row>
    <row r="1949" spans="1:14" x14ac:dyDescent="0.35">
      <c r="A1949" t="s">
        <v>3873</v>
      </c>
      <c r="B1949" t="s">
        <v>1963</v>
      </c>
      <c r="C1949" t="s">
        <v>321</v>
      </c>
      <c r="D1949" t="s">
        <v>1927</v>
      </c>
      <c r="E1949" t="s">
        <v>1891</v>
      </c>
      <c r="F1949" t="s">
        <v>1900</v>
      </c>
      <c r="G1949">
        <v>277696</v>
      </c>
      <c r="H1949" s="1">
        <v>45028</v>
      </c>
      <c r="I1949" s="1">
        <v>45054</v>
      </c>
      <c r="J1949">
        <v>26</v>
      </c>
      <c r="K1949">
        <v>4.7</v>
      </c>
      <c r="L1949" t="s">
        <v>21</v>
      </c>
      <c r="M1949" t="s">
        <v>1893</v>
      </c>
      <c r="N1949" t="s">
        <v>1887</v>
      </c>
    </row>
    <row r="1950" spans="1:14" x14ac:dyDescent="0.35">
      <c r="A1950" t="s">
        <v>3874</v>
      </c>
      <c r="B1950" t="s">
        <v>1963</v>
      </c>
      <c r="C1950" t="s">
        <v>442</v>
      </c>
      <c r="D1950" t="s">
        <v>1899</v>
      </c>
      <c r="E1950" t="s">
        <v>1678</v>
      </c>
      <c r="F1950" t="s">
        <v>1892</v>
      </c>
      <c r="G1950">
        <v>452412</v>
      </c>
      <c r="H1950" s="1">
        <v>45579</v>
      </c>
      <c r="I1950" s="1"/>
      <c r="L1950" t="s">
        <v>21</v>
      </c>
      <c r="M1950" t="s">
        <v>1901</v>
      </c>
      <c r="N1950" t="s">
        <v>1887</v>
      </c>
    </row>
    <row r="1951" spans="1:14" x14ac:dyDescent="0.35">
      <c r="A1951" t="s">
        <v>3875</v>
      </c>
      <c r="B1951" t="s">
        <v>1882</v>
      </c>
      <c r="C1951" t="s">
        <v>201</v>
      </c>
      <c r="D1951" t="s">
        <v>1927</v>
      </c>
      <c r="E1951" t="s">
        <v>1600</v>
      </c>
      <c r="F1951" t="s">
        <v>1895</v>
      </c>
      <c r="G1951">
        <v>110025</v>
      </c>
      <c r="H1951" s="1">
        <v>45237</v>
      </c>
      <c r="I1951" s="1"/>
      <c r="L1951" t="s">
        <v>30</v>
      </c>
      <c r="M1951" t="s">
        <v>1886</v>
      </c>
      <c r="N1951" t="s">
        <v>1887</v>
      </c>
    </row>
    <row r="1952" spans="1:14" x14ac:dyDescent="0.35">
      <c r="A1952" t="s">
        <v>3876</v>
      </c>
      <c r="B1952" t="s">
        <v>1926</v>
      </c>
      <c r="C1952" t="s">
        <v>343</v>
      </c>
      <c r="D1952" t="s">
        <v>1927</v>
      </c>
      <c r="E1952" t="s">
        <v>1678</v>
      </c>
      <c r="F1952" t="s">
        <v>1885</v>
      </c>
      <c r="G1952">
        <v>81789</v>
      </c>
      <c r="H1952" s="1">
        <v>45362</v>
      </c>
      <c r="I1952" s="1">
        <v>45422</v>
      </c>
      <c r="J1952">
        <v>60</v>
      </c>
      <c r="L1952" t="s">
        <v>47</v>
      </c>
      <c r="M1952" t="s">
        <v>1916</v>
      </c>
      <c r="N1952" t="s">
        <v>1887</v>
      </c>
    </row>
    <row r="1953" spans="1:14" x14ac:dyDescent="0.35">
      <c r="A1953" t="s">
        <v>3877</v>
      </c>
      <c r="B1953" t="s">
        <v>1911</v>
      </c>
      <c r="C1953" t="s">
        <v>291</v>
      </c>
      <c r="D1953" t="s">
        <v>1927</v>
      </c>
      <c r="E1953" t="s">
        <v>1905</v>
      </c>
      <c r="F1953" t="s">
        <v>1892</v>
      </c>
      <c r="G1953">
        <v>1977965</v>
      </c>
      <c r="H1953" s="1">
        <v>45705</v>
      </c>
      <c r="I1953" s="1"/>
      <c r="K1953">
        <v>2.9</v>
      </c>
      <c r="L1953" t="s">
        <v>15</v>
      </c>
      <c r="M1953" t="s">
        <v>1912</v>
      </c>
      <c r="N1953" t="s">
        <v>1966</v>
      </c>
    </row>
    <row r="1954" spans="1:14" x14ac:dyDescent="0.35">
      <c r="A1954" t="s">
        <v>3878</v>
      </c>
      <c r="B1954" t="s">
        <v>1911</v>
      </c>
      <c r="C1954" t="s">
        <v>232</v>
      </c>
      <c r="D1954" t="s">
        <v>1899</v>
      </c>
      <c r="E1954" t="s">
        <v>1931</v>
      </c>
      <c r="F1954" t="s">
        <v>1908</v>
      </c>
      <c r="G1954">
        <v>285361</v>
      </c>
      <c r="H1954" s="1">
        <v>45046</v>
      </c>
      <c r="I1954" s="1"/>
      <c r="K1954">
        <v>7.3</v>
      </c>
      <c r="L1954" t="s">
        <v>15</v>
      </c>
      <c r="M1954" t="s">
        <v>1893</v>
      </c>
      <c r="N1954" t="s">
        <v>1887</v>
      </c>
    </row>
    <row r="1955" spans="1:14" x14ac:dyDescent="0.35">
      <c r="A1955" t="s">
        <v>3879</v>
      </c>
      <c r="B1955" t="s">
        <v>1907</v>
      </c>
      <c r="C1955" t="s">
        <v>94</v>
      </c>
      <c r="D1955" t="s">
        <v>1883</v>
      </c>
      <c r="E1955" t="s">
        <v>1884</v>
      </c>
      <c r="F1955" t="s">
        <v>1946</v>
      </c>
      <c r="G1955">
        <v>195756</v>
      </c>
      <c r="H1955" s="1">
        <v>45613</v>
      </c>
      <c r="I1955" s="1"/>
      <c r="K1955">
        <v>14.5</v>
      </c>
      <c r="L1955" t="s">
        <v>47</v>
      </c>
      <c r="M1955" t="s">
        <v>1901</v>
      </c>
      <c r="N1955" t="s">
        <v>1887</v>
      </c>
    </row>
    <row r="1956" spans="1:14" x14ac:dyDescent="0.35">
      <c r="A1956" t="s">
        <v>3880</v>
      </c>
      <c r="B1956" t="s">
        <v>1889</v>
      </c>
      <c r="C1956" t="s">
        <v>297</v>
      </c>
      <c r="D1956" t="s">
        <v>1927</v>
      </c>
      <c r="E1956" t="s">
        <v>1905</v>
      </c>
      <c r="F1956" t="s">
        <v>1900</v>
      </c>
      <c r="G1956">
        <v>466743</v>
      </c>
      <c r="H1956" s="1">
        <v>45286</v>
      </c>
      <c r="I1956" s="1">
        <v>45329</v>
      </c>
      <c r="J1956">
        <v>43</v>
      </c>
      <c r="K1956">
        <v>5.9</v>
      </c>
      <c r="L1956" t="s">
        <v>21</v>
      </c>
      <c r="M1956" t="s">
        <v>1886</v>
      </c>
      <c r="N1956" t="s">
        <v>1887</v>
      </c>
    </row>
    <row r="1957" spans="1:14" x14ac:dyDescent="0.35">
      <c r="A1957" t="s">
        <v>3881</v>
      </c>
      <c r="B1957" t="s">
        <v>1930</v>
      </c>
      <c r="C1957" t="s">
        <v>374</v>
      </c>
      <c r="D1957" t="s">
        <v>1904</v>
      </c>
      <c r="E1957" t="s">
        <v>1678</v>
      </c>
      <c r="F1957" t="s">
        <v>1895</v>
      </c>
      <c r="G1957">
        <v>225372</v>
      </c>
      <c r="H1957" s="1">
        <v>45590</v>
      </c>
      <c r="I1957" s="1"/>
      <c r="K1957">
        <v>1.9</v>
      </c>
      <c r="L1957" t="s">
        <v>21</v>
      </c>
      <c r="M1957" t="s">
        <v>1901</v>
      </c>
      <c r="N1957" t="s">
        <v>1887</v>
      </c>
    </row>
    <row r="1958" spans="1:14" x14ac:dyDescent="0.35">
      <c r="A1958" t="s">
        <v>3882</v>
      </c>
      <c r="B1958" t="s">
        <v>1922</v>
      </c>
      <c r="C1958" t="s">
        <v>138</v>
      </c>
      <c r="D1958" t="s">
        <v>1927</v>
      </c>
      <c r="E1958" t="s">
        <v>1918</v>
      </c>
      <c r="F1958" t="s">
        <v>1946</v>
      </c>
      <c r="G1958">
        <v>272486</v>
      </c>
      <c r="H1958" s="1">
        <v>45724</v>
      </c>
      <c r="I1958" s="1"/>
      <c r="K1958">
        <v>2.2000000000000002</v>
      </c>
      <c r="L1958" t="s">
        <v>21</v>
      </c>
      <c r="M1958" t="s">
        <v>1912</v>
      </c>
      <c r="N1958" t="s">
        <v>1887</v>
      </c>
    </row>
    <row r="1959" spans="1:14" x14ac:dyDescent="0.35">
      <c r="A1959" t="s">
        <v>3883</v>
      </c>
      <c r="B1959" t="s">
        <v>1944</v>
      </c>
      <c r="C1959" t="s">
        <v>124</v>
      </c>
      <c r="D1959" t="s">
        <v>1883</v>
      </c>
      <c r="E1959" t="s">
        <v>1891</v>
      </c>
      <c r="F1959" t="s">
        <v>1900</v>
      </c>
      <c r="G1959">
        <v>434226</v>
      </c>
      <c r="H1959" s="1">
        <v>45208</v>
      </c>
      <c r="I1959" s="1">
        <v>45336</v>
      </c>
      <c r="J1959">
        <v>128</v>
      </c>
      <c r="K1959">
        <v>21.6</v>
      </c>
      <c r="L1959" t="s">
        <v>47</v>
      </c>
      <c r="M1959" t="s">
        <v>1886</v>
      </c>
      <c r="N1959" t="s">
        <v>1887</v>
      </c>
    </row>
    <row r="1960" spans="1:14" x14ac:dyDescent="0.35">
      <c r="A1960" t="s">
        <v>3884</v>
      </c>
      <c r="B1960" t="s">
        <v>1944</v>
      </c>
      <c r="C1960" t="s">
        <v>372</v>
      </c>
      <c r="D1960" t="s">
        <v>1927</v>
      </c>
      <c r="E1960" t="s">
        <v>1891</v>
      </c>
      <c r="F1960" t="s">
        <v>1900</v>
      </c>
      <c r="G1960">
        <v>434837</v>
      </c>
      <c r="H1960" s="1">
        <v>45215</v>
      </c>
      <c r="I1960" s="1">
        <v>45307</v>
      </c>
      <c r="J1960">
        <v>92</v>
      </c>
      <c r="K1960">
        <v>0.4</v>
      </c>
      <c r="L1960" t="s">
        <v>15</v>
      </c>
      <c r="M1960" t="s">
        <v>1886</v>
      </c>
      <c r="N1960" t="s">
        <v>1887</v>
      </c>
    </row>
    <row r="1961" spans="1:14" x14ac:dyDescent="0.35">
      <c r="A1961" t="s">
        <v>3885</v>
      </c>
      <c r="B1961" t="s">
        <v>1930</v>
      </c>
      <c r="C1961" t="s">
        <v>470</v>
      </c>
      <c r="D1961" t="s">
        <v>1899</v>
      </c>
      <c r="E1961" t="s">
        <v>1918</v>
      </c>
      <c r="F1961" t="s">
        <v>1892</v>
      </c>
      <c r="G1961">
        <v>406460</v>
      </c>
      <c r="H1961" s="1">
        <v>45616</v>
      </c>
      <c r="I1961" s="1"/>
      <c r="L1961" t="s">
        <v>21</v>
      </c>
      <c r="M1961" t="s">
        <v>1901</v>
      </c>
      <c r="N1961" t="s">
        <v>1887</v>
      </c>
    </row>
    <row r="1962" spans="1:14" x14ac:dyDescent="0.35">
      <c r="A1962" t="s">
        <v>3886</v>
      </c>
      <c r="B1962" t="s">
        <v>1934</v>
      </c>
      <c r="C1962" t="s">
        <v>451</v>
      </c>
      <c r="D1962" t="s">
        <v>1890</v>
      </c>
      <c r="E1962" t="s">
        <v>1905</v>
      </c>
      <c r="F1962" t="s">
        <v>1885</v>
      </c>
      <c r="G1962">
        <v>70286</v>
      </c>
      <c r="H1962" s="1">
        <v>45383</v>
      </c>
      <c r="I1962" s="1">
        <v>45556</v>
      </c>
      <c r="J1962">
        <v>173</v>
      </c>
      <c r="L1962" t="s">
        <v>47</v>
      </c>
      <c r="M1962" t="s">
        <v>1935</v>
      </c>
      <c r="N1962" t="s">
        <v>1887</v>
      </c>
    </row>
    <row r="1963" spans="1:14" x14ac:dyDescent="0.35">
      <c r="A1963" t="s">
        <v>3887</v>
      </c>
      <c r="B1963" t="s">
        <v>1930</v>
      </c>
      <c r="C1963" t="s">
        <v>312</v>
      </c>
      <c r="D1963" t="s">
        <v>1883</v>
      </c>
      <c r="E1963" t="s">
        <v>1891</v>
      </c>
      <c r="F1963" t="s">
        <v>1900</v>
      </c>
      <c r="G1963">
        <v>424139</v>
      </c>
      <c r="H1963" s="1">
        <v>45138</v>
      </c>
      <c r="I1963" s="1">
        <v>45261</v>
      </c>
      <c r="J1963">
        <v>123</v>
      </c>
      <c r="K1963">
        <v>21.8</v>
      </c>
      <c r="L1963" t="s">
        <v>30</v>
      </c>
      <c r="M1963" t="s">
        <v>1932</v>
      </c>
      <c r="N1963" t="s">
        <v>1887</v>
      </c>
    </row>
    <row r="1964" spans="1:14" x14ac:dyDescent="0.35">
      <c r="A1964" t="s">
        <v>3888</v>
      </c>
      <c r="B1964" t="s">
        <v>1934</v>
      </c>
      <c r="C1964" t="s">
        <v>284</v>
      </c>
      <c r="D1964" t="s">
        <v>1915</v>
      </c>
      <c r="E1964" t="s">
        <v>1884</v>
      </c>
      <c r="F1964" t="s">
        <v>1895</v>
      </c>
      <c r="G1964">
        <v>286661</v>
      </c>
      <c r="H1964" s="1">
        <v>45502</v>
      </c>
      <c r="I1964" s="1"/>
      <c r="K1964">
        <v>4.0999999999999996</v>
      </c>
      <c r="L1964" t="s">
        <v>30</v>
      </c>
      <c r="M1964" t="s">
        <v>1953</v>
      </c>
      <c r="N1964" t="s">
        <v>1887</v>
      </c>
    </row>
    <row r="1965" spans="1:14" x14ac:dyDescent="0.35">
      <c r="A1965" t="s">
        <v>3889</v>
      </c>
      <c r="B1965" t="s">
        <v>1944</v>
      </c>
      <c r="C1965" t="s">
        <v>387</v>
      </c>
      <c r="D1965" t="s">
        <v>1890</v>
      </c>
      <c r="E1965" t="s">
        <v>1600</v>
      </c>
      <c r="F1965" t="s">
        <v>1885</v>
      </c>
      <c r="G1965">
        <v>123036</v>
      </c>
      <c r="H1965" s="1">
        <v>44952</v>
      </c>
      <c r="I1965" s="1">
        <v>45020</v>
      </c>
      <c r="J1965">
        <v>68</v>
      </c>
      <c r="K1965">
        <v>5.2</v>
      </c>
      <c r="L1965" t="s">
        <v>30</v>
      </c>
      <c r="M1965" t="s">
        <v>1896</v>
      </c>
      <c r="N1965" t="s">
        <v>1887</v>
      </c>
    </row>
    <row r="1966" spans="1:14" x14ac:dyDescent="0.35">
      <c r="A1966" t="s">
        <v>3890</v>
      </c>
      <c r="B1966" t="s">
        <v>1889</v>
      </c>
      <c r="C1966" t="s">
        <v>448</v>
      </c>
      <c r="D1966" t="s">
        <v>1904</v>
      </c>
      <c r="E1966" t="s">
        <v>1600</v>
      </c>
      <c r="F1966" t="s">
        <v>1900</v>
      </c>
      <c r="G1966">
        <v>126317</v>
      </c>
      <c r="H1966" s="1">
        <v>45130</v>
      </c>
      <c r="I1966" s="1">
        <v>45235</v>
      </c>
      <c r="J1966">
        <v>105</v>
      </c>
      <c r="K1966">
        <v>19.5</v>
      </c>
      <c r="L1966" t="s">
        <v>47</v>
      </c>
      <c r="M1966" t="s">
        <v>1932</v>
      </c>
      <c r="N1966" t="s">
        <v>1887</v>
      </c>
    </row>
    <row r="1967" spans="1:14" x14ac:dyDescent="0.35">
      <c r="A1967" t="s">
        <v>3891</v>
      </c>
      <c r="B1967" t="s">
        <v>1944</v>
      </c>
      <c r="C1967" t="s">
        <v>368</v>
      </c>
      <c r="D1967" t="s">
        <v>1890</v>
      </c>
      <c r="E1967" t="s">
        <v>1600</v>
      </c>
      <c r="F1967" t="s">
        <v>1946</v>
      </c>
      <c r="G1967">
        <v>57703</v>
      </c>
      <c r="H1967" s="1">
        <v>45277</v>
      </c>
      <c r="I1967" s="1"/>
      <c r="K1967">
        <v>8</v>
      </c>
      <c r="L1967" t="s">
        <v>47</v>
      </c>
      <c r="M1967" t="s">
        <v>1886</v>
      </c>
      <c r="N1967" t="s">
        <v>1887</v>
      </c>
    </row>
    <row r="1968" spans="1:14" x14ac:dyDescent="0.35">
      <c r="A1968" t="s">
        <v>3892</v>
      </c>
      <c r="B1968" t="s">
        <v>1882</v>
      </c>
      <c r="C1968" t="s">
        <v>394</v>
      </c>
      <c r="D1968" t="s">
        <v>1899</v>
      </c>
      <c r="E1968" t="s">
        <v>1884</v>
      </c>
      <c r="F1968" t="s">
        <v>1895</v>
      </c>
      <c r="G1968">
        <v>363268</v>
      </c>
      <c r="H1968" s="1">
        <v>45647</v>
      </c>
      <c r="I1968" s="1"/>
      <c r="K1968">
        <v>7.9</v>
      </c>
      <c r="L1968" t="s">
        <v>30</v>
      </c>
      <c r="M1968" t="s">
        <v>1901</v>
      </c>
      <c r="N1968" t="s">
        <v>1887</v>
      </c>
    </row>
    <row r="1969" spans="1:14" x14ac:dyDescent="0.35">
      <c r="A1969" t="s">
        <v>3893</v>
      </c>
      <c r="B1969" t="s">
        <v>1924</v>
      </c>
      <c r="C1969" t="s">
        <v>328</v>
      </c>
      <c r="D1969" t="s">
        <v>1904</v>
      </c>
      <c r="E1969" t="s">
        <v>1678</v>
      </c>
      <c r="F1969" t="s">
        <v>1892</v>
      </c>
      <c r="G1969">
        <v>498123</v>
      </c>
      <c r="H1969" s="1">
        <v>44989</v>
      </c>
      <c r="I1969" s="1"/>
      <c r="L1969" t="s">
        <v>30</v>
      </c>
      <c r="M1969" t="s">
        <v>1896</v>
      </c>
      <c r="N1969" t="s">
        <v>1887</v>
      </c>
    </row>
    <row r="1970" spans="1:14" x14ac:dyDescent="0.35">
      <c r="A1970" t="s">
        <v>3894</v>
      </c>
      <c r="B1970" t="s">
        <v>1930</v>
      </c>
      <c r="C1970" t="s">
        <v>165</v>
      </c>
      <c r="D1970" t="s">
        <v>1904</v>
      </c>
      <c r="E1970" t="s">
        <v>1600</v>
      </c>
      <c r="F1970" t="s">
        <v>1908</v>
      </c>
      <c r="G1970">
        <v>386847</v>
      </c>
      <c r="H1970" s="1">
        <v>45024</v>
      </c>
      <c r="I1970" s="1"/>
      <c r="K1970">
        <v>12.9</v>
      </c>
      <c r="L1970" t="s">
        <v>15</v>
      </c>
      <c r="M1970" t="s">
        <v>1893</v>
      </c>
      <c r="N1970" t="s">
        <v>1887</v>
      </c>
    </row>
    <row r="1971" spans="1:14" x14ac:dyDescent="0.35">
      <c r="A1971" t="s">
        <v>3895</v>
      </c>
      <c r="B1971" t="s">
        <v>1930</v>
      </c>
      <c r="C1971" t="s">
        <v>337</v>
      </c>
      <c r="D1971" t="s">
        <v>1883</v>
      </c>
      <c r="E1971" t="s">
        <v>1918</v>
      </c>
      <c r="F1971" t="s">
        <v>1885</v>
      </c>
      <c r="G1971">
        <v>464348</v>
      </c>
      <c r="H1971" s="1">
        <v>45362</v>
      </c>
      <c r="I1971" s="1">
        <v>45499</v>
      </c>
      <c r="J1971">
        <v>137</v>
      </c>
      <c r="L1971" t="s">
        <v>47</v>
      </c>
      <c r="M1971" t="s">
        <v>1916</v>
      </c>
      <c r="N1971" t="s">
        <v>1887</v>
      </c>
    </row>
    <row r="1972" spans="1:14" x14ac:dyDescent="0.35">
      <c r="A1972" t="s">
        <v>3896</v>
      </c>
      <c r="B1972" t="s">
        <v>1944</v>
      </c>
      <c r="C1972" t="s">
        <v>205</v>
      </c>
      <c r="D1972" t="s">
        <v>1927</v>
      </c>
      <c r="E1972" t="s">
        <v>1891</v>
      </c>
      <c r="F1972" t="s">
        <v>1900</v>
      </c>
      <c r="G1972">
        <v>204810</v>
      </c>
      <c r="H1972" s="1">
        <v>45267</v>
      </c>
      <c r="I1972" s="1">
        <v>45410</v>
      </c>
      <c r="J1972">
        <v>143</v>
      </c>
      <c r="K1972">
        <v>17.399999999999999</v>
      </c>
      <c r="L1972" t="s">
        <v>15</v>
      </c>
      <c r="M1972" t="s">
        <v>1886</v>
      </c>
      <c r="N1972" t="s">
        <v>1887</v>
      </c>
    </row>
    <row r="1973" spans="1:14" x14ac:dyDescent="0.35">
      <c r="A1973" t="s">
        <v>3897</v>
      </c>
      <c r="B1973" t="s">
        <v>1889</v>
      </c>
      <c r="C1973" t="s">
        <v>193</v>
      </c>
      <c r="D1973" t="s">
        <v>1927</v>
      </c>
      <c r="E1973" t="s">
        <v>1945</v>
      </c>
      <c r="F1973" t="s">
        <v>1900</v>
      </c>
      <c r="G1973">
        <v>341518</v>
      </c>
      <c r="H1973" s="1">
        <v>45322</v>
      </c>
      <c r="I1973" s="1">
        <v>45412</v>
      </c>
      <c r="J1973">
        <v>90</v>
      </c>
      <c r="K1973">
        <v>13.9</v>
      </c>
      <c r="L1973" t="s">
        <v>21</v>
      </c>
      <c r="M1973" t="s">
        <v>1916</v>
      </c>
      <c r="N1973" t="s">
        <v>1887</v>
      </c>
    </row>
    <row r="1974" spans="1:14" x14ac:dyDescent="0.35">
      <c r="A1974" t="s">
        <v>3898</v>
      </c>
      <c r="B1974" t="s">
        <v>1889</v>
      </c>
      <c r="C1974" t="s">
        <v>449</v>
      </c>
      <c r="D1974" t="s">
        <v>1890</v>
      </c>
      <c r="E1974" t="s">
        <v>1587</v>
      </c>
      <c r="F1974" t="s">
        <v>1946</v>
      </c>
      <c r="G1974">
        <v>268469</v>
      </c>
      <c r="H1974" s="1">
        <v>45535</v>
      </c>
      <c r="I1974" s="1"/>
      <c r="K1974">
        <v>14.3</v>
      </c>
      <c r="L1974" t="s">
        <v>30</v>
      </c>
      <c r="M1974" t="s">
        <v>1953</v>
      </c>
      <c r="N1974" t="s">
        <v>1887</v>
      </c>
    </row>
    <row r="1975" spans="1:14" x14ac:dyDescent="0.35">
      <c r="A1975" t="s">
        <v>3899</v>
      </c>
      <c r="B1975" t="s">
        <v>1914</v>
      </c>
      <c r="C1975" t="s">
        <v>324</v>
      </c>
      <c r="D1975" t="s">
        <v>1883</v>
      </c>
      <c r="E1975" t="s">
        <v>1884</v>
      </c>
      <c r="F1975" t="s">
        <v>1908</v>
      </c>
      <c r="G1975">
        <v>430859</v>
      </c>
      <c r="H1975" s="1">
        <v>44974</v>
      </c>
      <c r="I1975" s="1"/>
      <c r="K1975">
        <v>14.9</v>
      </c>
      <c r="L1975" t="s">
        <v>47</v>
      </c>
      <c r="M1975" t="s">
        <v>1896</v>
      </c>
      <c r="N1975" t="s">
        <v>1887</v>
      </c>
    </row>
    <row r="1976" spans="1:14" x14ac:dyDescent="0.35">
      <c r="A1976" t="s">
        <v>3900</v>
      </c>
      <c r="B1976" t="s">
        <v>1963</v>
      </c>
      <c r="C1976" t="s">
        <v>114</v>
      </c>
      <c r="D1976" t="s">
        <v>1904</v>
      </c>
      <c r="E1976" t="s">
        <v>1931</v>
      </c>
      <c r="F1976" t="s">
        <v>1900</v>
      </c>
      <c r="G1976">
        <v>16352</v>
      </c>
      <c r="H1976" s="1">
        <v>45370</v>
      </c>
      <c r="I1976" s="1">
        <v>45548</v>
      </c>
      <c r="J1976">
        <v>178</v>
      </c>
      <c r="K1976">
        <v>15.2</v>
      </c>
      <c r="L1976" t="s">
        <v>30</v>
      </c>
      <c r="M1976" t="s">
        <v>1916</v>
      </c>
      <c r="N1976" t="s">
        <v>1887</v>
      </c>
    </row>
    <row r="1977" spans="1:14" x14ac:dyDescent="0.35">
      <c r="A1977" t="s">
        <v>3901</v>
      </c>
      <c r="B1977" t="s">
        <v>1922</v>
      </c>
      <c r="C1977" t="s">
        <v>45</v>
      </c>
      <c r="D1977" t="s">
        <v>1927</v>
      </c>
      <c r="E1977" t="s">
        <v>1600</v>
      </c>
      <c r="F1977" t="s">
        <v>1908</v>
      </c>
      <c r="G1977">
        <v>41830</v>
      </c>
      <c r="H1977" s="1">
        <v>44975</v>
      </c>
      <c r="I1977" s="1"/>
      <c r="K1977">
        <v>13.9</v>
      </c>
      <c r="L1977" t="s">
        <v>21</v>
      </c>
      <c r="M1977" t="s">
        <v>1896</v>
      </c>
      <c r="N1977" t="s">
        <v>1887</v>
      </c>
    </row>
    <row r="1978" spans="1:14" x14ac:dyDescent="0.35">
      <c r="A1978" t="s">
        <v>3902</v>
      </c>
      <c r="B1978" t="s">
        <v>1914</v>
      </c>
      <c r="C1978" t="s">
        <v>392</v>
      </c>
      <c r="D1978" t="s">
        <v>1915</v>
      </c>
      <c r="E1978" t="s">
        <v>1931</v>
      </c>
      <c r="F1978" t="s">
        <v>1946</v>
      </c>
      <c r="G1978">
        <v>90110</v>
      </c>
      <c r="H1978" s="1">
        <v>45106</v>
      </c>
      <c r="I1978" s="1"/>
      <c r="K1978">
        <v>3.9</v>
      </c>
      <c r="L1978" t="s">
        <v>30</v>
      </c>
      <c r="M1978" t="s">
        <v>1893</v>
      </c>
      <c r="N1978" t="s">
        <v>1887</v>
      </c>
    </row>
    <row r="1979" spans="1:14" x14ac:dyDescent="0.35">
      <c r="A1979" t="s">
        <v>3903</v>
      </c>
      <c r="B1979" t="s">
        <v>1924</v>
      </c>
      <c r="C1979" t="s">
        <v>42</v>
      </c>
      <c r="D1979" t="s">
        <v>1883</v>
      </c>
      <c r="E1979" t="s">
        <v>1587</v>
      </c>
      <c r="F1979" t="s">
        <v>1895</v>
      </c>
      <c r="G1979">
        <v>85303</v>
      </c>
      <c r="H1979" s="1">
        <v>45102</v>
      </c>
      <c r="I1979" s="1"/>
      <c r="K1979">
        <v>2.7</v>
      </c>
      <c r="L1979" t="s">
        <v>21</v>
      </c>
      <c r="M1979" t="s">
        <v>1893</v>
      </c>
      <c r="N1979" t="s">
        <v>1887</v>
      </c>
    </row>
    <row r="1980" spans="1:14" x14ac:dyDescent="0.35">
      <c r="A1980" t="s">
        <v>3904</v>
      </c>
      <c r="B1980" t="s">
        <v>1914</v>
      </c>
      <c r="C1980" t="s">
        <v>27</v>
      </c>
      <c r="D1980" t="s">
        <v>1883</v>
      </c>
      <c r="E1980" t="s">
        <v>1891</v>
      </c>
      <c r="F1980" t="s">
        <v>1895</v>
      </c>
      <c r="G1980">
        <v>318856</v>
      </c>
      <c r="H1980" s="1">
        <v>45517</v>
      </c>
      <c r="I1980" s="1"/>
      <c r="L1980" t="s">
        <v>21</v>
      </c>
      <c r="M1980" t="s">
        <v>1953</v>
      </c>
      <c r="N1980" t="s">
        <v>1887</v>
      </c>
    </row>
    <row r="1981" spans="1:14" x14ac:dyDescent="0.35">
      <c r="A1981" t="s">
        <v>3905</v>
      </c>
      <c r="B1981" t="s">
        <v>1930</v>
      </c>
      <c r="C1981" t="s">
        <v>230</v>
      </c>
      <c r="D1981" t="s">
        <v>1904</v>
      </c>
      <c r="E1981" t="s">
        <v>1891</v>
      </c>
      <c r="F1981" t="s">
        <v>1900</v>
      </c>
      <c r="G1981">
        <v>210605</v>
      </c>
      <c r="H1981" s="1">
        <v>45743</v>
      </c>
      <c r="I1981" s="1">
        <v>45919</v>
      </c>
      <c r="J1981">
        <v>176</v>
      </c>
      <c r="K1981">
        <v>7.4</v>
      </c>
      <c r="L1981" t="s">
        <v>15</v>
      </c>
      <c r="M1981" t="s">
        <v>1912</v>
      </c>
      <c r="N1981" t="s">
        <v>1887</v>
      </c>
    </row>
    <row r="1982" spans="1:14" x14ac:dyDescent="0.35">
      <c r="A1982" t="s">
        <v>3906</v>
      </c>
      <c r="B1982" t="s">
        <v>1898</v>
      </c>
      <c r="C1982" t="s">
        <v>152</v>
      </c>
      <c r="D1982" t="s">
        <v>1899</v>
      </c>
      <c r="E1982" t="s">
        <v>1931</v>
      </c>
      <c r="F1982" t="s">
        <v>1908</v>
      </c>
      <c r="G1982">
        <v>42059</v>
      </c>
      <c r="H1982" s="1">
        <v>45604</v>
      </c>
      <c r="I1982" s="1"/>
      <c r="K1982">
        <v>14.2</v>
      </c>
      <c r="L1982" t="s">
        <v>15</v>
      </c>
      <c r="M1982" t="s">
        <v>1901</v>
      </c>
      <c r="N1982" t="s">
        <v>1887</v>
      </c>
    </row>
    <row r="1983" spans="1:14" x14ac:dyDescent="0.35">
      <c r="A1983" t="s">
        <v>3907</v>
      </c>
      <c r="B1983" t="s">
        <v>1926</v>
      </c>
      <c r="C1983" t="s">
        <v>412</v>
      </c>
      <c r="D1983" t="s">
        <v>1883</v>
      </c>
      <c r="E1983" t="s">
        <v>1587</v>
      </c>
      <c r="F1983" t="s">
        <v>1885</v>
      </c>
      <c r="G1983">
        <v>197562</v>
      </c>
      <c r="H1983" s="1">
        <v>45442</v>
      </c>
      <c r="I1983" s="1">
        <v>45510</v>
      </c>
      <c r="J1983">
        <v>68</v>
      </c>
      <c r="K1983">
        <v>10.6</v>
      </c>
      <c r="L1983" t="s">
        <v>47</v>
      </c>
      <c r="M1983" t="s">
        <v>1935</v>
      </c>
      <c r="N1983" t="s">
        <v>1887</v>
      </c>
    </row>
    <row r="1984" spans="1:14" x14ac:dyDescent="0.35">
      <c r="A1984" t="s">
        <v>3908</v>
      </c>
      <c r="B1984" t="s">
        <v>1944</v>
      </c>
      <c r="C1984" t="s">
        <v>426</v>
      </c>
      <c r="D1984" t="s">
        <v>1890</v>
      </c>
      <c r="E1984" t="s">
        <v>1891</v>
      </c>
      <c r="F1984" t="s">
        <v>1908</v>
      </c>
      <c r="G1984">
        <v>31049</v>
      </c>
      <c r="H1984" s="1">
        <v>44938</v>
      </c>
      <c r="I1984" s="1"/>
      <c r="L1984" t="s">
        <v>15</v>
      </c>
      <c r="M1984" t="s">
        <v>1896</v>
      </c>
      <c r="N1984" t="s">
        <v>1887</v>
      </c>
    </row>
    <row r="1985" spans="1:14" x14ac:dyDescent="0.35">
      <c r="A1985" t="s">
        <v>3909</v>
      </c>
      <c r="B1985" t="s">
        <v>1924</v>
      </c>
      <c r="C1985" t="s">
        <v>112</v>
      </c>
      <c r="D1985" t="s">
        <v>1890</v>
      </c>
      <c r="E1985" t="s">
        <v>1891</v>
      </c>
      <c r="F1985" t="s">
        <v>1885</v>
      </c>
      <c r="G1985">
        <v>199388</v>
      </c>
      <c r="H1985" s="1">
        <v>45383</v>
      </c>
      <c r="I1985" s="1">
        <v>45452</v>
      </c>
      <c r="J1985">
        <v>69</v>
      </c>
      <c r="K1985">
        <v>7</v>
      </c>
      <c r="L1985" t="s">
        <v>21</v>
      </c>
      <c r="M1985" t="s">
        <v>1935</v>
      </c>
      <c r="N1985" t="s">
        <v>1887</v>
      </c>
    </row>
    <row r="1986" spans="1:14" x14ac:dyDescent="0.35">
      <c r="A1986" t="s">
        <v>3910</v>
      </c>
      <c r="B1986" t="s">
        <v>1914</v>
      </c>
      <c r="C1986" t="s">
        <v>349</v>
      </c>
      <c r="D1986" t="s">
        <v>1915</v>
      </c>
      <c r="E1986" t="s">
        <v>1891</v>
      </c>
      <c r="F1986" t="s">
        <v>1885</v>
      </c>
      <c r="G1986">
        <v>39968</v>
      </c>
      <c r="H1986" s="1">
        <v>45405</v>
      </c>
      <c r="I1986" s="1">
        <v>45558</v>
      </c>
      <c r="J1986">
        <v>153</v>
      </c>
      <c r="L1986" t="s">
        <v>21</v>
      </c>
      <c r="M1986" t="s">
        <v>1935</v>
      </c>
      <c r="N1986" t="s">
        <v>1887</v>
      </c>
    </row>
    <row r="1987" spans="1:14" x14ac:dyDescent="0.35">
      <c r="A1987" t="s">
        <v>3911</v>
      </c>
      <c r="B1987" t="s">
        <v>1930</v>
      </c>
      <c r="C1987" t="s">
        <v>496</v>
      </c>
      <c r="D1987" t="s">
        <v>1899</v>
      </c>
      <c r="E1987" t="s">
        <v>1905</v>
      </c>
      <c r="F1987" t="s">
        <v>1908</v>
      </c>
      <c r="G1987">
        <v>85457</v>
      </c>
      <c r="H1987" s="1">
        <v>45593</v>
      </c>
      <c r="I1987" s="1"/>
      <c r="K1987">
        <v>5.7</v>
      </c>
      <c r="L1987" t="s">
        <v>15</v>
      </c>
      <c r="M1987" t="s">
        <v>1901</v>
      </c>
      <c r="N1987" t="s">
        <v>1887</v>
      </c>
    </row>
    <row r="1988" spans="1:14" x14ac:dyDescent="0.35">
      <c r="A1988" t="s">
        <v>3912</v>
      </c>
      <c r="B1988" t="s">
        <v>1882</v>
      </c>
      <c r="C1988" t="s">
        <v>330</v>
      </c>
      <c r="D1988" t="s">
        <v>1904</v>
      </c>
      <c r="E1988" t="s">
        <v>1918</v>
      </c>
      <c r="F1988" t="s">
        <v>1895</v>
      </c>
      <c r="G1988">
        <v>61413</v>
      </c>
      <c r="H1988" s="1">
        <v>45349</v>
      </c>
      <c r="I1988" s="1"/>
      <c r="K1988">
        <v>13</v>
      </c>
      <c r="L1988" t="s">
        <v>15</v>
      </c>
      <c r="M1988" t="s">
        <v>1916</v>
      </c>
      <c r="N1988" t="s">
        <v>1887</v>
      </c>
    </row>
    <row r="1989" spans="1:14" x14ac:dyDescent="0.35">
      <c r="A1989" t="s">
        <v>3913</v>
      </c>
      <c r="B1989" t="s">
        <v>1914</v>
      </c>
      <c r="C1989" t="s">
        <v>493</v>
      </c>
      <c r="D1989" t="s">
        <v>1927</v>
      </c>
      <c r="E1989" t="s">
        <v>1884</v>
      </c>
      <c r="F1989" t="s">
        <v>1908</v>
      </c>
      <c r="G1989">
        <v>217805</v>
      </c>
      <c r="H1989" s="1">
        <v>45377</v>
      </c>
      <c r="I1989" s="1"/>
      <c r="L1989" t="s">
        <v>30</v>
      </c>
      <c r="M1989" t="s">
        <v>1916</v>
      </c>
      <c r="N1989" t="s">
        <v>1887</v>
      </c>
    </row>
    <row r="1990" spans="1:14" x14ac:dyDescent="0.35">
      <c r="A1990" t="s">
        <v>3914</v>
      </c>
      <c r="B1990" t="s">
        <v>1914</v>
      </c>
      <c r="C1990" t="s">
        <v>112</v>
      </c>
      <c r="D1990" t="s">
        <v>1890</v>
      </c>
      <c r="E1990" t="s">
        <v>1905</v>
      </c>
      <c r="F1990" t="s">
        <v>1908</v>
      </c>
      <c r="G1990">
        <v>170449</v>
      </c>
      <c r="H1990" s="1">
        <v>45605</v>
      </c>
      <c r="I1990" s="1"/>
      <c r="K1990">
        <v>11.7</v>
      </c>
      <c r="L1990" t="s">
        <v>21</v>
      </c>
      <c r="M1990" t="s">
        <v>1901</v>
      </c>
      <c r="N1990" t="s">
        <v>1887</v>
      </c>
    </row>
    <row r="1991" spans="1:14" x14ac:dyDescent="0.35">
      <c r="A1991" t="s">
        <v>3915</v>
      </c>
      <c r="B1991" t="s">
        <v>1898</v>
      </c>
      <c r="C1991" t="s">
        <v>326</v>
      </c>
      <c r="D1991" t="s">
        <v>1899</v>
      </c>
      <c r="E1991" t="s">
        <v>1891</v>
      </c>
      <c r="F1991" t="s">
        <v>1900</v>
      </c>
      <c r="G1991">
        <v>291180</v>
      </c>
      <c r="H1991" s="1">
        <v>45588</v>
      </c>
      <c r="I1991" s="1">
        <v>45651</v>
      </c>
      <c r="J1991">
        <v>63</v>
      </c>
      <c r="K1991">
        <v>14.9</v>
      </c>
      <c r="L1991" t="s">
        <v>47</v>
      </c>
      <c r="M1991" t="s">
        <v>1901</v>
      </c>
      <c r="N1991" t="s">
        <v>1887</v>
      </c>
    </row>
    <row r="1992" spans="1:14" x14ac:dyDescent="0.35">
      <c r="A1992" t="s">
        <v>3916</v>
      </c>
      <c r="B1992" t="s">
        <v>1924</v>
      </c>
      <c r="C1992" t="s">
        <v>484</v>
      </c>
      <c r="D1992" t="s">
        <v>1890</v>
      </c>
      <c r="E1992" t="s">
        <v>1587</v>
      </c>
      <c r="F1992" t="s">
        <v>1946</v>
      </c>
      <c r="G1992">
        <v>434455</v>
      </c>
      <c r="H1992" s="1">
        <v>45108</v>
      </c>
      <c r="I1992" s="1"/>
      <c r="K1992">
        <v>11.5</v>
      </c>
      <c r="L1992" t="s">
        <v>47</v>
      </c>
      <c r="M1992" t="s">
        <v>1932</v>
      </c>
      <c r="N1992" t="s">
        <v>1887</v>
      </c>
    </row>
    <row r="1993" spans="1:14" x14ac:dyDescent="0.35">
      <c r="A1993" t="s">
        <v>3917</v>
      </c>
      <c r="B1993" t="s">
        <v>1963</v>
      </c>
      <c r="C1993" t="s">
        <v>324</v>
      </c>
      <c r="D1993" t="s">
        <v>1927</v>
      </c>
      <c r="E1993" t="s">
        <v>1587</v>
      </c>
      <c r="F1993" t="s">
        <v>1900</v>
      </c>
      <c r="G1993">
        <v>314085</v>
      </c>
      <c r="H1993" s="1">
        <v>44994</v>
      </c>
      <c r="I1993" s="1">
        <v>45079</v>
      </c>
      <c r="J1993">
        <v>85</v>
      </c>
      <c r="K1993">
        <v>14</v>
      </c>
      <c r="L1993" t="s">
        <v>15</v>
      </c>
      <c r="M1993" t="s">
        <v>1896</v>
      </c>
      <c r="N1993" t="s">
        <v>1887</v>
      </c>
    </row>
    <row r="1994" spans="1:14" x14ac:dyDescent="0.35">
      <c r="A1994" t="s">
        <v>3918</v>
      </c>
      <c r="B1994" t="s">
        <v>1898</v>
      </c>
      <c r="C1994" t="s">
        <v>350</v>
      </c>
      <c r="D1994" t="s">
        <v>1915</v>
      </c>
      <c r="E1994" t="s">
        <v>1891</v>
      </c>
      <c r="F1994" t="s">
        <v>1908</v>
      </c>
      <c r="G1994">
        <v>494085</v>
      </c>
      <c r="H1994" s="1">
        <v>45013</v>
      </c>
      <c r="I1994" s="1"/>
      <c r="K1994">
        <v>13.4</v>
      </c>
      <c r="L1994" t="s">
        <v>15</v>
      </c>
      <c r="M1994" t="s">
        <v>1896</v>
      </c>
      <c r="N1994" t="s">
        <v>1887</v>
      </c>
    </row>
    <row r="1995" spans="1:14" x14ac:dyDescent="0.35">
      <c r="A1995" t="s">
        <v>3919</v>
      </c>
      <c r="B1995" t="s">
        <v>1963</v>
      </c>
      <c r="C1995" t="s">
        <v>392</v>
      </c>
      <c r="D1995" t="s">
        <v>1883</v>
      </c>
      <c r="E1995" t="s">
        <v>1918</v>
      </c>
      <c r="F1995" t="s">
        <v>1900</v>
      </c>
      <c r="G1995">
        <v>133874</v>
      </c>
      <c r="H1995" s="1">
        <v>45074</v>
      </c>
      <c r="I1995" s="1">
        <v>45149</v>
      </c>
      <c r="J1995">
        <v>75</v>
      </c>
      <c r="K1995">
        <v>8.1</v>
      </c>
      <c r="L1995" t="s">
        <v>21</v>
      </c>
      <c r="M1995" t="s">
        <v>1893</v>
      </c>
      <c r="N1995" t="s">
        <v>1887</v>
      </c>
    </row>
    <row r="1996" spans="1:14" x14ac:dyDescent="0.35">
      <c r="A1996" t="s">
        <v>3920</v>
      </c>
      <c r="B1996" t="s">
        <v>1882</v>
      </c>
      <c r="C1996" t="s">
        <v>263</v>
      </c>
      <c r="D1996" t="s">
        <v>1883</v>
      </c>
      <c r="E1996" t="s">
        <v>1678</v>
      </c>
      <c r="F1996" t="s">
        <v>1900</v>
      </c>
      <c r="G1996">
        <v>486879</v>
      </c>
      <c r="H1996" s="1">
        <v>45539</v>
      </c>
      <c r="I1996" s="1">
        <v>45605</v>
      </c>
      <c r="J1996">
        <v>66</v>
      </c>
      <c r="K1996">
        <v>2.2000000000000002</v>
      </c>
      <c r="L1996" t="s">
        <v>47</v>
      </c>
      <c r="M1996" t="s">
        <v>1953</v>
      </c>
      <c r="N1996" t="s">
        <v>1887</v>
      </c>
    </row>
    <row r="1997" spans="1:14" x14ac:dyDescent="0.35">
      <c r="A1997" t="s">
        <v>3921</v>
      </c>
      <c r="B1997" t="s">
        <v>1920</v>
      </c>
      <c r="C1997" t="s">
        <v>374</v>
      </c>
      <c r="D1997" t="s">
        <v>1890</v>
      </c>
      <c r="E1997" t="s">
        <v>1600</v>
      </c>
      <c r="F1997" t="s">
        <v>1946</v>
      </c>
      <c r="G1997">
        <v>56909</v>
      </c>
      <c r="H1997" s="1">
        <v>45386</v>
      </c>
      <c r="I1997" s="1"/>
      <c r="K1997">
        <v>2.4</v>
      </c>
      <c r="L1997" t="s">
        <v>21</v>
      </c>
      <c r="M1997" t="s">
        <v>1935</v>
      </c>
      <c r="N1997" t="s">
        <v>1887</v>
      </c>
    </row>
    <row r="1998" spans="1:14" x14ac:dyDescent="0.35">
      <c r="A1998" t="s">
        <v>3922</v>
      </c>
      <c r="B1998" t="s">
        <v>1920</v>
      </c>
      <c r="C1998" t="s">
        <v>395</v>
      </c>
      <c r="D1998" t="s">
        <v>1883</v>
      </c>
      <c r="E1998" t="s">
        <v>1891</v>
      </c>
      <c r="F1998" t="s">
        <v>1892</v>
      </c>
      <c r="G1998">
        <v>318041</v>
      </c>
      <c r="H1998" s="1">
        <v>45736</v>
      </c>
      <c r="I1998" s="1"/>
      <c r="L1998" t="s">
        <v>47</v>
      </c>
      <c r="M1998" t="s">
        <v>1912</v>
      </c>
      <c r="N1998" t="s">
        <v>1887</v>
      </c>
    </row>
    <row r="1999" spans="1:14" x14ac:dyDescent="0.35">
      <c r="A1999" t="s">
        <v>3923</v>
      </c>
      <c r="B1999" t="s">
        <v>1926</v>
      </c>
      <c r="C1999" t="s">
        <v>120</v>
      </c>
      <c r="D1999" t="s">
        <v>1915</v>
      </c>
      <c r="E1999" t="s">
        <v>1600</v>
      </c>
      <c r="F1999" t="s">
        <v>1900</v>
      </c>
      <c r="G1999">
        <v>158371</v>
      </c>
      <c r="H1999" s="1">
        <v>44993</v>
      </c>
      <c r="I1999" s="1">
        <v>45127</v>
      </c>
      <c r="J1999">
        <v>134</v>
      </c>
      <c r="K1999">
        <v>14.9</v>
      </c>
      <c r="L1999" t="s">
        <v>21</v>
      </c>
      <c r="M1999" t="s">
        <v>1896</v>
      </c>
      <c r="N1999" t="s">
        <v>1887</v>
      </c>
    </row>
    <row r="2000" spans="1:14" x14ac:dyDescent="0.35">
      <c r="A2000" t="s">
        <v>3924</v>
      </c>
      <c r="B2000" t="s">
        <v>1882</v>
      </c>
      <c r="C2000" t="s">
        <v>232</v>
      </c>
      <c r="D2000" t="s">
        <v>1904</v>
      </c>
      <c r="E2000" t="s">
        <v>1891</v>
      </c>
      <c r="F2000" t="s">
        <v>1895</v>
      </c>
      <c r="G2000">
        <v>338201</v>
      </c>
      <c r="H2000" s="1">
        <v>44955</v>
      </c>
      <c r="I2000" s="1"/>
      <c r="K2000">
        <v>7.2</v>
      </c>
      <c r="L2000" t="s">
        <v>21</v>
      </c>
      <c r="M2000" t="s">
        <v>1896</v>
      </c>
      <c r="N2000" t="s">
        <v>1887</v>
      </c>
    </row>
    <row r="2001" spans="1:14" x14ac:dyDescent="0.35">
      <c r="A2001" t="s">
        <v>3925</v>
      </c>
      <c r="B2001" t="s">
        <v>1924</v>
      </c>
      <c r="C2001" t="s">
        <v>97</v>
      </c>
      <c r="D2001" t="s">
        <v>1883</v>
      </c>
      <c r="E2001" t="s">
        <v>1891</v>
      </c>
      <c r="F2001" t="s">
        <v>1895</v>
      </c>
      <c r="G2001">
        <v>488205</v>
      </c>
      <c r="H2001" s="1">
        <v>44976</v>
      </c>
      <c r="I2001" s="1"/>
      <c r="K2001">
        <v>4.3</v>
      </c>
      <c r="L2001" t="s">
        <v>47</v>
      </c>
      <c r="M2001" t="s">
        <v>1896</v>
      </c>
      <c r="N2001" t="s">
        <v>1887</v>
      </c>
    </row>
    <row r="2002" spans="1:14" x14ac:dyDescent="0.35">
      <c r="A2002" t="s">
        <v>3926</v>
      </c>
      <c r="B2002" t="s">
        <v>1882</v>
      </c>
      <c r="C2002" t="s">
        <v>404</v>
      </c>
      <c r="D2002" t="s">
        <v>1915</v>
      </c>
      <c r="E2002" t="s">
        <v>1931</v>
      </c>
      <c r="F2002" t="s">
        <v>1908</v>
      </c>
      <c r="G2002">
        <v>132275</v>
      </c>
      <c r="H2002" s="1">
        <v>45128</v>
      </c>
      <c r="I2002" s="1"/>
      <c r="K2002">
        <v>10.199999999999999</v>
      </c>
      <c r="L2002" t="s">
        <v>15</v>
      </c>
      <c r="M2002" t="s">
        <v>1932</v>
      </c>
      <c r="N2002" t="s">
        <v>1887</v>
      </c>
    </row>
    <row r="2003" spans="1:14" x14ac:dyDescent="0.35">
      <c r="A2003" t="s">
        <v>3927</v>
      </c>
      <c r="B2003" t="s">
        <v>1934</v>
      </c>
      <c r="C2003" t="s">
        <v>23</v>
      </c>
      <c r="D2003" t="s">
        <v>1915</v>
      </c>
      <c r="E2003" t="s">
        <v>1931</v>
      </c>
      <c r="F2003" t="s">
        <v>1946</v>
      </c>
      <c r="G2003">
        <v>232094</v>
      </c>
      <c r="H2003" s="1">
        <v>45494</v>
      </c>
      <c r="I2003" s="1"/>
      <c r="L2003" t="s">
        <v>15</v>
      </c>
      <c r="M2003" t="s">
        <v>1953</v>
      </c>
      <c r="N2003" t="s">
        <v>1887</v>
      </c>
    </row>
    <row r="2004" spans="1:14" x14ac:dyDescent="0.35">
      <c r="A2004" t="s">
        <v>3928</v>
      </c>
      <c r="B2004" t="s">
        <v>1911</v>
      </c>
      <c r="C2004" t="s">
        <v>403</v>
      </c>
      <c r="D2004" t="s">
        <v>1890</v>
      </c>
      <c r="E2004" t="s">
        <v>1891</v>
      </c>
      <c r="F2004" t="s">
        <v>1908</v>
      </c>
      <c r="G2004">
        <v>176481</v>
      </c>
      <c r="H2004" s="1">
        <v>45705</v>
      </c>
      <c r="I2004" s="1"/>
      <c r="K2004">
        <v>0.6</v>
      </c>
      <c r="L2004" t="s">
        <v>30</v>
      </c>
      <c r="M2004" t="s">
        <v>1912</v>
      </c>
      <c r="N2004" t="s">
        <v>1887</v>
      </c>
    </row>
    <row r="2005" spans="1:14" x14ac:dyDescent="0.35">
      <c r="A2005" t="s">
        <v>3929</v>
      </c>
      <c r="B2005" t="s">
        <v>1930</v>
      </c>
      <c r="C2005" t="s">
        <v>194</v>
      </c>
      <c r="D2005" t="s">
        <v>1904</v>
      </c>
      <c r="E2005" t="s">
        <v>1884</v>
      </c>
      <c r="F2005" t="s">
        <v>1946</v>
      </c>
      <c r="G2005">
        <v>322718</v>
      </c>
      <c r="H2005" s="1">
        <v>45222</v>
      </c>
      <c r="I2005" s="1"/>
      <c r="L2005" t="s">
        <v>30</v>
      </c>
      <c r="M2005" t="s">
        <v>1886</v>
      </c>
      <c r="N2005" t="s">
        <v>1887</v>
      </c>
    </row>
    <row r="2006" spans="1:14" x14ac:dyDescent="0.35">
      <c r="A2006" t="s">
        <v>3930</v>
      </c>
      <c r="B2006" t="s">
        <v>1924</v>
      </c>
      <c r="C2006" t="s">
        <v>165</v>
      </c>
      <c r="D2006" t="s">
        <v>1899</v>
      </c>
      <c r="E2006" t="s">
        <v>1884</v>
      </c>
      <c r="F2006" t="s">
        <v>1900</v>
      </c>
      <c r="G2006">
        <v>15874</v>
      </c>
      <c r="H2006" s="1">
        <v>45111</v>
      </c>
      <c r="I2006" s="1">
        <v>45204</v>
      </c>
      <c r="J2006">
        <v>93</v>
      </c>
      <c r="K2006">
        <v>4.3</v>
      </c>
      <c r="L2006" t="s">
        <v>15</v>
      </c>
      <c r="M2006" t="s">
        <v>1932</v>
      </c>
      <c r="N2006" t="s">
        <v>1887</v>
      </c>
    </row>
    <row r="2007" spans="1:14" x14ac:dyDescent="0.35">
      <c r="A2007" t="s">
        <v>3931</v>
      </c>
      <c r="B2007" t="s">
        <v>1898</v>
      </c>
      <c r="C2007" t="s">
        <v>453</v>
      </c>
      <c r="D2007" t="s">
        <v>1883</v>
      </c>
      <c r="E2007" t="s">
        <v>1905</v>
      </c>
      <c r="F2007" t="s">
        <v>1946</v>
      </c>
      <c r="G2007">
        <v>342318</v>
      </c>
      <c r="H2007" s="1">
        <v>45457</v>
      </c>
      <c r="I2007" s="1"/>
      <c r="L2007" t="s">
        <v>47</v>
      </c>
      <c r="M2007" t="s">
        <v>1935</v>
      </c>
      <c r="N2007" t="s">
        <v>1887</v>
      </c>
    </row>
    <row r="2008" spans="1:14" x14ac:dyDescent="0.35">
      <c r="A2008" t="s">
        <v>3932</v>
      </c>
      <c r="B2008" t="s">
        <v>1944</v>
      </c>
      <c r="C2008" t="s">
        <v>415</v>
      </c>
      <c r="D2008" t="s">
        <v>1899</v>
      </c>
      <c r="E2008" t="s">
        <v>1600</v>
      </c>
      <c r="F2008" t="s">
        <v>1908</v>
      </c>
      <c r="G2008">
        <v>403505</v>
      </c>
      <c r="H2008" s="1">
        <v>44952</v>
      </c>
      <c r="I2008" s="1"/>
      <c r="K2008">
        <v>13.1</v>
      </c>
      <c r="L2008" t="s">
        <v>30</v>
      </c>
      <c r="M2008" t="s">
        <v>1896</v>
      </c>
      <c r="N2008" t="s">
        <v>1887</v>
      </c>
    </row>
    <row r="2009" spans="1:14" x14ac:dyDescent="0.35">
      <c r="A2009" t="s">
        <v>3933</v>
      </c>
      <c r="B2009" t="s">
        <v>1903</v>
      </c>
      <c r="C2009" t="s">
        <v>388</v>
      </c>
      <c r="D2009" t="s">
        <v>1927</v>
      </c>
      <c r="E2009" t="s">
        <v>1587</v>
      </c>
      <c r="F2009" t="s">
        <v>1895</v>
      </c>
      <c r="G2009">
        <v>320554</v>
      </c>
      <c r="H2009" s="1">
        <v>45663</v>
      </c>
      <c r="I2009" s="1"/>
      <c r="K2009">
        <v>9</v>
      </c>
      <c r="L2009" t="s">
        <v>47</v>
      </c>
      <c r="M2009" t="s">
        <v>1912</v>
      </c>
      <c r="N2009" t="s">
        <v>1887</v>
      </c>
    </row>
    <row r="2010" spans="1:14" x14ac:dyDescent="0.35">
      <c r="A2010" t="s">
        <v>3934</v>
      </c>
      <c r="B2010" t="s">
        <v>1882</v>
      </c>
      <c r="C2010" t="s">
        <v>140</v>
      </c>
      <c r="D2010" t="s">
        <v>1904</v>
      </c>
      <c r="E2010" t="s">
        <v>1905</v>
      </c>
      <c r="F2010" t="s">
        <v>1885</v>
      </c>
      <c r="G2010">
        <v>202163</v>
      </c>
      <c r="H2010" s="1">
        <v>45386</v>
      </c>
      <c r="I2010" s="1">
        <v>45446</v>
      </c>
      <c r="J2010">
        <v>60</v>
      </c>
      <c r="L2010" t="s">
        <v>21</v>
      </c>
      <c r="M2010" t="s">
        <v>1935</v>
      </c>
      <c r="N2010" t="s">
        <v>1887</v>
      </c>
    </row>
    <row r="2011" spans="1:14" x14ac:dyDescent="0.35">
      <c r="A2011" t="s">
        <v>3935</v>
      </c>
      <c r="B2011" t="s">
        <v>1914</v>
      </c>
      <c r="C2011" t="s">
        <v>408</v>
      </c>
      <c r="D2011" t="s">
        <v>1904</v>
      </c>
      <c r="E2011" t="s">
        <v>1905</v>
      </c>
      <c r="F2011" t="s">
        <v>1900</v>
      </c>
      <c r="G2011">
        <v>296198</v>
      </c>
      <c r="H2011" s="1">
        <v>45689</v>
      </c>
      <c r="I2011" s="1">
        <v>45775</v>
      </c>
      <c r="J2011">
        <v>86</v>
      </c>
      <c r="K2011">
        <v>12.9</v>
      </c>
      <c r="L2011" t="s">
        <v>21</v>
      </c>
      <c r="M2011" t="s">
        <v>1912</v>
      </c>
      <c r="N2011" t="s">
        <v>1887</v>
      </c>
    </row>
    <row r="2012" spans="1:14" x14ac:dyDescent="0.35">
      <c r="A2012" t="s">
        <v>3936</v>
      </c>
      <c r="B2012" t="s">
        <v>1963</v>
      </c>
      <c r="C2012" t="s">
        <v>381</v>
      </c>
      <c r="D2012" t="s">
        <v>1927</v>
      </c>
      <c r="E2012" t="s">
        <v>1945</v>
      </c>
      <c r="F2012" t="s">
        <v>1895</v>
      </c>
      <c r="G2012">
        <v>184028</v>
      </c>
      <c r="H2012" s="1">
        <v>45279</v>
      </c>
      <c r="I2012" s="1"/>
      <c r="K2012">
        <v>13.7</v>
      </c>
      <c r="L2012" t="s">
        <v>21</v>
      </c>
      <c r="M2012" t="s">
        <v>1886</v>
      </c>
      <c r="N2012" t="s">
        <v>1887</v>
      </c>
    </row>
    <row r="2013" spans="1:14" x14ac:dyDescent="0.35">
      <c r="A2013" t="s">
        <v>3937</v>
      </c>
      <c r="B2013" t="s">
        <v>1898</v>
      </c>
      <c r="C2013" t="s">
        <v>466</v>
      </c>
      <c r="D2013" t="s">
        <v>1899</v>
      </c>
      <c r="E2013" t="s">
        <v>1905</v>
      </c>
      <c r="F2013" t="s">
        <v>1892</v>
      </c>
      <c r="G2013">
        <v>268321</v>
      </c>
      <c r="H2013" s="1">
        <v>45515</v>
      </c>
      <c r="I2013" s="1"/>
      <c r="L2013" t="s">
        <v>15</v>
      </c>
      <c r="M2013" t="s">
        <v>1953</v>
      </c>
      <c r="N2013" t="s">
        <v>1887</v>
      </c>
    </row>
    <row r="2014" spans="1:14" x14ac:dyDescent="0.35">
      <c r="A2014" t="s">
        <v>3938</v>
      </c>
      <c r="B2014" t="s">
        <v>1944</v>
      </c>
      <c r="C2014" t="s">
        <v>220</v>
      </c>
      <c r="D2014" t="s">
        <v>1927</v>
      </c>
      <c r="E2014" t="s">
        <v>1587</v>
      </c>
      <c r="F2014" t="s">
        <v>1892</v>
      </c>
      <c r="G2014">
        <v>113662</v>
      </c>
      <c r="H2014" s="1">
        <v>45482</v>
      </c>
      <c r="I2014" s="1"/>
      <c r="L2014" t="s">
        <v>47</v>
      </c>
      <c r="M2014" t="s">
        <v>1953</v>
      </c>
      <c r="N2014" t="s">
        <v>1887</v>
      </c>
    </row>
    <row r="2015" spans="1:14" x14ac:dyDescent="0.35">
      <c r="A2015" t="s">
        <v>3939</v>
      </c>
      <c r="B2015" t="s">
        <v>1882</v>
      </c>
      <c r="C2015" t="s">
        <v>152</v>
      </c>
      <c r="D2015" t="s">
        <v>1904</v>
      </c>
      <c r="E2015" t="s">
        <v>1891</v>
      </c>
      <c r="F2015" t="s">
        <v>1892</v>
      </c>
      <c r="G2015">
        <v>270051</v>
      </c>
      <c r="H2015" s="1">
        <v>45739</v>
      </c>
      <c r="I2015" s="1"/>
      <c r="L2015" t="s">
        <v>21</v>
      </c>
      <c r="M2015" t="s">
        <v>1912</v>
      </c>
      <c r="N2015" t="s">
        <v>1887</v>
      </c>
    </row>
    <row r="2016" spans="1:14" x14ac:dyDescent="0.35">
      <c r="A2016" t="s">
        <v>3940</v>
      </c>
      <c r="B2016" t="s">
        <v>1914</v>
      </c>
      <c r="C2016" t="s">
        <v>473</v>
      </c>
      <c r="D2016" t="s">
        <v>1927</v>
      </c>
      <c r="E2016" t="s">
        <v>1945</v>
      </c>
      <c r="F2016" t="s">
        <v>1895</v>
      </c>
      <c r="G2016">
        <v>102325</v>
      </c>
      <c r="H2016" s="1">
        <v>44939</v>
      </c>
      <c r="I2016" s="1"/>
      <c r="L2016" t="s">
        <v>30</v>
      </c>
      <c r="M2016" t="s">
        <v>1896</v>
      </c>
      <c r="N2016" t="s">
        <v>1887</v>
      </c>
    </row>
    <row r="2017" spans="1:14" x14ac:dyDescent="0.35">
      <c r="A2017" t="s">
        <v>3941</v>
      </c>
      <c r="B2017" t="s">
        <v>1882</v>
      </c>
      <c r="C2017" t="s">
        <v>466</v>
      </c>
      <c r="D2017" t="s">
        <v>1890</v>
      </c>
      <c r="E2017" t="s">
        <v>1918</v>
      </c>
      <c r="F2017" t="s">
        <v>1946</v>
      </c>
      <c r="G2017">
        <v>489154</v>
      </c>
      <c r="H2017" s="1">
        <v>45698</v>
      </c>
      <c r="I2017" s="1"/>
      <c r="L2017" t="s">
        <v>21</v>
      </c>
      <c r="M2017" t="s">
        <v>1912</v>
      </c>
      <c r="N2017" t="s">
        <v>1887</v>
      </c>
    </row>
    <row r="2018" spans="1:14" x14ac:dyDescent="0.35">
      <c r="A2018" t="s">
        <v>3942</v>
      </c>
      <c r="B2018" t="s">
        <v>1903</v>
      </c>
      <c r="C2018" t="s">
        <v>361</v>
      </c>
      <c r="D2018" t="s">
        <v>1883</v>
      </c>
      <c r="E2018" t="s">
        <v>1905</v>
      </c>
      <c r="F2018" t="s">
        <v>1900</v>
      </c>
      <c r="G2018">
        <v>16614</v>
      </c>
      <c r="H2018" s="1">
        <v>45074</v>
      </c>
      <c r="I2018" s="1">
        <v>45156</v>
      </c>
      <c r="J2018">
        <v>82</v>
      </c>
      <c r="K2018">
        <v>3.5</v>
      </c>
      <c r="L2018" t="s">
        <v>21</v>
      </c>
      <c r="M2018" t="s">
        <v>1893</v>
      </c>
      <c r="N2018" t="s">
        <v>1887</v>
      </c>
    </row>
    <row r="2019" spans="1:14" x14ac:dyDescent="0.35">
      <c r="A2019" t="s">
        <v>3943</v>
      </c>
      <c r="B2019" t="s">
        <v>1926</v>
      </c>
      <c r="C2019" t="s">
        <v>360</v>
      </c>
      <c r="D2019" t="s">
        <v>1890</v>
      </c>
      <c r="E2019" t="s">
        <v>1884</v>
      </c>
      <c r="F2019" t="s">
        <v>1900</v>
      </c>
      <c r="G2019">
        <v>229280</v>
      </c>
      <c r="H2019" s="1">
        <v>45114</v>
      </c>
      <c r="I2019" s="1">
        <v>45241</v>
      </c>
      <c r="J2019">
        <v>127</v>
      </c>
      <c r="K2019">
        <v>20</v>
      </c>
      <c r="L2019" t="s">
        <v>21</v>
      </c>
      <c r="M2019" t="s">
        <v>1932</v>
      </c>
      <c r="N2019" t="s">
        <v>1887</v>
      </c>
    </row>
    <row r="2020" spans="1:14" x14ac:dyDescent="0.35">
      <c r="A2020" t="s">
        <v>3944</v>
      </c>
      <c r="B2020" t="s">
        <v>1924</v>
      </c>
      <c r="C2020" t="s">
        <v>266</v>
      </c>
      <c r="D2020" t="s">
        <v>1904</v>
      </c>
      <c r="E2020" t="s">
        <v>1931</v>
      </c>
      <c r="F2020" t="s">
        <v>1895</v>
      </c>
      <c r="G2020">
        <v>1013410</v>
      </c>
      <c r="H2020" s="1">
        <v>45184</v>
      </c>
      <c r="I2020" s="1"/>
      <c r="K2020">
        <v>6</v>
      </c>
      <c r="L2020" t="s">
        <v>30</v>
      </c>
      <c r="M2020" t="s">
        <v>1932</v>
      </c>
      <c r="N2020" t="s">
        <v>1966</v>
      </c>
    </row>
    <row r="2021" spans="1:14" x14ac:dyDescent="0.35">
      <c r="A2021" t="s">
        <v>3945</v>
      </c>
      <c r="B2021" t="s">
        <v>1944</v>
      </c>
      <c r="C2021" t="s">
        <v>154</v>
      </c>
      <c r="D2021" t="s">
        <v>1883</v>
      </c>
      <c r="E2021" t="s">
        <v>1891</v>
      </c>
      <c r="F2021" t="s">
        <v>1908</v>
      </c>
      <c r="G2021">
        <v>123558</v>
      </c>
      <c r="H2021" s="1">
        <v>45301</v>
      </c>
      <c r="I2021" s="1"/>
      <c r="L2021" t="s">
        <v>30</v>
      </c>
      <c r="M2021" t="s">
        <v>1916</v>
      </c>
      <c r="N2021" t="s">
        <v>1887</v>
      </c>
    </row>
    <row r="2022" spans="1:14" x14ac:dyDescent="0.35">
      <c r="A2022" t="s">
        <v>3946</v>
      </c>
      <c r="B2022" t="s">
        <v>1898</v>
      </c>
      <c r="C2022" t="s">
        <v>457</v>
      </c>
      <c r="D2022" t="s">
        <v>1915</v>
      </c>
      <c r="E2022" t="s">
        <v>1587</v>
      </c>
      <c r="F2022" t="s">
        <v>1946</v>
      </c>
      <c r="G2022">
        <v>487127</v>
      </c>
      <c r="H2022" s="1">
        <v>45281</v>
      </c>
      <c r="I2022" s="1"/>
      <c r="L2022" t="s">
        <v>30</v>
      </c>
      <c r="M2022" t="s">
        <v>1886</v>
      </c>
      <c r="N2022" t="s">
        <v>1887</v>
      </c>
    </row>
    <row r="2023" spans="1:14" x14ac:dyDescent="0.35">
      <c r="A2023" t="s">
        <v>3947</v>
      </c>
      <c r="B2023" t="s">
        <v>1882</v>
      </c>
      <c r="C2023" t="s">
        <v>446</v>
      </c>
      <c r="D2023" t="s">
        <v>1915</v>
      </c>
      <c r="E2023" t="s">
        <v>1678</v>
      </c>
      <c r="F2023" t="s">
        <v>1900</v>
      </c>
      <c r="G2023">
        <v>173296</v>
      </c>
      <c r="H2023" s="1">
        <v>45129</v>
      </c>
      <c r="I2023" s="1">
        <v>45206</v>
      </c>
      <c r="J2023">
        <v>77</v>
      </c>
      <c r="K2023">
        <v>15.1</v>
      </c>
      <c r="L2023" t="s">
        <v>21</v>
      </c>
      <c r="M2023" t="s">
        <v>1932</v>
      </c>
      <c r="N2023" t="s">
        <v>1887</v>
      </c>
    </row>
    <row r="2024" spans="1:14" x14ac:dyDescent="0.35">
      <c r="A2024" t="s">
        <v>3948</v>
      </c>
      <c r="B2024" t="s">
        <v>1889</v>
      </c>
      <c r="C2024" t="s">
        <v>330</v>
      </c>
      <c r="D2024" t="s">
        <v>1883</v>
      </c>
      <c r="E2024" t="s">
        <v>1678</v>
      </c>
      <c r="F2024" t="s">
        <v>1900</v>
      </c>
      <c r="G2024">
        <v>252748</v>
      </c>
      <c r="H2024" s="1">
        <v>45483</v>
      </c>
      <c r="I2024" s="1">
        <v>45639</v>
      </c>
      <c r="J2024">
        <v>156</v>
      </c>
      <c r="K2024">
        <v>10</v>
      </c>
      <c r="L2024" t="s">
        <v>15</v>
      </c>
      <c r="M2024" t="s">
        <v>1953</v>
      </c>
      <c r="N2024" t="s">
        <v>1887</v>
      </c>
    </row>
    <row r="2025" spans="1:14" x14ac:dyDescent="0.35">
      <c r="A2025" t="s">
        <v>3949</v>
      </c>
      <c r="B2025" t="s">
        <v>1903</v>
      </c>
      <c r="C2025" t="s">
        <v>490</v>
      </c>
      <c r="D2025" t="s">
        <v>1899</v>
      </c>
      <c r="E2025" t="s">
        <v>1884</v>
      </c>
      <c r="F2025" t="s">
        <v>1946</v>
      </c>
      <c r="G2025">
        <v>423024</v>
      </c>
      <c r="H2025" s="1">
        <v>45716</v>
      </c>
      <c r="I2025" s="1"/>
      <c r="K2025">
        <v>11.2</v>
      </c>
      <c r="L2025" t="s">
        <v>47</v>
      </c>
      <c r="M2025" t="s">
        <v>1912</v>
      </c>
      <c r="N2025" t="s">
        <v>1887</v>
      </c>
    </row>
    <row r="2026" spans="1:14" x14ac:dyDescent="0.35">
      <c r="A2026" t="s">
        <v>3950</v>
      </c>
      <c r="B2026" t="s">
        <v>1903</v>
      </c>
      <c r="C2026" t="s">
        <v>350</v>
      </c>
      <c r="D2026" t="s">
        <v>1883</v>
      </c>
      <c r="E2026" t="s">
        <v>1884</v>
      </c>
      <c r="F2026" t="s">
        <v>1946</v>
      </c>
      <c r="G2026">
        <v>1842551</v>
      </c>
      <c r="H2026" s="1">
        <v>45391</v>
      </c>
      <c r="I2026" s="1"/>
      <c r="K2026">
        <v>5.0999999999999996</v>
      </c>
      <c r="L2026" t="s">
        <v>15</v>
      </c>
      <c r="M2026" t="s">
        <v>1935</v>
      </c>
      <c r="N2026" t="s">
        <v>1966</v>
      </c>
    </row>
    <row r="2027" spans="1:14" x14ac:dyDescent="0.35">
      <c r="A2027" t="s">
        <v>3951</v>
      </c>
      <c r="B2027" t="s">
        <v>1926</v>
      </c>
      <c r="C2027" t="s">
        <v>450</v>
      </c>
      <c r="D2027" t="s">
        <v>1890</v>
      </c>
      <c r="E2027" t="s">
        <v>1678</v>
      </c>
      <c r="F2027" t="s">
        <v>1908</v>
      </c>
      <c r="G2027">
        <v>253064</v>
      </c>
      <c r="H2027" s="1">
        <v>44987</v>
      </c>
      <c r="I2027" s="1"/>
      <c r="K2027">
        <v>13.6</v>
      </c>
      <c r="L2027" t="s">
        <v>21</v>
      </c>
      <c r="M2027" t="s">
        <v>1896</v>
      </c>
      <c r="N2027" t="s">
        <v>1887</v>
      </c>
    </row>
    <row r="2028" spans="1:14" x14ac:dyDescent="0.35">
      <c r="A2028" t="s">
        <v>3952</v>
      </c>
      <c r="B2028" t="s">
        <v>1926</v>
      </c>
      <c r="C2028" t="s">
        <v>236</v>
      </c>
      <c r="D2028" t="s">
        <v>1927</v>
      </c>
      <c r="E2028" t="s">
        <v>1918</v>
      </c>
      <c r="F2028" t="s">
        <v>1885</v>
      </c>
      <c r="G2028">
        <v>30674</v>
      </c>
      <c r="H2028" s="1">
        <v>45533</v>
      </c>
      <c r="I2028" s="1">
        <v>45626</v>
      </c>
      <c r="J2028">
        <v>93</v>
      </c>
      <c r="K2028">
        <v>2.4</v>
      </c>
      <c r="L2028" t="s">
        <v>47</v>
      </c>
      <c r="M2028" t="s">
        <v>1953</v>
      </c>
      <c r="N2028" t="s">
        <v>1887</v>
      </c>
    </row>
    <row r="2029" spans="1:14" x14ac:dyDescent="0.35">
      <c r="A2029" t="s">
        <v>3953</v>
      </c>
      <c r="B2029" t="s">
        <v>1924</v>
      </c>
      <c r="C2029" t="s">
        <v>380</v>
      </c>
      <c r="D2029" t="s">
        <v>1915</v>
      </c>
      <c r="E2029" t="s">
        <v>1600</v>
      </c>
      <c r="F2029" t="s">
        <v>1908</v>
      </c>
      <c r="G2029">
        <v>232006</v>
      </c>
      <c r="H2029" s="1">
        <v>45701</v>
      </c>
      <c r="I2029" s="1"/>
      <c r="K2029">
        <v>0.4</v>
      </c>
      <c r="L2029" t="s">
        <v>30</v>
      </c>
      <c r="M2029" t="s">
        <v>1912</v>
      </c>
      <c r="N2029" t="s">
        <v>1887</v>
      </c>
    </row>
    <row r="2030" spans="1:14" x14ac:dyDescent="0.35">
      <c r="A2030" t="s">
        <v>3954</v>
      </c>
      <c r="B2030" t="s">
        <v>1924</v>
      </c>
      <c r="C2030" t="s">
        <v>198</v>
      </c>
      <c r="D2030" t="s">
        <v>1883</v>
      </c>
      <c r="E2030" t="s">
        <v>1587</v>
      </c>
      <c r="F2030" t="s">
        <v>1900</v>
      </c>
      <c r="G2030">
        <v>133996</v>
      </c>
      <c r="H2030" s="1">
        <v>45277</v>
      </c>
      <c r="I2030" s="1">
        <v>45401</v>
      </c>
      <c r="J2030">
        <v>124</v>
      </c>
      <c r="K2030">
        <v>18.399999999999999</v>
      </c>
      <c r="L2030" t="s">
        <v>30</v>
      </c>
      <c r="M2030" t="s">
        <v>1886</v>
      </c>
      <c r="N2030" t="s">
        <v>1887</v>
      </c>
    </row>
    <row r="2031" spans="1:14" x14ac:dyDescent="0.35">
      <c r="A2031" t="s">
        <v>3955</v>
      </c>
      <c r="B2031" t="s">
        <v>1924</v>
      </c>
      <c r="C2031" t="s">
        <v>182</v>
      </c>
      <c r="D2031" t="s">
        <v>1927</v>
      </c>
      <c r="E2031" t="s">
        <v>1587</v>
      </c>
      <c r="F2031" t="s">
        <v>1885</v>
      </c>
      <c r="G2031">
        <v>61216</v>
      </c>
      <c r="H2031" s="1">
        <v>45125</v>
      </c>
      <c r="I2031" s="1">
        <v>45282</v>
      </c>
      <c r="J2031">
        <v>157</v>
      </c>
      <c r="K2031">
        <v>13.8</v>
      </c>
      <c r="L2031" t="s">
        <v>21</v>
      </c>
      <c r="M2031" t="s">
        <v>1932</v>
      </c>
      <c r="N2031" t="s">
        <v>1887</v>
      </c>
    </row>
    <row r="2032" spans="1:14" x14ac:dyDescent="0.35">
      <c r="A2032" t="s">
        <v>3956</v>
      </c>
      <c r="B2032" t="s">
        <v>1898</v>
      </c>
      <c r="C2032" t="s">
        <v>219</v>
      </c>
      <c r="D2032" t="s">
        <v>1890</v>
      </c>
      <c r="E2032" t="s">
        <v>1587</v>
      </c>
      <c r="F2032" t="s">
        <v>1892</v>
      </c>
      <c r="G2032">
        <v>98881</v>
      </c>
      <c r="H2032" s="1">
        <v>45178</v>
      </c>
      <c r="I2032" s="1"/>
      <c r="L2032" t="s">
        <v>15</v>
      </c>
      <c r="M2032" t="s">
        <v>1932</v>
      </c>
      <c r="N2032" t="s">
        <v>1887</v>
      </c>
    </row>
    <row r="2033" spans="1:14" x14ac:dyDescent="0.35">
      <c r="A2033" t="s">
        <v>3957</v>
      </c>
      <c r="B2033" t="s">
        <v>1930</v>
      </c>
      <c r="C2033" t="s">
        <v>400</v>
      </c>
      <c r="D2033" t="s">
        <v>1904</v>
      </c>
      <c r="E2033" t="s">
        <v>1587</v>
      </c>
      <c r="F2033" t="s">
        <v>1895</v>
      </c>
      <c r="G2033">
        <v>328378</v>
      </c>
      <c r="H2033" s="1">
        <v>45205</v>
      </c>
      <c r="I2033" s="1"/>
      <c r="K2033">
        <v>3.5</v>
      </c>
      <c r="L2033" t="s">
        <v>21</v>
      </c>
      <c r="M2033" t="s">
        <v>1886</v>
      </c>
      <c r="N2033" t="s">
        <v>1887</v>
      </c>
    </row>
    <row r="2034" spans="1:14" x14ac:dyDescent="0.35">
      <c r="A2034" t="s">
        <v>3958</v>
      </c>
      <c r="B2034" t="s">
        <v>1922</v>
      </c>
      <c r="C2034" t="s">
        <v>376</v>
      </c>
      <c r="D2034" t="s">
        <v>1904</v>
      </c>
      <c r="E2034" t="s">
        <v>1678</v>
      </c>
      <c r="F2034" t="s">
        <v>1908</v>
      </c>
      <c r="G2034">
        <v>396024</v>
      </c>
      <c r="H2034" s="1">
        <v>45744</v>
      </c>
      <c r="I2034" s="1"/>
      <c r="K2034">
        <v>4.4000000000000004</v>
      </c>
      <c r="L2034" t="s">
        <v>47</v>
      </c>
      <c r="M2034" t="s">
        <v>1912</v>
      </c>
      <c r="N2034" t="s">
        <v>1887</v>
      </c>
    </row>
    <row r="2035" spans="1:14" x14ac:dyDescent="0.35">
      <c r="A2035" t="s">
        <v>3959</v>
      </c>
      <c r="B2035" t="s">
        <v>1882</v>
      </c>
      <c r="C2035" t="s">
        <v>472</v>
      </c>
      <c r="D2035" t="s">
        <v>1890</v>
      </c>
      <c r="E2035" t="s">
        <v>1600</v>
      </c>
      <c r="F2035" t="s">
        <v>1895</v>
      </c>
      <c r="G2035">
        <v>223252</v>
      </c>
      <c r="H2035" s="1">
        <v>45578</v>
      </c>
      <c r="I2035" s="1"/>
      <c r="K2035">
        <v>7.5</v>
      </c>
      <c r="L2035" t="s">
        <v>15</v>
      </c>
      <c r="M2035" t="s">
        <v>1901</v>
      </c>
      <c r="N2035" t="s">
        <v>1887</v>
      </c>
    </row>
    <row r="2036" spans="1:14" x14ac:dyDescent="0.35">
      <c r="A2036" t="s">
        <v>3960</v>
      </c>
      <c r="B2036" t="s">
        <v>1922</v>
      </c>
      <c r="C2036" t="s">
        <v>309</v>
      </c>
      <c r="D2036" t="s">
        <v>1915</v>
      </c>
      <c r="E2036" t="s">
        <v>1931</v>
      </c>
      <c r="F2036" t="s">
        <v>1908</v>
      </c>
      <c r="G2036">
        <v>197110</v>
      </c>
      <c r="H2036" s="1">
        <v>45384</v>
      </c>
      <c r="I2036" s="1"/>
      <c r="K2036">
        <v>4.9000000000000004</v>
      </c>
      <c r="L2036" t="s">
        <v>47</v>
      </c>
      <c r="M2036" t="s">
        <v>1935</v>
      </c>
      <c r="N2036" t="s">
        <v>1887</v>
      </c>
    </row>
    <row r="2037" spans="1:14" x14ac:dyDescent="0.35">
      <c r="A2037" t="s">
        <v>3961</v>
      </c>
      <c r="B2037" t="s">
        <v>1922</v>
      </c>
      <c r="C2037" t="s">
        <v>437</v>
      </c>
      <c r="D2037" t="s">
        <v>1915</v>
      </c>
      <c r="E2037" t="s">
        <v>1587</v>
      </c>
      <c r="F2037" t="s">
        <v>1885</v>
      </c>
      <c r="G2037">
        <v>36099</v>
      </c>
      <c r="H2037" s="1">
        <v>45335</v>
      </c>
      <c r="I2037" s="1">
        <v>45406</v>
      </c>
      <c r="J2037">
        <v>71</v>
      </c>
      <c r="K2037">
        <v>13.5</v>
      </c>
      <c r="L2037" t="s">
        <v>47</v>
      </c>
      <c r="M2037" t="s">
        <v>1916</v>
      </c>
      <c r="N2037" t="s">
        <v>1887</v>
      </c>
    </row>
    <row r="2038" spans="1:14" x14ac:dyDescent="0.35">
      <c r="A2038" t="s">
        <v>3962</v>
      </c>
      <c r="B2038" t="s">
        <v>1882</v>
      </c>
      <c r="C2038" t="s">
        <v>116</v>
      </c>
      <c r="D2038" t="s">
        <v>1915</v>
      </c>
      <c r="E2038" t="s">
        <v>1678</v>
      </c>
      <c r="F2038" t="s">
        <v>1900</v>
      </c>
      <c r="G2038">
        <v>320992</v>
      </c>
      <c r="H2038" s="1">
        <v>45009</v>
      </c>
      <c r="I2038" s="1">
        <v>45072</v>
      </c>
      <c r="J2038">
        <v>63</v>
      </c>
      <c r="K2038">
        <v>7.8</v>
      </c>
      <c r="L2038" t="s">
        <v>30</v>
      </c>
      <c r="M2038" t="s">
        <v>1896</v>
      </c>
      <c r="N2038" t="s">
        <v>1887</v>
      </c>
    </row>
    <row r="2039" spans="1:14" x14ac:dyDescent="0.35">
      <c r="A2039" t="s">
        <v>3963</v>
      </c>
      <c r="B2039" t="s">
        <v>1907</v>
      </c>
      <c r="C2039" t="s">
        <v>372</v>
      </c>
      <c r="D2039" t="s">
        <v>1899</v>
      </c>
      <c r="E2039" t="s">
        <v>1931</v>
      </c>
      <c r="F2039" t="s">
        <v>1885</v>
      </c>
      <c r="G2039">
        <v>250689</v>
      </c>
      <c r="H2039" s="1">
        <v>45076</v>
      </c>
      <c r="I2039" s="1">
        <v>45156</v>
      </c>
      <c r="J2039">
        <v>80</v>
      </c>
      <c r="K2039">
        <v>3.8</v>
      </c>
      <c r="L2039" t="s">
        <v>30</v>
      </c>
      <c r="M2039" t="s">
        <v>1893</v>
      </c>
      <c r="N2039" t="s">
        <v>1887</v>
      </c>
    </row>
    <row r="2040" spans="1:14" x14ac:dyDescent="0.35">
      <c r="A2040" t="s">
        <v>3964</v>
      </c>
      <c r="B2040" t="s">
        <v>1903</v>
      </c>
      <c r="C2040" t="s">
        <v>414</v>
      </c>
      <c r="D2040" t="s">
        <v>1927</v>
      </c>
      <c r="E2040" t="s">
        <v>1678</v>
      </c>
      <c r="F2040" t="s">
        <v>1892</v>
      </c>
      <c r="G2040">
        <v>1488985</v>
      </c>
      <c r="H2040" s="1">
        <v>45229</v>
      </c>
      <c r="I2040" s="1"/>
      <c r="K2040">
        <v>10.6</v>
      </c>
      <c r="L2040" t="s">
        <v>30</v>
      </c>
      <c r="M2040" t="s">
        <v>1886</v>
      </c>
      <c r="N2040" t="s">
        <v>1966</v>
      </c>
    </row>
    <row r="2041" spans="1:14" x14ac:dyDescent="0.35">
      <c r="A2041" t="s">
        <v>3965</v>
      </c>
      <c r="B2041" t="s">
        <v>1882</v>
      </c>
      <c r="C2041" t="s">
        <v>280</v>
      </c>
      <c r="D2041" t="s">
        <v>1904</v>
      </c>
      <c r="E2041" t="s">
        <v>1905</v>
      </c>
      <c r="F2041" t="s">
        <v>1895</v>
      </c>
      <c r="G2041">
        <v>204555</v>
      </c>
      <c r="H2041" s="1">
        <v>45404</v>
      </c>
      <c r="I2041" s="1"/>
      <c r="K2041">
        <v>2.8</v>
      </c>
      <c r="L2041" t="s">
        <v>47</v>
      </c>
      <c r="M2041" t="s">
        <v>1935</v>
      </c>
      <c r="N2041" t="s">
        <v>1887</v>
      </c>
    </row>
    <row r="2042" spans="1:14" x14ac:dyDescent="0.35">
      <c r="A2042" t="s">
        <v>3966</v>
      </c>
      <c r="B2042" t="s">
        <v>1889</v>
      </c>
      <c r="C2042" t="s">
        <v>497</v>
      </c>
      <c r="D2042" t="s">
        <v>1883</v>
      </c>
      <c r="E2042" t="s">
        <v>1678</v>
      </c>
      <c r="F2042" t="s">
        <v>1908</v>
      </c>
      <c r="G2042">
        <v>412635</v>
      </c>
      <c r="H2042" s="1">
        <v>44935</v>
      </c>
      <c r="I2042" s="1"/>
      <c r="K2042">
        <v>1.9</v>
      </c>
      <c r="L2042" t="s">
        <v>15</v>
      </c>
      <c r="M2042" t="s">
        <v>1896</v>
      </c>
      <c r="N2042" t="s">
        <v>1887</v>
      </c>
    </row>
    <row r="2043" spans="1:14" x14ac:dyDescent="0.35">
      <c r="A2043" t="s">
        <v>3967</v>
      </c>
      <c r="B2043" t="s">
        <v>1889</v>
      </c>
      <c r="C2043" t="s">
        <v>207</v>
      </c>
      <c r="D2043" t="s">
        <v>1890</v>
      </c>
      <c r="E2043" t="s">
        <v>1891</v>
      </c>
      <c r="F2043" t="s">
        <v>1885</v>
      </c>
      <c r="G2043">
        <v>449107</v>
      </c>
      <c r="H2043" s="1">
        <v>45133</v>
      </c>
      <c r="I2043" s="1">
        <v>45227</v>
      </c>
      <c r="J2043">
        <v>94</v>
      </c>
      <c r="K2043">
        <v>3.2</v>
      </c>
      <c r="L2043" t="s">
        <v>30</v>
      </c>
      <c r="M2043" t="s">
        <v>1932</v>
      </c>
      <c r="N2043" t="s">
        <v>1887</v>
      </c>
    </row>
    <row r="2044" spans="1:14" x14ac:dyDescent="0.35">
      <c r="A2044" t="s">
        <v>3968</v>
      </c>
      <c r="B2044" t="s">
        <v>1898</v>
      </c>
      <c r="C2044" t="s">
        <v>284</v>
      </c>
      <c r="D2044" t="s">
        <v>1883</v>
      </c>
      <c r="E2044" t="s">
        <v>1931</v>
      </c>
      <c r="F2044" t="s">
        <v>1900</v>
      </c>
      <c r="G2044">
        <v>140187</v>
      </c>
      <c r="H2044" s="1">
        <v>45691</v>
      </c>
      <c r="I2044" s="1">
        <v>45867</v>
      </c>
      <c r="J2044">
        <v>176</v>
      </c>
      <c r="K2044">
        <v>17.600000000000001</v>
      </c>
      <c r="L2044" t="s">
        <v>30</v>
      </c>
      <c r="M2044" t="s">
        <v>1912</v>
      </c>
      <c r="N2044" t="s">
        <v>1887</v>
      </c>
    </row>
    <row r="2045" spans="1:14" x14ac:dyDescent="0.35">
      <c r="A2045" t="s">
        <v>3969</v>
      </c>
      <c r="B2045" t="s">
        <v>1922</v>
      </c>
      <c r="C2045" t="s">
        <v>235</v>
      </c>
      <c r="D2045" t="s">
        <v>1927</v>
      </c>
      <c r="E2045" t="s">
        <v>1600</v>
      </c>
      <c r="F2045" t="s">
        <v>1908</v>
      </c>
      <c r="G2045">
        <v>166174</v>
      </c>
      <c r="H2045" s="1">
        <v>45022</v>
      </c>
      <c r="I2045" s="1"/>
      <c r="K2045">
        <v>1.3</v>
      </c>
      <c r="L2045" t="s">
        <v>30</v>
      </c>
      <c r="M2045" t="s">
        <v>1893</v>
      </c>
      <c r="N2045" t="s">
        <v>1887</v>
      </c>
    </row>
    <row r="2046" spans="1:14" x14ac:dyDescent="0.35">
      <c r="A2046" t="s">
        <v>3970</v>
      </c>
      <c r="B2046" t="s">
        <v>1920</v>
      </c>
      <c r="C2046" t="s">
        <v>288</v>
      </c>
      <c r="D2046" t="s">
        <v>1904</v>
      </c>
      <c r="E2046" t="s">
        <v>1891</v>
      </c>
      <c r="F2046" t="s">
        <v>1946</v>
      </c>
      <c r="G2046">
        <v>391159</v>
      </c>
      <c r="H2046" s="1">
        <v>45502</v>
      </c>
      <c r="I2046" s="1"/>
      <c r="K2046">
        <v>1.4</v>
      </c>
      <c r="L2046" t="s">
        <v>21</v>
      </c>
      <c r="M2046" t="s">
        <v>1953</v>
      </c>
      <c r="N2046" t="s">
        <v>1887</v>
      </c>
    </row>
    <row r="2047" spans="1:14" x14ac:dyDescent="0.35">
      <c r="A2047" t="s">
        <v>3971</v>
      </c>
      <c r="B2047" t="s">
        <v>1937</v>
      </c>
      <c r="C2047" t="s">
        <v>293</v>
      </c>
      <c r="D2047" t="s">
        <v>1904</v>
      </c>
      <c r="E2047" t="s">
        <v>1918</v>
      </c>
      <c r="F2047" t="s">
        <v>1895</v>
      </c>
      <c r="G2047">
        <v>211830</v>
      </c>
      <c r="H2047" s="1">
        <v>45275</v>
      </c>
      <c r="I2047" s="1"/>
      <c r="L2047" t="s">
        <v>21</v>
      </c>
      <c r="M2047" t="s">
        <v>1886</v>
      </c>
      <c r="N2047" t="s">
        <v>1887</v>
      </c>
    </row>
    <row r="2048" spans="1:14" x14ac:dyDescent="0.35">
      <c r="A2048" t="s">
        <v>3972</v>
      </c>
      <c r="B2048" t="s">
        <v>1911</v>
      </c>
      <c r="C2048" t="s">
        <v>461</v>
      </c>
      <c r="D2048" t="s">
        <v>1899</v>
      </c>
      <c r="E2048" t="s">
        <v>1918</v>
      </c>
      <c r="F2048" t="s">
        <v>1908</v>
      </c>
      <c r="G2048">
        <v>85809</v>
      </c>
      <c r="H2048" s="1">
        <v>45009</v>
      </c>
      <c r="I2048" s="1"/>
      <c r="L2048" t="s">
        <v>30</v>
      </c>
      <c r="M2048" t="s">
        <v>1896</v>
      </c>
      <c r="N2048" t="s">
        <v>1887</v>
      </c>
    </row>
    <row r="2049" spans="1:14" x14ac:dyDescent="0.35">
      <c r="A2049" t="s">
        <v>3973</v>
      </c>
      <c r="B2049" t="s">
        <v>1882</v>
      </c>
      <c r="C2049" t="s">
        <v>188</v>
      </c>
      <c r="D2049" t="s">
        <v>1890</v>
      </c>
      <c r="E2049" t="s">
        <v>1905</v>
      </c>
      <c r="F2049" t="s">
        <v>1908</v>
      </c>
      <c r="G2049">
        <v>367885</v>
      </c>
      <c r="H2049" s="1">
        <v>45506</v>
      </c>
      <c r="I2049" s="1"/>
      <c r="K2049">
        <v>15</v>
      </c>
      <c r="L2049" t="s">
        <v>21</v>
      </c>
      <c r="M2049" t="s">
        <v>1953</v>
      </c>
      <c r="N2049" t="s">
        <v>1887</v>
      </c>
    </row>
    <row r="2050" spans="1:14" x14ac:dyDescent="0.35">
      <c r="A2050" t="s">
        <v>3974</v>
      </c>
      <c r="B2050" t="s">
        <v>1937</v>
      </c>
      <c r="C2050" t="s">
        <v>426</v>
      </c>
      <c r="D2050" t="s">
        <v>1899</v>
      </c>
      <c r="E2050" t="s">
        <v>1918</v>
      </c>
      <c r="F2050" t="s">
        <v>1900</v>
      </c>
      <c r="G2050">
        <v>38738</v>
      </c>
      <c r="H2050" s="1">
        <v>45219</v>
      </c>
      <c r="I2050" s="1">
        <v>45248</v>
      </c>
      <c r="J2050">
        <v>29</v>
      </c>
      <c r="K2050">
        <v>5.6</v>
      </c>
      <c r="L2050" t="s">
        <v>21</v>
      </c>
      <c r="M2050" t="s">
        <v>1886</v>
      </c>
      <c r="N2050" t="s">
        <v>1887</v>
      </c>
    </row>
    <row r="2051" spans="1:14" x14ac:dyDescent="0.35">
      <c r="A2051" t="s">
        <v>3975</v>
      </c>
      <c r="B2051" t="s">
        <v>1944</v>
      </c>
      <c r="C2051" t="s">
        <v>169</v>
      </c>
      <c r="D2051" t="s">
        <v>1899</v>
      </c>
      <c r="E2051" t="s">
        <v>1931</v>
      </c>
      <c r="F2051" t="s">
        <v>1885</v>
      </c>
      <c r="G2051">
        <v>21153</v>
      </c>
      <c r="H2051" s="1">
        <v>45362</v>
      </c>
      <c r="I2051" s="1">
        <v>45518</v>
      </c>
      <c r="J2051">
        <v>156</v>
      </c>
      <c r="K2051">
        <v>14.8</v>
      </c>
      <c r="L2051" t="s">
        <v>30</v>
      </c>
      <c r="M2051" t="s">
        <v>1916</v>
      </c>
      <c r="N2051" t="s">
        <v>1887</v>
      </c>
    </row>
    <row r="2052" spans="1:14" x14ac:dyDescent="0.35">
      <c r="A2052" t="s">
        <v>3976</v>
      </c>
      <c r="B2052" t="s">
        <v>1926</v>
      </c>
      <c r="C2052" t="s">
        <v>339</v>
      </c>
      <c r="D2052" t="s">
        <v>1927</v>
      </c>
      <c r="E2052" t="s">
        <v>1905</v>
      </c>
      <c r="F2052" t="s">
        <v>1892</v>
      </c>
      <c r="G2052">
        <v>25200</v>
      </c>
      <c r="H2052" s="1">
        <v>45618</v>
      </c>
      <c r="I2052" s="1"/>
      <c r="K2052">
        <v>0.8</v>
      </c>
      <c r="L2052" t="s">
        <v>47</v>
      </c>
      <c r="M2052" t="s">
        <v>1901</v>
      </c>
      <c r="N2052" t="s">
        <v>1887</v>
      </c>
    </row>
    <row r="2053" spans="1:14" x14ac:dyDescent="0.35">
      <c r="A2053" t="s">
        <v>3977</v>
      </c>
      <c r="B2053" t="s">
        <v>1924</v>
      </c>
      <c r="C2053" t="s">
        <v>82</v>
      </c>
      <c r="D2053" t="s">
        <v>1883</v>
      </c>
      <c r="E2053" t="s">
        <v>1931</v>
      </c>
      <c r="F2053" t="s">
        <v>1895</v>
      </c>
      <c r="G2053">
        <v>253535</v>
      </c>
      <c r="H2053" s="1">
        <v>45276</v>
      </c>
      <c r="I2053" s="1"/>
      <c r="K2053">
        <v>4.5999999999999996</v>
      </c>
      <c r="L2053" t="s">
        <v>21</v>
      </c>
      <c r="M2053" t="s">
        <v>1886</v>
      </c>
      <c r="N2053" t="s">
        <v>1887</v>
      </c>
    </row>
    <row r="2054" spans="1:14" x14ac:dyDescent="0.35">
      <c r="A2054" t="s">
        <v>3978</v>
      </c>
      <c r="B2054" t="s">
        <v>1911</v>
      </c>
      <c r="C2054" t="s">
        <v>94</v>
      </c>
      <c r="D2054" t="s">
        <v>1890</v>
      </c>
      <c r="E2054" t="s">
        <v>1931</v>
      </c>
      <c r="F2054" t="s">
        <v>1892</v>
      </c>
      <c r="G2054">
        <v>349746</v>
      </c>
      <c r="H2054" s="1">
        <v>45578</v>
      </c>
      <c r="I2054" s="1"/>
      <c r="K2054">
        <v>7</v>
      </c>
      <c r="L2054" t="s">
        <v>21</v>
      </c>
      <c r="M2054" t="s">
        <v>1901</v>
      </c>
      <c r="N2054" t="s">
        <v>1887</v>
      </c>
    </row>
    <row r="2055" spans="1:14" x14ac:dyDescent="0.35">
      <c r="A2055" t="s">
        <v>3979</v>
      </c>
      <c r="B2055" t="s">
        <v>1924</v>
      </c>
      <c r="C2055" t="s">
        <v>230</v>
      </c>
      <c r="D2055" t="s">
        <v>1899</v>
      </c>
      <c r="E2055" t="s">
        <v>1600</v>
      </c>
      <c r="F2055" t="s">
        <v>1895</v>
      </c>
      <c r="G2055">
        <v>127294</v>
      </c>
      <c r="H2055" s="1">
        <v>44985</v>
      </c>
      <c r="I2055" s="1"/>
      <c r="K2055">
        <v>5.5</v>
      </c>
      <c r="L2055" t="s">
        <v>30</v>
      </c>
      <c r="M2055" t="s">
        <v>1896</v>
      </c>
      <c r="N2055" t="s">
        <v>1887</v>
      </c>
    </row>
    <row r="2056" spans="1:14" x14ac:dyDescent="0.35">
      <c r="A2056" t="s">
        <v>3980</v>
      </c>
      <c r="B2056" t="s">
        <v>1924</v>
      </c>
      <c r="C2056" t="s">
        <v>389</v>
      </c>
      <c r="D2056" t="s">
        <v>1904</v>
      </c>
      <c r="E2056" t="s">
        <v>1931</v>
      </c>
      <c r="F2056" t="s">
        <v>1885</v>
      </c>
      <c r="G2056">
        <v>399061</v>
      </c>
      <c r="H2056" s="1">
        <v>45275</v>
      </c>
      <c r="I2056" s="1">
        <v>45303</v>
      </c>
      <c r="J2056">
        <v>28</v>
      </c>
      <c r="K2056">
        <v>11.5</v>
      </c>
      <c r="L2056" t="s">
        <v>30</v>
      </c>
      <c r="M2056" t="s">
        <v>1886</v>
      </c>
      <c r="N2056" t="s">
        <v>1887</v>
      </c>
    </row>
    <row r="2057" spans="1:14" x14ac:dyDescent="0.35">
      <c r="A2057" t="s">
        <v>3981</v>
      </c>
      <c r="B2057" t="s">
        <v>1934</v>
      </c>
      <c r="C2057" t="s">
        <v>297</v>
      </c>
      <c r="D2057" t="s">
        <v>1890</v>
      </c>
      <c r="E2057" t="s">
        <v>1918</v>
      </c>
      <c r="F2057" t="s">
        <v>1900</v>
      </c>
      <c r="G2057">
        <v>356279</v>
      </c>
      <c r="H2057" s="1">
        <v>45243</v>
      </c>
      <c r="I2057" s="1">
        <v>45330</v>
      </c>
      <c r="J2057">
        <v>87</v>
      </c>
      <c r="K2057">
        <v>14</v>
      </c>
      <c r="L2057" t="s">
        <v>47</v>
      </c>
      <c r="M2057" t="s">
        <v>1886</v>
      </c>
      <c r="N2057" t="s">
        <v>1887</v>
      </c>
    </row>
    <row r="2058" spans="1:14" x14ac:dyDescent="0.35">
      <c r="A2058" t="s">
        <v>3982</v>
      </c>
      <c r="B2058" t="s">
        <v>1922</v>
      </c>
      <c r="C2058" t="s">
        <v>235</v>
      </c>
      <c r="D2058" t="s">
        <v>1899</v>
      </c>
      <c r="E2058" t="s">
        <v>1918</v>
      </c>
      <c r="F2058" t="s">
        <v>1895</v>
      </c>
      <c r="G2058">
        <v>244362</v>
      </c>
      <c r="H2058" s="1">
        <v>45085</v>
      </c>
      <c r="I2058" s="1"/>
      <c r="L2058" t="s">
        <v>15</v>
      </c>
      <c r="M2058" t="s">
        <v>1893</v>
      </c>
      <c r="N2058" t="s">
        <v>1887</v>
      </c>
    </row>
    <row r="2059" spans="1:14" x14ac:dyDescent="0.35">
      <c r="A2059" t="s">
        <v>3983</v>
      </c>
      <c r="B2059" t="s">
        <v>1903</v>
      </c>
      <c r="C2059" t="s">
        <v>122</v>
      </c>
      <c r="D2059" t="s">
        <v>1904</v>
      </c>
      <c r="E2059" t="s">
        <v>1918</v>
      </c>
      <c r="F2059" t="s">
        <v>1885</v>
      </c>
      <c r="G2059">
        <v>11744</v>
      </c>
      <c r="H2059" s="1">
        <v>44994</v>
      </c>
      <c r="I2059" s="1">
        <v>45078</v>
      </c>
      <c r="J2059">
        <v>84</v>
      </c>
      <c r="K2059">
        <v>1.7</v>
      </c>
      <c r="L2059" t="s">
        <v>47</v>
      </c>
      <c r="M2059" t="s">
        <v>1896</v>
      </c>
      <c r="N2059" t="s">
        <v>1887</v>
      </c>
    </row>
    <row r="2060" spans="1:14" x14ac:dyDescent="0.35">
      <c r="A2060" t="s">
        <v>3984</v>
      </c>
      <c r="B2060" t="s">
        <v>1922</v>
      </c>
      <c r="C2060" t="s">
        <v>266</v>
      </c>
      <c r="D2060" t="s">
        <v>1899</v>
      </c>
      <c r="E2060" t="s">
        <v>1931</v>
      </c>
      <c r="F2060" t="s">
        <v>1885</v>
      </c>
      <c r="G2060">
        <v>375578</v>
      </c>
      <c r="H2060" s="1">
        <v>45433</v>
      </c>
      <c r="I2060" s="1">
        <v>45471</v>
      </c>
      <c r="J2060">
        <v>38</v>
      </c>
      <c r="K2060">
        <v>11.4</v>
      </c>
      <c r="L2060" t="s">
        <v>21</v>
      </c>
      <c r="M2060" t="s">
        <v>1935</v>
      </c>
      <c r="N2060" t="s">
        <v>1887</v>
      </c>
    </row>
    <row r="2061" spans="1:14" x14ac:dyDescent="0.35">
      <c r="A2061" t="s">
        <v>3985</v>
      </c>
      <c r="B2061" t="s">
        <v>1911</v>
      </c>
      <c r="C2061" t="s">
        <v>494</v>
      </c>
      <c r="D2061" t="s">
        <v>1883</v>
      </c>
      <c r="E2061" t="s">
        <v>1918</v>
      </c>
      <c r="F2061" t="s">
        <v>1885</v>
      </c>
      <c r="G2061">
        <v>243868</v>
      </c>
      <c r="H2061" s="1">
        <v>44995</v>
      </c>
      <c r="I2061" s="1">
        <v>45077</v>
      </c>
      <c r="J2061">
        <v>82</v>
      </c>
      <c r="K2061">
        <v>6.5</v>
      </c>
      <c r="L2061" t="s">
        <v>15</v>
      </c>
      <c r="M2061" t="s">
        <v>1896</v>
      </c>
      <c r="N2061" t="s">
        <v>1887</v>
      </c>
    </row>
    <row r="2062" spans="1:14" x14ac:dyDescent="0.35">
      <c r="A2062" t="s">
        <v>3986</v>
      </c>
      <c r="B2062" t="s">
        <v>1944</v>
      </c>
      <c r="C2062" t="s">
        <v>497</v>
      </c>
      <c r="D2062" t="s">
        <v>1890</v>
      </c>
      <c r="E2062" t="s">
        <v>1931</v>
      </c>
      <c r="F2062" t="s">
        <v>1900</v>
      </c>
      <c r="G2062">
        <v>450973</v>
      </c>
      <c r="H2062" s="1">
        <v>45494</v>
      </c>
      <c r="I2062" s="1">
        <v>45613</v>
      </c>
      <c r="J2062">
        <v>119</v>
      </c>
      <c r="K2062">
        <v>21.4</v>
      </c>
      <c r="L2062" t="s">
        <v>15</v>
      </c>
      <c r="M2062" t="s">
        <v>1953</v>
      </c>
      <c r="N2062" t="s">
        <v>1887</v>
      </c>
    </row>
    <row r="2063" spans="1:14" x14ac:dyDescent="0.35">
      <c r="A2063" t="s">
        <v>3987</v>
      </c>
      <c r="B2063" t="s">
        <v>1920</v>
      </c>
      <c r="C2063" t="s">
        <v>342</v>
      </c>
      <c r="D2063" t="s">
        <v>1915</v>
      </c>
      <c r="E2063" t="s">
        <v>1905</v>
      </c>
      <c r="F2063" t="s">
        <v>1895</v>
      </c>
      <c r="G2063">
        <v>1344122</v>
      </c>
      <c r="H2063" s="1">
        <v>45440</v>
      </c>
      <c r="I2063" s="1"/>
      <c r="K2063">
        <v>4.8</v>
      </c>
      <c r="L2063" t="s">
        <v>30</v>
      </c>
      <c r="M2063" t="s">
        <v>1935</v>
      </c>
      <c r="N2063" t="s">
        <v>1966</v>
      </c>
    </row>
    <row r="2064" spans="1:14" x14ac:dyDescent="0.35">
      <c r="A2064" t="s">
        <v>3988</v>
      </c>
      <c r="B2064" t="s">
        <v>1924</v>
      </c>
      <c r="C2064" t="s">
        <v>366</v>
      </c>
      <c r="D2064" t="s">
        <v>1899</v>
      </c>
      <c r="E2064" t="s">
        <v>1918</v>
      </c>
      <c r="F2064" t="s">
        <v>1946</v>
      </c>
      <c r="G2064">
        <v>308108</v>
      </c>
      <c r="H2064" s="1">
        <v>45526</v>
      </c>
      <c r="I2064" s="1"/>
      <c r="L2064" t="s">
        <v>15</v>
      </c>
      <c r="M2064" t="s">
        <v>1953</v>
      </c>
      <c r="N2064" t="s">
        <v>1887</v>
      </c>
    </row>
    <row r="2065" spans="1:14" x14ac:dyDescent="0.35">
      <c r="A2065" t="s">
        <v>3989</v>
      </c>
      <c r="B2065" t="s">
        <v>1924</v>
      </c>
      <c r="C2065" t="s">
        <v>490</v>
      </c>
      <c r="D2065" t="s">
        <v>1899</v>
      </c>
      <c r="E2065" t="s">
        <v>1905</v>
      </c>
      <c r="F2065" t="s">
        <v>1900</v>
      </c>
      <c r="G2065">
        <v>283554</v>
      </c>
      <c r="H2065" s="1">
        <v>45518</v>
      </c>
      <c r="I2065" s="1">
        <v>45655</v>
      </c>
      <c r="J2065">
        <v>137</v>
      </c>
      <c r="K2065">
        <v>24.4</v>
      </c>
      <c r="L2065" t="s">
        <v>21</v>
      </c>
      <c r="M2065" t="s">
        <v>1953</v>
      </c>
      <c r="N2065" t="s">
        <v>1887</v>
      </c>
    </row>
    <row r="2066" spans="1:14" x14ac:dyDescent="0.35">
      <c r="A2066" t="s">
        <v>3990</v>
      </c>
      <c r="B2066" t="s">
        <v>1922</v>
      </c>
      <c r="C2066" t="s">
        <v>324</v>
      </c>
      <c r="D2066" t="s">
        <v>1915</v>
      </c>
      <c r="E2066" t="s">
        <v>1600</v>
      </c>
      <c r="F2066" t="s">
        <v>1885</v>
      </c>
      <c r="G2066">
        <v>499590</v>
      </c>
      <c r="H2066" s="1">
        <v>45251</v>
      </c>
      <c r="I2066" s="1">
        <v>45295</v>
      </c>
      <c r="J2066">
        <v>44</v>
      </c>
      <c r="L2066" t="s">
        <v>47</v>
      </c>
      <c r="M2066" t="s">
        <v>1886</v>
      </c>
      <c r="N2066" t="s">
        <v>1887</v>
      </c>
    </row>
    <row r="2067" spans="1:14" x14ac:dyDescent="0.35">
      <c r="A2067" t="s">
        <v>3991</v>
      </c>
      <c r="B2067" t="s">
        <v>1924</v>
      </c>
      <c r="C2067" t="s">
        <v>154</v>
      </c>
      <c r="D2067" t="s">
        <v>1899</v>
      </c>
      <c r="E2067" t="s">
        <v>1600</v>
      </c>
      <c r="F2067" t="s">
        <v>1908</v>
      </c>
      <c r="G2067">
        <v>48504</v>
      </c>
      <c r="H2067" s="1">
        <v>45267</v>
      </c>
      <c r="I2067" s="1"/>
      <c r="K2067">
        <v>10.3</v>
      </c>
      <c r="L2067" t="s">
        <v>30</v>
      </c>
      <c r="M2067" t="s">
        <v>1886</v>
      </c>
      <c r="N2067" t="s">
        <v>1887</v>
      </c>
    </row>
    <row r="2068" spans="1:14" x14ac:dyDescent="0.35">
      <c r="A2068" t="s">
        <v>3992</v>
      </c>
      <c r="B2068" t="s">
        <v>1920</v>
      </c>
      <c r="C2068" t="s">
        <v>461</v>
      </c>
      <c r="D2068" t="s">
        <v>1927</v>
      </c>
      <c r="E2068" t="s">
        <v>1905</v>
      </c>
      <c r="F2068" t="s">
        <v>1900</v>
      </c>
      <c r="G2068">
        <v>487064</v>
      </c>
      <c r="H2068" s="1">
        <v>45652</v>
      </c>
      <c r="I2068" s="1">
        <v>45768</v>
      </c>
      <c r="J2068">
        <v>116</v>
      </c>
      <c r="K2068">
        <v>7.6</v>
      </c>
      <c r="L2068" t="s">
        <v>30</v>
      </c>
      <c r="M2068" t="s">
        <v>1901</v>
      </c>
      <c r="N2068" t="s">
        <v>1887</v>
      </c>
    </row>
    <row r="2069" spans="1:14" x14ac:dyDescent="0.35">
      <c r="A2069" t="s">
        <v>3993</v>
      </c>
      <c r="B2069" t="s">
        <v>1898</v>
      </c>
      <c r="C2069" t="s">
        <v>412</v>
      </c>
      <c r="D2069" t="s">
        <v>1915</v>
      </c>
      <c r="E2069" t="s">
        <v>1678</v>
      </c>
      <c r="F2069" t="s">
        <v>1892</v>
      </c>
      <c r="G2069">
        <v>168734</v>
      </c>
      <c r="H2069" s="1">
        <v>45593</v>
      </c>
      <c r="I2069" s="1"/>
      <c r="K2069">
        <v>13.4</v>
      </c>
      <c r="L2069" t="s">
        <v>47</v>
      </c>
      <c r="M2069" t="s">
        <v>1901</v>
      </c>
      <c r="N2069" t="s">
        <v>1887</v>
      </c>
    </row>
    <row r="2070" spans="1:14" x14ac:dyDescent="0.35">
      <c r="A2070" t="s">
        <v>3994</v>
      </c>
      <c r="B2070" t="s">
        <v>1911</v>
      </c>
      <c r="C2070" t="s">
        <v>394</v>
      </c>
      <c r="D2070" t="s">
        <v>1927</v>
      </c>
      <c r="E2070" t="s">
        <v>1918</v>
      </c>
      <c r="F2070" t="s">
        <v>1946</v>
      </c>
      <c r="G2070">
        <v>287682</v>
      </c>
      <c r="H2070" s="1">
        <v>45669</v>
      </c>
      <c r="I2070" s="1"/>
      <c r="K2070">
        <v>5.6</v>
      </c>
      <c r="L2070" t="s">
        <v>15</v>
      </c>
      <c r="M2070" t="s">
        <v>1912</v>
      </c>
      <c r="N2070" t="s">
        <v>1887</v>
      </c>
    </row>
    <row r="2071" spans="1:14" x14ac:dyDescent="0.35">
      <c r="A2071" t="s">
        <v>3995</v>
      </c>
      <c r="B2071" t="s">
        <v>1963</v>
      </c>
      <c r="C2071" t="s">
        <v>228</v>
      </c>
      <c r="D2071" t="s">
        <v>1899</v>
      </c>
      <c r="E2071" t="s">
        <v>1891</v>
      </c>
      <c r="F2071" t="s">
        <v>1895</v>
      </c>
      <c r="G2071">
        <v>276147</v>
      </c>
      <c r="H2071" s="1">
        <v>45628</v>
      </c>
      <c r="I2071" s="1"/>
      <c r="K2071">
        <v>5.0999999999999996</v>
      </c>
      <c r="L2071" t="s">
        <v>30</v>
      </c>
      <c r="M2071" t="s">
        <v>1901</v>
      </c>
      <c r="N2071" t="s">
        <v>1887</v>
      </c>
    </row>
    <row r="2072" spans="1:14" x14ac:dyDescent="0.35">
      <c r="A2072" t="s">
        <v>3996</v>
      </c>
      <c r="B2072" t="s">
        <v>1920</v>
      </c>
      <c r="C2072" t="s">
        <v>421</v>
      </c>
      <c r="D2072" t="s">
        <v>1890</v>
      </c>
      <c r="E2072" t="s">
        <v>1931</v>
      </c>
      <c r="F2072" t="s">
        <v>1885</v>
      </c>
      <c r="G2072">
        <v>258836</v>
      </c>
      <c r="H2072" s="1">
        <v>45663</v>
      </c>
      <c r="I2072" s="1">
        <v>45700</v>
      </c>
      <c r="J2072">
        <v>37</v>
      </c>
      <c r="L2072" t="s">
        <v>21</v>
      </c>
      <c r="M2072" t="s">
        <v>1912</v>
      </c>
      <c r="N2072" t="s">
        <v>1887</v>
      </c>
    </row>
    <row r="2073" spans="1:14" x14ac:dyDescent="0.35">
      <c r="A2073" t="s">
        <v>3997</v>
      </c>
      <c r="B2073" t="s">
        <v>1963</v>
      </c>
      <c r="C2073" t="s">
        <v>388</v>
      </c>
      <c r="D2073" t="s">
        <v>1915</v>
      </c>
      <c r="E2073" t="s">
        <v>1600</v>
      </c>
      <c r="F2073" t="s">
        <v>1908</v>
      </c>
      <c r="G2073">
        <v>47655</v>
      </c>
      <c r="H2073" s="1">
        <v>45470</v>
      </c>
      <c r="I2073" s="1"/>
      <c r="K2073">
        <v>8.1999999999999993</v>
      </c>
      <c r="L2073" t="s">
        <v>47</v>
      </c>
      <c r="M2073" t="s">
        <v>1935</v>
      </c>
      <c r="N2073" t="s">
        <v>1887</v>
      </c>
    </row>
    <row r="2074" spans="1:14" x14ac:dyDescent="0.35">
      <c r="A2074" t="s">
        <v>3998</v>
      </c>
      <c r="B2074" t="s">
        <v>1920</v>
      </c>
      <c r="C2074" t="s">
        <v>490</v>
      </c>
      <c r="D2074" t="s">
        <v>1915</v>
      </c>
      <c r="E2074" t="s">
        <v>1918</v>
      </c>
      <c r="F2074" t="s">
        <v>1946</v>
      </c>
      <c r="G2074">
        <v>347110</v>
      </c>
      <c r="H2074" s="1">
        <v>45309</v>
      </c>
      <c r="I2074" s="1"/>
      <c r="K2074">
        <v>9.3000000000000007</v>
      </c>
      <c r="L2074" t="s">
        <v>30</v>
      </c>
      <c r="M2074" t="s">
        <v>1916</v>
      </c>
      <c r="N2074" t="s">
        <v>1887</v>
      </c>
    </row>
    <row r="2075" spans="1:14" x14ac:dyDescent="0.35">
      <c r="A2075" t="s">
        <v>3999</v>
      </c>
      <c r="B2075" t="s">
        <v>1903</v>
      </c>
      <c r="C2075" t="s">
        <v>309</v>
      </c>
      <c r="D2075" t="s">
        <v>1904</v>
      </c>
      <c r="E2075" t="s">
        <v>1931</v>
      </c>
      <c r="F2075" t="s">
        <v>1908</v>
      </c>
      <c r="G2075">
        <v>225448</v>
      </c>
      <c r="H2075" s="1">
        <v>45683</v>
      </c>
      <c r="I2075" s="1"/>
      <c r="K2075">
        <v>5.2</v>
      </c>
      <c r="L2075" t="s">
        <v>21</v>
      </c>
      <c r="M2075" t="s">
        <v>1912</v>
      </c>
      <c r="N2075" t="s">
        <v>1887</v>
      </c>
    </row>
    <row r="2076" spans="1:14" x14ac:dyDescent="0.35">
      <c r="A2076" t="s">
        <v>4000</v>
      </c>
      <c r="B2076" t="s">
        <v>1882</v>
      </c>
      <c r="C2076" t="s">
        <v>370</v>
      </c>
      <c r="D2076" t="s">
        <v>1927</v>
      </c>
      <c r="E2076" t="s">
        <v>1600</v>
      </c>
      <c r="F2076" t="s">
        <v>1908</v>
      </c>
      <c r="G2076">
        <v>113479</v>
      </c>
      <c r="H2076" s="1">
        <v>45440</v>
      </c>
      <c r="I2076" s="1"/>
      <c r="L2076" t="s">
        <v>15</v>
      </c>
      <c r="M2076" t="s">
        <v>1935</v>
      </c>
      <c r="N2076" t="s">
        <v>1887</v>
      </c>
    </row>
    <row r="2077" spans="1:14" x14ac:dyDescent="0.35">
      <c r="A2077" t="s">
        <v>4001</v>
      </c>
      <c r="B2077" t="s">
        <v>1944</v>
      </c>
      <c r="C2077" t="s">
        <v>144</v>
      </c>
      <c r="D2077" t="s">
        <v>1890</v>
      </c>
      <c r="E2077" t="s">
        <v>1945</v>
      </c>
      <c r="F2077" t="s">
        <v>1946</v>
      </c>
      <c r="G2077">
        <v>213386</v>
      </c>
      <c r="H2077" s="1">
        <v>45629</v>
      </c>
      <c r="I2077" s="1"/>
      <c r="L2077" t="s">
        <v>47</v>
      </c>
      <c r="M2077" t="s">
        <v>1901</v>
      </c>
      <c r="N2077" t="s">
        <v>1887</v>
      </c>
    </row>
    <row r="2078" spans="1:14" x14ac:dyDescent="0.35">
      <c r="A2078" t="s">
        <v>4002</v>
      </c>
      <c r="B2078" t="s">
        <v>1963</v>
      </c>
      <c r="C2078" t="s">
        <v>275</v>
      </c>
      <c r="D2078" t="s">
        <v>1904</v>
      </c>
      <c r="E2078" t="s">
        <v>1587</v>
      </c>
      <c r="F2078" t="s">
        <v>1892</v>
      </c>
      <c r="G2078">
        <v>207879</v>
      </c>
      <c r="H2078" s="1">
        <v>45221</v>
      </c>
      <c r="I2078" s="1"/>
      <c r="K2078">
        <v>6.9</v>
      </c>
      <c r="L2078" t="s">
        <v>30</v>
      </c>
      <c r="M2078" t="s">
        <v>1886</v>
      </c>
      <c r="N2078" t="s">
        <v>1887</v>
      </c>
    </row>
    <row r="2079" spans="1:14" x14ac:dyDescent="0.35">
      <c r="A2079" t="s">
        <v>4003</v>
      </c>
      <c r="B2079" t="s">
        <v>1937</v>
      </c>
      <c r="C2079" t="s">
        <v>371</v>
      </c>
      <c r="D2079" t="s">
        <v>1915</v>
      </c>
      <c r="E2079" t="s">
        <v>1678</v>
      </c>
      <c r="F2079" t="s">
        <v>1895</v>
      </c>
      <c r="G2079">
        <v>314236</v>
      </c>
      <c r="H2079" s="1">
        <v>44958</v>
      </c>
      <c r="I2079" s="1"/>
      <c r="L2079" t="s">
        <v>21</v>
      </c>
      <c r="M2079" t="s">
        <v>1896</v>
      </c>
      <c r="N2079" t="s">
        <v>1887</v>
      </c>
    </row>
    <row r="2080" spans="1:14" x14ac:dyDescent="0.35">
      <c r="A2080" t="s">
        <v>4004</v>
      </c>
      <c r="B2080" t="s">
        <v>1889</v>
      </c>
      <c r="C2080" t="s">
        <v>484</v>
      </c>
      <c r="D2080" t="s">
        <v>1899</v>
      </c>
      <c r="E2080" t="s">
        <v>1600</v>
      </c>
      <c r="F2080" t="s">
        <v>1908</v>
      </c>
      <c r="G2080">
        <v>456126</v>
      </c>
      <c r="H2080" s="1">
        <v>45481</v>
      </c>
      <c r="I2080" s="1"/>
      <c r="L2080" t="s">
        <v>21</v>
      </c>
      <c r="M2080" t="s">
        <v>1953</v>
      </c>
      <c r="N2080" t="s">
        <v>1887</v>
      </c>
    </row>
    <row r="2081" spans="1:14" x14ac:dyDescent="0.35">
      <c r="A2081" t="s">
        <v>4005</v>
      </c>
      <c r="B2081" t="s">
        <v>1898</v>
      </c>
      <c r="C2081" t="s">
        <v>476</v>
      </c>
      <c r="D2081" t="s">
        <v>1890</v>
      </c>
      <c r="E2081" t="s">
        <v>1587</v>
      </c>
      <c r="F2081" t="s">
        <v>1885</v>
      </c>
      <c r="G2081">
        <v>78702</v>
      </c>
      <c r="H2081" s="1">
        <v>45502</v>
      </c>
      <c r="I2081" s="1">
        <v>45584</v>
      </c>
      <c r="J2081">
        <v>82</v>
      </c>
      <c r="K2081">
        <v>4.4000000000000004</v>
      </c>
      <c r="L2081" t="s">
        <v>21</v>
      </c>
      <c r="M2081" t="s">
        <v>1953</v>
      </c>
      <c r="N2081" t="s">
        <v>1887</v>
      </c>
    </row>
    <row r="2082" spans="1:14" x14ac:dyDescent="0.35">
      <c r="A2082" t="s">
        <v>4006</v>
      </c>
      <c r="B2082" t="s">
        <v>1944</v>
      </c>
      <c r="C2082" t="s">
        <v>386</v>
      </c>
      <c r="D2082" t="s">
        <v>1915</v>
      </c>
      <c r="E2082" t="s">
        <v>1945</v>
      </c>
      <c r="F2082" t="s">
        <v>1895</v>
      </c>
      <c r="G2082">
        <v>303674</v>
      </c>
      <c r="H2082" s="1">
        <v>45528</v>
      </c>
      <c r="I2082" s="1"/>
      <c r="L2082" t="s">
        <v>21</v>
      </c>
      <c r="M2082" t="s">
        <v>1953</v>
      </c>
      <c r="N2082" t="s">
        <v>1887</v>
      </c>
    </row>
    <row r="2083" spans="1:14" x14ac:dyDescent="0.35">
      <c r="A2083" t="s">
        <v>4007</v>
      </c>
      <c r="B2083" t="s">
        <v>1934</v>
      </c>
      <c r="C2083" t="s">
        <v>446</v>
      </c>
      <c r="D2083" t="s">
        <v>1915</v>
      </c>
      <c r="E2083" t="s">
        <v>1678</v>
      </c>
      <c r="F2083" t="s">
        <v>1895</v>
      </c>
      <c r="G2083">
        <v>151222</v>
      </c>
      <c r="H2083" s="1">
        <v>45337</v>
      </c>
      <c r="I2083" s="1"/>
      <c r="L2083" t="s">
        <v>15</v>
      </c>
      <c r="M2083" t="s">
        <v>1916</v>
      </c>
      <c r="N2083" t="s">
        <v>1887</v>
      </c>
    </row>
    <row r="2084" spans="1:14" x14ac:dyDescent="0.35">
      <c r="A2084" t="s">
        <v>4008</v>
      </c>
      <c r="B2084" t="s">
        <v>1882</v>
      </c>
      <c r="C2084" t="s">
        <v>332</v>
      </c>
      <c r="D2084" t="s">
        <v>1927</v>
      </c>
      <c r="E2084" t="s">
        <v>1891</v>
      </c>
      <c r="F2084" t="s">
        <v>1900</v>
      </c>
      <c r="G2084">
        <v>450183</v>
      </c>
      <c r="H2084" s="1">
        <v>44929</v>
      </c>
      <c r="I2084" s="1">
        <v>45086</v>
      </c>
      <c r="J2084">
        <v>157</v>
      </c>
      <c r="K2084">
        <v>24.3</v>
      </c>
      <c r="L2084" t="s">
        <v>47</v>
      </c>
      <c r="M2084" t="s">
        <v>1896</v>
      </c>
      <c r="N2084" t="s">
        <v>1887</v>
      </c>
    </row>
    <row r="2085" spans="1:14" x14ac:dyDescent="0.35">
      <c r="A2085" t="s">
        <v>4009</v>
      </c>
      <c r="B2085" t="s">
        <v>1914</v>
      </c>
      <c r="C2085" t="s">
        <v>224</v>
      </c>
      <c r="D2085" t="s">
        <v>1890</v>
      </c>
      <c r="E2085" t="s">
        <v>1587</v>
      </c>
      <c r="F2085" t="s">
        <v>1900</v>
      </c>
      <c r="G2085">
        <v>82651</v>
      </c>
      <c r="H2085" s="1">
        <v>45442</v>
      </c>
      <c r="I2085" s="1">
        <v>45477</v>
      </c>
      <c r="J2085">
        <v>35</v>
      </c>
      <c r="K2085">
        <v>18.3</v>
      </c>
      <c r="L2085" t="s">
        <v>47</v>
      </c>
      <c r="M2085" t="s">
        <v>1935</v>
      </c>
      <c r="N2085" t="s">
        <v>1887</v>
      </c>
    </row>
    <row r="2086" spans="1:14" x14ac:dyDescent="0.35">
      <c r="A2086" t="s">
        <v>4010</v>
      </c>
      <c r="B2086" t="s">
        <v>1924</v>
      </c>
      <c r="C2086" t="s">
        <v>376</v>
      </c>
      <c r="D2086" t="s">
        <v>1890</v>
      </c>
      <c r="E2086" t="s">
        <v>1918</v>
      </c>
      <c r="F2086" t="s">
        <v>1946</v>
      </c>
      <c r="G2086">
        <v>53327</v>
      </c>
      <c r="H2086" s="1">
        <v>45677</v>
      </c>
      <c r="I2086" s="1"/>
      <c r="K2086">
        <v>1.5</v>
      </c>
      <c r="L2086" t="s">
        <v>47</v>
      </c>
      <c r="M2086" t="s">
        <v>1912</v>
      </c>
      <c r="N2086" t="s">
        <v>1887</v>
      </c>
    </row>
    <row r="2087" spans="1:14" x14ac:dyDescent="0.35">
      <c r="A2087" t="s">
        <v>4011</v>
      </c>
      <c r="B2087" t="s">
        <v>1903</v>
      </c>
      <c r="C2087" t="s">
        <v>319</v>
      </c>
      <c r="D2087" t="s">
        <v>1883</v>
      </c>
      <c r="E2087" t="s">
        <v>1587</v>
      </c>
      <c r="F2087" t="s">
        <v>1900</v>
      </c>
      <c r="G2087">
        <v>426863</v>
      </c>
      <c r="H2087" s="1">
        <v>45384</v>
      </c>
      <c r="I2087" s="1">
        <v>45549</v>
      </c>
      <c r="J2087">
        <v>165</v>
      </c>
      <c r="K2087">
        <v>11.7</v>
      </c>
      <c r="L2087" t="s">
        <v>21</v>
      </c>
      <c r="M2087" t="s">
        <v>1935</v>
      </c>
      <c r="N2087" t="s">
        <v>1887</v>
      </c>
    </row>
    <row r="2088" spans="1:14" x14ac:dyDescent="0.35">
      <c r="A2088" t="s">
        <v>4012</v>
      </c>
      <c r="B2088" t="s">
        <v>1911</v>
      </c>
      <c r="C2088" t="s">
        <v>184</v>
      </c>
      <c r="D2088" t="s">
        <v>1883</v>
      </c>
      <c r="E2088" t="s">
        <v>1678</v>
      </c>
      <c r="F2088" t="s">
        <v>1885</v>
      </c>
      <c r="G2088">
        <v>405818</v>
      </c>
      <c r="H2088" s="1">
        <v>44967</v>
      </c>
      <c r="I2088" s="1">
        <v>45124</v>
      </c>
      <c r="J2088">
        <v>157</v>
      </c>
      <c r="L2088" t="s">
        <v>30</v>
      </c>
      <c r="M2088" t="s">
        <v>1896</v>
      </c>
      <c r="N2088" t="s">
        <v>1887</v>
      </c>
    </row>
    <row r="2089" spans="1:14" x14ac:dyDescent="0.35">
      <c r="A2089" t="s">
        <v>4013</v>
      </c>
      <c r="B2089" t="s">
        <v>1924</v>
      </c>
      <c r="C2089" t="s">
        <v>462</v>
      </c>
      <c r="D2089" t="s">
        <v>1927</v>
      </c>
      <c r="E2089" t="s">
        <v>1891</v>
      </c>
      <c r="F2089" t="s">
        <v>1892</v>
      </c>
      <c r="G2089">
        <v>194379</v>
      </c>
      <c r="H2089" s="1">
        <v>45188</v>
      </c>
      <c r="I2089" s="1"/>
      <c r="K2089">
        <v>0.6</v>
      </c>
      <c r="L2089" t="s">
        <v>21</v>
      </c>
      <c r="M2089" t="s">
        <v>1932</v>
      </c>
      <c r="N2089" t="s">
        <v>1887</v>
      </c>
    </row>
    <row r="2090" spans="1:14" x14ac:dyDescent="0.35">
      <c r="A2090" t="s">
        <v>4014</v>
      </c>
      <c r="B2090" t="s">
        <v>1889</v>
      </c>
      <c r="C2090" t="s">
        <v>169</v>
      </c>
      <c r="D2090" t="s">
        <v>1915</v>
      </c>
      <c r="E2090" t="s">
        <v>1678</v>
      </c>
      <c r="F2090" t="s">
        <v>1908</v>
      </c>
      <c r="G2090">
        <v>68003</v>
      </c>
      <c r="H2090" s="1">
        <v>45109</v>
      </c>
      <c r="I2090" s="1"/>
      <c r="K2090">
        <v>13</v>
      </c>
      <c r="L2090" t="s">
        <v>30</v>
      </c>
      <c r="M2090" t="s">
        <v>1932</v>
      </c>
      <c r="N2090" t="s">
        <v>1887</v>
      </c>
    </row>
    <row r="2091" spans="1:14" x14ac:dyDescent="0.35">
      <c r="A2091" t="s">
        <v>4015</v>
      </c>
      <c r="B2091" t="s">
        <v>1937</v>
      </c>
      <c r="C2091" t="s">
        <v>404</v>
      </c>
      <c r="D2091" t="s">
        <v>1899</v>
      </c>
      <c r="E2091" t="s">
        <v>1678</v>
      </c>
      <c r="F2091" t="s">
        <v>1908</v>
      </c>
      <c r="G2091">
        <v>414217</v>
      </c>
      <c r="H2091" s="1">
        <v>45054</v>
      </c>
      <c r="I2091" s="1"/>
      <c r="L2091" t="s">
        <v>47</v>
      </c>
      <c r="M2091" t="s">
        <v>1893</v>
      </c>
      <c r="N2091" t="s">
        <v>1887</v>
      </c>
    </row>
    <row r="2092" spans="1:14" x14ac:dyDescent="0.35">
      <c r="A2092" t="s">
        <v>4016</v>
      </c>
      <c r="B2092" t="s">
        <v>1926</v>
      </c>
      <c r="C2092" t="s">
        <v>45</v>
      </c>
      <c r="D2092" t="s">
        <v>1904</v>
      </c>
      <c r="E2092" t="s">
        <v>1931</v>
      </c>
      <c r="F2092" t="s">
        <v>1892</v>
      </c>
      <c r="G2092">
        <v>437597</v>
      </c>
      <c r="H2092" s="1">
        <v>45516</v>
      </c>
      <c r="I2092" s="1"/>
      <c r="K2092">
        <v>7.5</v>
      </c>
      <c r="L2092" t="s">
        <v>15</v>
      </c>
      <c r="M2092" t="s">
        <v>1953</v>
      </c>
      <c r="N2092" t="s">
        <v>1887</v>
      </c>
    </row>
    <row r="2093" spans="1:14" x14ac:dyDescent="0.35">
      <c r="A2093" t="s">
        <v>4017</v>
      </c>
      <c r="B2093" t="s">
        <v>1926</v>
      </c>
      <c r="C2093" t="s">
        <v>481</v>
      </c>
      <c r="D2093" t="s">
        <v>1904</v>
      </c>
      <c r="E2093" t="s">
        <v>1945</v>
      </c>
      <c r="F2093" t="s">
        <v>1900</v>
      </c>
      <c r="G2093">
        <v>126863</v>
      </c>
      <c r="H2093" s="1">
        <v>45234</v>
      </c>
      <c r="I2093" s="1">
        <v>45258</v>
      </c>
      <c r="J2093">
        <v>24</v>
      </c>
      <c r="K2093">
        <v>16.7</v>
      </c>
      <c r="L2093" t="s">
        <v>21</v>
      </c>
      <c r="M2093" t="s">
        <v>1886</v>
      </c>
      <c r="N2093" t="s">
        <v>1887</v>
      </c>
    </row>
    <row r="2094" spans="1:14" x14ac:dyDescent="0.35">
      <c r="A2094" t="s">
        <v>4018</v>
      </c>
      <c r="B2094" t="s">
        <v>1911</v>
      </c>
      <c r="C2094" t="s">
        <v>133</v>
      </c>
      <c r="D2094" t="s">
        <v>1915</v>
      </c>
      <c r="E2094" t="s">
        <v>1918</v>
      </c>
      <c r="F2094" t="s">
        <v>1895</v>
      </c>
      <c r="G2094">
        <v>64790</v>
      </c>
      <c r="H2094" s="1">
        <v>45112</v>
      </c>
      <c r="I2094" s="1"/>
      <c r="K2094">
        <v>0.6</v>
      </c>
      <c r="L2094" t="s">
        <v>47</v>
      </c>
      <c r="M2094" t="s">
        <v>1932</v>
      </c>
      <c r="N2094" t="s">
        <v>1887</v>
      </c>
    </row>
    <row r="2095" spans="1:14" x14ac:dyDescent="0.35">
      <c r="A2095" t="s">
        <v>4019</v>
      </c>
      <c r="B2095" t="s">
        <v>1963</v>
      </c>
      <c r="C2095" t="s">
        <v>268</v>
      </c>
      <c r="D2095" t="s">
        <v>1904</v>
      </c>
      <c r="E2095" t="s">
        <v>1600</v>
      </c>
      <c r="F2095" t="s">
        <v>1908</v>
      </c>
      <c r="G2095">
        <v>336981</v>
      </c>
      <c r="H2095" s="1">
        <v>45295</v>
      </c>
      <c r="I2095" s="1"/>
      <c r="K2095">
        <v>2.1</v>
      </c>
      <c r="L2095" t="s">
        <v>30</v>
      </c>
      <c r="M2095" t="s">
        <v>1916</v>
      </c>
      <c r="N2095" t="s">
        <v>1887</v>
      </c>
    </row>
    <row r="2096" spans="1:14" x14ac:dyDescent="0.35">
      <c r="A2096" t="s">
        <v>4020</v>
      </c>
      <c r="B2096" t="s">
        <v>1882</v>
      </c>
      <c r="C2096" t="s">
        <v>120</v>
      </c>
      <c r="D2096" t="s">
        <v>1899</v>
      </c>
      <c r="E2096" t="s">
        <v>1884</v>
      </c>
      <c r="F2096" t="s">
        <v>1908</v>
      </c>
      <c r="G2096">
        <v>23682</v>
      </c>
      <c r="H2096" s="1">
        <v>45605</v>
      </c>
      <c r="I2096" s="1"/>
      <c r="K2096">
        <v>7.5</v>
      </c>
      <c r="L2096" t="s">
        <v>47</v>
      </c>
      <c r="M2096" t="s">
        <v>1901</v>
      </c>
      <c r="N2096" t="s">
        <v>1887</v>
      </c>
    </row>
    <row r="2097" spans="1:14" x14ac:dyDescent="0.35">
      <c r="A2097" t="s">
        <v>4021</v>
      </c>
      <c r="B2097" t="s">
        <v>1889</v>
      </c>
      <c r="C2097" t="s">
        <v>396</v>
      </c>
      <c r="D2097" t="s">
        <v>1899</v>
      </c>
      <c r="E2097" t="s">
        <v>1678</v>
      </c>
      <c r="F2097" t="s">
        <v>1885</v>
      </c>
      <c r="G2097">
        <v>76467</v>
      </c>
      <c r="H2097" s="1">
        <v>45693</v>
      </c>
      <c r="I2097" s="1">
        <v>45831</v>
      </c>
      <c r="J2097">
        <v>138</v>
      </c>
      <c r="K2097">
        <v>2</v>
      </c>
      <c r="L2097" t="s">
        <v>21</v>
      </c>
      <c r="M2097" t="s">
        <v>1912</v>
      </c>
      <c r="N2097" t="s">
        <v>1887</v>
      </c>
    </row>
    <row r="2098" spans="1:14" x14ac:dyDescent="0.35">
      <c r="A2098" t="s">
        <v>4022</v>
      </c>
      <c r="B2098" t="s">
        <v>1926</v>
      </c>
      <c r="C2098" t="s">
        <v>498</v>
      </c>
      <c r="D2098" t="s">
        <v>1904</v>
      </c>
      <c r="E2098" t="s">
        <v>1905</v>
      </c>
      <c r="F2098" t="s">
        <v>1946</v>
      </c>
      <c r="G2098">
        <v>327201</v>
      </c>
      <c r="H2098" s="1">
        <v>45508</v>
      </c>
      <c r="I2098" s="1"/>
      <c r="K2098">
        <v>4.8</v>
      </c>
      <c r="L2098" t="s">
        <v>15</v>
      </c>
      <c r="M2098" t="s">
        <v>1953</v>
      </c>
      <c r="N2098" t="s">
        <v>1887</v>
      </c>
    </row>
    <row r="2099" spans="1:14" x14ac:dyDescent="0.35">
      <c r="A2099" t="s">
        <v>4023</v>
      </c>
      <c r="B2099" t="s">
        <v>1898</v>
      </c>
      <c r="C2099" t="s">
        <v>499</v>
      </c>
      <c r="D2099" t="s">
        <v>1927</v>
      </c>
      <c r="E2099" t="s">
        <v>1884</v>
      </c>
      <c r="F2099" t="s">
        <v>1900</v>
      </c>
      <c r="G2099">
        <v>125678</v>
      </c>
      <c r="H2099" s="1">
        <v>45135</v>
      </c>
      <c r="I2099" s="1">
        <v>45298</v>
      </c>
      <c r="J2099">
        <v>163</v>
      </c>
      <c r="K2099">
        <v>21.5</v>
      </c>
      <c r="L2099" t="s">
        <v>30</v>
      </c>
      <c r="M2099" t="s">
        <v>1932</v>
      </c>
      <c r="N2099" t="s">
        <v>1887</v>
      </c>
    </row>
    <row r="2100" spans="1:14" x14ac:dyDescent="0.35">
      <c r="A2100" t="s">
        <v>4024</v>
      </c>
      <c r="B2100" t="s">
        <v>1907</v>
      </c>
      <c r="C2100" t="s">
        <v>343</v>
      </c>
      <c r="D2100" t="s">
        <v>1915</v>
      </c>
      <c r="E2100" t="s">
        <v>1587</v>
      </c>
      <c r="F2100" t="s">
        <v>1900</v>
      </c>
      <c r="G2100">
        <v>277609</v>
      </c>
      <c r="H2100" s="1">
        <v>45057</v>
      </c>
      <c r="I2100" s="1">
        <v>45147</v>
      </c>
      <c r="J2100">
        <v>90</v>
      </c>
      <c r="K2100">
        <v>22.5</v>
      </c>
      <c r="L2100" t="s">
        <v>47</v>
      </c>
      <c r="M2100" t="s">
        <v>1893</v>
      </c>
      <c r="N2100" t="s">
        <v>1887</v>
      </c>
    </row>
    <row r="2101" spans="1:14" x14ac:dyDescent="0.35">
      <c r="A2101" t="s">
        <v>4025</v>
      </c>
      <c r="B2101" t="s">
        <v>1911</v>
      </c>
      <c r="C2101" t="s">
        <v>289</v>
      </c>
      <c r="D2101" t="s">
        <v>1904</v>
      </c>
      <c r="E2101" t="s">
        <v>1600</v>
      </c>
      <c r="F2101" t="s">
        <v>1892</v>
      </c>
      <c r="G2101">
        <v>101488</v>
      </c>
      <c r="H2101" s="1">
        <v>45318</v>
      </c>
      <c r="I2101" s="1"/>
      <c r="K2101">
        <v>10.7</v>
      </c>
      <c r="L2101" t="s">
        <v>30</v>
      </c>
      <c r="M2101" t="s">
        <v>1916</v>
      </c>
      <c r="N2101" t="s">
        <v>1887</v>
      </c>
    </row>
    <row r="2102" spans="1:14" x14ac:dyDescent="0.35">
      <c r="A2102" t="s">
        <v>4026</v>
      </c>
      <c r="B2102" t="s">
        <v>1903</v>
      </c>
      <c r="C2102" t="s">
        <v>410</v>
      </c>
      <c r="D2102" t="s">
        <v>1899</v>
      </c>
      <c r="E2102" t="s">
        <v>1891</v>
      </c>
      <c r="F2102" t="s">
        <v>1908</v>
      </c>
      <c r="G2102">
        <v>256037</v>
      </c>
      <c r="H2102" s="1">
        <v>45244</v>
      </c>
      <c r="I2102" s="1"/>
      <c r="K2102">
        <v>8.3000000000000007</v>
      </c>
      <c r="L2102" t="s">
        <v>30</v>
      </c>
      <c r="M2102" t="s">
        <v>1886</v>
      </c>
      <c r="N2102" t="s">
        <v>1887</v>
      </c>
    </row>
    <row r="2103" spans="1:14" x14ac:dyDescent="0.35">
      <c r="A2103" t="s">
        <v>4027</v>
      </c>
      <c r="B2103" t="s">
        <v>1926</v>
      </c>
      <c r="C2103" t="s">
        <v>330</v>
      </c>
      <c r="D2103" t="s">
        <v>1927</v>
      </c>
      <c r="E2103" t="s">
        <v>1931</v>
      </c>
      <c r="F2103" t="s">
        <v>1908</v>
      </c>
      <c r="G2103">
        <v>272931</v>
      </c>
      <c r="H2103" s="1">
        <v>45636</v>
      </c>
      <c r="I2103" s="1"/>
      <c r="K2103">
        <v>12.6</v>
      </c>
      <c r="L2103" t="s">
        <v>30</v>
      </c>
      <c r="M2103" t="s">
        <v>1901</v>
      </c>
      <c r="N2103" t="s">
        <v>1887</v>
      </c>
    </row>
    <row r="2104" spans="1:14" x14ac:dyDescent="0.35">
      <c r="A2104" t="s">
        <v>4028</v>
      </c>
      <c r="B2104" t="s">
        <v>1934</v>
      </c>
      <c r="C2104" t="s">
        <v>200</v>
      </c>
      <c r="D2104" t="s">
        <v>1883</v>
      </c>
      <c r="E2104" t="s">
        <v>1891</v>
      </c>
      <c r="F2104" t="s">
        <v>1892</v>
      </c>
      <c r="G2104">
        <v>94242</v>
      </c>
      <c r="H2104" s="1">
        <v>44938</v>
      </c>
      <c r="I2104" s="1"/>
      <c r="L2104" t="s">
        <v>30</v>
      </c>
      <c r="M2104" t="s">
        <v>1896</v>
      </c>
      <c r="N2104" t="s">
        <v>1887</v>
      </c>
    </row>
    <row r="2105" spans="1:14" x14ac:dyDescent="0.35">
      <c r="A2105" t="s">
        <v>4029</v>
      </c>
      <c r="B2105" t="s">
        <v>1911</v>
      </c>
      <c r="C2105" t="s">
        <v>85</v>
      </c>
      <c r="D2105" t="s">
        <v>1904</v>
      </c>
      <c r="E2105" t="s">
        <v>1891</v>
      </c>
      <c r="F2105" t="s">
        <v>1900</v>
      </c>
      <c r="G2105">
        <v>460792</v>
      </c>
      <c r="H2105" s="1">
        <v>45518</v>
      </c>
      <c r="I2105" s="1">
        <v>45608</v>
      </c>
      <c r="J2105">
        <v>90</v>
      </c>
      <c r="K2105">
        <v>14.4</v>
      </c>
      <c r="L2105" t="s">
        <v>47</v>
      </c>
      <c r="M2105" t="s">
        <v>1953</v>
      </c>
      <c r="N2105" t="s">
        <v>1887</v>
      </c>
    </row>
    <row r="2106" spans="1:14" x14ac:dyDescent="0.35">
      <c r="A2106" t="s">
        <v>4030</v>
      </c>
      <c r="B2106" t="s">
        <v>1914</v>
      </c>
      <c r="C2106" t="s">
        <v>71</v>
      </c>
      <c r="D2106" t="s">
        <v>1904</v>
      </c>
      <c r="E2106" t="s">
        <v>1905</v>
      </c>
      <c r="F2106" t="s">
        <v>1892</v>
      </c>
      <c r="G2106">
        <v>221543</v>
      </c>
      <c r="H2106" s="1">
        <v>45408</v>
      </c>
      <c r="I2106" s="1"/>
      <c r="K2106">
        <v>5</v>
      </c>
      <c r="L2106" t="s">
        <v>47</v>
      </c>
      <c r="M2106" t="s">
        <v>1935</v>
      </c>
      <c r="N2106" t="s">
        <v>1887</v>
      </c>
    </row>
    <row r="2107" spans="1:14" x14ac:dyDescent="0.35">
      <c r="A2107" t="s">
        <v>4031</v>
      </c>
      <c r="B2107" t="s">
        <v>1903</v>
      </c>
      <c r="C2107" t="s">
        <v>491</v>
      </c>
      <c r="D2107" t="s">
        <v>1890</v>
      </c>
      <c r="E2107" t="s">
        <v>1884</v>
      </c>
      <c r="F2107" t="s">
        <v>1895</v>
      </c>
      <c r="G2107">
        <v>406094</v>
      </c>
      <c r="H2107" s="1">
        <v>45582</v>
      </c>
      <c r="I2107" s="1"/>
      <c r="K2107">
        <v>12.2</v>
      </c>
      <c r="L2107" t="s">
        <v>15</v>
      </c>
      <c r="M2107" t="s">
        <v>1901</v>
      </c>
      <c r="N2107" t="s">
        <v>1887</v>
      </c>
    </row>
    <row r="2108" spans="1:14" x14ac:dyDescent="0.35">
      <c r="A2108" t="s">
        <v>4032</v>
      </c>
      <c r="B2108" t="s">
        <v>1934</v>
      </c>
      <c r="C2108" t="s">
        <v>439</v>
      </c>
      <c r="D2108" t="s">
        <v>1883</v>
      </c>
      <c r="E2108" t="s">
        <v>1905</v>
      </c>
      <c r="F2108" t="s">
        <v>1900</v>
      </c>
      <c r="G2108">
        <v>26639</v>
      </c>
      <c r="H2108" s="1">
        <v>45695</v>
      </c>
      <c r="I2108" s="1">
        <v>45747</v>
      </c>
      <c r="J2108">
        <v>52</v>
      </c>
      <c r="K2108">
        <v>19.399999999999999</v>
      </c>
      <c r="L2108" t="s">
        <v>47</v>
      </c>
      <c r="M2108" t="s">
        <v>1912</v>
      </c>
      <c r="N2108" t="s">
        <v>1887</v>
      </c>
    </row>
    <row r="2109" spans="1:14" x14ac:dyDescent="0.35">
      <c r="A2109" t="s">
        <v>4033</v>
      </c>
      <c r="B2109" t="s">
        <v>1944</v>
      </c>
      <c r="C2109" t="s">
        <v>383</v>
      </c>
      <c r="D2109" t="s">
        <v>1927</v>
      </c>
      <c r="E2109" t="s">
        <v>1905</v>
      </c>
      <c r="F2109" t="s">
        <v>1946</v>
      </c>
      <c r="G2109">
        <v>452661</v>
      </c>
      <c r="H2109" s="1">
        <v>45565</v>
      </c>
      <c r="I2109" s="1"/>
      <c r="K2109">
        <v>4.4000000000000004</v>
      </c>
      <c r="L2109" t="s">
        <v>47</v>
      </c>
      <c r="M2109" t="s">
        <v>1953</v>
      </c>
      <c r="N2109" t="s">
        <v>1887</v>
      </c>
    </row>
    <row r="2110" spans="1:14" x14ac:dyDescent="0.35">
      <c r="A2110" t="s">
        <v>4034</v>
      </c>
      <c r="B2110" t="s">
        <v>1911</v>
      </c>
      <c r="C2110" t="s">
        <v>200</v>
      </c>
      <c r="D2110" t="s">
        <v>1883</v>
      </c>
      <c r="E2110" t="s">
        <v>1931</v>
      </c>
      <c r="F2110" t="s">
        <v>1946</v>
      </c>
      <c r="G2110">
        <v>80427</v>
      </c>
      <c r="H2110" s="1">
        <v>45229</v>
      </c>
      <c r="I2110" s="1"/>
      <c r="K2110">
        <v>6.7</v>
      </c>
      <c r="L2110" t="s">
        <v>47</v>
      </c>
      <c r="M2110" t="s">
        <v>1886</v>
      </c>
      <c r="N2110" t="s">
        <v>1887</v>
      </c>
    </row>
    <row r="2111" spans="1:14" x14ac:dyDescent="0.35">
      <c r="A2111" t="s">
        <v>4035</v>
      </c>
      <c r="B2111" t="s">
        <v>1930</v>
      </c>
      <c r="C2111" t="s">
        <v>257</v>
      </c>
      <c r="D2111" t="s">
        <v>1904</v>
      </c>
      <c r="E2111" t="s">
        <v>1918</v>
      </c>
      <c r="F2111" t="s">
        <v>1895</v>
      </c>
      <c r="G2111">
        <v>79897</v>
      </c>
      <c r="H2111" s="1">
        <v>44979</v>
      </c>
      <c r="I2111" s="1"/>
      <c r="K2111">
        <v>6.3</v>
      </c>
      <c r="L2111" t="s">
        <v>21</v>
      </c>
      <c r="M2111" t="s">
        <v>1896</v>
      </c>
      <c r="N2111" t="s">
        <v>1887</v>
      </c>
    </row>
    <row r="2112" spans="1:14" x14ac:dyDescent="0.35">
      <c r="A2112" t="s">
        <v>4036</v>
      </c>
      <c r="B2112" t="s">
        <v>1922</v>
      </c>
      <c r="C2112" t="s">
        <v>108</v>
      </c>
      <c r="D2112" t="s">
        <v>1899</v>
      </c>
      <c r="E2112" t="s">
        <v>1600</v>
      </c>
      <c r="F2112" t="s">
        <v>1885</v>
      </c>
      <c r="G2112">
        <v>278098</v>
      </c>
      <c r="H2112" s="1">
        <v>45346</v>
      </c>
      <c r="I2112" s="1">
        <v>45436</v>
      </c>
      <c r="J2112">
        <v>90</v>
      </c>
      <c r="K2112">
        <v>13.2</v>
      </c>
      <c r="L2112" t="s">
        <v>21</v>
      </c>
      <c r="M2112" t="s">
        <v>1916</v>
      </c>
      <c r="N2112" t="s">
        <v>1887</v>
      </c>
    </row>
    <row r="2113" spans="1:14" x14ac:dyDescent="0.35">
      <c r="A2113" t="s">
        <v>4037</v>
      </c>
      <c r="B2113" t="s">
        <v>1944</v>
      </c>
      <c r="C2113" t="s">
        <v>66</v>
      </c>
      <c r="D2113" t="s">
        <v>1904</v>
      </c>
      <c r="E2113" t="s">
        <v>1931</v>
      </c>
      <c r="F2113" t="s">
        <v>1895</v>
      </c>
      <c r="G2113">
        <v>230807</v>
      </c>
      <c r="H2113" s="1">
        <v>45152</v>
      </c>
      <c r="I2113" s="1"/>
      <c r="L2113" t="s">
        <v>30</v>
      </c>
      <c r="M2113" t="s">
        <v>1932</v>
      </c>
      <c r="N2113" t="s">
        <v>1887</v>
      </c>
    </row>
    <row r="2114" spans="1:14" x14ac:dyDescent="0.35">
      <c r="A2114" t="s">
        <v>4038</v>
      </c>
      <c r="B2114" t="s">
        <v>1920</v>
      </c>
      <c r="C2114" t="s">
        <v>302</v>
      </c>
      <c r="D2114" t="s">
        <v>1915</v>
      </c>
      <c r="E2114" t="s">
        <v>1587</v>
      </c>
      <c r="F2114" t="s">
        <v>1885</v>
      </c>
      <c r="G2114">
        <v>78501</v>
      </c>
      <c r="H2114" s="1">
        <v>45280</v>
      </c>
      <c r="I2114" s="1">
        <v>45444</v>
      </c>
      <c r="J2114">
        <v>164</v>
      </c>
      <c r="K2114">
        <v>7.5</v>
      </c>
      <c r="L2114" t="s">
        <v>15</v>
      </c>
      <c r="M2114" t="s">
        <v>1886</v>
      </c>
      <c r="N2114" t="s">
        <v>1887</v>
      </c>
    </row>
    <row r="2115" spans="1:14" x14ac:dyDescent="0.35">
      <c r="A2115" t="s">
        <v>4039</v>
      </c>
      <c r="B2115" t="s">
        <v>1924</v>
      </c>
      <c r="C2115" t="s">
        <v>110</v>
      </c>
      <c r="D2115" t="s">
        <v>1927</v>
      </c>
      <c r="E2115" t="s">
        <v>1905</v>
      </c>
      <c r="F2115" t="s">
        <v>1885</v>
      </c>
      <c r="G2115">
        <v>363965</v>
      </c>
      <c r="H2115" s="1">
        <v>45736</v>
      </c>
      <c r="I2115" s="1">
        <v>45903</v>
      </c>
      <c r="J2115">
        <v>167</v>
      </c>
      <c r="K2115">
        <v>14</v>
      </c>
      <c r="L2115" t="s">
        <v>30</v>
      </c>
      <c r="M2115" t="s">
        <v>1912</v>
      </c>
      <c r="N2115" t="s">
        <v>1887</v>
      </c>
    </row>
    <row r="2116" spans="1:14" x14ac:dyDescent="0.35">
      <c r="A2116" t="s">
        <v>4040</v>
      </c>
      <c r="B2116" t="s">
        <v>1920</v>
      </c>
      <c r="C2116" t="s">
        <v>395</v>
      </c>
      <c r="D2116" t="s">
        <v>1899</v>
      </c>
      <c r="E2116" t="s">
        <v>1884</v>
      </c>
      <c r="F2116" t="s">
        <v>1908</v>
      </c>
      <c r="G2116">
        <v>383122</v>
      </c>
      <c r="H2116" s="1">
        <v>44999</v>
      </c>
      <c r="I2116" s="1"/>
      <c r="L2116" t="s">
        <v>21</v>
      </c>
      <c r="M2116" t="s">
        <v>1896</v>
      </c>
      <c r="N2116" t="s">
        <v>1887</v>
      </c>
    </row>
    <row r="2117" spans="1:14" x14ac:dyDescent="0.35">
      <c r="A2117" t="s">
        <v>4041</v>
      </c>
      <c r="B2117" t="s">
        <v>1963</v>
      </c>
      <c r="C2117" t="s">
        <v>252</v>
      </c>
      <c r="D2117" t="s">
        <v>1883</v>
      </c>
      <c r="E2117" t="s">
        <v>1884</v>
      </c>
      <c r="F2117" t="s">
        <v>1908</v>
      </c>
      <c r="G2117">
        <v>231892</v>
      </c>
      <c r="H2117" s="1">
        <v>45446</v>
      </c>
      <c r="I2117" s="1"/>
      <c r="L2117" t="s">
        <v>30</v>
      </c>
      <c r="M2117" t="s">
        <v>1935</v>
      </c>
      <c r="N2117" t="s">
        <v>1887</v>
      </c>
    </row>
    <row r="2118" spans="1:14" x14ac:dyDescent="0.35">
      <c r="A2118" t="s">
        <v>4042</v>
      </c>
      <c r="B2118" t="s">
        <v>1903</v>
      </c>
      <c r="C2118" t="s">
        <v>173</v>
      </c>
      <c r="D2118" t="s">
        <v>1883</v>
      </c>
      <c r="E2118" t="s">
        <v>1905</v>
      </c>
      <c r="F2118" t="s">
        <v>1885</v>
      </c>
      <c r="G2118">
        <v>338171</v>
      </c>
      <c r="H2118" s="1">
        <v>45202</v>
      </c>
      <c r="I2118" s="1">
        <v>45335</v>
      </c>
      <c r="J2118">
        <v>133</v>
      </c>
      <c r="K2118">
        <v>1.5</v>
      </c>
      <c r="L2118" t="s">
        <v>21</v>
      </c>
      <c r="M2118" t="s">
        <v>1886</v>
      </c>
      <c r="N2118" t="s">
        <v>1887</v>
      </c>
    </row>
    <row r="2119" spans="1:14" x14ac:dyDescent="0.35">
      <c r="A2119" t="s">
        <v>4043</v>
      </c>
      <c r="B2119" t="s">
        <v>1889</v>
      </c>
      <c r="C2119" t="s">
        <v>190</v>
      </c>
      <c r="D2119" t="s">
        <v>1904</v>
      </c>
      <c r="E2119" t="s">
        <v>1600</v>
      </c>
      <c r="F2119" t="s">
        <v>1895</v>
      </c>
      <c r="G2119">
        <v>395041</v>
      </c>
      <c r="H2119" s="1">
        <v>45426</v>
      </c>
      <c r="I2119" s="1"/>
      <c r="K2119">
        <v>3.7</v>
      </c>
      <c r="L2119" t="s">
        <v>30</v>
      </c>
      <c r="M2119" t="s">
        <v>1935</v>
      </c>
      <c r="N2119" t="s">
        <v>1887</v>
      </c>
    </row>
    <row r="2120" spans="1:14" x14ac:dyDescent="0.35">
      <c r="A2120" t="s">
        <v>4044</v>
      </c>
      <c r="B2120" t="s">
        <v>1924</v>
      </c>
      <c r="C2120" t="s">
        <v>444</v>
      </c>
      <c r="D2120" t="s">
        <v>1883</v>
      </c>
      <c r="E2120" t="s">
        <v>1884</v>
      </c>
      <c r="F2120" t="s">
        <v>1946</v>
      </c>
      <c r="G2120">
        <v>447593</v>
      </c>
      <c r="H2120" s="1">
        <v>45731</v>
      </c>
      <c r="I2120" s="1"/>
      <c r="K2120">
        <v>5.7</v>
      </c>
      <c r="L2120" t="s">
        <v>21</v>
      </c>
      <c r="M2120" t="s">
        <v>1912</v>
      </c>
      <c r="N2120" t="s">
        <v>1887</v>
      </c>
    </row>
    <row r="2121" spans="1:14" x14ac:dyDescent="0.35">
      <c r="A2121" t="s">
        <v>4045</v>
      </c>
      <c r="B2121" t="s">
        <v>1924</v>
      </c>
      <c r="C2121" t="s">
        <v>398</v>
      </c>
      <c r="D2121" t="s">
        <v>1915</v>
      </c>
      <c r="E2121" t="s">
        <v>1678</v>
      </c>
      <c r="F2121" t="s">
        <v>1900</v>
      </c>
      <c r="G2121">
        <v>356122</v>
      </c>
      <c r="H2121" s="1">
        <v>45081</v>
      </c>
      <c r="I2121" s="1">
        <v>45243</v>
      </c>
      <c r="J2121">
        <v>162</v>
      </c>
      <c r="K2121">
        <v>15.8</v>
      </c>
      <c r="L2121" t="s">
        <v>21</v>
      </c>
      <c r="M2121" t="s">
        <v>1893</v>
      </c>
      <c r="N2121" t="s">
        <v>1887</v>
      </c>
    </row>
    <row r="2122" spans="1:14" x14ac:dyDescent="0.35">
      <c r="A2122" t="s">
        <v>4046</v>
      </c>
      <c r="B2122" t="s">
        <v>1903</v>
      </c>
      <c r="C2122" t="s">
        <v>250</v>
      </c>
      <c r="D2122" t="s">
        <v>1890</v>
      </c>
      <c r="E2122" t="s">
        <v>1600</v>
      </c>
      <c r="F2122" t="s">
        <v>1900</v>
      </c>
      <c r="G2122">
        <v>293322</v>
      </c>
      <c r="H2122" s="1">
        <v>45398</v>
      </c>
      <c r="I2122" s="1">
        <v>45436</v>
      </c>
      <c r="J2122">
        <v>38</v>
      </c>
      <c r="K2122">
        <v>18.899999999999999</v>
      </c>
      <c r="L2122" t="s">
        <v>15</v>
      </c>
      <c r="M2122" t="s">
        <v>1935</v>
      </c>
      <c r="N2122" t="s">
        <v>1887</v>
      </c>
    </row>
    <row r="2123" spans="1:14" x14ac:dyDescent="0.35">
      <c r="A2123" t="s">
        <v>4047</v>
      </c>
      <c r="B2123" t="s">
        <v>1930</v>
      </c>
      <c r="C2123" t="s">
        <v>341</v>
      </c>
      <c r="D2123" t="s">
        <v>1883</v>
      </c>
      <c r="E2123" t="s">
        <v>1884</v>
      </c>
      <c r="F2123" t="s">
        <v>1908</v>
      </c>
      <c r="G2123">
        <v>310346</v>
      </c>
      <c r="H2123" s="1">
        <v>45446</v>
      </c>
      <c r="I2123" s="1"/>
      <c r="L2123" t="s">
        <v>15</v>
      </c>
      <c r="M2123" t="s">
        <v>1935</v>
      </c>
      <c r="N2123" t="s">
        <v>1887</v>
      </c>
    </row>
    <row r="2124" spans="1:14" x14ac:dyDescent="0.35">
      <c r="A2124" t="s">
        <v>4048</v>
      </c>
      <c r="B2124" t="s">
        <v>1903</v>
      </c>
      <c r="C2124" t="s">
        <v>380</v>
      </c>
      <c r="D2124" t="s">
        <v>1927</v>
      </c>
      <c r="E2124" t="s">
        <v>1905</v>
      </c>
      <c r="F2124" t="s">
        <v>1946</v>
      </c>
      <c r="G2124">
        <v>389646</v>
      </c>
      <c r="H2124" s="1">
        <v>44989</v>
      </c>
      <c r="I2124" s="1"/>
      <c r="K2124">
        <v>11</v>
      </c>
      <c r="L2124" t="s">
        <v>21</v>
      </c>
      <c r="M2124" t="s">
        <v>1896</v>
      </c>
      <c r="N2124" t="s">
        <v>1887</v>
      </c>
    </row>
    <row r="2125" spans="1:14" x14ac:dyDescent="0.35">
      <c r="A2125" t="s">
        <v>4049</v>
      </c>
      <c r="B2125" t="s">
        <v>1914</v>
      </c>
      <c r="C2125" t="s">
        <v>332</v>
      </c>
      <c r="D2125" t="s">
        <v>1927</v>
      </c>
      <c r="E2125" t="s">
        <v>1931</v>
      </c>
      <c r="F2125" t="s">
        <v>1885</v>
      </c>
      <c r="G2125">
        <v>396539</v>
      </c>
      <c r="H2125" s="1">
        <v>45611</v>
      </c>
      <c r="I2125" s="1">
        <v>45747</v>
      </c>
      <c r="J2125">
        <v>136</v>
      </c>
      <c r="L2125" t="s">
        <v>15</v>
      </c>
      <c r="M2125" t="s">
        <v>1901</v>
      </c>
      <c r="N2125" t="s">
        <v>1887</v>
      </c>
    </row>
    <row r="2126" spans="1:14" x14ac:dyDescent="0.35">
      <c r="A2126" t="s">
        <v>4050</v>
      </c>
      <c r="B2126" t="s">
        <v>1930</v>
      </c>
      <c r="C2126" t="s">
        <v>90</v>
      </c>
      <c r="D2126" t="s">
        <v>1899</v>
      </c>
      <c r="E2126" t="s">
        <v>1931</v>
      </c>
      <c r="F2126" t="s">
        <v>1895</v>
      </c>
      <c r="G2126">
        <v>403779</v>
      </c>
      <c r="H2126" s="1">
        <v>45490</v>
      </c>
      <c r="I2126" s="1"/>
      <c r="L2126" t="s">
        <v>21</v>
      </c>
      <c r="M2126" t="s">
        <v>1953</v>
      </c>
      <c r="N2126" t="s">
        <v>1887</v>
      </c>
    </row>
    <row r="2127" spans="1:14" x14ac:dyDescent="0.35">
      <c r="A2127" t="s">
        <v>4051</v>
      </c>
      <c r="B2127" t="s">
        <v>1920</v>
      </c>
      <c r="C2127" t="s">
        <v>450</v>
      </c>
      <c r="D2127" t="s">
        <v>1915</v>
      </c>
      <c r="E2127" t="s">
        <v>1905</v>
      </c>
      <c r="F2127" t="s">
        <v>1900</v>
      </c>
      <c r="G2127">
        <v>371251</v>
      </c>
      <c r="H2127" s="1">
        <v>45329</v>
      </c>
      <c r="I2127" s="1">
        <v>45430</v>
      </c>
      <c r="J2127">
        <v>101</v>
      </c>
      <c r="K2127">
        <v>17.399999999999999</v>
      </c>
      <c r="L2127" t="s">
        <v>30</v>
      </c>
      <c r="M2127" t="s">
        <v>1916</v>
      </c>
      <c r="N2127" t="s">
        <v>1887</v>
      </c>
    </row>
    <row r="2128" spans="1:14" x14ac:dyDescent="0.35">
      <c r="A2128" t="s">
        <v>4052</v>
      </c>
      <c r="B2128" t="s">
        <v>1911</v>
      </c>
      <c r="C2128" t="s">
        <v>261</v>
      </c>
      <c r="D2128" t="s">
        <v>1915</v>
      </c>
      <c r="E2128" t="s">
        <v>1884</v>
      </c>
      <c r="F2128" t="s">
        <v>1908</v>
      </c>
      <c r="G2128">
        <v>469995</v>
      </c>
      <c r="H2128" s="1">
        <v>45045</v>
      </c>
      <c r="I2128" s="1"/>
      <c r="K2128">
        <v>12</v>
      </c>
      <c r="L2128" t="s">
        <v>47</v>
      </c>
      <c r="M2128" t="s">
        <v>1893</v>
      </c>
      <c r="N2128" t="s">
        <v>1887</v>
      </c>
    </row>
    <row r="2129" spans="1:14" x14ac:dyDescent="0.35">
      <c r="A2129" t="s">
        <v>4053</v>
      </c>
      <c r="B2129" t="s">
        <v>1911</v>
      </c>
      <c r="C2129" t="s">
        <v>372</v>
      </c>
      <c r="D2129" t="s">
        <v>1904</v>
      </c>
      <c r="E2129" t="s">
        <v>1931</v>
      </c>
      <c r="F2129" t="s">
        <v>1908</v>
      </c>
      <c r="G2129">
        <v>53824</v>
      </c>
      <c r="H2129" s="1">
        <v>45383</v>
      </c>
      <c r="I2129" s="1"/>
      <c r="K2129">
        <v>10.199999999999999</v>
      </c>
      <c r="L2129" t="s">
        <v>30</v>
      </c>
      <c r="M2129" t="s">
        <v>1935</v>
      </c>
      <c r="N2129" t="s">
        <v>1887</v>
      </c>
    </row>
    <row r="2130" spans="1:14" x14ac:dyDescent="0.35">
      <c r="A2130" t="s">
        <v>4054</v>
      </c>
      <c r="B2130" t="s">
        <v>1926</v>
      </c>
      <c r="C2130" t="s">
        <v>483</v>
      </c>
      <c r="D2130" t="s">
        <v>1927</v>
      </c>
      <c r="E2130" t="s">
        <v>1918</v>
      </c>
      <c r="F2130" t="s">
        <v>1900</v>
      </c>
      <c r="G2130">
        <v>207661</v>
      </c>
      <c r="H2130" s="1">
        <v>45687</v>
      </c>
      <c r="I2130" s="1">
        <v>45799</v>
      </c>
      <c r="J2130">
        <v>112</v>
      </c>
      <c r="K2130">
        <v>19.600000000000001</v>
      </c>
      <c r="L2130" t="s">
        <v>30</v>
      </c>
      <c r="M2130" t="s">
        <v>1912</v>
      </c>
      <c r="N2130" t="s">
        <v>1887</v>
      </c>
    </row>
    <row r="2131" spans="1:14" x14ac:dyDescent="0.35">
      <c r="A2131" t="s">
        <v>4055</v>
      </c>
      <c r="B2131" t="s">
        <v>1924</v>
      </c>
      <c r="C2131" t="s">
        <v>249</v>
      </c>
      <c r="D2131" t="s">
        <v>1890</v>
      </c>
      <c r="E2131" t="s">
        <v>1884</v>
      </c>
      <c r="F2131" t="s">
        <v>1946</v>
      </c>
      <c r="G2131">
        <v>161506</v>
      </c>
      <c r="H2131" s="1">
        <v>45642</v>
      </c>
      <c r="I2131" s="1"/>
      <c r="K2131">
        <v>14.4</v>
      </c>
      <c r="L2131" t="s">
        <v>15</v>
      </c>
      <c r="M2131" t="s">
        <v>1901</v>
      </c>
      <c r="N2131" t="s">
        <v>1887</v>
      </c>
    </row>
    <row r="2132" spans="1:14" x14ac:dyDescent="0.35">
      <c r="A2132" t="s">
        <v>4056</v>
      </c>
      <c r="B2132" t="s">
        <v>1922</v>
      </c>
      <c r="C2132" t="s">
        <v>484</v>
      </c>
      <c r="D2132" t="s">
        <v>1915</v>
      </c>
      <c r="E2132" t="s">
        <v>1587</v>
      </c>
      <c r="F2132" t="s">
        <v>1900</v>
      </c>
      <c r="G2132">
        <v>333588</v>
      </c>
      <c r="H2132" s="1">
        <v>45664</v>
      </c>
      <c r="I2132" s="1">
        <v>45825</v>
      </c>
      <c r="J2132">
        <v>161</v>
      </c>
      <c r="K2132">
        <v>4.2</v>
      </c>
      <c r="L2132" t="s">
        <v>47</v>
      </c>
      <c r="M2132" t="s">
        <v>1912</v>
      </c>
      <c r="N2132" t="s">
        <v>1887</v>
      </c>
    </row>
    <row r="2133" spans="1:14" x14ac:dyDescent="0.35">
      <c r="A2133" t="s">
        <v>4057</v>
      </c>
      <c r="B2133" t="s">
        <v>1924</v>
      </c>
      <c r="C2133" t="s">
        <v>66</v>
      </c>
      <c r="D2133" t="s">
        <v>1927</v>
      </c>
      <c r="E2133" t="s">
        <v>1918</v>
      </c>
      <c r="F2133" t="s">
        <v>1946</v>
      </c>
      <c r="G2133">
        <v>23259</v>
      </c>
      <c r="H2133" s="1">
        <v>45060</v>
      </c>
      <c r="I2133" s="1"/>
      <c r="K2133">
        <v>14.8</v>
      </c>
      <c r="L2133" t="s">
        <v>21</v>
      </c>
      <c r="M2133" t="s">
        <v>1893</v>
      </c>
      <c r="N2133" t="s">
        <v>1887</v>
      </c>
    </row>
    <row r="2134" spans="1:14" x14ac:dyDescent="0.35">
      <c r="A2134" t="s">
        <v>4058</v>
      </c>
      <c r="B2134" t="s">
        <v>1882</v>
      </c>
      <c r="C2134" t="s">
        <v>389</v>
      </c>
      <c r="D2134" t="s">
        <v>1915</v>
      </c>
      <c r="E2134" t="s">
        <v>1884</v>
      </c>
      <c r="F2134" t="s">
        <v>1892</v>
      </c>
      <c r="G2134">
        <v>331871</v>
      </c>
      <c r="H2134" s="1">
        <v>45264</v>
      </c>
      <c r="I2134" s="1"/>
      <c r="L2134" t="s">
        <v>47</v>
      </c>
      <c r="M2134" t="s">
        <v>1886</v>
      </c>
      <c r="N2134" t="s">
        <v>1887</v>
      </c>
    </row>
    <row r="2135" spans="1:14" x14ac:dyDescent="0.35">
      <c r="A2135" t="s">
        <v>4059</v>
      </c>
      <c r="B2135" t="s">
        <v>1922</v>
      </c>
      <c r="C2135" t="s">
        <v>411</v>
      </c>
      <c r="D2135" t="s">
        <v>1927</v>
      </c>
      <c r="E2135" t="s">
        <v>1587</v>
      </c>
      <c r="F2135" t="s">
        <v>1892</v>
      </c>
      <c r="G2135">
        <v>75444</v>
      </c>
      <c r="H2135" s="1">
        <v>45481</v>
      </c>
      <c r="I2135" s="1"/>
      <c r="K2135">
        <v>2.6</v>
      </c>
      <c r="L2135" t="s">
        <v>21</v>
      </c>
      <c r="M2135" t="s">
        <v>1953</v>
      </c>
      <c r="N2135" t="s">
        <v>1887</v>
      </c>
    </row>
    <row r="2136" spans="1:14" x14ac:dyDescent="0.35">
      <c r="A2136" t="s">
        <v>4060</v>
      </c>
      <c r="B2136" t="s">
        <v>1903</v>
      </c>
      <c r="C2136" t="s">
        <v>341</v>
      </c>
      <c r="D2136" t="s">
        <v>1904</v>
      </c>
      <c r="E2136" t="s">
        <v>1600</v>
      </c>
      <c r="F2136" t="s">
        <v>1892</v>
      </c>
      <c r="G2136">
        <v>61569</v>
      </c>
      <c r="H2136" s="1">
        <v>45610</v>
      </c>
      <c r="I2136" s="1"/>
      <c r="K2136">
        <v>13.1</v>
      </c>
      <c r="L2136" t="s">
        <v>21</v>
      </c>
      <c r="M2136" t="s">
        <v>1901</v>
      </c>
      <c r="N2136" t="s">
        <v>1887</v>
      </c>
    </row>
    <row r="2137" spans="1:14" x14ac:dyDescent="0.35">
      <c r="A2137" t="s">
        <v>4061</v>
      </c>
      <c r="B2137" t="s">
        <v>1926</v>
      </c>
      <c r="C2137" t="s">
        <v>198</v>
      </c>
      <c r="D2137" t="s">
        <v>1915</v>
      </c>
      <c r="E2137" t="s">
        <v>1600</v>
      </c>
      <c r="F2137" t="s">
        <v>1885</v>
      </c>
      <c r="G2137">
        <v>497684</v>
      </c>
      <c r="H2137" s="1">
        <v>45053</v>
      </c>
      <c r="I2137" s="1">
        <v>45160</v>
      </c>
      <c r="J2137">
        <v>107</v>
      </c>
      <c r="K2137">
        <v>7.2</v>
      </c>
      <c r="L2137" t="s">
        <v>21</v>
      </c>
      <c r="M2137" t="s">
        <v>1893</v>
      </c>
      <c r="N2137" t="s">
        <v>1887</v>
      </c>
    </row>
    <row r="2138" spans="1:14" x14ac:dyDescent="0.35">
      <c r="A2138" t="s">
        <v>4062</v>
      </c>
      <c r="B2138" t="s">
        <v>1920</v>
      </c>
      <c r="C2138" t="s">
        <v>23</v>
      </c>
      <c r="D2138" t="s">
        <v>1899</v>
      </c>
      <c r="E2138" t="s">
        <v>1884</v>
      </c>
      <c r="F2138" t="s">
        <v>1946</v>
      </c>
      <c r="G2138">
        <v>159195</v>
      </c>
      <c r="H2138" s="1">
        <v>45553</v>
      </c>
      <c r="I2138" s="1"/>
      <c r="K2138">
        <v>12.7</v>
      </c>
      <c r="L2138" t="s">
        <v>21</v>
      </c>
      <c r="M2138" t="s">
        <v>1953</v>
      </c>
      <c r="N2138" t="s">
        <v>1887</v>
      </c>
    </row>
    <row r="2139" spans="1:14" x14ac:dyDescent="0.35">
      <c r="A2139" t="s">
        <v>4063</v>
      </c>
      <c r="B2139" t="s">
        <v>1937</v>
      </c>
      <c r="C2139" t="s">
        <v>498</v>
      </c>
      <c r="D2139" t="s">
        <v>1904</v>
      </c>
      <c r="E2139" t="s">
        <v>1884</v>
      </c>
      <c r="F2139" t="s">
        <v>1946</v>
      </c>
      <c r="G2139">
        <v>205104</v>
      </c>
      <c r="H2139" s="1">
        <v>44941</v>
      </c>
      <c r="I2139" s="1"/>
      <c r="L2139" t="s">
        <v>47</v>
      </c>
      <c r="M2139" t="s">
        <v>1896</v>
      </c>
      <c r="N2139" t="s">
        <v>1887</v>
      </c>
    </row>
    <row r="2140" spans="1:14" x14ac:dyDescent="0.35">
      <c r="A2140" t="s">
        <v>4064</v>
      </c>
      <c r="B2140" t="s">
        <v>1882</v>
      </c>
      <c r="C2140" t="s">
        <v>130</v>
      </c>
      <c r="D2140" t="s">
        <v>1927</v>
      </c>
      <c r="E2140" t="s">
        <v>1587</v>
      </c>
      <c r="F2140" t="s">
        <v>1900</v>
      </c>
      <c r="G2140">
        <v>196698</v>
      </c>
      <c r="H2140" s="1">
        <v>45064</v>
      </c>
      <c r="I2140" s="1">
        <v>45080</v>
      </c>
      <c r="J2140">
        <v>16</v>
      </c>
      <c r="K2140">
        <v>7</v>
      </c>
      <c r="L2140" t="s">
        <v>47</v>
      </c>
      <c r="M2140" t="s">
        <v>1893</v>
      </c>
      <c r="N2140" t="s">
        <v>1887</v>
      </c>
    </row>
    <row r="2141" spans="1:14" x14ac:dyDescent="0.35">
      <c r="A2141" t="s">
        <v>4065</v>
      </c>
      <c r="B2141" t="s">
        <v>1944</v>
      </c>
      <c r="C2141" t="s">
        <v>32</v>
      </c>
      <c r="D2141" t="s">
        <v>1899</v>
      </c>
      <c r="E2141" t="s">
        <v>1918</v>
      </c>
      <c r="F2141" t="s">
        <v>1895</v>
      </c>
      <c r="G2141">
        <v>151030</v>
      </c>
      <c r="H2141" s="1">
        <v>45740</v>
      </c>
      <c r="I2141" s="1"/>
      <c r="K2141">
        <v>0.4</v>
      </c>
      <c r="L2141" t="s">
        <v>21</v>
      </c>
      <c r="M2141" t="s">
        <v>1912</v>
      </c>
      <c r="N2141" t="s">
        <v>1887</v>
      </c>
    </row>
    <row r="2142" spans="1:14" x14ac:dyDescent="0.35">
      <c r="A2142" t="s">
        <v>4066</v>
      </c>
      <c r="B2142" t="s">
        <v>1963</v>
      </c>
      <c r="C2142" t="s">
        <v>293</v>
      </c>
      <c r="D2142" t="s">
        <v>1915</v>
      </c>
      <c r="E2142" t="s">
        <v>1905</v>
      </c>
      <c r="F2142" t="s">
        <v>1895</v>
      </c>
      <c r="G2142">
        <v>33664</v>
      </c>
      <c r="H2142" s="1">
        <v>45719</v>
      </c>
      <c r="I2142" s="1"/>
      <c r="L2142" t="s">
        <v>30</v>
      </c>
      <c r="M2142" t="s">
        <v>1912</v>
      </c>
      <c r="N2142" t="s">
        <v>1887</v>
      </c>
    </row>
    <row r="2143" spans="1:14" x14ac:dyDescent="0.35">
      <c r="A2143" t="s">
        <v>4067</v>
      </c>
      <c r="B2143" t="s">
        <v>1898</v>
      </c>
      <c r="C2143" t="s">
        <v>208</v>
      </c>
      <c r="D2143" t="s">
        <v>1899</v>
      </c>
      <c r="E2143" t="s">
        <v>1891</v>
      </c>
      <c r="F2143" t="s">
        <v>1908</v>
      </c>
      <c r="G2143">
        <v>484881</v>
      </c>
      <c r="H2143" s="1">
        <v>45093</v>
      </c>
      <c r="I2143" s="1"/>
      <c r="L2143" t="s">
        <v>30</v>
      </c>
      <c r="M2143" t="s">
        <v>1893</v>
      </c>
      <c r="N2143" t="s">
        <v>1887</v>
      </c>
    </row>
    <row r="2144" spans="1:14" x14ac:dyDescent="0.35">
      <c r="A2144" t="s">
        <v>4068</v>
      </c>
      <c r="B2144" t="s">
        <v>1882</v>
      </c>
      <c r="C2144" t="s">
        <v>128</v>
      </c>
      <c r="D2144" t="s">
        <v>1899</v>
      </c>
      <c r="E2144" t="s">
        <v>1905</v>
      </c>
      <c r="F2144" t="s">
        <v>1946</v>
      </c>
      <c r="G2144">
        <v>419909</v>
      </c>
      <c r="H2144" s="1">
        <v>45004</v>
      </c>
      <c r="I2144" s="1"/>
      <c r="K2144">
        <v>4.3</v>
      </c>
      <c r="L2144" t="s">
        <v>30</v>
      </c>
      <c r="M2144" t="s">
        <v>1896</v>
      </c>
      <c r="N2144" t="s">
        <v>1887</v>
      </c>
    </row>
    <row r="2145" spans="1:14" x14ac:dyDescent="0.35">
      <c r="A2145" t="s">
        <v>4069</v>
      </c>
      <c r="B2145" t="s">
        <v>1924</v>
      </c>
      <c r="C2145" t="s">
        <v>415</v>
      </c>
      <c r="D2145" t="s">
        <v>1904</v>
      </c>
      <c r="E2145" t="s">
        <v>1587</v>
      </c>
      <c r="F2145" t="s">
        <v>1885</v>
      </c>
      <c r="G2145">
        <v>234937</v>
      </c>
      <c r="H2145" s="1">
        <v>45157</v>
      </c>
      <c r="I2145" s="1">
        <v>45258</v>
      </c>
      <c r="J2145">
        <v>101</v>
      </c>
      <c r="K2145">
        <v>11.8</v>
      </c>
      <c r="L2145" t="s">
        <v>15</v>
      </c>
      <c r="M2145" t="s">
        <v>1932</v>
      </c>
      <c r="N2145" t="s">
        <v>1887</v>
      </c>
    </row>
    <row r="2146" spans="1:14" x14ac:dyDescent="0.35">
      <c r="A2146" t="s">
        <v>4070</v>
      </c>
      <c r="B2146" t="s">
        <v>1920</v>
      </c>
      <c r="C2146" t="s">
        <v>410</v>
      </c>
      <c r="D2146" t="s">
        <v>1915</v>
      </c>
      <c r="E2146" t="s">
        <v>1905</v>
      </c>
      <c r="F2146" t="s">
        <v>1900</v>
      </c>
      <c r="G2146">
        <v>361375</v>
      </c>
      <c r="H2146" s="1">
        <v>45716</v>
      </c>
      <c r="I2146" s="1">
        <v>45744</v>
      </c>
      <c r="J2146">
        <v>28</v>
      </c>
      <c r="K2146">
        <v>6.5</v>
      </c>
      <c r="L2146" t="s">
        <v>47</v>
      </c>
      <c r="M2146" t="s">
        <v>1912</v>
      </c>
      <c r="N2146" t="s">
        <v>1887</v>
      </c>
    </row>
    <row r="2147" spans="1:14" x14ac:dyDescent="0.35">
      <c r="A2147" t="s">
        <v>4071</v>
      </c>
      <c r="B2147" t="s">
        <v>1898</v>
      </c>
      <c r="C2147" t="s">
        <v>90</v>
      </c>
      <c r="D2147" t="s">
        <v>1915</v>
      </c>
      <c r="E2147" t="s">
        <v>1945</v>
      </c>
      <c r="F2147" t="s">
        <v>1885</v>
      </c>
      <c r="G2147">
        <v>138211</v>
      </c>
      <c r="H2147" s="1">
        <v>45512</v>
      </c>
      <c r="I2147" s="1">
        <v>45611</v>
      </c>
      <c r="J2147">
        <v>99</v>
      </c>
      <c r="K2147">
        <v>14.3</v>
      </c>
      <c r="L2147" t="s">
        <v>30</v>
      </c>
      <c r="M2147" t="s">
        <v>1953</v>
      </c>
      <c r="N2147" t="s">
        <v>1887</v>
      </c>
    </row>
    <row r="2148" spans="1:14" x14ac:dyDescent="0.35">
      <c r="A2148" t="s">
        <v>4072</v>
      </c>
      <c r="B2148" t="s">
        <v>1926</v>
      </c>
      <c r="C2148" t="s">
        <v>461</v>
      </c>
      <c r="D2148" t="s">
        <v>1904</v>
      </c>
      <c r="E2148" t="s">
        <v>1587</v>
      </c>
      <c r="F2148" t="s">
        <v>1895</v>
      </c>
      <c r="G2148">
        <v>33186</v>
      </c>
      <c r="H2148" s="1">
        <v>45408</v>
      </c>
      <c r="I2148" s="1"/>
      <c r="K2148">
        <v>11</v>
      </c>
      <c r="L2148" t="s">
        <v>30</v>
      </c>
      <c r="M2148" t="s">
        <v>1935</v>
      </c>
      <c r="N2148" t="s">
        <v>1887</v>
      </c>
    </row>
    <row r="2149" spans="1:14" x14ac:dyDescent="0.35">
      <c r="A2149" t="s">
        <v>4073</v>
      </c>
      <c r="B2149" t="s">
        <v>1903</v>
      </c>
      <c r="C2149" t="s">
        <v>226</v>
      </c>
      <c r="D2149" t="s">
        <v>1883</v>
      </c>
      <c r="E2149" t="s">
        <v>1587</v>
      </c>
      <c r="F2149" t="s">
        <v>1908</v>
      </c>
      <c r="G2149">
        <v>230754</v>
      </c>
      <c r="H2149" s="1">
        <v>44959</v>
      </c>
      <c r="I2149" s="1"/>
      <c r="L2149" t="s">
        <v>30</v>
      </c>
      <c r="M2149" t="s">
        <v>1896</v>
      </c>
      <c r="N2149" t="s">
        <v>1887</v>
      </c>
    </row>
    <row r="2150" spans="1:14" x14ac:dyDescent="0.35">
      <c r="A2150" t="s">
        <v>4074</v>
      </c>
      <c r="B2150" t="s">
        <v>1926</v>
      </c>
      <c r="C2150" t="s">
        <v>356</v>
      </c>
      <c r="D2150" t="s">
        <v>1899</v>
      </c>
      <c r="E2150" t="s">
        <v>1600</v>
      </c>
      <c r="F2150" t="s">
        <v>1908</v>
      </c>
      <c r="G2150">
        <v>385808</v>
      </c>
      <c r="H2150" s="1">
        <v>45257</v>
      </c>
      <c r="I2150" s="1"/>
      <c r="L2150" t="s">
        <v>15</v>
      </c>
      <c r="M2150" t="s">
        <v>1886</v>
      </c>
      <c r="N2150" t="s">
        <v>1887</v>
      </c>
    </row>
    <row r="2151" spans="1:14" x14ac:dyDescent="0.35">
      <c r="A2151" t="s">
        <v>4075</v>
      </c>
      <c r="B2151" t="s">
        <v>1930</v>
      </c>
      <c r="C2151" t="s">
        <v>449</v>
      </c>
      <c r="D2151" t="s">
        <v>1899</v>
      </c>
      <c r="E2151" t="s">
        <v>1918</v>
      </c>
      <c r="F2151" t="s">
        <v>1946</v>
      </c>
      <c r="G2151">
        <v>412123</v>
      </c>
      <c r="H2151" s="1">
        <v>45167</v>
      </c>
      <c r="I2151" s="1"/>
      <c r="K2151">
        <v>14.5</v>
      </c>
      <c r="L2151" t="s">
        <v>15</v>
      </c>
      <c r="M2151" t="s">
        <v>1932</v>
      </c>
      <c r="N2151" t="s">
        <v>1887</v>
      </c>
    </row>
    <row r="2152" spans="1:14" x14ac:dyDescent="0.35">
      <c r="A2152" t="s">
        <v>4076</v>
      </c>
      <c r="B2152" t="s">
        <v>1889</v>
      </c>
      <c r="C2152" t="s">
        <v>184</v>
      </c>
      <c r="D2152" t="s">
        <v>1883</v>
      </c>
      <c r="E2152" t="s">
        <v>1905</v>
      </c>
      <c r="F2152" t="s">
        <v>1908</v>
      </c>
      <c r="G2152">
        <v>457381</v>
      </c>
      <c r="H2152" s="1">
        <v>45358</v>
      </c>
      <c r="I2152" s="1"/>
      <c r="K2152">
        <v>3.6</v>
      </c>
      <c r="L2152" t="s">
        <v>47</v>
      </c>
      <c r="M2152" t="s">
        <v>1916</v>
      </c>
      <c r="N2152" t="s">
        <v>1887</v>
      </c>
    </row>
    <row r="2153" spans="1:14" x14ac:dyDescent="0.35">
      <c r="A2153" t="s">
        <v>4077</v>
      </c>
      <c r="B2153" t="s">
        <v>1898</v>
      </c>
      <c r="C2153" t="s">
        <v>371</v>
      </c>
      <c r="D2153" t="s">
        <v>1927</v>
      </c>
      <c r="E2153" t="s">
        <v>1905</v>
      </c>
      <c r="F2153" t="s">
        <v>1908</v>
      </c>
      <c r="G2153">
        <v>367311</v>
      </c>
      <c r="H2153" s="1">
        <v>45233</v>
      </c>
      <c r="I2153" s="1"/>
      <c r="K2153">
        <v>8.6</v>
      </c>
      <c r="L2153" t="s">
        <v>21</v>
      </c>
      <c r="M2153" t="s">
        <v>1886</v>
      </c>
      <c r="N2153" t="s">
        <v>1887</v>
      </c>
    </row>
    <row r="2154" spans="1:14" x14ac:dyDescent="0.35">
      <c r="A2154" t="s">
        <v>4078</v>
      </c>
      <c r="B2154" t="s">
        <v>1889</v>
      </c>
      <c r="C2154" t="s">
        <v>106</v>
      </c>
      <c r="D2154" t="s">
        <v>1927</v>
      </c>
      <c r="E2154" t="s">
        <v>1600</v>
      </c>
      <c r="F2154" t="s">
        <v>1900</v>
      </c>
      <c r="G2154">
        <v>244166</v>
      </c>
      <c r="H2154" s="1">
        <v>45264</v>
      </c>
      <c r="I2154" s="1">
        <v>45355</v>
      </c>
      <c r="J2154">
        <v>91</v>
      </c>
      <c r="K2154">
        <v>20.9</v>
      </c>
      <c r="L2154" t="s">
        <v>30</v>
      </c>
      <c r="M2154" t="s">
        <v>1886</v>
      </c>
      <c r="N2154" t="s">
        <v>1887</v>
      </c>
    </row>
    <row r="2155" spans="1:14" x14ac:dyDescent="0.35">
      <c r="A2155" t="s">
        <v>4079</v>
      </c>
      <c r="B2155" t="s">
        <v>1944</v>
      </c>
      <c r="C2155" t="s">
        <v>135</v>
      </c>
      <c r="D2155" t="s">
        <v>1883</v>
      </c>
      <c r="E2155" t="s">
        <v>1587</v>
      </c>
      <c r="F2155" t="s">
        <v>1900</v>
      </c>
      <c r="G2155">
        <v>473214</v>
      </c>
      <c r="H2155" s="1">
        <v>45325</v>
      </c>
      <c r="I2155" s="1">
        <v>45481</v>
      </c>
      <c r="J2155">
        <v>156</v>
      </c>
      <c r="K2155">
        <v>4.8</v>
      </c>
      <c r="L2155" t="s">
        <v>15</v>
      </c>
      <c r="M2155" t="s">
        <v>1916</v>
      </c>
      <c r="N2155" t="s">
        <v>1887</v>
      </c>
    </row>
    <row r="2156" spans="1:14" x14ac:dyDescent="0.35">
      <c r="A2156" t="s">
        <v>4080</v>
      </c>
      <c r="B2156" t="s">
        <v>1922</v>
      </c>
      <c r="C2156" t="s">
        <v>130</v>
      </c>
      <c r="D2156" t="s">
        <v>1915</v>
      </c>
      <c r="E2156" t="s">
        <v>1884</v>
      </c>
      <c r="F2156" t="s">
        <v>1900</v>
      </c>
      <c r="G2156">
        <v>147947</v>
      </c>
      <c r="H2156" s="1">
        <v>45370</v>
      </c>
      <c r="I2156" s="1">
        <v>45471</v>
      </c>
      <c r="J2156">
        <v>101</v>
      </c>
      <c r="K2156">
        <v>18.7</v>
      </c>
      <c r="L2156" t="s">
        <v>30</v>
      </c>
      <c r="M2156" t="s">
        <v>1916</v>
      </c>
      <c r="N2156" t="s">
        <v>1887</v>
      </c>
    </row>
    <row r="2157" spans="1:14" x14ac:dyDescent="0.35">
      <c r="A2157" t="s">
        <v>4081</v>
      </c>
      <c r="B2157" t="s">
        <v>1889</v>
      </c>
      <c r="C2157" t="s">
        <v>302</v>
      </c>
      <c r="D2157" t="s">
        <v>1899</v>
      </c>
      <c r="E2157" t="s">
        <v>1905</v>
      </c>
      <c r="F2157" t="s">
        <v>1908</v>
      </c>
      <c r="G2157">
        <v>214983</v>
      </c>
      <c r="H2157" s="1">
        <v>45278</v>
      </c>
      <c r="I2157" s="1"/>
      <c r="L2157" t="s">
        <v>21</v>
      </c>
      <c r="M2157" t="s">
        <v>1886</v>
      </c>
      <c r="N2157" t="s">
        <v>1887</v>
      </c>
    </row>
    <row r="2158" spans="1:14" x14ac:dyDescent="0.35">
      <c r="A2158" t="s">
        <v>4082</v>
      </c>
      <c r="B2158" t="s">
        <v>1914</v>
      </c>
      <c r="C2158" t="s">
        <v>428</v>
      </c>
      <c r="D2158" t="s">
        <v>1883</v>
      </c>
      <c r="E2158" t="s">
        <v>1884</v>
      </c>
      <c r="F2158" t="s">
        <v>1892</v>
      </c>
      <c r="G2158">
        <v>242496</v>
      </c>
      <c r="H2158" s="1">
        <v>44929</v>
      </c>
      <c r="I2158" s="1"/>
      <c r="L2158" t="s">
        <v>15</v>
      </c>
      <c r="M2158" t="s">
        <v>1896</v>
      </c>
      <c r="N2158" t="s">
        <v>1887</v>
      </c>
    </row>
    <row r="2159" spans="1:14" x14ac:dyDescent="0.35">
      <c r="A2159" t="s">
        <v>4083</v>
      </c>
      <c r="B2159" t="s">
        <v>1922</v>
      </c>
      <c r="C2159" t="s">
        <v>482</v>
      </c>
      <c r="D2159" t="s">
        <v>1883</v>
      </c>
      <c r="E2159" t="s">
        <v>1931</v>
      </c>
      <c r="F2159" t="s">
        <v>1900</v>
      </c>
      <c r="G2159">
        <v>493172</v>
      </c>
      <c r="H2159" s="1">
        <v>45201</v>
      </c>
      <c r="I2159" s="1">
        <v>45372</v>
      </c>
      <c r="J2159">
        <v>171</v>
      </c>
      <c r="K2159">
        <v>1.6</v>
      </c>
      <c r="L2159" t="s">
        <v>47</v>
      </c>
      <c r="M2159" t="s">
        <v>1886</v>
      </c>
      <c r="N2159" t="s">
        <v>1887</v>
      </c>
    </row>
    <row r="2160" spans="1:14" x14ac:dyDescent="0.35">
      <c r="A2160" t="s">
        <v>4084</v>
      </c>
      <c r="B2160" t="s">
        <v>1920</v>
      </c>
      <c r="C2160" t="s">
        <v>389</v>
      </c>
      <c r="D2160" t="s">
        <v>1927</v>
      </c>
      <c r="E2160" t="s">
        <v>1678</v>
      </c>
      <c r="F2160" t="s">
        <v>1885</v>
      </c>
      <c r="G2160">
        <v>354337</v>
      </c>
      <c r="H2160" s="1">
        <v>45492</v>
      </c>
      <c r="I2160" s="1">
        <v>45671</v>
      </c>
      <c r="J2160">
        <v>179</v>
      </c>
      <c r="K2160">
        <v>9</v>
      </c>
      <c r="L2160" t="s">
        <v>30</v>
      </c>
      <c r="M2160" t="s">
        <v>1953</v>
      </c>
      <c r="N2160" t="s">
        <v>1887</v>
      </c>
    </row>
    <row r="2161" spans="1:14" x14ac:dyDescent="0.35">
      <c r="A2161" t="s">
        <v>4085</v>
      </c>
      <c r="B2161" t="s">
        <v>1963</v>
      </c>
      <c r="C2161" t="s">
        <v>86</v>
      </c>
      <c r="D2161" t="s">
        <v>1904</v>
      </c>
      <c r="E2161" t="s">
        <v>1931</v>
      </c>
      <c r="F2161" t="s">
        <v>1946</v>
      </c>
      <c r="G2161">
        <v>99225</v>
      </c>
      <c r="H2161" s="1">
        <v>45525</v>
      </c>
      <c r="I2161" s="1"/>
      <c r="K2161">
        <v>12.9</v>
      </c>
      <c r="L2161" t="s">
        <v>47</v>
      </c>
      <c r="M2161" t="s">
        <v>1953</v>
      </c>
      <c r="N2161" t="s">
        <v>1887</v>
      </c>
    </row>
    <row r="2162" spans="1:14" x14ac:dyDescent="0.35">
      <c r="A2162" t="s">
        <v>4086</v>
      </c>
      <c r="B2162" t="s">
        <v>1911</v>
      </c>
      <c r="C2162" t="s">
        <v>361</v>
      </c>
      <c r="D2162" t="s">
        <v>1927</v>
      </c>
      <c r="E2162" t="s">
        <v>1931</v>
      </c>
      <c r="F2162" t="s">
        <v>1946</v>
      </c>
      <c r="G2162">
        <v>120424</v>
      </c>
      <c r="H2162" s="1">
        <v>45691</v>
      </c>
      <c r="I2162" s="1"/>
      <c r="K2162">
        <v>10.8</v>
      </c>
      <c r="L2162" t="s">
        <v>15</v>
      </c>
      <c r="M2162" t="s">
        <v>1912</v>
      </c>
      <c r="N2162" t="s">
        <v>1887</v>
      </c>
    </row>
    <row r="2163" spans="1:14" x14ac:dyDescent="0.35">
      <c r="A2163" t="s">
        <v>4087</v>
      </c>
      <c r="B2163" t="s">
        <v>1889</v>
      </c>
      <c r="C2163" t="s">
        <v>266</v>
      </c>
      <c r="D2163" t="s">
        <v>1915</v>
      </c>
      <c r="E2163" t="s">
        <v>1905</v>
      </c>
      <c r="F2163" t="s">
        <v>1885</v>
      </c>
      <c r="G2163">
        <v>154799</v>
      </c>
      <c r="H2163" s="1">
        <v>45303</v>
      </c>
      <c r="I2163" s="1">
        <v>45468</v>
      </c>
      <c r="J2163">
        <v>165</v>
      </c>
      <c r="K2163">
        <v>4</v>
      </c>
      <c r="L2163" t="s">
        <v>21</v>
      </c>
      <c r="M2163" t="s">
        <v>1916</v>
      </c>
      <c r="N2163" t="s">
        <v>1887</v>
      </c>
    </row>
    <row r="2164" spans="1:14" x14ac:dyDescent="0.35">
      <c r="A2164" t="s">
        <v>4088</v>
      </c>
      <c r="B2164" t="s">
        <v>1963</v>
      </c>
      <c r="C2164" t="s">
        <v>382</v>
      </c>
      <c r="D2164" t="s">
        <v>1915</v>
      </c>
      <c r="E2164" t="s">
        <v>1891</v>
      </c>
      <c r="F2164" t="s">
        <v>1908</v>
      </c>
      <c r="G2164">
        <v>140351</v>
      </c>
      <c r="H2164" s="1">
        <v>45187</v>
      </c>
      <c r="I2164" s="1"/>
      <c r="K2164">
        <v>4.8</v>
      </c>
      <c r="L2164" t="s">
        <v>30</v>
      </c>
      <c r="M2164" t="s">
        <v>1932</v>
      </c>
      <c r="N2164" t="s">
        <v>1887</v>
      </c>
    </row>
    <row r="2165" spans="1:14" x14ac:dyDescent="0.35">
      <c r="A2165" t="s">
        <v>4089</v>
      </c>
      <c r="B2165" t="s">
        <v>1911</v>
      </c>
      <c r="C2165" t="s">
        <v>82</v>
      </c>
      <c r="D2165" t="s">
        <v>1899</v>
      </c>
      <c r="E2165" t="s">
        <v>1884</v>
      </c>
      <c r="F2165" t="s">
        <v>1946</v>
      </c>
      <c r="G2165">
        <v>44764</v>
      </c>
      <c r="H2165" s="1">
        <v>44993</v>
      </c>
      <c r="I2165" s="1"/>
      <c r="K2165">
        <v>4.8</v>
      </c>
      <c r="L2165" t="s">
        <v>21</v>
      </c>
      <c r="M2165" t="s">
        <v>1896</v>
      </c>
      <c r="N2165" t="s">
        <v>1887</v>
      </c>
    </row>
    <row r="2166" spans="1:14" x14ac:dyDescent="0.35">
      <c r="A2166" t="s">
        <v>4090</v>
      </c>
      <c r="B2166" t="s">
        <v>1922</v>
      </c>
      <c r="C2166" t="s">
        <v>305</v>
      </c>
      <c r="D2166" t="s">
        <v>1899</v>
      </c>
      <c r="E2166" t="s">
        <v>1884</v>
      </c>
      <c r="F2166" t="s">
        <v>1885</v>
      </c>
      <c r="G2166">
        <v>427209</v>
      </c>
      <c r="H2166" s="1">
        <v>45396</v>
      </c>
      <c r="I2166" s="1">
        <v>45420</v>
      </c>
      <c r="J2166">
        <v>24</v>
      </c>
      <c r="K2166">
        <v>1.6</v>
      </c>
      <c r="L2166" t="s">
        <v>47</v>
      </c>
      <c r="M2166" t="s">
        <v>1935</v>
      </c>
      <c r="N2166" t="s">
        <v>1887</v>
      </c>
    </row>
    <row r="2167" spans="1:14" x14ac:dyDescent="0.35">
      <c r="A2167" t="s">
        <v>4091</v>
      </c>
      <c r="B2167" t="s">
        <v>1924</v>
      </c>
      <c r="C2167" t="s">
        <v>408</v>
      </c>
      <c r="D2167" t="s">
        <v>1883</v>
      </c>
      <c r="E2167" t="s">
        <v>1600</v>
      </c>
      <c r="F2167" t="s">
        <v>1892</v>
      </c>
      <c r="G2167">
        <v>325160</v>
      </c>
      <c r="H2167" s="1">
        <v>45039</v>
      </c>
      <c r="I2167" s="1"/>
      <c r="K2167">
        <v>10.3</v>
      </c>
      <c r="L2167" t="s">
        <v>47</v>
      </c>
      <c r="M2167" t="s">
        <v>1893</v>
      </c>
      <c r="N2167" t="s">
        <v>1887</v>
      </c>
    </row>
    <row r="2168" spans="1:14" x14ac:dyDescent="0.35">
      <c r="A2168" t="s">
        <v>4092</v>
      </c>
      <c r="B2168" t="s">
        <v>1924</v>
      </c>
      <c r="C2168" t="s">
        <v>498</v>
      </c>
      <c r="D2168" t="s">
        <v>1915</v>
      </c>
      <c r="E2168" t="s">
        <v>1587</v>
      </c>
      <c r="F2168" t="s">
        <v>1946</v>
      </c>
      <c r="G2168">
        <v>488243</v>
      </c>
      <c r="H2168" s="1">
        <v>45122</v>
      </c>
      <c r="I2168" s="1"/>
      <c r="K2168">
        <v>2.9</v>
      </c>
      <c r="L2168" t="s">
        <v>47</v>
      </c>
      <c r="M2168" t="s">
        <v>1932</v>
      </c>
      <c r="N2168" t="s">
        <v>1887</v>
      </c>
    </row>
    <row r="2169" spans="1:14" x14ac:dyDescent="0.35">
      <c r="A2169" t="s">
        <v>4093</v>
      </c>
      <c r="B2169" t="s">
        <v>1903</v>
      </c>
      <c r="C2169" t="s">
        <v>250</v>
      </c>
      <c r="D2169" t="s">
        <v>1915</v>
      </c>
      <c r="E2169" t="s">
        <v>1918</v>
      </c>
      <c r="F2169" t="s">
        <v>1895</v>
      </c>
      <c r="G2169">
        <v>305698</v>
      </c>
      <c r="H2169" s="1">
        <v>45224</v>
      </c>
      <c r="I2169" s="1"/>
      <c r="K2169">
        <v>2.5</v>
      </c>
      <c r="L2169" t="s">
        <v>15</v>
      </c>
      <c r="M2169" t="s">
        <v>1886</v>
      </c>
      <c r="N2169" t="s">
        <v>1887</v>
      </c>
    </row>
    <row r="2170" spans="1:14" x14ac:dyDescent="0.35">
      <c r="A2170" t="s">
        <v>4094</v>
      </c>
      <c r="B2170" t="s">
        <v>1944</v>
      </c>
      <c r="C2170" t="s">
        <v>461</v>
      </c>
      <c r="D2170" t="s">
        <v>1899</v>
      </c>
      <c r="E2170" t="s">
        <v>1884</v>
      </c>
      <c r="F2170" t="s">
        <v>1885</v>
      </c>
      <c r="G2170">
        <v>75266</v>
      </c>
      <c r="H2170" s="1">
        <v>45657</v>
      </c>
      <c r="I2170" s="1">
        <v>45753</v>
      </c>
      <c r="J2170">
        <v>96</v>
      </c>
      <c r="K2170">
        <v>14.9</v>
      </c>
      <c r="L2170" t="s">
        <v>15</v>
      </c>
      <c r="M2170" t="s">
        <v>1901</v>
      </c>
      <c r="N2170" t="s">
        <v>1887</v>
      </c>
    </row>
    <row r="2171" spans="1:14" x14ac:dyDescent="0.35">
      <c r="A2171" t="s">
        <v>4095</v>
      </c>
      <c r="B2171" t="s">
        <v>1924</v>
      </c>
      <c r="C2171" t="s">
        <v>57</v>
      </c>
      <c r="D2171" t="s">
        <v>1915</v>
      </c>
      <c r="E2171" t="s">
        <v>1600</v>
      </c>
      <c r="F2171" t="s">
        <v>1895</v>
      </c>
      <c r="G2171">
        <v>377810</v>
      </c>
      <c r="H2171" s="1">
        <v>45294</v>
      </c>
      <c r="I2171" s="1"/>
      <c r="K2171">
        <v>6.8</v>
      </c>
      <c r="L2171" t="s">
        <v>15</v>
      </c>
      <c r="M2171" t="s">
        <v>1916</v>
      </c>
      <c r="N2171" t="s">
        <v>1887</v>
      </c>
    </row>
    <row r="2172" spans="1:14" x14ac:dyDescent="0.35">
      <c r="A2172" t="s">
        <v>4096</v>
      </c>
      <c r="B2172" t="s">
        <v>1930</v>
      </c>
      <c r="C2172" t="s">
        <v>423</v>
      </c>
      <c r="D2172" t="s">
        <v>1915</v>
      </c>
      <c r="E2172" t="s">
        <v>1931</v>
      </c>
      <c r="F2172" t="s">
        <v>1885</v>
      </c>
      <c r="G2172">
        <v>120253</v>
      </c>
      <c r="H2172" s="1">
        <v>45085</v>
      </c>
      <c r="I2172" s="1">
        <v>45182</v>
      </c>
      <c r="J2172">
        <v>97</v>
      </c>
      <c r="K2172">
        <v>11.5</v>
      </c>
      <c r="L2172" t="s">
        <v>15</v>
      </c>
      <c r="M2172" t="s">
        <v>1893</v>
      </c>
      <c r="N2172" t="s">
        <v>1887</v>
      </c>
    </row>
    <row r="2173" spans="1:14" x14ac:dyDescent="0.35">
      <c r="A2173" t="s">
        <v>4097</v>
      </c>
      <c r="B2173" t="s">
        <v>1920</v>
      </c>
      <c r="C2173" t="s">
        <v>277</v>
      </c>
      <c r="D2173" t="s">
        <v>1883</v>
      </c>
      <c r="E2173" t="s">
        <v>1600</v>
      </c>
      <c r="F2173" t="s">
        <v>1892</v>
      </c>
      <c r="G2173">
        <v>42916</v>
      </c>
      <c r="H2173" s="1">
        <v>45677</v>
      </c>
      <c r="I2173" s="1"/>
      <c r="K2173">
        <v>0.9</v>
      </c>
      <c r="L2173" t="s">
        <v>30</v>
      </c>
      <c r="M2173" t="s">
        <v>1912</v>
      </c>
      <c r="N2173" t="s">
        <v>1887</v>
      </c>
    </row>
    <row r="2174" spans="1:14" x14ac:dyDescent="0.35">
      <c r="A2174" t="s">
        <v>4098</v>
      </c>
      <c r="B2174" t="s">
        <v>1911</v>
      </c>
      <c r="C2174" t="s">
        <v>18</v>
      </c>
      <c r="D2174" t="s">
        <v>1904</v>
      </c>
      <c r="E2174" t="s">
        <v>1678</v>
      </c>
      <c r="F2174" t="s">
        <v>1946</v>
      </c>
      <c r="G2174">
        <v>51644</v>
      </c>
      <c r="H2174" s="1">
        <v>45419</v>
      </c>
      <c r="I2174" s="1"/>
      <c r="L2174" t="s">
        <v>30</v>
      </c>
      <c r="M2174" t="s">
        <v>1935</v>
      </c>
      <c r="N2174" t="s">
        <v>1887</v>
      </c>
    </row>
    <row r="2175" spans="1:14" x14ac:dyDescent="0.35">
      <c r="A2175" t="s">
        <v>4099</v>
      </c>
      <c r="B2175" t="s">
        <v>1889</v>
      </c>
      <c r="C2175" t="s">
        <v>271</v>
      </c>
      <c r="D2175" t="s">
        <v>1899</v>
      </c>
      <c r="E2175" t="s">
        <v>1678</v>
      </c>
      <c r="F2175" t="s">
        <v>1900</v>
      </c>
      <c r="G2175">
        <v>439715</v>
      </c>
      <c r="H2175" s="1">
        <v>45361</v>
      </c>
      <c r="I2175" s="1">
        <v>45520</v>
      </c>
      <c r="J2175">
        <v>159</v>
      </c>
      <c r="K2175">
        <v>23.7</v>
      </c>
      <c r="L2175" t="s">
        <v>15</v>
      </c>
      <c r="M2175" t="s">
        <v>1916</v>
      </c>
      <c r="N2175" t="s">
        <v>1887</v>
      </c>
    </row>
    <row r="2176" spans="1:14" x14ac:dyDescent="0.35">
      <c r="A2176" t="s">
        <v>4100</v>
      </c>
      <c r="B2176" t="s">
        <v>1903</v>
      </c>
      <c r="C2176" t="s">
        <v>62</v>
      </c>
      <c r="D2176" t="s">
        <v>1927</v>
      </c>
      <c r="E2176" t="s">
        <v>1587</v>
      </c>
      <c r="F2176" t="s">
        <v>1900</v>
      </c>
      <c r="G2176">
        <v>293155</v>
      </c>
      <c r="H2176" s="1">
        <v>44997</v>
      </c>
      <c r="I2176" s="1">
        <v>45095</v>
      </c>
      <c r="J2176">
        <v>98</v>
      </c>
      <c r="K2176">
        <v>23.2</v>
      </c>
      <c r="L2176" t="s">
        <v>15</v>
      </c>
      <c r="M2176" t="s">
        <v>1896</v>
      </c>
      <c r="N2176" t="s">
        <v>1887</v>
      </c>
    </row>
    <row r="2177" spans="1:14" x14ac:dyDescent="0.35">
      <c r="A2177" t="s">
        <v>4101</v>
      </c>
      <c r="B2177" t="s">
        <v>1914</v>
      </c>
      <c r="C2177" t="s">
        <v>77</v>
      </c>
      <c r="D2177" t="s">
        <v>1915</v>
      </c>
      <c r="E2177" t="s">
        <v>1905</v>
      </c>
      <c r="F2177" t="s">
        <v>1892</v>
      </c>
      <c r="G2177">
        <v>329020</v>
      </c>
      <c r="H2177" s="1">
        <v>45030</v>
      </c>
      <c r="I2177" s="1"/>
      <c r="K2177">
        <v>0.3</v>
      </c>
      <c r="L2177" t="s">
        <v>47</v>
      </c>
      <c r="M2177" t="s">
        <v>1893</v>
      </c>
      <c r="N2177" t="s">
        <v>1887</v>
      </c>
    </row>
    <row r="2178" spans="1:14" x14ac:dyDescent="0.35">
      <c r="A2178" t="s">
        <v>4102</v>
      </c>
      <c r="B2178" t="s">
        <v>1926</v>
      </c>
      <c r="C2178" t="s">
        <v>414</v>
      </c>
      <c r="D2178" t="s">
        <v>1904</v>
      </c>
      <c r="E2178" t="s">
        <v>1905</v>
      </c>
      <c r="F2178" t="s">
        <v>1900</v>
      </c>
      <c r="G2178">
        <v>235442</v>
      </c>
      <c r="H2178" s="1">
        <v>45589</v>
      </c>
      <c r="I2178" s="1">
        <v>45660</v>
      </c>
      <c r="J2178">
        <v>71</v>
      </c>
      <c r="K2178">
        <v>1.7</v>
      </c>
      <c r="L2178" t="s">
        <v>21</v>
      </c>
      <c r="M2178" t="s">
        <v>1901</v>
      </c>
      <c r="N2178" t="s">
        <v>1887</v>
      </c>
    </row>
    <row r="2179" spans="1:14" x14ac:dyDescent="0.35">
      <c r="A2179" t="s">
        <v>4103</v>
      </c>
      <c r="B2179" t="s">
        <v>1926</v>
      </c>
      <c r="C2179" t="s">
        <v>436</v>
      </c>
      <c r="D2179" t="s">
        <v>1899</v>
      </c>
      <c r="E2179" t="s">
        <v>1931</v>
      </c>
      <c r="F2179" t="s">
        <v>1946</v>
      </c>
      <c r="G2179">
        <v>230459</v>
      </c>
      <c r="H2179" s="1">
        <v>44979</v>
      </c>
      <c r="I2179" s="1"/>
      <c r="K2179">
        <v>14.7</v>
      </c>
      <c r="L2179" t="s">
        <v>30</v>
      </c>
      <c r="M2179" t="s">
        <v>1896</v>
      </c>
      <c r="N2179" t="s">
        <v>1887</v>
      </c>
    </row>
    <row r="2180" spans="1:14" x14ac:dyDescent="0.35">
      <c r="A2180" t="s">
        <v>4104</v>
      </c>
      <c r="B2180" t="s">
        <v>1944</v>
      </c>
      <c r="C2180" t="s">
        <v>242</v>
      </c>
      <c r="D2180" t="s">
        <v>1915</v>
      </c>
      <c r="E2180" t="s">
        <v>1891</v>
      </c>
      <c r="F2180" t="s">
        <v>1885</v>
      </c>
      <c r="G2180">
        <v>330745</v>
      </c>
      <c r="H2180" s="1">
        <v>45183</v>
      </c>
      <c r="I2180" s="1">
        <v>45351</v>
      </c>
      <c r="J2180">
        <v>168</v>
      </c>
      <c r="K2180">
        <v>9.4</v>
      </c>
      <c r="L2180" t="s">
        <v>47</v>
      </c>
      <c r="M2180" t="s">
        <v>1932</v>
      </c>
      <c r="N2180" t="s">
        <v>1887</v>
      </c>
    </row>
    <row r="2181" spans="1:14" x14ac:dyDescent="0.35">
      <c r="A2181" t="s">
        <v>4105</v>
      </c>
      <c r="B2181" t="s">
        <v>1889</v>
      </c>
      <c r="C2181" t="s">
        <v>255</v>
      </c>
      <c r="D2181" t="s">
        <v>1899</v>
      </c>
      <c r="E2181" t="s">
        <v>1891</v>
      </c>
      <c r="F2181" t="s">
        <v>1908</v>
      </c>
      <c r="G2181">
        <v>428112</v>
      </c>
      <c r="H2181" s="1">
        <v>45029</v>
      </c>
      <c r="I2181" s="1"/>
      <c r="L2181" t="s">
        <v>21</v>
      </c>
      <c r="M2181" t="s">
        <v>1893</v>
      </c>
      <c r="N2181" t="s">
        <v>1887</v>
      </c>
    </row>
    <row r="2182" spans="1:14" x14ac:dyDescent="0.35">
      <c r="A2182" t="s">
        <v>4106</v>
      </c>
      <c r="B2182" t="s">
        <v>1882</v>
      </c>
      <c r="C2182" t="s">
        <v>285</v>
      </c>
      <c r="D2182" t="s">
        <v>1899</v>
      </c>
      <c r="E2182" t="s">
        <v>1891</v>
      </c>
      <c r="F2182" t="s">
        <v>1946</v>
      </c>
      <c r="G2182">
        <v>462731</v>
      </c>
      <c r="H2182" s="1">
        <v>45135</v>
      </c>
      <c r="I2182" s="1"/>
      <c r="L2182" t="s">
        <v>15</v>
      </c>
      <c r="M2182" t="s">
        <v>1932</v>
      </c>
      <c r="N2182" t="s">
        <v>1887</v>
      </c>
    </row>
    <row r="2183" spans="1:14" x14ac:dyDescent="0.35">
      <c r="A2183" t="s">
        <v>4107</v>
      </c>
      <c r="B2183" t="s">
        <v>1920</v>
      </c>
      <c r="C2183" t="s">
        <v>307</v>
      </c>
      <c r="D2183" t="s">
        <v>1890</v>
      </c>
      <c r="E2183" t="s">
        <v>1600</v>
      </c>
      <c r="F2183" t="s">
        <v>1892</v>
      </c>
      <c r="G2183">
        <v>203618</v>
      </c>
      <c r="H2183" s="1">
        <v>45175</v>
      </c>
      <c r="I2183" s="1"/>
      <c r="K2183">
        <v>6</v>
      </c>
      <c r="L2183" t="s">
        <v>15</v>
      </c>
      <c r="M2183" t="s">
        <v>1932</v>
      </c>
      <c r="N2183" t="s">
        <v>1887</v>
      </c>
    </row>
    <row r="2184" spans="1:14" x14ac:dyDescent="0.35">
      <c r="A2184" t="s">
        <v>4108</v>
      </c>
      <c r="B2184" t="s">
        <v>1924</v>
      </c>
      <c r="C2184" t="s">
        <v>450</v>
      </c>
      <c r="D2184" t="s">
        <v>1890</v>
      </c>
      <c r="E2184" t="s">
        <v>1600</v>
      </c>
      <c r="F2184" t="s">
        <v>1885</v>
      </c>
      <c r="G2184">
        <v>224737</v>
      </c>
      <c r="H2184" s="1">
        <v>45729</v>
      </c>
      <c r="I2184" s="1">
        <v>45854</v>
      </c>
      <c r="J2184">
        <v>125</v>
      </c>
      <c r="K2184">
        <v>6.2</v>
      </c>
      <c r="L2184" t="s">
        <v>47</v>
      </c>
      <c r="M2184" t="s">
        <v>1912</v>
      </c>
      <c r="N2184" t="s">
        <v>1887</v>
      </c>
    </row>
    <row r="2185" spans="1:14" x14ac:dyDescent="0.35">
      <c r="A2185" t="s">
        <v>4109</v>
      </c>
      <c r="B2185" t="s">
        <v>1937</v>
      </c>
      <c r="C2185" t="s">
        <v>484</v>
      </c>
      <c r="D2185" t="s">
        <v>1883</v>
      </c>
      <c r="E2185" t="s">
        <v>1884</v>
      </c>
      <c r="F2185" t="s">
        <v>1895</v>
      </c>
      <c r="G2185">
        <v>110949</v>
      </c>
      <c r="H2185" s="1">
        <v>45472</v>
      </c>
      <c r="I2185" s="1"/>
      <c r="K2185">
        <v>4.8</v>
      </c>
      <c r="L2185" t="s">
        <v>47</v>
      </c>
      <c r="M2185" t="s">
        <v>1935</v>
      </c>
      <c r="N2185" t="s">
        <v>1887</v>
      </c>
    </row>
    <row r="2186" spans="1:14" x14ac:dyDescent="0.35">
      <c r="A2186" t="s">
        <v>4110</v>
      </c>
      <c r="B2186" t="s">
        <v>1963</v>
      </c>
      <c r="C2186" t="s">
        <v>258</v>
      </c>
      <c r="D2186" t="s">
        <v>1890</v>
      </c>
      <c r="E2186" t="s">
        <v>1891</v>
      </c>
      <c r="F2186" t="s">
        <v>1946</v>
      </c>
      <c r="G2186">
        <v>180649</v>
      </c>
      <c r="H2186" s="1">
        <v>45743</v>
      </c>
      <c r="I2186" s="1"/>
      <c r="K2186">
        <v>5.6</v>
      </c>
      <c r="L2186" t="s">
        <v>30</v>
      </c>
      <c r="M2186" t="s">
        <v>1912</v>
      </c>
      <c r="N2186" t="s">
        <v>1887</v>
      </c>
    </row>
    <row r="2187" spans="1:14" x14ac:dyDescent="0.35">
      <c r="A2187" t="s">
        <v>4111</v>
      </c>
      <c r="B2187" t="s">
        <v>1911</v>
      </c>
      <c r="C2187" t="s">
        <v>318</v>
      </c>
      <c r="D2187" t="s">
        <v>1883</v>
      </c>
      <c r="E2187" t="s">
        <v>1918</v>
      </c>
      <c r="F2187" t="s">
        <v>1885</v>
      </c>
      <c r="G2187">
        <v>490146</v>
      </c>
      <c r="H2187" s="1">
        <v>44940</v>
      </c>
      <c r="I2187" s="1">
        <v>45110</v>
      </c>
      <c r="J2187">
        <v>170</v>
      </c>
      <c r="K2187">
        <v>9.6999999999999993</v>
      </c>
      <c r="L2187" t="s">
        <v>30</v>
      </c>
      <c r="M2187" t="s">
        <v>1896</v>
      </c>
      <c r="N2187" t="s">
        <v>1887</v>
      </c>
    </row>
    <row r="2188" spans="1:14" x14ac:dyDescent="0.35">
      <c r="A2188" t="s">
        <v>4112</v>
      </c>
      <c r="B2188" t="s">
        <v>1920</v>
      </c>
      <c r="C2188" t="s">
        <v>492</v>
      </c>
      <c r="D2188" t="s">
        <v>1927</v>
      </c>
      <c r="E2188" t="s">
        <v>1931</v>
      </c>
      <c r="F2188" t="s">
        <v>1885</v>
      </c>
      <c r="G2188">
        <v>63715</v>
      </c>
      <c r="H2188" s="1">
        <v>45139</v>
      </c>
      <c r="I2188" s="1">
        <v>45217</v>
      </c>
      <c r="J2188">
        <v>78</v>
      </c>
      <c r="K2188">
        <v>14</v>
      </c>
      <c r="L2188" t="s">
        <v>21</v>
      </c>
      <c r="M2188" t="s">
        <v>1932</v>
      </c>
      <c r="N2188" t="s">
        <v>1887</v>
      </c>
    </row>
    <row r="2189" spans="1:14" x14ac:dyDescent="0.35">
      <c r="A2189" t="s">
        <v>4113</v>
      </c>
      <c r="B2189" t="s">
        <v>1930</v>
      </c>
      <c r="C2189" t="s">
        <v>124</v>
      </c>
      <c r="D2189" t="s">
        <v>1890</v>
      </c>
      <c r="E2189" t="s">
        <v>1918</v>
      </c>
      <c r="F2189" t="s">
        <v>1908</v>
      </c>
      <c r="G2189">
        <v>226851</v>
      </c>
      <c r="H2189" s="1">
        <v>45319</v>
      </c>
      <c r="I2189" s="1"/>
      <c r="K2189">
        <v>10.8</v>
      </c>
      <c r="L2189" t="s">
        <v>47</v>
      </c>
      <c r="M2189" t="s">
        <v>1916</v>
      </c>
      <c r="N2189" t="s">
        <v>1887</v>
      </c>
    </row>
    <row r="2190" spans="1:14" x14ac:dyDescent="0.35">
      <c r="A2190" t="s">
        <v>4114</v>
      </c>
      <c r="B2190" t="s">
        <v>1930</v>
      </c>
      <c r="C2190" t="s">
        <v>316</v>
      </c>
      <c r="D2190" t="s">
        <v>1927</v>
      </c>
      <c r="E2190" t="s">
        <v>1918</v>
      </c>
      <c r="F2190" t="s">
        <v>1908</v>
      </c>
      <c r="G2190">
        <v>180367</v>
      </c>
      <c r="H2190" s="1">
        <v>44965</v>
      </c>
      <c r="I2190" s="1"/>
      <c r="L2190" t="s">
        <v>21</v>
      </c>
      <c r="M2190" t="s">
        <v>1896</v>
      </c>
      <c r="N2190" t="s">
        <v>1887</v>
      </c>
    </row>
    <row r="2191" spans="1:14" x14ac:dyDescent="0.35">
      <c r="A2191" t="s">
        <v>4115</v>
      </c>
      <c r="B2191" t="s">
        <v>1963</v>
      </c>
      <c r="C2191" t="s">
        <v>62</v>
      </c>
      <c r="D2191" t="s">
        <v>1899</v>
      </c>
      <c r="E2191" t="s">
        <v>1678</v>
      </c>
      <c r="F2191" t="s">
        <v>1908</v>
      </c>
      <c r="G2191">
        <v>243766</v>
      </c>
      <c r="H2191" s="1">
        <v>45548</v>
      </c>
      <c r="I2191" s="1"/>
      <c r="K2191">
        <v>1.5</v>
      </c>
      <c r="L2191" t="s">
        <v>47</v>
      </c>
      <c r="M2191" t="s">
        <v>1953</v>
      </c>
      <c r="N2191" t="s">
        <v>1887</v>
      </c>
    </row>
    <row r="2192" spans="1:14" x14ac:dyDescent="0.35">
      <c r="A2192" t="s">
        <v>4116</v>
      </c>
      <c r="B2192" t="s">
        <v>1934</v>
      </c>
      <c r="C2192" t="s">
        <v>160</v>
      </c>
      <c r="D2192" t="s">
        <v>1904</v>
      </c>
      <c r="E2192" t="s">
        <v>1931</v>
      </c>
      <c r="F2192" t="s">
        <v>1900</v>
      </c>
      <c r="G2192">
        <v>392657</v>
      </c>
      <c r="H2192" s="1">
        <v>45195</v>
      </c>
      <c r="I2192" s="1">
        <v>45338</v>
      </c>
      <c r="J2192">
        <v>143</v>
      </c>
      <c r="K2192">
        <v>11.8</v>
      </c>
      <c r="L2192" t="s">
        <v>15</v>
      </c>
      <c r="M2192" t="s">
        <v>1932</v>
      </c>
      <c r="N2192" t="s">
        <v>1887</v>
      </c>
    </row>
    <row r="2193" spans="1:14" x14ac:dyDescent="0.35">
      <c r="A2193" t="s">
        <v>4117</v>
      </c>
      <c r="B2193" t="s">
        <v>1907</v>
      </c>
      <c r="C2193" t="s">
        <v>57</v>
      </c>
      <c r="D2193" t="s">
        <v>1904</v>
      </c>
      <c r="E2193" t="s">
        <v>1918</v>
      </c>
      <c r="F2193" t="s">
        <v>1900</v>
      </c>
      <c r="G2193">
        <v>234044</v>
      </c>
      <c r="H2193" s="1">
        <v>45425</v>
      </c>
      <c r="I2193" s="1">
        <v>45452</v>
      </c>
      <c r="J2193">
        <v>27</v>
      </c>
      <c r="K2193">
        <v>1.5</v>
      </c>
      <c r="L2193" t="s">
        <v>21</v>
      </c>
      <c r="M2193" t="s">
        <v>1935</v>
      </c>
      <c r="N2193" t="s">
        <v>1887</v>
      </c>
    </row>
    <row r="2194" spans="1:14" x14ac:dyDescent="0.35">
      <c r="A2194" t="s">
        <v>4118</v>
      </c>
      <c r="B2194" t="s">
        <v>1889</v>
      </c>
      <c r="C2194" t="s">
        <v>454</v>
      </c>
      <c r="D2194" t="s">
        <v>1927</v>
      </c>
      <c r="E2194" t="s">
        <v>1600</v>
      </c>
      <c r="F2194" t="s">
        <v>1895</v>
      </c>
      <c r="G2194">
        <v>29626</v>
      </c>
      <c r="H2194" s="1">
        <v>45445</v>
      </c>
      <c r="I2194" s="1"/>
      <c r="L2194" t="s">
        <v>47</v>
      </c>
      <c r="M2194" t="s">
        <v>1935</v>
      </c>
      <c r="N2194" t="s">
        <v>1887</v>
      </c>
    </row>
    <row r="2195" spans="1:14" x14ac:dyDescent="0.35">
      <c r="A2195" t="s">
        <v>4119</v>
      </c>
      <c r="B2195" t="s">
        <v>1926</v>
      </c>
      <c r="C2195" t="s">
        <v>479</v>
      </c>
      <c r="D2195" t="s">
        <v>1890</v>
      </c>
      <c r="E2195" t="s">
        <v>1918</v>
      </c>
      <c r="F2195" t="s">
        <v>1892</v>
      </c>
      <c r="G2195">
        <v>462303</v>
      </c>
      <c r="H2195" s="1">
        <v>45084</v>
      </c>
      <c r="I2195" s="1"/>
      <c r="K2195">
        <v>12.4</v>
      </c>
      <c r="L2195" t="s">
        <v>21</v>
      </c>
      <c r="M2195" t="s">
        <v>1893</v>
      </c>
      <c r="N2195" t="s">
        <v>1887</v>
      </c>
    </row>
    <row r="2196" spans="1:14" x14ac:dyDescent="0.35">
      <c r="A2196" t="s">
        <v>4120</v>
      </c>
      <c r="B2196" t="s">
        <v>1898</v>
      </c>
      <c r="C2196" t="s">
        <v>405</v>
      </c>
      <c r="D2196" t="s">
        <v>1915</v>
      </c>
      <c r="E2196" t="s">
        <v>1905</v>
      </c>
      <c r="F2196" t="s">
        <v>1900</v>
      </c>
      <c r="G2196">
        <v>246350</v>
      </c>
      <c r="H2196" s="1">
        <v>44963</v>
      </c>
      <c r="I2196" s="1">
        <v>45001</v>
      </c>
      <c r="J2196">
        <v>38</v>
      </c>
      <c r="K2196">
        <v>15.2</v>
      </c>
      <c r="L2196" t="s">
        <v>15</v>
      </c>
      <c r="M2196" t="s">
        <v>1896</v>
      </c>
      <c r="N2196" t="s">
        <v>1887</v>
      </c>
    </row>
    <row r="2197" spans="1:14" x14ac:dyDescent="0.35">
      <c r="A2197" t="s">
        <v>4121</v>
      </c>
      <c r="B2197" t="s">
        <v>1926</v>
      </c>
      <c r="C2197" t="s">
        <v>465</v>
      </c>
      <c r="D2197" t="s">
        <v>1904</v>
      </c>
      <c r="E2197" t="s">
        <v>1891</v>
      </c>
      <c r="F2197" t="s">
        <v>1946</v>
      </c>
      <c r="G2197">
        <v>171512</v>
      </c>
      <c r="H2197" s="1">
        <v>45052</v>
      </c>
      <c r="I2197" s="1"/>
      <c r="K2197">
        <v>7.3</v>
      </c>
      <c r="L2197" t="s">
        <v>30</v>
      </c>
      <c r="M2197" t="s">
        <v>1893</v>
      </c>
      <c r="N2197" t="s">
        <v>1887</v>
      </c>
    </row>
    <row r="2198" spans="1:14" x14ac:dyDescent="0.35">
      <c r="A2198" t="s">
        <v>4122</v>
      </c>
      <c r="B2198" t="s">
        <v>1944</v>
      </c>
      <c r="C2198" t="s">
        <v>444</v>
      </c>
      <c r="D2198" t="s">
        <v>1883</v>
      </c>
      <c r="E2198" t="s">
        <v>1678</v>
      </c>
      <c r="F2198" t="s">
        <v>1946</v>
      </c>
      <c r="G2198">
        <v>268021</v>
      </c>
      <c r="H2198" s="1">
        <v>44934</v>
      </c>
      <c r="I2198" s="1"/>
      <c r="K2198">
        <v>8.4</v>
      </c>
      <c r="L2198" t="s">
        <v>47</v>
      </c>
      <c r="M2198" t="s">
        <v>1896</v>
      </c>
      <c r="N2198" t="s">
        <v>1887</v>
      </c>
    </row>
    <row r="2199" spans="1:14" x14ac:dyDescent="0.35">
      <c r="A2199" t="s">
        <v>4123</v>
      </c>
      <c r="B2199" t="s">
        <v>1944</v>
      </c>
      <c r="C2199" t="s">
        <v>77</v>
      </c>
      <c r="D2199" t="s">
        <v>1915</v>
      </c>
      <c r="E2199" t="s">
        <v>1600</v>
      </c>
      <c r="F2199" t="s">
        <v>1946</v>
      </c>
      <c r="G2199">
        <v>461076</v>
      </c>
      <c r="H2199" s="1">
        <v>45650</v>
      </c>
      <c r="I2199" s="1"/>
      <c r="K2199">
        <v>2.5</v>
      </c>
      <c r="L2199" t="s">
        <v>21</v>
      </c>
      <c r="M2199" t="s">
        <v>1901</v>
      </c>
      <c r="N2199" t="s">
        <v>1887</v>
      </c>
    </row>
    <row r="2200" spans="1:14" x14ac:dyDescent="0.35">
      <c r="A2200" t="s">
        <v>4124</v>
      </c>
      <c r="B2200" t="s">
        <v>1930</v>
      </c>
      <c r="C2200" t="s">
        <v>355</v>
      </c>
      <c r="D2200" t="s">
        <v>1899</v>
      </c>
      <c r="E2200" t="s">
        <v>1678</v>
      </c>
      <c r="F2200" t="s">
        <v>1885</v>
      </c>
      <c r="G2200">
        <v>404291</v>
      </c>
      <c r="H2200" s="1">
        <v>45636</v>
      </c>
      <c r="I2200" s="1">
        <v>45704</v>
      </c>
      <c r="J2200">
        <v>68</v>
      </c>
      <c r="L2200" t="s">
        <v>47</v>
      </c>
      <c r="M2200" t="s">
        <v>1901</v>
      </c>
      <c r="N2200" t="s">
        <v>1887</v>
      </c>
    </row>
    <row r="2201" spans="1:14" x14ac:dyDescent="0.35">
      <c r="A2201" t="s">
        <v>4125</v>
      </c>
      <c r="B2201" t="s">
        <v>1924</v>
      </c>
      <c r="C2201" t="s">
        <v>415</v>
      </c>
      <c r="D2201" t="s">
        <v>1927</v>
      </c>
      <c r="E2201" t="s">
        <v>1587</v>
      </c>
      <c r="F2201" t="s">
        <v>1885</v>
      </c>
      <c r="G2201">
        <v>381351</v>
      </c>
      <c r="H2201" s="1">
        <v>45617</v>
      </c>
      <c r="I2201" s="1">
        <v>45725</v>
      </c>
      <c r="J2201">
        <v>108</v>
      </c>
      <c r="K2201">
        <v>13.7</v>
      </c>
      <c r="L2201" t="s">
        <v>47</v>
      </c>
      <c r="M2201" t="s">
        <v>1901</v>
      </c>
      <c r="N2201" t="s">
        <v>1887</v>
      </c>
    </row>
    <row r="2202" spans="1:14" x14ac:dyDescent="0.35">
      <c r="A2202" t="s">
        <v>4126</v>
      </c>
      <c r="B2202" t="s">
        <v>1930</v>
      </c>
      <c r="C2202" t="s">
        <v>295</v>
      </c>
      <c r="D2202" t="s">
        <v>1927</v>
      </c>
      <c r="E2202" t="s">
        <v>1600</v>
      </c>
      <c r="F2202" t="s">
        <v>1895</v>
      </c>
      <c r="G2202">
        <v>305174</v>
      </c>
      <c r="H2202" s="1">
        <v>45349</v>
      </c>
      <c r="I2202" s="1"/>
      <c r="L2202" t="s">
        <v>15</v>
      </c>
      <c r="M2202" t="s">
        <v>1916</v>
      </c>
      <c r="N2202" t="s">
        <v>1887</v>
      </c>
    </row>
    <row r="2203" spans="1:14" x14ac:dyDescent="0.35">
      <c r="A2203" t="s">
        <v>4127</v>
      </c>
      <c r="B2203" t="s">
        <v>1930</v>
      </c>
      <c r="C2203" t="s">
        <v>180</v>
      </c>
      <c r="D2203" t="s">
        <v>1899</v>
      </c>
      <c r="E2203" t="s">
        <v>1931</v>
      </c>
      <c r="F2203" t="s">
        <v>1946</v>
      </c>
      <c r="G2203">
        <v>76010</v>
      </c>
      <c r="H2203" s="1">
        <v>45614</v>
      </c>
      <c r="I2203" s="1"/>
      <c r="K2203">
        <v>6.9</v>
      </c>
      <c r="L2203" t="s">
        <v>15</v>
      </c>
      <c r="M2203" t="s">
        <v>1901</v>
      </c>
      <c r="N2203" t="s">
        <v>1887</v>
      </c>
    </row>
    <row r="2204" spans="1:14" x14ac:dyDescent="0.35">
      <c r="A2204" t="s">
        <v>4128</v>
      </c>
      <c r="B2204" t="s">
        <v>1963</v>
      </c>
      <c r="C2204" t="s">
        <v>364</v>
      </c>
      <c r="D2204" t="s">
        <v>1899</v>
      </c>
      <c r="E2204" t="s">
        <v>1931</v>
      </c>
      <c r="F2204" t="s">
        <v>1885</v>
      </c>
      <c r="G2204">
        <v>241535</v>
      </c>
      <c r="H2204" s="1">
        <v>45622</v>
      </c>
      <c r="I2204" s="1">
        <v>45780</v>
      </c>
      <c r="J2204">
        <v>158</v>
      </c>
      <c r="K2204">
        <v>10.4</v>
      </c>
      <c r="L2204" t="s">
        <v>21</v>
      </c>
      <c r="M2204" t="s">
        <v>1901</v>
      </c>
      <c r="N2204" t="s">
        <v>1887</v>
      </c>
    </row>
    <row r="2205" spans="1:14" x14ac:dyDescent="0.35">
      <c r="A2205" t="s">
        <v>4129</v>
      </c>
      <c r="B2205" t="s">
        <v>1920</v>
      </c>
      <c r="C2205" t="s">
        <v>164</v>
      </c>
      <c r="D2205" t="s">
        <v>1890</v>
      </c>
      <c r="E2205" t="s">
        <v>1884</v>
      </c>
      <c r="F2205" t="s">
        <v>1900</v>
      </c>
      <c r="G2205">
        <v>227386</v>
      </c>
      <c r="H2205" s="1">
        <v>45268</v>
      </c>
      <c r="I2205" s="1">
        <v>45372</v>
      </c>
      <c r="J2205">
        <v>104</v>
      </c>
      <c r="K2205">
        <v>15.9</v>
      </c>
      <c r="L2205" t="s">
        <v>47</v>
      </c>
      <c r="M2205" t="s">
        <v>1886</v>
      </c>
      <c r="N2205" t="s">
        <v>1887</v>
      </c>
    </row>
    <row r="2206" spans="1:14" x14ac:dyDescent="0.35">
      <c r="A2206" t="s">
        <v>4130</v>
      </c>
      <c r="B2206" t="s">
        <v>1944</v>
      </c>
      <c r="C2206" t="s">
        <v>431</v>
      </c>
      <c r="D2206" t="s">
        <v>1883</v>
      </c>
      <c r="E2206" t="s">
        <v>1884</v>
      </c>
      <c r="F2206" t="s">
        <v>1895</v>
      </c>
      <c r="G2206">
        <v>303076</v>
      </c>
      <c r="H2206" s="1">
        <v>45140</v>
      </c>
      <c r="I2206" s="1"/>
      <c r="K2206">
        <v>12.5</v>
      </c>
      <c r="L2206" t="s">
        <v>30</v>
      </c>
      <c r="M2206" t="s">
        <v>1932</v>
      </c>
      <c r="N2206" t="s">
        <v>1887</v>
      </c>
    </row>
    <row r="2207" spans="1:14" x14ac:dyDescent="0.35">
      <c r="A2207" t="s">
        <v>4131</v>
      </c>
      <c r="B2207" t="s">
        <v>1930</v>
      </c>
      <c r="C2207" t="s">
        <v>219</v>
      </c>
      <c r="D2207" t="s">
        <v>1883</v>
      </c>
      <c r="E2207" t="s">
        <v>1884</v>
      </c>
      <c r="F2207" t="s">
        <v>1885</v>
      </c>
      <c r="G2207">
        <v>360211</v>
      </c>
      <c r="H2207" s="1">
        <v>45742</v>
      </c>
      <c r="I2207" s="1">
        <v>45918</v>
      </c>
      <c r="J2207">
        <v>176</v>
      </c>
      <c r="K2207">
        <v>5.4</v>
      </c>
      <c r="L2207" t="s">
        <v>47</v>
      </c>
      <c r="M2207" t="s">
        <v>1912</v>
      </c>
      <c r="N2207" t="s">
        <v>1887</v>
      </c>
    </row>
    <row r="2208" spans="1:14" x14ac:dyDescent="0.35">
      <c r="A2208" t="s">
        <v>4132</v>
      </c>
      <c r="B2208" t="s">
        <v>1937</v>
      </c>
      <c r="C2208" t="s">
        <v>142</v>
      </c>
      <c r="D2208" t="s">
        <v>1899</v>
      </c>
      <c r="E2208" t="s">
        <v>1905</v>
      </c>
      <c r="F2208" t="s">
        <v>1900</v>
      </c>
      <c r="G2208">
        <v>146713</v>
      </c>
      <c r="H2208" s="1">
        <v>45667</v>
      </c>
      <c r="I2208" s="1">
        <v>45728</v>
      </c>
      <c r="J2208">
        <v>61</v>
      </c>
      <c r="K2208">
        <v>17.399999999999999</v>
      </c>
      <c r="L2208" t="s">
        <v>21</v>
      </c>
      <c r="M2208" t="s">
        <v>1912</v>
      </c>
      <c r="N2208" t="s">
        <v>1887</v>
      </c>
    </row>
    <row r="2209" spans="1:14" x14ac:dyDescent="0.35">
      <c r="A2209" t="s">
        <v>4133</v>
      </c>
      <c r="B2209" t="s">
        <v>1903</v>
      </c>
      <c r="C2209" t="s">
        <v>493</v>
      </c>
      <c r="D2209" t="s">
        <v>1915</v>
      </c>
      <c r="E2209" t="s">
        <v>1600</v>
      </c>
      <c r="F2209" t="s">
        <v>1892</v>
      </c>
      <c r="G2209">
        <v>16071</v>
      </c>
      <c r="H2209" s="1">
        <v>45180</v>
      </c>
      <c r="I2209" s="1"/>
      <c r="K2209">
        <v>11.1</v>
      </c>
      <c r="L2209" t="s">
        <v>15</v>
      </c>
      <c r="M2209" t="s">
        <v>1932</v>
      </c>
      <c r="N2209" t="s">
        <v>1887</v>
      </c>
    </row>
    <row r="2210" spans="1:14" x14ac:dyDescent="0.35">
      <c r="A2210" t="s">
        <v>4134</v>
      </c>
      <c r="B2210" t="s">
        <v>1911</v>
      </c>
      <c r="C2210" t="s">
        <v>457</v>
      </c>
      <c r="D2210" t="s">
        <v>1899</v>
      </c>
      <c r="E2210" t="s">
        <v>1931</v>
      </c>
      <c r="F2210" t="s">
        <v>1946</v>
      </c>
      <c r="G2210">
        <v>77815</v>
      </c>
      <c r="H2210" s="1">
        <v>45244</v>
      </c>
      <c r="I2210" s="1"/>
      <c r="K2210">
        <v>8.5</v>
      </c>
      <c r="L2210" t="s">
        <v>15</v>
      </c>
      <c r="M2210" t="s">
        <v>1886</v>
      </c>
      <c r="N2210" t="s">
        <v>1887</v>
      </c>
    </row>
    <row r="2211" spans="1:14" x14ac:dyDescent="0.35">
      <c r="A2211" t="s">
        <v>4135</v>
      </c>
      <c r="B2211" t="s">
        <v>1889</v>
      </c>
      <c r="C2211" t="s">
        <v>296</v>
      </c>
      <c r="D2211" t="s">
        <v>1915</v>
      </c>
      <c r="E2211" t="s">
        <v>1678</v>
      </c>
      <c r="F2211" t="s">
        <v>1895</v>
      </c>
      <c r="G2211">
        <v>89081</v>
      </c>
      <c r="H2211" s="1">
        <v>45747</v>
      </c>
      <c r="I2211" s="1"/>
      <c r="K2211">
        <v>13</v>
      </c>
      <c r="L2211" t="s">
        <v>30</v>
      </c>
      <c r="M2211" t="s">
        <v>1912</v>
      </c>
      <c r="N2211" t="s">
        <v>1887</v>
      </c>
    </row>
    <row r="2212" spans="1:14" x14ac:dyDescent="0.35">
      <c r="A2212" t="s">
        <v>4136</v>
      </c>
      <c r="B2212" t="s">
        <v>1882</v>
      </c>
      <c r="C2212" t="s">
        <v>293</v>
      </c>
      <c r="D2212" t="s">
        <v>1899</v>
      </c>
      <c r="E2212" t="s">
        <v>1678</v>
      </c>
      <c r="F2212" t="s">
        <v>1885</v>
      </c>
      <c r="G2212">
        <v>447985</v>
      </c>
      <c r="H2212" s="1">
        <v>45432</v>
      </c>
      <c r="I2212" s="1">
        <v>45501</v>
      </c>
      <c r="J2212">
        <v>69</v>
      </c>
      <c r="K2212">
        <v>14.5</v>
      </c>
      <c r="L2212" t="s">
        <v>47</v>
      </c>
      <c r="M2212" t="s">
        <v>1935</v>
      </c>
      <c r="N2212" t="s">
        <v>1887</v>
      </c>
    </row>
    <row r="2213" spans="1:14" x14ac:dyDescent="0.35">
      <c r="A2213" t="s">
        <v>4137</v>
      </c>
      <c r="B2213" t="s">
        <v>1924</v>
      </c>
      <c r="C2213" t="s">
        <v>458</v>
      </c>
      <c r="D2213" t="s">
        <v>1899</v>
      </c>
      <c r="E2213" t="s">
        <v>1945</v>
      </c>
      <c r="F2213" t="s">
        <v>1900</v>
      </c>
      <c r="G2213">
        <v>151461</v>
      </c>
      <c r="H2213" s="1">
        <v>45442</v>
      </c>
      <c r="I2213" s="1">
        <v>45616</v>
      </c>
      <c r="J2213">
        <v>174</v>
      </c>
      <c r="K2213">
        <v>4.5999999999999996</v>
      </c>
      <c r="L2213" t="s">
        <v>47</v>
      </c>
      <c r="M2213" t="s">
        <v>1935</v>
      </c>
      <c r="N2213" t="s">
        <v>1887</v>
      </c>
    </row>
    <row r="2214" spans="1:14" x14ac:dyDescent="0.35">
      <c r="A2214" t="s">
        <v>4138</v>
      </c>
      <c r="B2214" t="s">
        <v>1903</v>
      </c>
      <c r="C2214" t="s">
        <v>275</v>
      </c>
      <c r="D2214" t="s">
        <v>1883</v>
      </c>
      <c r="E2214" t="s">
        <v>1884</v>
      </c>
      <c r="F2214" t="s">
        <v>1946</v>
      </c>
      <c r="G2214">
        <v>474732</v>
      </c>
      <c r="H2214" s="1">
        <v>45551</v>
      </c>
      <c r="I2214" s="1"/>
      <c r="K2214">
        <v>12.4</v>
      </c>
      <c r="L2214" t="s">
        <v>15</v>
      </c>
      <c r="M2214" t="s">
        <v>1953</v>
      </c>
      <c r="N2214" t="s">
        <v>1887</v>
      </c>
    </row>
    <row r="2215" spans="1:14" x14ac:dyDescent="0.35">
      <c r="A2215" t="s">
        <v>4139</v>
      </c>
      <c r="B2215" t="s">
        <v>1930</v>
      </c>
      <c r="C2215" t="s">
        <v>130</v>
      </c>
      <c r="D2215" t="s">
        <v>1883</v>
      </c>
      <c r="E2215" t="s">
        <v>1931</v>
      </c>
      <c r="F2215" t="s">
        <v>1908</v>
      </c>
      <c r="G2215">
        <v>46486</v>
      </c>
      <c r="H2215" s="1">
        <v>45104</v>
      </c>
      <c r="I2215" s="1"/>
      <c r="K2215">
        <v>10.6</v>
      </c>
      <c r="L2215" t="s">
        <v>47</v>
      </c>
      <c r="M2215" t="s">
        <v>1893</v>
      </c>
      <c r="N2215" t="s">
        <v>1887</v>
      </c>
    </row>
    <row r="2216" spans="1:14" x14ac:dyDescent="0.35">
      <c r="A2216" t="s">
        <v>4140</v>
      </c>
      <c r="B2216" t="s">
        <v>1922</v>
      </c>
      <c r="C2216" t="s">
        <v>45</v>
      </c>
      <c r="D2216" t="s">
        <v>1915</v>
      </c>
      <c r="E2216" t="s">
        <v>1905</v>
      </c>
      <c r="F2216" t="s">
        <v>1892</v>
      </c>
      <c r="G2216">
        <v>430748</v>
      </c>
      <c r="H2216" s="1">
        <v>45235</v>
      </c>
      <c r="I2216" s="1"/>
      <c r="K2216">
        <v>4.0999999999999996</v>
      </c>
      <c r="L2216" t="s">
        <v>30</v>
      </c>
      <c r="M2216" t="s">
        <v>1886</v>
      </c>
      <c r="N2216" t="s">
        <v>1887</v>
      </c>
    </row>
    <row r="2217" spans="1:14" x14ac:dyDescent="0.35">
      <c r="A2217" t="s">
        <v>4141</v>
      </c>
      <c r="B2217" t="s">
        <v>1903</v>
      </c>
      <c r="C2217" t="s">
        <v>169</v>
      </c>
      <c r="D2217" t="s">
        <v>1883</v>
      </c>
      <c r="E2217" t="s">
        <v>1931</v>
      </c>
      <c r="F2217" t="s">
        <v>1946</v>
      </c>
      <c r="G2217">
        <v>460262</v>
      </c>
      <c r="H2217" s="1">
        <v>45221</v>
      </c>
      <c r="I2217" s="1"/>
      <c r="L2217" t="s">
        <v>47</v>
      </c>
      <c r="M2217" t="s">
        <v>1886</v>
      </c>
      <c r="N2217" t="s">
        <v>1887</v>
      </c>
    </row>
    <row r="2218" spans="1:14" x14ac:dyDescent="0.35">
      <c r="A2218" t="s">
        <v>4142</v>
      </c>
      <c r="B2218" t="s">
        <v>1963</v>
      </c>
      <c r="C2218" t="s">
        <v>380</v>
      </c>
      <c r="D2218" t="s">
        <v>1899</v>
      </c>
      <c r="E2218" t="s">
        <v>1884</v>
      </c>
      <c r="F2218" t="s">
        <v>1900</v>
      </c>
      <c r="G2218">
        <v>454136</v>
      </c>
      <c r="H2218" s="1">
        <v>45261</v>
      </c>
      <c r="I2218" s="1">
        <v>45329</v>
      </c>
      <c r="J2218">
        <v>68</v>
      </c>
      <c r="K2218">
        <v>3.7</v>
      </c>
      <c r="L2218" t="s">
        <v>15</v>
      </c>
      <c r="M2218" t="s">
        <v>1886</v>
      </c>
      <c r="N2218" t="s">
        <v>1887</v>
      </c>
    </row>
    <row r="2219" spans="1:14" x14ac:dyDescent="0.35">
      <c r="A2219" t="s">
        <v>4143</v>
      </c>
      <c r="B2219" t="s">
        <v>1914</v>
      </c>
      <c r="C2219" t="s">
        <v>301</v>
      </c>
      <c r="D2219" t="s">
        <v>1890</v>
      </c>
      <c r="E2219" t="s">
        <v>1918</v>
      </c>
      <c r="F2219" t="s">
        <v>1885</v>
      </c>
      <c r="G2219">
        <v>432544</v>
      </c>
      <c r="H2219" s="1">
        <v>45018</v>
      </c>
      <c r="I2219" s="1">
        <v>45037</v>
      </c>
      <c r="J2219">
        <v>19</v>
      </c>
      <c r="K2219">
        <v>6.2</v>
      </c>
      <c r="L2219" t="s">
        <v>47</v>
      </c>
      <c r="M2219" t="s">
        <v>1893</v>
      </c>
      <c r="N2219" t="s">
        <v>1887</v>
      </c>
    </row>
    <row r="2220" spans="1:14" x14ac:dyDescent="0.35">
      <c r="A2220" t="s">
        <v>4144</v>
      </c>
      <c r="B2220" t="s">
        <v>1882</v>
      </c>
      <c r="C2220" t="s">
        <v>412</v>
      </c>
      <c r="D2220" t="s">
        <v>1904</v>
      </c>
      <c r="E2220" t="s">
        <v>1918</v>
      </c>
      <c r="F2220" t="s">
        <v>1885</v>
      </c>
      <c r="G2220">
        <v>366866</v>
      </c>
      <c r="H2220" s="1">
        <v>44957</v>
      </c>
      <c r="I2220" s="1">
        <v>45108</v>
      </c>
      <c r="J2220">
        <v>151</v>
      </c>
      <c r="K2220">
        <v>11</v>
      </c>
      <c r="L2220" t="s">
        <v>21</v>
      </c>
      <c r="M2220" t="s">
        <v>1896</v>
      </c>
      <c r="N2220" t="s">
        <v>1887</v>
      </c>
    </row>
    <row r="2221" spans="1:14" x14ac:dyDescent="0.35">
      <c r="A2221" t="s">
        <v>4145</v>
      </c>
      <c r="B2221" t="s">
        <v>1911</v>
      </c>
      <c r="C2221" t="s">
        <v>324</v>
      </c>
      <c r="D2221" t="s">
        <v>1904</v>
      </c>
      <c r="E2221" t="s">
        <v>1905</v>
      </c>
      <c r="F2221" t="s">
        <v>1946</v>
      </c>
      <c r="G2221">
        <v>48000</v>
      </c>
      <c r="H2221" s="1">
        <v>45212</v>
      </c>
      <c r="I2221" s="1"/>
      <c r="K2221">
        <v>8.6</v>
      </c>
      <c r="L2221" t="s">
        <v>47</v>
      </c>
      <c r="M2221" t="s">
        <v>1886</v>
      </c>
      <c r="N2221" t="s">
        <v>1887</v>
      </c>
    </row>
    <row r="2222" spans="1:14" x14ac:dyDescent="0.35">
      <c r="A2222" t="s">
        <v>4146</v>
      </c>
      <c r="B2222" t="s">
        <v>1963</v>
      </c>
      <c r="C2222" t="s">
        <v>236</v>
      </c>
      <c r="D2222" t="s">
        <v>1883</v>
      </c>
      <c r="E2222" t="s">
        <v>1905</v>
      </c>
      <c r="F2222" t="s">
        <v>1895</v>
      </c>
      <c r="G2222">
        <v>122106</v>
      </c>
      <c r="H2222" s="1">
        <v>44993</v>
      </c>
      <c r="I2222" s="1"/>
      <c r="K2222">
        <v>6.4</v>
      </c>
      <c r="L2222" t="s">
        <v>47</v>
      </c>
      <c r="M2222" t="s">
        <v>1896</v>
      </c>
      <c r="N2222" t="s">
        <v>1887</v>
      </c>
    </row>
    <row r="2223" spans="1:14" x14ac:dyDescent="0.35">
      <c r="A2223" t="s">
        <v>4147</v>
      </c>
      <c r="B2223" t="s">
        <v>1903</v>
      </c>
      <c r="C2223" t="s">
        <v>228</v>
      </c>
      <c r="D2223" t="s">
        <v>1904</v>
      </c>
      <c r="E2223" t="s">
        <v>1587</v>
      </c>
      <c r="F2223" t="s">
        <v>1895</v>
      </c>
      <c r="G2223">
        <v>43535</v>
      </c>
      <c r="H2223" s="1">
        <v>45094</v>
      </c>
      <c r="I2223" s="1"/>
      <c r="K2223">
        <v>9.1999999999999993</v>
      </c>
      <c r="L2223" t="s">
        <v>47</v>
      </c>
      <c r="M2223" t="s">
        <v>1893</v>
      </c>
      <c r="N2223" t="s">
        <v>1887</v>
      </c>
    </row>
    <row r="2224" spans="1:14" x14ac:dyDescent="0.35">
      <c r="A2224" t="s">
        <v>4148</v>
      </c>
      <c r="B2224" t="s">
        <v>1944</v>
      </c>
      <c r="C2224" t="s">
        <v>392</v>
      </c>
      <c r="D2224" t="s">
        <v>1927</v>
      </c>
      <c r="E2224" t="s">
        <v>1600</v>
      </c>
      <c r="F2224" t="s">
        <v>1885</v>
      </c>
      <c r="G2224">
        <v>372512</v>
      </c>
      <c r="H2224" s="1">
        <v>45425</v>
      </c>
      <c r="I2224" s="1">
        <v>45514</v>
      </c>
      <c r="J2224">
        <v>89</v>
      </c>
      <c r="K2224">
        <v>1.5</v>
      </c>
      <c r="L2224" t="s">
        <v>21</v>
      </c>
      <c r="M2224" t="s">
        <v>1935</v>
      </c>
      <c r="N2224" t="s">
        <v>1887</v>
      </c>
    </row>
    <row r="2225" spans="1:14" x14ac:dyDescent="0.35">
      <c r="A2225" t="s">
        <v>4149</v>
      </c>
      <c r="B2225" t="s">
        <v>1922</v>
      </c>
      <c r="C2225" t="s">
        <v>366</v>
      </c>
      <c r="D2225" t="s">
        <v>1883</v>
      </c>
      <c r="E2225" t="s">
        <v>1678</v>
      </c>
      <c r="F2225" t="s">
        <v>1900</v>
      </c>
      <c r="G2225">
        <v>202985</v>
      </c>
      <c r="H2225" s="1">
        <v>45522</v>
      </c>
      <c r="I2225" s="1">
        <v>45612</v>
      </c>
      <c r="J2225">
        <v>90</v>
      </c>
      <c r="K2225">
        <v>12.4</v>
      </c>
      <c r="L2225" t="s">
        <v>21</v>
      </c>
      <c r="M2225" t="s">
        <v>1953</v>
      </c>
      <c r="N2225" t="s">
        <v>1887</v>
      </c>
    </row>
    <row r="2226" spans="1:14" x14ac:dyDescent="0.35">
      <c r="A2226" t="s">
        <v>4150</v>
      </c>
      <c r="B2226" t="s">
        <v>1914</v>
      </c>
      <c r="C2226" t="s">
        <v>226</v>
      </c>
      <c r="D2226" t="s">
        <v>1883</v>
      </c>
      <c r="E2226" t="s">
        <v>1678</v>
      </c>
      <c r="F2226" t="s">
        <v>1885</v>
      </c>
      <c r="G2226">
        <v>340624</v>
      </c>
      <c r="H2226" s="1">
        <v>45425</v>
      </c>
      <c r="I2226" s="1">
        <v>45461</v>
      </c>
      <c r="J2226">
        <v>36</v>
      </c>
      <c r="L2226" t="s">
        <v>47</v>
      </c>
      <c r="M2226" t="s">
        <v>1935</v>
      </c>
      <c r="N2226" t="s">
        <v>1887</v>
      </c>
    </row>
    <row r="2227" spans="1:14" x14ac:dyDescent="0.35">
      <c r="A2227" t="s">
        <v>4151</v>
      </c>
      <c r="B2227" t="s">
        <v>1882</v>
      </c>
      <c r="C2227" t="s">
        <v>467</v>
      </c>
      <c r="D2227" t="s">
        <v>1927</v>
      </c>
      <c r="E2227" t="s">
        <v>1918</v>
      </c>
      <c r="F2227" t="s">
        <v>1900</v>
      </c>
      <c r="G2227">
        <v>305132</v>
      </c>
      <c r="H2227" s="1">
        <v>45651</v>
      </c>
      <c r="I2227" s="1">
        <v>45827</v>
      </c>
      <c r="J2227">
        <v>176</v>
      </c>
      <c r="K2227">
        <v>14.4</v>
      </c>
      <c r="L2227" t="s">
        <v>21</v>
      </c>
      <c r="M2227" t="s">
        <v>1901</v>
      </c>
      <c r="N2227" t="s">
        <v>1887</v>
      </c>
    </row>
    <row r="2228" spans="1:14" x14ac:dyDescent="0.35">
      <c r="A2228" t="s">
        <v>4152</v>
      </c>
      <c r="B2228" t="s">
        <v>1914</v>
      </c>
      <c r="C2228" t="s">
        <v>344</v>
      </c>
      <c r="D2228" t="s">
        <v>1890</v>
      </c>
      <c r="E2228" t="s">
        <v>1931</v>
      </c>
      <c r="F2228" t="s">
        <v>1908</v>
      </c>
      <c r="G2228">
        <v>376820</v>
      </c>
      <c r="H2228" s="1">
        <v>45491</v>
      </c>
      <c r="I2228" s="1"/>
      <c r="K2228">
        <v>12.4</v>
      </c>
      <c r="L2228" t="s">
        <v>47</v>
      </c>
      <c r="M2228" t="s">
        <v>1953</v>
      </c>
      <c r="N2228" t="s">
        <v>1887</v>
      </c>
    </row>
    <row r="2229" spans="1:14" x14ac:dyDescent="0.35">
      <c r="A2229" t="s">
        <v>4153</v>
      </c>
      <c r="B2229" t="s">
        <v>1922</v>
      </c>
      <c r="C2229" t="s">
        <v>424</v>
      </c>
      <c r="D2229" t="s">
        <v>1890</v>
      </c>
      <c r="E2229" t="s">
        <v>1891</v>
      </c>
      <c r="F2229" t="s">
        <v>1900</v>
      </c>
      <c r="G2229">
        <v>201292</v>
      </c>
      <c r="H2229" s="1">
        <v>45110</v>
      </c>
      <c r="I2229" s="1">
        <v>45233</v>
      </c>
      <c r="J2229">
        <v>123</v>
      </c>
      <c r="K2229">
        <v>9.6</v>
      </c>
      <c r="L2229" t="s">
        <v>47</v>
      </c>
      <c r="M2229" t="s">
        <v>1932</v>
      </c>
      <c r="N2229" t="s">
        <v>1887</v>
      </c>
    </row>
    <row r="2230" spans="1:14" x14ac:dyDescent="0.35">
      <c r="A2230" t="s">
        <v>4154</v>
      </c>
      <c r="B2230" t="s">
        <v>1937</v>
      </c>
      <c r="C2230" t="s">
        <v>85</v>
      </c>
      <c r="D2230" t="s">
        <v>1890</v>
      </c>
      <c r="E2230" t="s">
        <v>1884</v>
      </c>
      <c r="F2230" t="s">
        <v>1900</v>
      </c>
      <c r="G2230">
        <v>244725</v>
      </c>
      <c r="H2230" s="1">
        <v>45084</v>
      </c>
      <c r="I2230" s="1">
        <v>45145</v>
      </c>
      <c r="J2230">
        <v>61</v>
      </c>
      <c r="K2230">
        <v>9.9</v>
      </c>
      <c r="L2230" t="s">
        <v>21</v>
      </c>
      <c r="M2230" t="s">
        <v>1893</v>
      </c>
      <c r="N2230" t="s">
        <v>1887</v>
      </c>
    </row>
    <row r="2231" spans="1:14" x14ac:dyDescent="0.35">
      <c r="A2231" t="s">
        <v>4155</v>
      </c>
      <c r="B2231" t="s">
        <v>1914</v>
      </c>
      <c r="C2231" t="s">
        <v>318</v>
      </c>
      <c r="D2231" t="s">
        <v>1890</v>
      </c>
      <c r="E2231" t="s">
        <v>1884</v>
      </c>
      <c r="F2231" t="s">
        <v>1895</v>
      </c>
      <c r="G2231">
        <v>368761</v>
      </c>
      <c r="H2231" s="1">
        <v>45623</v>
      </c>
      <c r="I2231" s="1"/>
      <c r="K2231">
        <v>14.5</v>
      </c>
      <c r="L2231" t="s">
        <v>15</v>
      </c>
      <c r="M2231" t="s">
        <v>1901</v>
      </c>
      <c r="N2231" t="s">
        <v>1887</v>
      </c>
    </row>
    <row r="2232" spans="1:14" x14ac:dyDescent="0.35">
      <c r="A2232" t="s">
        <v>4156</v>
      </c>
      <c r="B2232" t="s">
        <v>1920</v>
      </c>
      <c r="C2232" t="s">
        <v>176</v>
      </c>
      <c r="D2232" t="s">
        <v>1899</v>
      </c>
      <c r="E2232" t="s">
        <v>1600</v>
      </c>
      <c r="F2232" t="s">
        <v>1892</v>
      </c>
      <c r="G2232">
        <v>466837</v>
      </c>
      <c r="H2232" s="1">
        <v>45029</v>
      </c>
      <c r="I2232" s="1"/>
      <c r="L2232" t="s">
        <v>47</v>
      </c>
      <c r="M2232" t="s">
        <v>1893</v>
      </c>
      <c r="N2232" t="s">
        <v>1887</v>
      </c>
    </row>
    <row r="2233" spans="1:14" x14ac:dyDescent="0.35">
      <c r="A2233" t="s">
        <v>4157</v>
      </c>
      <c r="B2233" t="s">
        <v>1914</v>
      </c>
      <c r="C2233" t="s">
        <v>461</v>
      </c>
      <c r="D2233" t="s">
        <v>1890</v>
      </c>
      <c r="E2233" t="s">
        <v>1884</v>
      </c>
      <c r="F2233" t="s">
        <v>1895</v>
      </c>
      <c r="G2233">
        <v>203142</v>
      </c>
      <c r="H2233" s="1">
        <v>45163</v>
      </c>
      <c r="I2233" s="1"/>
      <c r="L2233" t="s">
        <v>15</v>
      </c>
      <c r="M2233" t="s">
        <v>1932</v>
      </c>
      <c r="N2233" t="s">
        <v>1887</v>
      </c>
    </row>
    <row r="2234" spans="1:14" x14ac:dyDescent="0.35">
      <c r="A2234" t="s">
        <v>4158</v>
      </c>
      <c r="B2234" t="s">
        <v>1914</v>
      </c>
      <c r="C2234" t="s">
        <v>184</v>
      </c>
      <c r="D2234" t="s">
        <v>1904</v>
      </c>
      <c r="E2234" t="s">
        <v>1918</v>
      </c>
      <c r="F2234" t="s">
        <v>1946</v>
      </c>
      <c r="G2234">
        <v>272274</v>
      </c>
      <c r="H2234" s="1">
        <v>45461</v>
      </c>
      <c r="I2234" s="1"/>
      <c r="K2234">
        <v>10</v>
      </c>
      <c r="L2234" t="s">
        <v>21</v>
      </c>
      <c r="M2234" t="s">
        <v>1935</v>
      </c>
      <c r="N2234" t="s">
        <v>1887</v>
      </c>
    </row>
    <row r="2235" spans="1:14" x14ac:dyDescent="0.35">
      <c r="A2235" t="s">
        <v>4159</v>
      </c>
      <c r="B2235" t="s">
        <v>1898</v>
      </c>
      <c r="C2235" t="s">
        <v>477</v>
      </c>
      <c r="D2235" t="s">
        <v>1899</v>
      </c>
      <c r="E2235" t="s">
        <v>1884</v>
      </c>
      <c r="F2235" t="s">
        <v>1900</v>
      </c>
      <c r="G2235">
        <v>404291</v>
      </c>
      <c r="H2235" s="1">
        <v>45486</v>
      </c>
      <c r="I2235" s="1">
        <v>45520</v>
      </c>
      <c r="J2235">
        <v>34</v>
      </c>
      <c r="K2235">
        <v>8.9</v>
      </c>
      <c r="L2235" t="s">
        <v>15</v>
      </c>
      <c r="M2235" t="s">
        <v>1953</v>
      </c>
      <c r="N2235" t="s">
        <v>1887</v>
      </c>
    </row>
    <row r="2236" spans="1:14" x14ac:dyDescent="0.35">
      <c r="A2236" t="s">
        <v>4160</v>
      </c>
      <c r="B2236" t="s">
        <v>1914</v>
      </c>
      <c r="C2236" t="s">
        <v>216</v>
      </c>
      <c r="D2236" t="s">
        <v>1927</v>
      </c>
      <c r="E2236" t="s">
        <v>1905</v>
      </c>
      <c r="F2236" t="s">
        <v>1895</v>
      </c>
      <c r="G2236">
        <v>284945</v>
      </c>
      <c r="H2236" s="1">
        <v>45248</v>
      </c>
      <c r="I2236" s="1"/>
      <c r="K2236">
        <v>7.8</v>
      </c>
      <c r="L2236" t="s">
        <v>30</v>
      </c>
      <c r="M2236" t="s">
        <v>1886</v>
      </c>
      <c r="N2236" t="s">
        <v>1887</v>
      </c>
    </row>
    <row r="2237" spans="1:14" x14ac:dyDescent="0.35">
      <c r="A2237" t="s">
        <v>4161</v>
      </c>
      <c r="B2237" t="s">
        <v>1903</v>
      </c>
      <c r="C2237" t="s">
        <v>328</v>
      </c>
      <c r="D2237" t="s">
        <v>1904</v>
      </c>
      <c r="E2237" t="s">
        <v>1931</v>
      </c>
      <c r="F2237" t="s">
        <v>1946</v>
      </c>
      <c r="G2237">
        <v>407798</v>
      </c>
      <c r="H2237" s="1">
        <v>45499</v>
      </c>
      <c r="I2237" s="1"/>
      <c r="K2237">
        <v>13</v>
      </c>
      <c r="L2237" t="s">
        <v>15</v>
      </c>
      <c r="M2237" t="s">
        <v>1953</v>
      </c>
      <c r="N2237" t="s">
        <v>1887</v>
      </c>
    </row>
    <row r="2238" spans="1:14" x14ac:dyDescent="0.35">
      <c r="A2238" t="s">
        <v>4162</v>
      </c>
      <c r="B2238" t="s">
        <v>1924</v>
      </c>
      <c r="C2238" t="s">
        <v>444</v>
      </c>
      <c r="D2238" t="s">
        <v>1915</v>
      </c>
      <c r="E2238" t="s">
        <v>1600</v>
      </c>
      <c r="F2238" t="s">
        <v>1908</v>
      </c>
      <c r="G2238">
        <v>200654</v>
      </c>
      <c r="H2238" s="1">
        <v>45390</v>
      </c>
      <c r="I2238" s="1"/>
      <c r="K2238">
        <v>13</v>
      </c>
      <c r="L2238" t="s">
        <v>30</v>
      </c>
      <c r="M2238" t="s">
        <v>1935</v>
      </c>
      <c r="N2238" t="s">
        <v>1887</v>
      </c>
    </row>
    <row r="2239" spans="1:14" x14ac:dyDescent="0.35">
      <c r="A2239" t="s">
        <v>4163</v>
      </c>
      <c r="B2239" t="s">
        <v>1944</v>
      </c>
      <c r="C2239" t="s">
        <v>208</v>
      </c>
      <c r="D2239" t="s">
        <v>1883</v>
      </c>
      <c r="E2239" t="s">
        <v>1931</v>
      </c>
      <c r="F2239" t="s">
        <v>1900</v>
      </c>
      <c r="G2239">
        <v>143599</v>
      </c>
      <c r="H2239" s="1">
        <v>45699</v>
      </c>
      <c r="I2239" s="1">
        <v>45776</v>
      </c>
      <c r="J2239">
        <v>77</v>
      </c>
      <c r="K2239">
        <v>19.899999999999999</v>
      </c>
      <c r="L2239" t="s">
        <v>21</v>
      </c>
      <c r="M2239" t="s">
        <v>1912</v>
      </c>
      <c r="N2239" t="s">
        <v>1887</v>
      </c>
    </row>
    <row r="2240" spans="1:14" x14ac:dyDescent="0.35">
      <c r="A2240" t="s">
        <v>4164</v>
      </c>
      <c r="B2240" t="s">
        <v>1907</v>
      </c>
      <c r="C2240" t="s">
        <v>380</v>
      </c>
      <c r="D2240" t="s">
        <v>1890</v>
      </c>
      <c r="E2240" t="s">
        <v>1678</v>
      </c>
      <c r="F2240" t="s">
        <v>1946</v>
      </c>
      <c r="G2240">
        <v>237351</v>
      </c>
      <c r="H2240" s="1">
        <v>45530</v>
      </c>
      <c r="I2240" s="1"/>
      <c r="K2240">
        <v>8.1</v>
      </c>
      <c r="L2240" t="s">
        <v>30</v>
      </c>
      <c r="M2240" t="s">
        <v>1953</v>
      </c>
      <c r="N2240" t="s">
        <v>1887</v>
      </c>
    </row>
    <row r="2241" spans="1:14" x14ac:dyDescent="0.35">
      <c r="A2241" t="s">
        <v>4165</v>
      </c>
      <c r="B2241" t="s">
        <v>1903</v>
      </c>
      <c r="C2241" t="s">
        <v>389</v>
      </c>
      <c r="D2241" t="s">
        <v>1927</v>
      </c>
      <c r="E2241" t="s">
        <v>1678</v>
      </c>
      <c r="F2241" t="s">
        <v>1892</v>
      </c>
      <c r="G2241">
        <v>382535</v>
      </c>
      <c r="H2241" s="1">
        <v>45060</v>
      </c>
      <c r="I2241" s="1"/>
      <c r="K2241">
        <v>1.7</v>
      </c>
      <c r="L2241" t="s">
        <v>15</v>
      </c>
      <c r="M2241" t="s">
        <v>1893</v>
      </c>
      <c r="N2241" t="s">
        <v>1887</v>
      </c>
    </row>
    <row r="2242" spans="1:14" x14ac:dyDescent="0.35">
      <c r="A2242" t="s">
        <v>4166</v>
      </c>
      <c r="B2242" t="s">
        <v>1889</v>
      </c>
      <c r="C2242" t="s">
        <v>232</v>
      </c>
      <c r="D2242" t="s">
        <v>1915</v>
      </c>
      <c r="E2242" t="s">
        <v>1918</v>
      </c>
      <c r="F2242" t="s">
        <v>1908</v>
      </c>
      <c r="G2242">
        <v>111475</v>
      </c>
      <c r="H2242" s="1">
        <v>45657</v>
      </c>
      <c r="I2242" s="1"/>
      <c r="L2242" t="s">
        <v>30</v>
      </c>
      <c r="M2242" t="s">
        <v>1901</v>
      </c>
      <c r="N2242" t="s">
        <v>1887</v>
      </c>
    </row>
    <row r="2243" spans="1:14" x14ac:dyDescent="0.35">
      <c r="A2243" t="s">
        <v>4167</v>
      </c>
      <c r="B2243" t="s">
        <v>1963</v>
      </c>
      <c r="C2243" t="s">
        <v>328</v>
      </c>
      <c r="D2243" t="s">
        <v>1899</v>
      </c>
      <c r="E2243" t="s">
        <v>1905</v>
      </c>
      <c r="F2243" t="s">
        <v>1892</v>
      </c>
      <c r="G2243">
        <v>258349</v>
      </c>
      <c r="H2243" s="1">
        <v>45401</v>
      </c>
      <c r="I2243" s="1"/>
      <c r="K2243">
        <v>7.5</v>
      </c>
      <c r="L2243" t="s">
        <v>21</v>
      </c>
      <c r="M2243" t="s">
        <v>1935</v>
      </c>
      <c r="N2243" t="s">
        <v>1887</v>
      </c>
    </row>
    <row r="2244" spans="1:14" x14ac:dyDescent="0.35">
      <c r="A2244" t="s">
        <v>4168</v>
      </c>
      <c r="B2244" t="s">
        <v>1914</v>
      </c>
      <c r="C2244" t="s">
        <v>459</v>
      </c>
      <c r="D2244" t="s">
        <v>1899</v>
      </c>
      <c r="E2244" t="s">
        <v>1891</v>
      </c>
      <c r="F2244" t="s">
        <v>1892</v>
      </c>
      <c r="G2244">
        <v>112030</v>
      </c>
      <c r="H2244" s="1">
        <v>45512</v>
      </c>
      <c r="I2244" s="1"/>
      <c r="K2244">
        <v>12.1</v>
      </c>
      <c r="L2244" t="s">
        <v>15</v>
      </c>
      <c r="M2244" t="s">
        <v>1953</v>
      </c>
      <c r="N2244" t="s">
        <v>1887</v>
      </c>
    </row>
    <row r="2245" spans="1:14" x14ac:dyDescent="0.35">
      <c r="A2245" t="s">
        <v>4169</v>
      </c>
      <c r="B2245" t="s">
        <v>1882</v>
      </c>
      <c r="C2245" t="s">
        <v>386</v>
      </c>
      <c r="D2245" t="s">
        <v>1899</v>
      </c>
      <c r="E2245" t="s">
        <v>1905</v>
      </c>
      <c r="F2245" t="s">
        <v>1946</v>
      </c>
      <c r="G2245">
        <v>324459</v>
      </c>
      <c r="H2245" s="1">
        <v>45352</v>
      </c>
      <c r="I2245" s="1"/>
      <c r="K2245">
        <v>6.2</v>
      </c>
      <c r="L2245" t="s">
        <v>47</v>
      </c>
      <c r="M2245" t="s">
        <v>1916</v>
      </c>
      <c r="N2245" t="s">
        <v>1887</v>
      </c>
    </row>
    <row r="2246" spans="1:14" x14ac:dyDescent="0.35">
      <c r="A2246" t="s">
        <v>4170</v>
      </c>
      <c r="B2246" t="s">
        <v>1934</v>
      </c>
      <c r="C2246" t="s">
        <v>74</v>
      </c>
      <c r="D2246" t="s">
        <v>1904</v>
      </c>
      <c r="E2246" t="s">
        <v>1931</v>
      </c>
      <c r="F2246" t="s">
        <v>1885</v>
      </c>
      <c r="G2246">
        <v>319669</v>
      </c>
      <c r="H2246" s="1">
        <v>45462</v>
      </c>
      <c r="I2246" s="1">
        <v>45493</v>
      </c>
      <c r="J2246">
        <v>31</v>
      </c>
      <c r="K2246">
        <v>3.1</v>
      </c>
      <c r="L2246" t="s">
        <v>21</v>
      </c>
      <c r="M2246" t="s">
        <v>1935</v>
      </c>
      <c r="N2246" t="s">
        <v>1887</v>
      </c>
    </row>
    <row r="2247" spans="1:14" x14ac:dyDescent="0.35">
      <c r="A2247" t="s">
        <v>4171</v>
      </c>
      <c r="B2247" t="s">
        <v>1944</v>
      </c>
      <c r="C2247" t="s">
        <v>425</v>
      </c>
      <c r="D2247" t="s">
        <v>1899</v>
      </c>
      <c r="E2247" t="s">
        <v>1678</v>
      </c>
      <c r="F2247" t="s">
        <v>1900</v>
      </c>
      <c r="G2247">
        <v>419435</v>
      </c>
      <c r="H2247" s="1">
        <v>44998</v>
      </c>
      <c r="I2247" s="1">
        <v>45151</v>
      </c>
      <c r="J2247">
        <v>153</v>
      </c>
      <c r="K2247">
        <v>9.6</v>
      </c>
      <c r="L2247" t="s">
        <v>30</v>
      </c>
      <c r="M2247" t="s">
        <v>1896</v>
      </c>
      <c r="N2247" t="s">
        <v>1887</v>
      </c>
    </row>
    <row r="2248" spans="1:14" x14ac:dyDescent="0.35">
      <c r="A2248" t="s">
        <v>4172</v>
      </c>
      <c r="B2248" t="s">
        <v>1911</v>
      </c>
      <c r="C2248" t="s">
        <v>467</v>
      </c>
      <c r="D2248" t="s">
        <v>1890</v>
      </c>
      <c r="E2248" t="s">
        <v>1678</v>
      </c>
      <c r="F2248" t="s">
        <v>1895</v>
      </c>
      <c r="G2248">
        <v>496070</v>
      </c>
      <c r="H2248" s="1">
        <v>45391</v>
      </c>
      <c r="I2248" s="1"/>
      <c r="L2248" t="s">
        <v>30</v>
      </c>
      <c r="M2248" t="s">
        <v>1935</v>
      </c>
      <c r="N2248" t="s">
        <v>1887</v>
      </c>
    </row>
    <row r="2249" spans="1:14" x14ac:dyDescent="0.35">
      <c r="A2249" t="s">
        <v>4173</v>
      </c>
      <c r="B2249" t="s">
        <v>1911</v>
      </c>
      <c r="C2249" t="s">
        <v>497</v>
      </c>
      <c r="D2249" t="s">
        <v>1927</v>
      </c>
      <c r="E2249" t="s">
        <v>1587</v>
      </c>
      <c r="F2249" t="s">
        <v>1908</v>
      </c>
      <c r="G2249">
        <v>398862</v>
      </c>
      <c r="H2249" s="1">
        <v>45051</v>
      </c>
      <c r="I2249" s="1"/>
      <c r="L2249" t="s">
        <v>47</v>
      </c>
      <c r="M2249" t="s">
        <v>1893</v>
      </c>
      <c r="N2249" t="s">
        <v>1887</v>
      </c>
    </row>
    <row r="2250" spans="1:14" x14ac:dyDescent="0.35">
      <c r="A2250" t="s">
        <v>4174</v>
      </c>
      <c r="B2250" t="s">
        <v>1882</v>
      </c>
      <c r="C2250" t="s">
        <v>351</v>
      </c>
      <c r="D2250" t="s">
        <v>1883</v>
      </c>
      <c r="E2250" t="s">
        <v>1678</v>
      </c>
      <c r="F2250" t="s">
        <v>1946</v>
      </c>
      <c r="G2250">
        <v>102696</v>
      </c>
      <c r="H2250" s="1">
        <v>45118</v>
      </c>
      <c r="I2250" s="1"/>
      <c r="K2250">
        <v>12.3</v>
      </c>
      <c r="L2250" t="s">
        <v>30</v>
      </c>
      <c r="M2250" t="s">
        <v>1932</v>
      </c>
      <c r="N2250" t="s">
        <v>1887</v>
      </c>
    </row>
    <row r="2251" spans="1:14" x14ac:dyDescent="0.35">
      <c r="A2251" t="s">
        <v>4175</v>
      </c>
      <c r="B2251" t="s">
        <v>1930</v>
      </c>
      <c r="C2251" t="s">
        <v>71</v>
      </c>
      <c r="D2251" t="s">
        <v>1890</v>
      </c>
      <c r="E2251" t="s">
        <v>1918</v>
      </c>
      <c r="F2251" t="s">
        <v>1885</v>
      </c>
      <c r="G2251">
        <v>325737</v>
      </c>
      <c r="H2251" s="1">
        <v>45225</v>
      </c>
      <c r="I2251" s="1">
        <v>45276</v>
      </c>
      <c r="J2251">
        <v>51</v>
      </c>
      <c r="L2251" t="s">
        <v>21</v>
      </c>
      <c r="M2251" t="s">
        <v>1886</v>
      </c>
      <c r="N2251" t="s">
        <v>1887</v>
      </c>
    </row>
    <row r="2252" spans="1:14" x14ac:dyDescent="0.35">
      <c r="A2252" t="s">
        <v>4176</v>
      </c>
      <c r="B2252" t="s">
        <v>1937</v>
      </c>
      <c r="C2252" t="s">
        <v>414</v>
      </c>
      <c r="D2252" t="s">
        <v>1883</v>
      </c>
      <c r="E2252" t="s">
        <v>1600</v>
      </c>
      <c r="F2252" t="s">
        <v>1908</v>
      </c>
      <c r="G2252">
        <v>184123</v>
      </c>
      <c r="H2252" s="1">
        <v>44995</v>
      </c>
      <c r="I2252" s="1"/>
      <c r="K2252">
        <v>9</v>
      </c>
      <c r="L2252" t="s">
        <v>30</v>
      </c>
      <c r="M2252" t="s">
        <v>1896</v>
      </c>
      <c r="N2252" t="s">
        <v>1887</v>
      </c>
    </row>
    <row r="2253" spans="1:14" x14ac:dyDescent="0.35">
      <c r="A2253" t="s">
        <v>4177</v>
      </c>
      <c r="B2253" t="s">
        <v>1914</v>
      </c>
      <c r="C2253" t="s">
        <v>247</v>
      </c>
      <c r="D2253" t="s">
        <v>1927</v>
      </c>
      <c r="E2253" t="s">
        <v>1945</v>
      </c>
      <c r="F2253" t="s">
        <v>1885</v>
      </c>
      <c r="G2253">
        <v>28913</v>
      </c>
      <c r="H2253" s="1">
        <v>45700</v>
      </c>
      <c r="I2253" s="1">
        <v>45849</v>
      </c>
      <c r="J2253">
        <v>149</v>
      </c>
      <c r="K2253">
        <v>6</v>
      </c>
      <c r="L2253" t="s">
        <v>15</v>
      </c>
      <c r="M2253" t="s">
        <v>1912</v>
      </c>
      <c r="N2253" t="s">
        <v>1887</v>
      </c>
    </row>
    <row r="2254" spans="1:14" x14ac:dyDescent="0.35">
      <c r="A2254" t="s">
        <v>4178</v>
      </c>
      <c r="B2254" t="s">
        <v>1907</v>
      </c>
      <c r="C2254" t="s">
        <v>471</v>
      </c>
      <c r="D2254" t="s">
        <v>1904</v>
      </c>
      <c r="E2254" t="s">
        <v>1931</v>
      </c>
      <c r="F2254" t="s">
        <v>1895</v>
      </c>
      <c r="G2254">
        <v>180751</v>
      </c>
      <c r="H2254" s="1">
        <v>45506</v>
      </c>
      <c r="I2254" s="1"/>
      <c r="L2254" t="s">
        <v>30</v>
      </c>
      <c r="M2254" t="s">
        <v>1953</v>
      </c>
      <c r="N2254" t="s">
        <v>1887</v>
      </c>
    </row>
    <row r="2255" spans="1:14" x14ac:dyDescent="0.35">
      <c r="A2255" t="s">
        <v>4179</v>
      </c>
      <c r="B2255" t="s">
        <v>1944</v>
      </c>
      <c r="C2255" t="s">
        <v>497</v>
      </c>
      <c r="D2255" t="s">
        <v>1904</v>
      </c>
      <c r="E2255" t="s">
        <v>1587</v>
      </c>
      <c r="F2255" t="s">
        <v>1892</v>
      </c>
      <c r="G2255">
        <v>141620</v>
      </c>
      <c r="H2255" s="1">
        <v>45020</v>
      </c>
      <c r="I2255" s="1"/>
      <c r="L2255" t="s">
        <v>21</v>
      </c>
      <c r="M2255" t="s">
        <v>1893</v>
      </c>
      <c r="N2255" t="s">
        <v>1887</v>
      </c>
    </row>
    <row r="2256" spans="1:14" x14ac:dyDescent="0.35">
      <c r="A2256" t="s">
        <v>4180</v>
      </c>
      <c r="B2256" t="s">
        <v>1934</v>
      </c>
      <c r="C2256" t="s">
        <v>342</v>
      </c>
      <c r="D2256" t="s">
        <v>1915</v>
      </c>
      <c r="E2256" t="s">
        <v>1884</v>
      </c>
      <c r="F2256" t="s">
        <v>1895</v>
      </c>
      <c r="G2256">
        <v>246005</v>
      </c>
      <c r="H2256" s="1">
        <v>44945</v>
      </c>
      <c r="I2256" s="1"/>
      <c r="L2256" t="s">
        <v>15</v>
      </c>
      <c r="M2256" t="s">
        <v>1896</v>
      </c>
      <c r="N2256" t="s">
        <v>1887</v>
      </c>
    </row>
    <row r="2257" spans="1:14" x14ac:dyDescent="0.35">
      <c r="A2257" t="s">
        <v>4181</v>
      </c>
      <c r="B2257" t="s">
        <v>1903</v>
      </c>
      <c r="C2257" t="s">
        <v>480</v>
      </c>
      <c r="D2257" t="s">
        <v>1927</v>
      </c>
      <c r="E2257" t="s">
        <v>1905</v>
      </c>
      <c r="F2257" t="s">
        <v>1900</v>
      </c>
      <c r="G2257">
        <v>212050</v>
      </c>
      <c r="H2257" s="1">
        <v>45520</v>
      </c>
      <c r="I2257" s="1">
        <v>45668</v>
      </c>
      <c r="J2257">
        <v>148</v>
      </c>
      <c r="K2257">
        <v>5</v>
      </c>
      <c r="L2257" t="s">
        <v>30</v>
      </c>
      <c r="M2257" t="s">
        <v>1953</v>
      </c>
      <c r="N2257" t="s">
        <v>1887</v>
      </c>
    </row>
    <row r="2258" spans="1:14" x14ac:dyDescent="0.35">
      <c r="A2258" t="s">
        <v>4182</v>
      </c>
      <c r="B2258" t="s">
        <v>1924</v>
      </c>
      <c r="C2258" t="s">
        <v>312</v>
      </c>
      <c r="D2258" t="s">
        <v>1883</v>
      </c>
      <c r="E2258" t="s">
        <v>1678</v>
      </c>
      <c r="F2258" t="s">
        <v>1895</v>
      </c>
      <c r="G2258">
        <v>51259</v>
      </c>
      <c r="H2258" s="1">
        <v>45087</v>
      </c>
      <c r="I2258" s="1"/>
      <c r="K2258">
        <v>5.6</v>
      </c>
      <c r="L2258" t="s">
        <v>47</v>
      </c>
      <c r="M2258" t="s">
        <v>1893</v>
      </c>
      <c r="N2258" t="s">
        <v>1887</v>
      </c>
    </row>
    <row r="2259" spans="1:14" x14ac:dyDescent="0.35">
      <c r="A2259" t="s">
        <v>4183</v>
      </c>
      <c r="B2259" t="s">
        <v>1937</v>
      </c>
      <c r="C2259" t="s">
        <v>279</v>
      </c>
      <c r="D2259" t="s">
        <v>1904</v>
      </c>
      <c r="E2259" t="s">
        <v>1678</v>
      </c>
      <c r="F2259" t="s">
        <v>1885</v>
      </c>
      <c r="G2259">
        <v>1840460</v>
      </c>
      <c r="H2259" s="1">
        <v>45025</v>
      </c>
      <c r="I2259" s="1">
        <v>45074</v>
      </c>
      <c r="J2259">
        <v>49</v>
      </c>
      <c r="K2259">
        <v>1.3</v>
      </c>
      <c r="L2259" t="s">
        <v>15</v>
      </c>
      <c r="M2259" t="s">
        <v>1893</v>
      </c>
      <c r="N2259" t="s">
        <v>1966</v>
      </c>
    </row>
    <row r="2260" spans="1:14" x14ac:dyDescent="0.35">
      <c r="A2260" t="s">
        <v>4184</v>
      </c>
      <c r="B2260" t="s">
        <v>1926</v>
      </c>
      <c r="C2260" t="s">
        <v>434</v>
      </c>
      <c r="D2260" t="s">
        <v>1915</v>
      </c>
      <c r="E2260" t="s">
        <v>1678</v>
      </c>
      <c r="F2260" t="s">
        <v>1900</v>
      </c>
      <c r="G2260">
        <v>498867</v>
      </c>
      <c r="H2260" s="1">
        <v>45418</v>
      </c>
      <c r="I2260" s="1">
        <v>45560</v>
      </c>
      <c r="J2260">
        <v>142</v>
      </c>
      <c r="K2260">
        <v>24.9</v>
      </c>
      <c r="L2260" t="s">
        <v>47</v>
      </c>
      <c r="M2260" t="s">
        <v>1935</v>
      </c>
      <c r="N2260" t="s">
        <v>1887</v>
      </c>
    </row>
    <row r="2261" spans="1:14" x14ac:dyDescent="0.35">
      <c r="A2261" t="s">
        <v>4185</v>
      </c>
      <c r="B2261" t="s">
        <v>1914</v>
      </c>
      <c r="C2261" t="s">
        <v>316</v>
      </c>
      <c r="D2261" t="s">
        <v>1927</v>
      </c>
      <c r="E2261" t="s">
        <v>1918</v>
      </c>
      <c r="F2261" t="s">
        <v>1895</v>
      </c>
      <c r="G2261">
        <v>319394</v>
      </c>
      <c r="H2261" s="1">
        <v>45283</v>
      </c>
      <c r="I2261" s="1"/>
      <c r="K2261">
        <v>5.6</v>
      </c>
      <c r="L2261" t="s">
        <v>15</v>
      </c>
      <c r="M2261" t="s">
        <v>1886</v>
      </c>
      <c r="N2261" t="s">
        <v>1887</v>
      </c>
    </row>
    <row r="2262" spans="1:14" x14ac:dyDescent="0.35">
      <c r="A2262" t="s">
        <v>4186</v>
      </c>
      <c r="B2262" t="s">
        <v>1937</v>
      </c>
      <c r="C2262" t="s">
        <v>319</v>
      </c>
      <c r="D2262" t="s">
        <v>1890</v>
      </c>
      <c r="E2262" t="s">
        <v>1891</v>
      </c>
      <c r="F2262" t="s">
        <v>1885</v>
      </c>
      <c r="G2262">
        <v>175217</v>
      </c>
      <c r="H2262" s="1">
        <v>45201</v>
      </c>
      <c r="I2262" s="1">
        <v>45237</v>
      </c>
      <c r="J2262">
        <v>36</v>
      </c>
      <c r="K2262">
        <v>15</v>
      </c>
      <c r="L2262" t="s">
        <v>15</v>
      </c>
      <c r="M2262" t="s">
        <v>1886</v>
      </c>
      <c r="N2262" t="s">
        <v>1887</v>
      </c>
    </row>
    <row r="2263" spans="1:14" x14ac:dyDescent="0.35">
      <c r="A2263" t="s">
        <v>4187</v>
      </c>
      <c r="B2263" t="s">
        <v>1922</v>
      </c>
      <c r="C2263" t="s">
        <v>428</v>
      </c>
      <c r="D2263" t="s">
        <v>1927</v>
      </c>
      <c r="E2263" t="s">
        <v>1884</v>
      </c>
      <c r="F2263" t="s">
        <v>1900</v>
      </c>
      <c r="G2263">
        <v>241662</v>
      </c>
      <c r="H2263" s="1">
        <v>45349</v>
      </c>
      <c r="I2263" s="1">
        <v>45430</v>
      </c>
      <c r="J2263">
        <v>81</v>
      </c>
      <c r="K2263">
        <v>0.3</v>
      </c>
      <c r="L2263" t="s">
        <v>15</v>
      </c>
      <c r="M2263" t="s">
        <v>1916</v>
      </c>
      <c r="N2263" t="s">
        <v>1887</v>
      </c>
    </row>
    <row r="2264" spans="1:14" x14ac:dyDescent="0.35">
      <c r="A2264" t="s">
        <v>4188</v>
      </c>
      <c r="B2264" t="s">
        <v>1930</v>
      </c>
      <c r="C2264" t="s">
        <v>366</v>
      </c>
      <c r="D2264" t="s">
        <v>1915</v>
      </c>
      <c r="E2264" t="s">
        <v>1918</v>
      </c>
      <c r="F2264" t="s">
        <v>1946</v>
      </c>
      <c r="G2264">
        <v>426074</v>
      </c>
      <c r="H2264" s="1">
        <v>45027</v>
      </c>
      <c r="I2264" s="1"/>
      <c r="L2264" t="s">
        <v>15</v>
      </c>
      <c r="M2264" t="s">
        <v>1893</v>
      </c>
      <c r="N2264" t="s">
        <v>1887</v>
      </c>
    </row>
    <row r="2265" spans="1:14" x14ac:dyDescent="0.35">
      <c r="A2265" t="s">
        <v>4189</v>
      </c>
      <c r="B2265" t="s">
        <v>1903</v>
      </c>
      <c r="C2265" t="s">
        <v>261</v>
      </c>
      <c r="D2265" t="s">
        <v>1927</v>
      </c>
      <c r="E2265" t="s">
        <v>1678</v>
      </c>
      <c r="F2265" t="s">
        <v>1908</v>
      </c>
      <c r="G2265">
        <v>285876</v>
      </c>
      <c r="H2265" s="1">
        <v>45510</v>
      </c>
      <c r="I2265" s="1"/>
      <c r="L2265" t="s">
        <v>30</v>
      </c>
      <c r="M2265" t="s">
        <v>1953</v>
      </c>
      <c r="N2265" t="s">
        <v>1887</v>
      </c>
    </row>
    <row r="2266" spans="1:14" x14ac:dyDescent="0.35">
      <c r="A2266" t="s">
        <v>4190</v>
      </c>
      <c r="B2266" t="s">
        <v>1924</v>
      </c>
      <c r="C2266" t="s">
        <v>190</v>
      </c>
      <c r="D2266" t="s">
        <v>1890</v>
      </c>
      <c r="E2266" t="s">
        <v>1918</v>
      </c>
      <c r="F2266" t="s">
        <v>1900</v>
      </c>
      <c r="G2266">
        <v>97905</v>
      </c>
      <c r="H2266" s="1">
        <v>44986</v>
      </c>
      <c r="I2266" s="1">
        <v>45099</v>
      </c>
      <c r="J2266">
        <v>113</v>
      </c>
      <c r="K2266">
        <v>5.6</v>
      </c>
      <c r="L2266" t="s">
        <v>47</v>
      </c>
      <c r="M2266" t="s">
        <v>1896</v>
      </c>
      <c r="N2266" t="s">
        <v>1887</v>
      </c>
    </row>
    <row r="2267" spans="1:14" x14ac:dyDescent="0.35">
      <c r="A2267" t="s">
        <v>4191</v>
      </c>
      <c r="B2267" t="s">
        <v>1934</v>
      </c>
      <c r="C2267" t="s">
        <v>152</v>
      </c>
      <c r="D2267" t="s">
        <v>1904</v>
      </c>
      <c r="E2267" t="s">
        <v>1905</v>
      </c>
      <c r="F2267" t="s">
        <v>1908</v>
      </c>
      <c r="G2267">
        <v>373825</v>
      </c>
      <c r="H2267" s="1">
        <v>45119</v>
      </c>
      <c r="I2267" s="1"/>
      <c r="K2267">
        <v>10.7</v>
      </c>
      <c r="L2267" t="s">
        <v>47</v>
      </c>
      <c r="M2267" t="s">
        <v>1932</v>
      </c>
      <c r="N2267" t="s">
        <v>1887</v>
      </c>
    </row>
    <row r="2268" spans="1:14" x14ac:dyDescent="0.35">
      <c r="A2268" t="s">
        <v>4192</v>
      </c>
      <c r="B2268" t="s">
        <v>1889</v>
      </c>
      <c r="C2268" t="s">
        <v>97</v>
      </c>
      <c r="D2268" t="s">
        <v>1890</v>
      </c>
      <c r="E2268" t="s">
        <v>1931</v>
      </c>
      <c r="F2268" t="s">
        <v>1946</v>
      </c>
      <c r="G2268">
        <v>95823</v>
      </c>
      <c r="H2268" s="1">
        <v>45379</v>
      </c>
      <c r="I2268" s="1"/>
      <c r="L2268" t="s">
        <v>15</v>
      </c>
      <c r="M2268" t="s">
        <v>1916</v>
      </c>
      <c r="N2268" t="s">
        <v>1887</v>
      </c>
    </row>
    <row r="2269" spans="1:14" x14ac:dyDescent="0.35">
      <c r="A2269" t="s">
        <v>4193</v>
      </c>
      <c r="B2269" t="s">
        <v>1911</v>
      </c>
      <c r="C2269" t="s">
        <v>456</v>
      </c>
      <c r="D2269" t="s">
        <v>1899</v>
      </c>
      <c r="E2269" t="s">
        <v>1600</v>
      </c>
      <c r="F2269" t="s">
        <v>1908</v>
      </c>
      <c r="G2269">
        <v>225340</v>
      </c>
      <c r="H2269" s="1">
        <v>45058</v>
      </c>
      <c r="I2269" s="1"/>
      <c r="K2269">
        <v>0.2</v>
      </c>
      <c r="L2269" t="s">
        <v>47</v>
      </c>
      <c r="M2269" t="s">
        <v>1893</v>
      </c>
      <c r="N2269" t="s">
        <v>1887</v>
      </c>
    </row>
    <row r="2270" spans="1:14" x14ac:dyDescent="0.35">
      <c r="A2270" t="s">
        <v>4194</v>
      </c>
      <c r="B2270" t="s">
        <v>1889</v>
      </c>
      <c r="C2270" t="s">
        <v>66</v>
      </c>
      <c r="D2270" t="s">
        <v>1904</v>
      </c>
      <c r="E2270" t="s">
        <v>1891</v>
      </c>
      <c r="F2270" t="s">
        <v>1908</v>
      </c>
      <c r="G2270">
        <v>418307</v>
      </c>
      <c r="H2270" s="1">
        <v>45678</v>
      </c>
      <c r="I2270" s="1"/>
      <c r="K2270">
        <v>13</v>
      </c>
      <c r="L2270" t="s">
        <v>30</v>
      </c>
      <c r="M2270" t="s">
        <v>1912</v>
      </c>
      <c r="N2270" t="s">
        <v>1887</v>
      </c>
    </row>
    <row r="2271" spans="1:14" x14ac:dyDescent="0.35">
      <c r="A2271" t="s">
        <v>4195</v>
      </c>
      <c r="B2271" t="s">
        <v>1882</v>
      </c>
      <c r="C2271" t="s">
        <v>97</v>
      </c>
      <c r="D2271" t="s">
        <v>1890</v>
      </c>
      <c r="E2271" t="s">
        <v>1905</v>
      </c>
      <c r="F2271" t="s">
        <v>1895</v>
      </c>
      <c r="G2271">
        <v>458332</v>
      </c>
      <c r="H2271" s="1">
        <v>45466</v>
      </c>
      <c r="I2271" s="1"/>
      <c r="L2271" t="s">
        <v>21</v>
      </c>
      <c r="M2271" t="s">
        <v>1935</v>
      </c>
      <c r="N2271" t="s">
        <v>1887</v>
      </c>
    </row>
    <row r="2272" spans="1:14" x14ac:dyDescent="0.35">
      <c r="A2272" t="s">
        <v>4196</v>
      </c>
      <c r="B2272" t="s">
        <v>1922</v>
      </c>
      <c r="C2272" t="s">
        <v>404</v>
      </c>
      <c r="D2272" t="s">
        <v>1890</v>
      </c>
      <c r="E2272" t="s">
        <v>1891</v>
      </c>
      <c r="F2272" t="s">
        <v>1895</v>
      </c>
      <c r="G2272">
        <v>258018</v>
      </c>
      <c r="H2272" s="1">
        <v>45142</v>
      </c>
      <c r="I2272" s="1"/>
      <c r="L2272" t="s">
        <v>21</v>
      </c>
      <c r="M2272" t="s">
        <v>1932</v>
      </c>
      <c r="N2272" t="s">
        <v>1887</v>
      </c>
    </row>
    <row r="2273" spans="1:14" x14ac:dyDescent="0.35">
      <c r="A2273" t="s">
        <v>4197</v>
      </c>
      <c r="B2273" t="s">
        <v>1882</v>
      </c>
      <c r="C2273" t="s">
        <v>344</v>
      </c>
      <c r="D2273" t="s">
        <v>1890</v>
      </c>
      <c r="E2273" t="s">
        <v>1678</v>
      </c>
      <c r="F2273" t="s">
        <v>1900</v>
      </c>
      <c r="G2273">
        <v>399413</v>
      </c>
      <c r="H2273" s="1">
        <v>45612</v>
      </c>
      <c r="I2273" s="1">
        <v>45645</v>
      </c>
      <c r="J2273">
        <v>33</v>
      </c>
      <c r="K2273">
        <v>1.2</v>
      </c>
      <c r="L2273" t="s">
        <v>30</v>
      </c>
      <c r="M2273" t="s">
        <v>1901</v>
      </c>
      <c r="N2273" t="s">
        <v>1887</v>
      </c>
    </row>
    <row r="2274" spans="1:14" x14ac:dyDescent="0.35">
      <c r="A2274" t="s">
        <v>4198</v>
      </c>
      <c r="B2274" t="s">
        <v>1903</v>
      </c>
      <c r="C2274" t="s">
        <v>230</v>
      </c>
      <c r="D2274" t="s">
        <v>1899</v>
      </c>
      <c r="E2274" t="s">
        <v>1931</v>
      </c>
      <c r="F2274" t="s">
        <v>1895</v>
      </c>
      <c r="G2274">
        <v>499342</v>
      </c>
      <c r="H2274" s="1">
        <v>45504</v>
      </c>
      <c r="I2274" s="1"/>
      <c r="K2274">
        <v>4.0999999999999996</v>
      </c>
      <c r="L2274" t="s">
        <v>30</v>
      </c>
      <c r="M2274" t="s">
        <v>1953</v>
      </c>
      <c r="N2274" t="s">
        <v>1887</v>
      </c>
    </row>
    <row r="2275" spans="1:14" x14ac:dyDescent="0.35">
      <c r="A2275" t="s">
        <v>4199</v>
      </c>
      <c r="B2275" t="s">
        <v>1930</v>
      </c>
      <c r="C2275" t="s">
        <v>381</v>
      </c>
      <c r="D2275" t="s">
        <v>1927</v>
      </c>
      <c r="E2275" t="s">
        <v>1678</v>
      </c>
      <c r="F2275" t="s">
        <v>1885</v>
      </c>
      <c r="G2275">
        <v>316343</v>
      </c>
      <c r="H2275" s="1">
        <v>45360</v>
      </c>
      <c r="I2275" s="1">
        <v>45487</v>
      </c>
      <c r="J2275">
        <v>127</v>
      </c>
      <c r="K2275">
        <v>14.2</v>
      </c>
      <c r="L2275" t="s">
        <v>30</v>
      </c>
      <c r="M2275" t="s">
        <v>1916</v>
      </c>
      <c r="N2275" t="s">
        <v>1887</v>
      </c>
    </row>
    <row r="2276" spans="1:14" x14ac:dyDescent="0.35">
      <c r="A2276" t="s">
        <v>4200</v>
      </c>
      <c r="B2276" t="s">
        <v>1944</v>
      </c>
      <c r="C2276" t="s">
        <v>154</v>
      </c>
      <c r="D2276" t="s">
        <v>1927</v>
      </c>
      <c r="E2276" t="s">
        <v>1905</v>
      </c>
      <c r="F2276" t="s">
        <v>1895</v>
      </c>
      <c r="G2276">
        <v>446673</v>
      </c>
      <c r="H2276" s="1">
        <v>45565</v>
      </c>
      <c r="I2276" s="1"/>
      <c r="L2276" t="s">
        <v>21</v>
      </c>
      <c r="M2276" t="s">
        <v>1953</v>
      </c>
      <c r="N2276" t="s">
        <v>1887</v>
      </c>
    </row>
    <row r="2277" spans="1:14" x14ac:dyDescent="0.35">
      <c r="A2277" t="s">
        <v>4201</v>
      </c>
      <c r="B2277" t="s">
        <v>1937</v>
      </c>
      <c r="C2277" t="s">
        <v>394</v>
      </c>
      <c r="D2277" t="s">
        <v>1890</v>
      </c>
      <c r="E2277" t="s">
        <v>1891</v>
      </c>
      <c r="F2277" t="s">
        <v>1946</v>
      </c>
      <c r="G2277">
        <v>226572</v>
      </c>
      <c r="H2277" s="1">
        <v>45604</v>
      </c>
      <c r="I2277" s="1"/>
      <c r="K2277">
        <v>1</v>
      </c>
      <c r="L2277" t="s">
        <v>47</v>
      </c>
      <c r="M2277" t="s">
        <v>1901</v>
      </c>
      <c r="N2277" t="s">
        <v>1887</v>
      </c>
    </row>
    <row r="2278" spans="1:14" x14ac:dyDescent="0.35">
      <c r="A2278" t="s">
        <v>4202</v>
      </c>
      <c r="B2278" t="s">
        <v>1934</v>
      </c>
      <c r="C2278" t="s">
        <v>131</v>
      </c>
      <c r="D2278" t="s">
        <v>1915</v>
      </c>
      <c r="E2278" t="s">
        <v>1600</v>
      </c>
      <c r="F2278" t="s">
        <v>1908</v>
      </c>
      <c r="G2278">
        <v>94064</v>
      </c>
      <c r="H2278" s="1">
        <v>45633</v>
      </c>
      <c r="I2278" s="1"/>
      <c r="K2278">
        <v>8</v>
      </c>
      <c r="L2278" t="s">
        <v>21</v>
      </c>
      <c r="M2278" t="s">
        <v>1901</v>
      </c>
      <c r="N2278" t="s">
        <v>1887</v>
      </c>
    </row>
    <row r="2279" spans="1:14" x14ac:dyDescent="0.35">
      <c r="A2279" t="s">
        <v>4203</v>
      </c>
      <c r="B2279" t="s">
        <v>1937</v>
      </c>
      <c r="C2279" t="s">
        <v>18</v>
      </c>
      <c r="D2279" t="s">
        <v>1927</v>
      </c>
      <c r="E2279" t="s">
        <v>1931</v>
      </c>
      <c r="F2279" t="s">
        <v>1908</v>
      </c>
      <c r="G2279">
        <v>414262</v>
      </c>
      <c r="H2279" s="1">
        <v>45165</v>
      </c>
      <c r="I2279" s="1"/>
      <c r="K2279">
        <v>6.8</v>
      </c>
      <c r="L2279" t="s">
        <v>15</v>
      </c>
      <c r="M2279" t="s">
        <v>1932</v>
      </c>
      <c r="N2279" t="s">
        <v>1887</v>
      </c>
    </row>
    <row r="2280" spans="1:14" x14ac:dyDescent="0.35">
      <c r="A2280" t="s">
        <v>4204</v>
      </c>
      <c r="B2280" t="s">
        <v>1926</v>
      </c>
      <c r="C2280" t="s">
        <v>18</v>
      </c>
      <c r="D2280" t="s">
        <v>1883</v>
      </c>
      <c r="E2280" t="s">
        <v>1587</v>
      </c>
      <c r="F2280" t="s">
        <v>1885</v>
      </c>
      <c r="G2280">
        <v>399520</v>
      </c>
      <c r="H2280" s="1">
        <v>45278</v>
      </c>
      <c r="I2280" s="1">
        <v>45309</v>
      </c>
      <c r="J2280">
        <v>31</v>
      </c>
      <c r="K2280">
        <v>14.7</v>
      </c>
      <c r="L2280" t="s">
        <v>21</v>
      </c>
      <c r="M2280" t="s">
        <v>1886</v>
      </c>
      <c r="N2280" t="s">
        <v>1887</v>
      </c>
    </row>
    <row r="2281" spans="1:14" x14ac:dyDescent="0.35">
      <c r="A2281" t="s">
        <v>4205</v>
      </c>
      <c r="B2281" t="s">
        <v>1920</v>
      </c>
      <c r="C2281" t="s">
        <v>62</v>
      </c>
      <c r="D2281" t="s">
        <v>1904</v>
      </c>
      <c r="E2281" t="s">
        <v>1600</v>
      </c>
      <c r="F2281" t="s">
        <v>1892</v>
      </c>
      <c r="G2281">
        <v>182470</v>
      </c>
      <c r="H2281" s="1">
        <v>45349</v>
      </c>
      <c r="I2281" s="1"/>
      <c r="K2281">
        <v>12</v>
      </c>
      <c r="L2281" t="s">
        <v>21</v>
      </c>
      <c r="M2281" t="s">
        <v>1916</v>
      </c>
      <c r="N2281" t="s">
        <v>1887</v>
      </c>
    </row>
    <row r="2282" spans="1:14" x14ac:dyDescent="0.35">
      <c r="A2282" t="s">
        <v>4206</v>
      </c>
      <c r="B2282" t="s">
        <v>1903</v>
      </c>
      <c r="C2282" t="s">
        <v>348</v>
      </c>
      <c r="D2282" t="s">
        <v>1927</v>
      </c>
      <c r="E2282" t="s">
        <v>1918</v>
      </c>
      <c r="F2282" t="s">
        <v>1885</v>
      </c>
      <c r="G2282">
        <v>352533</v>
      </c>
      <c r="H2282" s="1">
        <v>45162</v>
      </c>
      <c r="I2282" s="1">
        <v>45291</v>
      </c>
      <c r="J2282">
        <v>129</v>
      </c>
      <c r="K2282">
        <v>3.4</v>
      </c>
      <c r="L2282" t="s">
        <v>15</v>
      </c>
      <c r="M2282" t="s">
        <v>1932</v>
      </c>
      <c r="N2282" t="s">
        <v>1887</v>
      </c>
    </row>
    <row r="2283" spans="1:14" x14ac:dyDescent="0.35">
      <c r="A2283" t="s">
        <v>4207</v>
      </c>
      <c r="B2283" t="s">
        <v>1907</v>
      </c>
      <c r="C2283" t="s">
        <v>421</v>
      </c>
      <c r="D2283" t="s">
        <v>1915</v>
      </c>
      <c r="E2283" t="s">
        <v>1891</v>
      </c>
      <c r="F2283" t="s">
        <v>1895</v>
      </c>
      <c r="G2283">
        <v>367577</v>
      </c>
      <c r="H2283" s="1">
        <v>45127</v>
      </c>
      <c r="I2283" s="1"/>
      <c r="K2283">
        <v>2.4</v>
      </c>
      <c r="L2283" t="s">
        <v>30</v>
      </c>
      <c r="M2283" t="s">
        <v>1932</v>
      </c>
      <c r="N2283" t="s">
        <v>1887</v>
      </c>
    </row>
    <row r="2284" spans="1:14" x14ac:dyDescent="0.35">
      <c r="A2284" t="s">
        <v>4208</v>
      </c>
      <c r="B2284" t="s">
        <v>1903</v>
      </c>
      <c r="C2284" t="s">
        <v>389</v>
      </c>
      <c r="D2284" t="s">
        <v>1899</v>
      </c>
      <c r="E2284" t="s">
        <v>1678</v>
      </c>
      <c r="F2284" t="s">
        <v>1885</v>
      </c>
      <c r="G2284">
        <v>291399</v>
      </c>
      <c r="H2284" s="1">
        <v>45544</v>
      </c>
      <c r="I2284" s="1">
        <v>45722</v>
      </c>
      <c r="J2284">
        <v>178</v>
      </c>
      <c r="K2284">
        <v>7.1</v>
      </c>
      <c r="L2284" t="s">
        <v>21</v>
      </c>
      <c r="M2284" t="s">
        <v>1953</v>
      </c>
      <c r="N2284" t="s">
        <v>1887</v>
      </c>
    </row>
    <row r="2285" spans="1:14" x14ac:dyDescent="0.35">
      <c r="A2285" t="s">
        <v>4209</v>
      </c>
      <c r="B2285" t="s">
        <v>1889</v>
      </c>
      <c r="C2285" t="s">
        <v>220</v>
      </c>
      <c r="D2285" t="s">
        <v>1904</v>
      </c>
      <c r="E2285" t="s">
        <v>1891</v>
      </c>
      <c r="F2285" t="s">
        <v>1895</v>
      </c>
      <c r="G2285">
        <v>207670</v>
      </c>
      <c r="H2285" s="1">
        <v>45559</v>
      </c>
      <c r="I2285" s="1"/>
      <c r="K2285">
        <v>14.9</v>
      </c>
      <c r="L2285" t="s">
        <v>21</v>
      </c>
      <c r="M2285" t="s">
        <v>1953</v>
      </c>
      <c r="N2285" t="s">
        <v>1887</v>
      </c>
    </row>
    <row r="2286" spans="1:14" x14ac:dyDescent="0.35">
      <c r="A2286" t="s">
        <v>4210</v>
      </c>
      <c r="B2286" t="s">
        <v>1898</v>
      </c>
      <c r="C2286" t="s">
        <v>341</v>
      </c>
      <c r="D2286" t="s">
        <v>1915</v>
      </c>
      <c r="E2286" t="s">
        <v>1587</v>
      </c>
      <c r="F2286" t="s">
        <v>1895</v>
      </c>
      <c r="G2286">
        <v>157275</v>
      </c>
      <c r="H2286" s="1">
        <v>44971</v>
      </c>
      <c r="I2286" s="1"/>
      <c r="K2286">
        <v>8.8000000000000007</v>
      </c>
      <c r="L2286" t="s">
        <v>30</v>
      </c>
      <c r="M2286" t="s">
        <v>1896</v>
      </c>
      <c r="N2286" t="s">
        <v>1887</v>
      </c>
    </row>
    <row r="2287" spans="1:14" x14ac:dyDescent="0.35">
      <c r="A2287" t="s">
        <v>4211</v>
      </c>
      <c r="B2287" t="s">
        <v>1903</v>
      </c>
      <c r="C2287" t="s">
        <v>461</v>
      </c>
      <c r="D2287" t="s">
        <v>1915</v>
      </c>
      <c r="E2287" t="s">
        <v>1600</v>
      </c>
      <c r="F2287" t="s">
        <v>1900</v>
      </c>
      <c r="G2287">
        <v>190722</v>
      </c>
      <c r="H2287" s="1">
        <v>45530</v>
      </c>
      <c r="I2287" s="1">
        <v>45690</v>
      </c>
      <c r="J2287">
        <v>160</v>
      </c>
      <c r="K2287">
        <v>11.7</v>
      </c>
      <c r="L2287" t="s">
        <v>15</v>
      </c>
      <c r="M2287" t="s">
        <v>1953</v>
      </c>
      <c r="N2287" t="s">
        <v>1887</v>
      </c>
    </row>
    <row r="2288" spans="1:14" x14ac:dyDescent="0.35">
      <c r="A2288" t="s">
        <v>4212</v>
      </c>
      <c r="B2288" t="s">
        <v>1889</v>
      </c>
      <c r="C2288" t="s">
        <v>86</v>
      </c>
      <c r="D2288" t="s">
        <v>1899</v>
      </c>
      <c r="E2288" t="s">
        <v>1587</v>
      </c>
      <c r="F2288" t="s">
        <v>1885</v>
      </c>
      <c r="G2288">
        <v>342469</v>
      </c>
      <c r="H2288" s="1">
        <v>45199</v>
      </c>
      <c r="I2288" s="1">
        <v>45246</v>
      </c>
      <c r="J2288">
        <v>47</v>
      </c>
      <c r="L2288" t="s">
        <v>21</v>
      </c>
      <c r="M2288" t="s">
        <v>1932</v>
      </c>
      <c r="N2288" t="s">
        <v>1887</v>
      </c>
    </row>
    <row r="2289" spans="1:14" x14ac:dyDescent="0.35">
      <c r="A2289" t="s">
        <v>4213</v>
      </c>
      <c r="B2289" t="s">
        <v>1937</v>
      </c>
      <c r="C2289" t="s">
        <v>444</v>
      </c>
      <c r="D2289" t="s">
        <v>1904</v>
      </c>
      <c r="E2289" t="s">
        <v>1918</v>
      </c>
      <c r="F2289" t="s">
        <v>1908</v>
      </c>
      <c r="G2289">
        <v>286710</v>
      </c>
      <c r="H2289" s="1">
        <v>45207</v>
      </c>
      <c r="I2289" s="1"/>
      <c r="L2289" t="s">
        <v>47</v>
      </c>
      <c r="M2289" t="s">
        <v>1886</v>
      </c>
      <c r="N2289" t="s">
        <v>1887</v>
      </c>
    </row>
    <row r="2290" spans="1:14" x14ac:dyDescent="0.35">
      <c r="A2290" t="s">
        <v>4214</v>
      </c>
      <c r="B2290" t="s">
        <v>1934</v>
      </c>
      <c r="C2290" t="s">
        <v>128</v>
      </c>
      <c r="D2290" t="s">
        <v>1883</v>
      </c>
      <c r="E2290" t="s">
        <v>1905</v>
      </c>
      <c r="F2290" t="s">
        <v>1892</v>
      </c>
      <c r="G2290">
        <v>477165</v>
      </c>
      <c r="H2290" s="1">
        <v>45100</v>
      </c>
      <c r="I2290" s="1"/>
      <c r="L2290" t="s">
        <v>21</v>
      </c>
      <c r="M2290" t="s">
        <v>1893</v>
      </c>
      <c r="N2290" t="s">
        <v>1887</v>
      </c>
    </row>
    <row r="2291" spans="1:14" x14ac:dyDescent="0.35">
      <c r="A2291" t="s">
        <v>4215</v>
      </c>
      <c r="B2291" t="s">
        <v>1920</v>
      </c>
      <c r="C2291" t="s">
        <v>32</v>
      </c>
      <c r="D2291" t="s">
        <v>1883</v>
      </c>
      <c r="E2291" t="s">
        <v>1918</v>
      </c>
      <c r="F2291" t="s">
        <v>1900</v>
      </c>
      <c r="G2291">
        <v>460064</v>
      </c>
      <c r="H2291" s="1">
        <v>45364</v>
      </c>
      <c r="I2291" s="1">
        <v>45422</v>
      </c>
      <c r="J2291">
        <v>58</v>
      </c>
      <c r="K2291">
        <v>2.4</v>
      </c>
      <c r="L2291" t="s">
        <v>30</v>
      </c>
      <c r="M2291" t="s">
        <v>1916</v>
      </c>
      <c r="N2291" t="s">
        <v>1887</v>
      </c>
    </row>
    <row r="2292" spans="1:14" x14ac:dyDescent="0.35">
      <c r="A2292" t="s">
        <v>4216</v>
      </c>
      <c r="B2292" t="s">
        <v>1930</v>
      </c>
      <c r="C2292" t="s">
        <v>124</v>
      </c>
      <c r="D2292" t="s">
        <v>1915</v>
      </c>
      <c r="E2292" t="s">
        <v>1905</v>
      </c>
      <c r="F2292" t="s">
        <v>1946</v>
      </c>
      <c r="G2292">
        <v>140008</v>
      </c>
      <c r="H2292" s="1">
        <v>45743</v>
      </c>
      <c r="I2292" s="1"/>
      <c r="K2292">
        <v>11.1</v>
      </c>
      <c r="L2292" t="s">
        <v>15</v>
      </c>
      <c r="M2292" t="s">
        <v>1912</v>
      </c>
      <c r="N2292" t="s">
        <v>1887</v>
      </c>
    </row>
    <row r="2293" spans="1:14" x14ac:dyDescent="0.35">
      <c r="A2293" t="s">
        <v>4217</v>
      </c>
      <c r="B2293" t="s">
        <v>1882</v>
      </c>
      <c r="C2293" t="s">
        <v>373</v>
      </c>
      <c r="D2293" t="s">
        <v>1904</v>
      </c>
      <c r="E2293" t="s">
        <v>1905</v>
      </c>
      <c r="F2293" t="s">
        <v>1908</v>
      </c>
      <c r="G2293">
        <v>293446</v>
      </c>
      <c r="H2293" s="1">
        <v>45150</v>
      </c>
      <c r="I2293" s="1"/>
      <c r="L2293" t="s">
        <v>30</v>
      </c>
      <c r="M2293" t="s">
        <v>1932</v>
      </c>
      <c r="N2293" t="s">
        <v>1887</v>
      </c>
    </row>
    <row r="2294" spans="1:14" x14ac:dyDescent="0.35">
      <c r="A2294" t="s">
        <v>4218</v>
      </c>
      <c r="B2294" t="s">
        <v>1914</v>
      </c>
      <c r="C2294" t="s">
        <v>34</v>
      </c>
      <c r="D2294" t="s">
        <v>1904</v>
      </c>
      <c r="E2294" t="s">
        <v>1587</v>
      </c>
      <c r="F2294" t="s">
        <v>1946</v>
      </c>
      <c r="G2294">
        <v>470560</v>
      </c>
      <c r="H2294" s="1">
        <v>45225</v>
      </c>
      <c r="I2294" s="1"/>
      <c r="K2294">
        <v>7</v>
      </c>
      <c r="L2294" t="s">
        <v>47</v>
      </c>
      <c r="M2294" t="s">
        <v>1886</v>
      </c>
      <c r="N2294" t="s">
        <v>1887</v>
      </c>
    </row>
    <row r="2295" spans="1:14" x14ac:dyDescent="0.35">
      <c r="A2295" t="s">
        <v>4219</v>
      </c>
      <c r="B2295" t="s">
        <v>1889</v>
      </c>
      <c r="C2295" t="s">
        <v>66</v>
      </c>
      <c r="D2295" t="s">
        <v>1904</v>
      </c>
      <c r="E2295" t="s">
        <v>1931</v>
      </c>
      <c r="F2295" t="s">
        <v>1908</v>
      </c>
      <c r="G2295">
        <v>104858</v>
      </c>
      <c r="H2295" s="1">
        <v>45339</v>
      </c>
      <c r="I2295" s="1"/>
      <c r="L2295" t="s">
        <v>15</v>
      </c>
      <c r="M2295" t="s">
        <v>1916</v>
      </c>
      <c r="N2295" t="s">
        <v>1887</v>
      </c>
    </row>
    <row r="2296" spans="1:14" x14ac:dyDescent="0.35">
      <c r="A2296" t="s">
        <v>4220</v>
      </c>
      <c r="B2296" t="s">
        <v>1889</v>
      </c>
      <c r="C2296" t="s">
        <v>271</v>
      </c>
      <c r="D2296" t="s">
        <v>1915</v>
      </c>
      <c r="E2296" t="s">
        <v>1905</v>
      </c>
      <c r="F2296" t="s">
        <v>1946</v>
      </c>
      <c r="G2296">
        <v>177877</v>
      </c>
      <c r="H2296" s="1">
        <v>45516</v>
      </c>
      <c r="I2296" s="1"/>
      <c r="L2296" t="s">
        <v>47</v>
      </c>
      <c r="M2296" t="s">
        <v>1953</v>
      </c>
      <c r="N2296" t="s">
        <v>1887</v>
      </c>
    </row>
    <row r="2297" spans="1:14" x14ac:dyDescent="0.35">
      <c r="A2297" t="s">
        <v>4221</v>
      </c>
      <c r="B2297" t="s">
        <v>1963</v>
      </c>
      <c r="C2297" t="s">
        <v>77</v>
      </c>
      <c r="D2297" t="s">
        <v>1899</v>
      </c>
      <c r="E2297" t="s">
        <v>1905</v>
      </c>
      <c r="F2297" t="s">
        <v>1946</v>
      </c>
      <c r="G2297">
        <v>348797</v>
      </c>
      <c r="H2297" s="1">
        <v>44961</v>
      </c>
      <c r="I2297" s="1"/>
      <c r="K2297">
        <v>7.3</v>
      </c>
      <c r="L2297" t="s">
        <v>15</v>
      </c>
      <c r="M2297" t="s">
        <v>1896</v>
      </c>
      <c r="N2297" t="s">
        <v>1887</v>
      </c>
    </row>
    <row r="2298" spans="1:14" x14ac:dyDescent="0.35">
      <c r="A2298" t="s">
        <v>4222</v>
      </c>
      <c r="B2298" t="s">
        <v>1926</v>
      </c>
      <c r="C2298" t="s">
        <v>399</v>
      </c>
      <c r="D2298" t="s">
        <v>1899</v>
      </c>
      <c r="E2298" t="s">
        <v>1931</v>
      </c>
      <c r="F2298" t="s">
        <v>1885</v>
      </c>
      <c r="G2298">
        <v>442377</v>
      </c>
      <c r="H2298" s="1">
        <v>45575</v>
      </c>
      <c r="I2298" s="1">
        <v>45625</v>
      </c>
      <c r="J2298">
        <v>50</v>
      </c>
      <c r="K2298">
        <v>0.7</v>
      </c>
      <c r="L2298" t="s">
        <v>15</v>
      </c>
      <c r="M2298" t="s">
        <v>1901</v>
      </c>
      <c r="N2298" t="s">
        <v>1887</v>
      </c>
    </row>
    <row r="2299" spans="1:14" x14ac:dyDescent="0.35">
      <c r="A2299" t="s">
        <v>4223</v>
      </c>
      <c r="B2299" t="s">
        <v>1911</v>
      </c>
      <c r="C2299" t="s">
        <v>319</v>
      </c>
      <c r="D2299" t="s">
        <v>1904</v>
      </c>
      <c r="E2299" t="s">
        <v>1884</v>
      </c>
      <c r="F2299" t="s">
        <v>1885</v>
      </c>
      <c r="G2299">
        <v>265764</v>
      </c>
      <c r="H2299" s="1">
        <v>45383</v>
      </c>
      <c r="I2299" s="1">
        <v>45506</v>
      </c>
      <c r="J2299">
        <v>123</v>
      </c>
      <c r="K2299">
        <v>4.0999999999999996</v>
      </c>
      <c r="L2299" t="s">
        <v>47</v>
      </c>
      <c r="M2299" t="s">
        <v>1935</v>
      </c>
      <c r="N2299" t="s">
        <v>1887</v>
      </c>
    </row>
    <row r="2300" spans="1:14" x14ac:dyDescent="0.35">
      <c r="A2300" t="s">
        <v>4224</v>
      </c>
      <c r="B2300" t="s">
        <v>1898</v>
      </c>
      <c r="C2300" t="s">
        <v>428</v>
      </c>
      <c r="D2300" t="s">
        <v>1915</v>
      </c>
      <c r="E2300" t="s">
        <v>1891</v>
      </c>
      <c r="F2300" t="s">
        <v>1895</v>
      </c>
      <c r="G2300">
        <v>97957</v>
      </c>
      <c r="H2300" s="1">
        <v>45359</v>
      </c>
      <c r="I2300" s="1"/>
      <c r="K2300">
        <v>7.6</v>
      </c>
      <c r="L2300" t="s">
        <v>15</v>
      </c>
      <c r="M2300" t="s">
        <v>1916</v>
      </c>
      <c r="N2300" t="s">
        <v>1887</v>
      </c>
    </row>
    <row r="2301" spans="1:14" x14ac:dyDescent="0.35">
      <c r="A2301" t="s">
        <v>4225</v>
      </c>
      <c r="B2301" t="s">
        <v>1963</v>
      </c>
      <c r="C2301" t="s">
        <v>230</v>
      </c>
      <c r="D2301" t="s">
        <v>1915</v>
      </c>
      <c r="E2301" t="s">
        <v>1678</v>
      </c>
      <c r="F2301" t="s">
        <v>1900</v>
      </c>
      <c r="G2301">
        <v>425669</v>
      </c>
      <c r="H2301" s="1">
        <v>45259</v>
      </c>
      <c r="I2301" s="1">
        <v>45413</v>
      </c>
      <c r="J2301">
        <v>154</v>
      </c>
      <c r="K2301">
        <v>3.6</v>
      </c>
      <c r="L2301" t="s">
        <v>15</v>
      </c>
      <c r="M2301" t="s">
        <v>1886</v>
      </c>
      <c r="N2301" t="s">
        <v>1887</v>
      </c>
    </row>
    <row r="2302" spans="1:14" x14ac:dyDescent="0.35">
      <c r="A2302" t="s">
        <v>4226</v>
      </c>
      <c r="B2302" t="s">
        <v>1944</v>
      </c>
      <c r="C2302" t="s">
        <v>180</v>
      </c>
      <c r="D2302" t="s">
        <v>1904</v>
      </c>
      <c r="E2302" t="s">
        <v>1945</v>
      </c>
      <c r="F2302" t="s">
        <v>1895</v>
      </c>
      <c r="G2302">
        <v>172996</v>
      </c>
      <c r="H2302" s="1">
        <v>44933</v>
      </c>
      <c r="I2302" s="1"/>
      <c r="K2302">
        <v>12.1</v>
      </c>
      <c r="L2302" t="s">
        <v>15</v>
      </c>
      <c r="M2302" t="s">
        <v>1896</v>
      </c>
      <c r="N2302" t="s">
        <v>1887</v>
      </c>
    </row>
    <row r="2303" spans="1:14" x14ac:dyDescent="0.35">
      <c r="A2303" t="s">
        <v>4227</v>
      </c>
      <c r="B2303" t="s">
        <v>1889</v>
      </c>
      <c r="C2303" t="s">
        <v>57</v>
      </c>
      <c r="D2303" t="s">
        <v>1899</v>
      </c>
      <c r="E2303" t="s">
        <v>1905</v>
      </c>
      <c r="F2303" t="s">
        <v>1895</v>
      </c>
      <c r="G2303">
        <v>276776</v>
      </c>
      <c r="H2303" s="1">
        <v>45668</v>
      </c>
      <c r="I2303" s="1"/>
      <c r="L2303" t="s">
        <v>21</v>
      </c>
      <c r="M2303" t="s">
        <v>1912</v>
      </c>
      <c r="N2303" t="s">
        <v>1887</v>
      </c>
    </row>
    <row r="2304" spans="1:14" x14ac:dyDescent="0.35">
      <c r="A2304" t="s">
        <v>4228</v>
      </c>
      <c r="B2304" t="s">
        <v>1898</v>
      </c>
      <c r="C2304" t="s">
        <v>112</v>
      </c>
      <c r="D2304" t="s">
        <v>1927</v>
      </c>
      <c r="E2304" t="s">
        <v>1905</v>
      </c>
      <c r="F2304" t="s">
        <v>1895</v>
      </c>
      <c r="G2304">
        <v>192093</v>
      </c>
      <c r="H2304" s="1">
        <v>45594</v>
      </c>
      <c r="I2304" s="1"/>
      <c r="K2304">
        <v>12.4</v>
      </c>
      <c r="L2304" t="s">
        <v>21</v>
      </c>
      <c r="M2304" t="s">
        <v>1901</v>
      </c>
      <c r="N2304" t="s">
        <v>1887</v>
      </c>
    </row>
    <row r="2305" spans="1:14" x14ac:dyDescent="0.35">
      <c r="A2305" t="s">
        <v>4229</v>
      </c>
      <c r="B2305" t="s">
        <v>1898</v>
      </c>
      <c r="C2305" t="s">
        <v>367</v>
      </c>
      <c r="D2305" t="s">
        <v>1927</v>
      </c>
      <c r="E2305" t="s">
        <v>1884</v>
      </c>
      <c r="F2305" t="s">
        <v>1885</v>
      </c>
      <c r="G2305">
        <v>308339</v>
      </c>
      <c r="H2305" s="1">
        <v>45269</v>
      </c>
      <c r="I2305" s="1">
        <v>45347</v>
      </c>
      <c r="J2305">
        <v>78</v>
      </c>
      <c r="K2305">
        <v>4.9000000000000004</v>
      </c>
      <c r="L2305" t="s">
        <v>30</v>
      </c>
      <c r="M2305" t="s">
        <v>1886</v>
      </c>
      <c r="N2305" t="s">
        <v>1887</v>
      </c>
    </row>
    <row r="2306" spans="1:14" x14ac:dyDescent="0.35">
      <c r="A2306" t="s">
        <v>4230</v>
      </c>
      <c r="B2306" t="s">
        <v>1926</v>
      </c>
      <c r="C2306" t="s">
        <v>469</v>
      </c>
      <c r="D2306" t="s">
        <v>1915</v>
      </c>
      <c r="E2306" t="s">
        <v>1945</v>
      </c>
      <c r="F2306" t="s">
        <v>1885</v>
      </c>
      <c r="G2306">
        <v>349235</v>
      </c>
      <c r="H2306" s="1">
        <v>45462</v>
      </c>
      <c r="I2306" s="1">
        <v>45641</v>
      </c>
      <c r="J2306">
        <v>179</v>
      </c>
      <c r="K2306">
        <v>9.8000000000000007</v>
      </c>
      <c r="L2306" t="s">
        <v>15</v>
      </c>
      <c r="M2306" t="s">
        <v>1935</v>
      </c>
      <c r="N2306" t="s">
        <v>1887</v>
      </c>
    </row>
    <row r="2307" spans="1:14" x14ac:dyDescent="0.35">
      <c r="A2307" t="s">
        <v>4231</v>
      </c>
      <c r="B2307" t="s">
        <v>1882</v>
      </c>
      <c r="C2307" t="s">
        <v>38</v>
      </c>
      <c r="D2307" t="s">
        <v>1883</v>
      </c>
      <c r="E2307" t="s">
        <v>1931</v>
      </c>
      <c r="F2307" t="s">
        <v>1908</v>
      </c>
      <c r="G2307">
        <v>356184</v>
      </c>
      <c r="H2307" s="1">
        <v>45186</v>
      </c>
      <c r="I2307" s="1"/>
      <c r="K2307">
        <v>9.8000000000000007</v>
      </c>
      <c r="L2307" t="s">
        <v>21</v>
      </c>
      <c r="M2307" t="s">
        <v>1932</v>
      </c>
      <c r="N2307" t="s">
        <v>1887</v>
      </c>
    </row>
    <row r="2308" spans="1:14" x14ac:dyDescent="0.35">
      <c r="A2308" t="s">
        <v>4232</v>
      </c>
      <c r="B2308" t="s">
        <v>1911</v>
      </c>
      <c r="C2308" t="s">
        <v>389</v>
      </c>
      <c r="D2308" t="s">
        <v>1904</v>
      </c>
      <c r="E2308" t="s">
        <v>1884</v>
      </c>
      <c r="F2308" t="s">
        <v>1900</v>
      </c>
      <c r="G2308">
        <v>125229</v>
      </c>
      <c r="H2308" s="1">
        <v>45366</v>
      </c>
      <c r="I2308" s="1">
        <v>45388</v>
      </c>
      <c r="J2308">
        <v>22</v>
      </c>
      <c r="K2308">
        <v>9</v>
      </c>
      <c r="L2308" t="s">
        <v>30</v>
      </c>
      <c r="M2308" t="s">
        <v>1916</v>
      </c>
      <c r="N2308" t="s">
        <v>1887</v>
      </c>
    </row>
    <row r="2309" spans="1:14" x14ac:dyDescent="0.35">
      <c r="A2309" t="s">
        <v>4233</v>
      </c>
      <c r="B2309" t="s">
        <v>1914</v>
      </c>
      <c r="C2309" t="s">
        <v>353</v>
      </c>
      <c r="D2309" t="s">
        <v>1899</v>
      </c>
      <c r="E2309" t="s">
        <v>1600</v>
      </c>
      <c r="F2309" t="s">
        <v>1900</v>
      </c>
      <c r="G2309">
        <v>158088</v>
      </c>
      <c r="H2309" s="1">
        <v>45015</v>
      </c>
      <c r="I2309" s="1">
        <v>45153</v>
      </c>
      <c r="J2309">
        <v>138</v>
      </c>
      <c r="K2309">
        <v>5</v>
      </c>
      <c r="L2309" t="s">
        <v>30</v>
      </c>
      <c r="M2309" t="s">
        <v>1896</v>
      </c>
      <c r="N2309" t="s">
        <v>1887</v>
      </c>
    </row>
    <row r="2310" spans="1:14" x14ac:dyDescent="0.35">
      <c r="A2310" t="s">
        <v>4234</v>
      </c>
      <c r="B2310" t="s">
        <v>1937</v>
      </c>
      <c r="C2310" t="s">
        <v>299</v>
      </c>
      <c r="D2310" t="s">
        <v>1890</v>
      </c>
      <c r="E2310" t="s">
        <v>1931</v>
      </c>
      <c r="F2310" t="s">
        <v>1892</v>
      </c>
      <c r="G2310">
        <v>141036</v>
      </c>
      <c r="H2310" s="1">
        <v>45229</v>
      </c>
      <c r="I2310" s="1"/>
      <c r="K2310">
        <v>5.0999999999999996</v>
      </c>
      <c r="L2310" t="s">
        <v>21</v>
      </c>
      <c r="M2310" t="s">
        <v>1886</v>
      </c>
      <c r="N2310" t="s">
        <v>1887</v>
      </c>
    </row>
    <row r="2311" spans="1:14" x14ac:dyDescent="0.35">
      <c r="A2311" t="s">
        <v>4235</v>
      </c>
      <c r="B2311" t="s">
        <v>1911</v>
      </c>
      <c r="C2311" t="s">
        <v>455</v>
      </c>
      <c r="D2311" t="s">
        <v>1904</v>
      </c>
      <c r="E2311" t="s">
        <v>1931</v>
      </c>
      <c r="F2311" t="s">
        <v>1885</v>
      </c>
      <c r="G2311">
        <v>239921</v>
      </c>
      <c r="H2311" s="1">
        <v>45203</v>
      </c>
      <c r="I2311" s="1">
        <v>45330</v>
      </c>
      <c r="J2311">
        <v>127</v>
      </c>
      <c r="K2311">
        <v>0.6</v>
      </c>
      <c r="L2311" t="s">
        <v>15</v>
      </c>
      <c r="M2311" t="s">
        <v>1886</v>
      </c>
      <c r="N2311" t="s">
        <v>1887</v>
      </c>
    </row>
    <row r="2312" spans="1:14" x14ac:dyDescent="0.35">
      <c r="A2312" t="s">
        <v>4236</v>
      </c>
      <c r="B2312" t="s">
        <v>1903</v>
      </c>
      <c r="C2312" t="s">
        <v>252</v>
      </c>
      <c r="D2312" t="s">
        <v>1904</v>
      </c>
      <c r="E2312" t="s">
        <v>1600</v>
      </c>
      <c r="F2312" t="s">
        <v>1900</v>
      </c>
      <c r="G2312">
        <v>171180</v>
      </c>
      <c r="H2312" s="1">
        <v>45060</v>
      </c>
      <c r="I2312" s="1">
        <v>45095</v>
      </c>
      <c r="J2312">
        <v>35</v>
      </c>
      <c r="K2312">
        <v>19.100000000000001</v>
      </c>
      <c r="L2312" t="s">
        <v>47</v>
      </c>
      <c r="M2312" t="s">
        <v>1893</v>
      </c>
      <c r="N2312" t="s">
        <v>1887</v>
      </c>
    </row>
    <row r="2313" spans="1:14" x14ac:dyDescent="0.35">
      <c r="A2313" t="s">
        <v>4237</v>
      </c>
      <c r="B2313" t="s">
        <v>1920</v>
      </c>
      <c r="C2313" t="s">
        <v>482</v>
      </c>
      <c r="D2313" t="s">
        <v>1915</v>
      </c>
      <c r="E2313" t="s">
        <v>1587</v>
      </c>
      <c r="F2313" t="s">
        <v>1900</v>
      </c>
      <c r="G2313">
        <v>427635</v>
      </c>
      <c r="H2313" s="1">
        <v>45365</v>
      </c>
      <c r="I2313" s="1">
        <v>45460</v>
      </c>
      <c r="J2313">
        <v>95</v>
      </c>
      <c r="K2313">
        <v>21.8</v>
      </c>
      <c r="L2313" t="s">
        <v>30</v>
      </c>
      <c r="M2313" t="s">
        <v>1916</v>
      </c>
      <c r="N2313" t="s">
        <v>1887</v>
      </c>
    </row>
    <row r="2314" spans="1:14" x14ac:dyDescent="0.35">
      <c r="A2314" t="s">
        <v>4238</v>
      </c>
      <c r="B2314" t="s">
        <v>1937</v>
      </c>
      <c r="C2314" t="s">
        <v>230</v>
      </c>
      <c r="D2314" t="s">
        <v>1915</v>
      </c>
      <c r="E2314" t="s">
        <v>1600</v>
      </c>
      <c r="F2314" t="s">
        <v>1900</v>
      </c>
      <c r="G2314">
        <v>487880</v>
      </c>
      <c r="H2314" s="1">
        <v>45107</v>
      </c>
      <c r="I2314" s="1">
        <v>45162</v>
      </c>
      <c r="J2314">
        <v>55</v>
      </c>
      <c r="K2314">
        <v>1.1000000000000001</v>
      </c>
      <c r="L2314" t="s">
        <v>21</v>
      </c>
      <c r="M2314" t="s">
        <v>1893</v>
      </c>
      <c r="N2314" t="s">
        <v>1887</v>
      </c>
    </row>
    <row r="2315" spans="1:14" x14ac:dyDescent="0.35">
      <c r="A2315" t="s">
        <v>4239</v>
      </c>
      <c r="B2315" t="s">
        <v>1882</v>
      </c>
      <c r="C2315" t="s">
        <v>459</v>
      </c>
      <c r="D2315" t="s">
        <v>1904</v>
      </c>
      <c r="E2315" t="s">
        <v>1905</v>
      </c>
      <c r="F2315" t="s">
        <v>1895</v>
      </c>
      <c r="G2315">
        <v>348856</v>
      </c>
      <c r="H2315" s="1">
        <v>45284</v>
      </c>
      <c r="I2315" s="1"/>
      <c r="K2315">
        <v>1.8</v>
      </c>
      <c r="L2315" t="s">
        <v>47</v>
      </c>
      <c r="M2315" t="s">
        <v>1886</v>
      </c>
      <c r="N2315" t="s">
        <v>1887</v>
      </c>
    </row>
    <row r="2316" spans="1:14" x14ac:dyDescent="0.35">
      <c r="A2316" t="s">
        <v>4240</v>
      </c>
      <c r="B2316" t="s">
        <v>1930</v>
      </c>
      <c r="C2316" t="s">
        <v>173</v>
      </c>
      <c r="D2316" t="s">
        <v>1883</v>
      </c>
      <c r="E2316" t="s">
        <v>1918</v>
      </c>
      <c r="F2316" t="s">
        <v>1885</v>
      </c>
      <c r="G2316">
        <v>435940</v>
      </c>
      <c r="H2316" s="1">
        <v>45267</v>
      </c>
      <c r="I2316" s="1">
        <v>45288</v>
      </c>
      <c r="J2316">
        <v>21</v>
      </c>
      <c r="K2316">
        <v>12.8</v>
      </c>
      <c r="L2316" t="s">
        <v>47</v>
      </c>
      <c r="M2316" t="s">
        <v>1886</v>
      </c>
      <c r="N2316" t="s">
        <v>1887</v>
      </c>
    </row>
    <row r="2317" spans="1:14" x14ac:dyDescent="0.35">
      <c r="A2317" t="s">
        <v>4241</v>
      </c>
      <c r="B2317" t="s">
        <v>1920</v>
      </c>
      <c r="C2317" t="s">
        <v>45</v>
      </c>
      <c r="D2317" t="s">
        <v>1899</v>
      </c>
      <c r="E2317" t="s">
        <v>1884</v>
      </c>
      <c r="F2317" t="s">
        <v>1900</v>
      </c>
      <c r="G2317">
        <v>76407</v>
      </c>
      <c r="H2317" s="1">
        <v>45625</v>
      </c>
      <c r="I2317" s="1">
        <v>45770</v>
      </c>
      <c r="J2317">
        <v>145</v>
      </c>
      <c r="K2317">
        <v>10.199999999999999</v>
      </c>
      <c r="L2317" t="s">
        <v>21</v>
      </c>
      <c r="M2317" t="s">
        <v>1901</v>
      </c>
      <c r="N2317" t="s">
        <v>1887</v>
      </c>
    </row>
    <row r="2318" spans="1:14" x14ac:dyDescent="0.35">
      <c r="A2318" t="s">
        <v>4242</v>
      </c>
      <c r="B2318" t="s">
        <v>1911</v>
      </c>
      <c r="C2318" t="s">
        <v>404</v>
      </c>
      <c r="D2318" t="s">
        <v>1927</v>
      </c>
      <c r="E2318" t="s">
        <v>1891</v>
      </c>
      <c r="F2318" t="s">
        <v>1895</v>
      </c>
      <c r="G2318">
        <v>438575</v>
      </c>
      <c r="H2318" s="1">
        <v>45703</v>
      </c>
      <c r="I2318" s="1"/>
      <c r="K2318">
        <v>10.1</v>
      </c>
      <c r="L2318" t="s">
        <v>30</v>
      </c>
      <c r="M2318" t="s">
        <v>1912</v>
      </c>
      <c r="N2318" t="s">
        <v>1887</v>
      </c>
    </row>
    <row r="2319" spans="1:14" x14ac:dyDescent="0.35">
      <c r="A2319" t="s">
        <v>4243</v>
      </c>
      <c r="B2319" t="s">
        <v>1882</v>
      </c>
      <c r="C2319" t="s">
        <v>496</v>
      </c>
      <c r="D2319" t="s">
        <v>1904</v>
      </c>
      <c r="E2319" t="s">
        <v>1891</v>
      </c>
      <c r="F2319" t="s">
        <v>1908</v>
      </c>
      <c r="G2319">
        <v>334757</v>
      </c>
      <c r="H2319" s="1">
        <v>45638</v>
      </c>
      <c r="I2319" s="1"/>
      <c r="K2319">
        <v>5.3</v>
      </c>
      <c r="L2319" t="s">
        <v>47</v>
      </c>
      <c r="M2319" t="s">
        <v>1901</v>
      </c>
      <c r="N2319" t="s">
        <v>1887</v>
      </c>
    </row>
    <row r="2320" spans="1:14" x14ac:dyDescent="0.35">
      <c r="A2320" t="s">
        <v>4244</v>
      </c>
      <c r="B2320" t="s">
        <v>1914</v>
      </c>
      <c r="C2320" t="s">
        <v>449</v>
      </c>
      <c r="D2320" t="s">
        <v>1890</v>
      </c>
      <c r="E2320" t="s">
        <v>1587</v>
      </c>
      <c r="F2320" t="s">
        <v>1895</v>
      </c>
      <c r="G2320">
        <v>250598</v>
      </c>
      <c r="H2320" s="1">
        <v>45197</v>
      </c>
      <c r="I2320" s="1"/>
      <c r="K2320">
        <v>14.5</v>
      </c>
      <c r="L2320" t="s">
        <v>30</v>
      </c>
      <c r="M2320" t="s">
        <v>1932</v>
      </c>
      <c r="N2320" t="s">
        <v>1887</v>
      </c>
    </row>
    <row r="2321" spans="1:14" x14ac:dyDescent="0.35">
      <c r="A2321" t="s">
        <v>4245</v>
      </c>
      <c r="B2321" t="s">
        <v>1934</v>
      </c>
      <c r="C2321" t="s">
        <v>349</v>
      </c>
      <c r="D2321" t="s">
        <v>1890</v>
      </c>
      <c r="E2321" t="s">
        <v>1884</v>
      </c>
      <c r="F2321" t="s">
        <v>1900</v>
      </c>
      <c r="G2321">
        <v>32818</v>
      </c>
      <c r="H2321" s="1">
        <v>45371</v>
      </c>
      <c r="I2321" s="1">
        <v>45401</v>
      </c>
      <c r="J2321">
        <v>30</v>
      </c>
      <c r="K2321">
        <v>24.8</v>
      </c>
      <c r="L2321" t="s">
        <v>15</v>
      </c>
      <c r="M2321" t="s">
        <v>1916</v>
      </c>
      <c r="N2321" t="s">
        <v>1887</v>
      </c>
    </row>
    <row r="2322" spans="1:14" x14ac:dyDescent="0.35">
      <c r="A2322" t="s">
        <v>4246</v>
      </c>
      <c r="B2322" t="s">
        <v>1914</v>
      </c>
      <c r="C2322" t="s">
        <v>497</v>
      </c>
      <c r="D2322" t="s">
        <v>1883</v>
      </c>
      <c r="E2322" t="s">
        <v>1600</v>
      </c>
      <c r="F2322" t="s">
        <v>1892</v>
      </c>
      <c r="G2322">
        <v>202896</v>
      </c>
      <c r="H2322" s="1">
        <v>45507</v>
      </c>
      <c r="I2322" s="1"/>
      <c r="K2322">
        <v>1.8</v>
      </c>
      <c r="L2322" t="s">
        <v>30</v>
      </c>
      <c r="M2322" t="s">
        <v>1953</v>
      </c>
      <c r="N2322" t="s">
        <v>1887</v>
      </c>
    </row>
    <row r="2323" spans="1:14" x14ac:dyDescent="0.35">
      <c r="A2323" t="s">
        <v>4247</v>
      </c>
      <c r="B2323" t="s">
        <v>1882</v>
      </c>
      <c r="C2323" t="s">
        <v>99</v>
      </c>
      <c r="D2323" t="s">
        <v>1883</v>
      </c>
      <c r="E2323" t="s">
        <v>1918</v>
      </c>
      <c r="F2323" t="s">
        <v>1895</v>
      </c>
      <c r="G2323">
        <v>388384</v>
      </c>
      <c r="H2323" s="1">
        <v>45150</v>
      </c>
      <c r="I2323" s="1"/>
      <c r="K2323">
        <v>2.7</v>
      </c>
      <c r="L2323" t="s">
        <v>21</v>
      </c>
      <c r="M2323" t="s">
        <v>1932</v>
      </c>
      <c r="N2323" t="s">
        <v>1887</v>
      </c>
    </row>
    <row r="2324" spans="1:14" x14ac:dyDescent="0.35">
      <c r="A2324" t="s">
        <v>4248</v>
      </c>
      <c r="B2324" t="s">
        <v>1903</v>
      </c>
      <c r="C2324" t="s">
        <v>357</v>
      </c>
      <c r="D2324" t="s">
        <v>1927</v>
      </c>
      <c r="E2324" t="s">
        <v>1891</v>
      </c>
      <c r="F2324" t="s">
        <v>1892</v>
      </c>
      <c r="G2324">
        <v>206324</v>
      </c>
      <c r="H2324" s="1">
        <v>45624</v>
      </c>
      <c r="I2324" s="1"/>
      <c r="K2324">
        <v>0.1</v>
      </c>
      <c r="L2324" t="s">
        <v>47</v>
      </c>
      <c r="M2324" t="s">
        <v>1901</v>
      </c>
      <c r="N2324" t="s">
        <v>1887</v>
      </c>
    </row>
    <row r="2325" spans="1:14" x14ac:dyDescent="0.35">
      <c r="A2325" t="s">
        <v>4249</v>
      </c>
      <c r="B2325" t="s">
        <v>1937</v>
      </c>
      <c r="C2325" t="s">
        <v>412</v>
      </c>
      <c r="D2325" t="s">
        <v>1899</v>
      </c>
      <c r="E2325" t="s">
        <v>1905</v>
      </c>
      <c r="F2325" t="s">
        <v>1946</v>
      </c>
      <c r="G2325">
        <v>13014</v>
      </c>
      <c r="H2325" s="1">
        <v>45432</v>
      </c>
      <c r="I2325" s="1"/>
      <c r="K2325">
        <v>3.6</v>
      </c>
      <c r="L2325" t="s">
        <v>30</v>
      </c>
      <c r="M2325" t="s">
        <v>1935</v>
      </c>
      <c r="N2325" t="s">
        <v>1887</v>
      </c>
    </row>
    <row r="2326" spans="1:14" x14ac:dyDescent="0.35">
      <c r="A2326" t="s">
        <v>4250</v>
      </c>
      <c r="B2326" t="s">
        <v>1934</v>
      </c>
      <c r="C2326" t="s">
        <v>211</v>
      </c>
      <c r="D2326" t="s">
        <v>1883</v>
      </c>
      <c r="E2326" t="s">
        <v>1678</v>
      </c>
      <c r="F2326" t="s">
        <v>1908</v>
      </c>
      <c r="G2326">
        <v>242570</v>
      </c>
      <c r="H2326" s="1">
        <v>45430</v>
      </c>
      <c r="I2326" s="1"/>
      <c r="L2326" t="s">
        <v>21</v>
      </c>
      <c r="M2326" t="s">
        <v>1935</v>
      </c>
      <c r="N2326" t="s">
        <v>1887</v>
      </c>
    </row>
    <row r="2327" spans="1:14" x14ac:dyDescent="0.35">
      <c r="A2327" t="s">
        <v>4251</v>
      </c>
      <c r="B2327" t="s">
        <v>1937</v>
      </c>
      <c r="C2327" t="s">
        <v>208</v>
      </c>
      <c r="D2327" t="s">
        <v>1899</v>
      </c>
      <c r="E2327" t="s">
        <v>1678</v>
      </c>
      <c r="F2327" t="s">
        <v>1895</v>
      </c>
      <c r="G2327">
        <v>337189</v>
      </c>
      <c r="H2327" s="1">
        <v>44948</v>
      </c>
      <c r="I2327" s="1"/>
      <c r="L2327" t="s">
        <v>15</v>
      </c>
      <c r="M2327" t="s">
        <v>1896</v>
      </c>
      <c r="N2327" t="s">
        <v>1887</v>
      </c>
    </row>
    <row r="2328" spans="1:14" x14ac:dyDescent="0.35">
      <c r="A2328" t="s">
        <v>4252</v>
      </c>
      <c r="B2328" t="s">
        <v>1882</v>
      </c>
      <c r="C2328" t="s">
        <v>208</v>
      </c>
      <c r="D2328" t="s">
        <v>1915</v>
      </c>
      <c r="E2328" t="s">
        <v>1905</v>
      </c>
      <c r="F2328" t="s">
        <v>1885</v>
      </c>
      <c r="G2328">
        <v>193297</v>
      </c>
      <c r="H2328" s="1">
        <v>45356</v>
      </c>
      <c r="I2328" s="1">
        <v>45393</v>
      </c>
      <c r="J2328">
        <v>37</v>
      </c>
      <c r="L2328" t="s">
        <v>47</v>
      </c>
      <c r="M2328" t="s">
        <v>1916</v>
      </c>
      <c r="N2328" t="s">
        <v>1887</v>
      </c>
    </row>
    <row r="2329" spans="1:14" x14ac:dyDescent="0.35">
      <c r="A2329" t="s">
        <v>4253</v>
      </c>
      <c r="B2329" t="s">
        <v>1903</v>
      </c>
      <c r="C2329" t="s">
        <v>300</v>
      </c>
      <c r="D2329" t="s">
        <v>1915</v>
      </c>
      <c r="E2329" t="s">
        <v>1884</v>
      </c>
      <c r="F2329" t="s">
        <v>1895</v>
      </c>
      <c r="G2329">
        <v>319415</v>
      </c>
      <c r="H2329" s="1">
        <v>45252</v>
      </c>
      <c r="I2329" s="1"/>
      <c r="K2329">
        <v>10.7</v>
      </c>
      <c r="L2329" t="s">
        <v>30</v>
      </c>
      <c r="M2329" t="s">
        <v>1886</v>
      </c>
      <c r="N2329" t="s">
        <v>1887</v>
      </c>
    </row>
    <row r="2330" spans="1:14" x14ac:dyDescent="0.35">
      <c r="A2330" t="s">
        <v>4254</v>
      </c>
      <c r="B2330" t="s">
        <v>1924</v>
      </c>
      <c r="C2330" t="s">
        <v>424</v>
      </c>
      <c r="D2330" t="s">
        <v>1915</v>
      </c>
      <c r="E2330" t="s">
        <v>1600</v>
      </c>
      <c r="F2330" t="s">
        <v>1895</v>
      </c>
      <c r="G2330">
        <v>335287</v>
      </c>
      <c r="H2330" s="1">
        <v>45042</v>
      </c>
      <c r="I2330" s="1"/>
      <c r="L2330" t="s">
        <v>15</v>
      </c>
      <c r="M2330" t="s">
        <v>1893</v>
      </c>
      <c r="N2330" t="s">
        <v>1887</v>
      </c>
    </row>
    <row r="2331" spans="1:14" x14ac:dyDescent="0.35">
      <c r="A2331" t="s">
        <v>4255</v>
      </c>
      <c r="B2331" t="s">
        <v>1930</v>
      </c>
      <c r="C2331" t="s">
        <v>207</v>
      </c>
      <c r="D2331" t="s">
        <v>1927</v>
      </c>
      <c r="E2331" t="s">
        <v>1678</v>
      </c>
      <c r="F2331" t="s">
        <v>1908</v>
      </c>
      <c r="G2331">
        <v>71260</v>
      </c>
      <c r="H2331" s="1">
        <v>45696</v>
      </c>
      <c r="I2331" s="1"/>
      <c r="K2331">
        <v>4.5999999999999996</v>
      </c>
      <c r="L2331" t="s">
        <v>47</v>
      </c>
      <c r="M2331" t="s">
        <v>1912</v>
      </c>
      <c r="N2331" t="s">
        <v>1887</v>
      </c>
    </row>
    <row r="2332" spans="1:14" x14ac:dyDescent="0.35">
      <c r="A2332" t="s">
        <v>4256</v>
      </c>
      <c r="B2332" t="s">
        <v>1903</v>
      </c>
      <c r="C2332" t="s">
        <v>222</v>
      </c>
      <c r="D2332" t="s">
        <v>1904</v>
      </c>
      <c r="E2332" t="s">
        <v>1905</v>
      </c>
      <c r="F2332" t="s">
        <v>1946</v>
      </c>
      <c r="G2332">
        <v>383539</v>
      </c>
      <c r="H2332" s="1">
        <v>45180</v>
      </c>
      <c r="I2332" s="1"/>
      <c r="K2332">
        <v>13.8</v>
      </c>
      <c r="L2332" t="s">
        <v>30</v>
      </c>
      <c r="M2332" t="s">
        <v>1932</v>
      </c>
      <c r="N2332" t="s">
        <v>1887</v>
      </c>
    </row>
    <row r="2333" spans="1:14" x14ac:dyDescent="0.35">
      <c r="A2333" t="s">
        <v>4257</v>
      </c>
      <c r="B2333" t="s">
        <v>1898</v>
      </c>
      <c r="C2333" t="s">
        <v>97</v>
      </c>
      <c r="D2333" t="s">
        <v>1890</v>
      </c>
      <c r="E2333" t="s">
        <v>1918</v>
      </c>
      <c r="F2333" t="s">
        <v>1885</v>
      </c>
      <c r="G2333">
        <v>82405</v>
      </c>
      <c r="H2333" s="1">
        <v>45699</v>
      </c>
      <c r="I2333" s="1">
        <v>45836</v>
      </c>
      <c r="J2333">
        <v>137</v>
      </c>
      <c r="K2333">
        <v>0.8</v>
      </c>
      <c r="L2333" t="s">
        <v>21</v>
      </c>
      <c r="M2333" t="s">
        <v>1912</v>
      </c>
      <c r="N2333" t="s">
        <v>1887</v>
      </c>
    </row>
    <row r="2334" spans="1:14" x14ac:dyDescent="0.35">
      <c r="A2334" t="s">
        <v>4258</v>
      </c>
      <c r="B2334" t="s">
        <v>1944</v>
      </c>
      <c r="C2334" t="s">
        <v>453</v>
      </c>
      <c r="D2334" t="s">
        <v>1904</v>
      </c>
      <c r="E2334" t="s">
        <v>1884</v>
      </c>
      <c r="F2334" t="s">
        <v>1892</v>
      </c>
      <c r="G2334">
        <v>205189</v>
      </c>
      <c r="H2334" s="1">
        <v>45095</v>
      </c>
      <c r="I2334" s="1"/>
      <c r="K2334">
        <v>1.4</v>
      </c>
      <c r="L2334" t="s">
        <v>30</v>
      </c>
      <c r="M2334" t="s">
        <v>1893</v>
      </c>
      <c r="N2334" t="s">
        <v>1887</v>
      </c>
    </row>
    <row r="2335" spans="1:14" x14ac:dyDescent="0.35">
      <c r="A2335" t="s">
        <v>4259</v>
      </c>
      <c r="B2335" t="s">
        <v>1937</v>
      </c>
      <c r="C2335" t="s">
        <v>99</v>
      </c>
      <c r="D2335" t="s">
        <v>1915</v>
      </c>
      <c r="E2335" t="s">
        <v>1884</v>
      </c>
      <c r="F2335" t="s">
        <v>1946</v>
      </c>
      <c r="G2335">
        <v>461042</v>
      </c>
      <c r="H2335" s="1">
        <v>45627</v>
      </c>
      <c r="I2335" s="1"/>
      <c r="K2335">
        <v>11.1</v>
      </c>
      <c r="L2335" t="s">
        <v>47</v>
      </c>
      <c r="M2335" t="s">
        <v>1901</v>
      </c>
      <c r="N2335" t="s">
        <v>1887</v>
      </c>
    </row>
    <row r="2336" spans="1:14" x14ac:dyDescent="0.35">
      <c r="A2336" t="s">
        <v>4260</v>
      </c>
      <c r="B2336" t="s">
        <v>1920</v>
      </c>
      <c r="C2336" t="s">
        <v>429</v>
      </c>
      <c r="D2336" t="s">
        <v>1899</v>
      </c>
      <c r="E2336" t="s">
        <v>1891</v>
      </c>
      <c r="F2336" t="s">
        <v>1908</v>
      </c>
      <c r="G2336">
        <v>42901</v>
      </c>
      <c r="H2336" s="1">
        <v>45303</v>
      </c>
      <c r="I2336" s="1"/>
      <c r="K2336">
        <v>14.2</v>
      </c>
      <c r="L2336" t="s">
        <v>15</v>
      </c>
      <c r="M2336" t="s">
        <v>1916</v>
      </c>
      <c r="N2336" t="s">
        <v>1887</v>
      </c>
    </row>
    <row r="2337" spans="1:14" x14ac:dyDescent="0.35">
      <c r="A2337" t="s">
        <v>4261</v>
      </c>
      <c r="B2337" t="s">
        <v>1882</v>
      </c>
      <c r="C2337" t="s">
        <v>18</v>
      </c>
      <c r="D2337" t="s">
        <v>1890</v>
      </c>
      <c r="E2337" t="s">
        <v>1600</v>
      </c>
      <c r="F2337" t="s">
        <v>1946</v>
      </c>
      <c r="G2337">
        <v>107483</v>
      </c>
      <c r="H2337" s="1">
        <v>45219</v>
      </c>
      <c r="I2337" s="1"/>
      <c r="K2337">
        <v>12.8</v>
      </c>
      <c r="L2337" t="s">
        <v>30</v>
      </c>
      <c r="M2337" t="s">
        <v>1886</v>
      </c>
      <c r="N2337" t="s">
        <v>1887</v>
      </c>
    </row>
    <row r="2338" spans="1:14" x14ac:dyDescent="0.35">
      <c r="A2338" t="s">
        <v>4262</v>
      </c>
      <c r="B2338" t="s">
        <v>1898</v>
      </c>
      <c r="C2338" t="s">
        <v>201</v>
      </c>
      <c r="D2338" t="s">
        <v>1927</v>
      </c>
      <c r="E2338" t="s">
        <v>1931</v>
      </c>
      <c r="F2338" t="s">
        <v>1946</v>
      </c>
      <c r="G2338">
        <v>240614</v>
      </c>
      <c r="H2338" s="1">
        <v>45085</v>
      </c>
      <c r="I2338" s="1"/>
      <c r="K2338">
        <v>11.2</v>
      </c>
      <c r="L2338" t="s">
        <v>15</v>
      </c>
      <c r="M2338" t="s">
        <v>1893</v>
      </c>
      <c r="N2338" t="s">
        <v>1887</v>
      </c>
    </row>
    <row r="2339" spans="1:14" x14ac:dyDescent="0.35">
      <c r="A2339" t="s">
        <v>4263</v>
      </c>
      <c r="B2339" t="s">
        <v>1924</v>
      </c>
      <c r="C2339" t="s">
        <v>461</v>
      </c>
      <c r="D2339" t="s">
        <v>1904</v>
      </c>
      <c r="E2339" t="s">
        <v>1918</v>
      </c>
      <c r="F2339" t="s">
        <v>1885</v>
      </c>
      <c r="G2339">
        <v>331547</v>
      </c>
      <c r="H2339" s="1">
        <v>45059</v>
      </c>
      <c r="I2339" s="1">
        <v>45228</v>
      </c>
      <c r="J2339">
        <v>169</v>
      </c>
      <c r="L2339" t="s">
        <v>30</v>
      </c>
      <c r="M2339" t="s">
        <v>1893</v>
      </c>
      <c r="N2339" t="s">
        <v>1887</v>
      </c>
    </row>
    <row r="2340" spans="1:14" x14ac:dyDescent="0.35">
      <c r="A2340" t="s">
        <v>4264</v>
      </c>
      <c r="B2340" t="s">
        <v>1889</v>
      </c>
      <c r="C2340" t="s">
        <v>11</v>
      </c>
      <c r="D2340" t="s">
        <v>1883</v>
      </c>
      <c r="E2340" t="s">
        <v>1905</v>
      </c>
      <c r="F2340" t="s">
        <v>1900</v>
      </c>
      <c r="G2340">
        <v>121598</v>
      </c>
      <c r="H2340" s="1">
        <v>45547</v>
      </c>
      <c r="I2340" s="1">
        <v>45573</v>
      </c>
      <c r="J2340">
        <v>26</v>
      </c>
      <c r="K2340">
        <v>5.0999999999999996</v>
      </c>
      <c r="L2340" t="s">
        <v>15</v>
      </c>
      <c r="M2340" t="s">
        <v>1953</v>
      </c>
      <c r="N2340" t="s">
        <v>1887</v>
      </c>
    </row>
    <row r="2341" spans="1:14" x14ac:dyDescent="0.35">
      <c r="A2341" t="s">
        <v>4265</v>
      </c>
      <c r="B2341" t="s">
        <v>1944</v>
      </c>
      <c r="C2341" t="s">
        <v>222</v>
      </c>
      <c r="D2341" t="s">
        <v>1927</v>
      </c>
      <c r="E2341" t="s">
        <v>1931</v>
      </c>
      <c r="F2341" t="s">
        <v>1885</v>
      </c>
      <c r="G2341">
        <v>245245</v>
      </c>
      <c r="H2341" s="1">
        <v>45183</v>
      </c>
      <c r="I2341" s="1">
        <v>45232</v>
      </c>
      <c r="J2341">
        <v>49</v>
      </c>
      <c r="K2341">
        <v>9.8000000000000007</v>
      </c>
      <c r="L2341" t="s">
        <v>15</v>
      </c>
      <c r="M2341" t="s">
        <v>1932</v>
      </c>
      <c r="N2341" t="s">
        <v>1887</v>
      </c>
    </row>
    <row r="2342" spans="1:14" x14ac:dyDescent="0.35">
      <c r="A2342" t="s">
        <v>4266</v>
      </c>
      <c r="B2342" t="s">
        <v>1903</v>
      </c>
      <c r="C2342" t="s">
        <v>318</v>
      </c>
      <c r="D2342" t="s">
        <v>1904</v>
      </c>
      <c r="E2342" t="s">
        <v>1884</v>
      </c>
      <c r="F2342" t="s">
        <v>1892</v>
      </c>
      <c r="G2342">
        <v>145006</v>
      </c>
      <c r="H2342" s="1">
        <v>45651</v>
      </c>
      <c r="I2342" s="1"/>
      <c r="K2342">
        <v>7.8</v>
      </c>
      <c r="L2342" t="s">
        <v>30</v>
      </c>
      <c r="M2342" t="s">
        <v>1901</v>
      </c>
      <c r="N2342" t="s">
        <v>1887</v>
      </c>
    </row>
    <row r="2343" spans="1:14" x14ac:dyDescent="0.35">
      <c r="A2343" t="s">
        <v>4267</v>
      </c>
      <c r="B2343" t="s">
        <v>1930</v>
      </c>
      <c r="C2343" t="s">
        <v>351</v>
      </c>
      <c r="D2343" t="s">
        <v>1883</v>
      </c>
      <c r="E2343" t="s">
        <v>1884</v>
      </c>
      <c r="F2343" t="s">
        <v>1885</v>
      </c>
      <c r="G2343">
        <v>369674</v>
      </c>
      <c r="H2343" s="1">
        <v>45077</v>
      </c>
      <c r="I2343" s="1">
        <v>45103</v>
      </c>
      <c r="J2343">
        <v>26</v>
      </c>
      <c r="L2343" t="s">
        <v>30</v>
      </c>
      <c r="M2343" t="s">
        <v>1893</v>
      </c>
      <c r="N2343" t="s">
        <v>1887</v>
      </c>
    </row>
    <row r="2344" spans="1:14" x14ac:dyDescent="0.35">
      <c r="A2344" t="s">
        <v>4268</v>
      </c>
      <c r="B2344" t="s">
        <v>1911</v>
      </c>
      <c r="C2344" t="s">
        <v>392</v>
      </c>
      <c r="D2344" t="s">
        <v>1899</v>
      </c>
      <c r="E2344" t="s">
        <v>1905</v>
      </c>
      <c r="F2344" t="s">
        <v>1895</v>
      </c>
      <c r="G2344">
        <v>125259</v>
      </c>
      <c r="H2344" s="1">
        <v>44944</v>
      </c>
      <c r="I2344" s="1"/>
      <c r="K2344">
        <v>3</v>
      </c>
      <c r="L2344" t="s">
        <v>21</v>
      </c>
      <c r="M2344" t="s">
        <v>1896</v>
      </c>
      <c r="N2344" t="s">
        <v>1887</v>
      </c>
    </row>
    <row r="2345" spans="1:14" x14ac:dyDescent="0.35">
      <c r="A2345" t="s">
        <v>4269</v>
      </c>
      <c r="B2345" t="s">
        <v>1882</v>
      </c>
      <c r="C2345" t="s">
        <v>484</v>
      </c>
      <c r="D2345" t="s">
        <v>1927</v>
      </c>
      <c r="E2345" t="s">
        <v>1600</v>
      </c>
      <c r="F2345" t="s">
        <v>1908</v>
      </c>
      <c r="G2345">
        <v>305272</v>
      </c>
      <c r="H2345" s="1">
        <v>44941</v>
      </c>
      <c r="I2345" s="1"/>
      <c r="K2345">
        <v>6.9</v>
      </c>
      <c r="L2345" t="s">
        <v>15</v>
      </c>
      <c r="M2345" t="s">
        <v>1896</v>
      </c>
      <c r="N2345" t="s">
        <v>1887</v>
      </c>
    </row>
    <row r="2346" spans="1:14" x14ac:dyDescent="0.35">
      <c r="A2346" t="s">
        <v>4270</v>
      </c>
      <c r="B2346" t="s">
        <v>1963</v>
      </c>
      <c r="C2346" t="s">
        <v>433</v>
      </c>
      <c r="D2346" t="s">
        <v>1904</v>
      </c>
      <c r="E2346" t="s">
        <v>1905</v>
      </c>
      <c r="F2346" t="s">
        <v>1892</v>
      </c>
      <c r="G2346">
        <v>87920</v>
      </c>
      <c r="H2346" s="1">
        <v>45114</v>
      </c>
      <c r="I2346" s="1"/>
      <c r="L2346" t="s">
        <v>30</v>
      </c>
      <c r="M2346" t="s">
        <v>1932</v>
      </c>
      <c r="N2346" t="s">
        <v>1887</v>
      </c>
    </row>
    <row r="2347" spans="1:14" x14ac:dyDescent="0.35">
      <c r="A2347" t="s">
        <v>4271</v>
      </c>
      <c r="B2347" t="s">
        <v>1903</v>
      </c>
      <c r="C2347" t="s">
        <v>444</v>
      </c>
      <c r="D2347" t="s">
        <v>1883</v>
      </c>
      <c r="E2347" t="s">
        <v>1918</v>
      </c>
      <c r="F2347" t="s">
        <v>1885</v>
      </c>
      <c r="G2347">
        <v>294337</v>
      </c>
      <c r="H2347" s="1">
        <v>45695</v>
      </c>
      <c r="I2347" s="1">
        <v>45813</v>
      </c>
      <c r="J2347">
        <v>118</v>
      </c>
      <c r="L2347" t="s">
        <v>21</v>
      </c>
      <c r="M2347" t="s">
        <v>1912</v>
      </c>
      <c r="N2347" t="s">
        <v>1887</v>
      </c>
    </row>
    <row r="2348" spans="1:14" x14ac:dyDescent="0.35">
      <c r="A2348" t="s">
        <v>4272</v>
      </c>
      <c r="B2348" t="s">
        <v>1911</v>
      </c>
      <c r="C2348" t="s">
        <v>240</v>
      </c>
      <c r="D2348" t="s">
        <v>1927</v>
      </c>
      <c r="E2348" t="s">
        <v>1600</v>
      </c>
      <c r="F2348" t="s">
        <v>1946</v>
      </c>
      <c r="G2348">
        <v>452500</v>
      </c>
      <c r="H2348" s="1">
        <v>45668</v>
      </c>
      <c r="I2348" s="1"/>
      <c r="K2348">
        <v>14.3</v>
      </c>
      <c r="L2348" t="s">
        <v>15</v>
      </c>
      <c r="M2348" t="s">
        <v>1912</v>
      </c>
      <c r="N2348" t="s">
        <v>1887</v>
      </c>
    </row>
    <row r="2349" spans="1:14" x14ac:dyDescent="0.35">
      <c r="A2349" t="s">
        <v>4273</v>
      </c>
      <c r="B2349" t="s">
        <v>1963</v>
      </c>
      <c r="C2349" t="s">
        <v>167</v>
      </c>
      <c r="D2349" t="s">
        <v>1927</v>
      </c>
      <c r="E2349" t="s">
        <v>1918</v>
      </c>
      <c r="F2349" t="s">
        <v>1900</v>
      </c>
      <c r="G2349">
        <v>490314</v>
      </c>
      <c r="H2349" s="1">
        <v>45059</v>
      </c>
      <c r="I2349" s="1">
        <v>45141</v>
      </c>
      <c r="J2349">
        <v>82</v>
      </c>
      <c r="K2349">
        <v>23.4</v>
      </c>
      <c r="L2349" t="s">
        <v>21</v>
      </c>
      <c r="M2349" t="s">
        <v>1893</v>
      </c>
      <c r="N2349" t="s">
        <v>1887</v>
      </c>
    </row>
    <row r="2350" spans="1:14" x14ac:dyDescent="0.35">
      <c r="A2350" t="s">
        <v>4274</v>
      </c>
      <c r="B2350" t="s">
        <v>1963</v>
      </c>
      <c r="C2350" t="s">
        <v>368</v>
      </c>
      <c r="D2350" t="s">
        <v>1883</v>
      </c>
      <c r="E2350" t="s">
        <v>1884</v>
      </c>
      <c r="F2350" t="s">
        <v>1900</v>
      </c>
      <c r="G2350">
        <v>466056</v>
      </c>
      <c r="H2350" s="1">
        <v>45512</v>
      </c>
      <c r="I2350" s="1">
        <v>45656</v>
      </c>
      <c r="J2350">
        <v>144</v>
      </c>
      <c r="K2350">
        <v>12.4</v>
      </c>
      <c r="L2350" t="s">
        <v>47</v>
      </c>
      <c r="M2350" t="s">
        <v>1953</v>
      </c>
      <c r="N2350" t="s">
        <v>1887</v>
      </c>
    </row>
    <row r="2351" spans="1:14" x14ac:dyDescent="0.35">
      <c r="A2351" t="s">
        <v>4275</v>
      </c>
      <c r="B2351" t="s">
        <v>1926</v>
      </c>
      <c r="C2351" t="s">
        <v>138</v>
      </c>
      <c r="D2351" t="s">
        <v>1883</v>
      </c>
      <c r="E2351" t="s">
        <v>1931</v>
      </c>
      <c r="F2351" t="s">
        <v>1895</v>
      </c>
      <c r="G2351">
        <v>434753</v>
      </c>
      <c r="H2351" s="1">
        <v>45533</v>
      </c>
      <c r="I2351" s="1"/>
      <c r="L2351" t="s">
        <v>15</v>
      </c>
      <c r="M2351" t="s">
        <v>1953</v>
      </c>
      <c r="N2351" t="s">
        <v>1887</v>
      </c>
    </row>
    <row r="2352" spans="1:14" x14ac:dyDescent="0.35">
      <c r="A2352" t="s">
        <v>4276</v>
      </c>
      <c r="B2352" t="s">
        <v>1911</v>
      </c>
      <c r="C2352" t="s">
        <v>180</v>
      </c>
      <c r="D2352" t="s">
        <v>1904</v>
      </c>
      <c r="E2352" t="s">
        <v>1884</v>
      </c>
      <c r="F2352" t="s">
        <v>1908</v>
      </c>
      <c r="G2352">
        <v>470732</v>
      </c>
      <c r="H2352" s="1">
        <v>45300</v>
      </c>
      <c r="I2352" s="1"/>
      <c r="K2352">
        <v>10.199999999999999</v>
      </c>
      <c r="L2352" t="s">
        <v>21</v>
      </c>
      <c r="M2352" t="s">
        <v>1916</v>
      </c>
      <c r="N2352" t="s">
        <v>1887</v>
      </c>
    </row>
    <row r="2353" spans="1:14" x14ac:dyDescent="0.35">
      <c r="A2353" t="s">
        <v>4277</v>
      </c>
      <c r="B2353" t="s">
        <v>1937</v>
      </c>
      <c r="C2353" t="s">
        <v>94</v>
      </c>
      <c r="D2353" t="s">
        <v>1890</v>
      </c>
      <c r="E2353" t="s">
        <v>1884</v>
      </c>
      <c r="F2353" t="s">
        <v>1946</v>
      </c>
      <c r="G2353">
        <v>32112</v>
      </c>
      <c r="H2353" s="1">
        <v>45165</v>
      </c>
      <c r="I2353" s="1"/>
      <c r="K2353">
        <v>14.2</v>
      </c>
      <c r="L2353" t="s">
        <v>15</v>
      </c>
      <c r="M2353" t="s">
        <v>1932</v>
      </c>
      <c r="N2353" t="s">
        <v>1887</v>
      </c>
    </row>
    <row r="2354" spans="1:14" x14ac:dyDescent="0.35">
      <c r="A2354" t="s">
        <v>4278</v>
      </c>
      <c r="B2354" t="s">
        <v>1914</v>
      </c>
      <c r="C2354" t="s">
        <v>178</v>
      </c>
      <c r="D2354" t="s">
        <v>1890</v>
      </c>
      <c r="E2354" t="s">
        <v>1884</v>
      </c>
      <c r="F2354" t="s">
        <v>1908</v>
      </c>
      <c r="G2354">
        <v>267479</v>
      </c>
      <c r="H2354" s="1">
        <v>45219</v>
      </c>
      <c r="I2354" s="1"/>
      <c r="K2354">
        <v>3.4</v>
      </c>
      <c r="L2354" t="s">
        <v>30</v>
      </c>
      <c r="M2354" t="s">
        <v>1886</v>
      </c>
      <c r="N2354" t="s">
        <v>1887</v>
      </c>
    </row>
    <row r="2355" spans="1:14" x14ac:dyDescent="0.35">
      <c r="A2355" t="s">
        <v>4279</v>
      </c>
      <c r="B2355" t="s">
        <v>1934</v>
      </c>
      <c r="C2355" t="s">
        <v>472</v>
      </c>
      <c r="D2355" t="s">
        <v>1899</v>
      </c>
      <c r="E2355" t="s">
        <v>1884</v>
      </c>
      <c r="F2355" t="s">
        <v>1892</v>
      </c>
      <c r="G2355">
        <v>346275</v>
      </c>
      <c r="H2355" s="1">
        <v>45062</v>
      </c>
      <c r="I2355" s="1"/>
      <c r="K2355">
        <v>7.7</v>
      </c>
      <c r="L2355" t="s">
        <v>30</v>
      </c>
      <c r="M2355" t="s">
        <v>1893</v>
      </c>
      <c r="N2355" t="s">
        <v>1887</v>
      </c>
    </row>
    <row r="2356" spans="1:14" x14ac:dyDescent="0.35">
      <c r="A2356" t="s">
        <v>4280</v>
      </c>
      <c r="B2356" t="s">
        <v>1920</v>
      </c>
      <c r="C2356" t="s">
        <v>383</v>
      </c>
      <c r="D2356" t="s">
        <v>1904</v>
      </c>
      <c r="E2356" t="s">
        <v>1931</v>
      </c>
      <c r="F2356" t="s">
        <v>1900</v>
      </c>
      <c r="G2356">
        <v>104311</v>
      </c>
      <c r="H2356" s="1">
        <v>45313</v>
      </c>
      <c r="I2356" s="1">
        <v>45347</v>
      </c>
      <c r="J2356">
        <v>34</v>
      </c>
      <c r="K2356">
        <v>6.5</v>
      </c>
      <c r="L2356" t="s">
        <v>47</v>
      </c>
      <c r="M2356" t="s">
        <v>1916</v>
      </c>
      <c r="N2356" t="s">
        <v>1887</v>
      </c>
    </row>
    <row r="2357" spans="1:14" x14ac:dyDescent="0.35">
      <c r="A2357" t="s">
        <v>4281</v>
      </c>
      <c r="B2357" t="s">
        <v>1911</v>
      </c>
      <c r="C2357" t="s">
        <v>446</v>
      </c>
      <c r="D2357" t="s">
        <v>1890</v>
      </c>
      <c r="E2357" t="s">
        <v>1945</v>
      </c>
      <c r="F2357" t="s">
        <v>1908</v>
      </c>
      <c r="G2357">
        <v>179909</v>
      </c>
      <c r="H2357" s="1">
        <v>45521</v>
      </c>
      <c r="I2357" s="1"/>
      <c r="K2357">
        <v>5.2</v>
      </c>
      <c r="L2357" t="s">
        <v>30</v>
      </c>
      <c r="M2357" t="s">
        <v>1953</v>
      </c>
      <c r="N2357" t="s">
        <v>1887</v>
      </c>
    </row>
    <row r="2358" spans="1:14" x14ac:dyDescent="0.35">
      <c r="A2358" t="s">
        <v>4282</v>
      </c>
      <c r="B2358" t="s">
        <v>1882</v>
      </c>
      <c r="C2358" t="s">
        <v>158</v>
      </c>
      <c r="D2358" t="s">
        <v>1904</v>
      </c>
      <c r="E2358" t="s">
        <v>1678</v>
      </c>
      <c r="F2358" t="s">
        <v>1895</v>
      </c>
      <c r="G2358">
        <v>97745</v>
      </c>
      <c r="H2358" s="1">
        <v>45525</v>
      </c>
      <c r="I2358" s="1"/>
      <c r="K2358">
        <v>1.8</v>
      </c>
      <c r="L2358" t="s">
        <v>47</v>
      </c>
      <c r="M2358" t="s">
        <v>1953</v>
      </c>
      <c r="N2358" t="s">
        <v>1887</v>
      </c>
    </row>
    <row r="2359" spans="1:14" x14ac:dyDescent="0.35">
      <c r="A2359" t="s">
        <v>4283</v>
      </c>
      <c r="B2359" t="s">
        <v>1937</v>
      </c>
      <c r="C2359" t="s">
        <v>42</v>
      </c>
      <c r="D2359" t="s">
        <v>1915</v>
      </c>
      <c r="E2359" t="s">
        <v>1600</v>
      </c>
      <c r="F2359" t="s">
        <v>1900</v>
      </c>
      <c r="G2359">
        <v>450805</v>
      </c>
      <c r="H2359" s="1">
        <v>45686</v>
      </c>
      <c r="I2359" s="1">
        <v>45854</v>
      </c>
      <c r="J2359">
        <v>168</v>
      </c>
      <c r="K2359">
        <v>4.3</v>
      </c>
      <c r="L2359" t="s">
        <v>30</v>
      </c>
      <c r="M2359" t="s">
        <v>1912</v>
      </c>
      <c r="N2359" t="s">
        <v>1887</v>
      </c>
    </row>
    <row r="2360" spans="1:14" x14ac:dyDescent="0.35">
      <c r="A2360" t="s">
        <v>4284</v>
      </c>
      <c r="B2360" t="s">
        <v>1944</v>
      </c>
      <c r="C2360" t="s">
        <v>485</v>
      </c>
      <c r="D2360" t="s">
        <v>1915</v>
      </c>
      <c r="E2360" t="s">
        <v>1587</v>
      </c>
      <c r="F2360" t="s">
        <v>1900</v>
      </c>
      <c r="G2360">
        <v>405226</v>
      </c>
      <c r="H2360" s="1">
        <v>45583</v>
      </c>
      <c r="I2360" s="1">
        <v>45691</v>
      </c>
      <c r="J2360">
        <v>108</v>
      </c>
      <c r="K2360">
        <v>0.7</v>
      </c>
      <c r="L2360" t="s">
        <v>30</v>
      </c>
      <c r="M2360" t="s">
        <v>1901</v>
      </c>
      <c r="N2360" t="s">
        <v>1887</v>
      </c>
    </row>
    <row r="2361" spans="1:14" x14ac:dyDescent="0.35">
      <c r="A2361" t="s">
        <v>4285</v>
      </c>
      <c r="B2361" t="s">
        <v>1924</v>
      </c>
      <c r="C2361" t="s">
        <v>85</v>
      </c>
      <c r="D2361" t="s">
        <v>1890</v>
      </c>
      <c r="E2361" t="s">
        <v>1905</v>
      </c>
      <c r="F2361" t="s">
        <v>1900</v>
      </c>
      <c r="G2361">
        <v>39007</v>
      </c>
      <c r="H2361" s="1">
        <v>45012</v>
      </c>
      <c r="I2361" s="1">
        <v>45107</v>
      </c>
      <c r="J2361">
        <v>95</v>
      </c>
      <c r="K2361">
        <v>21.7</v>
      </c>
      <c r="L2361" t="s">
        <v>30</v>
      </c>
      <c r="M2361" t="s">
        <v>1896</v>
      </c>
      <c r="N2361" t="s">
        <v>1887</v>
      </c>
    </row>
    <row r="2362" spans="1:14" x14ac:dyDescent="0.35">
      <c r="A2362" t="s">
        <v>4286</v>
      </c>
      <c r="B2362" t="s">
        <v>1889</v>
      </c>
      <c r="C2362" t="s">
        <v>57</v>
      </c>
      <c r="D2362" t="s">
        <v>1927</v>
      </c>
      <c r="E2362" t="s">
        <v>1931</v>
      </c>
      <c r="F2362" t="s">
        <v>1908</v>
      </c>
      <c r="G2362">
        <v>256394</v>
      </c>
      <c r="H2362" s="1">
        <v>45616</v>
      </c>
      <c r="I2362" s="1"/>
      <c r="K2362">
        <v>1</v>
      </c>
      <c r="L2362" t="s">
        <v>15</v>
      </c>
      <c r="M2362" t="s">
        <v>1901</v>
      </c>
      <c r="N2362" t="s">
        <v>1887</v>
      </c>
    </row>
    <row r="2363" spans="1:14" x14ac:dyDescent="0.35">
      <c r="A2363" t="s">
        <v>4287</v>
      </c>
      <c r="B2363" t="s">
        <v>1882</v>
      </c>
      <c r="C2363" t="s">
        <v>92</v>
      </c>
      <c r="D2363" t="s">
        <v>1890</v>
      </c>
      <c r="E2363" t="s">
        <v>1891</v>
      </c>
      <c r="F2363" t="s">
        <v>1946</v>
      </c>
      <c r="G2363">
        <v>1571766</v>
      </c>
      <c r="H2363" s="1">
        <v>45285</v>
      </c>
      <c r="I2363" s="1"/>
      <c r="K2363">
        <v>1.7</v>
      </c>
      <c r="L2363" t="s">
        <v>30</v>
      </c>
      <c r="M2363" t="s">
        <v>1886</v>
      </c>
      <c r="N2363" t="s">
        <v>1966</v>
      </c>
    </row>
    <row r="2364" spans="1:14" x14ac:dyDescent="0.35">
      <c r="A2364" t="s">
        <v>4288</v>
      </c>
      <c r="B2364" t="s">
        <v>1926</v>
      </c>
      <c r="C2364" t="s">
        <v>32</v>
      </c>
      <c r="D2364" t="s">
        <v>1904</v>
      </c>
      <c r="E2364" t="s">
        <v>1678</v>
      </c>
      <c r="F2364" t="s">
        <v>1946</v>
      </c>
      <c r="G2364">
        <v>186513</v>
      </c>
      <c r="H2364" s="1">
        <v>45029</v>
      </c>
      <c r="I2364" s="1"/>
      <c r="K2364">
        <v>2.8</v>
      </c>
      <c r="L2364" t="s">
        <v>15</v>
      </c>
      <c r="M2364" t="s">
        <v>1893</v>
      </c>
      <c r="N2364" t="s">
        <v>1887</v>
      </c>
    </row>
    <row r="2365" spans="1:14" x14ac:dyDescent="0.35">
      <c r="A2365" t="s">
        <v>4289</v>
      </c>
      <c r="B2365" t="s">
        <v>1903</v>
      </c>
      <c r="C2365" t="s">
        <v>482</v>
      </c>
      <c r="D2365" t="s">
        <v>1899</v>
      </c>
      <c r="E2365" t="s">
        <v>1884</v>
      </c>
      <c r="F2365" t="s">
        <v>1900</v>
      </c>
      <c r="G2365">
        <v>412189</v>
      </c>
      <c r="H2365" s="1">
        <v>45210</v>
      </c>
      <c r="I2365" s="1">
        <v>45344</v>
      </c>
      <c r="J2365">
        <v>134</v>
      </c>
      <c r="K2365">
        <v>22</v>
      </c>
      <c r="L2365" t="s">
        <v>15</v>
      </c>
      <c r="M2365" t="s">
        <v>1886</v>
      </c>
      <c r="N2365" t="s">
        <v>1887</v>
      </c>
    </row>
    <row r="2366" spans="1:14" x14ac:dyDescent="0.35">
      <c r="A2366" t="s">
        <v>4290</v>
      </c>
      <c r="B2366" t="s">
        <v>1934</v>
      </c>
      <c r="C2366" t="s">
        <v>462</v>
      </c>
      <c r="D2366" t="s">
        <v>1927</v>
      </c>
      <c r="E2366" t="s">
        <v>1600</v>
      </c>
      <c r="F2366" t="s">
        <v>1892</v>
      </c>
      <c r="G2366">
        <v>491023</v>
      </c>
      <c r="H2366" s="1">
        <v>45446</v>
      </c>
      <c r="I2366" s="1"/>
      <c r="K2366">
        <v>10.6</v>
      </c>
      <c r="L2366" t="s">
        <v>47</v>
      </c>
      <c r="M2366" t="s">
        <v>1935</v>
      </c>
      <c r="N2366" t="s">
        <v>1887</v>
      </c>
    </row>
    <row r="2367" spans="1:14" x14ac:dyDescent="0.35">
      <c r="A2367" t="s">
        <v>4291</v>
      </c>
      <c r="B2367" t="s">
        <v>1914</v>
      </c>
      <c r="C2367" t="s">
        <v>319</v>
      </c>
      <c r="D2367" t="s">
        <v>1904</v>
      </c>
      <c r="E2367" t="s">
        <v>1678</v>
      </c>
      <c r="F2367" t="s">
        <v>1892</v>
      </c>
      <c r="G2367">
        <v>452060</v>
      </c>
      <c r="H2367" s="1">
        <v>45614</v>
      </c>
      <c r="I2367" s="1"/>
      <c r="L2367" t="s">
        <v>47</v>
      </c>
      <c r="M2367" t="s">
        <v>1901</v>
      </c>
      <c r="N2367" t="s">
        <v>1887</v>
      </c>
    </row>
    <row r="2368" spans="1:14" x14ac:dyDescent="0.35">
      <c r="A2368" t="s">
        <v>4292</v>
      </c>
      <c r="B2368" t="s">
        <v>1903</v>
      </c>
      <c r="C2368" t="s">
        <v>235</v>
      </c>
      <c r="D2368" t="s">
        <v>1890</v>
      </c>
      <c r="E2368" t="s">
        <v>1931</v>
      </c>
      <c r="F2368" t="s">
        <v>1946</v>
      </c>
      <c r="G2368">
        <v>204027</v>
      </c>
      <c r="H2368" s="1">
        <v>45405</v>
      </c>
      <c r="I2368" s="1"/>
      <c r="K2368">
        <v>11.2</v>
      </c>
      <c r="L2368" t="s">
        <v>21</v>
      </c>
      <c r="M2368" t="s">
        <v>1935</v>
      </c>
      <c r="N2368" t="s">
        <v>1887</v>
      </c>
    </row>
    <row r="2369" spans="1:14" x14ac:dyDescent="0.35">
      <c r="A2369" t="s">
        <v>4293</v>
      </c>
      <c r="B2369" t="s">
        <v>1911</v>
      </c>
      <c r="C2369" t="s">
        <v>232</v>
      </c>
      <c r="D2369" t="s">
        <v>1883</v>
      </c>
      <c r="E2369" t="s">
        <v>1884</v>
      </c>
      <c r="F2369" t="s">
        <v>1900</v>
      </c>
      <c r="G2369">
        <v>219843</v>
      </c>
      <c r="H2369" s="1">
        <v>45210</v>
      </c>
      <c r="I2369" s="1">
        <v>45306</v>
      </c>
      <c r="J2369">
        <v>96</v>
      </c>
      <c r="K2369">
        <v>18.5</v>
      </c>
      <c r="L2369" t="s">
        <v>15</v>
      </c>
      <c r="M2369" t="s">
        <v>1886</v>
      </c>
      <c r="N2369" t="s">
        <v>1887</v>
      </c>
    </row>
    <row r="2370" spans="1:14" x14ac:dyDescent="0.35">
      <c r="A2370" t="s">
        <v>4294</v>
      </c>
      <c r="B2370" t="s">
        <v>1914</v>
      </c>
      <c r="C2370" t="s">
        <v>373</v>
      </c>
      <c r="D2370" t="s">
        <v>1890</v>
      </c>
      <c r="E2370" t="s">
        <v>1587</v>
      </c>
      <c r="F2370" t="s">
        <v>1895</v>
      </c>
      <c r="G2370">
        <v>423210</v>
      </c>
      <c r="H2370" s="1">
        <v>45398</v>
      </c>
      <c r="I2370" s="1"/>
      <c r="K2370">
        <v>8.6</v>
      </c>
      <c r="L2370" t="s">
        <v>30</v>
      </c>
      <c r="M2370" t="s">
        <v>1935</v>
      </c>
      <c r="N2370" t="s">
        <v>1887</v>
      </c>
    </row>
    <row r="2371" spans="1:14" x14ac:dyDescent="0.35">
      <c r="A2371" t="s">
        <v>4295</v>
      </c>
      <c r="B2371" t="s">
        <v>1914</v>
      </c>
      <c r="C2371" t="s">
        <v>324</v>
      </c>
      <c r="D2371" t="s">
        <v>1904</v>
      </c>
      <c r="E2371" t="s">
        <v>1931</v>
      </c>
      <c r="F2371" t="s">
        <v>1892</v>
      </c>
      <c r="G2371">
        <v>196048</v>
      </c>
      <c r="H2371" s="1">
        <v>45709</v>
      </c>
      <c r="I2371" s="1"/>
      <c r="K2371">
        <v>6.4</v>
      </c>
      <c r="L2371" t="s">
        <v>47</v>
      </c>
      <c r="M2371" t="s">
        <v>1912</v>
      </c>
      <c r="N2371" t="s">
        <v>1887</v>
      </c>
    </row>
    <row r="2372" spans="1:14" x14ac:dyDescent="0.35">
      <c r="A2372" t="s">
        <v>4296</v>
      </c>
      <c r="B2372" t="s">
        <v>1930</v>
      </c>
      <c r="C2372" t="s">
        <v>247</v>
      </c>
      <c r="D2372" t="s">
        <v>1927</v>
      </c>
      <c r="E2372" t="s">
        <v>1891</v>
      </c>
      <c r="F2372" t="s">
        <v>1895</v>
      </c>
      <c r="G2372">
        <v>392260</v>
      </c>
      <c r="H2372" s="1">
        <v>45003</v>
      </c>
      <c r="I2372" s="1"/>
      <c r="L2372" t="s">
        <v>15</v>
      </c>
      <c r="M2372" t="s">
        <v>1896</v>
      </c>
      <c r="N2372" t="s">
        <v>1887</v>
      </c>
    </row>
    <row r="2373" spans="1:14" x14ac:dyDescent="0.35">
      <c r="A2373" t="s">
        <v>4297</v>
      </c>
      <c r="B2373" t="s">
        <v>1920</v>
      </c>
      <c r="C2373" t="s">
        <v>462</v>
      </c>
      <c r="D2373" t="s">
        <v>1927</v>
      </c>
      <c r="E2373" t="s">
        <v>1587</v>
      </c>
      <c r="F2373" t="s">
        <v>1946</v>
      </c>
      <c r="G2373">
        <v>314496</v>
      </c>
      <c r="H2373" s="1">
        <v>45252</v>
      </c>
      <c r="I2373" s="1"/>
      <c r="L2373" t="s">
        <v>21</v>
      </c>
      <c r="M2373" t="s">
        <v>1886</v>
      </c>
      <c r="N2373" t="s">
        <v>1887</v>
      </c>
    </row>
    <row r="2374" spans="1:14" x14ac:dyDescent="0.35">
      <c r="A2374" t="s">
        <v>4298</v>
      </c>
      <c r="B2374" t="s">
        <v>1920</v>
      </c>
      <c r="C2374" t="s">
        <v>308</v>
      </c>
      <c r="D2374" t="s">
        <v>1899</v>
      </c>
      <c r="E2374" t="s">
        <v>1587</v>
      </c>
      <c r="F2374" t="s">
        <v>1895</v>
      </c>
      <c r="G2374">
        <v>171115</v>
      </c>
      <c r="H2374" s="1">
        <v>45325</v>
      </c>
      <c r="I2374" s="1"/>
      <c r="L2374" t="s">
        <v>21</v>
      </c>
      <c r="M2374" t="s">
        <v>1916</v>
      </c>
      <c r="N2374" t="s">
        <v>1887</v>
      </c>
    </row>
    <row r="2375" spans="1:14" x14ac:dyDescent="0.35">
      <c r="A2375" t="s">
        <v>4299</v>
      </c>
      <c r="B2375" t="s">
        <v>1963</v>
      </c>
      <c r="C2375" t="s">
        <v>405</v>
      </c>
      <c r="D2375" t="s">
        <v>1915</v>
      </c>
      <c r="E2375" t="s">
        <v>1891</v>
      </c>
      <c r="F2375" t="s">
        <v>1895</v>
      </c>
      <c r="G2375">
        <v>444775</v>
      </c>
      <c r="H2375" s="1">
        <v>45369</v>
      </c>
      <c r="I2375" s="1"/>
      <c r="L2375" t="s">
        <v>21</v>
      </c>
      <c r="M2375" t="s">
        <v>1916</v>
      </c>
      <c r="N2375" t="s">
        <v>1887</v>
      </c>
    </row>
    <row r="2376" spans="1:14" x14ac:dyDescent="0.35">
      <c r="A2376" t="s">
        <v>4300</v>
      </c>
      <c r="B2376" t="s">
        <v>1911</v>
      </c>
      <c r="C2376" t="s">
        <v>99</v>
      </c>
      <c r="D2376" t="s">
        <v>1904</v>
      </c>
      <c r="E2376" t="s">
        <v>1678</v>
      </c>
      <c r="F2376" t="s">
        <v>1908</v>
      </c>
      <c r="G2376">
        <v>401116</v>
      </c>
      <c r="H2376" s="1">
        <v>45546</v>
      </c>
      <c r="I2376" s="1"/>
      <c r="K2376">
        <v>12.6</v>
      </c>
      <c r="L2376" t="s">
        <v>30</v>
      </c>
      <c r="M2376" t="s">
        <v>1953</v>
      </c>
      <c r="N2376" t="s">
        <v>1887</v>
      </c>
    </row>
    <row r="2377" spans="1:14" x14ac:dyDescent="0.35">
      <c r="A2377" t="s">
        <v>4301</v>
      </c>
      <c r="B2377" t="s">
        <v>1889</v>
      </c>
      <c r="C2377" t="s">
        <v>201</v>
      </c>
      <c r="D2377" t="s">
        <v>1899</v>
      </c>
      <c r="E2377" t="s">
        <v>1918</v>
      </c>
      <c r="F2377" t="s">
        <v>1885</v>
      </c>
      <c r="G2377">
        <v>317013</v>
      </c>
      <c r="H2377" s="1">
        <v>45584</v>
      </c>
      <c r="I2377" s="1">
        <v>45738</v>
      </c>
      <c r="J2377">
        <v>154</v>
      </c>
      <c r="K2377">
        <v>14.7</v>
      </c>
      <c r="L2377" t="s">
        <v>21</v>
      </c>
      <c r="M2377" t="s">
        <v>1901</v>
      </c>
      <c r="N2377" t="s">
        <v>1887</v>
      </c>
    </row>
    <row r="2378" spans="1:14" x14ac:dyDescent="0.35">
      <c r="A2378" t="s">
        <v>4302</v>
      </c>
      <c r="B2378" t="s">
        <v>1920</v>
      </c>
      <c r="C2378" t="s">
        <v>242</v>
      </c>
      <c r="D2378" t="s">
        <v>1904</v>
      </c>
      <c r="E2378" t="s">
        <v>1891</v>
      </c>
      <c r="F2378" t="s">
        <v>1895</v>
      </c>
      <c r="G2378">
        <v>150513</v>
      </c>
      <c r="H2378" s="1">
        <v>45436</v>
      </c>
      <c r="I2378" s="1"/>
      <c r="K2378">
        <v>7.1</v>
      </c>
      <c r="L2378" t="s">
        <v>15</v>
      </c>
      <c r="M2378" t="s">
        <v>1935</v>
      </c>
      <c r="N2378" t="s">
        <v>1887</v>
      </c>
    </row>
    <row r="2379" spans="1:14" x14ac:dyDescent="0.35">
      <c r="A2379" t="s">
        <v>4303</v>
      </c>
      <c r="B2379" t="s">
        <v>1914</v>
      </c>
      <c r="C2379" t="s">
        <v>154</v>
      </c>
      <c r="D2379" t="s">
        <v>1915</v>
      </c>
      <c r="E2379" t="s">
        <v>1600</v>
      </c>
      <c r="F2379" t="s">
        <v>1908</v>
      </c>
      <c r="G2379">
        <v>90603</v>
      </c>
      <c r="H2379" s="1">
        <v>45372</v>
      </c>
      <c r="I2379" s="1"/>
      <c r="K2379">
        <v>3.4</v>
      </c>
      <c r="L2379" t="s">
        <v>21</v>
      </c>
      <c r="M2379" t="s">
        <v>1916</v>
      </c>
      <c r="N2379" t="s">
        <v>1887</v>
      </c>
    </row>
    <row r="2380" spans="1:14" x14ac:dyDescent="0.35">
      <c r="A2380" t="s">
        <v>4304</v>
      </c>
      <c r="B2380" t="s">
        <v>1926</v>
      </c>
      <c r="C2380" t="s">
        <v>337</v>
      </c>
      <c r="D2380" t="s">
        <v>1883</v>
      </c>
      <c r="E2380" t="s">
        <v>1884</v>
      </c>
      <c r="F2380" t="s">
        <v>1900</v>
      </c>
      <c r="G2380">
        <v>188753</v>
      </c>
      <c r="H2380" s="1">
        <v>45563</v>
      </c>
      <c r="I2380" s="1">
        <v>45689</v>
      </c>
      <c r="J2380">
        <v>126</v>
      </c>
      <c r="K2380">
        <v>19.600000000000001</v>
      </c>
      <c r="L2380" t="s">
        <v>47</v>
      </c>
      <c r="M2380" t="s">
        <v>1953</v>
      </c>
      <c r="N2380" t="s">
        <v>1887</v>
      </c>
    </row>
    <row r="2381" spans="1:14" x14ac:dyDescent="0.35">
      <c r="A2381" t="s">
        <v>4305</v>
      </c>
      <c r="B2381" t="s">
        <v>1937</v>
      </c>
      <c r="C2381" t="s">
        <v>97</v>
      </c>
      <c r="D2381" t="s">
        <v>1883</v>
      </c>
      <c r="E2381" t="s">
        <v>1918</v>
      </c>
      <c r="F2381" t="s">
        <v>1895</v>
      </c>
      <c r="G2381">
        <v>482804</v>
      </c>
      <c r="H2381" s="1">
        <v>45688</v>
      </c>
      <c r="I2381" s="1"/>
      <c r="L2381" t="s">
        <v>47</v>
      </c>
      <c r="M2381" t="s">
        <v>1912</v>
      </c>
      <c r="N2381" t="s">
        <v>1887</v>
      </c>
    </row>
    <row r="2382" spans="1:14" x14ac:dyDescent="0.35">
      <c r="A2382" t="s">
        <v>4306</v>
      </c>
      <c r="B2382" t="s">
        <v>1934</v>
      </c>
      <c r="C2382" t="s">
        <v>18</v>
      </c>
      <c r="D2382" t="s">
        <v>1899</v>
      </c>
      <c r="E2382" t="s">
        <v>1587</v>
      </c>
      <c r="F2382" t="s">
        <v>1900</v>
      </c>
      <c r="G2382">
        <v>462094</v>
      </c>
      <c r="H2382" s="1">
        <v>45378</v>
      </c>
      <c r="I2382" s="1">
        <v>45509</v>
      </c>
      <c r="J2382">
        <v>131</v>
      </c>
      <c r="K2382">
        <v>9.4</v>
      </c>
      <c r="L2382" t="s">
        <v>47</v>
      </c>
      <c r="M2382" t="s">
        <v>1916</v>
      </c>
      <c r="N2382" t="s">
        <v>1887</v>
      </c>
    </row>
    <row r="2383" spans="1:14" x14ac:dyDescent="0.35">
      <c r="A2383" t="s">
        <v>4307</v>
      </c>
      <c r="B2383" t="s">
        <v>1889</v>
      </c>
      <c r="C2383" t="s">
        <v>417</v>
      </c>
      <c r="D2383" t="s">
        <v>1915</v>
      </c>
      <c r="E2383" t="s">
        <v>1918</v>
      </c>
      <c r="F2383" t="s">
        <v>1885</v>
      </c>
      <c r="G2383">
        <v>303043</v>
      </c>
      <c r="H2383" s="1">
        <v>45692</v>
      </c>
      <c r="I2383" s="1">
        <v>45730</v>
      </c>
      <c r="J2383">
        <v>38</v>
      </c>
      <c r="K2383">
        <v>9.1</v>
      </c>
      <c r="L2383" t="s">
        <v>47</v>
      </c>
      <c r="M2383" t="s">
        <v>1912</v>
      </c>
      <c r="N2383" t="s">
        <v>1887</v>
      </c>
    </row>
    <row r="2384" spans="1:14" x14ac:dyDescent="0.35">
      <c r="A2384" t="s">
        <v>4308</v>
      </c>
      <c r="B2384" t="s">
        <v>1937</v>
      </c>
      <c r="C2384" t="s">
        <v>337</v>
      </c>
      <c r="D2384" t="s">
        <v>1904</v>
      </c>
      <c r="E2384" t="s">
        <v>1918</v>
      </c>
      <c r="F2384" t="s">
        <v>1908</v>
      </c>
      <c r="G2384">
        <v>472571</v>
      </c>
      <c r="H2384" s="1">
        <v>45607</v>
      </c>
      <c r="I2384" s="1"/>
      <c r="L2384" t="s">
        <v>30</v>
      </c>
      <c r="M2384" t="s">
        <v>1901</v>
      </c>
      <c r="N2384" t="s">
        <v>1887</v>
      </c>
    </row>
    <row r="2385" spans="1:14" x14ac:dyDescent="0.35">
      <c r="A2385" t="s">
        <v>4309</v>
      </c>
      <c r="B2385" t="s">
        <v>1889</v>
      </c>
      <c r="C2385" t="s">
        <v>297</v>
      </c>
      <c r="D2385" t="s">
        <v>1883</v>
      </c>
      <c r="E2385" t="s">
        <v>1600</v>
      </c>
      <c r="F2385" t="s">
        <v>1900</v>
      </c>
      <c r="G2385">
        <v>154293</v>
      </c>
      <c r="H2385" s="1">
        <v>44941</v>
      </c>
      <c r="I2385" s="1">
        <v>44984</v>
      </c>
      <c r="J2385">
        <v>43</v>
      </c>
      <c r="K2385">
        <v>22.8</v>
      </c>
      <c r="L2385" t="s">
        <v>15</v>
      </c>
      <c r="M2385" t="s">
        <v>1896</v>
      </c>
      <c r="N2385" t="s">
        <v>1887</v>
      </c>
    </row>
    <row r="2386" spans="1:14" x14ac:dyDescent="0.35">
      <c r="A2386" t="s">
        <v>4310</v>
      </c>
      <c r="B2386" t="s">
        <v>1903</v>
      </c>
      <c r="C2386" t="s">
        <v>45</v>
      </c>
      <c r="D2386" t="s">
        <v>1883</v>
      </c>
      <c r="E2386" t="s">
        <v>1600</v>
      </c>
      <c r="F2386" t="s">
        <v>1885</v>
      </c>
      <c r="G2386">
        <v>418693</v>
      </c>
      <c r="H2386" s="1">
        <v>45412</v>
      </c>
      <c r="I2386" s="1">
        <v>45493</v>
      </c>
      <c r="J2386">
        <v>81</v>
      </c>
      <c r="K2386">
        <v>5.2</v>
      </c>
      <c r="L2386" t="s">
        <v>15</v>
      </c>
      <c r="M2386" t="s">
        <v>1935</v>
      </c>
      <c r="N2386" t="s">
        <v>1887</v>
      </c>
    </row>
    <row r="2387" spans="1:14" x14ac:dyDescent="0.35">
      <c r="A2387" t="s">
        <v>4311</v>
      </c>
      <c r="B2387" t="s">
        <v>1898</v>
      </c>
      <c r="C2387" t="s">
        <v>247</v>
      </c>
      <c r="D2387" t="s">
        <v>1904</v>
      </c>
      <c r="E2387" t="s">
        <v>1600</v>
      </c>
      <c r="F2387" t="s">
        <v>1900</v>
      </c>
      <c r="G2387">
        <v>319580</v>
      </c>
      <c r="H2387" s="1">
        <v>45317</v>
      </c>
      <c r="I2387" s="1">
        <v>45357</v>
      </c>
      <c r="J2387">
        <v>40</v>
      </c>
      <c r="K2387">
        <v>3.9</v>
      </c>
      <c r="L2387" t="s">
        <v>47</v>
      </c>
      <c r="M2387" t="s">
        <v>1916</v>
      </c>
      <c r="N2387" t="s">
        <v>1887</v>
      </c>
    </row>
    <row r="2388" spans="1:14" x14ac:dyDescent="0.35">
      <c r="A2388" t="s">
        <v>4312</v>
      </c>
      <c r="B2388" t="s">
        <v>1903</v>
      </c>
      <c r="C2388" t="s">
        <v>421</v>
      </c>
      <c r="D2388" t="s">
        <v>1883</v>
      </c>
      <c r="E2388" t="s">
        <v>1678</v>
      </c>
      <c r="F2388" t="s">
        <v>1885</v>
      </c>
      <c r="G2388">
        <v>31431</v>
      </c>
      <c r="H2388" s="1">
        <v>45089</v>
      </c>
      <c r="I2388" s="1">
        <v>45253</v>
      </c>
      <c r="J2388">
        <v>164</v>
      </c>
      <c r="L2388" t="s">
        <v>47</v>
      </c>
      <c r="M2388" t="s">
        <v>1893</v>
      </c>
      <c r="N2388" t="s">
        <v>1887</v>
      </c>
    </row>
    <row r="2389" spans="1:14" x14ac:dyDescent="0.35">
      <c r="A2389" t="s">
        <v>4313</v>
      </c>
      <c r="B2389" t="s">
        <v>1924</v>
      </c>
      <c r="C2389" t="s">
        <v>273</v>
      </c>
      <c r="D2389" t="s">
        <v>1899</v>
      </c>
      <c r="E2389" t="s">
        <v>1884</v>
      </c>
      <c r="F2389" t="s">
        <v>1900</v>
      </c>
      <c r="G2389">
        <v>246647</v>
      </c>
      <c r="H2389" s="1">
        <v>45005</v>
      </c>
      <c r="I2389" s="1">
        <v>45067</v>
      </c>
      <c r="J2389">
        <v>62</v>
      </c>
      <c r="K2389">
        <v>2.1</v>
      </c>
      <c r="L2389" t="s">
        <v>47</v>
      </c>
      <c r="M2389" t="s">
        <v>1896</v>
      </c>
      <c r="N2389" t="s">
        <v>1887</v>
      </c>
    </row>
    <row r="2390" spans="1:14" x14ac:dyDescent="0.35">
      <c r="A2390" t="s">
        <v>4314</v>
      </c>
      <c r="B2390" t="s">
        <v>1898</v>
      </c>
      <c r="C2390" t="s">
        <v>330</v>
      </c>
      <c r="D2390" t="s">
        <v>1904</v>
      </c>
      <c r="E2390" t="s">
        <v>1587</v>
      </c>
      <c r="F2390" t="s">
        <v>1908</v>
      </c>
      <c r="G2390">
        <v>164945</v>
      </c>
      <c r="H2390" s="1">
        <v>45475</v>
      </c>
      <c r="I2390" s="1"/>
      <c r="L2390" t="s">
        <v>47</v>
      </c>
      <c r="M2390" t="s">
        <v>1953</v>
      </c>
      <c r="N2390" t="s">
        <v>1887</v>
      </c>
    </row>
    <row r="2391" spans="1:14" x14ac:dyDescent="0.35">
      <c r="A2391" t="s">
        <v>4315</v>
      </c>
      <c r="B2391" t="s">
        <v>1963</v>
      </c>
      <c r="C2391" t="s">
        <v>373</v>
      </c>
      <c r="D2391" t="s">
        <v>1915</v>
      </c>
      <c r="E2391" t="s">
        <v>1884</v>
      </c>
      <c r="F2391" t="s">
        <v>1908</v>
      </c>
      <c r="G2391">
        <v>364816</v>
      </c>
      <c r="H2391" s="1">
        <v>45480</v>
      </c>
      <c r="I2391" s="1"/>
      <c r="K2391">
        <v>13.2</v>
      </c>
      <c r="L2391" t="s">
        <v>15</v>
      </c>
      <c r="M2391" t="s">
        <v>1953</v>
      </c>
      <c r="N2391" t="s">
        <v>1887</v>
      </c>
    </row>
    <row r="2392" spans="1:14" x14ac:dyDescent="0.35">
      <c r="A2392" t="s">
        <v>4316</v>
      </c>
      <c r="B2392" t="s">
        <v>1898</v>
      </c>
      <c r="C2392" t="s">
        <v>408</v>
      </c>
      <c r="D2392" t="s">
        <v>1915</v>
      </c>
      <c r="E2392" t="s">
        <v>1678</v>
      </c>
      <c r="F2392" t="s">
        <v>1885</v>
      </c>
      <c r="G2392">
        <v>356861</v>
      </c>
      <c r="H2392" s="1">
        <v>45641</v>
      </c>
      <c r="I2392" s="1">
        <v>45808</v>
      </c>
      <c r="J2392">
        <v>167</v>
      </c>
      <c r="L2392" t="s">
        <v>30</v>
      </c>
      <c r="M2392" t="s">
        <v>1901</v>
      </c>
      <c r="N2392" t="s">
        <v>1887</v>
      </c>
    </row>
    <row r="2393" spans="1:14" x14ac:dyDescent="0.35">
      <c r="A2393" t="s">
        <v>4317</v>
      </c>
      <c r="B2393" t="s">
        <v>1922</v>
      </c>
      <c r="C2393" t="s">
        <v>428</v>
      </c>
      <c r="D2393" t="s">
        <v>1915</v>
      </c>
      <c r="E2393" t="s">
        <v>1891</v>
      </c>
      <c r="F2393" t="s">
        <v>1892</v>
      </c>
      <c r="G2393">
        <v>488204</v>
      </c>
      <c r="H2393" s="1">
        <v>45318</v>
      </c>
      <c r="I2393" s="1"/>
      <c r="K2393">
        <v>7.7</v>
      </c>
      <c r="L2393" t="s">
        <v>47</v>
      </c>
      <c r="M2393" t="s">
        <v>1916</v>
      </c>
      <c r="N2393" t="s">
        <v>1887</v>
      </c>
    </row>
    <row r="2394" spans="1:14" x14ac:dyDescent="0.35">
      <c r="A2394" t="s">
        <v>4318</v>
      </c>
      <c r="B2394" t="s">
        <v>1882</v>
      </c>
      <c r="C2394" t="s">
        <v>330</v>
      </c>
      <c r="D2394" t="s">
        <v>1904</v>
      </c>
      <c r="E2394" t="s">
        <v>1587</v>
      </c>
      <c r="F2394" t="s">
        <v>1900</v>
      </c>
      <c r="G2394">
        <v>337191</v>
      </c>
      <c r="H2394" s="1">
        <v>45313</v>
      </c>
      <c r="I2394" s="1">
        <v>45330</v>
      </c>
      <c r="J2394">
        <v>17</v>
      </c>
      <c r="K2394">
        <v>13</v>
      </c>
      <c r="L2394" t="s">
        <v>30</v>
      </c>
      <c r="M2394" t="s">
        <v>1916</v>
      </c>
      <c r="N2394" t="s">
        <v>1887</v>
      </c>
    </row>
    <row r="2395" spans="1:14" x14ac:dyDescent="0.35">
      <c r="A2395" t="s">
        <v>4319</v>
      </c>
      <c r="B2395" t="s">
        <v>1898</v>
      </c>
      <c r="C2395" t="s">
        <v>475</v>
      </c>
      <c r="D2395" t="s">
        <v>1883</v>
      </c>
      <c r="E2395" t="s">
        <v>1884</v>
      </c>
      <c r="F2395" t="s">
        <v>1895</v>
      </c>
      <c r="G2395">
        <v>12141</v>
      </c>
      <c r="H2395" s="1">
        <v>45113</v>
      </c>
      <c r="I2395" s="1"/>
      <c r="K2395">
        <v>10.3</v>
      </c>
      <c r="L2395" t="s">
        <v>15</v>
      </c>
      <c r="M2395" t="s">
        <v>1932</v>
      </c>
      <c r="N2395" t="s">
        <v>1887</v>
      </c>
    </row>
    <row r="2396" spans="1:14" x14ac:dyDescent="0.35">
      <c r="A2396" t="s">
        <v>4320</v>
      </c>
      <c r="B2396" t="s">
        <v>1903</v>
      </c>
      <c r="C2396" t="s">
        <v>11</v>
      </c>
      <c r="D2396" t="s">
        <v>1883</v>
      </c>
      <c r="E2396" t="s">
        <v>1587</v>
      </c>
      <c r="F2396" t="s">
        <v>1900</v>
      </c>
      <c r="G2396">
        <v>382210</v>
      </c>
      <c r="H2396" s="1">
        <v>45689</v>
      </c>
      <c r="I2396" s="1">
        <v>45744</v>
      </c>
      <c r="J2396">
        <v>55</v>
      </c>
      <c r="K2396">
        <v>0.5</v>
      </c>
      <c r="L2396" t="s">
        <v>15</v>
      </c>
      <c r="M2396" t="s">
        <v>1912</v>
      </c>
      <c r="N2396" t="s">
        <v>1887</v>
      </c>
    </row>
    <row r="2397" spans="1:14" x14ac:dyDescent="0.35">
      <c r="A2397" t="s">
        <v>4321</v>
      </c>
      <c r="B2397" t="s">
        <v>1889</v>
      </c>
      <c r="C2397" t="s">
        <v>176</v>
      </c>
      <c r="D2397" t="s">
        <v>1904</v>
      </c>
      <c r="E2397" t="s">
        <v>1905</v>
      </c>
      <c r="F2397" t="s">
        <v>1946</v>
      </c>
      <c r="G2397">
        <v>455899</v>
      </c>
      <c r="H2397" s="1">
        <v>45639</v>
      </c>
      <c r="I2397" s="1"/>
      <c r="L2397" t="s">
        <v>15</v>
      </c>
      <c r="M2397" t="s">
        <v>1901</v>
      </c>
      <c r="N2397" t="s">
        <v>1887</v>
      </c>
    </row>
    <row r="2398" spans="1:14" x14ac:dyDescent="0.35">
      <c r="A2398" t="s">
        <v>4322</v>
      </c>
      <c r="B2398" t="s">
        <v>1924</v>
      </c>
      <c r="C2398" t="s">
        <v>171</v>
      </c>
      <c r="D2398" t="s">
        <v>1927</v>
      </c>
      <c r="E2398" t="s">
        <v>1918</v>
      </c>
      <c r="F2398" t="s">
        <v>1946</v>
      </c>
      <c r="G2398">
        <v>193276</v>
      </c>
      <c r="H2398" s="1">
        <v>45597</v>
      </c>
      <c r="I2398" s="1"/>
      <c r="K2398">
        <v>11.7</v>
      </c>
      <c r="L2398" t="s">
        <v>30</v>
      </c>
      <c r="M2398" t="s">
        <v>1901</v>
      </c>
      <c r="N2398" t="s">
        <v>1887</v>
      </c>
    </row>
    <row r="2399" spans="1:14" x14ac:dyDescent="0.35">
      <c r="A2399" t="s">
        <v>4323</v>
      </c>
      <c r="B2399" t="s">
        <v>1922</v>
      </c>
      <c r="C2399" t="s">
        <v>372</v>
      </c>
      <c r="D2399" t="s">
        <v>1927</v>
      </c>
      <c r="E2399" t="s">
        <v>1884</v>
      </c>
      <c r="F2399" t="s">
        <v>1892</v>
      </c>
      <c r="G2399">
        <v>89484</v>
      </c>
      <c r="H2399" s="1">
        <v>45368</v>
      </c>
      <c r="I2399" s="1"/>
      <c r="K2399">
        <v>13.2</v>
      </c>
      <c r="L2399" t="s">
        <v>30</v>
      </c>
      <c r="M2399" t="s">
        <v>1916</v>
      </c>
      <c r="N2399" t="s">
        <v>1887</v>
      </c>
    </row>
    <row r="2400" spans="1:14" x14ac:dyDescent="0.35">
      <c r="A2400" t="s">
        <v>4324</v>
      </c>
      <c r="B2400" t="s">
        <v>1930</v>
      </c>
      <c r="C2400" t="s">
        <v>23</v>
      </c>
      <c r="D2400" t="s">
        <v>1883</v>
      </c>
      <c r="E2400" t="s">
        <v>1931</v>
      </c>
      <c r="F2400" t="s">
        <v>1885</v>
      </c>
      <c r="G2400">
        <v>347524</v>
      </c>
      <c r="H2400" s="1">
        <v>45412</v>
      </c>
      <c r="I2400" s="1">
        <v>45554</v>
      </c>
      <c r="J2400">
        <v>142</v>
      </c>
      <c r="L2400" t="s">
        <v>15</v>
      </c>
      <c r="M2400" t="s">
        <v>1935</v>
      </c>
      <c r="N2400" t="s">
        <v>1887</v>
      </c>
    </row>
    <row r="2401" spans="1:14" x14ac:dyDescent="0.35">
      <c r="A2401" t="s">
        <v>4325</v>
      </c>
      <c r="B2401" t="s">
        <v>1937</v>
      </c>
      <c r="C2401" t="s">
        <v>173</v>
      </c>
      <c r="D2401" t="s">
        <v>1927</v>
      </c>
      <c r="E2401" t="s">
        <v>1587</v>
      </c>
      <c r="F2401" t="s">
        <v>1892</v>
      </c>
      <c r="G2401">
        <v>372383</v>
      </c>
      <c r="H2401" s="1">
        <v>45005</v>
      </c>
      <c r="I2401" s="1"/>
      <c r="K2401">
        <v>6.9</v>
      </c>
      <c r="L2401" t="s">
        <v>47</v>
      </c>
      <c r="M2401" t="s">
        <v>1896</v>
      </c>
      <c r="N2401" t="s">
        <v>1887</v>
      </c>
    </row>
    <row r="2402" spans="1:14" x14ac:dyDescent="0.35">
      <c r="A2402" t="s">
        <v>4326</v>
      </c>
      <c r="B2402" t="s">
        <v>1934</v>
      </c>
      <c r="C2402" t="s">
        <v>133</v>
      </c>
      <c r="D2402" t="s">
        <v>1899</v>
      </c>
      <c r="E2402" t="s">
        <v>1678</v>
      </c>
      <c r="F2402" t="s">
        <v>1895</v>
      </c>
      <c r="G2402">
        <v>352462</v>
      </c>
      <c r="H2402" s="1">
        <v>44938</v>
      </c>
      <c r="I2402" s="1"/>
      <c r="L2402" t="s">
        <v>30</v>
      </c>
      <c r="M2402" t="s">
        <v>1896</v>
      </c>
      <c r="N2402" t="s">
        <v>1887</v>
      </c>
    </row>
    <row r="2403" spans="1:14" x14ac:dyDescent="0.35">
      <c r="A2403" t="s">
        <v>4327</v>
      </c>
      <c r="B2403" t="s">
        <v>1934</v>
      </c>
      <c r="C2403" t="s">
        <v>164</v>
      </c>
      <c r="D2403" t="s">
        <v>1927</v>
      </c>
      <c r="E2403" t="s">
        <v>1931</v>
      </c>
      <c r="F2403" t="s">
        <v>1885</v>
      </c>
      <c r="G2403">
        <v>194939</v>
      </c>
      <c r="H2403" s="1">
        <v>45556</v>
      </c>
      <c r="I2403" s="1">
        <v>45597</v>
      </c>
      <c r="J2403">
        <v>41</v>
      </c>
      <c r="K2403">
        <v>10.1</v>
      </c>
      <c r="L2403" t="s">
        <v>30</v>
      </c>
      <c r="M2403" t="s">
        <v>1953</v>
      </c>
      <c r="N2403" t="s">
        <v>1887</v>
      </c>
    </row>
    <row r="2404" spans="1:14" x14ac:dyDescent="0.35">
      <c r="A2404" t="s">
        <v>4328</v>
      </c>
      <c r="B2404" t="s">
        <v>1911</v>
      </c>
      <c r="C2404" t="s">
        <v>112</v>
      </c>
      <c r="D2404" t="s">
        <v>1890</v>
      </c>
      <c r="E2404" t="s">
        <v>1884</v>
      </c>
      <c r="F2404" t="s">
        <v>1900</v>
      </c>
      <c r="G2404">
        <v>189982</v>
      </c>
      <c r="H2404" s="1">
        <v>45473</v>
      </c>
      <c r="I2404" s="1">
        <v>45526</v>
      </c>
      <c r="J2404">
        <v>53</v>
      </c>
      <c r="K2404">
        <v>15.9</v>
      </c>
      <c r="L2404" t="s">
        <v>30</v>
      </c>
      <c r="M2404" t="s">
        <v>1935</v>
      </c>
      <c r="N2404" t="s">
        <v>1887</v>
      </c>
    </row>
    <row r="2405" spans="1:14" x14ac:dyDescent="0.35">
      <c r="A2405" t="s">
        <v>4329</v>
      </c>
      <c r="B2405" t="s">
        <v>1903</v>
      </c>
      <c r="C2405" t="s">
        <v>390</v>
      </c>
      <c r="D2405" t="s">
        <v>1883</v>
      </c>
      <c r="E2405" t="s">
        <v>1600</v>
      </c>
      <c r="F2405" t="s">
        <v>1908</v>
      </c>
      <c r="G2405">
        <v>73177</v>
      </c>
      <c r="H2405" s="1">
        <v>45215</v>
      </c>
      <c r="I2405" s="1"/>
      <c r="K2405">
        <v>6.1</v>
      </c>
      <c r="L2405" t="s">
        <v>47</v>
      </c>
      <c r="M2405" t="s">
        <v>1886</v>
      </c>
      <c r="N2405" t="s">
        <v>1887</v>
      </c>
    </row>
    <row r="2406" spans="1:14" x14ac:dyDescent="0.35">
      <c r="A2406" t="s">
        <v>4330</v>
      </c>
      <c r="B2406" t="s">
        <v>1924</v>
      </c>
      <c r="C2406" t="s">
        <v>135</v>
      </c>
      <c r="D2406" t="s">
        <v>1883</v>
      </c>
      <c r="E2406" t="s">
        <v>1600</v>
      </c>
      <c r="F2406" t="s">
        <v>1908</v>
      </c>
      <c r="G2406">
        <v>211860</v>
      </c>
      <c r="H2406" s="1">
        <v>45433</v>
      </c>
      <c r="I2406" s="1"/>
      <c r="K2406">
        <v>6.4</v>
      </c>
      <c r="L2406" t="s">
        <v>30</v>
      </c>
      <c r="M2406" t="s">
        <v>1935</v>
      </c>
      <c r="N2406" t="s">
        <v>1887</v>
      </c>
    </row>
    <row r="2407" spans="1:14" x14ac:dyDescent="0.35">
      <c r="A2407" t="s">
        <v>4331</v>
      </c>
      <c r="B2407" t="s">
        <v>1903</v>
      </c>
      <c r="C2407" t="s">
        <v>176</v>
      </c>
      <c r="D2407" t="s">
        <v>1927</v>
      </c>
      <c r="E2407" t="s">
        <v>1918</v>
      </c>
      <c r="F2407" t="s">
        <v>1895</v>
      </c>
      <c r="G2407">
        <v>465436</v>
      </c>
      <c r="H2407" s="1">
        <v>45307</v>
      </c>
      <c r="I2407" s="1"/>
      <c r="L2407" t="s">
        <v>15</v>
      </c>
      <c r="M2407" t="s">
        <v>1916</v>
      </c>
      <c r="N2407" t="s">
        <v>1887</v>
      </c>
    </row>
    <row r="2408" spans="1:14" x14ac:dyDescent="0.35">
      <c r="A2408" t="s">
        <v>4332</v>
      </c>
      <c r="B2408" t="s">
        <v>1920</v>
      </c>
      <c r="C2408" t="s">
        <v>349</v>
      </c>
      <c r="D2408" t="s">
        <v>1883</v>
      </c>
      <c r="E2408" t="s">
        <v>1884</v>
      </c>
      <c r="F2408" t="s">
        <v>1895</v>
      </c>
      <c r="G2408">
        <v>369537</v>
      </c>
      <c r="H2408" s="1">
        <v>45708</v>
      </c>
      <c r="I2408" s="1"/>
      <c r="K2408">
        <v>11.7</v>
      </c>
      <c r="L2408" t="s">
        <v>21</v>
      </c>
      <c r="M2408" t="s">
        <v>1912</v>
      </c>
      <c r="N2408" t="s">
        <v>1887</v>
      </c>
    </row>
    <row r="2409" spans="1:14" x14ac:dyDescent="0.35">
      <c r="A2409" t="s">
        <v>4333</v>
      </c>
      <c r="B2409" t="s">
        <v>1882</v>
      </c>
      <c r="C2409" t="s">
        <v>400</v>
      </c>
      <c r="D2409" t="s">
        <v>1899</v>
      </c>
      <c r="E2409" t="s">
        <v>1884</v>
      </c>
      <c r="F2409" t="s">
        <v>1885</v>
      </c>
      <c r="G2409">
        <v>265969</v>
      </c>
      <c r="H2409" s="1">
        <v>45685</v>
      </c>
      <c r="I2409" s="1">
        <v>45704</v>
      </c>
      <c r="J2409">
        <v>19</v>
      </c>
      <c r="K2409">
        <v>13</v>
      </c>
      <c r="L2409" t="s">
        <v>21</v>
      </c>
      <c r="M2409" t="s">
        <v>1912</v>
      </c>
      <c r="N2409" t="s">
        <v>1887</v>
      </c>
    </row>
    <row r="2410" spans="1:14" x14ac:dyDescent="0.35">
      <c r="A2410" t="s">
        <v>4334</v>
      </c>
      <c r="B2410" t="s">
        <v>1924</v>
      </c>
      <c r="C2410" t="s">
        <v>437</v>
      </c>
      <c r="D2410" t="s">
        <v>1899</v>
      </c>
      <c r="E2410" t="s">
        <v>1678</v>
      </c>
      <c r="F2410" t="s">
        <v>1900</v>
      </c>
      <c r="G2410">
        <v>462237</v>
      </c>
      <c r="H2410" s="1">
        <v>45063</v>
      </c>
      <c r="I2410" s="1">
        <v>45161</v>
      </c>
      <c r="J2410">
        <v>98</v>
      </c>
      <c r="K2410">
        <v>17.7</v>
      </c>
      <c r="L2410" t="s">
        <v>21</v>
      </c>
      <c r="M2410" t="s">
        <v>1893</v>
      </c>
      <c r="N2410" t="s">
        <v>1887</v>
      </c>
    </row>
    <row r="2411" spans="1:14" x14ac:dyDescent="0.35">
      <c r="A2411" t="s">
        <v>4335</v>
      </c>
      <c r="B2411" t="s">
        <v>1963</v>
      </c>
      <c r="C2411" t="s">
        <v>388</v>
      </c>
      <c r="D2411" t="s">
        <v>1899</v>
      </c>
      <c r="E2411" t="s">
        <v>1884</v>
      </c>
      <c r="F2411" t="s">
        <v>1900</v>
      </c>
      <c r="G2411">
        <v>62406</v>
      </c>
      <c r="H2411" s="1">
        <v>45705</v>
      </c>
      <c r="I2411" s="1">
        <v>45775</v>
      </c>
      <c r="J2411">
        <v>70</v>
      </c>
      <c r="K2411">
        <v>5.7</v>
      </c>
      <c r="L2411" t="s">
        <v>47</v>
      </c>
      <c r="M2411" t="s">
        <v>1912</v>
      </c>
      <c r="N2411" t="s">
        <v>1887</v>
      </c>
    </row>
    <row r="2412" spans="1:14" x14ac:dyDescent="0.35">
      <c r="A2412" t="s">
        <v>4336</v>
      </c>
      <c r="B2412" t="s">
        <v>1920</v>
      </c>
      <c r="C2412" t="s">
        <v>358</v>
      </c>
      <c r="D2412" t="s">
        <v>1904</v>
      </c>
      <c r="E2412" t="s">
        <v>1587</v>
      </c>
      <c r="F2412" t="s">
        <v>1885</v>
      </c>
      <c r="G2412">
        <v>267765</v>
      </c>
      <c r="H2412" s="1">
        <v>45332</v>
      </c>
      <c r="I2412" s="1">
        <v>45459</v>
      </c>
      <c r="J2412">
        <v>127</v>
      </c>
      <c r="L2412" t="s">
        <v>30</v>
      </c>
      <c r="M2412" t="s">
        <v>1916</v>
      </c>
      <c r="N2412" t="s">
        <v>1887</v>
      </c>
    </row>
    <row r="2413" spans="1:14" x14ac:dyDescent="0.35">
      <c r="A2413" t="s">
        <v>4337</v>
      </c>
      <c r="B2413" t="s">
        <v>1889</v>
      </c>
      <c r="C2413" t="s">
        <v>313</v>
      </c>
      <c r="D2413" t="s">
        <v>1883</v>
      </c>
      <c r="E2413" t="s">
        <v>1678</v>
      </c>
      <c r="F2413" t="s">
        <v>1892</v>
      </c>
      <c r="G2413">
        <v>133542</v>
      </c>
      <c r="H2413" s="1">
        <v>45469</v>
      </c>
      <c r="I2413" s="1"/>
      <c r="K2413">
        <v>14.7</v>
      </c>
      <c r="L2413" t="s">
        <v>15</v>
      </c>
      <c r="M2413" t="s">
        <v>1935</v>
      </c>
      <c r="N2413" t="s">
        <v>1887</v>
      </c>
    </row>
    <row r="2414" spans="1:14" x14ac:dyDescent="0.35">
      <c r="A2414" t="s">
        <v>4338</v>
      </c>
      <c r="B2414" t="s">
        <v>1937</v>
      </c>
      <c r="C2414" t="s">
        <v>85</v>
      </c>
      <c r="D2414" t="s">
        <v>1890</v>
      </c>
      <c r="E2414" t="s">
        <v>1884</v>
      </c>
      <c r="F2414" t="s">
        <v>1908</v>
      </c>
      <c r="G2414">
        <v>879556</v>
      </c>
      <c r="H2414" s="1">
        <v>45647</v>
      </c>
      <c r="I2414" s="1"/>
      <c r="L2414" t="s">
        <v>21</v>
      </c>
      <c r="M2414" t="s">
        <v>1901</v>
      </c>
      <c r="N2414" t="s">
        <v>1887</v>
      </c>
    </row>
    <row r="2415" spans="1:14" x14ac:dyDescent="0.35">
      <c r="A2415" t="s">
        <v>4339</v>
      </c>
      <c r="B2415" t="s">
        <v>1922</v>
      </c>
      <c r="C2415" t="s">
        <v>258</v>
      </c>
      <c r="D2415" t="s">
        <v>1927</v>
      </c>
      <c r="E2415" t="s">
        <v>1891</v>
      </c>
      <c r="F2415" t="s">
        <v>1900</v>
      </c>
      <c r="G2415">
        <v>174077</v>
      </c>
      <c r="H2415" s="1">
        <v>45201</v>
      </c>
      <c r="I2415" s="1">
        <v>45260</v>
      </c>
      <c r="J2415">
        <v>59</v>
      </c>
      <c r="K2415">
        <v>18.2</v>
      </c>
      <c r="L2415" t="s">
        <v>15</v>
      </c>
      <c r="M2415" t="s">
        <v>1886</v>
      </c>
      <c r="N2415" t="s">
        <v>1887</v>
      </c>
    </row>
    <row r="2416" spans="1:14" x14ac:dyDescent="0.35">
      <c r="A2416" t="s">
        <v>4340</v>
      </c>
      <c r="B2416" t="s">
        <v>1914</v>
      </c>
      <c r="C2416" t="s">
        <v>481</v>
      </c>
      <c r="D2416" t="s">
        <v>1899</v>
      </c>
      <c r="E2416" t="s">
        <v>1587</v>
      </c>
      <c r="F2416" t="s">
        <v>1892</v>
      </c>
      <c r="G2416">
        <v>212824</v>
      </c>
      <c r="H2416" s="1">
        <v>45415</v>
      </c>
      <c r="I2416" s="1"/>
      <c r="K2416">
        <v>3.9</v>
      </c>
      <c r="L2416" t="s">
        <v>15</v>
      </c>
      <c r="M2416" t="s">
        <v>1935</v>
      </c>
      <c r="N2416" t="s">
        <v>1887</v>
      </c>
    </row>
    <row r="2417" spans="1:14" x14ac:dyDescent="0.35">
      <c r="A2417" t="s">
        <v>4341</v>
      </c>
      <c r="B2417" t="s">
        <v>1898</v>
      </c>
      <c r="C2417" t="s">
        <v>299</v>
      </c>
      <c r="D2417" t="s">
        <v>1883</v>
      </c>
      <c r="E2417" t="s">
        <v>1905</v>
      </c>
      <c r="F2417" t="s">
        <v>1946</v>
      </c>
      <c r="G2417">
        <v>234399</v>
      </c>
      <c r="H2417" s="1">
        <v>45350</v>
      </c>
      <c r="I2417" s="1"/>
      <c r="K2417">
        <v>13.4</v>
      </c>
      <c r="L2417" t="s">
        <v>30</v>
      </c>
      <c r="M2417" t="s">
        <v>1916</v>
      </c>
      <c r="N2417" t="s">
        <v>1887</v>
      </c>
    </row>
    <row r="2418" spans="1:14" x14ac:dyDescent="0.35">
      <c r="A2418" t="s">
        <v>4342</v>
      </c>
      <c r="B2418" t="s">
        <v>1882</v>
      </c>
      <c r="C2418" t="s">
        <v>18</v>
      </c>
      <c r="D2418" t="s">
        <v>1904</v>
      </c>
      <c r="E2418" t="s">
        <v>1931</v>
      </c>
      <c r="F2418" t="s">
        <v>1892</v>
      </c>
      <c r="G2418">
        <v>127686</v>
      </c>
      <c r="H2418" s="1">
        <v>45151</v>
      </c>
      <c r="I2418" s="1"/>
      <c r="L2418" t="s">
        <v>15</v>
      </c>
      <c r="M2418" t="s">
        <v>1932</v>
      </c>
      <c r="N2418" t="s">
        <v>1887</v>
      </c>
    </row>
    <row r="2419" spans="1:14" x14ac:dyDescent="0.35">
      <c r="A2419" t="s">
        <v>4343</v>
      </c>
      <c r="B2419" t="s">
        <v>1914</v>
      </c>
      <c r="C2419" t="s">
        <v>329</v>
      </c>
      <c r="D2419" t="s">
        <v>1890</v>
      </c>
      <c r="E2419" t="s">
        <v>1587</v>
      </c>
      <c r="F2419" t="s">
        <v>1908</v>
      </c>
      <c r="G2419">
        <v>264210</v>
      </c>
      <c r="H2419" s="1">
        <v>45365</v>
      </c>
      <c r="I2419" s="1"/>
      <c r="K2419">
        <v>0.8</v>
      </c>
      <c r="L2419" t="s">
        <v>21</v>
      </c>
      <c r="M2419" t="s">
        <v>1916</v>
      </c>
      <c r="N2419" t="s">
        <v>1887</v>
      </c>
    </row>
    <row r="2420" spans="1:14" x14ac:dyDescent="0.35">
      <c r="A2420" t="s">
        <v>4344</v>
      </c>
      <c r="B2420" t="s">
        <v>1930</v>
      </c>
      <c r="C2420" t="s">
        <v>331</v>
      </c>
      <c r="D2420" t="s">
        <v>1915</v>
      </c>
      <c r="E2420" t="s">
        <v>1931</v>
      </c>
      <c r="F2420" t="s">
        <v>1895</v>
      </c>
      <c r="G2420">
        <v>1502805</v>
      </c>
      <c r="H2420" s="1">
        <v>45727</v>
      </c>
      <c r="I2420" s="1"/>
      <c r="K2420">
        <v>6.1</v>
      </c>
      <c r="L2420" t="s">
        <v>15</v>
      </c>
      <c r="M2420" t="s">
        <v>1912</v>
      </c>
      <c r="N2420" t="s">
        <v>1966</v>
      </c>
    </row>
    <row r="2421" spans="1:14" x14ac:dyDescent="0.35">
      <c r="A2421" t="s">
        <v>4345</v>
      </c>
      <c r="B2421" t="s">
        <v>1903</v>
      </c>
      <c r="C2421" t="s">
        <v>344</v>
      </c>
      <c r="D2421" t="s">
        <v>1915</v>
      </c>
      <c r="E2421" t="s">
        <v>1918</v>
      </c>
      <c r="F2421" t="s">
        <v>1908</v>
      </c>
      <c r="G2421">
        <v>143527</v>
      </c>
      <c r="H2421" s="1">
        <v>45154</v>
      </c>
      <c r="I2421" s="1"/>
      <c r="K2421">
        <v>9.5</v>
      </c>
      <c r="L2421" t="s">
        <v>30</v>
      </c>
      <c r="M2421" t="s">
        <v>1932</v>
      </c>
      <c r="N2421" t="s">
        <v>1887</v>
      </c>
    </row>
    <row r="2422" spans="1:14" x14ac:dyDescent="0.35">
      <c r="A2422" t="s">
        <v>4346</v>
      </c>
      <c r="B2422" t="s">
        <v>1937</v>
      </c>
      <c r="C2422" t="s">
        <v>235</v>
      </c>
      <c r="D2422" t="s">
        <v>1899</v>
      </c>
      <c r="E2422" t="s">
        <v>1587</v>
      </c>
      <c r="F2422" t="s">
        <v>1908</v>
      </c>
      <c r="G2422">
        <v>38520</v>
      </c>
      <c r="H2422" s="1">
        <v>45086</v>
      </c>
      <c r="I2422" s="1"/>
      <c r="L2422" t="s">
        <v>30</v>
      </c>
      <c r="M2422" t="s">
        <v>1893</v>
      </c>
      <c r="N2422" t="s">
        <v>1887</v>
      </c>
    </row>
    <row r="2423" spans="1:14" x14ac:dyDescent="0.35">
      <c r="A2423" t="s">
        <v>4347</v>
      </c>
      <c r="B2423" t="s">
        <v>1920</v>
      </c>
      <c r="C2423" t="s">
        <v>433</v>
      </c>
      <c r="D2423" t="s">
        <v>1915</v>
      </c>
      <c r="E2423" t="s">
        <v>1678</v>
      </c>
      <c r="F2423" t="s">
        <v>1892</v>
      </c>
      <c r="G2423">
        <v>265563</v>
      </c>
      <c r="H2423" s="1">
        <v>45015</v>
      </c>
      <c r="I2423" s="1"/>
      <c r="K2423">
        <v>7.1</v>
      </c>
      <c r="L2423" t="s">
        <v>47</v>
      </c>
      <c r="M2423" t="s">
        <v>1896</v>
      </c>
      <c r="N2423" t="s">
        <v>1887</v>
      </c>
    </row>
    <row r="2424" spans="1:14" x14ac:dyDescent="0.35">
      <c r="A2424" t="s">
        <v>4348</v>
      </c>
      <c r="B2424" t="s">
        <v>1920</v>
      </c>
      <c r="C2424" t="s">
        <v>368</v>
      </c>
      <c r="D2424" t="s">
        <v>1927</v>
      </c>
      <c r="E2424" t="s">
        <v>1891</v>
      </c>
      <c r="F2424" t="s">
        <v>1900</v>
      </c>
      <c r="G2424">
        <v>230215</v>
      </c>
      <c r="H2424" s="1">
        <v>45398</v>
      </c>
      <c r="I2424" s="1">
        <v>45432</v>
      </c>
      <c r="J2424">
        <v>34</v>
      </c>
      <c r="K2424">
        <v>17.100000000000001</v>
      </c>
      <c r="L2424" t="s">
        <v>30</v>
      </c>
      <c r="M2424" t="s">
        <v>1935</v>
      </c>
      <c r="N2424" t="s">
        <v>1887</v>
      </c>
    </row>
    <row r="2425" spans="1:14" x14ac:dyDescent="0.35">
      <c r="A2425" t="s">
        <v>4349</v>
      </c>
      <c r="B2425" t="s">
        <v>1963</v>
      </c>
      <c r="C2425" t="s">
        <v>211</v>
      </c>
      <c r="D2425" t="s">
        <v>1890</v>
      </c>
      <c r="E2425" t="s">
        <v>1931</v>
      </c>
      <c r="F2425" t="s">
        <v>1885</v>
      </c>
      <c r="G2425">
        <v>26182</v>
      </c>
      <c r="H2425" s="1">
        <v>45429</v>
      </c>
      <c r="I2425" s="1">
        <v>45536</v>
      </c>
      <c r="J2425">
        <v>107</v>
      </c>
      <c r="L2425" t="s">
        <v>47</v>
      </c>
      <c r="M2425" t="s">
        <v>1935</v>
      </c>
      <c r="N2425" t="s">
        <v>1887</v>
      </c>
    </row>
    <row r="2426" spans="1:14" x14ac:dyDescent="0.35">
      <c r="A2426" t="s">
        <v>4350</v>
      </c>
      <c r="B2426" t="s">
        <v>1889</v>
      </c>
      <c r="C2426" t="s">
        <v>475</v>
      </c>
      <c r="D2426" t="s">
        <v>1883</v>
      </c>
      <c r="E2426" t="s">
        <v>1931</v>
      </c>
      <c r="F2426" t="s">
        <v>1900</v>
      </c>
      <c r="G2426">
        <v>209145</v>
      </c>
      <c r="H2426" s="1">
        <v>45030</v>
      </c>
      <c r="I2426" s="1">
        <v>45080</v>
      </c>
      <c r="J2426">
        <v>50</v>
      </c>
      <c r="K2426">
        <v>22.1</v>
      </c>
      <c r="L2426" t="s">
        <v>21</v>
      </c>
      <c r="M2426" t="s">
        <v>1893</v>
      </c>
      <c r="N2426" t="s">
        <v>1887</v>
      </c>
    </row>
    <row r="2427" spans="1:14" x14ac:dyDescent="0.35">
      <c r="A2427" t="s">
        <v>4351</v>
      </c>
      <c r="B2427" t="s">
        <v>1934</v>
      </c>
      <c r="C2427" t="s">
        <v>277</v>
      </c>
      <c r="D2427" t="s">
        <v>1904</v>
      </c>
      <c r="E2427" t="s">
        <v>1891</v>
      </c>
      <c r="F2427" t="s">
        <v>1900</v>
      </c>
      <c r="G2427">
        <v>388492</v>
      </c>
      <c r="H2427" s="1">
        <v>44978</v>
      </c>
      <c r="I2427" s="1">
        <v>45028</v>
      </c>
      <c r="J2427">
        <v>50</v>
      </c>
      <c r="K2427">
        <v>5.0999999999999996</v>
      </c>
      <c r="L2427" t="s">
        <v>21</v>
      </c>
      <c r="M2427" t="s">
        <v>1896</v>
      </c>
      <c r="N2427" t="s">
        <v>1887</v>
      </c>
    </row>
    <row r="2428" spans="1:14" x14ac:dyDescent="0.35">
      <c r="A2428" t="s">
        <v>4352</v>
      </c>
      <c r="B2428" t="s">
        <v>1898</v>
      </c>
      <c r="C2428" t="s">
        <v>473</v>
      </c>
      <c r="D2428" t="s">
        <v>1890</v>
      </c>
      <c r="E2428" t="s">
        <v>1678</v>
      </c>
      <c r="F2428" t="s">
        <v>1946</v>
      </c>
      <c r="G2428">
        <v>300165</v>
      </c>
      <c r="H2428" s="1">
        <v>45420</v>
      </c>
      <c r="I2428" s="1"/>
      <c r="K2428">
        <v>8.6</v>
      </c>
      <c r="L2428" t="s">
        <v>30</v>
      </c>
      <c r="M2428" t="s">
        <v>1935</v>
      </c>
      <c r="N2428" t="s">
        <v>1887</v>
      </c>
    </row>
    <row r="2429" spans="1:14" x14ac:dyDescent="0.35">
      <c r="A2429" t="s">
        <v>4353</v>
      </c>
      <c r="B2429" t="s">
        <v>1922</v>
      </c>
      <c r="C2429" t="s">
        <v>408</v>
      </c>
      <c r="D2429" t="s">
        <v>1890</v>
      </c>
      <c r="E2429" t="s">
        <v>1600</v>
      </c>
      <c r="F2429" t="s">
        <v>1900</v>
      </c>
      <c r="G2429">
        <v>378732</v>
      </c>
      <c r="H2429" s="1">
        <v>45605</v>
      </c>
      <c r="I2429" s="1">
        <v>45732</v>
      </c>
      <c r="J2429">
        <v>127</v>
      </c>
      <c r="K2429">
        <v>12.7</v>
      </c>
      <c r="L2429" t="s">
        <v>15</v>
      </c>
      <c r="M2429" t="s">
        <v>1901</v>
      </c>
      <c r="N2429" t="s">
        <v>1887</v>
      </c>
    </row>
    <row r="2430" spans="1:14" x14ac:dyDescent="0.35">
      <c r="A2430" t="s">
        <v>4354</v>
      </c>
      <c r="B2430" t="s">
        <v>1934</v>
      </c>
      <c r="C2430" t="s">
        <v>341</v>
      </c>
      <c r="D2430" t="s">
        <v>1915</v>
      </c>
      <c r="E2430" t="s">
        <v>1587</v>
      </c>
      <c r="F2430" t="s">
        <v>1900</v>
      </c>
      <c r="G2430">
        <v>344537</v>
      </c>
      <c r="H2430" s="1">
        <v>45246</v>
      </c>
      <c r="I2430" s="1">
        <v>45398</v>
      </c>
      <c r="J2430">
        <v>152</v>
      </c>
      <c r="K2430">
        <v>7.3</v>
      </c>
      <c r="L2430" t="s">
        <v>47</v>
      </c>
      <c r="M2430" t="s">
        <v>1886</v>
      </c>
      <c r="N2430" t="s">
        <v>1887</v>
      </c>
    </row>
    <row r="2431" spans="1:14" x14ac:dyDescent="0.35">
      <c r="A2431" t="s">
        <v>4355</v>
      </c>
      <c r="B2431" t="s">
        <v>1914</v>
      </c>
      <c r="C2431" t="s">
        <v>302</v>
      </c>
      <c r="D2431" t="s">
        <v>1904</v>
      </c>
      <c r="E2431" t="s">
        <v>1931</v>
      </c>
      <c r="F2431" t="s">
        <v>1908</v>
      </c>
      <c r="G2431">
        <v>175434</v>
      </c>
      <c r="H2431" s="1">
        <v>45119</v>
      </c>
      <c r="I2431" s="1"/>
      <c r="L2431" t="s">
        <v>21</v>
      </c>
      <c r="M2431" t="s">
        <v>1932</v>
      </c>
      <c r="N2431" t="s">
        <v>1887</v>
      </c>
    </row>
    <row r="2432" spans="1:14" x14ac:dyDescent="0.35">
      <c r="A2432" t="s">
        <v>4356</v>
      </c>
      <c r="B2432" t="s">
        <v>1898</v>
      </c>
      <c r="C2432" t="s">
        <v>408</v>
      </c>
      <c r="D2432" t="s">
        <v>1899</v>
      </c>
      <c r="E2432" t="s">
        <v>1884</v>
      </c>
      <c r="F2432" t="s">
        <v>1900</v>
      </c>
      <c r="G2432">
        <v>146025</v>
      </c>
      <c r="H2432" s="1">
        <v>44982</v>
      </c>
      <c r="I2432" s="1">
        <v>45020</v>
      </c>
      <c r="J2432">
        <v>38</v>
      </c>
      <c r="K2432">
        <v>10.7</v>
      </c>
      <c r="L2432" t="s">
        <v>21</v>
      </c>
      <c r="M2432" t="s">
        <v>1896</v>
      </c>
      <c r="N2432" t="s">
        <v>1887</v>
      </c>
    </row>
    <row r="2433" spans="1:14" x14ac:dyDescent="0.35">
      <c r="A2433" t="s">
        <v>4357</v>
      </c>
      <c r="B2433" t="s">
        <v>1920</v>
      </c>
      <c r="C2433" t="s">
        <v>152</v>
      </c>
      <c r="D2433" t="s">
        <v>1899</v>
      </c>
      <c r="E2433" t="s">
        <v>1945</v>
      </c>
      <c r="F2433" t="s">
        <v>1895</v>
      </c>
      <c r="G2433">
        <v>127780</v>
      </c>
      <c r="H2433" s="1">
        <v>45408</v>
      </c>
      <c r="I2433" s="1"/>
      <c r="K2433">
        <v>6.1</v>
      </c>
      <c r="L2433" t="s">
        <v>21</v>
      </c>
      <c r="M2433" t="s">
        <v>1935</v>
      </c>
      <c r="N2433" t="s">
        <v>1887</v>
      </c>
    </row>
    <row r="2434" spans="1:14" x14ac:dyDescent="0.35">
      <c r="A2434" t="s">
        <v>4358</v>
      </c>
      <c r="B2434" t="s">
        <v>1903</v>
      </c>
      <c r="C2434" t="s">
        <v>219</v>
      </c>
      <c r="D2434" t="s">
        <v>1904</v>
      </c>
      <c r="E2434" t="s">
        <v>1891</v>
      </c>
      <c r="F2434" t="s">
        <v>1946</v>
      </c>
      <c r="G2434">
        <v>430827</v>
      </c>
      <c r="H2434" s="1">
        <v>45727</v>
      </c>
      <c r="I2434" s="1"/>
      <c r="K2434">
        <v>10.3</v>
      </c>
      <c r="L2434" t="s">
        <v>21</v>
      </c>
      <c r="M2434" t="s">
        <v>1912</v>
      </c>
      <c r="N2434" t="s">
        <v>1887</v>
      </c>
    </row>
    <row r="2435" spans="1:14" x14ac:dyDescent="0.35">
      <c r="A2435" t="s">
        <v>4359</v>
      </c>
      <c r="B2435" t="s">
        <v>1922</v>
      </c>
      <c r="C2435" t="s">
        <v>77</v>
      </c>
      <c r="D2435" t="s">
        <v>1883</v>
      </c>
      <c r="E2435" t="s">
        <v>1891</v>
      </c>
      <c r="F2435" t="s">
        <v>1908</v>
      </c>
      <c r="G2435">
        <v>59749</v>
      </c>
      <c r="H2435" s="1">
        <v>45684</v>
      </c>
      <c r="I2435" s="1"/>
      <c r="L2435" t="s">
        <v>30</v>
      </c>
      <c r="M2435" t="s">
        <v>1912</v>
      </c>
      <c r="N2435" t="s">
        <v>1887</v>
      </c>
    </row>
    <row r="2436" spans="1:14" x14ac:dyDescent="0.35">
      <c r="A2436" t="s">
        <v>4360</v>
      </c>
      <c r="B2436" t="s">
        <v>1963</v>
      </c>
      <c r="C2436" t="s">
        <v>216</v>
      </c>
      <c r="D2436" t="s">
        <v>1915</v>
      </c>
      <c r="E2436" t="s">
        <v>1600</v>
      </c>
      <c r="F2436" t="s">
        <v>1908</v>
      </c>
      <c r="G2436">
        <v>341930</v>
      </c>
      <c r="H2436" s="1">
        <v>45273</v>
      </c>
      <c r="I2436" s="1"/>
      <c r="K2436">
        <v>6</v>
      </c>
      <c r="L2436" t="s">
        <v>47</v>
      </c>
      <c r="M2436" t="s">
        <v>1886</v>
      </c>
      <c r="N2436" t="s">
        <v>1887</v>
      </c>
    </row>
    <row r="2437" spans="1:14" x14ac:dyDescent="0.35">
      <c r="A2437" t="s">
        <v>4361</v>
      </c>
      <c r="B2437" t="s">
        <v>1914</v>
      </c>
      <c r="C2437" t="s">
        <v>247</v>
      </c>
      <c r="D2437" t="s">
        <v>1883</v>
      </c>
      <c r="E2437" t="s">
        <v>1931</v>
      </c>
      <c r="F2437" t="s">
        <v>1900</v>
      </c>
      <c r="G2437">
        <v>120774</v>
      </c>
      <c r="H2437" s="1">
        <v>45191</v>
      </c>
      <c r="I2437" s="1">
        <v>45309</v>
      </c>
      <c r="J2437">
        <v>118</v>
      </c>
      <c r="K2437">
        <v>14.9</v>
      </c>
      <c r="L2437" t="s">
        <v>15</v>
      </c>
      <c r="M2437" t="s">
        <v>1932</v>
      </c>
      <c r="N2437" t="s">
        <v>1887</v>
      </c>
    </row>
    <row r="2438" spans="1:14" x14ac:dyDescent="0.35">
      <c r="A2438" t="s">
        <v>4362</v>
      </c>
      <c r="B2438" t="s">
        <v>1934</v>
      </c>
      <c r="C2438" t="s">
        <v>219</v>
      </c>
      <c r="D2438" t="s">
        <v>1915</v>
      </c>
      <c r="E2438" t="s">
        <v>1918</v>
      </c>
      <c r="F2438" t="s">
        <v>1895</v>
      </c>
      <c r="G2438">
        <v>363024</v>
      </c>
      <c r="H2438" s="1">
        <v>45108</v>
      </c>
      <c r="I2438" s="1"/>
      <c r="K2438">
        <v>0.5</v>
      </c>
      <c r="L2438" t="s">
        <v>30</v>
      </c>
      <c r="M2438" t="s">
        <v>1932</v>
      </c>
      <c r="N2438" t="s">
        <v>1887</v>
      </c>
    </row>
    <row r="2439" spans="1:14" x14ac:dyDescent="0.35">
      <c r="A2439" t="s">
        <v>4363</v>
      </c>
      <c r="B2439" t="s">
        <v>1944</v>
      </c>
      <c r="C2439" t="s">
        <v>444</v>
      </c>
      <c r="D2439" t="s">
        <v>1883</v>
      </c>
      <c r="E2439" t="s">
        <v>1891</v>
      </c>
      <c r="F2439" t="s">
        <v>1900</v>
      </c>
      <c r="G2439">
        <v>293392</v>
      </c>
      <c r="H2439" s="1">
        <v>45709</v>
      </c>
      <c r="I2439" s="1">
        <v>45732</v>
      </c>
      <c r="J2439">
        <v>23</v>
      </c>
      <c r="K2439">
        <v>22</v>
      </c>
      <c r="L2439" t="s">
        <v>47</v>
      </c>
      <c r="M2439" t="s">
        <v>1912</v>
      </c>
      <c r="N2439" t="s">
        <v>1887</v>
      </c>
    </row>
    <row r="2440" spans="1:14" x14ac:dyDescent="0.35">
      <c r="A2440" t="s">
        <v>4364</v>
      </c>
      <c r="B2440" t="s">
        <v>1889</v>
      </c>
      <c r="C2440" t="s">
        <v>266</v>
      </c>
      <c r="D2440" t="s">
        <v>1904</v>
      </c>
      <c r="E2440" t="s">
        <v>1587</v>
      </c>
      <c r="F2440" t="s">
        <v>1885</v>
      </c>
      <c r="G2440">
        <v>58034</v>
      </c>
      <c r="H2440" s="1">
        <v>45433</v>
      </c>
      <c r="I2440" s="1">
        <v>45483</v>
      </c>
      <c r="J2440">
        <v>50</v>
      </c>
      <c r="K2440">
        <v>6.1</v>
      </c>
      <c r="L2440" t="s">
        <v>15</v>
      </c>
      <c r="M2440" t="s">
        <v>1935</v>
      </c>
      <c r="N2440" t="s">
        <v>1887</v>
      </c>
    </row>
    <row r="2441" spans="1:14" x14ac:dyDescent="0.35">
      <c r="A2441" t="s">
        <v>4365</v>
      </c>
      <c r="B2441" t="s">
        <v>1903</v>
      </c>
      <c r="C2441" t="s">
        <v>165</v>
      </c>
      <c r="D2441" t="s">
        <v>1899</v>
      </c>
      <c r="E2441" t="s">
        <v>1884</v>
      </c>
      <c r="F2441" t="s">
        <v>1885</v>
      </c>
      <c r="G2441">
        <v>300848</v>
      </c>
      <c r="H2441" s="1">
        <v>45132</v>
      </c>
      <c r="I2441" s="1">
        <v>45179</v>
      </c>
      <c r="J2441">
        <v>47</v>
      </c>
      <c r="K2441">
        <v>0.5</v>
      </c>
      <c r="L2441" t="s">
        <v>47</v>
      </c>
      <c r="M2441" t="s">
        <v>1932</v>
      </c>
      <c r="N2441" t="s">
        <v>1887</v>
      </c>
    </row>
    <row r="2442" spans="1:14" x14ac:dyDescent="0.35">
      <c r="A2442" t="s">
        <v>4366</v>
      </c>
      <c r="B2442" t="s">
        <v>1889</v>
      </c>
      <c r="C2442" t="s">
        <v>451</v>
      </c>
      <c r="D2442" t="s">
        <v>1890</v>
      </c>
      <c r="E2442" t="s">
        <v>1931</v>
      </c>
      <c r="F2442" t="s">
        <v>1900</v>
      </c>
      <c r="G2442">
        <v>202746</v>
      </c>
      <c r="H2442" s="1">
        <v>45436</v>
      </c>
      <c r="I2442" s="1">
        <v>45472</v>
      </c>
      <c r="J2442">
        <v>36</v>
      </c>
      <c r="K2442">
        <v>21.1</v>
      </c>
      <c r="L2442" t="s">
        <v>21</v>
      </c>
      <c r="M2442" t="s">
        <v>1935</v>
      </c>
      <c r="N2442" t="s">
        <v>1887</v>
      </c>
    </row>
    <row r="2443" spans="1:14" x14ac:dyDescent="0.35">
      <c r="A2443" t="s">
        <v>4367</v>
      </c>
      <c r="B2443" t="s">
        <v>1922</v>
      </c>
      <c r="C2443" t="s">
        <v>349</v>
      </c>
      <c r="D2443" t="s">
        <v>1890</v>
      </c>
      <c r="E2443" t="s">
        <v>1931</v>
      </c>
      <c r="F2443" t="s">
        <v>1908</v>
      </c>
      <c r="G2443">
        <v>272800</v>
      </c>
      <c r="H2443" s="1">
        <v>44990</v>
      </c>
      <c r="I2443" s="1"/>
      <c r="K2443">
        <v>9.4</v>
      </c>
      <c r="L2443" t="s">
        <v>47</v>
      </c>
      <c r="M2443" t="s">
        <v>1896</v>
      </c>
      <c r="N2443" t="s">
        <v>1887</v>
      </c>
    </row>
    <row r="2444" spans="1:14" x14ac:dyDescent="0.35">
      <c r="A2444" t="s">
        <v>4368</v>
      </c>
      <c r="B2444" t="s">
        <v>1907</v>
      </c>
      <c r="C2444" t="s">
        <v>193</v>
      </c>
      <c r="D2444" t="s">
        <v>1915</v>
      </c>
      <c r="E2444" t="s">
        <v>1891</v>
      </c>
      <c r="F2444" t="s">
        <v>1885</v>
      </c>
      <c r="G2444">
        <v>480335</v>
      </c>
      <c r="H2444" s="1">
        <v>45130</v>
      </c>
      <c r="I2444" s="1">
        <v>45167</v>
      </c>
      <c r="J2444">
        <v>37</v>
      </c>
      <c r="L2444" t="s">
        <v>30</v>
      </c>
      <c r="M2444" t="s">
        <v>1932</v>
      </c>
      <c r="N2444" t="s">
        <v>1887</v>
      </c>
    </row>
    <row r="2445" spans="1:14" x14ac:dyDescent="0.35">
      <c r="A2445" t="s">
        <v>4369</v>
      </c>
      <c r="B2445" t="s">
        <v>1922</v>
      </c>
      <c r="C2445" t="s">
        <v>368</v>
      </c>
      <c r="D2445" t="s">
        <v>1927</v>
      </c>
      <c r="E2445" t="s">
        <v>1905</v>
      </c>
      <c r="F2445" t="s">
        <v>1885</v>
      </c>
      <c r="G2445">
        <v>146408</v>
      </c>
      <c r="H2445" s="1">
        <v>45450</v>
      </c>
      <c r="I2445" s="1">
        <v>45540</v>
      </c>
      <c r="J2445">
        <v>90</v>
      </c>
      <c r="L2445" t="s">
        <v>21</v>
      </c>
      <c r="M2445" t="s">
        <v>1935</v>
      </c>
      <c r="N2445" t="s">
        <v>1887</v>
      </c>
    </row>
    <row r="2446" spans="1:14" x14ac:dyDescent="0.35">
      <c r="A2446" t="s">
        <v>4370</v>
      </c>
      <c r="B2446" t="s">
        <v>1930</v>
      </c>
      <c r="C2446" t="s">
        <v>230</v>
      </c>
      <c r="D2446" t="s">
        <v>1915</v>
      </c>
      <c r="E2446" t="s">
        <v>1891</v>
      </c>
      <c r="F2446" t="s">
        <v>1946</v>
      </c>
      <c r="G2446">
        <v>41339</v>
      </c>
      <c r="H2446" s="1">
        <v>45640</v>
      </c>
      <c r="I2446" s="1"/>
      <c r="K2446">
        <v>8</v>
      </c>
      <c r="L2446" t="s">
        <v>47</v>
      </c>
      <c r="M2446" t="s">
        <v>1901</v>
      </c>
      <c r="N2446" t="s">
        <v>1887</v>
      </c>
    </row>
    <row r="2447" spans="1:14" x14ac:dyDescent="0.35">
      <c r="A2447" t="s">
        <v>4371</v>
      </c>
      <c r="B2447" t="s">
        <v>1963</v>
      </c>
      <c r="C2447" t="s">
        <v>128</v>
      </c>
      <c r="D2447" t="s">
        <v>1899</v>
      </c>
      <c r="E2447" t="s">
        <v>1918</v>
      </c>
      <c r="F2447" t="s">
        <v>1895</v>
      </c>
      <c r="G2447">
        <v>372659</v>
      </c>
      <c r="H2447" s="1">
        <v>45655</v>
      </c>
      <c r="I2447" s="1"/>
      <c r="K2447">
        <v>11.9</v>
      </c>
      <c r="L2447" t="s">
        <v>47</v>
      </c>
      <c r="M2447" t="s">
        <v>1901</v>
      </c>
      <c r="N2447" t="s">
        <v>1887</v>
      </c>
    </row>
    <row r="2448" spans="1:14" x14ac:dyDescent="0.35">
      <c r="A2448" t="s">
        <v>4372</v>
      </c>
      <c r="B2448" t="s">
        <v>1937</v>
      </c>
      <c r="C2448" t="s">
        <v>368</v>
      </c>
      <c r="D2448" t="s">
        <v>1899</v>
      </c>
      <c r="E2448" t="s">
        <v>1918</v>
      </c>
      <c r="F2448" t="s">
        <v>1895</v>
      </c>
      <c r="G2448">
        <v>438620</v>
      </c>
      <c r="H2448" s="1">
        <v>45466</v>
      </c>
      <c r="I2448" s="1"/>
      <c r="L2448" t="s">
        <v>47</v>
      </c>
      <c r="M2448" t="s">
        <v>1935</v>
      </c>
      <c r="N2448" t="s">
        <v>1887</v>
      </c>
    </row>
    <row r="2449" spans="1:14" x14ac:dyDescent="0.35">
      <c r="A2449" t="s">
        <v>4373</v>
      </c>
      <c r="B2449" t="s">
        <v>1930</v>
      </c>
      <c r="C2449" t="s">
        <v>332</v>
      </c>
      <c r="D2449" t="s">
        <v>1890</v>
      </c>
      <c r="E2449" t="s">
        <v>1931</v>
      </c>
      <c r="F2449" t="s">
        <v>1946</v>
      </c>
      <c r="G2449">
        <v>161952</v>
      </c>
      <c r="H2449" s="1">
        <v>45699</v>
      </c>
      <c r="I2449" s="1"/>
      <c r="K2449">
        <v>14.7</v>
      </c>
      <c r="L2449" t="s">
        <v>15</v>
      </c>
      <c r="M2449" t="s">
        <v>1912</v>
      </c>
      <c r="N2449" t="s">
        <v>1887</v>
      </c>
    </row>
    <row r="2450" spans="1:14" x14ac:dyDescent="0.35">
      <c r="A2450" t="s">
        <v>4374</v>
      </c>
      <c r="B2450" t="s">
        <v>1914</v>
      </c>
      <c r="C2450" t="s">
        <v>372</v>
      </c>
      <c r="D2450" t="s">
        <v>1899</v>
      </c>
      <c r="E2450" t="s">
        <v>1678</v>
      </c>
      <c r="F2450" t="s">
        <v>1895</v>
      </c>
      <c r="G2450">
        <v>488343</v>
      </c>
      <c r="H2450" s="1">
        <v>45424</v>
      </c>
      <c r="I2450" s="1"/>
      <c r="K2450">
        <v>10.9</v>
      </c>
      <c r="L2450" t="s">
        <v>47</v>
      </c>
      <c r="M2450" t="s">
        <v>1935</v>
      </c>
      <c r="N2450" t="s">
        <v>1887</v>
      </c>
    </row>
    <row r="2451" spans="1:14" x14ac:dyDescent="0.35">
      <c r="A2451" t="s">
        <v>4375</v>
      </c>
      <c r="B2451" t="s">
        <v>1930</v>
      </c>
      <c r="C2451" t="s">
        <v>180</v>
      </c>
      <c r="D2451" t="s">
        <v>1904</v>
      </c>
      <c r="E2451" t="s">
        <v>1600</v>
      </c>
      <c r="F2451" t="s">
        <v>1895</v>
      </c>
      <c r="G2451">
        <v>475490</v>
      </c>
      <c r="H2451" s="1">
        <v>45515</v>
      </c>
      <c r="I2451" s="1"/>
      <c r="K2451">
        <v>9.6</v>
      </c>
      <c r="L2451" t="s">
        <v>47</v>
      </c>
      <c r="M2451" t="s">
        <v>1953</v>
      </c>
      <c r="N2451" t="s">
        <v>1887</v>
      </c>
    </row>
    <row r="2452" spans="1:14" x14ac:dyDescent="0.35">
      <c r="A2452" t="s">
        <v>4376</v>
      </c>
      <c r="B2452" t="s">
        <v>1963</v>
      </c>
      <c r="C2452" t="s">
        <v>392</v>
      </c>
      <c r="D2452" t="s">
        <v>1927</v>
      </c>
      <c r="E2452" t="s">
        <v>1600</v>
      </c>
      <c r="F2452" t="s">
        <v>1908</v>
      </c>
      <c r="G2452">
        <v>71862</v>
      </c>
      <c r="H2452" s="1">
        <v>45303</v>
      </c>
      <c r="I2452" s="1"/>
      <c r="K2452">
        <v>5.3</v>
      </c>
      <c r="L2452" t="s">
        <v>47</v>
      </c>
      <c r="M2452" t="s">
        <v>1916</v>
      </c>
      <c r="N2452" t="s">
        <v>1887</v>
      </c>
    </row>
    <row r="2453" spans="1:14" x14ac:dyDescent="0.35">
      <c r="A2453" t="s">
        <v>4377</v>
      </c>
      <c r="B2453" t="s">
        <v>1889</v>
      </c>
      <c r="C2453" t="s">
        <v>390</v>
      </c>
      <c r="D2453" t="s">
        <v>1899</v>
      </c>
      <c r="E2453" t="s">
        <v>1678</v>
      </c>
      <c r="F2453" t="s">
        <v>1900</v>
      </c>
      <c r="G2453">
        <v>1637232</v>
      </c>
      <c r="H2453" s="1">
        <v>45212</v>
      </c>
      <c r="I2453" s="1">
        <v>45309</v>
      </c>
      <c r="J2453">
        <v>97</v>
      </c>
      <c r="K2453">
        <v>5.5</v>
      </c>
      <c r="L2453" t="s">
        <v>21</v>
      </c>
      <c r="M2453" t="s">
        <v>1886</v>
      </c>
      <c r="N2453" t="s">
        <v>1966</v>
      </c>
    </row>
    <row r="2454" spans="1:14" x14ac:dyDescent="0.35">
      <c r="A2454" t="s">
        <v>4378</v>
      </c>
      <c r="B2454" t="s">
        <v>1926</v>
      </c>
      <c r="C2454" t="s">
        <v>496</v>
      </c>
      <c r="D2454" t="s">
        <v>1883</v>
      </c>
      <c r="E2454" t="s">
        <v>1891</v>
      </c>
      <c r="F2454" t="s">
        <v>1900</v>
      </c>
      <c r="G2454">
        <v>340445</v>
      </c>
      <c r="H2454" s="1">
        <v>45630</v>
      </c>
      <c r="I2454" s="1">
        <v>45807</v>
      </c>
      <c r="J2454">
        <v>177</v>
      </c>
      <c r="K2454">
        <v>7.9</v>
      </c>
      <c r="L2454" t="s">
        <v>30</v>
      </c>
      <c r="M2454" t="s">
        <v>1901</v>
      </c>
      <c r="N2454" t="s">
        <v>1887</v>
      </c>
    </row>
    <row r="2455" spans="1:14" x14ac:dyDescent="0.35">
      <c r="A2455" t="s">
        <v>4379</v>
      </c>
      <c r="B2455" t="s">
        <v>1911</v>
      </c>
      <c r="C2455" t="s">
        <v>357</v>
      </c>
      <c r="D2455" t="s">
        <v>1904</v>
      </c>
      <c r="E2455" t="s">
        <v>1600</v>
      </c>
      <c r="F2455" t="s">
        <v>1885</v>
      </c>
      <c r="G2455">
        <v>450205</v>
      </c>
      <c r="H2455" s="1">
        <v>45068</v>
      </c>
      <c r="I2455" s="1">
        <v>45180</v>
      </c>
      <c r="J2455">
        <v>112</v>
      </c>
      <c r="K2455">
        <v>5.5</v>
      </c>
      <c r="L2455" t="s">
        <v>15</v>
      </c>
      <c r="M2455" t="s">
        <v>1893</v>
      </c>
      <c r="N2455" t="s">
        <v>1887</v>
      </c>
    </row>
    <row r="2456" spans="1:14" x14ac:dyDescent="0.35">
      <c r="A2456" t="s">
        <v>4380</v>
      </c>
      <c r="B2456" t="s">
        <v>1922</v>
      </c>
      <c r="C2456" t="s">
        <v>328</v>
      </c>
      <c r="D2456" t="s">
        <v>1915</v>
      </c>
      <c r="E2456" t="s">
        <v>1891</v>
      </c>
      <c r="F2456" t="s">
        <v>1900</v>
      </c>
      <c r="G2456">
        <v>371781</v>
      </c>
      <c r="H2456" s="1">
        <v>45325</v>
      </c>
      <c r="I2456" s="1">
        <v>45354</v>
      </c>
      <c r="J2456">
        <v>29</v>
      </c>
      <c r="K2456">
        <v>11.1</v>
      </c>
      <c r="L2456" t="s">
        <v>30</v>
      </c>
      <c r="M2456" t="s">
        <v>1916</v>
      </c>
      <c r="N2456" t="s">
        <v>1887</v>
      </c>
    </row>
    <row r="2457" spans="1:14" x14ac:dyDescent="0.35">
      <c r="A2457" t="s">
        <v>4381</v>
      </c>
      <c r="B2457" t="s">
        <v>1944</v>
      </c>
      <c r="C2457" t="s">
        <v>57</v>
      </c>
      <c r="D2457" t="s">
        <v>1890</v>
      </c>
      <c r="E2457" t="s">
        <v>1587</v>
      </c>
      <c r="F2457" t="s">
        <v>1892</v>
      </c>
      <c r="G2457">
        <v>460374</v>
      </c>
      <c r="H2457" s="1">
        <v>45208</v>
      </c>
      <c r="I2457" s="1"/>
      <c r="L2457" t="s">
        <v>30</v>
      </c>
      <c r="M2457" t="s">
        <v>1886</v>
      </c>
      <c r="N2457" t="s">
        <v>1887</v>
      </c>
    </row>
    <row r="2458" spans="1:14" x14ac:dyDescent="0.35">
      <c r="A2458" t="s">
        <v>4382</v>
      </c>
      <c r="B2458" t="s">
        <v>1934</v>
      </c>
      <c r="C2458" t="s">
        <v>388</v>
      </c>
      <c r="D2458" t="s">
        <v>1927</v>
      </c>
      <c r="E2458" t="s">
        <v>1587</v>
      </c>
      <c r="F2458" t="s">
        <v>1885</v>
      </c>
      <c r="G2458">
        <v>222416</v>
      </c>
      <c r="H2458" s="1">
        <v>45719</v>
      </c>
      <c r="I2458" s="1">
        <v>45738</v>
      </c>
      <c r="J2458">
        <v>19</v>
      </c>
      <c r="L2458" t="s">
        <v>47</v>
      </c>
      <c r="M2458" t="s">
        <v>1912</v>
      </c>
      <c r="N2458" t="s">
        <v>1887</v>
      </c>
    </row>
    <row r="2459" spans="1:14" x14ac:dyDescent="0.35">
      <c r="A2459" t="s">
        <v>4383</v>
      </c>
      <c r="B2459" t="s">
        <v>1922</v>
      </c>
      <c r="C2459" t="s">
        <v>94</v>
      </c>
      <c r="D2459" t="s">
        <v>1915</v>
      </c>
      <c r="E2459" t="s">
        <v>1600</v>
      </c>
      <c r="F2459" t="s">
        <v>1892</v>
      </c>
      <c r="G2459">
        <v>416907</v>
      </c>
      <c r="H2459" s="1">
        <v>45687</v>
      </c>
      <c r="I2459" s="1"/>
      <c r="L2459" t="s">
        <v>30</v>
      </c>
      <c r="M2459" t="s">
        <v>1912</v>
      </c>
      <c r="N2459" t="s">
        <v>1887</v>
      </c>
    </row>
    <row r="2460" spans="1:14" x14ac:dyDescent="0.35">
      <c r="A2460" t="s">
        <v>4384</v>
      </c>
      <c r="B2460" t="s">
        <v>1930</v>
      </c>
      <c r="C2460" t="s">
        <v>310</v>
      </c>
      <c r="D2460" t="s">
        <v>1904</v>
      </c>
      <c r="E2460" t="s">
        <v>1891</v>
      </c>
      <c r="F2460" t="s">
        <v>1892</v>
      </c>
      <c r="G2460">
        <v>156811</v>
      </c>
      <c r="H2460" s="1">
        <v>45705</v>
      </c>
      <c r="I2460" s="1"/>
      <c r="K2460">
        <v>14.3</v>
      </c>
      <c r="L2460" t="s">
        <v>15</v>
      </c>
      <c r="M2460" t="s">
        <v>1912</v>
      </c>
      <c r="N2460" t="s">
        <v>1887</v>
      </c>
    </row>
    <row r="2461" spans="1:14" x14ac:dyDescent="0.35">
      <c r="A2461" t="s">
        <v>4385</v>
      </c>
      <c r="B2461" t="s">
        <v>1926</v>
      </c>
      <c r="C2461" t="s">
        <v>469</v>
      </c>
      <c r="D2461" t="s">
        <v>1904</v>
      </c>
      <c r="E2461" t="s">
        <v>1905</v>
      </c>
      <c r="F2461" t="s">
        <v>1900</v>
      </c>
      <c r="G2461">
        <v>56657</v>
      </c>
      <c r="H2461" s="1">
        <v>45263</v>
      </c>
      <c r="I2461" s="1">
        <v>45367</v>
      </c>
      <c r="J2461">
        <v>104</v>
      </c>
      <c r="K2461">
        <v>23.9</v>
      </c>
      <c r="L2461" t="s">
        <v>30</v>
      </c>
      <c r="M2461" t="s">
        <v>1886</v>
      </c>
      <c r="N2461" t="s">
        <v>1887</v>
      </c>
    </row>
    <row r="2462" spans="1:14" x14ac:dyDescent="0.35">
      <c r="A2462" t="s">
        <v>4386</v>
      </c>
      <c r="B2462" t="s">
        <v>1944</v>
      </c>
      <c r="C2462" t="s">
        <v>247</v>
      </c>
      <c r="D2462" t="s">
        <v>1927</v>
      </c>
      <c r="E2462" t="s">
        <v>1931</v>
      </c>
      <c r="F2462" t="s">
        <v>1900</v>
      </c>
      <c r="G2462">
        <v>374102</v>
      </c>
      <c r="H2462" s="1">
        <v>45206</v>
      </c>
      <c r="I2462" s="1">
        <v>45350</v>
      </c>
      <c r="J2462">
        <v>144</v>
      </c>
      <c r="K2462">
        <v>18.100000000000001</v>
      </c>
      <c r="L2462" t="s">
        <v>15</v>
      </c>
      <c r="M2462" t="s">
        <v>1886</v>
      </c>
      <c r="N2462" t="s">
        <v>1887</v>
      </c>
    </row>
    <row r="2463" spans="1:14" x14ac:dyDescent="0.35">
      <c r="A2463" t="s">
        <v>4387</v>
      </c>
      <c r="B2463" t="s">
        <v>1911</v>
      </c>
      <c r="C2463" t="s">
        <v>57</v>
      </c>
      <c r="D2463" t="s">
        <v>1899</v>
      </c>
      <c r="E2463" t="s">
        <v>1945</v>
      </c>
      <c r="F2463" t="s">
        <v>1908</v>
      </c>
      <c r="G2463">
        <v>104979</v>
      </c>
      <c r="H2463" s="1">
        <v>45120</v>
      </c>
      <c r="I2463" s="1"/>
      <c r="L2463" t="s">
        <v>47</v>
      </c>
      <c r="M2463" t="s">
        <v>1932</v>
      </c>
      <c r="N2463" t="s">
        <v>1887</v>
      </c>
    </row>
    <row r="2464" spans="1:14" x14ac:dyDescent="0.35">
      <c r="A2464" t="s">
        <v>4388</v>
      </c>
      <c r="B2464" t="s">
        <v>1963</v>
      </c>
      <c r="C2464" t="s">
        <v>130</v>
      </c>
      <c r="D2464" t="s">
        <v>1899</v>
      </c>
      <c r="E2464" t="s">
        <v>1678</v>
      </c>
      <c r="F2464" t="s">
        <v>1885</v>
      </c>
      <c r="G2464">
        <v>21733</v>
      </c>
      <c r="H2464" s="1">
        <v>45060</v>
      </c>
      <c r="I2464" s="1">
        <v>45107</v>
      </c>
      <c r="J2464">
        <v>47</v>
      </c>
      <c r="K2464">
        <v>8</v>
      </c>
      <c r="L2464" t="s">
        <v>47</v>
      </c>
      <c r="M2464" t="s">
        <v>1893</v>
      </c>
      <c r="N2464" t="s">
        <v>1887</v>
      </c>
    </row>
    <row r="2465" spans="1:14" x14ac:dyDescent="0.35">
      <c r="A2465" t="s">
        <v>4389</v>
      </c>
      <c r="B2465" t="s">
        <v>1926</v>
      </c>
      <c r="C2465" t="s">
        <v>337</v>
      </c>
      <c r="D2465" t="s">
        <v>1927</v>
      </c>
      <c r="E2465" t="s">
        <v>1918</v>
      </c>
      <c r="F2465" t="s">
        <v>1885</v>
      </c>
      <c r="G2465">
        <v>33717</v>
      </c>
      <c r="H2465" s="1">
        <v>45290</v>
      </c>
      <c r="I2465" s="1">
        <v>45419</v>
      </c>
      <c r="J2465">
        <v>129</v>
      </c>
      <c r="K2465">
        <v>9.5</v>
      </c>
      <c r="L2465" t="s">
        <v>30</v>
      </c>
      <c r="M2465" t="s">
        <v>1886</v>
      </c>
      <c r="N2465" t="s">
        <v>1887</v>
      </c>
    </row>
    <row r="2466" spans="1:14" x14ac:dyDescent="0.35">
      <c r="A2466" t="s">
        <v>4390</v>
      </c>
      <c r="B2466" t="s">
        <v>1920</v>
      </c>
      <c r="C2466" t="s">
        <v>471</v>
      </c>
      <c r="D2466" t="s">
        <v>1890</v>
      </c>
      <c r="E2466" t="s">
        <v>1931</v>
      </c>
      <c r="F2466" t="s">
        <v>1885</v>
      </c>
      <c r="G2466">
        <v>119980</v>
      </c>
      <c r="H2466" s="1">
        <v>45598</v>
      </c>
      <c r="I2466" s="1">
        <v>45621</v>
      </c>
      <c r="J2466">
        <v>23</v>
      </c>
      <c r="K2466">
        <v>5.9</v>
      </c>
      <c r="L2466" t="s">
        <v>47</v>
      </c>
      <c r="M2466" t="s">
        <v>1901</v>
      </c>
      <c r="N2466" t="s">
        <v>1887</v>
      </c>
    </row>
    <row r="2467" spans="1:14" x14ac:dyDescent="0.35">
      <c r="A2467" t="s">
        <v>4391</v>
      </c>
      <c r="B2467" t="s">
        <v>1924</v>
      </c>
      <c r="C2467" t="s">
        <v>277</v>
      </c>
      <c r="D2467" t="s">
        <v>1899</v>
      </c>
      <c r="E2467" t="s">
        <v>1945</v>
      </c>
      <c r="F2467" t="s">
        <v>1892</v>
      </c>
      <c r="G2467">
        <v>33133</v>
      </c>
      <c r="H2467" s="1">
        <v>45714</v>
      </c>
      <c r="I2467" s="1"/>
      <c r="K2467">
        <v>1.8</v>
      </c>
      <c r="L2467" t="s">
        <v>47</v>
      </c>
      <c r="M2467" t="s">
        <v>1912</v>
      </c>
      <c r="N2467" t="s">
        <v>1887</v>
      </c>
    </row>
    <row r="2468" spans="1:14" x14ac:dyDescent="0.35">
      <c r="A2468" t="s">
        <v>4392</v>
      </c>
      <c r="B2468" t="s">
        <v>1934</v>
      </c>
      <c r="C2468" t="s">
        <v>348</v>
      </c>
      <c r="D2468" t="s">
        <v>1927</v>
      </c>
      <c r="E2468" t="s">
        <v>1678</v>
      </c>
      <c r="F2468" t="s">
        <v>1895</v>
      </c>
      <c r="G2468">
        <v>243264</v>
      </c>
      <c r="H2468" s="1">
        <v>45548</v>
      </c>
      <c r="I2468" s="1"/>
      <c r="L2468" t="s">
        <v>15</v>
      </c>
      <c r="M2468" t="s">
        <v>1953</v>
      </c>
      <c r="N2468" t="s">
        <v>1887</v>
      </c>
    </row>
    <row r="2469" spans="1:14" x14ac:dyDescent="0.35">
      <c r="A2469" t="s">
        <v>4393</v>
      </c>
      <c r="B2469" t="s">
        <v>1944</v>
      </c>
      <c r="C2469" t="s">
        <v>66</v>
      </c>
      <c r="D2469" t="s">
        <v>1899</v>
      </c>
      <c r="E2469" t="s">
        <v>1587</v>
      </c>
      <c r="F2469" t="s">
        <v>1908</v>
      </c>
      <c r="G2469">
        <v>199533</v>
      </c>
      <c r="H2469" s="1">
        <v>45314</v>
      </c>
      <c r="I2469" s="1"/>
      <c r="K2469">
        <v>12</v>
      </c>
      <c r="L2469" t="s">
        <v>21</v>
      </c>
      <c r="M2469" t="s">
        <v>1916</v>
      </c>
      <c r="N2469" t="s">
        <v>1887</v>
      </c>
    </row>
    <row r="2470" spans="1:14" x14ac:dyDescent="0.35">
      <c r="A2470" t="s">
        <v>4394</v>
      </c>
      <c r="B2470" t="s">
        <v>1914</v>
      </c>
      <c r="C2470" t="s">
        <v>284</v>
      </c>
      <c r="D2470" t="s">
        <v>1890</v>
      </c>
      <c r="E2470" t="s">
        <v>1905</v>
      </c>
      <c r="F2470" t="s">
        <v>1885</v>
      </c>
      <c r="G2470">
        <v>439014</v>
      </c>
      <c r="H2470" s="1">
        <v>45451</v>
      </c>
      <c r="I2470" s="1">
        <v>45613</v>
      </c>
      <c r="J2470">
        <v>162</v>
      </c>
      <c r="K2470">
        <v>3.9</v>
      </c>
      <c r="L2470" t="s">
        <v>15</v>
      </c>
      <c r="M2470" t="s">
        <v>1935</v>
      </c>
      <c r="N2470" t="s">
        <v>1887</v>
      </c>
    </row>
    <row r="2471" spans="1:14" x14ac:dyDescent="0.35">
      <c r="A2471" t="s">
        <v>4395</v>
      </c>
      <c r="B2471" t="s">
        <v>1889</v>
      </c>
      <c r="C2471" t="s">
        <v>361</v>
      </c>
      <c r="D2471" t="s">
        <v>1899</v>
      </c>
      <c r="E2471" t="s">
        <v>1678</v>
      </c>
      <c r="F2471" t="s">
        <v>1946</v>
      </c>
      <c r="G2471">
        <v>11116</v>
      </c>
      <c r="H2471" s="1">
        <v>45288</v>
      </c>
      <c r="I2471" s="1"/>
      <c r="K2471">
        <v>5.0999999999999996</v>
      </c>
      <c r="L2471" t="s">
        <v>15</v>
      </c>
      <c r="M2471" t="s">
        <v>1886</v>
      </c>
      <c r="N2471" t="s">
        <v>1887</v>
      </c>
    </row>
    <row r="2472" spans="1:14" x14ac:dyDescent="0.35">
      <c r="A2472" t="s">
        <v>4396</v>
      </c>
      <c r="B2472" t="s">
        <v>1944</v>
      </c>
      <c r="C2472" t="s">
        <v>118</v>
      </c>
      <c r="D2472" t="s">
        <v>1883</v>
      </c>
      <c r="E2472" t="s">
        <v>1945</v>
      </c>
      <c r="F2472" t="s">
        <v>1895</v>
      </c>
      <c r="G2472">
        <v>320043</v>
      </c>
      <c r="H2472" s="1">
        <v>45298</v>
      </c>
      <c r="I2472" s="1"/>
      <c r="L2472" t="s">
        <v>30</v>
      </c>
      <c r="M2472" t="s">
        <v>1916</v>
      </c>
      <c r="N2472" t="s">
        <v>1887</v>
      </c>
    </row>
    <row r="2473" spans="1:14" x14ac:dyDescent="0.35">
      <c r="A2473" t="s">
        <v>4397</v>
      </c>
      <c r="B2473" t="s">
        <v>1889</v>
      </c>
      <c r="C2473" t="s">
        <v>332</v>
      </c>
      <c r="D2473" t="s">
        <v>1883</v>
      </c>
      <c r="E2473" t="s">
        <v>1884</v>
      </c>
      <c r="F2473" t="s">
        <v>1908</v>
      </c>
      <c r="G2473">
        <v>38350</v>
      </c>
      <c r="H2473" s="1">
        <v>45607</v>
      </c>
      <c r="I2473" s="1"/>
      <c r="K2473">
        <v>14.8</v>
      </c>
      <c r="L2473" t="s">
        <v>15</v>
      </c>
      <c r="M2473" t="s">
        <v>1901</v>
      </c>
      <c r="N2473" t="s">
        <v>1887</v>
      </c>
    </row>
    <row r="2474" spans="1:14" x14ac:dyDescent="0.35">
      <c r="A2474" t="s">
        <v>4398</v>
      </c>
      <c r="B2474" t="s">
        <v>1882</v>
      </c>
      <c r="C2474" t="s">
        <v>319</v>
      </c>
      <c r="D2474" t="s">
        <v>1883</v>
      </c>
      <c r="E2474" t="s">
        <v>1884</v>
      </c>
      <c r="F2474" t="s">
        <v>1908</v>
      </c>
      <c r="G2474">
        <v>280313</v>
      </c>
      <c r="H2474" s="1">
        <v>45676</v>
      </c>
      <c r="I2474" s="1"/>
      <c r="L2474" t="s">
        <v>30</v>
      </c>
      <c r="M2474" t="s">
        <v>1912</v>
      </c>
      <c r="N2474" t="s">
        <v>1887</v>
      </c>
    </row>
    <row r="2475" spans="1:14" x14ac:dyDescent="0.35">
      <c r="A2475" t="s">
        <v>4399</v>
      </c>
      <c r="B2475" t="s">
        <v>1914</v>
      </c>
      <c r="C2475" t="s">
        <v>182</v>
      </c>
      <c r="D2475" t="s">
        <v>1883</v>
      </c>
      <c r="E2475" t="s">
        <v>1587</v>
      </c>
      <c r="F2475" t="s">
        <v>1885</v>
      </c>
      <c r="G2475">
        <v>313350</v>
      </c>
      <c r="H2475" s="1">
        <v>45508</v>
      </c>
      <c r="I2475" s="1">
        <v>45630</v>
      </c>
      <c r="J2475">
        <v>122</v>
      </c>
      <c r="K2475">
        <v>8</v>
      </c>
      <c r="L2475" t="s">
        <v>47</v>
      </c>
      <c r="M2475" t="s">
        <v>1953</v>
      </c>
      <c r="N2475" t="s">
        <v>1887</v>
      </c>
    </row>
    <row r="2476" spans="1:14" x14ac:dyDescent="0.35">
      <c r="A2476" t="s">
        <v>4400</v>
      </c>
      <c r="B2476" t="s">
        <v>1937</v>
      </c>
      <c r="C2476" t="s">
        <v>271</v>
      </c>
      <c r="D2476" t="s">
        <v>1927</v>
      </c>
      <c r="E2476" t="s">
        <v>1931</v>
      </c>
      <c r="F2476" t="s">
        <v>1900</v>
      </c>
      <c r="G2476">
        <v>302316</v>
      </c>
      <c r="H2476" s="1">
        <v>45139</v>
      </c>
      <c r="I2476" s="1">
        <v>45166</v>
      </c>
      <c r="J2476">
        <v>27</v>
      </c>
      <c r="K2476">
        <v>1.4</v>
      </c>
      <c r="L2476" t="s">
        <v>21</v>
      </c>
      <c r="M2476" t="s">
        <v>1932</v>
      </c>
      <c r="N2476" t="s">
        <v>1887</v>
      </c>
    </row>
    <row r="2477" spans="1:14" x14ac:dyDescent="0.35">
      <c r="A2477" t="s">
        <v>4401</v>
      </c>
      <c r="B2477" t="s">
        <v>1889</v>
      </c>
      <c r="C2477" t="s">
        <v>62</v>
      </c>
      <c r="D2477" t="s">
        <v>1927</v>
      </c>
      <c r="E2477" t="s">
        <v>1600</v>
      </c>
      <c r="F2477" t="s">
        <v>1895</v>
      </c>
      <c r="G2477">
        <v>923296</v>
      </c>
      <c r="H2477" s="1">
        <v>45410</v>
      </c>
      <c r="I2477" s="1"/>
      <c r="L2477" t="s">
        <v>30</v>
      </c>
      <c r="M2477" t="s">
        <v>1935</v>
      </c>
      <c r="N2477" t="s">
        <v>1966</v>
      </c>
    </row>
    <row r="2478" spans="1:14" x14ac:dyDescent="0.35">
      <c r="A2478" t="s">
        <v>4402</v>
      </c>
      <c r="B2478" t="s">
        <v>1922</v>
      </c>
      <c r="C2478" t="s">
        <v>498</v>
      </c>
      <c r="D2478" t="s">
        <v>1899</v>
      </c>
      <c r="E2478" t="s">
        <v>1945</v>
      </c>
      <c r="F2478" t="s">
        <v>1900</v>
      </c>
      <c r="G2478">
        <v>184520</v>
      </c>
      <c r="H2478" s="1">
        <v>44992</v>
      </c>
      <c r="I2478" s="1">
        <v>45155</v>
      </c>
      <c r="J2478">
        <v>163</v>
      </c>
      <c r="K2478">
        <v>9.4</v>
      </c>
      <c r="L2478" t="s">
        <v>15</v>
      </c>
      <c r="M2478" t="s">
        <v>1896</v>
      </c>
      <c r="N2478" t="s">
        <v>1887</v>
      </c>
    </row>
    <row r="2479" spans="1:14" x14ac:dyDescent="0.35">
      <c r="A2479" t="s">
        <v>4403</v>
      </c>
      <c r="B2479" t="s">
        <v>1903</v>
      </c>
      <c r="C2479" t="s">
        <v>158</v>
      </c>
      <c r="D2479" t="s">
        <v>1915</v>
      </c>
      <c r="E2479" t="s">
        <v>1945</v>
      </c>
      <c r="F2479" t="s">
        <v>1900</v>
      </c>
      <c r="G2479">
        <v>108648</v>
      </c>
      <c r="H2479" s="1">
        <v>45045</v>
      </c>
      <c r="I2479" s="1">
        <v>45206</v>
      </c>
      <c r="J2479">
        <v>161</v>
      </c>
      <c r="K2479">
        <v>21.3</v>
      </c>
      <c r="L2479" t="s">
        <v>30</v>
      </c>
      <c r="M2479" t="s">
        <v>1893</v>
      </c>
      <c r="N2479" t="s">
        <v>1887</v>
      </c>
    </row>
    <row r="2480" spans="1:14" x14ac:dyDescent="0.35">
      <c r="A2480" t="s">
        <v>4404</v>
      </c>
      <c r="B2480" t="s">
        <v>1930</v>
      </c>
      <c r="C2480" t="s">
        <v>456</v>
      </c>
      <c r="D2480" t="s">
        <v>1927</v>
      </c>
      <c r="E2480" t="s">
        <v>1918</v>
      </c>
      <c r="F2480" t="s">
        <v>1946</v>
      </c>
      <c r="G2480">
        <v>118592</v>
      </c>
      <c r="H2480" s="1">
        <v>45745</v>
      </c>
      <c r="I2480" s="1"/>
      <c r="K2480">
        <v>14.6</v>
      </c>
      <c r="L2480" t="s">
        <v>47</v>
      </c>
      <c r="M2480" t="s">
        <v>1912</v>
      </c>
      <c r="N2480" t="s">
        <v>1887</v>
      </c>
    </row>
    <row r="2481" spans="1:14" x14ac:dyDescent="0.35">
      <c r="A2481" t="s">
        <v>4405</v>
      </c>
      <c r="B2481" t="s">
        <v>1911</v>
      </c>
      <c r="C2481" t="s">
        <v>495</v>
      </c>
      <c r="D2481" t="s">
        <v>1899</v>
      </c>
      <c r="E2481" t="s">
        <v>1931</v>
      </c>
      <c r="F2481" t="s">
        <v>1895</v>
      </c>
      <c r="G2481">
        <v>251885</v>
      </c>
      <c r="H2481" s="1">
        <v>45136</v>
      </c>
      <c r="I2481" s="1"/>
      <c r="K2481">
        <v>3.2</v>
      </c>
      <c r="L2481" t="s">
        <v>30</v>
      </c>
      <c r="M2481" t="s">
        <v>1932</v>
      </c>
      <c r="N2481" t="s">
        <v>1887</v>
      </c>
    </row>
    <row r="2482" spans="1:14" x14ac:dyDescent="0.35">
      <c r="A2482" t="s">
        <v>4406</v>
      </c>
      <c r="B2482" t="s">
        <v>1922</v>
      </c>
      <c r="C2482" t="s">
        <v>417</v>
      </c>
      <c r="D2482" t="s">
        <v>1904</v>
      </c>
      <c r="E2482" t="s">
        <v>1905</v>
      </c>
      <c r="F2482" t="s">
        <v>1900</v>
      </c>
      <c r="G2482">
        <v>301118</v>
      </c>
      <c r="H2482" s="1">
        <v>45381</v>
      </c>
      <c r="I2482" s="1">
        <v>45476</v>
      </c>
      <c r="J2482">
        <v>95</v>
      </c>
      <c r="K2482">
        <v>6.8</v>
      </c>
      <c r="L2482" t="s">
        <v>21</v>
      </c>
      <c r="M2482" t="s">
        <v>1916</v>
      </c>
      <c r="N2482" t="s">
        <v>1887</v>
      </c>
    </row>
    <row r="2483" spans="1:14" x14ac:dyDescent="0.35">
      <c r="A2483" t="s">
        <v>4407</v>
      </c>
      <c r="B2483" t="s">
        <v>1889</v>
      </c>
      <c r="C2483" t="s">
        <v>27</v>
      </c>
      <c r="D2483" t="s">
        <v>1904</v>
      </c>
      <c r="E2483" t="s">
        <v>1931</v>
      </c>
      <c r="F2483" t="s">
        <v>1892</v>
      </c>
      <c r="G2483">
        <v>40748</v>
      </c>
      <c r="H2483" s="1">
        <v>45557</v>
      </c>
      <c r="I2483" s="1"/>
      <c r="K2483">
        <v>5.4</v>
      </c>
      <c r="L2483" t="s">
        <v>30</v>
      </c>
      <c r="M2483" t="s">
        <v>1953</v>
      </c>
      <c r="N2483" t="s">
        <v>1887</v>
      </c>
    </row>
    <row r="2484" spans="1:14" x14ac:dyDescent="0.35">
      <c r="A2484" t="s">
        <v>4408</v>
      </c>
      <c r="B2484" t="s">
        <v>1930</v>
      </c>
      <c r="C2484" t="s">
        <v>230</v>
      </c>
      <c r="D2484" t="s">
        <v>1899</v>
      </c>
      <c r="E2484" t="s">
        <v>1931</v>
      </c>
      <c r="F2484" t="s">
        <v>1908</v>
      </c>
      <c r="G2484">
        <v>476356</v>
      </c>
      <c r="H2484" s="1">
        <v>45092</v>
      </c>
      <c r="I2484" s="1"/>
      <c r="K2484">
        <v>5.0999999999999996</v>
      </c>
      <c r="L2484" t="s">
        <v>30</v>
      </c>
      <c r="M2484" t="s">
        <v>1893</v>
      </c>
      <c r="N2484" t="s">
        <v>1887</v>
      </c>
    </row>
    <row r="2485" spans="1:14" x14ac:dyDescent="0.35">
      <c r="A2485" t="s">
        <v>4409</v>
      </c>
      <c r="B2485" t="s">
        <v>1963</v>
      </c>
      <c r="C2485" t="s">
        <v>448</v>
      </c>
      <c r="D2485" t="s">
        <v>1904</v>
      </c>
      <c r="E2485" t="s">
        <v>1587</v>
      </c>
      <c r="F2485" t="s">
        <v>1900</v>
      </c>
      <c r="G2485">
        <v>112934</v>
      </c>
      <c r="H2485" s="1">
        <v>45517</v>
      </c>
      <c r="I2485" s="1">
        <v>45638</v>
      </c>
      <c r="J2485">
        <v>121</v>
      </c>
      <c r="K2485">
        <v>2.1</v>
      </c>
      <c r="L2485" t="s">
        <v>30</v>
      </c>
      <c r="M2485" t="s">
        <v>1953</v>
      </c>
      <c r="N2485" t="s">
        <v>1887</v>
      </c>
    </row>
    <row r="2486" spans="1:14" x14ac:dyDescent="0.35">
      <c r="A2486" t="s">
        <v>4410</v>
      </c>
      <c r="B2486" t="s">
        <v>1924</v>
      </c>
      <c r="C2486" t="s">
        <v>142</v>
      </c>
      <c r="D2486" t="s">
        <v>1904</v>
      </c>
      <c r="E2486" t="s">
        <v>1884</v>
      </c>
      <c r="F2486" t="s">
        <v>1895</v>
      </c>
      <c r="G2486">
        <v>266428</v>
      </c>
      <c r="H2486" s="1">
        <v>45067</v>
      </c>
      <c r="I2486" s="1"/>
      <c r="K2486">
        <v>4.3</v>
      </c>
      <c r="L2486" t="s">
        <v>15</v>
      </c>
      <c r="M2486" t="s">
        <v>1893</v>
      </c>
      <c r="N2486" t="s">
        <v>1887</v>
      </c>
    </row>
    <row r="2487" spans="1:14" x14ac:dyDescent="0.35">
      <c r="A2487" t="s">
        <v>4411</v>
      </c>
      <c r="B2487" t="s">
        <v>1937</v>
      </c>
      <c r="C2487" t="s">
        <v>131</v>
      </c>
      <c r="D2487" t="s">
        <v>1890</v>
      </c>
      <c r="E2487" t="s">
        <v>1931</v>
      </c>
      <c r="F2487" t="s">
        <v>1946</v>
      </c>
      <c r="G2487">
        <v>480689</v>
      </c>
      <c r="H2487" s="1">
        <v>45193</v>
      </c>
      <c r="I2487" s="1"/>
      <c r="K2487">
        <v>0.4</v>
      </c>
      <c r="L2487" t="s">
        <v>21</v>
      </c>
      <c r="M2487" t="s">
        <v>1932</v>
      </c>
      <c r="N2487" t="s">
        <v>1887</v>
      </c>
    </row>
    <row r="2488" spans="1:14" x14ac:dyDescent="0.35">
      <c r="A2488" t="s">
        <v>4412</v>
      </c>
      <c r="B2488" t="s">
        <v>1934</v>
      </c>
      <c r="C2488" t="s">
        <v>476</v>
      </c>
      <c r="D2488" t="s">
        <v>1890</v>
      </c>
      <c r="E2488" t="s">
        <v>1918</v>
      </c>
      <c r="F2488" t="s">
        <v>1900</v>
      </c>
      <c r="G2488">
        <v>43907</v>
      </c>
      <c r="H2488" s="1">
        <v>45310</v>
      </c>
      <c r="I2488" s="1">
        <v>45419</v>
      </c>
      <c r="J2488">
        <v>109</v>
      </c>
      <c r="K2488">
        <v>14.3</v>
      </c>
      <c r="L2488" t="s">
        <v>21</v>
      </c>
      <c r="M2488" t="s">
        <v>1916</v>
      </c>
      <c r="N2488" t="s">
        <v>1887</v>
      </c>
    </row>
    <row r="2489" spans="1:14" x14ac:dyDescent="0.35">
      <c r="A2489" t="s">
        <v>4413</v>
      </c>
      <c r="B2489" t="s">
        <v>1937</v>
      </c>
      <c r="C2489" t="s">
        <v>331</v>
      </c>
      <c r="D2489" t="s">
        <v>1927</v>
      </c>
      <c r="E2489" t="s">
        <v>1891</v>
      </c>
      <c r="F2489" t="s">
        <v>1895</v>
      </c>
      <c r="G2489">
        <v>223981</v>
      </c>
      <c r="H2489" s="1">
        <v>45310</v>
      </c>
      <c r="I2489" s="1"/>
      <c r="K2489">
        <v>7.1</v>
      </c>
      <c r="L2489" t="s">
        <v>47</v>
      </c>
      <c r="M2489" t="s">
        <v>1916</v>
      </c>
      <c r="N2489" t="s">
        <v>1887</v>
      </c>
    </row>
    <row r="2490" spans="1:14" x14ac:dyDescent="0.35">
      <c r="A2490" t="s">
        <v>4414</v>
      </c>
      <c r="B2490" t="s">
        <v>1937</v>
      </c>
      <c r="C2490" t="s">
        <v>196</v>
      </c>
      <c r="D2490" t="s">
        <v>1883</v>
      </c>
      <c r="E2490" t="s">
        <v>1931</v>
      </c>
      <c r="F2490" t="s">
        <v>1885</v>
      </c>
      <c r="G2490">
        <v>193562</v>
      </c>
      <c r="H2490" s="1">
        <v>45586</v>
      </c>
      <c r="I2490" s="1">
        <v>45615</v>
      </c>
      <c r="J2490">
        <v>29</v>
      </c>
      <c r="L2490" t="s">
        <v>47</v>
      </c>
      <c r="M2490" t="s">
        <v>1901</v>
      </c>
      <c r="N2490" t="s">
        <v>1887</v>
      </c>
    </row>
    <row r="2491" spans="1:14" x14ac:dyDescent="0.35">
      <c r="A2491" t="s">
        <v>4415</v>
      </c>
      <c r="B2491" t="s">
        <v>1911</v>
      </c>
      <c r="C2491" t="s">
        <v>99</v>
      </c>
      <c r="D2491" t="s">
        <v>1915</v>
      </c>
      <c r="E2491" t="s">
        <v>1884</v>
      </c>
      <c r="F2491" t="s">
        <v>1895</v>
      </c>
      <c r="G2491">
        <v>355197</v>
      </c>
      <c r="H2491" s="1">
        <v>45020</v>
      </c>
      <c r="I2491" s="1"/>
      <c r="L2491" t="s">
        <v>30</v>
      </c>
      <c r="M2491" t="s">
        <v>1893</v>
      </c>
      <c r="N2491" t="s">
        <v>1887</v>
      </c>
    </row>
    <row r="2492" spans="1:14" x14ac:dyDescent="0.35">
      <c r="A2492" t="s">
        <v>4416</v>
      </c>
      <c r="B2492" t="s">
        <v>1903</v>
      </c>
      <c r="C2492" t="s">
        <v>481</v>
      </c>
      <c r="D2492" t="s">
        <v>1890</v>
      </c>
      <c r="E2492" t="s">
        <v>1931</v>
      </c>
      <c r="F2492" t="s">
        <v>1900</v>
      </c>
      <c r="G2492">
        <v>75307</v>
      </c>
      <c r="H2492" s="1">
        <v>45343</v>
      </c>
      <c r="I2492" s="1">
        <v>45414</v>
      </c>
      <c r="J2492">
        <v>71</v>
      </c>
      <c r="K2492">
        <v>15.2</v>
      </c>
      <c r="L2492" t="s">
        <v>15</v>
      </c>
      <c r="M2492" t="s">
        <v>1916</v>
      </c>
      <c r="N2492" t="s">
        <v>1887</v>
      </c>
    </row>
    <row r="2493" spans="1:14" x14ac:dyDescent="0.35">
      <c r="A2493" t="s">
        <v>4417</v>
      </c>
      <c r="B2493" t="s">
        <v>1889</v>
      </c>
      <c r="C2493" t="s">
        <v>124</v>
      </c>
      <c r="D2493" t="s">
        <v>1904</v>
      </c>
      <c r="E2493" t="s">
        <v>1891</v>
      </c>
      <c r="F2493" t="s">
        <v>1895</v>
      </c>
      <c r="G2493">
        <v>421877</v>
      </c>
      <c r="H2493" s="1">
        <v>45206</v>
      </c>
      <c r="I2493" s="1"/>
      <c r="K2493">
        <v>6.7</v>
      </c>
      <c r="L2493" t="s">
        <v>30</v>
      </c>
      <c r="M2493" t="s">
        <v>1886</v>
      </c>
      <c r="N2493" t="s">
        <v>1887</v>
      </c>
    </row>
    <row r="2494" spans="1:14" x14ac:dyDescent="0.35">
      <c r="A2494" t="s">
        <v>4418</v>
      </c>
      <c r="B2494" t="s">
        <v>1937</v>
      </c>
      <c r="C2494" t="s">
        <v>421</v>
      </c>
      <c r="D2494" t="s">
        <v>1899</v>
      </c>
      <c r="E2494" t="s">
        <v>1891</v>
      </c>
      <c r="F2494" t="s">
        <v>1892</v>
      </c>
      <c r="G2494">
        <v>406915</v>
      </c>
      <c r="H2494" s="1">
        <v>45732</v>
      </c>
      <c r="I2494" s="1"/>
      <c r="L2494" t="s">
        <v>21</v>
      </c>
      <c r="M2494" t="s">
        <v>1912</v>
      </c>
      <c r="N2494" t="s">
        <v>1887</v>
      </c>
    </row>
    <row r="2495" spans="1:14" x14ac:dyDescent="0.35">
      <c r="A2495" t="s">
        <v>4419</v>
      </c>
      <c r="B2495" t="s">
        <v>1920</v>
      </c>
      <c r="C2495" t="s">
        <v>106</v>
      </c>
      <c r="D2495" t="s">
        <v>1883</v>
      </c>
      <c r="E2495" t="s">
        <v>1678</v>
      </c>
      <c r="F2495" t="s">
        <v>1900</v>
      </c>
      <c r="G2495">
        <v>426415</v>
      </c>
      <c r="H2495" s="1">
        <v>45558</v>
      </c>
      <c r="I2495" s="1">
        <v>45641</v>
      </c>
      <c r="J2495">
        <v>83</v>
      </c>
      <c r="K2495">
        <v>18.399999999999999</v>
      </c>
      <c r="L2495" t="s">
        <v>21</v>
      </c>
      <c r="M2495" t="s">
        <v>1953</v>
      </c>
      <c r="N2495" t="s">
        <v>1887</v>
      </c>
    </row>
    <row r="2496" spans="1:14" x14ac:dyDescent="0.35">
      <c r="A2496" t="s">
        <v>4420</v>
      </c>
      <c r="B2496" t="s">
        <v>1889</v>
      </c>
      <c r="C2496" t="s">
        <v>293</v>
      </c>
      <c r="D2496" t="s">
        <v>1915</v>
      </c>
      <c r="E2496" t="s">
        <v>1884</v>
      </c>
      <c r="F2496" t="s">
        <v>1908</v>
      </c>
      <c r="G2496">
        <v>204632</v>
      </c>
      <c r="H2496" s="1">
        <v>45172</v>
      </c>
      <c r="I2496" s="1"/>
      <c r="K2496">
        <v>12.6</v>
      </c>
      <c r="L2496" t="s">
        <v>47</v>
      </c>
      <c r="M2496" t="s">
        <v>1932</v>
      </c>
      <c r="N2496" t="s">
        <v>1887</v>
      </c>
    </row>
    <row r="2497" spans="1:14" x14ac:dyDescent="0.35">
      <c r="A2497" t="s">
        <v>4421</v>
      </c>
      <c r="B2497" t="s">
        <v>1914</v>
      </c>
      <c r="C2497" t="s">
        <v>171</v>
      </c>
      <c r="D2497" t="s">
        <v>1927</v>
      </c>
      <c r="E2497" t="s">
        <v>1587</v>
      </c>
      <c r="F2497" t="s">
        <v>1900</v>
      </c>
      <c r="G2497">
        <v>459475</v>
      </c>
      <c r="H2497" s="1">
        <v>45473</v>
      </c>
      <c r="I2497" s="1">
        <v>45521</v>
      </c>
      <c r="J2497">
        <v>48</v>
      </c>
      <c r="K2497">
        <v>2.1</v>
      </c>
      <c r="L2497" t="s">
        <v>21</v>
      </c>
      <c r="M2497" t="s">
        <v>1935</v>
      </c>
      <c r="N2497" t="s">
        <v>1887</v>
      </c>
    </row>
    <row r="2498" spans="1:14" x14ac:dyDescent="0.35">
      <c r="A2498" t="s">
        <v>4422</v>
      </c>
      <c r="B2498" t="s">
        <v>1934</v>
      </c>
      <c r="C2498" t="s">
        <v>348</v>
      </c>
      <c r="D2498" t="s">
        <v>1899</v>
      </c>
      <c r="E2498" t="s">
        <v>1600</v>
      </c>
      <c r="F2498" t="s">
        <v>1900</v>
      </c>
      <c r="G2498">
        <v>299023</v>
      </c>
      <c r="H2498" s="1">
        <v>44977</v>
      </c>
      <c r="I2498" s="1">
        <v>45043</v>
      </c>
      <c r="J2498">
        <v>66</v>
      </c>
      <c r="K2498">
        <v>0.8</v>
      </c>
      <c r="L2498" t="s">
        <v>30</v>
      </c>
      <c r="M2498" t="s">
        <v>1896</v>
      </c>
      <c r="N2498" t="s">
        <v>1887</v>
      </c>
    </row>
    <row r="2499" spans="1:14" x14ac:dyDescent="0.35">
      <c r="A2499" t="s">
        <v>4423</v>
      </c>
      <c r="B2499" t="s">
        <v>1937</v>
      </c>
      <c r="C2499" t="s">
        <v>460</v>
      </c>
      <c r="D2499" t="s">
        <v>1904</v>
      </c>
      <c r="E2499" t="s">
        <v>1587</v>
      </c>
      <c r="F2499" t="s">
        <v>1900</v>
      </c>
      <c r="G2499">
        <v>326491</v>
      </c>
      <c r="H2499" s="1">
        <v>45459</v>
      </c>
      <c r="I2499" s="1">
        <v>45627</v>
      </c>
      <c r="J2499">
        <v>168</v>
      </c>
      <c r="K2499">
        <v>24.7</v>
      </c>
      <c r="L2499" t="s">
        <v>21</v>
      </c>
      <c r="M2499" t="s">
        <v>1935</v>
      </c>
      <c r="N2499" t="s">
        <v>1887</v>
      </c>
    </row>
    <row r="2500" spans="1:14" x14ac:dyDescent="0.35">
      <c r="A2500" t="s">
        <v>4424</v>
      </c>
      <c r="B2500" t="s">
        <v>1898</v>
      </c>
      <c r="C2500" t="s">
        <v>461</v>
      </c>
      <c r="D2500" t="s">
        <v>1927</v>
      </c>
      <c r="E2500" t="s">
        <v>1678</v>
      </c>
      <c r="F2500" t="s">
        <v>1908</v>
      </c>
      <c r="G2500">
        <v>46960</v>
      </c>
      <c r="H2500" s="1">
        <v>45399</v>
      </c>
      <c r="I2500" s="1"/>
      <c r="L2500" t="s">
        <v>21</v>
      </c>
      <c r="M2500" t="s">
        <v>1935</v>
      </c>
      <c r="N2500" t="s">
        <v>1887</v>
      </c>
    </row>
    <row r="2501" spans="1:14" x14ac:dyDescent="0.35">
      <c r="A2501" t="s">
        <v>4425</v>
      </c>
      <c r="B2501" t="s">
        <v>1922</v>
      </c>
      <c r="C2501" t="s">
        <v>275</v>
      </c>
      <c r="D2501" t="s">
        <v>1890</v>
      </c>
      <c r="E2501" t="s">
        <v>1945</v>
      </c>
      <c r="F2501" t="s">
        <v>1892</v>
      </c>
      <c r="G2501">
        <v>130587</v>
      </c>
      <c r="H2501" s="1">
        <v>45030</v>
      </c>
      <c r="I2501" s="1"/>
      <c r="L2501" t="s">
        <v>30</v>
      </c>
      <c r="M2501" t="s">
        <v>1893</v>
      </c>
      <c r="N2501" t="s">
        <v>1887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8682-30BF-4E79-AA65-E923DA76D95D}">
  <dimension ref="A1:N4001"/>
  <sheetViews>
    <sheetView topLeftCell="A52" workbookViewId="0">
      <selection activeCell="Q7" sqref="Q7"/>
    </sheetView>
  </sheetViews>
  <sheetFormatPr defaultColWidth="8.90625" defaultRowHeight="14.5" x14ac:dyDescent="0.35"/>
  <cols>
    <col min="1" max="2" width="11" bestFit="1" customWidth="1"/>
    <col min="3" max="3" width="17.81640625" bestFit="1" customWidth="1"/>
    <col min="4" max="4" width="21.54296875" bestFit="1" customWidth="1"/>
    <col min="5" max="5" width="11" bestFit="1" customWidth="1"/>
    <col min="6" max="6" width="15" bestFit="1" customWidth="1"/>
    <col min="7" max="7" width="16.08984375" bestFit="1" customWidth="1"/>
    <col min="8" max="8" width="18.36328125" bestFit="1" customWidth="1"/>
    <col min="9" max="9" width="18.54296875" bestFit="1" customWidth="1"/>
    <col min="10" max="10" width="10.7265625" bestFit="1" customWidth="1"/>
    <col min="11" max="11" width="10.1796875" bestFit="1" customWidth="1"/>
    <col min="12" max="12" width="17" bestFit="1" customWidth="1"/>
    <col min="13" max="13" width="17.7265625" bestFit="1" customWidth="1"/>
    <col min="14" max="14" width="22.453125" bestFit="1" customWidth="1"/>
  </cols>
  <sheetData>
    <row r="1" spans="1:14" x14ac:dyDescent="0.35">
      <c r="A1" t="s">
        <v>4426</v>
      </c>
      <c r="B1" t="s">
        <v>0</v>
      </c>
      <c r="C1" t="s">
        <v>1871</v>
      </c>
      <c r="D1" t="s">
        <v>4427</v>
      </c>
      <c r="E1" t="s">
        <v>4428</v>
      </c>
      <c r="F1" s="3" t="s">
        <v>1875</v>
      </c>
      <c r="G1" s="3" t="s">
        <v>4429</v>
      </c>
      <c r="H1" t="s">
        <v>4430</v>
      </c>
      <c r="I1" t="s">
        <v>4431</v>
      </c>
      <c r="J1" t="s">
        <v>4432</v>
      </c>
      <c r="K1" t="s">
        <v>4433</v>
      </c>
      <c r="L1" t="s">
        <v>4434</v>
      </c>
      <c r="M1" t="s">
        <v>4435</v>
      </c>
      <c r="N1" t="s">
        <v>4436</v>
      </c>
    </row>
    <row r="2" spans="1:14" x14ac:dyDescent="0.35">
      <c r="A2" t="s">
        <v>4437</v>
      </c>
      <c r="B2" t="s">
        <v>279</v>
      </c>
      <c r="C2" t="s">
        <v>1904</v>
      </c>
      <c r="D2" t="s">
        <v>4438</v>
      </c>
      <c r="E2" t="s">
        <v>4439</v>
      </c>
      <c r="F2" s="3">
        <v>45348</v>
      </c>
      <c r="G2" s="3">
        <v>45350</v>
      </c>
      <c r="H2" s="2">
        <v>54.6</v>
      </c>
      <c r="I2">
        <v>48</v>
      </c>
      <c r="J2" t="s">
        <v>4440</v>
      </c>
      <c r="K2" t="s">
        <v>4441</v>
      </c>
      <c r="L2" t="s">
        <v>1907</v>
      </c>
      <c r="M2" t="s">
        <v>1625</v>
      </c>
      <c r="N2">
        <v>4</v>
      </c>
    </row>
    <row r="3" spans="1:14" x14ac:dyDescent="0.35">
      <c r="A3" t="s">
        <v>4442</v>
      </c>
      <c r="B3" t="s">
        <v>275</v>
      </c>
      <c r="C3" t="s">
        <v>1890</v>
      </c>
      <c r="D3" t="s">
        <v>4443</v>
      </c>
      <c r="E3" t="s">
        <v>4444</v>
      </c>
      <c r="F3" s="3">
        <v>45520</v>
      </c>
      <c r="G3" s="3">
        <v>45521</v>
      </c>
      <c r="H3">
        <v>25.9</v>
      </c>
      <c r="I3">
        <v>24</v>
      </c>
      <c r="J3" t="s">
        <v>4440</v>
      </c>
      <c r="K3" t="s">
        <v>4441</v>
      </c>
      <c r="L3" t="s">
        <v>4445</v>
      </c>
      <c r="M3" t="s">
        <v>4446</v>
      </c>
      <c r="N3">
        <v>1</v>
      </c>
    </row>
    <row r="4" spans="1:14" x14ac:dyDescent="0.35">
      <c r="A4" t="s">
        <v>4447</v>
      </c>
      <c r="B4" t="s">
        <v>232</v>
      </c>
      <c r="C4" t="s">
        <v>1890</v>
      </c>
      <c r="D4" t="s">
        <v>4443</v>
      </c>
      <c r="E4" t="s">
        <v>4444</v>
      </c>
      <c r="F4" s="3">
        <v>45230</v>
      </c>
      <c r="G4" s="3">
        <v>45230</v>
      </c>
      <c r="H4">
        <v>10.1</v>
      </c>
      <c r="I4">
        <v>24</v>
      </c>
      <c r="J4" t="s">
        <v>4448</v>
      </c>
      <c r="K4" t="s">
        <v>4441</v>
      </c>
      <c r="L4" t="s">
        <v>4449</v>
      </c>
      <c r="M4" t="s">
        <v>4450</v>
      </c>
      <c r="N4">
        <v>3</v>
      </c>
    </row>
    <row r="5" spans="1:14" x14ac:dyDescent="0.35">
      <c r="A5" t="s">
        <v>4451</v>
      </c>
      <c r="B5" t="s">
        <v>337</v>
      </c>
      <c r="C5" t="s">
        <v>1927</v>
      </c>
      <c r="D5" t="s">
        <v>4452</v>
      </c>
      <c r="E5" t="s">
        <v>4444</v>
      </c>
      <c r="F5" s="3">
        <v>45149</v>
      </c>
      <c r="G5" s="3" t="s">
        <v>537</v>
      </c>
      <c r="I5">
        <v>24</v>
      </c>
      <c r="J5" t="s">
        <v>4448</v>
      </c>
      <c r="K5" t="s">
        <v>4453</v>
      </c>
      <c r="L5" t="s">
        <v>4454</v>
      </c>
      <c r="M5" t="s">
        <v>1625</v>
      </c>
    </row>
    <row r="6" spans="1:14" x14ac:dyDescent="0.35">
      <c r="A6" t="s">
        <v>4455</v>
      </c>
      <c r="B6" t="s">
        <v>297</v>
      </c>
      <c r="C6" t="s">
        <v>1915</v>
      </c>
      <c r="D6" t="s">
        <v>4443</v>
      </c>
      <c r="E6" t="s">
        <v>4456</v>
      </c>
      <c r="F6" s="3">
        <v>45394</v>
      </c>
      <c r="G6" s="3" t="s">
        <v>537</v>
      </c>
      <c r="I6">
        <v>4</v>
      </c>
      <c r="J6" t="s">
        <v>4448</v>
      </c>
      <c r="K6" t="s">
        <v>4457</v>
      </c>
      <c r="L6" t="s">
        <v>4458</v>
      </c>
      <c r="M6" t="s">
        <v>4446</v>
      </c>
    </row>
    <row r="7" spans="1:14" x14ac:dyDescent="0.35">
      <c r="A7" t="s">
        <v>4459</v>
      </c>
      <c r="B7" t="s">
        <v>216</v>
      </c>
      <c r="C7" t="s">
        <v>1915</v>
      </c>
      <c r="D7" t="s">
        <v>4460</v>
      </c>
      <c r="E7" t="s">
        <v>4456</v>
      </c>
      <c r="F7" s="3">
        <v>45319</v>
      </c>
      <c r="G7" s="3">
        <v>45319</v>
      </c>
      <c r="H7">
        <v>8.4</v>
      </c>
      <c r="I7">
        <v>4</v>
      </c>
      <c r="J7" t="s">
        <v>4440</v>
      </c>
      <c r="K7" t="s">
        <v>4441</v>
      </c>
      <c r="L7" t="s">
        <v>4461</v>
      </c>
      <c r="M7" t="s">
        <v>4462</v>
      </c>
      <c r="N7">
        <v>3</v>
      </c>
    </row>
    <row r="8" spans="1:14" x14ac:dyDescent="0.35">
      <c r="A8" t="s">
        <v>4463</v>
      </c>
      <c r="B8" t="s">
        <v>400</v>
      </c>
      <c r="C8" t="s">
        <v>1927</v>
      </c>
      <c r="D8" t="s">
        <v>4464</v>
      </c>
      <c r="E8" t="s">
        <v>4439</v>
      </c>
      <c r="F8" s="3">
        <v>45700</v>
      </c>
      <c r="G8" s="3">
        <v>45702</v>
      </c>
      <c r="H8">
        <v>54.5</v>
      </c>
      <c r="I8">
        <v>48</v>
      </c>
      <c r="J8" t="s">
        <v>4440</v>
      </c>
      <c r="K8" t="s">
        <v>4441</v>
      </c>
      <c r="L8" t="s">
        <v>4465</v>
      </c>
      <c r="M8" t="s">
        <v>4446</v>
      </c>
      <c r="N8">
        <v>3</v>
      </c>
    </row>
    <row r="9" spans="1:14" x14ac:dyDescent="0.35">
      <c r="A9" t="s">
        <v>4466</v>
      </c>
      <c r="B9" t="s">
        <v>433</v>
      </c>
      <c r="C9" t="s">
        <v>1883</v>
      </c>
      <c r="D9" t="s">
        <v>4464</v>
      </c>
      <c r="E9" t="s">
        <v>4444</v>
      </c>
      <c r="F9" s="3">
        <v>45570</v>
      </c>
      <c r="G9" s="3" t="s">
        <v>537</v>
      </c>
      <c r="I9">
        <v>24</v>
      </c>
      <c r="J9" t="s">
        <v>4440</v>
      </c>
      <c r="K9" t="s">
        <v>4453</v>
      </c>
      <c r="L9" t="s">
        <v>4467</v>
      </c>
      <c r="M9" t="s">
        <v>4450</v>
      </c>
    </row>
    <row r="10" spans="1:14" x14ac:dyDescent="0.35">
      <c r="A10" t="s">
        <v>4468</v>
      </c>
      <c r="B10" t="s">
        <v>372</v>
      </c>
      <c r="C10" t="s">
        <v>1890</v>
      </c>
      <c r="D10" t="s">
        <v>4469</v>
      </c>
      <c r="E10" t="s">
        <v>4444</v>
      </c>
      <c r="F10" s="3">
        <v>45103</v>
      </c>
      <c r="G10" s="3">
        <v>45103</v>
      </c>
      <c r="H10">
        <v>2.6</v>
      </c>
      <c r="I10">
        <v>24</v>
      </c>
      <c r="J10" t="s">
        <v>4448</v>
      </c>
      <c r="K10" t="s">
        <v>4441</v>
      </c>
      <c r="L10" t="s">
        <v>4470</v>
      </c>
      <c r="M10" t="s">
        <v>4462</v>
      </c>
      <c r="N10">
        <v>3</v>
      </c>
    </row>
    <row r="11" spans="1:14" x14ac:dyDescent="0.35">
      <c r="A11" t="s">
        <v>4471</v>
      </c>
      <c r="B11" t="s">
        <v>431</v>
      </c>
      <c r="C11" t="s">
        <v>1927</v>
      </c>
      <c r="D11" t="s">
        <v>4472</v>
      </c>
      <c r="E11" t="s">
        <v>4473</v>
      </c>
      <c r="F11" s="3">
        <v>45024</v>
      </c>
      <c r="G11" s="3" t="s">
        <v>537</v>
      </c>
      <c r="I11">
        <v>8</v>
      </c>
      <c r="J11" t="s">
        <v>4448</v>
      </c>
      <c r="K11" t="s">
        <v>4474</v>
      </c>
      <c r="L11" t="s">
        <v>4458</v>
      </c>
      <c r="M11" t="s">
        <v>4462</v>
      </c>
    </row>
    <row r="12" spans="1:14" x14ac:dyDescent="0.35">
      <c r="A12" t="s">
        <v>4475</v>
      </c>
      <c r="B12" t="s">
        <v>330</v>
      </c>
      <c r="C12" t="s">
        <v>1899</v>
      </c>
      <c r="D12" t="s">
        <v>4476</v>
      </c>
      <c r="E12" t="s">
        <v>4439</v>
      </c>
      <c r="F12" s="3">
        <v>44932</v>
      </c>
      <c r="G12" s="3" t="s">
        <v>537</v>
      </c>
      <c r="I12">
        <v>48</v>
      </c>
      <c r="J12" t="s">
        <v>4440</v>
      </c>
      <c r="K12" t="s">
        <v>4474</v>
      </c>
      <c r="L12" t="s">
        <v>4470</v>
      </c>
      <c r="M12" t="s">
        <v>4462</v>
      </c>
    </row>
    <row r="13" spans="1:14" x14ac:dyDescent="0.35">
      <c r="A13" t="s">
        <v>4477</v>
      </c>
      <c r="B13" t="s">
        <v>154</v>
      </c>
      <c r="C13" t="s">
        <v>1904</v>
      </c>
      <c r="D13" t="s">
        <v>4469</v>
      </c>
      <c r="E13" t="s">
        <v>4444</v>
      </c>
      <c r="F13" s="3">
        <v>45250</v>
      </c>
      <c r="G13" s="3">
        <v>45252</v>
      </c>
      <c r="H13">
        <v>50.4</v>
      </c>
      <c r="I13">
        <v>24</v>
      </c>
      <c r="J13" t="s">
        <v>1945</v>
      </c>
      <c r="K13" t="s">
        <v>4441</v>
      </c>
      <c r="L13" t="s">
        <v>4467</v>
      </c>
      <c r="M13" t="s">
        <v>4462</v>
      </c>
      <c r="N13">
        <v>3</v>
      </c>
    </row>
    <row r="14" spans="1:14" x14ac:dyDescent="0.35">
      <c r="A14" t="s">
        <v>4478</v>
      </c>
      <c r="B14" t="s">
        <v>138</v>
      </c>
      <c r="C14" t="s">
        <v>1915</v>
      </c>
      <c r="D14" t="s">
        <v>4479</v>
      </c>
      <c r="E14" t="s">
        <v>4473</v>
      </c>
      <c r="F14" s="3">
        <v>45029</v>
      </c>
      <c r="G14" s="3" t="s">
        <v>537</v>
      </c>
      <c r="I14">
        <v>8</v>
      </c>
      <c r="J14" t="s">
        <v>4440</v>
      </c>
      <c r="K14" t="s">
        <v>4474</v>
      </c>
      <c r="L14" t="s">
        <v>4480</v>
      </c>
      <c r="M14" t="s">
        <v>4462</v>
      </c>
    </row>
    <row r="15" spans="1:14" x14ac:dyDescent="0.35">
      <c r="A15" t="s">
        <v>4481</v>
      </c>
      <c r="B15" t="s">
        <v>419</v>
      </c>
      <c r="C15" t="s">
        <v>1927</v>
      </c>
      <c r="D15" t="s">
        <v>4482</v>
      </c>
      <c r="E15" t="s">
        <v>4444</v>
      </c>
      <c r="F15" s="3">
        <v>45490</v>
      </c>
      <c r="G15" s="3">
        <v>45492</v>
      </c>
      <c r="H15">
        <v>54.8</v>
      </c>
      <c r="I15">
        <v>24</v>
      </c>
      <c r="J15" t="s">
        <v>4440</v>
      </c>
      <c r="K15" t="s">
        <v>4441</v>
      </c>
      <c r="L15" t="s">
        <v>4483</v>
      </c>
      <c r="M15" t="s">
        <v>1625</v>
      </c>
      <c r="N15">
        <v>4</v>
      </c>
    </row>
    <row r="16" spans="1:14" x14ac:dyDescent="0.35">
      <c r="A16" t="s">
        <v>4484</v>
      </c>
      <c r="B16" t="s">
        <v>476</v>
      </c>
      <c r="C16" t="s">
        <v>1915</v>
      </c>
      <c r="D16" t="s">
        <v>4485</v>
      </c>
      <c r="E16" t="s">
        <v>4444</v>
      </c>
      <c r="F16" s="3">
        <v>44983</v>
      </c>
      <c r="G16" s="3" t="s">
        <v>537</v>
      </c>
      <c r="I16">
        <v>24</v>
      </c>
      <c r="J16" t="s">
        <v>4440</v>
      </c>
      <c r="K16" t="s">
        <v>4453</v>
      </c>
      <c r="L16" t="s">
        <v>4467</v>
      </c>
      <c r="M16" t="s">
        <v>1625</v>
      </c>
    </row>
    <row r="17" spans="1:14" x14ac:dyDescent="0.35">
      <c r="A17" t="s">
        <v>4486</v>
      </c>
      <c r="B17" t="s">
        <v>85</v>
      </c>
      <c r="C17" t="s">
        <v>1883</v>
      </c>
      <c r="D17" t="s">
        <v>4460</v>
      </c>
      <c r="E17" t="s">
        <v>4444</v>
      </c>
      <c r="F17" s="3">
        <v>45046</v>
      </c>
      <c r="G17" s="3" t="s">
        <v>537</v>
      </c>
      <c r="I17">
        <v>24</v>
      </c>
      <c r="J17" t="s">
        <v>4448</v>
      </c>
      <c r="K17" t="s">
        <v>4474</v>
      </c>
      <c r="L17" t="s">
        <v>4467</v>
      </c>
      <c r="M17" t="s">
        <v>1625</v>
      </c>
    </row>
    <row r="18" spans="1:14" x14ac:dyDescent="0.35">
      <c r="A18" t="s">
        <v>4487</v>
      </c>
      <c r="B18" t="s">
        <v>402</v>
      </c>
      <c r="C18" t="s">
        <v>1899</v>
      </c>
      <c r="D18" t="s">
        <v>4443</v>
      </c>
      <c r="E18" t="s">
        <v>4473</v>
      </c>
      <c r="F18" s="3">
        <v>45076</v>
      </c>
      <c r="G18" s="3">
        <v>45076</v>
      </c>
      <c r="H18">
        <v>14</v>
      </c>
      <c r="I18">
        <v>8</v>
      </c>
      <c r="J18" t="s">
        <v>4440</v>
      </c>
      <c r="K18" t="s">
        <v>4441</v>
      </c>
      <c r="L18" t="s">
        <v>4488</v>
      </c>
      <c r="M18" t="s">
        <v>4446</v>
      </c>
      <c r="N18">
        <v>5</v>
      </c>
    </row>
    <row r="19" spans="1:14" x14ac:dyDescent="0.35">
      <c r="A19" t="s">
        <v>4489</v>
      </c>
      <c r="B19" t="s">
        <v>476</v>
      </c>
      <c r="C19" t="s">
        <v>1890</v>
      </c>
      <c r="D19" t="s">
        <v>4490</v>
      </c>
      <c r="E19" t="s">
        <v>4444</v>
      </c>
      <c r="F19" s="3">
        <v>45328</v>
      </c>
      <c r="G19" s="3" t="s">
        <v>537</v>
      </c>
      <c r="I19">
        <v>24</v>
      </c>
      <c r="J19" t="s">
        <v>1945</v>
      </c>
      <c r="K19" t="s">
        <v>4474</v>
      </c>
      <c r="L19" t="s">
        <v>4467</v>
      </c>
      <c r="M19" t="s">
        <v>4462</v>
      </c>
    </row>
    <row r="20" spans="1:14" x14ac:dyDescent="0.35">
      <c r="A20" t="s">
        <v>4491</v>
      </c>
      <c r="B20" t="s">
        <v>299</v>
      </c>
      <c r="C20" t="s">
        <v>1915</v>
      </c>
      <c r="D20" t="s">
        <v>4438</v>
      </c>
      <c r="E20" t="s">
        <v>4439</v>
      </c>
      <c r="F20" s="3">
        <v>44999</v>
      </c>
      <c r="G20" s="3" t="s">
        <v>537</v>
      </c>
      <c r="I20">
        <v>48</v>
      </c>
      <c r="J20" t="s">
        <v>4440</v>
      </c>
      <c r="K20" t="s">
        <v>4474</v>
      </c>
      <c r="L20" t="s">
        <v>4492</v>
      </c>
      <c r="M20" t="s">
        <v>1625</v>
      </c>
    </row>
    <row r="21" spans="1:14" x14ac:dyDescent="0.35">
      <c r="A21" t="s">
        <v>4493</v>
      </c>
      <c r="B21" t="s">
        <v>106</v>
      </c>
      <c r="C21" t="s">
        <v>1899</v>
      </c>
      <c r="D21" t="s">
        <v>4460</v>
      </c>
      <c r="E21" t="s">
        <v>4444</v>
      </c>
      <c r="F21" s="3">
        <v>45284</v>
      </c>
      <c r="G21" s="3" t="s">
        <v>537</v>
      </c>
      <c r="I21">
        <v>24</v>
      </c>
      <c r="J21" t="s">
        <v>4448</v>
      </c>
      <c r="K21" t="s">
        <v>4453</v>
      </c>
      <c r="L21" t="s">
        <v>4492</v>
      </c>
      <c r="M21" t="s">
        <v>4446</v>
      </c>
    </row>
    <row r="22" spans="1:14" x14ac:dyDescent="0.35">
      <c r="A22" t="s">
        <v>4494</v>
      </c>
      <c r="B22" t="s">
        <v>162</v>
      </c>
      <c r="C22" t="s">
        <v>1904</v>
      </c>
      <c r="D22" t="s">
        <v>4479</v>
      </c>
      <c r="E22" t="s">
        <v>4439</v>
      </c>
      <c r="F22" s="3">
        <v>45729</v>
      </c>
      <c r="G22" s="3">
        <v>45729</v>
      </c>
      <c r="H22">
        <v>11.8</v>
      </c>
      <c r="I22">
        <v>48</v>
      </c>
      <c r="J22" t="s">
        <v>4448</v>
      </c>
      <c r="K22" t="s">
        <v>4441</v>
      </c>
      <c r="L22" t="s">
        <v>4480</v>
      </c>
      <c r="M22" t="s">
        <v>4446</v>
      </c>
      <c r="N22">
        <v>3</v>
      </c>
    </row>
    <row r="23" spans="1:14" x14ac:dyDescent="0.35">
      <c r="A23" t="s">
        <v>4495</v>
      </c>
      <c r="B23" t="s">
        <v>289</v>
      </c>
      <c r="C23" t="s">
        <v>1883</v>
      </c>
      <c r="D23" t="s">
        <v>4490</v>
      </c>
      <c r="E23" t="s">
        <v>4444</v>
      </c>
      <c r="F23" s="3">
        <v>45496</v>
      </c>
      <c r="G23" s="3">
        <v>45497</v>
      </c>
      <c r="H23">
        <v>39.299999999999997</v>
      </c>
      <c r="I23">
        <v>24</v>
      </c>
      <c r="J23" t="s">
        <v>4440</v>
      </c>
      <c r="K23" t="s">
        <v>4441</v>
      </c>
      <c r="L23" t="s">
        <v>4465</v>
      </c>
      <c r="M23" t="s">
        <v>1625</v>
      </c>
      <c r="N23">
        <v>2</v>
      </c>
    </row>
    <row r="24" spans="1:14" x14ac:dyDescent="0.35">
      <c r="A24" t="s">
        <v>4496</v>
      </c>
      <c r="B24" t="s">
        <v>266</v>
      </c>
      <c r="C24" t="s">
        <v>1890</v>
      </c>
      <c r="D24" t="s">
        <v>4485</v>
      </c>
      <c r="E24" t="s">
        <v>4456</v>
      </c>
      <c r="F24" s="3">
        <v>45539</v>
      </c>
      <c r="G24" s="3" t="s">
        <v>537</v>
      </c>
      <c r="I24">
        <v>4</v>
      </c>
      <c r="J24" t="s">
        <v>4440</v>
      </c>
      <c r="K24" t="s">
        <v>4474</v>
      </c>
      <c r="L24" t="s">
        <v>1907</v>
      </c>
      <c r="M24" t="s">
        <v>1625</v>
      </c>
    </row>
    <row r="25" spans="1:14" x14ac:dyDescent="0.35">
      <c r="A25" t="s">
        <v>4497</v>
      </c>
      <c r="B25" t="s">
        <v>355</v>
      </c>
      <c r="C25" t="s">
        <v>1915</v>
      </c>
      <c r="D25" t="s">
        <v>4438</v>
      </c>
      <c r="E25" t="s">
        <v>4444</v>
      </c>
      <c r="F25" s="3">
        <v>45722</v>
      </c>
      <c r="G25" s="3">
        <v>45723</v>
      </c>
      <c r="H25">
        <v>31.4</v>
      </c>
      <c r="I25">
        <v>24</v>
      </c>
      <c r="J25" t="s">
        <v>4440</v>
      </c>
      <c r="K25" t="s">
        <v>4441</v>
      </c>
      <c r="L25" t="s">
        <v>4480</v>
      </c>
      <c r="M25" t="s">
        <v>4446</v>
      </c>
      <c r="N25">
        <v>4</v>
      </c>
    </row>
    <row r="26" spans="1:14" x14ac:dyDescent="0.35">
      <c r="A26" t="s">
        <v>4498</v>
      </c>
      <c r="B26" t="s">
        <v>74</v>
      </c>
      <c r="C26" t="s">
        <v>1890</v>
      </c>
      <c r="D26" t="s">
        <v>4490</v>
      </c>
      <c r="E26" t="s">
        <v>4456</v>
      </c>
      <c r="F26" s="3">
        <v>45176</v>
      </c>
      <c r="G26" s="3">
        <v>45176</v>
      </c>
      <c r="H26">
        <v>8.6999999999999993</v>
      </c>
      <c r="I26">
        <v>4</v>
      </c>
      <c r="J26" t="s">
        <v>4440</v>
      </c>
      <c r="K26" t="s">
        <v>4441</v>
      </c>
      <c r="L26" t="s">
        <v>1907</v>
      </c>
      <c r="M26" t="s">
        <v>1625</v>
      </c>
      <c r="N26">
        <v>4</v>
      </c>
    </row>
    <row r="27" spans="1:14" x14ac:dyDescent="0.35">
      <c r="A27" t="s">
        <v>4499</v>
      </c>
      <c r="B27" t="s">
        <v>353</v>
      </c>
      <c r="C27" t="s">
        <v>1883</v>
      </c>
      <c r="D27" t="s">
        <v>4452</v>
      </c>
      <c r="E27" t="s">
        <v>4439</v>
      </c>
      <c r="F27" s="3">
        <v>45431</v>
      </c>
      <c r="G27" s="3" t="s">
        <v>537</v>
      </c>
      <c r="I27">
        <v>48</v>
      </c>
      <c r="J27" t="s">
        <v>4448</v>
      </c>
      <c r="K27" t="s">
        <v>4474</v>
      </c>
      <c r="L27" t="s">
        <v>4470</v>
      </c>
      <c r="M27" t="s">
        <v>4462</v>
      </c>
    </row>
    <row r="28" spans="1:14" x14ac:dyDescent="0.35">
      <c r="A28" t="s">
        <v>4500</v>
      </c>
      <c r="B28" t="s">
        <v>242</v>
      </c>
      <c r="C28" t="s">
        <v>1899</v>
      </c>
      <c r="D28" t="s">
        <v>4485</v>
      </c>
      <c r="E28" t="s">
        <v>4439</v>
      </c>
      <c r="F28" s="3">
        <v>45541</v>
      </c>
      <c r="G28" s="3">
        <v>45543</v>
      </c>
      <c r="H28">
        <v>67.099999999999994</v>
      </c>
      <c r="I28">
        <v>48</v>
      </c>
      <c r="J28" t="s">
        <v>4440</v>
      </c>
      <c r="K28" t="s">
        <v>4441</v>
      </c>
      <c r="L28" t="s">
        <v>4501</v>
      </c>
      <c r="M28" t="s">
        <v>4462</v>
      </c>
      <c r="N28">
        <v>4</v>
      </c>
    </row>
    <row r="29" spans="1:14" x14ac:dyDescent="0.35">
      <c r="A29" t="s">
        <v>4502</v>
      </c>
      <c r="B29" t="s">
        <v>324</v>
      </c>
      <c r="C29" t="s">
        <v>1904</v>
      </c>
      <c r="D29" t="s">
        <v>4460</v>
      </c>
      <c r="E29" t="s">
        <v>4439</v>
      </c>
      <c r="F29" s="3">
        <v>45314</v>
      </c>
      <c r="G29" s="3">
        <v>45315</v>
      </c>
      <c r="H29">
        <v>32.4</v>
      </c>
      <c r="I29">
        <v>48</v>
      </c>
      <c r="J29" t="s">
        <v>4448</v>
      </c>
      <c r="K29" t="s">
        <v>4441</v>
      </c>
      <c r="L29" t="s">
        <v>4465</v>
      </c>
      <c r="M29" t="s">
        <v>4450</v>
      </c>
      <c r="N29">
        <v>4</v>
      </c>
    </row>
    <row r="30" spans="1:14" x14ac:dyDescent="0.35">
      <c r="A30" t="s">
        <v>4503</v>
      </c>
      <c r="B30" t="s">
        <v>329</v>
      </c>
      <c r="C30" t="s">
        <v>1890</v>
      </c>
      <c r="D30" t="s">
        <v>4452</v>
      </c>
      <c r="E30" t="s">
        <v>4439</v>
      </c>
      <c r="F30" s="3">
        <v>45597</v>
      </c>
      <c r="G30" s="3">
        <v>45601</v>
      </c>
      <c r="H30">
        <v>105.1</v>
      </c>
      <c r="I30">
        <v>48</v>
      </c>
      <c r="J30" t="s">
        <v>4440</v>
      </c>
      <c r="K30" t="s">
        <v>4441</v>
      </c>
      <c r="L30" t="s">
        <v>4461</v>
      </c>
      <c r="M30" t="s">
        <v>4450</v>
      </c>
      <c r="N30">
        <v>4</v>
      </c>
    </row>
    <row r="31" spans="1:14" x14ac:dyDescent="0.35">
      <c r="A31" t="s">
        <v>4504</v>
      </c>
      <c r="B31" t="s">
        <v>392</v>
      </c>
      <c r="C31" t="s">
        <v>1915</v>
      </c>
      <c r="D31" t="s">
        <v>4452</v>
      </c>
      <c r="E31" t="s">
        <v>4439</v>
      </c>
      <c r="F31" s="3">
        <v>45571</v>
      </c>
      <c r="G31" s="3" t="s">
        <v>537</v>
      </c>
      <c r="I31">
        <v>48</v>
      </c>
      <c r="J31" t="s">
        <v>4448</v>
      </c>
      <c r="K31" t="s">
        <v>4457</v>
      </c>
      <c r="L31" t="s">
        <v>4492</v>
      </c>
      <c r="M31" t="s">
        <v>4450</v>
      </c>
    </row>
    <row r="32" spans="1:14" x14ac:dyDescent="0.35">
      <c r="A32" t="s">
        <v>4505</v>
      </c>
      <c r="B32" t="s">
        <v>99</v>
      </c>
      <c r="C32" t="s">
        <v>1915</v>
      </c>
      <c r="D32" t="s">
        <v>4482</v>
      </c>
      <c r="E32" t="s">
        <v>4444</v>
      </c>
      <c r="F32" s="3">
        <v>45016</v>
      </c>
      <c r="G32" s="3" t="s">
        <v>537</v>
      </c>
      <c r="I32">
        <v>24</v>
      </c>
      <c r="J32" t="s">
        <v>4448</v>
      </c>
      <c r="K32" t="s">
        <v>4453</v>
      </c>
      <c r="L32" t="s">
        <v>4492</v>
      </c>
      <c r="M32" t="s">
        <v>4462</v>
      </c>
    </row>
    <row r="33" spans="1:14" x14ac:dyDescent="0.35">
      <c r="A33" t="s">
        <v>4506</v>
      </c>
      <c r="B33" t="s">
        <v>186</v>
      </c>
      <c r="C33" t="s">
        <v>1899</v>
      </c>
      <c r="D33" t="s">
        <v>4452</v>
      </c>
      <c r="E33" t="s">
        <v>4456</v>
      </c>
      <c r="F33" s="3">
        <v>45264</v>
      </c>
      <c r="G33" s="3">
        <v>45264</v>
      </c>
      <c r="H33">
        <v>2.5</v>
      </c>
      <c r="I33">
        <v>4</v>
      </c>
      <c r="J33" t="s">
        <v>4448</v>
      </c>
      <c r="K33" t="s">
        <v>4441</v>
      </c>
      <c r="L33" t="s">
        <v>4449</v>
      </c>
      <c r="M33" t="s">
        <v>4462</v>
      </c>
    </row>
    <row r="34" spans="1:14" x14ac:dyDescent="0.35">
      <c r="A34" t="s">
        <v>4507</v>
      </c>
      <c r="B34" t="s">
        <v>126</v>
      </c>
      <c r="C34" t="s">
        <v>1927</v>
      </c>
      <c r="D34" t="s">
        <v>4460</v>
      </c>
      <c r="E34" t="s">
        <v>4439</v>
      </c>
      <c r="F34" s="3">
        <v>45375</v>
      </c>
      <c r="G34" s="3">
        <v>45376</v>
      </c>
      <c r="H34">
        <v>40.299999999999997</v>
      </c>
      <c r="I34">
        <v>48</v>
      </c>
      <c r="J34" t="s">
        <v>4448</v>
      </c>
      <c r="K34" t="s">
        <v>4441</v>
      </c>
      <c r="L34" t="s">
        <v>4449</v>
      </c>
      <c r="M34" t="s">
        <v>4450</v>
      </c>
      <c r="N34">
        <v>5</v>
      </c>
    </row>
    <row r="35" spans="1:14" x14ac:dyDescent="0.35">
      <c r="A35" t="s">
        <v>4508</v>
      </c>
      <c r="B35" t="s">
        <v>488</v>
      </c>
      <c r="C35" t="s">
        <v>1927</v>
      </c>
      <c r="D35" t="s">
        <v>4490</v>
      </c>
      <c r="E35" t="s">
        <v>4456</v>
      </c>
      <c r="F35" s="3">
        <v>45646</v>
      </c>
      <c r="G35" s="3">
        <v>45646</v>
      </c>
      <c r="H35">
        <v>7.5</v>
      </c>
      <c r="I35">
        <v>4</v>
      </c>
      <c r="J35" t="s">
        <v>4440</v>
      </c>
      <c r="K35" t="s">
        <v>4441</v>
      </c>
      <c r="L35" t="s">
        <v>4509</v>
      </c>
      <c r="M35" t="s">
        <v>4462</v>
      </c>
      <c r="N35">
        <v>4</v>
      </c>
    </row>
    <row r="36" spans="1:14" x14ac:dyDescent="0.35">
      <c r="A36" t="s">
        <v>4510</v>
      </c>
      <c r="B36" t="s">
        <v>318</v>
      </c>
      <c r="C36" t="s">
        <v>1890</v>
      </c>
      <c r="D36" t="s">
        <v>4460</v>
      </c>
      <c r="E36" t="s">
        <v>4444</v>
      </c>
      <c r="F36" s="3">
        <v>45332</v>
      </c>
      <c r="G36" s="3" t="s">
        <v>537</v>
      </c>
      <c r="I36">
        <v>24</v>
      </c>
      <c r="J36" t="s">
        <v>4448</v>
      </c>
      <c r="K36" t="s">
        <v>4457</v>
      </c>
      <c r="L36" t="s">
        <v>4467</v>
      </c>
      <c r="M36" t="s">
        <v>1625</v>
      </c>
    </row>
    <row r="37" spans="1:14" x14ac:dyDescent="0.35">
      <c r="A37" t="s">
        <v>4511</v>
      </c>
      <c r="B37" t="s">
        <v>457</v>
      </c>
      <c r="C37" t="s">
        <v>1927</v>
      </c>
      <c r="D37" t="s">
        <v>4490</v>
      </c>
      <c r="E37" t="s">
        <v>4444</v>
      </c>
      <c r="F37" s="3">
        <v>45196</v>
      </c>
      <c r="G37" s="3" t="s">
        <v>537</v>
      </c>
      <c r="I37">
        <v>24</v>
      </c>
      <c r="J37" t="s">
        <v>4440</v>
      </c>
      <c r="K37" t="s">
        <v>4453</v>
      </c>
      <c r="L37" t="s">
        <v>4512</v>
      </c>
      <c r="M37" t="s">
        <v>4450</v>
      </c>
    </row>
    <row r="38" spans="1:14" x14ac:dyDescent="0.35">
      <c r="A38" t="s">
        <v>4513</v>
      </c>
      <c r="B38" t="s">
        <v>335</v>
      </c>
      <c r="C38" t="s">
        <v>1890</v>
      </c>
      <c r="D38" t="s">
        <v>4482</v>
      </c>
      <c r="E38" t="s">
        <v>4444</v>
      </c>
      <c r="F38" s="3">
        <v>45330</v>
      </c>
      <c r="G38" s="3" t="s">
        <v>537</v>
      </c>
      <c r="I38">
        <v>24</v>
      </c>
      <c r="J38" t="s">
        <v>4440</v>
      </c>
      <c r="K38" t="s">
        <v>4457</v>
      </c>
      <c r="L38" t="s">
        <v>4514</v>
      </c>
      <c r="M38" t="s">
        <v>4450</v>
      </c>
    </row>
    <row r="39" spans="1:14" x14ac:dyDescent="0.35">
      <c r="A39" t="s">
        <v>4515</v>
      </c>
      <c r="B39" t="s">
        <v>66</v>
      </c>
      <c r="C39" t="s">
        <v>1927</v>
      </c>
      <c r="D39" t="s">
        <v>4438</v>
      </c>
      <c r="E39" t="s">
        <v>4439</v>
      </c>
      <c r="F39" s="3">
        <v>45079</v>
      </c>
      <c r="G39" s="3" t="s">
        <v>537</v>
      </c>
      <c r="I39">
        <v>48</v>
      </c>
      <c r="J39" t="s">
        <v>4440</v>
      </c>
      <c r="K39" t="s">
        <v>4453</v>
      </c>
      <c r="L39" t="s">
        <v>4449</v>
      </c>
      <c r="M39" t="s">
        <v>4450</v>
      </c>
    </row>
    <row r="40" spans="1:14" x14ac:dyDescent="0.35">
      <c r="A40" t="s">
        <v>4516</v>
      </c>
      <c r="B40" t="s">
        <v>494</v>
      </c>
      <c r="C40" t="s">
        <v>1927</v>
      </c>
      <c r="D40" t="s">
        <v>4479</v>
      </c>
      <c r="E40" t="s">
        <v>4444</v>
      </c>
      <c r="F40" s="3">
        <v>45530</v>
      </c>
      <c r="G40" s="3">
        <v>45531</v>
      </c>
      <c r="H40">
        <v>24.6</v>
      </c>
      <c r="I40">
        <v>24</v>
      </c>
      <c r="J40" t="s">
        <v>4440</v>
      </c>
      <c r="K40" t="s">
        <v>4441</v>
      </c>
      <c r="L40" t="s">
        <v>4480</v>
      </c>
      <c r="M40" t="s">
        <v>1625</v>
      </c>
      <c r="N40">
        <v>3</v>
      </c>
    </row>
    <row r="41" spans="1:14" x14ac:dyDescent="0.35">
      <c r="A41" t="s">
        <v>4517</v>
      </c>
      <c r="B41" t="s">
        <v>198</v>
      </c>
      <c r="C41" t="s">
        <v>1927</v>
      </c>
      <c r="D41" t="s">
        <v>4476</v>
      </c>
      <c r="E41" t="s">
        <v>4439</v>
      </c>
      <c r="F41" s="3">
        <v>45449</v>
      </c>
      <c r="G41" s="3" t="s">
        <v>537</v>
      </c>
      <c r="I41">
        <v>48</v>
      </c>
      <c r="J41" t="s">
        <v>4440</v>
      </c>
      <c r="K41" t="s">
        <v>4457</v>
      </c>
      <c r="L41" t="s">
        <v>4492</v>
      </c>
      <c r="M41" t="s">
        <v>4450</v>
      </c>
    </row>
    <row r="42" spans="1:14" x14ac:dyDescent="0.35">
      <c r="A42" t="s">
        <v>4518</v>
      </c>
      <c r="B42" t="s">
        <v>171</v>
      </c>
      <c r="C42" t="s">
        <v>1904</v>
      </c>
      <c r="D42" t="s">
        <v>4452</v>
      </c>
      <c r="E42" t="s">
        <v>4473</v>
      </c>
      <c r="F42" s="3">
        <v>45739</v>
      </c>
      <c r="G42" s="3" t="s">
        <v>537</v>
      </c>
      <c r="I42">
        <v>8</v>
      </c>
      <c r="J42" t="s">
        <v>4440</v>
      </c>
      <c r="K42" t="s">
        <v>4453</v>
      </c>
      <c r="L42" t="s">
        <v>4454</v>
      </c>
      <c r="M42" t="s">
        <v>1625</v>
      </c>
    </row>
    <row r="43" spans="1:14" x14ac:dyDescent="0.35">
      <c r="A43" t="s">
        <v>4519</v>
      </c>
      <c r="B43" t="s">
        <v>372</v>
      </c>
      <c r="C43" t="s">
        <v>1904</v>
      </c>
      <c r="D43" t="s">
        <v>4476</v>
      </c>
      <c r="E43" t="s">
        <v>4473</v>
      </c>
      <c r="F43" s="3">
        <v>44988</v>
      </c>
      <c r="G43" s="3">
        <v>44988</v>
      </c>
      <c r="H43">
        <v>9.1</v>
      </c>
      <c r="I43">
        <v>8</v>
      </c>
      <c r="J43" t="s">
        <v>4440</v>
      </c>
      <c r="K43" t="s">
        <v>4441</v>
      </c>
      <c r="L43" t="s">
        <v>4480</v>
      </c>
      <c r="M43" t="s">
        <v>1625</v>
      </c>
      <c r="N43">
        <v>2</v>
      </c>
    </row>
    <row r="44" spans="1:14" x14ac:dyDescent="0.35">
      <c r="A44" t="s">
        <v>4520</v>
      </c>
      <c r="B44" t="s">
        <v>169</v>
      </c>
      <c r="C44" t="s">
        <v>1915</v>
      </c>
      <c r="D44" t="s">
        <v>4469</v>
      </c>
      <c r="E44" t="s">
        <v>4439</v>
      </c>
      <c r="F44" s="3">
        <v>45077</v>
      </c>
      <c r="G44" s="3" t="s">
        <v>537</v>
      </c>
      <c r="I44">
        <v>48</v>
      </c>
      <c r="J44" t="s">
        <v>4440</v>
      </c>
      <c r="K44" t="s">
        <v>4453</v>
      </c>
      <c r="L44" t="s">
        <v>4483</v>
      </c>
      <c r="M44" t="s">
        <v>4462</v>
      </c>
    </row>
    <row r="45" spans="1:14" x14ac:dyDescent="0.35">
      <c r="A45" t="s">
        <v>4521</v>
      </c>
      <c r="B45" t="s">
        <v>337</v>
      </c>
      <c r="C45" t="s">
        <v>1883</v>
      </c>
      <c r="D45" t="s">
        <v>4443</v>
      </c>
      <c r="E45" t="s">
        <v>4473</v>
      </c>
      <c r="F45" s="3">
        <v>45624</v>
      </c>
      <c r="G45" s="3" t="s">
        <v>537</v>
      </c>
      <c r="I45">
        <v>8</v>
      </c>
      <c r="J45" t="s">
        <v>4448</v>
      </c>
      <c r="K45" t="s">
        <v>4457</v>
      </c>
      <c r="L45" t="s">
        <v>4483</v>
      </c>
      <c r="M45" t="s">
        <v>1625</v>
      </c>
    </row>
    <row r="46" spans="1:14" x14ac:dyDescent="0.35">
      <c r="A46" t="s">
        <v>4522</v>
      </c>
      <c r="B46" t="s">
        <v>383</v>
      </c>
      <c r="C46" t="s">
        <v>1927</v>
      </c>
      <c r="D46" t="s">
        <v>4476</v>
      </c>
      <c r="E46" t="s">
        <v>4444</v>
      </c>
      <c r="F46" s="3">
        <v>45324</v>
      </c>
      <c r="G46" s="3" t="s">
        <v>537</v>
      </c>
      <c r="I46">
        <v>24</v>
      </c>
      <c r="J46" t="s">
        <v>4440</v>
      </c>
      <c r="K46" t="s">
        <v>4474</v>
      </c>
      <c r="L46" t="s">
        <v>4454</v>
      </c>
      <c r="M46" t="s">
        <v>4446</v>
      </c>
    </row>
    <row r="47" spans="1:14" x14ac:dyDescent="0.35">
      <c r="A47" t="s">
        <v>4523</v>
      </c>
      <c r="B47" t="s">
        <v>146</v>
      </c>
      <c r="C47" t="s">
        <v>1899</v>
      </c>
      <c r="D47" t="s">
        <v>4472</v>
      </c>
      <c r="E47" t="s">
        <v>4439</v>
      </c>
      <c r="F47" s="3">
        <v>45739</v>
      </c>
      <c r="G47" s="3">
        <v>45739</v>
      </c>
      <c r="H47">
        <v>11.9</v>
      </c>
      <c r="I47">
        <v>48</v>
      </c>
      <c r="J47" t="s">
        <v>4448</v>
      </c>
      <c r="K47" t="s">
        <v>4441</v>
      </c>
      <c r="L47" t="s">
        <v>4501</v>
      </c>
      <c r="M47" t="s">
        <v>4462</v>
      </c>
      <c r="N47">
        <v>5</v>
      </c>
    </row>
    <row r="48" spans="1:14" x14ac:dyDescent="0.35">
      <c r="A48" t="s">
        <v>4524</v>
      </c>
      <c r="B48" t="s">
        <v>101</v>
      </c>
      <c r="C48" t="s">
        <v>1927</v>
      </c>
      <c r="D48" t="s">
        <v>4490</v>
      </c>
      <c r="E48" t="s">
        <v>4439</v>
      </c>
      <c r="F48" s="3">
        <v>45551</v>
      </c>
      <c r="G48" s="3">
        <v>45552</v>
      </c>
      <c r="H48">
        <v>36.1</v>
      </c>
      <c r="I48">
        <v>48</v>
      </c>
      <c r="J48" t="s">
        <v>4448</v>
      </c>
      <c r="K48" t="s">
        <v>4441</v>
      </c>
      <c r="L48" t="s">
        <v>4449</v>
      </c>
      <c r="M48" t="s">
        <v>1625</v>
      </c>
      <c r="N48">
        <v>3</v>
      </c>
    </row>
    <row r="49" spans="1:14" x14ac:dyDescent="0.35">
      <c r="A49" t="s">
        <v>4525</v>
      </c>
      <c r="B49" t="s">
        <v>392</v>
      </c>
      <c r="C49" t="s">
        <v>1890</v>
      </c>
      <c r="D49" t="s">
        <v>4469</v>
      </c>
      <c r="E49" t="s">
        <v>4444</v>
      </c>
      <c r="F49" s="3">
        <v>45341</v>
      </c>
      <c r="G49" s="3">
        <v>45341</v>
      </c>
      <c r="H49">
        <v>14.4</v>
      </c>
      <c r="I49">
        <v>24</v>
      </c>
      <c r="J49" t="s">
        <v>4448</v>
      </c>
      <c r="K49" t="s">
        <v>4441</v>
      </c>
      <c r="L49" t="s">
        <v>4449</v>
      </c>
      <c r="M49" t="s">
        <v>4450</v>
      </c>
      <c r="N49">
        <v>2</v>
      </c>
    </row>
    <row r="50" spans="1:14" x14ac:dyDescent="0.35">
      <c r="A50" t="s">
        <v>4526</v>
      </c>
      <c r="B50" t="s">
        <v>485</v>
      </c>
      <c r="C50" t="s">
        <v>1899</v>
      </c>
      <c r="D50" t="s">
        <v>4438</v>
      </c>
      <c r="E50" t="s">
        <v>4439</v>
      </c>
      <c r="F50" s="3">
        <v>45474</v>
      </c>
      <c r="G50" s="3" t="s">
        <v>537</v>
      </c>
      <c r="I50">
        <v>48</v>
      </c>
      <c r="J50" t="s">
        <v>4440</v>
      </c>
      <c r="K50" t="s">
        <v>4474</v>
      </c>
      <c r="L50" t="s">
        <v>4527</v>
      </c>
      <c r="M50" t="s">
        <v>4462</v>
      </c>
    </row>
    <row r="51" spans="1:14" x14ac:dyDescent="0.35">
      <c r="A51" t="s">
        <v>4528</v>
      </c>
      <c r="B51" t="s">
        <v>258</v>
      </c>
      <c r="C51" t="s">
        <v>1883</v>
      </c>
      <c r="D51" t="s">
        <v>4490</v>
      </c>
      <c r="E51" t="s">
        <v>4473</v>
      </c>
      <c r="F51" s="3">
        <v>45007</v>
      </c>
      <c r="G51" s="3" t="s">
        <v>537</v>
      </c>
      <c r="I51">
        <v>8</v>
      </c>
      <c r="J51" t="s">
        <v>4440</v>
      </c>
      <c r="K51" t="s">
        <v>4474</v>
      </c>
      <c r="L51" t="s">
        <v>4445</v>
      </c>
      <c r="M51" t="s">
        <v>4462</v>
      </c>
    </row>
    <row r="52" spans="1:14" x14ac:dyDescent="0.35">
      <c r="A52" t="s">
        <v>4529</v>
      </c>
      <c r="B52" t="s">
        <v>173</v>
      </c>
      <c r="C52" t="s">
        <v>1904</v>
      </c>
      <c r="D52" t="s">
        <v>4490</v>
      </c>
      <c r="E52" t="s">
        <v>4456</v>
      </c>
      <c r="F52" s="3">
        <v>44978</v>
      </c>
      <c r="G52" s="3" t="s">
        <v>537</v>
      </c>
      <c r="I52">
        <v>4</v>
      </c>
      <c r="J52" t="s">
        <v>4440</v>
      </c>
      <c r="K52" t="s">
        <v>4457</v>
      </c>
      <c r="L52" t="s">
        <v>4483</v>
      </c>
      <c r="M52" t="s">
        <v>4446</v>
      </c>
    </row>
    <row r="53" spans="1:14" x14ac:dyDescent="0.35">
      <c r="A53" t="s">
        <v>4530</v>
      </c>
      <c r="B53" t="s">
        <v>126</v>
      </c>
      <c r="C53" t="s">
        <v>1904</v>
      </c>
      <c r="D53" t="s">
        <v>4479</v>
      </c>
      <c r="E53" t="s">
        <v>4444</v>
      </c>
      <c r="F53" s="3">
        <v>45618</v>
      </c>
      <c r="G53" s="3" t="s">
        <v>537</v>
      </c>
      <c r="I53">
        <v>24</v>
      </c>
      <c r="J53" t="s">
        <v>4448</v>
      </c>
      <c r="K53" t="s">
        <v>4457</v>
      </c>
      <c r="L53" t="s">
        <v>4527</v>
      </c>
      <c r="M53" t="s">
        <v>4446</v>
      </c>
    </row>
    <row r="54" spans="1:14" x14ac:dyDescent="0.35">
      <c r="A54" t="s">
        <v>4531</v>
      </c>
      <c r="B54" t="s">
        <v>400</v>
      </c>
      <c r="C54" t="s">
        <v>1904</v>
      </c>
      <c r="D54" t="s">
        <v>4482</v>
      </c>
      <c r="E54" t="s">
        <v>4456</v>
      </c>
      <c r="F54" s="3">
        <v>45008</v>
      </c>
      <c r="G54" s="3" t="s">
        <v>537</v>
      </c>
      <c r="I54">
        <v>4</v>
      </c>
      <c r="J54" t="s">
        <v>4440</v>
      </c>
      <c r="K54" t="s">
        <v>4457</v>
      </c>
      <c r="L54" t="s">
        <v>4501</v>
      </c>
      <c r="M54" t="s">
        <v>4450</v>
      </c>
    </row>
    <row r="55" spans="1:14" x14ac:dyDescent="0.35">
      <c r="A55" t="s">
        <v>4532</v>
      </c>
      <c r="B55" t="s">
        <v>120</v>
      </c>
      <c r="C55" t="s">
        <v>1899</v>
      </c>
      <c r="D55" t="s">
        <v>4476</v>
      </c>
      <c r="E55" t="s">
        <v>4473</v>
      </c>
      <c r="F55" s="3">
        <v>45387</v>
      </c>
      <c r="G55" s="3" t="s">
        <v>537</v>
      </c>
      <c r="I55">
        <v>8</v>
      </c>
      <c r="J55" t="s">
        <v>4440</v>
      </c>
      <c r="K55" t="s">
        <v>4474</v>
      </c>
      <c r="L55" t="s">
        <v>4533</v>
      </c>
      <c r="M55" t="s">
        <v>4450</v>
      </c>
    </row>
    <row r="56" spans="1:14" x14ac:dyDescent="0.35">
      <c r="A56" t="s">
        <v>4534</v>
      </c>
      <c r="B56" t="s">
        <v>381</v>
      </c>
      <c r="C56" t="s">
        <v>1904</v>
      </c>
      <c r="D56" t="s">
        <v>4472</v>
      </c>
      <c r="E56" t="s">
        <v>4473</v>
      </c>
      <c r="F56" s="3">
        <v>45537</v>
      </c>
      <c r="G56" s="3">
        <v>45537</v>
      </c>
      <c r="H56">
        <v>1.8</v>
      </c>
      <c r="I56">
        <v>8</v>
      </c>
      <c r="J56" t="s">
        <v>4448</v>
      </c>
      <c r="K56" t="s">
        <v>4441</v>
      </c>
      <c r="L56" t="s">
        <v>4454</v>
      </c>
      <c r="M56" t="s">
        <v>1625</v>
      </c>
      <c r="N56">
        <v>4</v>
      </c>
    </row>
    <row r="57" spans="1:14" x14ac:dyDescent="0.35">
      <c r="A57" t="s">
        <v>4535</v>
      </c>
      <c r="B57" t="s">
        <v>289</v>
      </c>
      <c r="C57" t="s">
        <v>1927</v>
      </c>
      <c r="D57" t="s">
        <v>4490</v>
      </c>
      <c r="E57" t="s">
        <v>4444</v>
      </c>
      <c r="F57" s="3">
        <v>45370</v>
      </c>
      <c r="G57" s="3">
        <v>45371</v>
      </c>
      <c r="H57">
        <v>47.2</v>
      </c>
      <c r="I57">
        <v>24</v>
      </c>
      <c r="J57" t="s">
        <v>4440</v>
      </c>
      <c r="K57" t="s">
        <v>4441</v>
      </c>
      <c r="L57" t="s">
        <v>4470</v>
      </c>
      <c r="M57" t="s">
        <v>4450</v>
      </c>
      <c r="N57">
        <v>5</v>
      </c>
    </row>
    <row r="58" spans="1:14" x14ac:dyDescent="0.35">
      <c r="A58" t="s">
        <v>4536</v>
      </c>
      <c r="B58" t="s">
        <v>242</v>
      </c>
      <c r="C58" t="s">
        <v>1927</v>
      </c>
      <c r="D58" t="s">
        <v>4438</v>
      </c>
      <c r="E58" t="s">
        <v>4473</v>
      </c>
      <c r="F58" s="3">
        <v>45118</v>
      </c>
      <c r="G58" s="3" t="s">
        <v>537</v>
      </c>
      <c r="I58">
        <v>8</v>
      </c>
      <c r="J58" t="s">
        <v>4448</v>
      </c>
      <c r="K58" t="s">
        <v>4474</v>
      </c>
      <c r="L58" t="s">
        <v>4492</v>
      </c>
      <c r="M58" t="s">
        <v>4450</v>
      </c>
    </row>
    <row r="59" spans="1:14" x14ac:dyDescent="0.35">
      <c r="A59" t="s">
        <v>4537</v>
      </c>
      <c r="B59" t="s">
        <v>82</v>
      </c>
      <c r="C59" t="s">
        <v>1915</v>
      </c>
      <c r="D59" t="s">
        <v>4472</v>
      </c>
      <c r="E59" t="s">
        <v>4473</v>
      </c>
      <c r="F59" s="3">
        <v>45035</v>
      </c>
      <c r="G59" s="3">
        <v>45035</v>
      </c>
      <c r="H59">
        <v>12.5</v>
      </c>
      <c r="I59">
        <v>8</v>
      </c>
      <c r="J59" t="s">
        <v>4440</v>
      </c>
      <c r="K59" t="s">
        <v>4441</v>
      </c>
      <c r="L59" t="s">
        <v>4467</v>
      </c>
      <c r="M59" t="s">
        <v>1625</v>
      </c>
      <c r="N59">
        <v>5</v>
      </c>
    </row>
    <row r="60" spans="1:14" x14ac:dyDescent="0.35">
      <c r="A60" t="s">
        <v>4538</v>
      </c>
      <c r="B60" t="s">
        <v>108</v>
      </c>
      <c r="C60" t="s">
        <v>1899</v>
      </c>
      <c r="D60" t="s">
        <v>4443</v>
      </c>
      <c r="E60" t="s">
        <v>4444</v>
      </c>
      <c r="F60" s="3">
        <v>45330</v>
      </c>
      <c r="G60" s="3" t="s">
        <v>537</v>
      </c>
      <c r="I60">
        <v>24</v>
      </c>
      <c r="J60" t="s">
        <v>4448</v>
      </c>
      <c r="K60" t="s">
        <v>4457</v>
      </c>
      <c r="L60" t="s">
        <v>1907</v>
      </c>
      <c r="M60" t="s">
        <v>1625</v>
      </c>
    </row>
    <row r="61" spans="1:14" x14ac:dyDescent="0.35">
      <c r="A61" t="s">
        <v>4539</v>
      </c>
      <c r="B61" t="s">
        <v>431</v>
      </c>
      <c r="C61" t="s">
        <v>1915</v>
      </c>
      <c r="D61" t="s">
        <v>4464</v>
      </c>
      <c r="E61" t="s">
        <v>4444</v>
      </c>
      <c r="F61" s="3">
        <v>45225</v>
      </c>
      <c r="G61" s="3">
        <v>45226</v>
      </c>
      <c r="H61">
        <v>41.2</v>
      </c>
      <c r="I61">
        <v>24</v>
      </c>
      <c r="J61" t="s">
        <v>4440</v>
      </c>
      <c r="K61" t="s">
        <v>4441</v>
      </c>
      <c r="L61" t="s">
        <v>4467</v>
      </c>
      <c r="M61" t="s">
        <v>1625</v>
      </c>
    </row>
    <row r="62" spans="1:14" x14ac:dyDescent="0.35">
      <c r="A62" t="s">
        <v>4540</v>
      </c>
      <c r="B62" t="s">
        <v>82</v>
      </c>
      <c r="C62" t="s">
        <v>1890</v>
      </c>
      <c r="D62" t="s">
        <v>4443</v>
      </c>
      <c r="E62" t="s">
        <v>4444</v>
      </c>
      <c r="F62" s="3">
        <v>45409</v>
      </c>
      <c r="G62" s="3">
        <v>45410</v>
      </c>
      <c r="H62">
        <v>27.4</v>
      </c>
      <c r="I62">
        <v>24</v>
      </c>
      <c r="J62" t="s">
        <v>4440</v>
      </c>
      <c r="K62" t="s">
        <v>4441</v>
      </c>
      <c r="L62" t="s">
        <v>4483</v>
      </c>
      <c r="M62" t="s">
        <v>4446</v>
      </c>
      <c r="N62">
        <v>5</v>
      </c>
    </row>
    <row r="63" spans="1:14" x14ac:dyDescent="0.35">
      <c r="A63" t="s">
        <v>4541</v>
      </c>
      <c r="B63" t="s">
        <v>390</v>
      </c>
      <c r="C63" t="s">
        <v>1927</v>
      </c>
      <c r="D63" t="s">
        <v>4460</v>
      </c>
      <c r="E63" t="s">
        <v>4439</v>
      </c>
      <c r="F63" s="3">
        <v>45549</v>
      </c>
      <c r="G63" s="3" t="s">
        <v>537</v>
      </c>
      <c r="I63">
        <v>48</v>
      </c>
      <c r="J63" t="s">
        <v>4440</v>
      </c>
      <c r="K63" t="s">
        <v>4457</v>
      </c>
      <c r="L63" t="s">
        <v>4514</v>
      </c>
      <c r="M63" t="s">
        <v>4462</v>
      </c>
    </row>
    <row r="64" spans="1:14" x14ac:dyDescent="0.35">
      <c r="A64" t="s">
        <v>4542</v>
      </c>
      <c r="B64" t="s">
        <v>236</v>
      </c>
      <c r="C64" t="s">
        <v>1899</v>
      </c>
      <c r="D64" t="s">
        <v>4490</v>
      </c>
      <c r="E64" t="s">
        <v>4444</v>
      </c>
      <c r="F64" s="3">
        <v>45403</v>
      </c>
      <c r="G64" s="3" t="s">
        <v>537</v>
      </c>
      <c r="I64">
        <v>24</v>
      </c>
      <c r="J64" t="s">
        <v>4440</v>
      </c>
      <c r="K64" t="s">
        <v>4474</v>
      </c>
      <c r="L64" t="s">
        <v>4512</v>
      </c>
      <c r="M64" t="s">
        <v>4450</v>
      </c>
    </row>
    <row r="65" spans="1:14" x14ac:dyDescent="0.35">
      <c r="A65" t="s">
        <v>4543</v>
      </c>
      <c r="B65" t="s">
        <v>191</v>
      </c>
      <c r="C65" t="s">
        <v>1915</v>
      </c>
      <c r="D65" t="s">
        <v>4479</v>
      </c>
      <c r="E65" t="s">
        <v>4456</v>
      </c>
      <c r="F65" s="3">
        <v>45681</v>
      </c>
      <c r="G65" s="3" t="s">
        <v>537</v>
      </c>
      <c r="I65">
        <v>4</v>
      </c>
      <c r="J65" t="s">
        <v>4440</v>
      </c>
      <c r="K65" t="s">
        <v>4474</v>
      </c>
      <c r="L65" t="s">
        <v>4533</v>
      </c>
      <c r="M65" t="s">
        <v>1625</v>
      </c>
    </row>
    <row r="66" spans="1:14" x14ac:dyDescent="0.35">
      <c r="A66" t="s">
        <v>4544</v>
      </c>
      <c r="B66" t="s">
        <v>351</v>
      </c>
      <c r="C66" t="s">
        <v>1927</v>
      </c>
      <c r="D66" t="s">
        <v>4479</v>
      </c>
      <c r="E66" t="s">
        <v>4439</v>
      </c>
      <c r="F66" s="3">
        <v>45231</v>
      </c>
      <c r="G66" s="3" t="s">
        <v>537</v>
      </c>
      <c r="I66">
        <v>48</v>
      </c>
      <c r="J66" t="s">
        <v>4440</v>
      </c>
      <c r="K66" t="s">
        <v>4457</v>
      </c>
      <c r="L66" t="s">
        <v>4514</v>
      </c>
      <c r="M66" t="s">
        <v>4462</v>
      </c>
    </row>
    <row r="67" spans="1:14" x14ac:dyDescent="0.35">
      <c r="A67" t="s">
        <v>4545</v>
      </c>
      <c r="B67" t="s">
        <v>411</v>
      </c>
      <c r="C67" t="s">
        <v>1904</v>
      </c>
      <c r="D67" t="s">
        <v>4438</v>
      </c>
      <c r="E67" t="s">
        <v>4473</v>
      </c>
      <c r="F67" s="3">
        <v>45052</v>
      </c>
      <c r="G67" s="3">
        <v>45052</v>
      </c>
      <c r="H67">
        <v>9.6999999999999993</v>
      </c>
      <c r="I67">
        <v>8</v>
      </c>
      <c r="J67" t="s">
        <v>4440</v>
      </c>
      <c r="K67" t="s">
        <v>4441</v>
      </c>
      <c r="L67" t="s">
        <v>4458</v>
      </c>
      <c r="M67" t="s">
        <v>1625</v>
      </c>
      <c r="N67">
        <v>5</v>
      </c>
    </row>
    <row r="68" spans="1:14" x14ac:dyDescent="0.35">
      <c r="A68" t="s">
        <v>4546</v>
      </c>
      <c r="B68" t="s">
        <v>18</v>
      </c>
      <c r="C68" t="s">
        <v>1927</v>
      </c>
      <c r="D68" t="s">
        <v>4460</v>
      </c>
      <c r="E68" t="s">
        <v>4473</v>
      </c>
      <c r="F68" s="3">
        <v>45412</v>
      </c>
      <c r="G68" s="3">
        <v>45412</v>
      </c>
      <c r="H68">
        <v>3.8</v>
      </c>
      <c r="I68">
        <v>8</v>
      </c>
      <c r="J68" t="s">
        <v>4448</v>
      </c>
      <c r="K68" t="s">
        <v>4441</v>
      </c>
      <c r="L68" t="s">
        <v>4445</v>
      </c>
      <c r="M68" t="s">
        <v>4450</v>
      </c>
      <c r="N68">
        <v>3</v>
      </c>
    </row>
    <row r="69" spans="1:14" x14ac:dyDescent="0.35">
      <c r="A69" t="s">
        <v>4547</v>
      </c>
      <c r="B69" t="s">
        <v>135</v>
      </c>
      <c r="C69" t="s">
        <v>1915</v>
      </c>
      <c r="D69" t="s">
        <v>4485</v>
      </c>
      <c r="E69" t="s">
        <v>4444</v>
      </c>
      <c r="F69" s="3">
        <v>45680</v>
      </c>
      <c r="G69" s="3">
        <v>45680</v>
      </c>
      <c r="H69">
        <v>19.100000000000001</v>
      </c>
      <c r="I69">
        <v>24</v>
      </c>
      <c r="J69" t="s">
        <v>4448</v>
      </c>
      <c r="K69" t="s">
        <v>4441</v>
      </c>
      <c r="L69" t="s">
        <v>4509</v>
      </c>
      <c r="M69" t="s">
        <v>1625</v>
      </c>
      <c r="N69">
        <v>2</v>
      </c>
    </row>
    <row r="70" spans="1:14" x14ac:dyDescent="0.35">
      <c r="A70" t="s">
        <v>4548</v>
      </c>
      <c r="B70" t="s">
        <v>38</v>
      </c>
      <c r="C70" t="s">
        <v>1904</v>
      </c>
      <c r="D70" t="s">
        <v>4438</v>
      </c>
      <c r="E70" t="s">
        <v>4439</v>
      </c>
      <c r="F70" s="3">
        <v>45127</v>
      </c>
      <c r="G70" s="3">
        <v>45127</v>
      </c>
      <c r="H70">
        <v>22.6</v>
      </c>
      <c r="I70">
        <v>48</v>
      </c>
      <c r="J70" t="s">
        <v>4448</v>
      </c>
      <c r="K70" t="s">
        <v>4441</v>
      </c>
      <c r="L70" t="s">
        <v>4458</v>
      </c>
      <c r="M70" t="s">
        <v>1625</v>
      </c>
      <c r="N70">
        <v>3</v>
      </c>
    </row>
    <row r="71" spans="1:14" x14ac:dyDescent="0.35">
      <c r="A71" t="s">
        <v>4549</v>
      </c>
      <c r="B71" t="s">
        <v>357</v>
      </c>
      <c r="C71" t="s">
        <v>1899</v>
      </c>
      <c r="D71" t="s">
        <v>4476</v>
      </c>
      <c r="E71" t="s">
        <v>4473</v>
      </c>
      <c r="F71" s="3">
        <v>45528</v>
      </c>
      <c r="G71" s="3" t="s">
        <v>537</v>
      </c>
      <c r="I71">
        <v>8</v>
      </c>
      <c r="J71" t="s">
        <v>4440</v>
      </c>
      <c r="K71" t="s">
        <v>4457</v>
      </c>
      <c r="L71" t="s">
        <v>4480</v>
      </c>
      <c r="M71" t="s">
        <v>1625</v>
      </c>
    </row>
    <row r="72" spans="1:14" x14ac:dyDescent="0.35">
      <c r="A72" t="s">
        <v>4550</v>
      </c>
      <c r="B72" t="s">
        <v>401</v>
      </c>
      <c r="C72" t="s">
        <v>1915</v>
      </c>
      <c r="D72" t="s">
        <v>4490</v>
      </c>
      <c r="E72" t="s">
        <v>4439</v>
      </c>
      <c r="F72" s="3">
        <v>45734</v>
      </c>
      <c r="G72" s="3">
        <v>45736</v>
      </c>
      <c r="H72">
        <v>64.099999999999994</v>
      </c>
      <c r="I72">
        <v>48</v>
      </c>
      <c r="J72" t="s">
        <v>4440</v>
      </c>
      <c r="K72" t="s">
        <v>4441</v>
      </c>
      <c r="L72" t="s">
        <v>4449</v>
      </c>
      <c r="M72" t="s">
        <v>4462</v>
      </c>
    </row>
    <row r="73" spans="1:14" x14ac:dyDescent="0.35">
      <c r="A73" t="s">
        <v>4551</v>
      </c>
      <c r="B73" t="s">
        <v>361</v>
      </c>
      <c r="C73" t="s">
        <v>1915</v>
      </c>
      <c r="D73" t="s">
        <v>4443</v>
      </c>
      <c r="E73" t="s">
        <v>4444</v>
      </c>
      <c r="F73" s="3">
        <v>45379</v>
      </c>
      <c r="G73" s="3" t="s">
        <v>537</v>
      </c>
      <c r="I73">
        <v>24</v>
      </c>
      <c r="J73" t="s">
        <v>4440</v>
      </c>
      <c r="K73" t="s">
        <v>4474</v>
      </c>
      <c r="L73" t="s">
        <v>4492</v>
      </c>
      <c r="M73" t="s">
        <v>4462</v>
      </c>
    </row>
    <row r="74" spans="1:14" x14ac:dyDescent="0.35">
      <c r="A74" t="s">
        <v>4552</v>
      </c>
      <c r="B74" t="s">
        <v>152</v>
      </c>
      <c r="C74" t="s">
        <v>1927</v>
      </c>
      <c r="D74" t="s">
        <v>4479</v>
      </c>
      <c r="E74" t="s">
        <v>4444</v>
      </c>
      <c r="F74" s="3">
        <v>45035</v>
      </c>
      <c r="G74" s="3" t="s">
        <v>537</v>
      </c>
      <c r="I74">
        <v>24</v>
      </c>
      <c r="J74" t="s">
        <v>4448</v>
      </c>
      <c r="K74" t="s">
        <v>4457</v>
      </c>
      <c r="L74" t="s">
        <v>4483</v>
      </c>
      <c r="M74" t="s">
        <v>4450</v>
      </c>
    </row>
    <row r="75" spans="1:14" x14ac:dyDescent="0.35">
      <c r="A75" t="s">
        <v>4553</v>
      </c>
      <c r="B75" t="s">
        <v>279</v>
      </c>
      <c r="C75" t="s">
        <v>1890</v>
      </c>
      <c r="D75" t="s">
        <v>4476</v>
      </c>
      <c r="E75" t="s">
        <v>4444</v>
      </c>
      <c r="F75" s="3">
        <v>44966</v>
      </c>
      <c r="G75" s="3" t="s">
        <v>537</v>
      </c>
      <c r="I75">
        <v>24</v>
      </c>
      <c r="J75" t="s">
        <v>4448</v>
      </c>
      <c r="K75" t="s">
        <v>4457</v>
      </c>
      <c r="L75" t="s">
        <v>4449</v>
      </c>
      <c r="M75" t="s">
        <v>4450</v>
      </c>
    </row>
    <row r="76" spans="1:14" x14ac:dyDescent="0.35">
      <c r="A76" t="s">
        <v>4554</v>
      </c>
      <c r="B76" t="s">
        <v>200</v>
      </c>
      <c r="C76" t="s">
        <v>1899</v>
      </c>
      <c r="D76" t="s">
        <v>4460</v>
      </c>
      <c r="E76" t="s">
        <v>4473</v>
      </c>
      <c r="F76" s="3">
        <v>45174</v>
      </c>
      <c r="G76" s="3">
        <v>45174</v>
      </c>
      <c r="H76">
        <v>8.6</v>
      </c>
      <c r="I76">
        <v>8</v>
      </c>
      <c r="J76" t="s">
        <v>1945</v>
      </c>
      <c r="K76" t="s">
        <v>4441</v>
      </c>
      <c r="L76" t="s">
        <v>4488</v>
      </c>
      <c r="M76" t="s">
        <v>4450</v>
      </c>
      <c r="N76">
        <v>4</v>
      </c>
    </row>
    <row r="77" spans="1:14" x14ac:dyDescent="0.35">
      <c r="A77" t="s">
        <v>4555</v>
      </c>
      <c r="B77" t="s">
        <v>120</v>
      </c>
      <c r="C77" t="s">
        <v>1890</v>
      </c>
      <c r="D77" t="s">
        <v>4460</v>
      </c>
      <c r="E77" t="s">
        <v>4444</v>
      </c>
      <c r="F77" s="3">
        <v>45269</v>
      </c>
      <c r="G77" s="3">
        <v>45269</v>
      </c>
      <c r="H77">
        <v>16.5</v>
      </c>
      <c r="I77">
        <v>24</v>
      </c>
      <c r="J77" t="s">
        <v>4448</v>
      </c>
      <c r="K77" t="s">
        <v>4441</v>
      </c>
      <c r="L77" t="s">
        <v>4449</v>
      </c>
      <c r="M77" t="s">
        <v>4462</v>
      </c>
      <c r="N77">
        <v>2</v>
      </c>
    </row>
    <row r="78" spans="1:14" x14ac:dyDescent="0.35">
      <c r="A78" t="s">
        <v>4556</v>
      </c>
      <c r="B78" t="s">
        <v>122</v>
      </c>
      <c r="C78" t="s">
        <v>1904</v>
      </c>
      <c r="D78" t="s">
        <v>4490</v>
      </c>
      <c r="E78" t="s">
        <v>4473</v>
      </c>
      <c r="F78" s="3">
        <v>45016</v>
      </c>
      <c r="G78" s="3" t="s">
        <v>537</v>
      </c>
      <c r="I78">
        <v>8</v>
      </c>
      <c r="J78" t="s">
        <v>4448</v>
      </c>
      <c r="K78" t="s">
        <v>4474</v>
      </c>
      <c r="L78" t="s">
        <v>4465</v>
      </c>
      <c r="M78" t="s">
        <v>1625</v>
      </c>
    </row>
    <row r="79" spans="1:14" x14ac:dyDescent="0.35">
      <c r="A79" t="s">
        <v>4557</v>
      </c>
      <c r="B79" t="s">
        <v>498</v>
      </c>
      <c r="C79" t="s">
        <v>1915</v>
      </c>
      <c r="D79" t="s">
        <v>4472</v>
      </c>
      <c r="E79" t="s">
        <v>4444</v>
      </c>
      <c r="F79" s="3">
        <v>45501</v>
      </c>
      <c r="G79" s="3">
        <v>45502</v>
      </c>
      <c r="H79">
        <v>31</v>
      </c>
      <c r="I79">
        <v>24</v>
      </c>
      <c r="J79" t="s">
        <v>4440</v>
      </c>
      <c r="K79" t="s">
        <v>4441</v>
      </c>
      <c r="L79" t="s">
        <v>4488</v>
      </c>
      <c r="M79" t="s">
        <v>4446</v>
      </c>
      <c r="N79">
        <v>4</v>
      </c>
    </row>
    <row r="80" spans="1:14" x14ac:dyDescent="0.35">
      <c r="A80" t="s">
        <v>4558</v>
      </c>
      <c r="B80" t="s">
        <v>473</v>
      </c>
      <c r="C80" t="s">
        <v>1915</v>
      </c>
      <c r="D80" t="s">
        <v>4490</v>
      </c>
      <c r="E80" t="s">
        <v>4473</v>
      </c>
      <c r="F80" s="3">
        <v>45703</v>
      </c>
      <c r="G80" s="3">
        <v>45703</v>
      </c>
      <c r="H80">
        <v>3</v>
      </c>
      <c r="I80">
        <v>8</v>
      </c>
      <c r="J80" t="s">
        <v>4448</v>
      </c>
      <c r="K80" t="s">
        <v>4441</v>
      </c>
      <c r="L80" t="s">
        <v>4461</v>
      </c>
      <c r="M80" t="s">
        <v>4446</v>
      </c>
      <c r="N80">
        <v>4</v>
      </c>
    </row>
    <row r="81" spans="1:14" x14ac:dyDescent="0.35">
      <c r="A81" t="s">
        <v>4559</v>
      </c>
      <c r="B81" t="s">
        <v>214</v>
      </c>
      <c r="C81" t="s">
        <v>1904</v>
      </c>
      <c r="D81" t="s">
        <v>4469</v>
      </c>
      <c r="E81" t="s">
        <v>4444</v>
      </c>
      <c r="F81" s="3">
        <v>45170</v>
      </c>
      <c r="G81" s="3" t="s">
        <v>537</v>
      </c>
      <c r="I81">
        <v>24</v>
      </c>
      <c r="J81" t="s">
        <v>4440</v>
      </c>
      <c r="K81" t="s">
        <v>4457</v>
      </c>
      <c r="L81" t="s">
        <v>4470</v>
      </c>
      <c r="M81" t="s">
        <v>4446</v>
      </c>
    </row>
    <row r="82" spans="1:14" x14ac:dyDescent="0.35">
      <c r="A82" t="s">
        <v>4560</v>
      </c>
      <c r="B82" t="s">
        <v>400</v>
      </c>
      <c r="C82" t="s">
        <v>1927</v>
      </c>
      <c r="D82" t="s">
        <v>4452</v>
      </c>
      <c r="E82" t="s">
        <v>4473</v>
      </c>
      <c r="F82" s="3">
        <v>45123</v>
      </c>
      <c r="G82" s="3">
        <v>45123</v>
      </c>
      <c r="H82">
        <v>2.4</v>
      </c>
      <c r="I82">
        <v>8</v>
      </c>
      <c r="J82" t="s">
        <v>4448</v>
      </c>
      <c r="K82" t="s">
        <v>4441</v>
      </c>
      <c r="L82" t="s">
        <v>4492</v>
      </c>
      <c r="M82" t="s">
        <v>1625</v>
      </c>
    </row>
    <row r="83" spans="1:14" x14ac:dyDescent="0.35">
      <c r="A83" t="s">
        <v>4561</v>
      </c>
      <c r="B83" t="s">
        <v>131</v>
      </c>
      <c r="C83" t="s">
        <v>1883</v>
      </c>
      <c r="D83" t="s">
        <v>4460</v>
      </c>
      <c r="E83" t="s">
        <v>4444</v>
      </c>
      <c r="F83" s="3">
        <v>45568</v>
      </c>
      <c r="G83" s="3">
        <v>45568</v>
      </c>
      <c r="H83">
        <v>5.0999999999999996</v>
      </c>
      <c r="I83">
        <v>24</v>
      </c>
      <c r="J83" t="s">
        <v>4448</v>
      </c>
      <c r="K83" t="s">
        <v>4441</v>
      </c>
      <c r="L83" t="s">
        <v>4501</v>
      </c>
      <c r="M83" t="s">
        <v>1625</v>
      </c>
      <c r="N83">
        <v>5</v>
      </c>
    </row>
    <row r="84" spans="1:14" x14ac:dyDescent="0.35">
      <c r="A84" t="s">
        <v>4562</v>
      </c>
      <c r="B84" t="s">
        <v>110</v>
      </c>
      <c r="C84" t="s">
        <v>1883</v>
      </c>
      <c r="D84" t="s">
        <v>4452</v>
      </c>
      <c r="E84" t="s">
        <v>4473</v>
      </c>
      <c r="F84" s="3">
        <v>45294</v>
      </c>
      <c r="G84" s="3" t="s">
        <v>537</v>
      </c>
      <c r="I84">
        <v>8</v>
      </c>
      <c r="J84" t="s">
        <v>4440</v>
      </c>
      <c r="K84" t="s">
        <v>4453</v>
      </c>
      <c r="L84" t="s">
        <v>4461</v>
      </c>
      <c r="M84" t="s">
        <v>4446</v>
      </c>
    </row>
    <row r="85" spans="1:14" x14ac:dyDescent="0.35">
      <c r="A85" t="s">
        <v>4563</v>
      </c>
      <c r="B85" t="s">
        <v>350</v>
      </c>
      <c r="C85" t="s">
        <v>1904</v>
      </c>
      <c r="D85" t="s">
        <v>4464</v>
      </c>
      <c r="E85" t="s">
        <v>4439</v>
      </c>
      <c r="F85" s="3">
        <v>45235</v>
      </c>
      <c r="G85" s="3">
        <v>45236</v>
      </c>
      <c r="H85">
        <v>37.9</v>
      </c>
      <c r="I85">
        <v>48</v>
      </c>
      <c r="J85" t="s">
        <v>1945</v>
      </c>
      <c r="K85" t="s">
        <v>4441</v>
      </c>
      <c r="L85" t="s">
        <v>4470</v>
      </c>
      <c r="M85" t="s">
        <v>4450</v>
      </c>
    </row>
    <row r="86" spans="1:14" x14ac:dyDescent="0.35">
      <c r="A86" t="s">
        <v>4564</v>
      </c>
      <c r="B86" t="s">
        <v>138</v>
      </c>
      <c r="C86" t="s">
        <v>1883</v>
      </c>
      <c r="D86" t="s">
        <v>4438</v>
      </c>
      <c r="E86" t="s">
        <v>4444</v>
      </c>
      <c r="F86" s="3">
        <v>45370</v>
      </c>
      <c r="G86" s="3">
        <v>45371</v>
      </c>
      <c r="H86">
        <v>33.299999999999997</v>
      </c>
      <c r="I86">
        <v>24</v>
      </c>
      <c r="J86" t="s">
        <v>4440</v>
      </c>
      <c r="K86" t="s">
        <v>4441</v>
      </c>
      <c r="L86" t="s">
        <v>4501</v>
      </c>
      <c r="M86" t="s">
        <v>1625</v>
      </c>
    </row>
    <row r="87" spans="1:14" x14ac:dyDescent="0.35">
      <c r="A87" t="s">
        <v>4565</v>
      </c>
      <c r="B87" t="s">
        <v>453</v>
      </c>
      <c r="C87" t="s">
        <v>1915</v>
      </c>
      <c r="D87" t="s">
        <v>4485</v>
      </c>
      <c r="E87" t="s">
        <v>4439</v>
      </c>
      <c r="F87" s="3">
        <v>44987</v>
      </c>
      <c r="G87" s="3" t="s">
        <v>537</v>
      </c>
      <c r="I87">
        <v>48</v>
      </c>
      <c r="J87" t="s">
        <v>4448</v>
      </c>
      <c r="K87" t="s">
        <v>4474</v>
      </c>
      <c r="L87" t="s">
        <v>4483</v>
      </c>
      <c r="M87" t="s">
        <v>1625</v>
      </c>
    </row>
    <row r="88" spans="1:14" x14ac:dyDescent="0.35">
      <c r="A88" t="s">
        <v>4566</v>
      </c>
      <c r="B88" t="s">
        <v>255</v>
      </c>
      <c r="C88" t="s">
        <v>1915</v>
      </c>
      <c r="D88" t="s">
        <v>4482</v>
      </c>
      <c r="E88" t="s">
        <v>4444</v>
      </c>
      <c r="F88" s="3">
        <v>45046</v>
      </c>
      <c r="G88" s="3">
        <v>45046</v>
      </c>
      <c r="H88">
        <v>2.7</v>
      </c>
      <c r="I88">
        <v>24</v>
      </c>
      <c r="J88" t="s">
        <v>4448</v>
      </c>
      <c r="K88" t="s">
        <v>4441</v>
      </c>
      <c r="L88" t="s">
        <v>4449</v>
      </c>
      <c r="M88" t="s">
        <v>4450</v>
      </c>
      <c r="N88">
        <v>3</v>
      </c>
    </row>
    <row r="89" spans="1:14" x14ac:dyDescent="0.35">
      <c r="A89" t="s">
        <v>4567</v>
      </c>
      <c r="B89" t="s">
        <v>410</v>
      </c>
      <c r="C89" t="s">
        <v>1915</v>
      </c>
      <c r="D89" t="s">
        <v>4438</v>
      </c>
      <c r="E89" t="s">
        <v>4444</v>
      </c>
      <c r="F89" s="3">
        <v>45647</v>
      </c>
      <c r="G89" s="3">
        <v>45648</v>
      </c>
      <c r="H89">
        <v>25.5</v>
      </c>
      <c r="I89">
        <v>24</v>
      </c>
      <c r="J89" t="s">
        <v>1945</v>
      </c>
      <c r="K89" t="s">
        <v>4441</v>
      </c>
      <c r="L89" t="s">
        <v>4514</v>
      </c>
      <c r="M89" t="s">
        <v>4446</v>
      </c>
      <c r="N89">
        <v>3</v>
      </c>
    </row>
    <row r="90" spans="1:14" x14ac:dyDescent="0.35">
      <c r="A90" t="s">
        <v>4568</v>
      </c>
      <c r="B90" t="s">
        <v>188</v>
      </c>
      <c r="C90" t="s">
        <v>1883</v>
      </c>
      <c r="D90" t="s">
        <v>4476</v>
      </c>
      <c r="E90" t="s">
        <v>4444</v>
      </c>
      <c r="F90" s="3">
        <v>45540</v>
      </c>
      <c r="G90" s="3">
        <v>45540</v>
      </c>
      <c r="H90">
        <v>12.3</v>
      </c>
      <c r="I90">
        <v>24</v>
      </c>
      <c r="J90" t="s">
        <v>4448</v>
      </c>
      <c r="K90" t="s">
        <v>4441</v>
      </c>
      <c r="L90" t="s">
        <v>1907</v>
      </c>
      <c r="M90" t="s">
        <v>4446</v>
      </c>
    </row>
    <row r="91" spans="1:14" x14ac:dyDescent="0.35">
      <c r="A91" t="s">
        <v>4569</v>
      </c>
      <c r="B91" t="s">
        <v>226</v>
      </c>
      <c r="C91" t="s">
        <v>1915</v>
      </c>
      <c r="D91" t="s">
        <v>4443</v>
      </c>
      <c r="E91" t="s">
        <v>4473</v>
      </c>
      <c r="F91" s="3">
        <v>45625</v>
      </c>
      <c r="G91" s="3">
        <v>45625</v>
      </c>
      <c r="H91">
        <v>9.1999999999999993</v>
      </c>
      <c r="I91">
        <v>8</v>
      </c>
      <c r="J91" t="s">
        <v>4440</v>
      </c>
      <c r="K91" t="s">
        <v>4441</v>
      </c>
      <c r="L91" t="s">
        <v>4527</v>
      </c>
      <c r="M91" t="s">
        <v>4446</v>
      </c>
      <c r="N91">
        <v>3</v>
      </c>
    </row>
    <row r="92" spans="1:14" x14ac:dyDescent="0.35">
      <c r="A92" t="s">
        <v>4570</v>
      </c>
      <c r="B92" t="s">
        <v>446</v>
      </c>
      <c r="C92" t="s">
        <v>1927</v>
      </c>
      <c r="D92" t="s">
        <v>4476</v>
      </c>
      <c r="E92" t="s">
        <v>4444</v>
      </c>
      <c r="F92" s="3">
        <v>45721</v>
      </c>
      <c r="G92" s="3" t="s">
        <v>537</v>
      </c>
      <c r="I92">
        <v>24</v>
      </c>
      <c r="J92" t="s">
        <v>4440</v>
      </c>
      <c r="K92" t="s">
        <v>4453</v>
      </c>
      <c r="L92" t="s">
        <v>4512</v>
      </c>
      <c r="M92" t="s">
        <v>4450</v>
      </c>
    </row>
    <row r="93" spans="1:14" x14ac:dyDescent="0.35">
      <c r="A93" t="s">
        <v>4571</v>
      </c>
      <c r="B93" t="s">
        <v>334</v>
      </c>
      <c r="C93" t="s">
        <v>1904</v>
      </c>
      <c r="D93" t="s">
        <v>4469</v>
      </c>
      <c r="E93" t="s">
        <v>4444</v>
      </c>
      <c r="F93" s="3">
        <v>45424</v>
      </c>
      <c r="G93" s="3" t="s">
        <v>537</v>
      </c>
      <c r="I93">
        <v>24</v>
      </c>
      <c r="J93" t="s">
        <v>4448</v>
      </c>
      <c r="K93" t="s">
        <v>4474</v>
      </c>
      <c r="L93" t="s">
        <v>4483</v>
      </c>
      <c r="M93" t="s">
        <v>4450</v>
      </c>
    </row>
    <row r="94" spans="1:14" x14ac:dyDescent="0.35">
      <c r="A94" t="s">
        <v>4572</v>
      </c>
      <c r="B94" t="s">
        <v>116</v>
      </c>
      <c r="C94" t="s">
        <v>1904</v>
      </c>
      <c r="D94" t="s">
        <v>4490</v>
      </c>
      <c r="E94" t="s">
        <v>4473</v>
      </c>
      <c r="F94" s="3">
        <v>45255</v>
      </c>
      <c r="G94" s="3">
        <v>45255</v>
      </c>
      <c r="H94">
        <v>5</v>
      </c>
      <c r="I94">
        <v>8</v>
      </c>
      <c r="J94" t="s">
        <v>4448</v>
      </c>
      <c r="K94" t="s">
        <v>4441</v>
      </c>
      <c r="L94" t="s">
        <v>4501</v>
      </c>
      <c r="M94" t="s">
        <v>4446</v>
      </c>
    </row>
    <row r="95" spans="1:14" x14ac:dyDescent="0.35">
      <c r="A95" t="s">
        <v>4573</v>
      </c>
      <c r="B95" t="s">
        <v>481</v>
      </c>
      <c r="C95" t="s">
        <v>1883</v>
      </c>
      <c r="D95" t="s">
        <v>4476</v>
      </c>
      <c r="E95" t="s">
        <v>4439</v>
      </c>
      <c r="F95" s="3">
        <v>45249</v>
      </c>
      <c r="G95" s="3" t="s">
        <v>537</v>
      </c>
      <c r="I95">
        <v>48</v>
      </c>
      <c r="J95" t="s">
        <v>4448</v>
      </c>
      <c r="K95" t="s">
        <v>4474</v>
      </c>
      <c r="L95" t="s">
        <v>4454</v>
      </c>
      <c r="M95" t="s">
        <v>4450</v>
      </c>
    </row>
    <row r="96" spans="1:14" x14ac:dyDescent="0.35">
      <c r="A96" t="s">
        <v>4574</v>
      </c>
      <c r="B96" t="s">
        <v>292</v>
      </c>
      <c r="C96" t="s">
        <v>1883</v>
      </c>
      <c r="D96" t="s">
        <v>4479</v>
      </c>
      <c r="E96" t="s">
        <v>4439</v>
      </c>
      <c r="F96" s="3">
        <v>45214</v>
      </c>
      <c r="G96" s="3" t="s">
        <v>537</v>
      </c>
      <c r="I96">
        <v>48</v>
      </c>
      <c r="J96" t="s">
        <v>4448</v>
      </c>
      <c r="K96" t="s">
        <v>4474</v>
      </c>
      <c r="L96" t="s">
        <v>4514</v>
      </c>
      <c r="M96" t="s">
        <v>4446</v>
      </c>
    </row>
    <row r="97" spans="1:14" x14ac:dyDescent="0.35">
      <c r="A97" t="s">
        <v>4575</v>
      </c>
      <c r="B97" t="s">
        <v>299</v>
      </c>
      <c r="C97" t="s">
        <v>1883</v>
      </c>
      <c r="D97" t="s">
        <v>4482</v>
      </c>
      <c r="E97" t="s">
        <v>4439</v>
      </c>
      <c r="F97" s="3">
        <v>45709</v>
      </c>
      <c r="G97" s="3" t="s">
        <v>537</v>
      </c>
      <c r="I97">
        <v>48</v>
      </c>
      <c r="J97" t="s">
        <v>4440</v>
      </c>
      <c r="K97" t="s">
        <v>4457</v>
      </c>
      <c r="L97" t="s">
        <v>4449</v>
      </c>
      <c r="M97" t="s">
        <v>4462</v>
      </c>
    </row>
    <row r="98" spans="1:14" x14ac:dyDescent="0.35">
      <c r="A98" t="s">
        <v>4576</v>
      </c>
      <c r="B98" t="s">
        <v>207</v>
      </c>
      <c r="C98" t="s">
        <v>1899</v>
      </c>
      <c r="D98" t="s">
        <v>4460</v>
      </c>
      <c r="E98" t="s">
        <v>4456</v>
      </c>
      <c r="F98" s="3">
        <v>45506</v>
      </c>
      <c r="G98" s="3" t="s">
        <v>537</v>
      </c>
      <c r="I98">
        <v>4</v>
      </c>
      <c r="J98" t="s">
        <v>4448</v>
      </c>
      <c r="K98" t="s">
        <v>4453</v>
      </c>
      <c r="L98" t="s">
        <v>4533</v>
      </c>
      <c r="M98" t="s">
        <v>4450</v>
      </c>
    </row>
    <row r="99" spans="1:14" x14ac:dyDescent="0.35">
      <c r="A99" t="s">
        <v>4577</v>
      </c>
      <c r="B99" t="s">
        <v>362</v>
      </c>
      <c r="C99" t="s">
        <v>1915</v>
      </c>
      <c r="D99" t="s">
        <v>4476</v>
      </c>
      <c r="E99" t="s">
        <v>4473</v>
      </c>
      <c r="F99" s="3">
        <v>45220</v>
      </c>
      <c r="G99" s="3">
        <v>45220</v>
      </c>
      <c r="H99">
        <v>19.100000000000001</v>
      </c>
      <c r="I99">
        <v>8</v>
      </c>
      <c r="J99" t="s">
        <v>4440</v>
      </c>
      <c r="K99" t="s">
        <v>4441</v>
      </c>
      <c r="L99" t="s">
        <v>4470</v>
      </c>
      <c r="M99" t="s">
        <v>4462</v>
      </c>
      <c r="N99">
        <v>4</v>
      </c>
    </row>
    <row r="100" spans="1:14" x14ac:dyDescent="0.35">
      <c r="A100" t="s">
        <v>4578</v>
      </c>
      <c r="B100" t="s">
        <v>383</v>
      </c>
      <c r="C100" t="s">
        <v>1904</v>
      </c>
      <c r="D100" t="s">
        <v>4438</v>
      </c>
      <c r="E100" t="s">
        <v>4456</v>
      </c>
      <c r="F100" s="3">
        <v>45205</v>
      </c>
      <c r="G100" s="3" t="s">
        <v>537</v>
      </c>
      <c r="I100">
        <v>4</v>
      </c>
      <c r="J100" t="s">
        <v>4448</v>
      </c>
      <c r="K100" t="s">
        <v>4453</v>
      </c>
      <c r="L100" t="s">
        <v>4449</v>
      </c>
      <c r="M100" t="s">
        <v>1625</v>
      </c>
    </row>
    <row r="101" spans="1:14" x14ac:dyDescent="0.35">
      <c r="A101" t="s">
        <v>4579</v>
      </c>
      <c r="B101" t="s">
        <v>288</v>
      </c>
      <c r="C101" t="s">
        <v>1890</v>
      </c>
      <c r="D101" t="s">
        <v>4472</v>
      </c>
      <c r="E101" t="s">
        <v>4444</v>
      </c>
      <c r="F101" s="3">
        <v>45035</v>
      </c>
      <c r="G101" s="3">
        <v>45036</v>
      </c>
      <c r="H101">
        <v>46.3</v>
      </c>
      <c r="I101">
        <v>24</v>
      </c>
      <c r="J101" t="s">
        <v>4440</v>
      </c>
      <c r="K101" t="s">
        <v>4441</v>
      </c>
      <c r="L101" t="s">
        <v>4580</v>
      </c>
      <c r="M101" t="s">
        <v>1625</v>
      </c>
    </row>
    <row r="102" spans="1:14" x14ac:dyDescent="0.35">
      <c r="A102" t="s">
        <v>4581</v>
      </c>
      <c r="B102" t="s">
        <v>178</v>
      </c>
      <c r="C102" t="s">
        <v>1890</v>
      </c>
      <c r="D102" t="s">
        <v>4469</v>
      </c>
      <c r="E102" t="s">
        <v>4444</v>
      </c>
      <c r="F102" s="3">
        <v>45558</v>
      </c>
      <c r="G102" s="3">
        <v>45559</v>
      </c>
      <c r="H102">
        <v>29.4</v>
      </c>
      <c r="I102">
        <v>24</v>
      </c>
      <c r="J102" t="s">
        <v>4440</v>
      </c>
      <c r="K102" t="s">
        <v>4441</v>
      </c>
      <c r="L102" t="s">
        <v>4458</v>
      </c>
      <c r="M102" t="s">
        <v>1625</v>
      </c>
      <c r="N102">
        <v>4</v>
      </c>
    </row>
    <row r="103" spans="1:14" x14ac:dyDescent="0.35">
      <c r="A103" t="s">
        <v>4582</v>
      </c>
      <c r="B103" t="s">
        <v>142</v>
      </c>
      <c r="C103" t="s">
        <v>1890</v>
      </c>
      <c r="D103" t="s">
        <v>4490</v>
      </c>
      <c r="E103" t="s">
        <v>4444</v>
      </c>
      <c r="F103" s="3">
        <v>45676</v>
      </c>
      <c r="G103" s="3" t="s">
        <v>537</v>
      </c>
      <c r="I103">
        <v>24</v>
      </c>
      <c r="J103" t="s">
        <v>4448</v>
      </c>
      <c r="K103" t="s">
        <v>4474</v>
      </c>
      <c r="L103" t="s">
        <v>4449</v>
      </c>
      <c r="M103" t="s">
        <v>4462</v>
      </c>
    </row>
    <row r="104" spans="1:14" x14ac:dyDescent="0.35">
      <c r="A104" t="s">
        <v>4583</v>
      </c>
      <c r="B104" t="s">
        <v>97</v>
      </c>
      <c r="C104" t="s">
        <v>1899</v>
      </c>
      <c r="D104" t="s">
        <v>4485</v>
      </c>
      <c r="E104" t="s">
        <v>4444</v>
      </c>
      <c r="F104" s="3">
        <v>45402</v>
      </c>
      <c r="G104" s="3">
        <v>45402</v>
      </c>
      <c r="H104">
        <v>17.3</v>
      </c>
      <c r="I104">
        <v>24</v>
      </c>
      <c r="J104" t="s">
        <v>4448</v>
      </c>
      <c r="K104" t="s">
        <v>4441</v>
      </c>
      <c r="L104" t="s">
        <v>4483</v>
      </c>
      <c r="M104" t="s">
        <v>4450</v>
      </c>
      <c r="N104">
        <v>4</v>
      </c>
    </row>
    <row r="105" spans="1:14" x14ac:dyDescent="0.35">
      <c r="A105" t="s">
        <v>4584</v>
      </c>
      <c r="B105" t="s">
        <v>130</v>
      </c>
      <c r="C105" t="s">
        <v>1915</v>
      </c>
      <c r="D105" t="s">
        <v>4490</v>
      </c>
      <c r="E105" t="s">
        <v>4456</v>
      </c>
      <c r="F105" s="3">
        <v>45200</v>
      </c>
      <c r="G105" s="3" t="s">
        <v>537</v>
      </c>
      <c r="I105">
        <v>4</v>
      </c>
      <c r="J105" t="s">
        <v>4440</v>
      </c>
      <c r="K105" t="s">
        <v>4474</v>
      </c>
      <c r="L105" t="s">
        <v>4527</v>
      </c>
      <c r="M105" t="s">
        <v>4462</v>
      </c>
    </row>
    <row r="106" spans="1:14" x14ac:dyDescent="0.35">
      <c r="A106" t="s">
        <v>4585</v>
      </c>
      <c r="B106" t="s">
        <v>439</v>
      </c>
      <c r="C106" t="s">
        <v>1883</v>
      </c>
      <c r="D106" t="s">
        <v>4472</v>
      </c>
      <c r="E106" t="s">
        <v>4456</v>
      </c>
      <c r="F106" s="3">
        <v>45382</v>
      </c>
      <c r="G106" s="3">
        <v>45382</v>
      </c>
      <c r="H106">
        <v>3.6</v>
      </c>
      <c r="I106">
        <v>4</v>
      </c>
      <c r="J106" t="s">
        <v>4448</v>
      </c>
      <c r="K106" t="s">
        <v>4441</v>
      </c>
      <c r="L106" t="s">
        <v>4580</v>
      </c>
      <c r="M106" t="s">
        <v>4446</v>
      </c>
    </row>
    <row r="107" spans="1:14" x14ac:dyDescent="0.35">
      <c r="A107" t="s">
        <v>4586</v>
      </c>
      <c r="B107" t="s">
        <v>335</v>
      </c>
      <c r="C107" t="s">
        <v>1899</v>
      </c>
      <c r="D107" t="s">
        <v>4485</v>
      </c>
      <c r="E107" t="s">
        <v>4444</v>
      </c>
      <c r="F107" s="3">
        <v>45182</v>
      </c>
      <c r="G107" s="3">
        <v>45182</v>
      </c>
      <c r="H107">
        <v>15.1</v>
      </c>
      <c r="I107">
        <v>24</v>
      </c>
      <c r="J107" t="s">
        <v>4448</v>
      </c>
      <c r="K107" t="s">
        <v>4441</v>
      </c>
      <c r="L107" t="s">
        <v>4461</v>
      </c>
      <c r="M107" t="s">
        <v>4462</v>
      </c>
      <c r="N107">
        <v>4</v>
      </c>
    </row>
    <row r="108" spans="1:14" x14ac:dyDescent="0.35">
      <c r="A108" t="s">
        <v>4587</v>
      </c>
      <c r="B108" t="s">
        <v>236</v>
      </c>
      <c r="C108" t="s">
        <v>1904</v>
      </c>
      <c r="D108" t="s">
        <v>4472</v>
      </c>
      <c r="E108" t="s">
        <v>79</v>
      </c>
      <c r="F108" s="3">
        <v>45724</v>
      </c>
      <c r="G108" s="3">
        <v>45724</v>
      </c>
      <c r="H108">
        <v>1.4</v>
      </c>
      <c r="I108">
        <v>4</v>
      </c>
      <c r="J108" t="s">
        <v>4448</v>
      </c>
      <c r="K108" t="s">
        <v>4441</v>
      </c>
      <c r="L108" t="s">
        <v>4501</v>
      </c>
      <c r="M108" t="s">
        <v>1625</v>
      </c>
      <c r="N108">
        <v>4</v>
      </c>
    </row>
    <row r="109" spans="1:14" x14ac:dyDescent="0.35">
      <c r="A109" t="s">
        <v>4588</v>
      </c>
      <c r="B109" t="s">
        <v>90</v>
      </c>
      <c r="C109" t="s">
        <v>1927</v>
      </c>
      <c r="D109" t="s">
        <v>4452</v>
      </c>
      <c r="E109" t="s">
        <v>4439</v>
      </c>
      <c r="F109" s="3">
        <v>45018</v>
      </c>
      <c r="G109" s="3">
        <v>45018</v>
      </c>
      <c r="H109">
        <v>6.9</v>
      </c>
      <c r="I109">
        <v>48</v>
      </c>
      <c r="J109" t="s">
        <v>4448</v>
      </c>
      <c r="K109" t="s">
        <v>4441</v>
      </c>
      <c r="L109" t="s">
        <v>4533</v>
      </c>
      <c r="M109" t="s">
        <v>4446</v>
      </c>
      <c r="N109">
        <v>4</v>
      </c>
    </row>
    <row r="110" spans="1:14" x14ac:dyDescent="0.35">
      <c r="A110" t="s">
        <v>4589</v>
      </c>
      <c r="B110" t="s">
        <v>421</v>
      </c>
      <c r="C110" t="s">
        <v>1915</v>
      </c>
      <c r="D110" t="s">
        <v>4464</v>
      </c>
      <c r="E110" t="s">
        <v>4444</v>
      </c>
      <c r="F110" s="3">
        <v>45628</v>
      </c>
      <c r="G110" s="3">
        <v>45628</v>
      </c>
      <c r="H110">
        <v>9.6999999999999993</v>
      </c>
      <c r="I110">
        <v>24</v>
      </c>
      <c r="J110" t="s">
        <v>1945</v>
      </c>
      <c r="K110" t="s">
        <v>4441</v>
      </c>
      <c r="L110" t="s">
        <v>4480</v>
      </c>
      <c r="M110" t="s">
        <v>4450</v>
      </c>
    </row>
    <row r="111" spans="1:14" x14ac:dyDescent="0.35">
      <c r="A111" t="s">
        <v>4590</v>
      </c>
      <c r="B111" t="s">
        <v>66</v>
      </c>
      <c r="C111" t="s">
        <v>1915</v>
      </c>
      <c r="D111" t="s">
        <v>4464</v>
      </c>
      <c r="E111" t="s">
        <v>4439</v>
      </c>
      <c r="F111" s="3">
        <v>45279</v>
      </c>
      <c r="G111" s="3">
        <v>45282</v>
      </c>
      <c r="H111">
        <v>73.7</v>
      </c>
      <c r="I111">
        <v>48</v>
      </c>
      <c r="J111" t="s">
        <v>4440</v>
      </c>
      <c r="K111" t="s">
        <v>4441</v>
      </c>
      <c r="L111" t="s">
        <v>4488</v>
      </c>
      <c r="M111" t="s">
        <v>1625</v>
      </c>
    </row>
    <row r="112" spans="1:14" x14ac:dyDescent="0.35">
      <c r="A112" t="s">
        <v>4591</v>
      </c>
      <c r="B112" t="s">
        <v>483</v>
      </c>
      <c r="C112" t="s">
        <v>1890</v>
      </c>
      <c r="D112" t="s">
        <v>4452</v>
      </c>
      <c r="E112" t="s">
        <v>4473</v>
      </c>
      <c r="F112" s="3">
        <v>45402</v>
      </c>
      <c r="G112" s="3" t="s">
        <v>537</v>
      </c>
      <c r="I112">
        <v>8</v>
      </c>
      <c r="J112" t="s">
        <v>4440</v>
      </c>
      <c r="K112" t="s">
        <v>4474</v>
      </c>
      <c r="L112" t="s">
        <v>4527</v>
      </c>
      <c r="M112" t="s">
        <v>4446</v>
      </c>
    </row>
    <row r="113" spans="1:14" x14ac:dyDescent="0.35">
      <c r="A113" t="s">
        <v>4592</v>
      </c>
      <c r="B113" t="s">
        <v>429</v>
      </c>
      <c r="C113" t="s">
        <v>1904</v>
      </c>
      <c r="D113" t="s">
        <v>4460</v>
      </c>
      <c r="E113" t="s">
        <v>4439</v>
      </c>
      <c r="F113" s="3">
        <v>45673</v>
      </c>
      <c r="G113" s="3" t="s">
        <v>537</v>
      </c>
      <c r="I113">
        <v>48</v>
      </c>
      <c r="J113" t="s">
        <v>4440</v>
      </c>
      <c r="K113" t="s">
        <v>4474</v>
      </c>
      <c r="L113" t="s">
        <v>4492</v>
      </c>
      <c r="M113" t="s">
        <v>4462</v>
      </c>
    </row>
    <row r="114" spans="1:14" x14ac:dyDescent="0.35">
      <c r="A114" t="s">
        <v>4593</v>
      </c>
      <c r="B114" t="s">
        <v>350</v>
      </c>
      <c r="C114" t="s">
        <v>1883</v>
      </c>
      <c r="D114" t="s">
        <v>4469</v>
      </c>
      <c r="E114" t="s">
        <v>4473</v>
      </c>
      <c r="F114" s="3">
        <v>45448</v>
      </c>
      <c r="G114" s="3">
        <v>45448</v>
      </c>
      <c r="H114">
        <v>8.6</v>
      </c>
      <c r="I114">
        <v>8</v>
      </c>
      <c r="J114" t="s">
        <v>4440</v>
      </c>
      <c r="K114" t="s">
        <v>4441</v>
      </c>
      <c r="L114" t="s">
        <v>4465</v>
      </c>
      <c r="M114" t="s">
        <v>4462</v>
      </c>
      <c r="N114">
        <v>1</v>
      </c>
    </row>
    <row r="115" spans="1:14" x14ac:dyDescent="0.35">
      <c r="A115" t="s">
        <v>4594</v>
      </c>
      <c r="B115" t="s">
        <v>268</v>
      </c>
      <c r="C115" t="s">
        <v>1890</v>
      </c>
      <c r="D115" t="s">
        <v>4479</v>
      </c>
      <c r="E115" t="s">
        <v>4473</v>
      </c>
      <c r="F115" s="3">
        <v>45428</v>
      </c>
      <c r="G115" s="3" t="s">
        <v>537</v>
      </c>
      <c r="I115">
        <v>8</v>
      </c>
      <c r="J115" t="s">
        <v>4448</v>
      </c>
      <c r="K115" t="s">
        <v>4453</v>
      </c>
      <c r="L115" t="s">
        <v>4501</v>
      </c>
      <c r="M115" t="s">
        <v>4446</v>
      </c>
    </row>
    <row r="116" spans="1:14" x14ac:dyDescent="0.35">
      <c r="A116" t="s">
        <v>4595</v>
      </c>
      <c r="B116" t="s">
        <v>344</v>
      </c>
      <c r="C116" t="s">
        <v>1927</v>
      </c>
      <c r="D116" t="s">
        <v>4490</v>
      </c>
      <c r="E116" t="s">
        <v>4456</v>
      </c>
      <c r="F116" s="3">
        <v>45229</v>
      </c>
      <c r="G116" s="3">
        <v>45229</v>
      </c>
      <c r="H116">
        <v>6</v>
      </c>
      <c r="I116">
        <v>4</v>
      </c>
      <c r="J116" t="s">
        <v>4440</v>
      </c>
      <c r="K116" t="s">
        <v>4441</v>
      </c>
      <c r="L116" t="s">
        <v>4461</v>
      </c>
      <c r="M116" t="s">
        <v>4462</v>
      </c>
      <c r="N116">
        <v>5</v>
      </c>
    </row>
    <row r="117" spans="1:14" x14ac:dyDescent="0.35">
      <c r="A117" t="s">
        <v>4596</v>
      </c>
      <c r="B117" t="s">
        <v>447</v>
      </c>
      <c r="C117" t="s">
        <v>1904</v>
      </c>
      <c r="D117" t="s">
        <v>4464</v>
      </c>
      <c r="E117" t="s">
        <v>4444</v>
      </c>
      <c r="F117" s="3">
        <v>45425</v>
      </c>
      <c r="G117" s="3">
        <v>45425</v>
      </c>
      <c r="H117">
        <v>23.2</v>
      </c>
      <c r="I117">
        <v>24</v>
      </c>
      <c r="J117" t="s">
        <v>4448</v>
      </c>
      <c r="K117" t="s">
        <v>4441</v>
      </c>
      <c r="L117" t="s">
        <v>4527</v>
      </c>
      <c r="M117" t="s">
        <v>4462</v>
      </c>
    </row>
    <row r="118" spans="1:14" x14ac:dyDescent="0.35">
      <c r="A118" t="s">
        <v>4597</v>
      </c>
      <c r="B118" t="s">
        <v>295</v>
      </c>
      <c r="C118" t="s">
        <v>1883</v>
      </c>
      <c r="D118" t="s">
        <v>4438</v>
      </c>
      <c r="E118" t="s">
        <v>4444</v>
      </c>
      <c r="F118" s="3">
        <v>45508</v>
      </c>
      <c r="G118" s="3">
        <v>45508</v>
      </c>
      <c r="H118">
        <v>4.9000000000000004</v>
      </c>
      <c r="I118">
        <v>24</v>
      </c>
      <c r="J118" t="s">
        <v>4448</v>
      </c>
      <c r="K118" t="s">
        <v>4441</v>
      </c>
      <c r="L118" t="s">
        <v>4492</v>
      </c>
      <c r="M118" t="s">
        <v>4446</v>
      </c>
      <c r="N118">
        <v>3</v>
      </c>
    </row>
    <row r="119" spans="1:14" x14ac:dyDescent="0.35">
      <c r="A119" t="s">
        <v>4598</v>
      </c>
      <c r="B119" t="s">
        <v>82</v>
      </c>
      <c r="C119" t="s">
        <v>1899</v>
      </c>
      <c r="D119" t="s">
        <v>4438</v>
      </c>
      <c r="E119" t="s">
        <v>4473</v>
      </c>
      <c r="F119" s="3">
        <v>45136</v>
      </c>
      <c r="G119" s="3" t="s">
        <v>537</v>
      </c>
      <c r="I119">
        <v>8</v>
      </c>
      <c r="J119" t="s">
        <v>4448</v>
      </c>
      <c r="K119" t="s">
        <v>4457</v>
      </c>
      <c r="L119" t="s">
        <v>4454</v>
      </c>
      <c r="M119" t="s">
        <v>4450</v>
      </c>
    </row>
    <row r="120" spans="1:14" x14ac:dyDescent="0.35">
      <c r="A120" t="s">
        <v>4599</v>
      </c>
      <c r="B120" t="s">
        <v>118</v>
      </c>
      <c r="C120" t="s">
        <v>1927</v>
      </c>
      <c r="D120" t="s">
        <v>4490</v>
      </c>
      <c r="E120" t="s">
        <v>4473</v>
      </c>
      <c r="F120" s="3">
        <v>45467</v>
      </c>
      <c r="G120" s="3">
        <v>45467</v>
      </c>
      <c r="H120">
        <v>17.399999999999999</v>
      </c>
      <c r="I120">
        <v>8</v>
      </c>
      <c r="J120" t="s">
        <v>4440</v>
      </c>
      <c r="K120" t="s">
        <v>4441</v>
      </c>
      <c r="L120" t="s">
        <v>4480</v>
      </c>
      <c r="M120" t="s">
        <v>1625</v>
      </c>
    </row>
    <row r="121" spans="1:14" x14ac:dyDescent="0.35">
      <c r="A121" t="s">
        <v>4600</v>
      </c>
      <c r="B121" t="s">
        <v>147</v>
      </c>
      <c r="C121" t="s">
        <v>1899</v>
      </c>
      <c r="D121" t="s">
        <v>8504</v>
      </c>
      <c r="E121" t="s">
        <v>4439</v>
      </c>
      <c r="F121" s="3">
        <v>45344</v>
      </c>
      <c r="G121" s="3">
        <v>45345</v>
      </c>
      <c r="H121">
        <v>36.299999999999997</v>
      </c>
      <c r="I121">
        <v>48</v>
      </c>
      <c r="J121" t="s">
        <v>4448</v>
      </c>
      <c r="K121" t="s">
        <v>4441</v>
      </c>
      <c r="L121" t="s">
        <v>4470</v>
      </c>
      <c r="M121" t="s">
        <v>4450</v>
      </c>
      <c r="N121">
        <v>3</v>
      </c>
    </row>
    <row r="122" spans="1:14" x14ac:dyDescent="0.35">
      <c r="A122" t="s">
        <v>4601</v>
      </c>
      <c r="B122" t="s">
        <v>114</v>
      </c>
      <c r="C122" t="s">
        <v>1904</v>
      </c>
      <c r="D122" t="s">
        <v>4464</v>
      </c>
      <c r="E122" t="s">
        <v>4444</v>
      </c>
      <c r="F122" s="3">
        <v>45637</v>
      </c>
      <c r="G122" s="3">
        <v>45637</v>
      </c>
      <c r="H122">
        <v>3.2</v>
      </c>
      <c r="I122">
        <v>24</v>
      </c>
      <c r="J122" t="s">
        <v>4448</v>
      </c>
      <c r="K122" t="s">
        <v>4441</v>
      </c>
      <c r="L122" t="s">
        <v>4470</v>
      </c>
      <c r="M122" t="s">
        <v>4446</v>
      </c>
      <c r="N122">
        <v>3</v>
      </c>
    </row>
    <row r="123" spans="1:14" x14ac:dyDescent="0.35">
      <c r="A123" t="s">
        <v>4602</v>
      </c>
      <c r="B123" t="s">
        <v>130</v>
      </c>
      <c r="C123" t="s">
        <v>1883</v>
      </c>
      <c r="D123" t="s">
        <v>4485</v>
      </c>
      <c r="E123" t="s">
        <v>4473</v>
      </c>
      <c r="F123" s="3">
        <v>45486</v>
      </c>
      <c r="G123" s="3" t="s">
        <v>537</v>
      </c>
      <c r="I123">
        <v>8</v>
      </c>
      <c r="J123" t="s">
        <v>4440</v>
      </c>
      <c r="K123" t="s">
        <v>4457</v>
      </c>
      <c r="L123" t="s">
        <v>4458</v>
      </c>
      <c r="M123" t="s">
        <v>4450</v>
      </c>
    </row>
    <row r="124" spans="1:14" x14ac:dyDescent="0.35">
      <c r="A124" t="s">
        <v>4603</v>
      </c>
      <c r="B124" t="s">
        <v>494</v>
      </c>
      <c r="C124" t="s">
        <v>1927</v>
      </c>
      <c r="D124" t="s">
        <v>8505</v>
      </c>
      <c r="E124" t="s">
        <v>4473</v>
      </c>
      <c r="F124" s="3">
        <v>45427</v>
      </c>
      <c r="G124" s="3">
        <v>45427</v>
      </c>
      <c r="H124">
        <v>19</v>
      </c>
      <c r="I124">
        <v>8</v>
      </c>
      <c r="J124" t="s">
        <v>4440</v>
      </c>
      <c r="K124" t="s">
        <v>4441</v>
      </c>
      <c r="L124" t="s">
        <v>4480</v>
      </c>
      <c r="M124" t="s">
        <v>4446</v>
      </c>
      <c r="N124">
        <v>3</v>
      </c>
    </row>
    <row r="125" spans="1:14" x14ac:dyDescent="0.35">
      <c r="A125" t="s">
        <v>4604</v>
      </c>
      <c r="B125" t="s">
        <v>444</v>
      </c>
      <c r="C125" t="s">
        <v>1883</v>
      </c>
      <c r="D125" t="s">
        <v>4479</v>
      </c>
      <c r="E125" t="s">
        <v>4444</v>
      </c>
      <c r="F125" s="3">
        <v>45260</v>
      </c>
      <c r="G125" s="3">
        <v>45262</v>
      </c>
      <c r="H125">
        <v>54.1</v>
      </c>
      <c r="I125">
        <v>24</v>
      </c>
      <c r="J125" t="s">
        <v>4440</v>
      </c>
      <c r="K125" t="s">
        <v>4441</v>
      </c>
      <c r="L125" t="s">
        <v>1907</v>
      </c>
      <c r="M125" t="s">
        <v>4446</v>
      </c>
      <c r="N125">
        <v>3</v>
      </c>
    </row>
    <row r="126" spans="1:14" x14ac:dyDescent="0.35">
      <c r="A126" t="s">
        <v>4605</v>
      </c>
      <c r="B126" t="s">
        <v>455</v>
      </c>
      <c r="C126" t="s">
        <v>1915</v>
      </c>
      <c r="D126" t="s">
        <v>4438</v>
      </c>
      <c r="E126" t="s">
        <v>4473</v>
      </c>
      <c r="F126" s="3">
        <v>45071</v>
      </c>
      <c r="G126" s="3">
        <v>45071</v>
      </c>
      <c r="H126">
        <v>17.7</v>
      </c>
      <c r="I126">
        <v>8</v>
      </c>
      <c r="J126" t="s">
        <v>4440</v>
      </c>
      <c r="K126" t="s">
        <v>4441</v>
      </c>
      <c r="L126" t="s">
        <v>4580</v>
      </c>
      <c r="M126" t="s">
        <v>4446</v>
      </c>
      <c r="N126">
        <v>3</v>
      </c>
    </row>
    <row r="127" spans="1:14" x14ac:dyDescent="0.35">
      <c r="A127" t="s">
        <v>4606</v>
      </c>
      <c r="B127" t="s">
        <v>491</v>
      </c>
      <c r="C127" t="s">
        <v>1904</v>
      </c>
      <c r="D127" t="s">
        <v>4485</v>
      </c>
      <c r="E127" t="s">
        <v>4473</v>
      </c>
      <c r="F127" s="3">
        <v>45733</v>
      </c>
      <c r="G127" s="3" t="s">
        <v>537</v>
      </c>
      <c r="I127">
        <v>8</v>
      </c>
      <c r="J127" t="s">
        <v>4440</v>
      </c>
      <c r="K127" t="s">
        <v>4474</v>
      </c>
      <c r="L127" t="s">
        <v>4461</v>
      </c>
      <c r="M127" t="s">
        <v>1625</v>
      </c>
    </row>
    <row r="128" spans="1:14" x14ac:dyDescent="0.35">
      <c r="A128" t="s">
        <v>4607</v>
      </c>
      <c r="B128" t="s">
        <v>191</v>
      </c>
      <c r="C128" t="s">
        <v>1883</v>
      </c>
      <c r="D128" t="s">
        <v>4469</v>
      </c>
      <c r="E128" t="s">
        <v>4444</v>
      </c>
      <c r="F128" s="3">
        <v>45427</v>
      </c>
      <c r="G128" s="3" t="s">
        <v>537</v>
      </c>
      <c r="I128">
        <v>24</v>
      </c>
      <c r="J128" t="s">
        <v>4448</v>
      </c>
      <c r="K128" t="s">
        <v>4474</v>
      </c>
      <c r="L128" t="s">
        <v>4533</v>
      </c>
      <c r="M128" t="s">
        <v>1625</v>
      </c>
    </row>
    <row r="129" spans="1:14" x14ac:dyDescent="0.35">
      <c r="A129" t="s">
        <v>4608</v>
      </c>
      <c r="B129" t="s">
        <v>106</v>
      </c>
      <c r="C129" t="s">
        <v>1890</v>
      </c>
      <c r="D129" t="s">
        <v>4460</v>
      </c>
      <c r="E129" t="s">
        <v>4456</v>
      </c>
      <c r="F129" s="3">
        <v>45502</v>
      </c>
      <c r="G129" s="3">
        <v>45502</v>
      </c>
      <c r="H129">
        <v>6.4</v>
      </c>
      <c r="I129">
        <v>4</v>
      </c>
      <c r="J129" t="s">
        <v>4440</v>
      </c>
      <c r="K129" t="s">
        <v>4441</v>
      </c>
      <c r="L129" t="s">
        <v>4492</v>
      </c>
      <c r="M129" t="s">
        <v>4450</v>
      </c>
      <c r="N129">
        <v>4</v>
      </c>
    </row>
    <row r="130" spans="1:14" x14ac:dyDescent="0.35">
      <c r="A130" t="s">
        <v>4609</v>
      </c>
      <c r="B130" t="s">
        <v>465</v>
      </c>
      <c r="C130" t="s">
        <v>1915</v>
      </c>
      <c r="D130" t="s">
        <v>4464</v>
      </c>
      <c r="E130" t="s">
        <v>4444</v>
      </c>
      <c r="F130" s="3">
        <v>45677</v>
      </c>
      <c r="G130" s="3">
        <v>45679</v>
      </c>
      <c r="H130">
        <v>49.5</v>
      </c>
      <c r="I130">
        <v>24</v>
      </c>
      <c r="J130" t="s">
        <v>4440</v>
      </c>
      <c r="K130" t="s">
        <v>4441</v>
      </c>
      <c r="L130" t="s">
        <v>4483</v>
      </c>
      <c r="M130" t="s">
        <v>4450</v>
      </c>
      <c r="N130">
        <v>3</v>
      </c>
    </row>
    <row r="131" spans="1:14" x14ac:dyDescent="0.35">
      <c r="A131" t="s">
        <v>4610</v>
      </c>
      <c r="B131" t="s">
        <v>312</v>
      </c>
      <c r="C131" t="s">
        <v>1927</v>
      </c>
      <c r="D131" t="s">
        <v>4452</v>
      </c>
      <c r="E131" t="s">
        <v>4444</v>
      </c>
      <c r="F131" s="3">
        <v>45591</v>
      </c>
      <c r="G131" s="3" t="s">
        <v>537</v>
      </c>
      <c r="I131">
        <v>24</v>
      </c>
      <c r="J131" t="s">
        <v>4440</v>
      </c>
      <c r="K131" t="s">
        <v>4474</v>
      </c>
      <c r="L131" t="s">
        <v>4509</v>
      </c>
      <c r="M131" t="s">
        <v>1625</v>
      </c>
    </row>
    <row r="132" spans="1:14" x14ac:dyDescent="0.35">
      <c r="A132" t="s">
        <v>4611</v>
      </c>
      <c r="B132" t="s">
        <v>230</v>
      </c>
      <c r="C132" t="s">
        <v>1927</v>
      </c>
      <c r="D132" t="s">
        <v>4438</v>
      </c>
      <c r="E132" t="s">
        <v>4444</v>
      </c>
      <c r="F132" s="3">
        <v>45290</v>
      </c>
      <c r="G132" s="3" t="s">
        <v>537</v>
      </c>
      <c r="I132">
        <v>24</v>
      </c>
      <c r="J132" t="s">
        <v>4440</v>
      </c>
      <c r="K132" t="s">
        <v>4474</v>
      </c>
      <c r="L132" t="s">
        <v>4483</v>
      </c>
      <c r="M132" t="s">
        <v>4446</v>
      </c>
    </row>
    <row r="133" spans="1:14" x14ac:dyDescent="0.35">
      <c r="A133" t="s">
        <v>4612</v>
      </c>
      <c r="B133" t="s">
        <v>355</v>
      </c>
      <c r="C133" t="s">
        <v>1899</v>
      </c>
      <c r="D133" t="s">
        <v>4490</v>
      </c>
      <c r="E133" t="s">
        <v>4473</v>
      </c>
      <c r="F133" s="3">
        <v>45643</v>
      </c>
      <c r="G133" s="3" t="s">
        <v>537</v>
      </c>
      <c r="I133">
        <v>8</v>
      </c>
      <c r="J133" t="s">
        <v>4440</v>
      </c>
      <c r="K133" t="s">
        <v>4474</v>
      </c>
      <c r="L133" t="s">
        <v>4512</v>
      </c>
      <c r="M133" t="s">
        <v>1625</v>
      </c>
    </row>
    <row r="134" spans="1:14" x14ac:dyDescent="0.35">
      <c r="A134" t="s">
        <v>4613</v>
      </c>
      <c r="B134" t="s">
        <v>135</v>
      </c>
      <c r="C134" t="s">
        <v>1883</v>
      </c>
      <c r="D134" t="s">
        <v>4490</v>
      </c>
      <c r="E134" t="s">
        <v>4473</v>
      </c>
      <c r="F134" s="3">
        <v>45094</v>
      </c>
      <c r="G134" s="3">
        <v>45094</v>
      </c>
      <c r="H134">
        <v>14.4</v>
      </c>
      <c r="I134">
        <v>8</v>
      </c>
      <c r="J134" t="s">
        <v>4440</v>
      </c>
      <c r="K134" t="s">
        <v>4441</v>
      </c>
      <c r="L134" t="s">
        <v>4467</v>
      </c>
      <c r="M134" t="s">
        <v>4446</v>
      </c>
      <c r="N134">
        <v>3</v>
      </c>
    </row>
    <row r="135" spans="1:14" x14ac:dyDescent="0.35">
      <c r="A135" t="s">
        <v>4614</v>
      </c>
      <c r="B135" t="s">
        <v>27</v>
      </c>
      <c r="C135" t="s">
        <v>1899</v>
      </c>
      <c r="D135" t="s">
        <v>4438</v>
      </c>
      <c r="E135" t="s">
        <v>4473</v>
      </c>
      <c r="F135" s="3">
        <v>45024</v>
      </c>
      <c r="G135" s="3">
        <v>45024</v>
      </c>
      <c r="H135">
        <v>9.1999999999999993</v>
      </c>
      <c r="I135">
        <v>8</v>
      </c>
      <c r="J135" t="s">
        <v>4440</v>
      </c>
      <c r="K135" t="s">
        <v>4441</v>
      </c>
      <c r="L135" t="s">
        <v>4449</v>
      </c>
      <c r="M135" t="s">
        <v>1625</v>
      </c>
      <c r="N135">
        <v>4</v>
      </c>
    </row>
    <row r="136" spans="1:14" x14ac:dyDescent="0.35">
      <c r="A136" t="s">
        <v>4615</v>
      </c>
      <c r="B136" t="s">
        <v>252</v>
      </c>
      <c r="C136" t="s">
        <v>1927</v>
      </c>
      <c r="D136" t="s">
        <v>4469</v>
      </c>
      <c r="E136" t="s">
        <v>4444</v>
      </c>
      <c r="F136" s="3">
        <v>45111</v>
      </c>
      <c r="G136" s="3" t="s">
        <v>537</v>
      </c>
      <c r="I136">
        <v>24</v>
      </c>
      <c r="J136" t="s">
        <v>4440</v>
      </c>
      <c r="K136" t="s">
        <v>4453</v>
      </c>
      <c r="L136" t="s">
        <v>4458</v>
      </c>
      <c r="M136" t="s">
        <v>4446</v>
      </c>
    </row>
    <row r="137" spans="1:14" x14ac:dyDescent="0.35">
      <c r="A137" t="s">
        <v>4616</v>
      </c>
      <c r="B137" t="s">
        <v>131</v>
      </c>
      <c r="C137" t="s">
        <v>1927</v>
      </c>
      <c r="D137" t="s">
        <v>4482</v>
      </c>
      <c r="E137" t="s">
        <v>4444</v>
      </c>
      <c r="F137" s="3">
        <v>45328</v>
      </c>
      <c r="G137" s="3">
        <v>45330</v>
      </c>
      <c r="H137">
        <v>52.6</v>
      </c>
      <c r="I137">
        <v>24</v>
      </c>
      <c r="J137" t="s">
        <v>4440</v>
      </c>
      <c r="K137" t="s">
        <v>4441</v>
      </c>
      <c r="L137" t="s">
        <v>4492</v>
      </c>
      <c r="M137" t="s">
        <v>1625</v>
      </c>
      <c r="N137">
        <v>3</v>
      </c>
    </row>
    <row r="138" spans="1:14" x14ac:dyDescent="0.35">
      <c r="A138" t="s">
        <v>4617</v>
      </c>
      <c r="B138" t="s">
        <v>389</v>
      </c>
      <c r="C138" t="s">
        <v>1904</v>
      </c>
      <c r="D138" t="s">
        <v>4476</v>
      </c>
      <c r="E138" t="s">
        <v>4444</v>
      </c>
      <c r="F138" s="3">
        <v>45309</v>
      </c>
      <c r="G138" s="3" t="s">
        <v>537</v>
      </c>
      <c r="I138">
        <v>24</v>
      </c>
      <c r="J138" t="s">
        <v>4448</v>
      </c>
      <c r="K138" t="s">
        <v>4474</v>
      </c>
      <c r="L138" t="s">
        <v>4454</v>
      </c>
      <c r="M138" t="s">
        <v>1625</v>
      </c>
    </row>
    <row r="139" spans="1:14" x14ac:dyDescent="0.35">
      <c r="A139" t="s">
        <v>4618</v>
      </c>
      <c r="B139" t="s">
        <v>116</v>
      </c>
      <c r="C139" t="s">
        <v>1915</v>
      </c>
      <c r="D139" t="s">
        <v>4485</v>
      </c>
      <c r="E139" t="s">
        <v>4439</v>
      </c>
      <c r="F139" s="3">
        <v>45610</v>
      </c>
      <c r="G139" s="3">
        <v>45612</v>
      </c>
      <c r="H139">
        <v>59.2</v>
      </c>
      <c r="I139">
        <v>48</v>
      </c>
      <c r="J139" t="s">
        <v>4440</v>
      </c>
      <c r="K139" t="s">
        <v>4441</v>
      </c>
      <c r="L139" t="s">
        <v>4580</v>
      </c>
      <c r="M139" t="s">
        <v>4450</v>
      </c>
      <c r="N139">
        <v>2</v>
      </c>
    </row>
    <row r="140" spans="1:14" x14ac:dyDescent="0.35">
      <c r="A140" t="s">
        <v>4619</v>
      </c>
      <c r="B140" t="s">
        <v>110</v>
      </c>
      <c r="C140" t="s">
        <v>1904</v>
      </c>
      <c r="D140" t="s">
        <v>4452</v>
      </c>
      <c r="E140" t="s">
        <v>4439</v>
      </c>
      <c r="F140" s="3">
        <v>45039</v>
      </c>
      <c r="G140" s="3">
        <v>45040</v>
      </c>
      <c r="H140">
        <v>34.200000000000003</v>
      </c>
      <c r="I140">
        <v>48</v>
      </c>
      <c r="J140" t="s">
        <v>4448</v>
      </c>
      <c r="K140" t="s">
        <v>4441</v>
      </c>
      <c r="L140" t="s">
        <v>4465</v>
      </c>
      <c r="M140" t="s">
        <v>4450</v>
      </c>
      <c r="N140">
        <v>5</v>
      </c>
    </row>
    <row r="141" spans="1:14" x14ac:dyDescent="0.35">
      <c r="A141" t="s">
        <v>4620</v>
      </c>
      <c r="B141" t="s">
        <v>261</v>
      </c>
      <c r="C141" t="s">
        <v>1915</v>
      </c>
      <c r="D141" t="s">
        <v>4452</v>
      </c>
      <c r="E141" t="s">
        <v>4473</v>
      </c>
      <c r="F141" s="3">
        <v>44943</v>
      </c>
      <c r="G141" s="3" t="s">
        <v>537</v>
      </c>
      <c r="I141">
        <v>8</v>
      </c>
      <c r="J141" t="s">
        <v>4448</v>
      </c>
      <c r="K141" t="s">
        <v>4457</v>
      </c>
      <c r="L141" t="s">
        <v>4501</v>
      </c>
      <c r="M141" t="s">
        <v>1625</v>
      </c>
    </row>
    <row r="142" spans="1:14" x14ac:dyDescent="0.35">
      <c r="A142" t="s">
        <v>4621</v>
      </c>
      <c r="B142" t="s">
        <v>128</v>
      </c>
      <c r="C142" t="s">
        <v>1904</v>
      </c>
      <c r="D142" t="s">
        <v>4490</v>
      </c>
      <c r="E142" t="s">
        <v>4439</v>
      </c>
      <c r="F142" s="3">
        <v>45328</v>
      </c>
      <c r="G142" s="3">
        <v>45330</v>
      </c>
      <c r="H142">
        <v>50.1</v>
      </c>
      <c r="I142">
        <v>48</v>
      </c>
      <c r="J142" t="s">
        <v>4440</v>
      </c>
      <c r="K142" t="s">
        <v>4441</v>
      </c>
      <c r="L142" t="s">
        <v>4527</v>
      </c>
      <c r="M142" t="s">
        <v>4462</v>
      </c>
      <c r="N142">
        <v>4</v>
      </c>
    </row>
    <row r="143" spans="1:14" x14ac:dyDescent="0.35">
      <c r="A143" t="s">
        <v>4622</v>
      </c>
      <c r="B143" t="s">
        <v>495</v>
      </c>
      <c r="C143" t="s">
        <v>1915</v>
      </c>
      <c r="D143" t="s">
        <v>4472</v>
      </c>
      <c r="E143" t="s">
        <v>4444</v>
      </c>
      <c r="F143" s="3">
        <v>45298</v>
      </c>
      <c r="G143" s="3">
        <v>45298</v>
      </c>
      <c r="H143">
        <v>13.3</v>
      </c>
      <c r="I143">
        <v>24</v>
      </c>
      <c r="J143" t="s">
        <v>4448</v>
      </c>
      <c r="K143" t="s">
        <v>4441</v>
      </c>
      <c r="L143" t="s">
        <v>4454</v>
      </c>
      <c r="M143" t="s">
        <v>4462</v>
      </c>
      <c r="N143">
        <v>1</v>
      </c>
    </row>
    <row r="144" spans="1:14" x14ac:dyDescent="0.35">
      <c r="A144" t="s">
        <v>4623</v>
      </c>
      <c r="B144" t="s">
        <v>402</v>
      </c>
      <c r="C144" t="s">
        <v>1890</v>
      </c>
      <c r="D144" t="s">
        <v>4469</v>
      </c>
      <c r="E144" t="s">
        <v>4473</v>
      </c>
      <c r="F144" s="3">
        <v>45492</v>
      </c>
      <c r="G144" s="3">
        <v>45492</v>
      </c>
      <c r="H144">
        <v>18.600000000000001</v>
      </c>
      <c r="I144">
        <v>8</v>
      </c>
      <c r="J144" t="s">
        <v>4440</v>
      </c>
      <c r="K144" t="s">
        <v>4441</v>
      </c>
      <c r="L144" t="s">
        <v>1907</v>
      </c>
      <c r="M144" t="s">
        <v>4462</v>
      </c>
      <c r="N144">
        <v>5</v>
      </c>
    </row>
    <row r="145" spans="1:14" x14ac:dyDescent="0.35">
      <c r="A145" t="s">
        <v>4624</v>
      </c>
      <c r="B145" t="s">
        <v>365</v>
      </c>
      <c r="C145" t="s">
        <v>1890</v>
      </c>
      <c r="D145" t="s">
        <v>4476</v>
      </c>
      <c r="E145" t="s">
        <v>4444</v>
      </c>
      <c r="F145" s="3">
        <v>45534</v>
      </c>
      <c r="G145" s="3">
        <v>45534</v>
      </c>
      <c r="H145">
        <v>1.1000000000000001</v>
      </c>
      <c r="I145">
        <v>24</v>
      </c>
      <c r="J145" t="s">
        <v>4448</v>
      </c>
      <c r="K145" t="s">
        <v>4441</v>
      </c>
      <c r="L145" t="s">
        <v>4467</v>
      </c>
      <c r="M145" t="s">
        <v>4450</v>
      </c>
      <c r="N145">
        <v>4</v>
      </c>
    </row>
    <row r="146" spans="1:14" x14ac:dyDescent="0.35">
      <c r="A146" t="s">
        <v>4625</v>
      </c>
      <c r="B146" t="s">
        <v>74</v>
      </c>
      <c r="C146" t="s">
        <v>1915</v>
      </c>
      <c r="D146" t="s">
        <v>4472</v>
      </c>
      <c r="E146" t="s">
        <v>4456</v>
      </c>
      <c r="F146" s="3">
        <v>45740</v>
      </c>
      <c r="G146" s="3">
        <v>45740</v>
      </c>
      <c r="H146">
        <v>8.5</v>
      </c>
      <c r="I146">
        <v>4</v>
      </c>
      <c r="J146" t="s">
        <v>4440</v>
      </c>
      <c r="K146" t="s">
        <v>4441</v>
      </c>
      <c r="L146" t="s">
        <v>4488</v>
      </c>
      <c r="M146" t="s">
        <v>4462</v>
      </c>
    </row>
    <row r="147" spans="1:14" x14ac:dyDescent="0.35">
      <c r="A147" t="s">
        <v>4626</v>
      </c>
      <c r="B147" t="s">
        <v>144</v>
      </c>
      <c r="C147" t="s">
        <v>1927</v>
      </c>
      <c r="D147" t="s">
        <v>4443</v>
      </c>
      <c r="E147" t="s">
        <v>4439</v>
      </c>
      <c r="F147" s="3">
        <v>45333</v>
      </c>
      <c r="G147" s="3">
        <v>45334</v>
      </c>
      <c r="H147">
        <v>24.5</v>
      </c>
      <c r="I147">
        <v>48</v>
      </c>
      <c r="J147" t="s">
        <v>4448</v>
      </c>
      <c r="K147" t="s">
        <v>4441</v>
      </c>
      <c r="L147" t="s">
        <v>4509</v>
      </c>
      <c r="M147" t="s">
        <v>1625</v>
      </c>
      <c r="N147">
        <v>4</v>
      </c>
    </row>
    <row r="148" spans="1:14" x14ac:dyDescent="0.35">
      <c r="A148" t="s">
        <v>4627</v>
      </c>
      <c r="B148" t="s">
        <v>130</v>
      </c>
      <c r="C148" t="s">
        <v>1927</v>
      </c>
      <c r="D148" t="s">
        <v>4460</v>
      </c>
      <c r="E148" t="s">
        <v>4473</v>
      </c>
      <c r="F148" s="3">
        <v>45306</v>
      </c>
      <c r="G148" s="3" t="s">
        <v>537</v>
      </c>
      <c r="I148">
        <v>8</v>
      </c>
      <c r="J148" t="s">
        <v>4440</v>
      </c>
      <c r="K148" t="s">
        <v>4453</v>
      </c>
      <c r="L148" t="s">
        <v>4461</v>
      </c>
      <c r="M148" t="s">
        <v>4446</v>
      </c>
    </row>
    <row r="149" spans="1:14" x14ac:dyDescent="0.35">
      <c r="A149" t="s">
        <v>4628</v>
      </c>
      <c r="B149" t="s">
        <v>406</v>
      </c>
      <c r="C149" t="s">
        <v>1927</v>
      </c>
      <c r="D149" t="s">
        <v>4464</v>
      </c>
      <c r="E149" t="s">
        <v>4473</v>
      </c>
      <c r="F149" s="3">
        <v>45421</v>
      </c>
      <c r="G149" s="3">
        <v>45421</v>
      </c>
      <c r="H149">
        <v>2.6</v>
      </c>
      <c r="I149">
        <v>8</v>
      </c>
      <c r="J149" t="s">
        <v>4448</v>
      </c>
      <c r="K149" t="s">
        <v>4441</v>
      </c>
      <c r="L149" t="s">
        <v>4480</v>
      </c>
      <c r="M149" t="s">
        <v>1625</v>
      </c>
      <c r="N149">
        <v>4</v>
      </c>
    </row>
    <row r="150" spans="1:14" x14ac:dyDescent="0.35">
      <c r="A150" t="s">
        <v>4629</v>
      </c>
      <c r="B150" t="s">
        <v>208</v>
      </c>
      <c r="C150" t="s">
        <v>1899</v>
      </c>
      <c r="D150" t="s">
        <v>4490</v>
      </c>
      <c r="E150" t="s">
        <v>4456</v>
      </c>
      <c r="F150" s="3">
        <v>45183</v>
      </c>
      <c r="G150" s="3">
        <v>45183</v>
      </c>
      <c r="H150">
        <v>2.9</v>
      </c>
      <c r="I150">
        <v>4</v>
      </c>
      <c r="J150" t="s">
        <v>4448</v>
      </c>
      <c r="K150" t="s">
        <v>4441</v>
      </c>
      <c r="L150" t="s">
        <v>4483</v>
      </c>
      <c r="M150" t="s">
        <v>4446</v>
      </c>
      <c r="N150">
        <v>5</v>
      </c>
    </row>
    <row r="151" spans="1:14" x14ac:dyDescent="0.35">
      <c r="A151" t="s">
        <v>4630</v>
      </c>
      <c r="B151" t="s">
        <v>220</v>
      </c>
      <c r="C151" t="s">
        <v>1927</v>
      </c>
      <c r="D151" t="s">
        <v>4485</v>
      </c>
      <c r="E151" t="s">
        <v>4439</v>
      </c>
      <c r="F151" s="3">
        <v>44939</v>
      </c>
      <c r="G151" s="3">
        <v>44942</v>
      </c>
      <c r="H151">
        <v>91.4</v>
      </c>
      <c r="I151">
        <v>48</v>
      </c>
      <c r="J151" t="s">
        <v>4440</v>
      </c>
      <c r="K151" t="s">
        <v>4441</v>
      </c>
      <c r="L151" t="s">
        <v>4488</v>
      </c>
      <c r="M151" t="s">
        <v>1625</v>
      </c>
      <c r="N151">
        <v>3</v>
      </c>
    </row>
    <row r="152" spans="1:14" x14ac:dyDescent="0.35">
      <c r="A152" t="s">
        <v>4631</v>
      </c>
      <c r="B152" t="s">
        <v>353</v>
      </c>
      <c r="C152" t="s">
        <v>1915</v>
      </c>
      <c r="D152" t="s">
        <v>4443</v>
      </c>
      <c r="E152" t="s">
        <v>4439</v>
      </c>
      <c r="F152" s="3">
        <v>45199</v>
      </c>
      <c r="G152" s="3">
        <v>45203</v>
      </c>
      <c r="H152">
        <v>103.5</v>
      </c>
      <c r="I152">
        <v>48</v>
      </c>
      <c r="J152" t="s">
        <v>4440</v>
      </c>
      <c r="K152" t="s">
        <v>4441</v>
      </c>
      <c r="L152" t="s">
        <v>4449</v>
      </c>
      <c r="M152" t="s">
        <v>4462</v>
      </c>
      <c r="N152">
        <v>4</v>
      </c>
    </row>
    <row r="153" spans="1:14" x14ac:dyDescent="0.35">
      <c r="A153" t="s">
        <v>4632</v>
      </c>
      <c r="B153" t="s">
        <v>323</v>
      </c>
      <c r="C153" t="s">
        <v>1915</v>
      </c>
      <c r="D153" t="s">
        <v>4443</v>
      </c>
      <c r="E153" t="s">
        <v>4444</v>
      </c>
      <c r="F153" s="3">
        <v>45442</v>
      </c>
      <c r="G153" s="3">
        <v>45442</v>
      </c>
      <c r="H153">
        <v>22.7</v>
      </c>
      <c r="I153">
        <v>24</v>
      </c>
      <c r="J153" t="s">
        <v>4448</v>
      </c>
      <c r="K153" t="s">
        <v>4441</v>
      </c>
      <c r="L153" t="s">
        <v>4483</v>
      </c>
      <c r="M153" t="s">
        <v>4450</v>
      </c>
    </row>
    <row r="154" spans="1:14" x14ac:dyDescent="0.35">
      <c r="A154" t="s">
        <v>4633</v>
      </c>
      <c r="B154" t="s">
        <v>140</v>
      </c>
      <c r="C154" t="s">
        <v>1883</v>
      </c>
      <c r="D154" t="s">
        <v>4452</v>
      </c>
      <c r="E154" t="s">
        <v>4439</v>
      </c>
      <c r="F154" s="3">
        <v>45732</v>
      </c>
      <c r="G154" s="3">
        <v>45733</v>
      </c>
      <c r="H154">
        <v>39.799999999999997</v>
      </c>
      <c r="I154">
        <v>48</v>
      </c>
      <c r="J154" t="s">
        <v>4448</v>
      </c>
      <c r="K154" t="s">
        <v>4441</v>
      </c>
      <c r="L154" t="s">
        <v>4527</v>
      </c>
      <c r="M154" t="s">
        <v>4450</v>
      </c>
      <c r="N154">
        <v>4</v>
      </c>
    </row>
    <row r="155" spans="1:14" x14ac:dyDescent="0.35">
      <c r="A155" t="s">
        <v>4634</v>
      </c>
      <c r="B155" t="s">
        <v>433</v>
      </c>
      <c r="C155" t="s">
        <v>1904</v>
      </c>
      <c r="D155" t="s">
        <v>4476</v>
      </c>
      <c r="E155" t="s">
        <v>79</v>
      </c>
      <c r="F155" s="3">
        <v>45470</v>
      </c>
      <c r="G155" s="3">
        <v>45471</v>
      </c>
      <c r="H155">
        <v>44</v>
      </c>
      <c r="I155">
        <v>48</v>
      </c>
      <c r="J155" t="s">
        <v>4448</v>
      </c>
      <c r="K155" t="s">
        <v>4441</v>
      </c>
      <c r="L155" t="s">
        <v>4514</v>
      </c>
      <c r="M155" t="s">
        <v>4450</v>
      </c>
      <c r="N155">
        <v>4</v>
      </c>
    </row>
    <row r="156" spans="1:14" x14ac:dyDescent="0.35">
      <c r="A156" t="s">
        <v>4635</v>
      </c>
      <c r="B156" t="s">
        <v>360</v>
      </c>
      <c r="C156" t="s">
        <v>1890</v>
      </c>
      <c r="D156" t="s">
        <v>4464</v>
      </c>
      <c r="E156" t="s">
        <v>4473</v>
      </c>
      <c r="F156" s="3">
        <v>45254</v>
      </c>
      <c r="G156" s="3">
        <v>45254</v>
      </c>
      <c r="H156">
        <v>19.8</v>
      </c>
      <c r="I156">
        <v>8</v>
      </c>
      <c r="J156" t="s">
        <v>1945</v>
      </c>
      <c r="K156" t="s">
        <v>4441</v>
      </c>
      <c r="L156" t="s">
        <v>4527</v>
      </c>
      <c r="M156" t="s">
        <v>4450</v>
      </c>
      <c r="N156">
        <v>4</v>
      </c>
    </row>
    <row r="157" spans="1:14" x14ac:dyDescent="0.35">
      <c r="A157" t="s">
        <v>4636</v>
      </c>
      <c r="B157" t="s">
        <v>334</v>
      </c>
      <c r="C157" t="s">
        <v>1883</v>
      </c>
      <c r="D157" t="s">
        <v>4482</v>
      </c>
      <c r="E157" t="s">
        <v>4439</v>
      </c>
      <c r="F157" s="3">
        <v>45481</v>
      </c>
      <c r="G157" s="3" t="s">
        <v>537</v>
      </c>
      <c r="I157">
        <v>48</v>
      </c>
      <c r="J157" t="s">
        <v>4448</v>
      </c>
      <c r="K157" t="s">
        <v>4474</v>
      </c>
      <c r="L157" t="s">
        <v>4509</v>
      </c>
      <c r="M157" t="s">
        <v>4462</v>
      </c>
    </row>
    <row r="158" spans="1:14" x14ac:dyDescent="0.35">
      <c r="A158" t="s">
        <v>4637</v>
      </c>
      <c r="B158" t="s">
        <v>372</v>
      </c>
      <c r="C158" t="s">
        <v>1883</v>
      </c>
      <c r="D158" t="s">
        <v>4482</v>
      </c>
      <c r="E158" t="s">
        <v>4439</v>
      </c>
      <c r="F158" s="3">
        <v>45446</v>
      </c>
      <c r="G158" s="3" t="s">
        <v>537</v>
      </c>
      <c r="I158">
        <v>48</v>
      </c>
      <c r="J158" t="s">
        <v>4448</v>
      </c>
      <c r="K158" t="s">
        <v>4457</v>
      </c>
      <c r="L158" t="s">
        <v>4512</v>
      </c>
      <c r="M158" t="s">
        <v>1625</v>
      </c>
    </row>
    <row r="159" spans="1:14" x14ac:dyDescent="0.35">
      <c r="A159" t="s">
        <v>4638</v>
      </c>
      <c r="B159" t="s">
        <v>494</v>
      </c>
      <c r="C159" t="s">
        <v>1927</v>
      </c>
      <c r="D159" t="s">
        <v>4479</v>
      </c>
      <c r="E159" t="s">
        <v>4444</v>
      </c>
      <c r="F159" s="3">
        <v>45601</v>
      </c>
      <c r="G159" s="3" t="s">
        <v>537</v>
      </c>
      <c r="I159">
        <v>24</v>
      </c>
      <c r="J159" t="s">
        <v>4448</v>
      </c>
      <c r="K159" t="s">
        <v>4453</v>
      </c>
      <c r="L159" t="s">
        <v>4501</v>
      </c>
      <c r="M159" t="s">
        <v>4450</v>
      </c>
    </row>
    <row r="160" spans="1:14" x14ac:dyDescent="0.35">
      <c r="A160" t="s">
        <v>4639</v>
      </c>
      <c r="B160" t="s">
        <v>169</v>
      </c>
      <c r="C160" t="s">
        <v>1883</v>
      </c>
      <c r="D160" t="s">
        <v>4472</v>
      </c>
      <c r="E160" t="s">
        <v>4473</v>
      </c>
      <c r="F160" s="3">
        <v>45259</v>
      </c>
      <c r="G160" s="3" t="s">
        <v>537</v>
      </c>
      <c r="I160">
        <v>8</v>
      </c>
      <c r="J160" t="s">
        <v>4448</v>
      </c>
      <c r="K160" t="s">
        <v>4474</v>
      </c>
      <c r="L160" t="s">
        <v>4445</v>
      </c>
      <c r="M160" t="s">
        <v>4446</v>
      </c>
    </row>
    <row r="161" spans="1:14" x14ac:dyDescent="0.35">
      <c r="A161" t="s">
        <v>4640</v>
      </c>
      <c r="B161" t="s">
        <v>71</v>
      </c>
      <c r="C161" t="s">
        <v>1915</v>
      </c>
      <c r="D161" t="s">
        <v>4482</v>
      </c>
      <c r="E161" t="s">
        <v>4439</v>
      </c>
      <c r="F161" s="3">
        <v>45714</v>
      </c>
      <c r="G161" s="3">
        <v>45717</v>
      </c>
      <c r="H161">
        <v>81.7</v>
      </c>
      <c r="I161">
        <v>48</v>
      </c>
      <c r="J161" t="s">
        <v>4440</v>
      </c>
      <c r="K161" t="s">
        <v>4441</v>
      </c>
      <c r="L161" t="s">
        <v>4470</v>
      </c>
      <c r="M161" t="s">
        <v>1625</v>
      </c>
      <c r="N161">
        <v>4</v>
      </c>
    </row>
    <row r="162" spans="1:14" x14ac:dyDescent="0.35">
      <c r="A162" t="s">
        <v>4641</v>
      </c>
      <c r="B162" t="s">
        <v>269</v>
      </c>
      <c r="C162" t="s">
        <v>1927</v>
      </c>
      <c r="D162" t="s">
        <v>4482</v>
      </c>
      <c r="E162" t="s">
        <v>4444</v>
      </c>
      <c r="F162" s="3">
        <v>45380</v>
      </c>
      <c r="G162" s="3" t="s">
        <v>537</v>
      </c>
      <c r="I162">
        <v>24</v>
      </c>
      <c r="J162" t="s">
        <v>4440</v>
      </c>
      <c r="K162" t="s">
        <v>4474</v>
      </c>
      <c r="L162" t="s">
        <v>4470</v>
      </c>
      <c r="M162" t="s">
        <v>4450</v>
      </c>
    </row>
    <row r="163" spans="1:14" x14ac:dyDescent="0.35">
      <c r="A163" t="s">
        <v>4642</v>
      </c>
      <c r="B163" t="s">
        <v>457</v>
      </c>
      <c r="C163" t="s">
        <v>1927</v>
      </c>
      <c r="D163" t="s">
        <v>4472</v>
      </c>
      <c r="E163" t="s">
        <v>4439</v>
      </c>
      <c r="F163" s="3">
        <v>45340</v>
      </c>
      <c r="G163" s="3" t="s">
        <v>537</v>
      </c>
      <c r="I163">
        <v>48</v>
      </c>
      <c r="J163" t="s">
        <v>4440</v>
      </c>
      <c r="K163" t="s">
        <v>4474</v>
      </c>
      <c r="L163" t="s">
        <v>4470</v>
      </c>
      <c r="M163" t="s">
        <v>4446</v>
      </c>
    </row>
    <row r="164" spans="1:14" x14ac:dyDescent="0.35">
      <c r="A164" t="s">
        <v>4643</v>
      </c>
      <c r="B164" t="s">
        <v>358</v>
      </c>
      <c r="C164" t="s">
        <v>1890</v>
      </c>
      <c r="D164" t="s">
        <v>4464</v>
      </c>
      <c r="E164" t="s">
        <v>4439</v>
      </c>
      <c r="F164" s="3">
        <v>45632</v>
      </c>
      <c r="G164" s="3">
        <v>45636</v>
      </c>
      <c r="H164">
        <v>111.1</v>
      </c>
      <c r="I164">
        <v>48</v>
      </c>
      <c r="J164" t="s">
        <v>4440</v>
      </c>
      <c r="K164" t="s">
        <v>4441</v>
      </c>
      <c r="L164" t="s">
        <v>4512</v>
      </c>
      <c r="M164" t="s">
        <v>4462</v>
      </c>
      <c r="N164">
        <v>4</v>
      </c>
    </row>
    <row r="165" spans="1:14" x14ac:dyDescent="0.35">
      <c r="A165" t="s">
        <v>4644</v>
      </c>
      <c r="B165" t="s">
        <v>291</v>
      </c>
      <c r="C165" t="s">
        <v>1927</v>
      </c>
      <c r="D165" t="s">
        <v>4452</v>
      </c>
      <c r="E165" t="s">
        <v>4456</v>
      </c>
      <c r="F165" s="3">
        <v>45536</v>
      </c>
      <c r="G165" s="3">
        <v>45536</v>
      </c>
      <c r="H165">
        <v>6.3</v>
      </c>
      <c r="I165">
        <v>4</v>
      </c>
      <c r="J165" t="s">
        <v>4440</v>
      </c>
      <c r="K165" t="s">
        <v>4441</v>
      </c>
      <c r="L165" t="s">
        <v>4445</v>
      </c>
      <c r="M165" t="s">
        <v>4450</v>
      </c>
      <c r="N165">
        <v>4</v>
      </c>
    </row>
    <row r="166" spans="1:14" x14ac:dyDescent="0.35">
      <c r="A166" t="s">
        <v>4645</v>
      </c>
      <c r="B166" t="s">
        <v>329</v>
      </c>
      <c r="C166" t="s">
        <v>1883</v>
      </c>
      <c r="D166" t="s">
        <v>4490</v>
      </c>
      <c r="E166" t="s">
        <v>4439</v>
      </c>
      <c r="F166" s="3">
        <v>45481</v>
      </c>
      <c r="G166" s="3" t="s">
        <v>537</v>
      </c>
      <c r="I166">
        <v>48</v>
      </c>
      <c r="J166" t="s">
        <v>4440</v>
      </c>
      <c r="K166" t="s">
        <v>4474</v>
      </c>
      <c r="L166" t="s">
        <v>4527</v>
      </c>
      <c r="M166" t="s">
        <v>1625</v>
      </c>
    </row>
    <row r="167" spans="1:14" x14ac:dyDescent="0.35">
      <c r="A167" t="s">
        <v>4646</v>
      </c>
      <c r="B167" t="s">
        <v>273</v>
      </c>
      <c r="C167" t="s">
        <v>1890</v>
      </c>
      <c r="D167" t="s">
        <v>4472</v>
      </c>
      <c r="E167" t="s">
        <v>4444</v>
      </c>
      <c r="F167" s="3">
        <v>45307</v>
      </c>
      <c r="G167" s="3">
        <v>45308</v>
      </c>
      <c r="H167">
        <v>25.3</v>
      </c>
      <c r="I167">
        <v>24</v>
      </c>
      <c r="J167" t="s">
        <v>4440</v>
      </c>
      <c r="K167" t="s">
        <v>4441</v>
      </c>
      <c r="L167" t="s">
        <v>4461</v>
      </c>
      <c r="M167" t="s">
        <v>4462</v>
      </c>
      <c r="N167">
        <v>3</v>
      </c>
    </row>
    <row r="168" spans="1:14" x14ac:dyDescent="0.35">
      <c r="A168" t="s">
        <v>4647</v>
      </c>
      <c r="B168" t="s">
        <v>414</v>
      </c>
      <c r="C168" t="s">
        <v>1899</v>
      </c>
      <c r="D168" t="s">
        <v>4469</v>
      </c>
      <c r="E168" t="s">
        <v>4439</v>
      </c>
      <c r="F168" s="3">
        <v>45539</v>
      </c>
      <c r="G168" s="3" t="s">
        <v>537</v>
      </c>
      <c r="I168">
        <v>48</v>
      </c>
      <c r="J168" t="s">
        <v>4440</v>
      </c>
      <c r="K168" t="s">
        <v>4457</v>
      </c>
      <c r="L168" t="s">
        <v>4580</v>
      </c>
      <c r="M168" t="s">
        <v>1625</v>
      </c>
    </row>
    <row r="169" spans="1:14" x14ac:dyDescent="0.35">
      <c r="A169" t="s">
        <v>4648</v>
      </c>
      <c r="B169" t="s">
        <v>453</v>
      </c>
      <c r="C169" t="s">
        <v>1915</v>
      </c>
      <c r="D169" t="s">
        <v>4469</v>
      </c>
      <c r="E169" t="s">
        <v>4473</v>
      </c>
      <c r="F169" s="3">
        <v>45140</v>
      </c>
      <c r="G169" s="3" t="s">
        <v>537</v>
      </c>
      <c r="I169">
        <v>8</v>
      </c>
      <c r="J169" t="s">
        <v>4440</v>
      </c>
      <c r="K169" t="s">
        <v>4453</v>
      </c>
      <c r="L169" t="s">
        <v>4454</v>
      </c>
      <c r="M169" t="s">
        <v>1625</v>
      </c>
    </row>
    <row r="170" spans="1:14" x14ac:dyDescent="0.35">
      <c r="A170" t="s">
        <v>4649</v>
      </c>
      <c r="B170" t="s">
        <v>34</v>
      </c>
      <c r="C170" t="s">
        <v>1890</v>
      </c>
      <c r="D170" t="s">
        <v>4438</v>
      </c>
      <c r="E170" t="s">
        <v>4473</v>
      </c>
      <c r="F170" s="3">
        <v>45562</v>
      </c>
      <c r="G170" s="3" t="s">
        <v>537</v>
      </c>
      <c r="I170">
        <v>8</v>
      </c>
      <c r="J170" t="s">
        <v>4440</v>
      </c>
      <c r="K170" t="s">
        <v>4453</v>
      </c>
      <c r="L170" t="s">
        <v>4527</v>
      </c>
      <c r="M170" t="s">
        <v>1625</v>
      </c>
    </row>
    <row r="171" spans="1:14" x14ac:dyDescent="0.35">
      <c r="A171" t="s">
        <v>4650</v>
      </c>
      <c r="B171" t="s">
        <v>408</v>
      </c>
      <c r="C171" t="s">
        <v>1927</v>
      </c>
      <c r="D171" t="s">
        <v>4479</v>
      </c>
      <c r="E171" t="s">
        <v>4444</v>
      </c>
      <c r="F171" s="3">
        <v>45329</v>
      </c>
      <c r="G171" s="3">
        <v>45330</v>
      </c>
      <c r="H171">
        <v>31</v>
      </c>
      <c r="I171">
        <v>24</v>
      </c>
      <c r="J171" t="s">
        <v>4440</v>
      </c>
      <c r="K171" t="s">
        <v>4441</v>
      </c>
      <c r="L171" t="s">
        <v>4501</v>
      </c>
      <c r="M171" t="s">
        <v>4462</v>
      </c>
    </row>
    <row r="172" spans="1:14" x14ac:dyDescent="0.35">
      <c r="A172" t="s">
        <v>4651</v>
      </c>
      <c r="B172" t="s">
        <v>154</v>
      </c>
      <c r="C172" t="s">
        <v>1927</v>
      </c>
      <c r="D172" t="s">
        <v>4452</v>
      </c>
      <c r="E172" t="s">
        <v>4456</v>
      </c>
      <c r="F172" s="3">
        <v>45382</v>
      </c>
      <c r="G172" s="3">
        <v>45382</v>
      </c>
      <c r="H172">
        <v>3.7</v>
      </c>
      <c r="I172">
        <v>4</v>
      </c>
      <c r="J172" t="s">
        <v>4448</v>
      </c>
      <c r="K172" t="s">
        <v>4441</v>
      </c>
      <c r="L172" t="s">
        <v>4461</v>
      </c>
      <c r="M172" t="s">
        <v>1625</v>
      </c>
      <c r="N172">
        <v>5</v>
      </c>
    </row>
    <row r="173" spans="1:14" x14ac:dyDescent="0.35">
      <c r="A173" t="s">
        <v>4652</v>
      </c>
      <c r="B173" t="s">
        <v>330</v>
      </c>
      <c r="C173" t="s">
        <v>1927</v>
      </c>
      <c r="D173" t="s">
        <v>4490</v>
      </c>
      <c r="E173" t="s">
        <v>4439</v>
      </c>
      <c r="F173" s="3">
        <v>45544</v>
      </c>
      <c r="G173" s="3" t="s">
        <v>537</v>
      </c>
      <c r="I173">
        <v>48</v>
      </c>
      <c r="J173" t="s">
        <v>4440</v>
      </c>
      <c r="K173" t="s">
        <v>4457</v>
      </c>
      <c r="L173" t="s">
        <v>4449</v>
      </c>
      <c r="M173" t="s">
        <v>1625</v>
      </c>
    </row>
    <row r="174" spans="1:14" x14ac:dyDescent="0.35">
      <c r="A174" t="s">
        <v>4653</v>
      </c>
      <c r="B174" t="s">
        <v>283</v>
      </c>
      <c r="C174" t="s">
        <v>1915</v>
      </c>
      <c r="D174" t="s">
        <v>4452</v>
      </c>
      <c r="E174" t="s">
        <v>4444</v>
      </c>
      <c r="F174" s="3">
        <v>45221</v>
      </c>
      <c r="G174" s="3">
        <v>45223</v>
      </c>
      <c r="H174">
        <v>59</v>
      </c>
      <c r="I174">
        <v>24</v>
      </c>
      <c r="J174" t="s">
        <v>4440</v>
      </c>
      <c r="K174" t="s">
        <v>4441</v>
      </c>
      <c r="L174" t="s">
        <v>4483</v>
      </c>
      <c r="M174" t="s">
        <v>4462</v>
      </c>
      <c r="N174">
        <v>4</v>
      </c>
    </row>
    <row r="175" spans="1:14" x14ac:dyDescent="0.35">
      <c r="A175" t="s">
        <v>4654</v>
      </c>
      <c r="B175" t="s">
        <v>263</v>
      </c>
      <c r="C175" t="s">
        <v>1927</v>
      </c>
      <c r="D175" t="s">
        <v>4490</v>
      </c>
      <c r="E175" t="s">
        <v>4439</v>
      </c>
      <c r="F175" s="3">
        <v>45442</v>
      </c>
      <c r="G175" s="3" t="s">
        <v>537</v>
      </c>
      <c r="I175">
        <v>48</v>
      </c>
      <c r="J175" t="s">
        <v>4448</v>
      </c>
      <c r="K175" t="s">
        <v>4457</v>
      </c>
      <c r="L175" t="s">
        <v>4514</v>
      </c>
      <c r="M175" t="s">
        <v>4450</v>
      </c>
    </row>
    <row r="176" spans="1:14" x14ac:dyDescent="0.35">
      <c r="A176" t="s">
        <v>4655</v>
      </c>
      <c r="B176" t="s">
        <v>318</v>
      </c>
      <c r="C176" t="s">
        <v>1904</v>
      </c>
      <c r="D176" t="s">
        <v>4476</v>
      </c>
      <c r="E176" t="s">
        <v>4473</v>
      </c>
      <c r="F176" s="3">
        <v>45448</v>
      </c>
      <c r="G176" s="3">
        <v>45448</v>
      </c>
      <c r="H176">
        <v>19</v>
      </c>
      <c r="I176">
        <v>8</v>
      </c>
      <c r="J176" t="s">
        <v>4440</v>
      </c>
      <c r="K176" t="s">
        <v>4441</v>
      </c>
      <c r="L176" t="s">
        <v>4449</v>
      </c>
      <c r="M176" t="s">
        <v>4446</v>
      </c>
      <c r="N176">
        <v>3</v>
      </c>
    </row>
    <row r="177" spans="1:14" x14ac:dyDescent="0.35">
      <c r="A177" t="s">
        <v>4656</v>
      </c>
      <c r="B177" t="s">
        <v>216</v>
      </c>
      <c r="C177" t="s">
        <v>1927</v>
      </c>
      <c r="D177" t="s">
        <v>4438</v>
      </c>
      <c r="E177" t="s">
        <v>4444</v>
      </c>
      <c r="F177" s="3">
        <v>45666</v>
      </c>
      <c r="G177" s="3" t="s">
        <v>537</v>
      </c>
      <c r="I177">
        <v>24</v>
      </c>
      <c r="J177" t="s">
        <v>4440</v>
      </c>
      <c r="K177" t="s">
        <v>4474</v>
      </c>
      <c r="L177" t="s">
        <v>4467</v>
      </c>
      <c r="M177" t="s">
        <v>4450</v>
      </c>
    </row>
    <row r="178" spans="1:14" x14ac:dyDescent="0.35">
      <c r="A178" t="s">
        <v>4657</v>
      </c>
      <c r="B178" t="s">
        <v>442</v>
      </c>
      <c r="C178" t="s">
        <v>1915</v>
      </c>
      <c r="D178" t="s">
        <v>4438</v>
      </c>
      <c r="E178" t="s">
        <v>4473</v>
      </c>
      <c r="F178" s="3">
        <v>45676</v>
      </c>
      <c r="G178" s="3">
        <v>45676</v>
      </c>
      <c r="H178">
        <v>6.7</v>
      </c>
      <c r="I178">
        <v>8</v>
      </c>
      <c r="J178" t="s">
        <v>4448</v>
      </c>
      <c r="K178" t="s">
        <v>4441</v>
      </c>
      <c r="L178" t="s">
        <v>4449</v>
      </c>
      <c r="M178" t="s">
        <v>4462</v>
      </c>
      <c r="N178">
        <v>2</v>
      </c>
    </row>
    <row r="179" spans="1:14" x14ac:dyDescent="0.35">
      <c r="A179" t="s">
        <v>4658</v>
      </c>
      <c r="B179" t="s">
        <v>399</v>
      </c>
      <c r="C179" t="s">
        <v>1915</v>
      </c>
      <c r="D179" t="s">
        <v>4438</v>
      </c>
      <c r="E179" t="s">
        <v>4444</v>
      </c>
      <c r="F179" s="3">
        <v>45677</v>
      </c>
      <c r="G179" s="3">
        <v>45679</v>
      </c>
      <c r="H179">
        <v>49.5</v>
      </c>
      <c r="I179">
        <v>24</v>
      </c>
      <c r="J179" t="s">
        <v>4440</v>
      </c>
      <c r="K179" t="s">
        <v>4441</v>
      </c>
      <c r="L179" t="s">
        <v>4483</v>
      </c>
      <c r="M179" t="s">
        <v>1625</v>
      </c>
      <c r="N179">
        <v>5</v>
      </c>
    </row>
    <row r="180" spans="1:14" x14ac:dyDescent="0.35">
      <c r="A180" t="s">
        <v>4659</v>
      </c>
      <c r="B180" t="s">
        <v>302</v>
      </c>
      <c r="C180" t="s">
        <v>1883</v>
      </c>
      <c r="D180" t="s">
        <v>4464</v>
      </c>
      <c r="E180" t="s">
        <v>4444</v>
      </c>
      <c r="F180" s="3">
        <v>45460</v>
      </c>
      <c r="G180" s="3">
        <v>45460</v>
      </c>
      <c r="H180">
        <v>21</v>
      </c>
      <c r="I180">
        <v>24</v>
      </c>
      <c r="J180" t="s">
        <v>4448</v>
      </c>
      <c r="K180" t="s">
        <v>4441</v>
      </c>
      <c r="L180" t="s">
        <v>1907</v>
      </c>
      <c r="M180" t="s">
        <v>4446</v>
      </c>
      <c r="N180">
        <v>4</v>
      </c>
    </row>
    <row r="181" spans="1:14" x14ac:dyDescent="0.35">
      <c r="A181" t="s">
        <v>4660</v>
      </c>
      <c r="B181" t="s">
        <v>398</v>
      </c>
      <c r="C181" t="s">
        <v>1927</v>
      </c>
      <c r="D181" t="s">
        <v>4490</v>
      </c>
      <c r="E181" t="s">
        <v>4456</v>
      </c>
      <c r="F181" s="3">
        <v>45025</v>
      </c>
      <c r="G181" s="3" t="s">
        <v>537</v>
      </c>
      <c r="I181">
        <v>4</v>
      </c>
      <c r="J181" t="s">
        <v>4448</v>
      </c>
      <c r="K181" t="s">
        <v>4457</v>
      </c>
      <c r="L181" t="s">
        <v>4527</v>
      </c>
      <c r="M181" t="s">
        <v>4462</v>
      </c>
    </row>
    <row r="182" spans="1:14" x14ac:dyDescent="0.35">
      <c r="A182" t="s">
        <v>4661</v>
      </c>
      <c r="B182" t="s">
        <v>284</v>
      </c>
      <c r="C182" t="s">
        <v>1883</v>
      </c>
      <c r="D182" t="s">
        <v>4490</v>
      </c>
      <c r="E182" t="s">
        <v>4444</v>
      </c>
      <c r="F182" s="3">
        <v>45432</v>
      </c>
      <c r="G182" s="3" t="s">
        <v>537</v>
      </c>
      <c r="I182">
        <v>24</v>
      </c>
      <c r="J182" t="s">
        <v>4440</v>
      </c>
      <c r="K182" t="s">
        <v>4457</v>
      </c>
      <c r="L182" t="s">
        <v>4467</v>
      </c>
      <c r="M182" t="s">
        <v>4446</v>
      </c>
    </row>
    <row r="183" spans="1:14" x14ac:dyDescent="0.35">
      <c r="A183" t="s">
        <v>4662</v>
      </c>
      <c r="B183" t="s">
        <v>373</v>
      </c>
      <c r="C183" t="s">
        <v>1927</v>
      </c>
      <c r="D183" t="s">
        <v>4452</v>
      </c>
      <c r="E183" t="s">
        <v>4473</v>
      </c>
      <c r="F183" s="3">
        <v>45572</v>
      </c>
      <c r="G183" s="3">
        <v>45572</v>
      </c>
      <c r="H183">
        <v>18.3</v>
      </c>
      <c r="I183">
        <v>8</v>
      </c>
      <c r="J183" t="s">
        <v>4440</v>
      </c>
      <c r="K183" t="s">
        <v>4441</v>
      </c>
      <c r="L183" t="s">
        <v>4449</v>
      </c>
      <c r="M183" t="s">
        <v>1625</v>
      </c>
      <c r="N183">
        <v>4</v>
      </c>
    </row>
    <row r="184" spans="1:14" x14ac:dyDescent="0.35">
      <c r="A184" t="s">
        <v>4663</v>
      </c>
      <c r="B184" t="s">
        <v>362</v>
      </c>
      <c r="C184" t="s">
        <v>1904</v>
      </c>
      <c r="D184" t="s">
        <v>4460</v>
      </c>
      <c r="E184" t="s">
        <v>4439</v>
      </c>
      <c r="F184" s="3">
        <v>45630</v>
      </c>
      <c r="G184" s="3" t="s">
        <v>537</v>
      </c>
      <c r="I184">
        <v>48</v>
      </c>
      <c r="J184" t="s">
        <v>1945</v>
      </c>
      <c r="K184" t="s">
        <v>4453</v>
      </c>
      <c r="L184" t="s">
        <v>4488</v>
      </c>
      <c r="M184" t="s">
        <v>4446</v>
      </c>
    </row>
    <row r="185" spans="1:14" x14ac:dyDescent="0.35">
      <c r="A185" t="s">
        <v>4664</v>
      </c>
      <c r="B185" t="s">
        <v>287</v>
      </c>
      <c r="C185" t="s">
        <v>1899</v>
      </c>
      <c r="D185" t="s">
        <v>4469</v>
      </c>
      <c r="E185" t="s">
        <v>4444</v>
      </c>
      <c r="F185" s="3">
        <v>45587</v>
      </c>
      <c r="G185" s="3" t="s">
        <v>537</v>
      </c>
      <c r="I185">
        <v>24</v>
      </c>
      <c r="J185" t="s">
        <v>4448</v>
      </c>
      <c r="K185" t="s">
        <v>4457</v>
      </c>
      <c r="L185" t="s">
        <v>4454</v>
      </c>
      <c r="M185" t="s">
        <v>1625</v>
      </c>
    </row>
    <row r="186" spans="1:14" x14ac:dyDescent="0.35">
      <c r="A186" t="s">
        <v>4665</v>
      </c>
      <c r="B186" t="s">
        <v>392</v>
      </c>
      <c r="C186" t="s">
        <v>1927</v>
      </c>
      <c r="D186" t="s">
        <v>4452</v>
      </c>
      <c r="E186" t="s">
        <v>4456</v>
      </c>
      <c r="F186" s="3">
        <v>45108</v>
      </c>
      <c r="G186" s="3">
        <v>45108</v>
      </c>
      <c r="H186">
        <v>7.2</v>
      </c>
      <c r="I186">
        <v>4</v>
      </c>
      <c r="J186" t="s">
        <v>4440</v>
      </c>
      <c r="K186" t="s">
        <v>4441</v>
      </c>
      <c r="L186" t="s">
        <v>4465</v>
      </c>
      <c r="M186" t="s">
        <v>4450</v>
      </c>
      <c r="N186">
        <v>5</v>
      </c>
    </row>
    <row r="187" spans="1:14" x14ac:dyDescent="0.35">
      <c r="A187" t="s">
        <v>4666</v>
      </c>
      <c r="B187" t="s">
        <v>110</v>
      </c>
      <c r="C187" t="s">
        <v>1915</v>
      </c>
      <c r="D187" t="s">
        <v>4460</v>
      </c>
      <c r="E187" t="s">
        <v>4456</v>
      </c>
      <c r="F187" s="3">
        <v>45283</v>
      </c>
      <c r="G187" s="3">
        <v>45283</v>
      </c>
      <c r="H187">
        <v>7.9</v>
      </c>
      <c r="I187">
        <v>4</v>
      </c>
      <c r="J187" t="s">
        <v>4440</v>
      </c>
      <c r="K187" t="s">
        <v>4441</v>
      </c>
      <c r="L187" t="s">
        <v>4580</v>
      </c>
      <c r="M187" t="s">
        <v>4450</v>
      </c>
      <c r="N187">
        <v>4</v>
      </c>
    </row>
    <row r="188" spans="1:14" x14ac:dyDescent="0.35">
      <c r="A188" t="s">
        <v>4667</v>
      </c>
      <c r="B188" t="s">
        <v>383</v>
      </c>
      <c r="C188" t="s">
        <v>1927</v>
      </c>
      <c r="D188" t="s">
        <v>4469</v>
      </c>
      <c r="E188" t="s">
        <v>4473</v>
      </c>
      <c r="F188" s="3">
        <v>45572</v>
      </c>
      <c r="G188" s="3">
        <v>45572</v>
      </c>
      <c r="H188">
        <v>19</v>
      </c>
      <c r="I188">
        <v>8</v>
      </c>
      <c r="J188" t="s">
        <v>4440</v>
      </c>
      <c r="K188" t="s">
        <v>4441</v>
      </c>
      <c r="L188" t="s">
        <v>4514</v>
      </c>
      <c r="M188" t="s">
        <v>1625</v>
      </c>
      <c r="N188">
        <v>4</v>
      </c>
    </row>
    <row r="189" spans="1:14" x14ac:dyDescent="0.35">
      <c r="A189" t="s">
        <v>4668</v>
      </c>
      <c r="B189" t="s">
        <v>372</v>
      </c>
      <c r="C189" t="s">
        <v>1890</v>
      </c>
      <c r="D189" t="s">
        <v>4438</v>
      </c>
      <c r="E189" t="s">
        <v>4456</v>
      </c>
      <c r="F189" s="3">
        <v>45027</v>
      </c>
      <c r="G189" s="3">
        <v>45027</v>
      </c>
      <c r="H189">
        <v>6.8</v>
      </c>
      <c r="I189">
        <v>4</v>
      </c>
      <c r="J189" t="s">
        <v>4440</v>
      </c>
      <c r="K189" t="s">
        <v>4441</v>
      </c>
      <c r="L189" t="s">
        <v>4492</v>
      </c>
      <c r="M189" t="s">
        <v>4462</v>
      </c>
      <c r="N189">
        <v>2</v>
      </c>
    </row>
    <row r="190" spans="1:14" x14ac:dyDescent="0.35">
      <c r="A190" t="s">
        <v>4669</v>
      </c>
      <c r="B190" t="s">
        <v>207</v>
      </c>
      <c r="C190" t="s">
        <v>1927</v>
      </c>
      <c r="D190" t="s">
        <v>4460</v>
      </c>
      <c r="E190" t="s">
        <v>4444</v>
      </c>
      <c r="F190" s="3">
        <v>44982</v>
      </c>
      <c r="G190" s="3">
        <v>44982</v>
      </c>
      <c r="H190">
        <v>18.399999999999999</v>
      </c>
      <c r="I190">
        <v>24</v>
      </c>
      <c r="J190" t="s">
        <v>4448</v>
      </c>
      <c r="K190" t="s">
        <v>4441</v>
      </c>
      <c r="L190" t="s">
        <v>4492</v>
      </c>
      <c r="M190" t="s">
        <v>4462</v>
      </c>
      <c r="N190">
        <v>4</v>
      </c>
    </row>
    <row r="191" spans="1:14" x14ac:dyDescent="0.35">
      <c r="A191" t="s">
        <v>4670</v>
      </c>
      <c r="B191" t="s">
        <v>405</v>
      </c>
      <c r="C191" t="s">
        <v>1904</v>
      </c>
      <c r="D191" t="s">
        <v>4452</v>
      </c>
      <c r="E191" t="s">
        <v>4456</v>
      </c>
      <c r="F191" s="3">
        <v>45515</v>
      </c>
      <c r="G191" s="3">
        <v>45515</v>
      </c>
      <c r="H191">
        <v>1</v>
      </c>
      <c r="I191">
        <v>4</v>
      </c>
      <c r="J191" t="s">
        <v>4448</v>
      </c>
      <c r="K191" t="s">
        <v>4441</v>
      </c>
      <c r="L191" t="s">
        <v>4492</v>
      </c>
      <c r="M191" t="s">
        <v>4450</v>
      </c>
      <c r="N191">
        <v>3</v>
      </c>
    </row>
    <row r="192" spans="1:14" x14ac:dyDescent="0.35">
      <c r="A192" t="s">
        <v>4671</v>
      </c>
      <c r="B192" t="s">
        <v>268</v>
      </c>
      <c r="C192" t="s">
        <v>1904</v>
      </c>
      <c r="D192" t="s">
        <v>4476</v>
      </c>
      <c r="E192" t="s">
        <v>4473</v>
      </c>
      <c r="F192" s="3">
        <v>45287</v>
      </c>
      <c r="G192" s="3" t="s">
        <v>537</v>
      </c>
      <c r="I192">
        <v>8</v>
      </c>
      <c r="J192" t="s">
        <v>4440</v>
      </c>
      <c r="K192" t="s">
        <v>4457</v>
      </c>
      <c r="L192" t="s">
        <v>4512</v>
      </c>
      <c r="M192" t="s">
        <v>4462</v>
      </c>
    </row>
    <row r="193" spans="1:14" x14ac:dyDescent="0.35">
      <c r="A193" t="s">
        <v>4672</v>
      </c>
      <c r="B193" t="s">
        <v>313</v>
      </c>
      <c r="C193" t="s">
        <v>1890</v>
      </c>
      <c r="D193" t="s">
        <v>4464</v>
      </c>
      <c r="E193" t="s">
        <v>4439</v>
      </c>
      <c r="F193" s="3">
        <v>45266</v>
      </c>
      <c r="G193" s="3">
        <v>45269</v>
      </c>
      <c r="H193">
        <v>76.8</v>
      </c>
      <c r="I193">
        <v>48</v>
      </c>
      <c r="J193" t="s">
        <v>4440</v>
      </c>
      <c r="K193" t="s">
        <v>4441</v>
      </c>
      <c r="L193" t="s">
        <v>4458</v>
      </c>
      <c r="M193" t="s">
        <v>4462</v>
      </c>
      <c r="N193">
        <v>4</v>
      </c>
    </row>
    <row r="194" spans="1:14" x14ac:dyDescent="0.35">
      <c r="A194" t="s">
        <v>4673</v>
      </c>
      <c r="B194" t="s">
        <v>360</v>
      </c>
      <c r="C194" t="s">
        <v>1904</v>
      </c>
      <c r="D194" t="s">
        <v>4460</v>
      </c>
      <c r="E194" t="s">
        <v>4444</v>
      </c>
      <c r="F194" s="3">
        <v>45694</v>
      </c>
      <c r="G194" s="3">
        <v>45694</v>
      </c>
      <c r="H194">
        <v>11.3</v>
      </c>
      <c r="I194">
        <v>24</v>
      </c>
      <c r="J194" t="s">
        <v>4448</v>
      </c>
      <c r="K194" t="s">
        <v>4441</v>
      </c>
      <c r="L194" t="s">
        <v>4445</v>
      </c>
      <c r="M194" t="s">
        <v>4462</v>
      </c>
    </row>
    <row r="195" spans="1:14" x14ac:dyDescent="0.35">
      <c r="A195" t="s">
        <v>4674</v>
      </c>
      <c r="B195" t="s">
        <v>186</v>
      </c>
      <c r="C195" t="s">
        <v>1904</v>
      </c>
      <c r="D195" t="s">
        <v>4460</v>
      </c>
      <c r="E195" t="s">
        <v>4444</v>
      </c>
      <c r="F195" s="3">
        <v>45177</v>
      </c>
      <c r="G195" s="3">
        <v>45179</v>
      </c>
      <c r="H195">
        <v>52.7</v>
      </c>
      <c r="I195">
        <v>24</v>
      </c>
      <c r="J195" t="s">
        <v>4440</v>
      </c>
      <c r="K195" t="s">
        <v>4441</v>
      </c>
      <c r="L195" t="s">
        <v>4449</v>
      </c>
      <c r="M195" t="s">
        <v>4450</v>
      </c>
      <c r="N195">
        <v>4</v>
      </c>
    </row>
    <row r="196" spans="1:14" x14ac:dyDescent="0.35">
      <c r="A196" t="s">
        <v>4675</v>
      </c>
      <c r="B196" t="s">
        <v>308</v>
      </c>
      <c r="C196" t="s">
        <v>1927</v>
      </c>
      <c r="D196" t="s">
        <v>4469</v>
      </c>
      <c r="E196" t="s">
        <v>4444</v>
      </c>
      <c r="F196" s="3">
        <v>45633</v>
      </c>
      <c r="G196" s="3">
        <v>45633</v>
      </c>
      <c r="H196">
        <v>9.5</v>
      </c>
      <c r="I196">
        <v>24</v>
      </c>
      <c r="J196" t="s">
        <v>4448</v>
      </c>
      <c r="K196" t="s">
        <v>4441</v>
      </c>
      <c r="L196" t="s">
        <v>4527</v>
      </c>
      <c r="M196" t="s">
        <v>4450</v>
      </c>
      <c r="N196">
        <v>4</v>
      </c>
    </row>
    <row r="197" spans="1:14" x14ac:dyDescent="0.35">
      <c r="A197" t="s">
        <v>4676</v>
      </c>
      <c r="B197" t="s">
        <v>488</v>
      </c>
      <c r="C197" t="s">
        <v>1899</v>
      </c>
      <c r="D197" t="s">
        <v>4438</v>
      </c>
      <c r="E197" t="s">
        <v>4444</v>
      </c>
      <c r="F197" s="3">
        <v>45170</v>
      </c>
      <c r="G197" s="3">
        <v>45171</v>
      </c>
      <c r="H197">
        <v>26.2</v>
      </c>
      <c r="I197">
        <v>24</v>
      </c>
      <c r="J197" t="s">
        <v>4440</v>
      </c>
      <c r="K197" t="s">
        <v>4441</v>
      </c>
      <c r="L197" t="s">
        <v>4483</v>
      </c>
      <c r="M197" t="s">
        <v>4462</v>
      </c>
      <c r="N197">
        <v>4</v>
      </c>
    </row>
    <row r="198" spans="1:14" x14ac:dyDescent="0.35">
      <c r="A198" t="s">
        <v>4677</v>
      </c>
      <c r="B198" t="s">
        <v>312</v>
      </c>
      <c r="C198" t="s">
        <v>1915</v>
      </c>
      <c r="D198" t="s">
        <v>4443</v>
      </c>
      <c r="E198" t="s">
        <v>4439</v>
      </c>
      <c r="F198" s="3">
        <v>45449</v>
      </c>
      <c r="G198" s="3">
        <v>45451</v>
      </c>
      <c r="H198">
        <v>60.3</v>
      </c>
      <c r="I198">
        <v>48</v>
      </c>
      <c r="J198" t="s">
        <v>4440</v>
      </c>
      <c r="K198" t="s">
        <v>4441</v>
      </c>
      <c r="L198" t="s">
        <v>4533</v>
      </c>
      <c r="M198" t="s">
        <v>4462</v>
      </c>
      <c r="N198">
        <v>4</v>
      </c>
    </row>
    <row r="199" spans="1:14" x14ac:dyDescent="0.35">
      <c r="A199" t="s">
        <v>4678</v>
      </c>
      <c r="B199" t="s">
        <v>169</v>
      </c>
      <c r="C199" t="s">
        <v>1915</v>
      </c>
      <c r="D199" t="s">
        <v>4452</v>
      </c>
      <c r="E199" t="s">
        <v>4444</v>
      </c>
      <c r="F199" s="3">
        <v>45153</v>
      </c>
      <c r="G199" s="3">
        <v>45154</v>
      </c>
      <c r="H199">
        <v>46.6</v>
      </c>
      <c r="I199">
        <v>24</v>
      </c>
      <c r="J199" t="s">
        <v>4440</v>
      </c>
      <c r="K199" t="s">
        <v>4441</v>
      </c>
      <c r="L199" t="s">
        <v>4533</v>
      </c>
      <c r="M199" t="s">
        <v>4450</v>
      </c>
      <c r="N199">
        <v>4</v>
      </c>
    </row>
    <row r="200" spans="1:14" x14ac:dyDescent="0.35">
      <c r="A200" t="s">
        <v>4679</v>
      </c>
      <c r="B200" t="s">
        <v>263</v>
      </c>
      <c r="C200" t="s">
        <v>1915</v>
      </c>
      <c r="D200" t="s">
        <v>4476</v>
      </c>
      <c r="E200" t="s">
        <v>4439</v>
      </c>
      <c r="F200" s="3">
        <v>45121</v>
      </c>
      <c r="G200" s="3">
        <v>45121</v>
      </c>
      <c r="H200">
        <v>21.8</v>
      </c>
      <c r="I200">
        <v>48</v>
      </c>
      <c r="J200" t="s">
        <v>4448</v>
      </c>
      <c r="K200" t="s">
        <v>4441</v>
      </c>
      <c r="L200" t="s">
        <v>4492</v>
      </c>
      <c r="M200" t="s">
        <v>4450</v>
      </c>
      <c r="N200">
        <v>5</v>
      </c>
    </row>
    <row r="201" spans="1:14" x14ac:dyDescent="0.35">
      <c r="A201" t="s">
        <v>4680</v>
      </c>
      <c r="B201" t="s">
        <v>57</v>
      </c>
      <c r="C201" t="s">
        <v>1927</v>
      </c>
      <c r="D201" t="s">
        <v>4460</v>
      </c>
      <c r="E201" t="s">
        <v>4439</v>
      </c>
      <c r="F201" s="3">
        <v>45547</v>
      </c>
      <c r="G201" s="3" t="s">
        <v>537</v>
      </c>
      <c r="I201">
        <v>48</v>
      </c>
      <c r="J201" t="s">
        <v>4440</v>
      </c>
      <c r="K201" t="s">
        <v>4453</v>
      </c>
      <c r="L201" t="s">
        <v>4458</v>
      </c>
      <c r="M201" t="s">
        <v>4450</v>
      </c>
    </row>
    <row r="202" spans="1:14" x14ac:dyDescent="0.35">
      <c r="A202" t="s">
        <v>4681</v>
      </c>
      <c r="B202" t="s">
        <v>178</v>
      </c>
      <c r="C202" t="s">
        <v>1915</v>
      </c>
      <c r="D202" t="s">
        <v>4485</v>
      </c>
      <c r="E202" t="s">
        <v>4473</v>
      </c>
      <c r="F202" s="3">
        <v>45223</v>
      </c>
      <c r="G202" s="3">
        <v>45223</v>
      </c>
      <c r="H202">
        <v>4</v>
      </c>
      <c r="I202">
        <v>8</v>
      </c>
      <c r="J202" t="s">
        <v>4448</v>
      </c>
      <c r="K202" t="s">
        <v>4441</v>
      </c>
      <c r="L202" t="s">
        <v>4527</v>
      </c>
      <c r="M202" t="s">
        <v>4462</v>
      </c>
      <c r="N202">
        <v>4</v>
      </c>
    </row>
    <row r="203" spans="1:14" x14ac:dyDescent="0.35">
      <c r="A203" t="s">
        <v>4682</v>
      </c>
      <c r="B203" t="s">
        <v>97</v>
      </c>
      <c r="C203" t="s">
        <v>1883</v>
      </c>
      <c r="D203" t="s">
        <v>4469</v>
      </c>
      <c r="E203" t="s">
        <v>4439</v>
      </c>
      <c r="F203" s="3">
        <v>45680</v>
      </c>
      <c r="G203" s="3" t="s">
        <v>537</v>
      </c>
      <c r="I203">
        <v>48</v>
      </c>
      <c r="J203" t="s">
        <v>1945</v>
      </c>
      <c r="K203" t="s">
        <v>4453</v>
      </c>
      <c r="L203" t="s">
        <v>4492</v>
      </c>
      <c r="M203" t="s">
        <v>1625</v>
      </c>
    </row>
    <row r="204" spans="1:14" x14ac:dyDescent="0.35">
      <c r="A204" t="s">
        <v>4683</v>
      </c>
      <c r="B204" t="s">
        <v>114</v>
      </c>
      <c r="C204" t="s">
        <v>1927</v>
      </c>
      <c r="D204" t="s">
        <v>4460</v>
      </c>
      <c r="E204" t="s">
        <v>4444</v>
      </c>
      <c r="F204" s="3">
        <v>45635</v>
      </c>
      <c r="G204" s="3">
        <v>45635</v>
      </c>
      <c r="H204">
        <v>22.2</v>
      </c>
      <c r="I204">
        <v>24</v>
      </c>
      <c r="J204" t="s">
        <v>4448</v>
      </c>
      <c r="K204" t="s">
        <v>4441</v>
      </c>
      <c r="L204" t="s">
        <v>4445</v>
      </c>
      <c r="M204" t="s">
        <v>4462</v>
      </c>
      <c r="N204">
        <v>4</v>
      </c>
    </row>
    <row r="205" spans="1:14" x14ac:dyDescent="0.35">
      <c r="A205" t="s">
        <v>4684</v>
      </c>
      <c r="B205" t="s">
        <v>158</v>
      </c>
      <c r="C205" t="s">
        <v>1899</v>
      </c>
      <c r="D205" t="s">
        <v>4482</v>
      </c>
      <c r="E205" t="s">
        <v>4439</v>
      </c>
      <c r="F205" s="3">
        <v>45170</v>
      </c>
      <c r="G205" s="3" t="s">
        <v>537</v>
      </c>
      <c r="I205">
        <v>48</v>
      </c>
      <c r="J205" t="s">
        <v>4440</v>
      </c>
      <c r="K205" t="s">
        <v>4474</v>
      </c>
      <c r="L205" t="s">
        <v>4514</v>
      </c>
      <c r="M205" t="s">
        <v>4450</v>
      </c>
    </row>
    <row r="206" spans="1:14" x14ac:dyDescent="0.35">
      <c r="A206" t="s">
        <v>4685</v>
      </c>
      <c r="B206" t="s">
        <v>308</v>
      </c>
      <c r="C206" t="s">
        <v>1890</v>
      </c>
      <c r="D206" t="s">
        <v>4460</v>
      </c>
      <c r="E206" t="s">
        <v>4473</v>
      </c>
      <c r="F206" s="3">
        <v>45427</v>
      </c>
      <c r="G206" s="3">
        <v>45427</v>
      </c>
      <c r="H206">
        <v>2.8</v>
      </c>
      <c r="I206">
        <v>8</v>
      </c>
      <c r="J206" t="s">
        <v>4448</v>
      </c>
      <c r="K206" t="s">
        <v>4441</v>
      </c>
      <c r="L206" t="s">
        <v>4461</v>
      </c>
      <c r="M206" t="s">
        <v>1625</v>
      </c>
    </row>
    <row r="207" spans="1:14" x14ac:dyDescent="0.35">
      <c r="A207" t="s">
        <v>4686</v>
      </c>
      <c r="B207" t="s">
        <v>350</v>
      </c>
      <c r="C207" t="s">
        <v>1915</v>
      </c>
      <c r="D207" t="s">
        <v>4490</v>
      </c>
      <c r="E207" t="s">
        <v>4473</v>
      </c>
      <c r="F207" s="3">
        <v>45483</v>
      </c>
      <c r="G207" s="3">
        <v>45483</v>
      </c>
      <c r="H207">
        <v>3.4</v>
      </c>
      <c r="I207">
        <v>8</v>
      </c>
      <c r="J207" t="s">
        <v>4448</v>
      </c>
      <c r="K207" t="s">
        <v>4441</v>
      </c>
      <c r="L207" t="s">
        <v>4445</v>
      </c>
      <c r="M207" t="s">
        <v>4446</v>
      </c>
      <c r="N207">
        <v>5</v>
      </c>
    </row>
    <row r="208" spans="1:14" x14ac:dyDescent="0.35">
      <c r="A208" t="s">
        <v>4687</v>
      </c>
      <c r="B208" t="s">
        <v>401</v>
      </c>
      <c r="C208" t="s">
        <v>1890</v>
      </c>
      <c r="D208" t="s">
        <v>4476</v>
      </c>
      <c r="E208" t="s">
        <v>4439</v>
      </c>
      <c r="F208" s="3">
        <v>45046</v>
      </c>
      <c r="G208" s="3" t="s">
        <v>537</v>
      </c>
      <c r="I208">
        <v>48</v>
      </c>
      <c r="J208" t="s">
        <v>4448</v>
      </c>
      <c r="K208" t="s">
        <v>4453</v>
      </c>
      <c r="L208" t="s">
        <v>4465</v>
      </c>
      <c r="M208" t="s">
        <v>4462</v>
      </c>
    </row>
    <row r="209" spans="1:14" x14ac:dyDescent="0.35">
      <c r="A209" t="s">
        <v>4688</v>
      </c>
      <c r="B209" t="s">
        <v>313</v>
      </c>
      <c r="C209" t="s">
        <v>1890</v>
      </c>
      <c r="D209" t="s">
        <v>4469</v>
      </c>
      <c r="E209" t="s">
        <v>4473</v>
      </c>
      <c r="F209" s="3">
        <v>45355</v>
      </c>
      <c r="G209" s="3">
        <v>45355</v>
      </c>
      <c r="H209">
        <v>7.1</v>
      </c>
      <c r="I209">
        <v>8</v>
      </c>
      <c r="J209" t="s">
        <v>4448</v>
      </c>
      <c r="K209" t="s">
        <v>4441</v>
      </c>
      <c r="L209" t="s">
        <v>4449</v>
      </c>
      <c r="M209" t="s">
        <v>4446</v>
      </c>
      <c r="N209">
        <v>2</v>
      </c>
    </row>
    <row r="210" spans="1:14" x14ac:dyDescent="0.35">
      <c r="A210" t="s">
        <v>4689</v>
      </c>
      <c r="B210" t="s">
        <v>479</v>
      </c>
      <c r="C210" t="s">
        <v>1927</v>
      </c>
      <c r="D210" t="s">
        <v>4452</v>
      </c>
      <c r="E210" t="s">
        <v>4473</v>
      </c>
      <c r="F210" s="3">
        <v>45172</v>
      </c>
      <c r="G210" s="3">
        <v>45172</v>
      </c>
      <c r="H210">
        <v>16.7</v>
      </c>
      <c r="I210">
        <v>8</v>
      </c>
      <c r="J210" t="s">
        <v>4440</v>
      </c>
      <c r="K210" t="s">
        <v>4441</v>
      </c>
      <c r="L210" t="s">
        <v>4454</v>
      </c>
      <c r="M210" t="s">
        <v>4462</v>
      </c>
      <c r="N210">
        <v>4</v>
      </c>
    </row>
    <row r="211" spans="1:14" x14ac:dyDescent="0.35">
      <c r="A211" t="s">
        <v>4690</v>
      </c>
      <c r="B211" t="s">
        <v>289</v>
      </c>
      <c r="C211" t="s">
        <v>1899</v>
      </c>
      <c r="D211" t="s">
        <v>4438</v>
      </c>
      <c r="E211" t="s">
        <v>4456</v>
      </c>
      <c r="F211" s="3">
        <v>45182</v>
      </c>
      <c r="G211" s="3">
        <v>45182</v>
      </c>
      <c r="H211">
        <v>8</v>
      </c>
      <c r="I211">
        <v>4</v>
      </c>
      <c r="J211" t="s">
        <v>4440</v>
      </c>
      <c r="K211" t="s">
        <v>4441</v>
      </c>
      <c r="L211" t="s">
        <v>4492</v>
      </c>
      <c r="M211" t="s">
        <v>4462</v>
      </c>
      <c r="N211">
        <v>4</v>
      </c>
    </row>
    <row r="212" spans="1:14" x14ac:dyDescent="0.35">
      <c r="A212" t="s">
        <v>4691</v>
      </c>
      <c r="B212" t="s">
        <v>411</v>
      </c>
      <c r="C212" t="s">
        <v>1883</v>
      </c>
      <c r="D212" t="s">
        <v>4476</v>
      </c>
      <c r="E212" t="s">
        <v>4439</v>
      </c>
      <c r="F212" s="3">
        <v>45677</v>
      </c>
      <c r="G212" s="3" t="s">
        <v>537</v>
      </c>
      <c r="I212">
        <v>48</v>
      </c>
      <c r="J212" t="s">
        <v>4440</v>
      </c>
      <c r="K212" t="s">
        <v>4457</v>
      </c>
      <c r="L212" t="s">
        <v>4454</v>
      </c>
      <c r="M212" t="s">
        <v>4462</v>
      </c>
    </row>
    <row r="213" spans="1:14" x14ac:dyDescent="0.35">
      <c r="A213" t="s">
        <v>4692</v>
      </c>
      <c r="B213" t="s">
        <v>144</v>
      </c>
      <c r="C213" t="s">
        <v>1899</v>
      </c>
      <c r="D213" t="s">
        <v>4438</v>
      </c>
      <c r="E213" t="s">
        <v>4439</v>
      </c>
      <c r="F213" s="3">
        <v>44950</v>
      </c>
      <c r="G213" s="3" t="s">
        <v>537</v>
      </c>
      <c r="I213">
        <v>48</v>
      </c>
      <c r="J213" t="s">
        <v>4440</v>
      </c>
      <c r="K213" t="s">
        <v>4457</v>
      </c>
      <c r="L213" t="s">
        <v>4449</v>
      </c>
      <c r="M213" t="s">
        <v>1625</v>
      </c>
    </row>
    <row r="214" spans="1:14" x14ac:dyDescent="0.35">
      <c r="A214" t="s">
        <v>4693</v>
      </c>
      <c r="B214" t="s">
        <v>296</v>
      </c>
      <c r="C214" t="s">
        <v>1927</v>
      </c>
      <c r="D214" t="s">
        <v>4460</v>
      </c>
      <c r="E214" t="s">
        <v>4473</v>
      </c>
      <c r="F214" s="3">
        <v>45049</v>
      </c>
      <c r="G214" s="3" t="s">
        <v>537</v>
      </c>
      <c r="I214">
        <v>8</v>
      </c>
      <c r="J214" t="s">
        <v>4448</v>
      </c>
      <c r="K214" t="s">
        <v>4474</v>
      </c>
      <c r="L214" t="s">
        <v>4458</v>
      </c>
      <c r="M214" t="s">
        <v>4462</v>
      </c>
    </row>
    <row r="215" spans="1:14" x14ac:dyDescent="0.35">
      <c r="A215" t="s">
        <v>4694</v>
      </c>
      <c r="B215" t="s">
        <v>269</v>
      </c>
      <c r="C215" t="s">
        <v>1883</v>
      </c>
      <c r="D215" t="s">
        <v>4485</v>
      </c>
      <c r="E215" t="s">
        <v>4444</v>
      </c>
      <c r="F215" s="3">
        <v>45669</v>
      </c>
      <c r="G215" s="3" t="s">
        <v>537</v>
      </c>
      <c r="I215">
        <v>24</v>
      </c>
      <c r="J215" t="s">
        <v>4440</v>
      </c>
      <c r="K215" t="s">
        <v>4457</v>
      </c>
      <c r="L215" t="s">
        <v>4483</v>
      </c>
      <c r="M215" t="s">
        <v>4446</v>
      </c>
    </row>
    <row r="216" spans="1:14" x14ac:dyDescent="0.35">
      <c r="A216" t="s">
        <v>4695</v>
      </c>
      <c r="B216" t="s">
        <v>434</v>
      </c>
      <c r="C216" t="s">
        <v>1904</v>
      </c>
      <c r="D216" t="s">
        <v>4479</v>
      </c>
      <c r="E216" t="s">
        <v>4444</v>
      </c>
      <c r="F216" s="3">
        <v>45747</v>
      </c>
      <c r="G216" s="3">
        <v>45749</v>
      </c>
      <c r="H216">
        <v>56.6</v>
      </c>
      <c r="I216">
        <v>24</v>
      </c>
      <c r="J216" t="s">
        <v>4440</v>
      </c>
      <c r="K216" t="s">
        <v>4441</v>
      </c>
      <c r="L216" t="s">
        <v>4527</v>
      </c>
      <c r="M216" t="s">
        <v>1625</v>
      </c>
      <c r="N216">
        <v>4</v>
      </c>
    </row>
    <row r="217" spans="1:14" x14ac:dyDescent="0.35">
      <c r="A217" t="s">
        <v>4696</v>
      </c>
      <c r="B217" t="s">
        <v>147</v>
      </c>
      <c r="C217" t="s">
        <v>1927</v>
      </c>
      <c r="D217" t="s">
        <v>4476</v>
      </c>
      <c r="E217" t="s">
        <v>4444</v>
      </c>
      <c r="F217" s="3">
        <v>45619</v>
      </c>
      <c r="G217" s="3" t="s">
        <v>537</v>
      </c>
      <c r="I217">
        <v>24</v>
      </c>
      <c r="J217" t="s">
        <v>4440</v>
      </c>
      <c r="K217" t="s">
        <v>4474</v>
      </c>
      <c r="L217" t="s">
        <v>4512</v>
      </c>
      <c r="M217" t="s">
        <v>4450</v>
      </c>
    </row>
    <row r="218" spans="1:14" x14ac:dyDescent="0.35">
      <c r="A218" t="s">
        <v>4697</v>
      </c>
      <c r="B218" t="s">
        <v>283</v>
      </c>
      <c r="C218" t="s">
        <v>1927</v>
      </c>
      <c r="D218" t="s">
        <v>4469</v>
      </c>
      <c r="E218" t="s">
        <v>4439</v>
      </c>
      <c r="F218" s="3">
        <v>45478</v>
      </c>
      <c r="G218" s="3" t="s">
        <v>537</v>
      </c>
      <c r="I218">
        <v>48</v>
      </c>
      <c r="J218" t="s">
        <v>4448</v>
      </c>
      <c r="K218" t="s">
        <v>4457</v>
      </c>
      <c r="L218" t="s">
        <v>4461</v>
      </c>
      <c r="M218" t="s">
        <v>1625</v>
      </c>
    </row>
    <row r="219" spans="1:14" x14ac:dyDescent="0.35">
      <c r="A219" t="s">
        <v>4698</v>
      </c>
      <c r="B219" t="s">
        <v>66</v>
      </c>
      <c r="C219" t="s">
        <v>1899</v>
      </c>
      <c r="D219" t="s">
        <v>4443</v>
      </c>
      <c r="E219" t="s">
        <v>4456</v>
      </c>
      <c r="F219" s="3">
        <v>45516</v>
      </c>
      <c r="G219" s="3">
        <v>45516</v>
      </c>
      <c r="H219">
        <v>7</v>
      </c>
      <c r="I219">
        <v>4</v>
      </c>
      <c r="J219" t="s">
        <v>4440</v>
      </c>
      <c r="K219" t="s">
        <v>4441</v>
      </c>
      <c r="L219" t="s">
        <v>4449</v>
      </c>
      <c r="M219" t="s">
        <v>4462</v>
      </c>
      <c r="N219">
        <v>5</v>
      </c>
    </row>
    <row r="220" spans="1:14" x14ac:dyDescent="0.35">
      <c r="A220" t="s">
        <v>4699</v>
      </c>
      <c r="B220" t="s">
        <v>355</v>
      </c>
      <c r="C220" t="s">
        <v>1915</v>
      </c>
      <c r="D220" t="s">
        <v>4464</v>
      </c>
      <c r="E220" t="s">
        <v>4473</v>
      </c>
      <c r="F220" s="3">
        <v>45308</v>
      </c>
      <c r="G220" s="3">
        <v>45308</v>
      </c>
      <c r="H220">
        <v>4.9000000000000004</v>
      </c>
      <c r="I220">
        <v>8</v>
      </c>
      <c r="J220" t="s">
        <v>4448</v>
      </c>
      <c r="K220" t="s">
        <v>4441</v>
      </c>
      <c r="L220" t="s">
        <v>1907</v>
      </c>
      <c r="M220" t="s">
        <v>4450</v>
      </c>
      <c r="N220">
        <v>2</v>
      </c>
    </row>
    <row r="221" spans="1:14" x14ac:dyDescent="0.35">
      <c r="A221" t="s">
        <v>4700</v>
      </c>
      <c r="B221" t="s">
        <v>289</v>
      </c>
      <c r="C221" t="s">
        <v>1904</v>
      </c>
      <c r="D221" t="s">
        <v>4460</v>
      </c>
      <c r="E221" t="s">
        <v>4439</v>
      </c>
      <c r="F221" s="3">
        <v>45726</v>
      </c>
      <c r="G221" s="3">
        <v>45727</v>
      </c>
      <c r="H221">
        <v>42.1</v>
      </c>
      <c r="I221">
        <v>48</v>
      </c>
      <c r="J221" t="s">
        <v>4448</v>
      </c>
      <c r="K221" t="s">
        <v>4441</v>
      </c>
      <c r="L221" t="s">
        <v>4461</v>
      </c>
      <c r="M221" t="s">
        <v>1625</v>
      </c>
      <c r="N221">
        <v>4</v>
      </c>
    </row>
    <row r="222" spans="1:14" x14ac:dyDescent="0.35">
      <c r="A222" t="s">
        <v>4701</v>
      </c>
      <c r="B222" t="s">
        <v>34</v>
      </c>
      <c r="C222" t="s">
        <v>1883</v>
      </c>
      <c r="D222" t="s">
        <v>4452</v>
      </c>
      <c r="E222" t="s">
        <v>4473</v>
      </c>
      <c r="F222" s="3">
        <v>45589</v>
      </c>
      <c r="G222" s="3" t="s">
        <v>537</v>
      </c>
      <c r="I222">
        <v>8</v>
      </c>
      <c r="J222" t="s">
        <v>1945</v>
      </c>
      <c r="K222" t="s">
        <v>4457</v>
      </c>
      <c r="L222" t="s">
        <v>4467</v>
      </c>
      <c r="M222" t="s">
        <v>4446</v>
      </c>
    </row>
    <row r="223" spans="1:14" x14ac:dyDescent="0.35">
      <c r="A223" t="s">
        <v>4702</v>
      </c>
      <c r="B223" t="s">
        <v>363</v>
      </c>
      <c r="C223" t="s">
        <v>1927</v>
      </c>
      <c r="D223" t="s">
        <v>4476</v>
      </c>
      <c r="E223" t="s">
        <v>4473</v>
      </c>
      <c r="F223" s="3">
        <v>45573</v>
      </c>
      <c r="G223" s="3" t="s">
        <v>537</v>
      </c>
      <c r="I223">
        <v>8</v>
      </c>
      <c r="J223" t="s">
        <v>4448</v>
      </c>
      <c r="K223" t="s">
        <v>4457</v>
      </c>
      <c r="L223" t="s">
        <v>4501</v>
      </c>
      <c r="M223" t="s">
        <v>4450</v>
      </c>
    </row>
    <row r="224" spans="1:14" x14ac:dyDescent="0.35">
      <c r="A224" t="s">
        <v>4703</v>
      </c>
      <c r="B224" t="s">
        <v>210</v>
      </c>
      <c r="C224" t="s">
        <v>1890</v>
      </c>
      <c r="D224" t="s">
        <v>4472</v>
      </c>
      <c r="E224" t="s">
        <v>4444</v>
      </c>
      <c r="F224" s="3">
        <v>45372</v>
      </c>
      <c r="G224" s="3">
        <v>45373</v>
      </c>
      <c r="H224">
        <v>46.1</v>
      </c>
      <c r="I224">
        <v>24</v>
      </c>
      <c r="J224" t="s">
        <v>4440</v>
      </c>
      <c r="K224" t="s">
        <v>4441</v>
      </c>
      <c r="L224" t="s">
        <v>4449</v>
      </c>
      <c r="M224" t="s">
        <v>4450</v>
      </c>
      <c r="N224">
        <v>4</v>
      </c>
    </row>
    <row r="225" spans="1:14" x14ac:dyDescent="0.35">
      <c r="A225" t="s">
        <v>4704</v>
      </c>
      <c r="B225" t="s">
        <v>99</v>
      </c>
      <c r="C225" t="s">
        <v>1915</v>
      </c>
      <c r="D225" t="s">
        <v>4464</v>
      </c>
      <c r="E225" t="s">
        <v>4473</v>
      </c>
      <c r="F225" s="3">
        <v>45136</v>
      </c>
      <c r="G225" s="3">
        <v>45136</v>
      </c>
      <c r="H225">
        <v>7</v>
      </c>
      <c r="I225">
        <v>8</v>
      </c>
      <c r="J225" t="s">
        <v>4448</v>
      </c>
      <c r="K225" t="s">
        <v>4441</v>
      </c>
      <c r="L225" t="s">
        <v>4480</v>
      </c>
      <c r="M225" t="s">
        <v>1625</v>
      </c>
      <c r="N225">
        <v>4</v>
      </c>
    </row>
    <row r="226" spans="1:14" x14ac:dyDescent="0.35">
      <c r="A226" t="s">
        <v>4705</v>
      </c>
      <c r="B226" t="s">
        <v>97</v>
      </c>
      <c r="C226" t="s">
        <v>1904</v>
      </c>
      <c r="D226" t="s">
        <v>4482</v>
      </c>
      <c r="E226" t="s">
        <v>4439</v>
      </c>
      <c r="F226" s="3">
        <v>45209</v>
      </c>
      <c r="G226" s="3">
        <v>45213</v>
      </c>
      <c r="H226">
        <v>108.2</v>
      </c>
      <c r="I226">
        <v>48</v>
      </c>
      <c r="J226" t="s">
        <v>4440</v>
      </c>
      <c r="K226" t="s">
        <v>4441</v>
      </c>
      <c r="L226" t="s">
        <v>4480</v>
      </c>
      <c r="M226" t="s">
        <v>4462</v>
      </c>
      <c r="N226">
        <v>4</v>
      </c>
    </row>
    <row r="227" spans="1:14" x14ac:dyDescent="0.35">
      <c r="A227" t="s">
        <v>4706</v>
      </c>
      <c r="B227" t="s">
        <v>42</v>
      </c>
      <c r="C227" t="s">
        <v>1899</v>
      </c>
      <c r="D227" t="s">
        <v>4460</v>
      </c>
      <c r="E227" t="s">
        <v>4444</v>
      </c>
      <c r="F227" s="3">
        <v>45398</v>
      </c>
      <c r="G227" s="3">
        <v>45399</v>
      </c>
      <c r="H227">
        <v>42.5</v>
      </c>
      <c r="I227">
        <v>24</v>
      </c>
      <c r="J227" t="s">
        <v>4440</v>
      </c>
      <c r="K227" t="s">
        <v>4441</v>
      </c>
      <c r="L227" t="s">
        <v>4580</v>
      </c>
      <c r="M227" t="s">
        <v>4446</v>
      </c>
      <c r="N227">
        <v>5</v>
      </c>
    </row>
    <row r="228" spans="1:14" x14ac:dyDescent="0.35">
      <c r="A228" t="s">
        <v>4707</v>
      </c>
      <c r="B228" t="s">
        <v>386</v>
      </c>
      <c r="C228" t="s">
        <v>1890</v>
      </c>
      <c r="D228" t="s">
        <v>4469</v>
      </c>
      <c r="E228" t="s">
        <v>4444</v>
      </c>
      <c r="F228" s="3">
        <v>45677</v>
      </c>
      <c r="G228" s="3" t="s">
        <v>537</v>
      </c>
      <c r="I228">
        <v>24</v>
      </c>
      <c r="J228" t="s">
        <v>4448</v>
      </c>
      <c r="K228" t="s">
        <v>4457</v>
      </c>
      <c r="L228" t="s">
        <v>4467</v>
      </c>
      <c r="M228" t="s">
        <v>4462</v>
      </c>
    </row>
    <row r="229" spans="1:14" x14ac:dyDescent="0.35">
      <c r="A229" t="s">
        <v>4708</v>
      </c>
      <c r="B229" t="s">
        <v>260</v>
      </c>
      <c r="C229" t="s">
        <v>1890</v>
      </c>
      <c r="D229" t="s">
        <v>4443</v>
      </c>
      <c r="E229" t="s">
        <v>4444</v>
      </c>
      <c r="F229" s="3">
        <v>45050</v>
      </c>
      <c r="G229" s="3" t="s">
        <v>537</v>
      </c>
      <c r="I229">
        <v>24</v>
      </c>
      <c r="J229" t="s">
        <v>4440</v>
      </c>
      <c r="K229" t="s">
        <v>4453</v>
      </c>
      <c r="L229" t="s">
        <v>4501</v>
      </c>
      <c r="M229" t="s">
        <v>4450</v>
      </c>
    </row>
    <row r="230" spans="1:14" x14ac:dyDescent="0.35">
      <c r="A230" t="s">
        <v>4709</v>
      </c>
      <c r="B230" t="s">
        <v>57</v>
      </c>
      <c r="C230" t="s">
        <v>1904</v>
      </c>
      <c r="D230" t="s">
        <v>8506</v>
      </c>
      <c r="E230" t="s">
        <v>4444</v>
      </c>
      <c r="F230" s="3">
        <v>45354</v>
      </c>
      <c r="G230" s="3">
        <v>45354</v>
      </c>
      <c r="H230">
        <v>20.5</v>
      </c>
      <c r="I230">
        <v>24</v>
      </c>
      <c r="J230" t="s">
        <v>4448</v>
      </c>
      <c r="K230" t="s">
        <v>4441</v>
      </c>
      <c r="L230" t="s">
        <v>1907</v>
      </c>
      <c r="M230" t="s">
        <v>4462</v>
      </c>
      <c r="N230">
        <v>4</v>
      </c>
    </row>
    <row r="231" spans="1:14" x14ac:dyDescent="0.35">
      <c r="A231" t="s">
        <v>4710</v>
      </c>
      <c r="B231" t="s">
        <v>27</v>
      </c>
      <c r="C231" t="s">
        <v>1915</v>
      </c>
      <c r="D231" t="s">
        <v>4482</v>
      </c>
      <c r="E231" t="s">
        <v>4444</v>
      </c>
      <c r="F231" s="3">
        <v>45174</v>
      </c>
      <c r="G231" s="3" t="s">
        <v>537</v>
      </c>
      <c r="I231">
        <v>24</v>
      </c>
      <c r="J231" t="s">
        <v>4440</v>
      </c>
      <c r="K231" t="s">
        <v>4457</v>
      </c>
      <c r="L231" t="s">
        <v>4458</v>
      </c>
      <c r="M231" t="s">
        <v>4446</v>
      </c>
    </row>
    <row r="232" spans="1:14" x14ac:dyDescent="0.35">
      <c r="A232" t="s">
        <v>4711</v>
      </c>
      <c r="B232" t="s">
        <v>466</v>
      </c>
      <c r="C232" t="s">
        <v>1890</v>
      </c>
      <c r="D232" t="s">
        <v>4464</v>
      </c>
      <c r="E232" t="s">
        <v>4444</v>
      </c>
      <c r="F232" s="3">
        <v>45321</v>
      </c>
      <c r="G232" s="3">
        <v>45321</v>
      </c>
      <c r="H232">
        <v>22</v>
      </c>
      <c r="I232">
        <v>24</v>
      </c>
      <c r="J232" t="s">
        <v>4448</v>
      </c>
      <c r="K232" t="s">
        <v>4441</v>
      </c>
      <c r="L232" t="s">
        <v>4580</v>
      </c>
      <c r="M232" t="s">
        <v>4450</v>
      </c>
      <c r="N232">
        <v>3</v>
      </c>
    </row>
    <row r="233" spans="1:14" x14ac:dyDescent="0.35">
      <c r="A233" t="s">
        <v>4712</v>
      </c>
      <c r="B233" t="s">
        <v>477</v>
      </c>
      <c r="C233" t="s">
        <v>1915</v>
      </c>
      <c r="D233" t="s">
        <v>4464</v>
      </c>
      <c r="E233" t="s">
        <v>4456</v>
      </c>
      <c r="F233" s="3">
        <v>45024</v>
      </c>
      <c r="G233" s="3">
        <v>45024</v>
      </c>
      <c r="H233">
        <v>7.4</v>
      </c>
      <c r="I233">
        <v>4</v>
      </c>
      <c r="J233" t="s">
        <v>4440</v>
      </c>
      <c r="K233" t="s">
        <v>4441</v>
      </c>
      <c r="L233" t="s">
        <v>4483</v>
      </c>
      <c r="M233" t="s">
        <v>1625</v>
      </c>
      <c r="N233">
        <v>5</v>
      </c>
    </row>
    <row r="234" spans="1:14" x14ac:dyDescent="0.35">
      <c r="A234" t="s">
        <v>4713</v>
      </c>
      <c r="B234" t="s">
        <v>384</v>
      </c>
      <c r="C234" t="s">
        <v>1915</v>
      </c>
      <c r="D234" t="s">
        <v>4482</v>
      </c>
      <c r="E234" t="s">
        <v>4444</v>
      </c>
      <c r="F234" s="3">
        <v>45300</v>
      </c>
      <c r="G234" s="3">
        <v>45302</v>
      </c>
      <c r="H234">
        <v>53.4</v>
      </c>
      <c r="I234">
        <v>24</v>
      </c>
      <c r="J234" t="s">
        <v>4440</v>
      </c>
      <c r="K234" t="s">
        <v>4441</v>
      </c>
      <c r="L234" t="s">
        <v>4580</v>
      </c>
      <c r="M234" t="s">
        <v>1625</v>
      </c>
      <c r="N234">
        <v>4</v>
      </c>
    </row>
    <row r="235" spans="1:14" x14ac:dyDescent="0.35">
      <c r="A235" t="s">
        <v>4714</v>
      </c>
      <c r="B235" t="s">
        <v>362</v>
      </c>
      <c r="C235" t="s">
        <v>1883</v>
      </c>
      <c r="D235" t="s">
        <v>4438</v>
      </c>
      <c r="E235" t="s">
        <v>4439</v>
      </c>
      <c r="F235" s="3">
        <v>45730</v>
      </c>
      <c r="G235" s="3">
        <v>45734</v>
      </c>
      <c r="H235">
        <v>96.9</v>
      </c>
      <c r="I235">
        <v>48</v>
      </c>
      <c r="J235" t="s">
        <v>4440</v>
      </c>
      <c r="K235" t="s">
        <v>4441</v>
      </c>
      <c r="L235" t="s">
        <v>4488</v>
      </c>
      <c r="M235" t="s">
        <v>4462</v>
      </c>
      <c r="N235">
        <v>4</v>
      </c>
    </row>
    <row r="236" spans="1:14" x14ac:dyDescent="0.35">
      <c r="A236" t="s">
        <v>4715</v>
      </c>
      <c r="B236" t="s">
        <v>332</v>
      </c>
      <c r="C236" t="s">
        <v>1899</v>
      </c>
      <c r="D236" t="s">
        <v>4464</v>
      </c>
      <c r="E236" t="s">
        <v>4473</v>
      </c>
      <c r="F236" s="3">
        <v>45633</v>
      </c>
      <c r="G236" s="3" t="s">
        <v>537</v>
      </c>
      <c r="I236">
        <v>8</v>
      </c>
      <c r="J236" t="s">
        <v>4448</v>
      </c>
      <c r="K236" t="s">
        <v>4474</v>
      </c>
      <c r="L236" t="s">
        <v>4461</v>
      </c>
      <c r="M236" t="s">
        <v>1625</v>
      </c>
    </row>
    <row r="237" spans="1:14" x14ac:dyDescent="0.35">
      <c r="A237" t="s">
        <v>4716</v>
      </c>
      <c r="B237" t="s">
        <v>330</v>
      </c>
      <c r="C237" t="s">
        <v>1904</v>
      </c>
      <c r="D237" t="s">
        <v>4479</v>
      </c>
      <c r="E237" t="s">
        <v>4473</v>
      </c>
      <c r="F237" s="3">
        <v>45124</v>
      </c>
      <c r="G237" s="3">
        <v>45124</v>
      </c>
      <c r="H237">
        <v>9.9</v>
      </c>
      <c r="I237">
        <v>8</v>
      </c>
      <c r="J237" t="s">
        <v>4440</v>
      </c>
      <c r="K237" t="s">
        <v>4441</v>
      </c>
      <c r="L237" t="s">
        <v>4467</v>
      </c>
      <c r="M237" t="s">
        <v>4446</v>
      </c>
    </row>
    <row r="238" spans="1:14" x14ac:dyDescent="0.35">
      <c r="A238" t="s">
        <v>4717</v>
      </c>
      <c r="B238" t="s">
        <v>350</v>
      </c>
      <c r="C238" t="s">
        <v>1883</v>
      </c>
      <c r="D238" t="s">
        <v>4479</v>
      </c>
      <c r="E238" t="s">
        <v>4444</v>
      </c>
      <c r="F238" s="3">
        <v>45180</v>
      </c>
      <c r="G238" s="3">
        <v>45180</v>
      </c>
      <c r="H238">
        <v>21.2</v>
      </c>
      <c r="I238">
        <v>24</v>
      </c>
      <c r="J238" t="s">
        <v>4448</v>
      </c>
      <c r="K238" t="s">
        <v>4441</v>
      </c>
      <c r="L238" t="s">
        <v>4445</v>
      </c>
      <c r="M238" t="s">
        <v>4462</v>
      </c>
      <c r="N238">
        <v>4</v>
      </c>
    </row>
    <row r="239" spans="1:14" x14ac:dyDescent="0.35">
      <c r="A239" t="s">
        <v>4718</v>
      </c>
      <c r="B239" t="s">
        <v>485</v>
      </c>
      <c r="C239" t="s">
        <v>1927</v>
      </c>
      <c r="D239" t="s">
        <v>4460</v>
      </c>
      <c r="E239" t="s">
        <v>4473</v>
      </c>
      <c r="F239" s="3">
        <v>45418</v>
      </c>
      <c r="G239" s="3">
        <v>45418</v>
      </c>
      <c r="H239">
        <v>3.1</v>
      </c>
      <c r="I239">
        <v>8</v>
      </c>
      <c r="J239" t="s">
        <v>4448</v>
      </c>
      <c r="K239" t="s">
        <v>4441</v>
      </c>
      <c r="L239" t="s">
        <v>4580</v>
      </c>
      <c r="M239" t="s">
        <v>4450</v>
      </c>
    </row>
    <row r="240" spans="1:14" x14ac:dyDescent="0.35">
      <c r="A240" t="s">
        <v>4719</v>
      </c>
      <c r="B240" t="s">
        <v>293</v>
      </c>
      <c r="C240" t="s">
        <v>1915</v>
      </c>
      <c r="D240" t="s">
        <v>4485</v>
      </c>
      <c r="E240" t="s">
        <v>4456</v>
      </c>
      <c r="F240" s="3">
        <v>45385</v>
      </c>
      <c r="G240" s="3">
        <v>45385</v>
      </c>
      <c r="H240">
        <v>1.3</v>
      </c>
      <c r="I240">
        <v>4</v>
      </c>
      <c r="J240" t="s">
        <v>4448</v>
      </c>
      <c r="K240" t="s">
        <v>4441</v>
      </c>
      <c r="L240" t="s">
        <v>4580</v>
      </c>
      <c r="M240" t="s">
        <v>4450</v>
      </c>
      <c r="N240">
        <v>4</v>
      </c>
    </row>
    <row r="241" spans="1:14" x14ac:dyDescent="0.35">
      <c r="A241" t="s">
        <v>4720</v>
      </c>
      <c r="B241" t="s">
        <v>450</v>
      </c>
      <c r="C241" t="s">
        <v>1915</v>
      </c>
      <c r="D241" t="s">
        <v>4438</v>
      </c>
      <c r="E241" t="s">
        <v>4444</v>
      </c>
      <c r="F241" s="3">
        <v>45002</v>
      </c>
      <c r="G241" s="3">
        <v>45004</v>
      </c>
      <c r="H241">
        <v>55.1</v>
      </c>
      <c r="I241">
        <v>24</v>
      </c>
      <c r="J241" t="s">
        <v>4440</v>
      </c>
      <c r="K241" t="s">
        <v>4441</v>
      </c>
      <c r="L241" t="s">
        <v>4470</v>
      </c>
      <c r="M241" t="s">
        <v>1625</v>
      </c>
    </row>
    <row r="242" spans="1:14" x14ac:dyDescent="0.35">
      <c r="A242" t="s">
        <v>4721</v>
      </c>
      <c r="B242" t="s">
        <v>480</v>
      </c>
      <c r="C242" t="s">
        <v>1899</v>
      </c>
      <c r="D242" t="s">
        <v>4482</v>
      </c>
      <c r="E242" t="s">
        <v>4439</v>
      </c>
      <c r="F242" s="3">
        <v>45623</v>
      </c>
      <c r="G242" s="3" t="s">
        <v>537</v>
      </c>
      <c r="I242">
        <v>48</v>
      </c>
      <c r="J242" t="s">
        <v>4448</v>
      </c>
      <c r="K242" t="s">
        <v>4457</v>
      </c>
      <c r="L242" t="s">
        <v>4509</v>
      </c>
      <c r="M242" t="s">
        <v>1625</v>
      </c>
    </row>
    <row r="243" spans="1:14" x14ac:dyDescent="0.35">
      <c r="A243" t="s">
        <v>4722</v>
      </c>
      <c r="B243" t="s">
        <v>162</v>
      </c>
      <c r="C243" t="s">
        <v>1927</v>
      </c>
      <c r="D243" t="s">
        <v>4438</v>
      </c>
      <c r="E243" t="s">
        <v>4439</v>
      </c>
      <c r="F243" s="3">
        <v>45605</v>
      </c>
      <c r="G243" s="3">
        <v>45608</v>
      </c>
      <c r="H243">
        <v>75.900000000000006</v>
      </c>
      <c r="I243">
        <v>48</v>
      </c>
      <c r="J243" t="s">
        <v>4440</v>
      </c>
      <c r="K243" t="s">
        <v>4441</v>
      </c>
      <c r="L243" t="s">
        <v>4465</v>
      </c>
      <c r="M243" t="s">
        <v>4446</v>
      </c>
      <c r="N243">
        <v>3</v>
      </c>
    </row>
    <row r="244" spans="1:14" x14ac:dyDescent="0.35">
      <c r="A244" t="s">
        <v>4723</v>
      </c>
      <c r="B244" t="s">
        <v>450</v>
      </c>
      <c r="C244" t="s">
        <v>1927</v>
      </c>
      <c r="D244" t="s">
        <v>4438</v>
      </c>
      <c r="E244" t="s">
        <v>4444</v>
      </c>
      <c r="F244" s="3">
        <v>45081</v>
      </c>
      <c r="G244" s="3">
        <v>45081</v>
      </c>
      <c r="H244">
        <v>20.7</v>
      </c>
      <c r="I244">
        <v>24</v>
      </c>
      <c r="J244" t="s">
        <v>4448</v>
      </c>
      <c r="K244" t="s">
        <v>4441</v>
      </c>
      <c r="L244" t="s">
        <v>4461</v>
      </c>
      <c r="M244" t="s">
        <v>4462</v>
      </c>
      <c r="N244">
        <v>4</v>
      </c>
    </row>
    <row r="245" spans="1:14" x14ac:dyDescent="0.35">
      <c r="A245" t="s">
        <v>4724</v>
      </c>
      <c r="B245" t="s">
        <v>337</v>
      </c>
      <c r="C245" t="s">
        <v>1915</v>
      </c>
      <c r="D245" t="s">
        <v>4490</v>
      </c>
      <c r="E245" t="s">
        <v>4473</v>
      </c>
      <c r="F245" s="3">
        <v>45435</v>
      </c>
      <c r="G245" s="3">
        <v>45435</v>
      </c>
      <c r="H245">
        <v>7.1</v>
      </c>
      <c r="I245">
        <v>8</v>
      </c>
      <c r="J245" t="s">
        <v>4448</v>
      </c>
      <c r="K245" t="s">
        <v>4441</v>
      </c>
      <c r="L245" t="s">
        <v>4492</v>
      </c>
      <c r="M245" t="s">
        <v>1625</v>
      </c>
      <c r="N245">
        <v>3</v>
      </c>
    </row>
    <row r="246" spans="1:14" x14ac:dyDescent="0.35">
      <c r="A246" t="s">
        <v>4725</v>
      </c>
      <c r="B246" t="s">
        <v>437</v>
      </c>
      <c r="C246" t="s">
        <v>1890</v>
      </c>
      <c r="D246" t="s">
        <v>4469</v>
      </c>
      <c r="E246" t="s">
        <v>4439</v>
      </c>
      <c r="F246" s="3">
        <v>45388</v>
      </c>
      <c r="G246" s="3">
        <v>45392</v>
      </c>
      <c r="H246">
        <v>105.6</v>
      </c>
      <c r="I246">
        <v>48</v>
      </c>
      <c r="J246" t="s">
        <v>4440</v>
      </c>
      <c r="K246" t="s">
        <v>4441</v>
      </c>
      <c r="L246" t="s">
        <v>4470</v>
      </c>
      <c r="M246" t="s">
        <v>4462</v>
      </c>
      <c r="N246">
        <v>3</v>
      </c>
    </row>
    <row r="247" spans="1:14" x14ac:dyDescent="0.35">
      <c r="A247" t="s">
        <v>4726</v>
      </c>
      <c r="B247" t="s">
        <v>23</v>
      </c>
      <c r="C247" t="s">
        <v>1883</v>
      </c>
      <c r="D247" t="s">
        <v>4490</v>
      </c>
      <c r="E247" t="s">
        <v>4473</v>
      </c>
      <c r="F247" s="3">
        <v>45684</v>
      </c>
      <c r="G247" s="3" t="s">
        <v>537</v>
      </c>
      <c r="I247">
        <v>8</v>
      </c>
      <c r="J247" t="s">
        <v>4440</v>
      </c>
      <c r="K247" t="s">
        <v>4474</v>
      </c>
      <c r="L247" t="s">
        <v>4488</v>
      </c>
      <c r="M247" t="s">
        <v>4446</v>
      </c>
    </row>
    <row r="248" spans="1:14" x14ac:dyDescent="0.35">
      <c r="A248" t="s">
        <v>4727</v>
      </c>
      <c r="B248" t="s">
        <v>261</v>
      </c>
      <c r="C248" t="s">
        <v>1883</v>
      </c>
      <c r="D248" t="s">
        <v>4438</v>
      </c>
      <c r="E248" t="s">
        <v>4473</v>
      </c>
      <c r="F248" s="3">
        <v>45327</v>
      </c>
      <c r="G248" s="3">
        <v>45327</v>
      </c>
      <c r="H248">
        <v>4.7</v>
      </c>
      <c r="I248">
        <v>8</v>
      </c>
      <c r="J248" t="s">
        <v>4448</v>
      </c>
      <c r="K248" t="s">
        <v>4441</v>
      </c>
      <c r="L248" t="s">
        <v>4512</v>
      </c>
      <c r="M248" t="s">
        <v>4450</v>
      </c>
      <c r="N248">
        <v>3</v>
      </c>
    </row>
    <row r="249" spans="1:14" x14ac:dyDescent="0.35">
      <c r="A249" t="s">
        <v>4728</v>
      </c>
      <c r="B249" t="s">
        <v>194</v>
      </c>
      <c r="C249" t="s">
        <v>1883</v>
      </c>
      <c r="D249" t="s">
        <v>4438</v>
      </c>
      <c r="E249" t="s">
        <v>4456</v>
      </c>
      <c r="F249" s="3">
        <v>45053</v>
      </c>
      <c r="G249" s="3" t="s">
        <v>537</v>
      </c>
      <c r="I249">
        <v>4</v>
      </c>
      <c r="J249" t="s">
        <v>4440</v>
      </c>
      <c r="K249" t="s">
        <v>4453</v>
      </c>
      <c r="L249" t="s">
        <v>4465</v>
      </c>
      <c r="M249" t="s">
        <v>4462</v>
      </c>
    </row>
    <row r="250" spans="1:14" x14ac:dyDescent="0.35">
      <c r="A250" t="s">
        <v>4729</v>
      </c>
      <c r="B250" t="s">
        <v>301</v>
      </c>
      <c r="C250" t="s">
        <v>1883</v>
      </c>
      <c r="D250" t="s">
        <v>4464</v>
      </c>
      <c r="E250" t="s">
        <v>4439</v>
      </c>
      <c r="F250" s="3">
        <v>45068</v>
      </c>
      <c r="G250" s="3" t="s">
        <v>537</v>
      </c>
      <c r="I250">
        <v>48</v>
      </c>
      <c r="J250" t="s">
        <v>4448</v>
      </c>
      <c r="K250" t="s">
        <v>4453</v>
      </c>
      <c r="L250" t="s">
        <v>4512</v>
      </c>
      <c r="M250" t="s">
        <v>4462</v>
      </c>
    </row>
    <row r="251" spans="1:14" x14ac:dyDescent="0.35">
      <c r="A251" t="s">
        <v>4730</v>
      </c>
      <c r="B251" t="s">
        <v>154</v>
      </c>
      <c r="C251" t="s">
        <v>1915</v>
      </c>
      <c r="D251" t="s">
        <v>4485</v>
      </c>
      <c r="E251" t="s">
        <v>4439</v>
      </c>
      <c r="F251" s="3">
        <v>44939</v>
      </c>
      <c r="G251" s="3">
        <v>44941</v>
      </c>
      <c r="H251">
        <v>58.4</v>
      </c>
      <c r="I251">
        <v>48</v>
      </c>
      <c r="J251" t="s">
        <v>4440</v>
      </c>
      <c r="K251" t="s">
        <v>4441</v>
      </c>
      <c r="L251" t="s">
        <v>4449</v>
      </c>
      <c r="M251" t="s">
        <v>4450</v>
      </c>
      <c r="N251">
        <v>4</v>
      </c>
    </row>
    <row r="252" spans="1:14" x14ac:dyDescent="0.35">
      <c r="A252" t="s">
        <v>4731</v>
      </c>
      <c r="B252" t="s">
        <v>249</v>
      </c>
      <c r="C252" t="s">
        <v>1915</v>
      </c>
      <c r="D252" t="s">
        <v>4490</v>
      </c>
      <c r="E252" t="s">
        <v>4439</v>
      </c>
      <c r="F252" s="3">
        <v>44974</v>
      </c>
      <c r="G252" s="3">
        <v>44974</v>
      </c>
      <c r="H252">
        <v>9.6</v>
      </c>
      <c r="I252">
        <v>48</v>
      </c>
      <c r="J252" t="s">
        <v>4448</v>
      </c>
      <c r="K252" t="s">
        <v>4441</v>
      </c>
      <c r="L252" t="s">
        <v>4449</v>
      </c>
      <c r="M252" t="s">
        <v>4450</v>
      </c>
      <c r="N252">
        <v>3</v>
      </c>
    </row>
    <row r="253" spans="1:14" x14ac:dyDescent="0.35">
      <c r="A253" t="s">
        <v>4732</v>
      </c>
      <c r="B253" t="s">
        <v>180</v>
      </c>
      <c r="C253" t="s">
        <v>1927</v>
      </c>
      <c r="D253" t="s">
        <v>4482</v>
      </c>
      <c r="E253" t="s">
        <v>4444</v>
      </c>
      <c r="F253" s="3">
        <v>45634</v>
      </c>
      <c r="G253" s="3">
        <v>45634</v>
      </c>
      <c r="H253">
        <v>6.9</v>
      </c>
      <c r="I253">
        <v>24</v>
      </c>
      <c r="J253" t="s">
        <v>4448</v>
      </c>
      <c r="K253" t="s">
        <v>4441</v>
      </c>
      <c r="L253" t="s">
        <v>4458</v>
      </c>
      <c r="M253" t="s">
        <v>1625</v>
      </c>
      <c r="N253">
        <v>4</v>
      </c>
    </row>
    <row r="254" spans="1:14" x14ac:dyDescent="0.35">
      <c r="A254" t="s">
        <v>4733</v>
      </c>
      <c r="B254" t="s">
        <v>339</v>
      </c>
      <c r="C254" t="s">
        <v>1883</v>
      </c>
      <c r="D254" t="s">
        <v>4469</v>
      </c>
      <c r="E254" t="s">
        <v>4444</v>
      </c>
      <c r="F254" s="3">
        <v>45357</v>
      </c>
      <c r="G254" s="3" t="s">
        <v>537</v>
      </c>
      <c r="I254">
        <v>24</v>
      </c>
      <c r="J254" t="s">
        <v>4448</v>
      </c>
      <c r="K254" t="s">
        <v>4457</v>
      </c>
      <c r="L254" t="s">
        <v>4467</v>
      </c>
      <c r="M254" t="s">
        <v>1625</v>
      </c>
    </row>
    <row r="255" spans="1:14" x14ac:dyDescent="0.35">
      <c r="A255" t="s">
        <v>4734</v>
      </c>
      <c r="B255" t="s">
        <v>85</v>
      </c>
      <c r="C255" t="s">
        <v>1904</v>
      </c>
      <c r="D255" t="s">
        <v>4460</v>
      </c>
      <c r="E255" t="s">
        <v>4444</v>
      </c>
      <c r="F255" s="3">
        <v>45064</v>
      </c>
      <c r="G255" s="3">
        <v>45066</v>
      </c>
      <c r="H255">
        <v>56</v>
      </c>
      <c r="I255">
        <v>24</v>
      </c>
      <c r="J255" t="s">
        <v>4440</v>
      </c>
      <c r="K255" t="s">
        <v>4441</v>
      </c>
      <c r="L255" t="s">
        <v>4480</v>
      </c>
      <c r="M255" t="s">
        <v>1625</v>
      </c>
      <c r="N255">
        <v>4</v>
      </c>
    </row>
    <row r="256" spans="1:14" x14ac:dyDescent="0.35">
      <c r="A256" t="s">
        <v>4735</v>
      </c>
      <c r="B256" t="s">
        <v>297</v>
      </c>
      <c r="C256" t="s">
        <v>1890</v>
      </c>
      <c r="D256" t="s">
        <v>4460</v>
      </c>
      <c r="E256" t="s">
        <v>4473</v>
      </c>
      <c r="F256" s="3">
        <v>45053</v>
      </c>
      <c r="G256" s="3">
        <v>45053</v>
      </c>
      <c r="H256">
        <v>6.7</v>
      </c>
      <c r="I256">
        <v>8</v>
      </c>
      <c r="J256" t="s">
        <v>4448</v>
      </c>
      <c r="K256" t="s">
        <v>4441</v>
      </c>
      <c r="L256" t="s">
        <v>4465</v>
      </c>
      <c r="M256" t="s">
        <v>4446</v>
      </c>
      <c r="N256">
        <v>3</v>
      </c>
    </row>
    <row r="257" spans="1:14" x14ac:dyDescent="0.35">
      <c r="A257" t="s">
        <v>4736</v>
      </c>
      <c r="B257" t="s">
        <v>62</v>
      </c>
      <c r="C257" t="s">
        <v>1915</v>
      </c>
      <c r="D257" t="s">
        <v>4472</v>
      </c>
      <c r="E257" t="s">
        <v>4439</v>
      </c>
      <c r="F257" s="3">
        <v>45526</v>
      </c>
      <c r="G257" s="3" t="s">
        <v>537</v>
      </c>
      <c r="I257">
        <v>48</v>
      </c>
      <c r="J257" t="s">
        <v>4440</v>
      </c>
      <c r="K257" t="s">
        <v>4453</v>
      </c>
      <c r="L257" t="s">
        <v>4512</v>
      </c>
      <c r="M257" t="s">
        <v>4462</v>
      </c>
    </row>
    <row r="258" spans="1:14" x14ac:dyDescent="0.35">
      <c r="A258" t="s">
        <v>4737</v>
      </c>
      <c r="B258" t="s">
        <v>268</v>
      </c>
      <c r="C258" t="s">
        <v>1883</v>
      </c>
      <c r="D258" t="s">
        <v>4479</v>
      </c>
      <c r="E258" t="s">
        <v>4444</v>
      </c>
      <c r="F258" s="3">
        <v>45235</v>
      </c>
      <c r="G258" s="3" t="s">
        <v>537</v>
      </c>
      <c r="I258">
        <v>24</v>
      </c>
      <c r="J258" t="s">
        <v>4448</v>
      </c>
      <c r="K258" t="s">
        <v>4457</v>
      </c>
      <c r="L258" t="s">
        <v>4509</v>
      </c>
      <c r="M258" t="s">
        <v>4462</v>
      </c>
    </row>
    <row r="259" spans="1:14" x14ac:dyDescent="0.35">
      <c r="A259" t="s">
        <v>4738</v>
      </c>
      <c r="B259" t="s">
        <v>349</v>
      </c>
      <c r="C259" t="s">
        <v>1904</v>
      </c>
      <c r="D259" t="s">
        <v>4472</v>
      </c>
      <c r="E259" t="s">
        <v>4444</v>
      </c>
      <c r="F259" s="3">
        <v>45036</v>
      </c>
      <c r="G259" s="3">
        <v>45037</v>
      </c>
      <c r="H259">
        <v>47.7</v>
      </c>
      <c r="I259">
        <v>24</v>
      </c>
      <c r="J259" t="s">
        <v>4440</v>
      </c>
      <c r="K259" t="s">
        <v>4441</v>
      </c>
      <c r="L259" t="s">
        <v>4483</v>
      </c>
      <c r="M259" t="s">
        <v>4450</v>
      </c>
      <c r="N259">
        <v>2</v>
      </c>
    </row>
    <row r="260" spans="1:14" x14ac:dyDescent="0.35">
      <c r="A260" t="s">
        <v>4739</v>
      </c>
      <c r="B260" t="s">
        <v>235</v>
      </c>
      <c r="C260" t="s">
        <v>1890</v>
      </c>
      <c r="D260" t="s">
        <v>4443</v>
      </c>
      <c r="E260" t="s">
        <v>4473</v>
      </c>
      <c r="F260" s="3">
        <v>45260</v>
      </c>
      <c r="G260" s="3">
        <v>45260</v>
      </c>
      <c r="H260">
        <v>18.3</v>
      </c>
      <c r="I260">
        <v>8</v>
      </c>
      <c r="J260" t="s">
        <v>4440</v>
      </c>
      <c r="K260" t="s">
        <v>4441</v>
      </c>
      <c r="L260" t="s">
        <v>4580</v>
      </c>
      <c r="M260" t="s">
        <v>1625</v>
      </c>
      <c r="N260">
        <v>3</v>
      </c>
    </row>
    <row r="261" spans="1:14" x14ac:dyDescent="0.35">
      <c r="A261" t="s">
        <v>4740</v>
      </c>
      <c r="B261" t="s">
        <v>488</v>
      </c>
      <c r="C261" t="s">
        <v>1927</v>
      </c>
      <c r="D261" t="s">
        <v>4490</v>
      </c>
      <c r="E261" t="s">
        <v>4456</v>
      </c>
      <c r="F261" s="3">
        <v>45610</v>
      </c>
      <c r="G261" s="3">
        <v>45610</v>
      </c>
      <c r="H261">
        <v>9.3000000000000007</v>
      </c>
      <c r="I261">
        <v>4</v>
      </c>
      <c r="J261" t="s">
        <v>1945</v>
      </c>
      <c r="K261" t="s">
        <v>4441</v>
      </c>
      <c r="L261" t="s">
        <v>4480</v>
      </c>
      <c r="M261" t="s">
        <v>4450</v>
      </c>
      <c r="N261">
        <v>3</v>
      </c>
    </row>
    <row r="262" spans="1:14" x14ac:dyDescent="0.35">
      <c r="A262" t="s">
        <v>4741</v>
      </c>
      <c r="B262" t="s">
        <v>128</v>
      </c>
      <c r="C262" t="s">
        <v>1883</v>
      </c>
      <c r="D262" t="s">
        <v>4438</v>
      </c>
      <c r="E262" t="s">
        <v>4444</v>
      </c>
      <c r="F262" s="3">
        <v>45692</v>
      </c>
      <c r="G262" s="3">
        <v>45692</v>
      </c>
      <c r="H262">
        <v>0.5</v>
      </c>
      <c r="I262">
        <v>24</v>
      </c>
      <c r="J262" t="s">
        <v>4448</v>
      </c>
      <c r="K262" t="s">
        <v>4441</v>
      </c>
      <c r="L262" t="s">
        <v>4512</v>
      </c>
      <c r="M262" t="s">
        <v>1625</v>
      </c>
      <c r="N262">
        <v>3</v>
      </c>
    </row>
    <row r="263" spans="1:14" x14ac:dyDescent="0.35">
      <c r="A263" t="s">
        <v>4742</v>
      </c>
      <c r="B263" t="s">
        <v>450</v>
      </c>
      <c r="C263" t="s">
        <v>1927</v>
      </c>
      <c r="D263" t="s">
        <v>4485</v>
      </c>
      <c r="E263" t="s">
        <v>4444</v>
      </c>
      <c r="F263" s="3">
        <v>45548</v>
      </c>
      <c r="G263" s="3">
        <v>45549</v>
      </c>
      <c r="H263">
        <v>36.700000000000003</v>
      </c>
      <c r="I263">
        <v>24</v>
      </c>
      <c r="J263" t="s">
        <v>4440</v>
      </c>
      <c r="K263" t="s">
        <v>4441</v>
      </c>
      <c r="L263" t="s">
        <v>4527</v>
      </c>
      <c r="M263" t="s">
        <v>1625</v>
      </c>
      <c r="N263">
        <v>5</v>
      </c>
    </row>
    <row r="264" spans="1:14" x14ac:dyDescent="0.35">
      <c r="A264" t="s">
        <v>4743</v>
      </c>
      <c r="B264" t="s">
        <v>283</v>
      </c>
      <c r="C264" t="s">
        <v>1890</v>
      </c>
      <c r="D264" t="s">
        <v>4482</v>
      </c>
      <c r="E264" t="s">
        <v>4444</v>
      </c>
      <c r="F264" s="3">
        <v>45038</v>
      </c>
      <c r="G264" s="3" t="s">
        <v>537</v>
      </c>
      <c r="I264">
        <v>24</v>
      </c>
      <c r="J264" t="s">
        <v>4440</v>
      </c>
      <c r="K264" t="s">
        <v>4457</v>
      </c>
      <c r="L264" t="s">
        <v>4533</v>
      </c>
      <c r="M264" t="s">
        <v>4450</v>
      </c>
    </row>
    <row r="265" spans="1:14" x14ac:dyDescent="0.35">
      <c r="A265" t="s">
        <v>4744</v>
      </c>
      <c r="B265" t="s">
        <v>169</v>
      </c>
      <c r="C265" t="s">
        <v>1883</v>
      </c>
      <c r="D265" t="s">
        <v>4479</v>
      </c>
      <c r="E265" t="s">
        <v>4439</v>
      </c>
      <c r="F265" s="3">
        <v>45593</v>
      </c>
      <c r="G265" s="3">
        <v>45594</v>
      </c>
      <c r="H265">
        <v>37.9</v>
      </c>
      <c r="I265">
        <v>48</v>
      </c>
      <c r="J265" t="s">
        <v>4448</v>
      </c>
      <c r="K265" t="s">
        <v>4441</v>
      </c>
      <c r="L265" t="s">
        <v>4492</v>
      </c>
      <c r="M265" t="s">
        <v>4446</v>
      </c>
      <c r="N265">
        <v>1</v>
      </c>
    </row>
    <row r="266" spans="1:14" x14ac:dyDescent="0.35">
      <c r="A266" t="s">
        <v>4745</v>
      </c>
      <c r="B266" t="s">
        <v>152</v>
      </c>
      <c r="C266" t="s">
        <v>1915</v>
      </c>
      <c r="D266" t="s">
        <v>4460</v>
      </c>
      <c r="E266" t="s">
        <v>4444</v>
      </c>
      <c r="F266" s="3">
        <v>45001</v>
      </c>
      <c r="G266" s="3" t="s">
        <v>537</v>
      </c>
      <c r="I266">
        <v>24</v>
      </c>
      <c r="J266" t="s">
        <v>4440</v>
      </c>
      <c r="K266" t="s">
        <v>4457</v>
      </c>
      <c r="L266" t="s">
        <v>4509</v>
      </c>
      <c r="M266" t="s">
        <v>4450</v>
      </c>
    </row>
    <row r="267" spans="1:14" x14ac:dyDescent="0.35">
      <c r="A267" t="s">
        <v>4746</v>
      </c>
      <c r="B267" t="s">
        <v>249</v>
      </c>
      <c r="C267" t="s">
        <v>1904</v>
      </c>
      <c r="D267" t="s">
        <v>4485</v>
      </c>
      <c r="E267" t="s">
        <v>4473</v>
      </c>
      <c r="F267" s="3">
        <v>45743</v>
      </c>
      <c r="G267" s="3" t="s">
        <v>537</v>
      </c>
      <c r="I267">
        <v>8</v>
      </c>
      <c r="J267" t="s">
        <v>4448</v>
      </c>
      <c r="K267" t="s">
        <v>4453</v>
      </c>
      <c r="L267" t="s">
        <v>4580</v>
      </c>
      <c r="M267" t="s">
        <v>4450</v>
      </c>
    </row>
    <row r="268" spans="1:14" x14ac:dyDescent="0.35">
      <c r="A268" t="s">
        <v>4747</v>
      </c>
      <c r="B268" t="s">
        <v>332</v>
      </c>
      <c r="C268" t="s">
        <v>1927</v>
      </c>
      <c r="D268" t="s">
        <v>4472</v>
      </c>
      <c r="E268" t="s">
        <v>4473</v>
      </c>
      <c r="F268" s="3">
        <v>45445</v>
      </c>
      <c r="G268" s="3" t="s">
        <v>537</v>
      </c>
      <c r="I268">
        <v>8</v>
      </c>
      <c r="J268" t="s">
        <v>4440</v>
      </c>
      <c r="K268" t="s">
        <v>4474</v>
      </c>
      <c r="L268" t="s">
        <v>4533</v>
      </c>
      <c r="M268" t="s">
        <v>4450</v>
      </c>
    </row>
    <row r="269" spans="1:14" x14ac:dyDescent="0.35">
      <c r="A269" t="s">
        <v>4748</v>
      </c>
      <c r="B269" t="s">
        <v>449</v>
      </c>
      <c r="C269" t="s">
        <v>1883</v>
      </c>
      <c r="D269" t="s">
        <v>4452</v>
      </c>
      <c r="E269" t="s">
        <v>4444</v>
      </c>
      <c r="F269" s="3">
        <v>45026</v>
      </c>
      <c r="G269" s="3" t="s">
        <v>537</v>
      </c>
      <c r="I269">
        <v>24</v>
      </c>
      <c r="J269" t="s">
        <v>4448</v>
      </c>
      <c r="K269" t="s">
        <v>4474</v>
      </c>
      <c r="L269" t="s">
        <v>4470</v>
      </c>
      <c r="M269" t="s">
        <v>4462</v>
      </c>
    </row>
    <row r="270" spans="1:14" x14ac:dyDescent="0.35">
      <c r="A270" t="s">
        <v>4749</v>
      </c>
      <c r="B270" t="s">
        <v>408</v>
      </c>
      <c r="C270" t="s">
        <v>1915</v>
      </c>
      <c r="D270" t="s">
        <v>4479</v>
      </c>
      <c r="E270" t="s">
        <v>4473</v>
      </c>
      <c r="F270" s="3">
        <v>45137</v>
      </c>
      <c r="G270" s="3" t="s">
        <v>537</v>
      </c>
      <c r="I270">
        <v>8</v>
      </c>
      <c r="J270" t="s">
        <v>4440</v>
      </c>
      <c r="K270" t="s">
        <v>4453</v>
      </c>
      <c r="L270" t="s">
        <v>4461</v>
      </c>
      <c r="M270" t="s">
        <v>4446</v>
      </c>
    </row>
    <row r="271" spans="1:14" x14ac:dyDescent="0.35">
      <c r="A271" t="s">
        <v>4750</v>
      </c>
      <c r="B271" t="s">
        <v>131</v>
      </c>
      <c r="C271" t="s">
        <v>1899</v>
      </c>
      <c r="D271" t="s">
        <v>4460</v>
      </c>
      <c r="E271" t="s">
        <v>4444</v>
      </c>
      <c r="F271" s="3">
        <v>45447</v>
      </c>
      <c r="G271" s="3">
        <v>45448</v>
      </c>
      <c r="H271">
        <v>32.4</v>
      </c>
      <c r="I271">
        <v>24</v>
      </c>
      <c r="J271" t="s">
        <v>4440</v>
      </c>
      <c r="K271" t="s">
        <v>4441</v>
      </c>
      <c r="L271" t="s">
        <v>4454</v>
      </c>
      <c r="M271" t="s">
        <v>4450</v>
      </c>
      <c r="N271">
        <v>4</v>
      </c>
    </row>
    <row r="272" spans="1:14" x14ac:dyDescent="0.35">
      <c r="A272" t="s">
        <v>4751</v>
      </c>
      <c r="B272" t="s">
        <v>392</v>
      </c>
      <c r="C272" t="s">
        <v>1899</v>
      </c>
      <c r="D272" t="s">
        <v>4482</v>
      </c>
      <c r="E272" t="s">
        <v>4439</v>
      </c>
      <c r="F272" s="3">
        <v>44984</v>
      </c>
      <c r="G272" s="3" t="s">
        <v>537</v>
      </c>
      <c r="I272">
        <v>48</v>
      </c>
      <c r="J272" t="s">
        <v>4448</v>
      </c>
      <c r="K272" t="s">
        <v>4457</v>
      </c>
      <c r="L272" t="s">
        <v>4458</v>
      </c>
      <c r="M272" t="s">
        <v>4450</v>
      </c>
    </row>
    <row r="273" spans="1:14" x14ac:dyDescent="0.35">
      <c r="A273" t="s">
        <v>4752</v>
      </c>
      <c r="B273" t="s">
        <v>287</v>
      </c>
      <c r="C273" t="s">
        <v>1904</v>
      </c>
      <c r="D273" t="s">
        <v>4485</v>
      </c>
      <c r="E273" t="s">
        <v>4473</v>
      </c>
      <c r="F273" s="3">
        <v>45290</v>
      </c>
      <c r="G273" s="3">
        <v>45290</v>
      </c>
      <c r="H273">
        <v>7.3</v>
      </c>
      <c r="I273">
        <v>8</v>
      </c>
      <c r="J273" t="s">
        <v>4448</v>
      </c>
      <c r="K273" t="s">
        <v>4441</v>
      </c>
      <c r="L273" t="s">
        <v>4467</v>
      </c>
      <c r="M273" t="s">
        <v>4450</v>
      </c>
      <c r="N273">
        <v>3</v>
      </c>
    </row>
    <row r="274" spans="1:14" x14ac:dyDescent="0.35">
      <c r="A274" t="s">
        <v>4753</v>
      </c>
      <c r="B274" t="s">
        <v>236</v>
      </c>
      <c r="C274" t="s">
        <v>1915</v>
      </c>
      <c r="D274" t="s">
        <v>4485</v>
      </c>
      <c r="E274" t="s">
        <v>4444</v>
      </c>
      <c r="F274" s="3">
        <v>45140</v>
      </c>
      <c r="G274" s="3" t="s">
        <v>537</v>
      </c>
      <c r="I274">
        <v>24</v>
      </c>
      <c r="J274" t="s">
        <v>4448</v>
      </c>
      <c r="K274" t="s">
        <v>4474</v>
      </c>
      <c r="L274" t="s">
        <v>4488</v>
      </c>
      <c r="M274" t="s">
        <v>4450</v>
      </c>
    </row>
    <row r="275" spans="1:14" x14ac:dyDescent="0.35">
      <c r="A275" t="s">
        <v>4754</v>
      </c>
      <c r="B275" t="s">
        <v>365</v>
      </c>
      <c r="C275" t="s">
        <v>1904</v>
      </c>
      <c r="D275" t="s">
        <v>4482</v>
      </c>
      <c r="E275" t="s">
        <v>4473</v>
      </c>
      <c r="F275" s="3">
        <v>45699</v>
      </c>
      <c r="G275" s="3">
        <v>45699</v>
      </c>
      <c r="H275">
        <v>17.100000000000001</v>
      </c>
      <c r="I275">
        <v>8</v>
      </c>
      <c r="J275" t="s">
        <v>4440</v>
      </c>
      <c r="K275" t="s">
        <v>4441</v>
      </c>
      <c r="L275" t="s">
        <v>4512</v>
      </c>
      <c r="M275" t="s">
        <v>4450</v>
      </c>
      <c r="N275">
        <v>2</v>
      </c>
    </row>
    <row r="276" spans="1:14" x14ac:dyDescent="0.35">
      <c r="A276" t="s">
        <v>4755</v>
      </c>
      <c r="B276" t="s">
        <v>466</v>
      </c>
      <c r="C276" t="s">
        <v>1927</v>
      </c>
      <c r="D276" t="s">
        <v>4443</v>
      </c>
      <c r="E276" t="s">
        <v>4444</v>
      </c>
      <c r="F276" s="3">
        <v>45582</v>
      </c>
      <c r="G276" s="3">
        <v>45583</v>
      </c>
      <c r="H276">
        <v>35.6</v>
      </c>
      <c r="I276">
        <v>24</v>
      </c>
      <c r="J276" t="s">
        <v>4440</v>
      </c>
      <c r="K276" t="s">
        <v>4441</v>
      </c>
      <c r="L276" t="s">
        <v>4467</v>
      </c>
      <c r="M276" t="s">
        <v>4462</v>
      </c>
      <c r="N276">
        <v>3</v>
      </c>
    </row>
    <row r="277" spans="1:14" x14ac:dyDescent="0.35">
      <c r="A277" t="s">
        <v>4756</v>
      </c>
      <c r="B277" t="s">
        <v>293</v>
      </c>
      <c r="C277" t="s">
        <v>1883</v>
      </c>
      <c r="D277" t="s">
        <v>4469</v>
      </c>
      <c r="E277" t="s">
        <v>4444</v>
      </c>
      <c r="F277" s="3">
        <v>45418</v>
      </c>
      <c r="G277" s="3">
        <v>45419</v>
      </c>
      <c r="H277">
        <v>33.9</v>
      </c>
      <c r="I277">
        <v>24</v>
      </c>
      <c r="J277" t="s">
        <v>4440</v>
      </c>
      <c r="K277" t="s">
        <v>4441</v>
      </c>
      <c r="L277" t="s">
        <v>4467</v>
      </c>
      <c r="M277" t="s">
        <v>1625</v>
      </c>
      <c r="N277">
        <v>5</v>
      </c>
    </row>
    <row r="278" spans="1:14" x14ac:dyDescent="0.35">
      <c r="A278" t="s">
        <v>4757</v>
      </c>
      <c r="B278" t="s">
        <v>318</v>
      </c>
      <c r="C278" t="s">
        <v>1915</v>
      </c>
      <c r="D278" t="s">
        <v>4476</v>
      </c>
      <c r="E278" t="s">
        <v>4439</v>
      </c>
      <c r="F278" s="3">
        <v>45121</v>
      </c>
      <c r="G278" s="3" t="s">
        <v>537</v>
      </c>
      <c r="I278">
        <v>48</v>
      </c>
      <c r="J278" t="s">
        <v>4440</v>
      </c>
      <c r="K278" t="s">
        <v>4457</v>
      </c>
      <c r="L278" t="s">
        <v>4527</v>
      </c>
      <c r="M278" t="s">
        <v>4462</v>
      </c>
    </row>
    <row r="279" spans="1:14" x14ac:dyDescent="0.35">
      <c r="A279" t="s">
        <v>4758</v>
      </c>
      <c r="B279" t="s">
        <v>68</v>
      </c>
      <c r="C279" t="s">
        <v>1904</v>
      </c>
      <c r="D279" t="s">
        <v>4464</v>
      </c>
      <c r="E279" t="s">
        <v>4473</v>
      </c>
      <c r="F279" s="3">
        <v>45228</v>
      </c>
      <c r="G279" s="3">
        <v>45228</v>
      </c>
      <c r="H279">
        <v>11</v>
      </c>
      <c r="I279">
        <v>8</v>
      </c>
      <c r="J279" t="s">
        <v>4440</v>
      </c>
      <c r="K279" t="s">
        <v>4441</v>
      </c>
      <c r="L279" t="s">
        <v>4467</v>
      </c>
      <c r="M279" t="s">
        <v>4446</v>
      </c>
      <c r="N279">
        <v>1</v>
      </c>
    </row>
    <row r="280" spans="1:14" x14ac:dyDescent="0.35">
      <c r="A280" t="s">
        <v>4759</v>
      </c>
      <c r="B280" t="s">
        <v>175</v>
      </c>
      <c r="C280" t="s">
        <v>1927</v>
      </c>
      <c r="D280" t="s">
        <v>4438</v>
      </c>
      <c r="E280" t="s">
        <v>4473</v>
      </c>
      <c r="F280" s="3">
        <v>45447</v>
      </c>
      <c r="G280" s="3" t="s">
        <v>537</v>
      </c>
      <c r="I280">
        <v>8</v>
      </c>
      <c r="J280" t="s">
        <v>4440</v>
      </c>
      <c r="K280" t="s">
        <v>4453</v>
      </c>
      <c r="L280" t="s">
        <v>4488</v>
      </c>
      <c r="M280" t="s">
        <v>4450</v>
      </c>
    </row>
    <row r="281" spans="1:14" x14ac:dyDescent="0.35">
      <c r="A281" t="s">
        <v>4760</v>
      </c>
      <c r="B281" t="s">
        <v>316</v>
      </c>
      <c r="C281" t="s">
        <v>1883</v>
      </c>
      <c r="D281" t="s">
        <v>4485</v>
      </c>
      <c r="E281" t="s">
        <v>4456</v>
      </c>
      <c r="F281" s="3">
        <v>45463</v>
      </c>
      <c r="G281" s="3">
        <v>45463</v>
      </c>
      <c r="H281">
        <v>3.5</v>
      </c>
      <c r="I281">
        <v>4</v>
      </c>
      <c r="J281" t="s">
        <v>4448</v>
      </c>
      <c r="K281" t="s">
        <v>4441</v>
      </c>
      <c r="L281" t="s">
        <v>4512</v>
      </c>
      <c r="M281" t="s">
        <v>4450</v>
      </c>
      <c r="N281">
        <v>4</v>
      </c>
    </row>
    <row r="282" spans="1:14" x14ac:dyDescent="0.35">
      <c r="A282" t="s">
        <v>4761</v>
      </c>
      <c r="B282" t="s">
        <v>395</v>
      </c>
      <c r="C282" t="s">
        <v>1899</v>
      </c>
      <c r="D282" t="s">
        <v>4482</v>
      </c>
      <c r="E282" t="s">
        <v>4456</v>
      </c>
      <c r="F282" s="3">
        <v>45202</v>
      </c>
      <c r="G282" s="3" t="s">
        <v>537</v>
      </c>
      <c r="I282">
        <v>4</v>
      </c>
      <c r="J282" t="s">
        <v>4440</v>
      </c>
      <c r="K282" t="s">
        <v>4457</v>
      </c>
      <c r="L282" t="s">
        <v>4449</v>
      </c>
      <c r="M282" t="s">
        <v>1625</v>
      </c>
    </row>
    <row r="283" spans="1:14" x14ac:dyDescent="0.35">
      <c r="A283" t="s">
        <v>4762</v>
      </c>
      <c r="B283" t="s">
        <v>38</v>
      </c>
      <c r="C283" t="s">
        <v>1899</v>
      </c>
      <c r="D283" t="s">
        <v>4482</v>
      </c>
      <c r="E283" t="s">
        <v>4456</v>
      </c>
      <c r="F283" s="3">
        <v>45070</v>
      </c>
      <c r="G283" s="3">
        <v>45070</v>
      </c>
      <c r="H283">
        <v>7.8</v>
      </c>
      <c r="I283">
        <v>4</v>
      </c>
      <c r="J283" t="s">
        <v>4440</v>
      </c>
      <c r="K283" t="s">
        <v>4441</v>
      </c>
      <c r="L283" t="s">
        <v>1907</v>
      </c>
      <c r="M283" t="s">
        <v>4446</v>
      </c>
      <c r="N283">
        <v>5</v>
      </c>
    </row>
    <row r="284" spans="1:14" x14ac:dyDescent="0.35">
      <c r="A284" t="s">
        <v>4763</v>
      </c>
      <c r="B284" t="s">
        <v>337</v>
      </c>
      <c r="C284" t="s">
        <v>1904</v>
      </c>
      <c r="D284" t="s">
        <v>4490</v>
      </c>
      <c r="E284" t="s">
        <v>4444</v>
      </c>
      <c r="F284" s="3">
        <v>45025</v>
      </c>
      <c r="G284" s="3">
        <v>45025</v>
      </c>
      <c r="H284">
        <v>5.3</v>
      </c>
      <c r="I284">
        <v>24</v>
      </c>
      <c r="J284" t="s">
        <v>4448</v>
      </c>
      <c r="K284" t="s">
        <v>4441</v>
      </c>
      <c r="L284" t="s">
        <v>4533</v>
      </c>
      <c r="M284" t="s">
        <v>4450</v>
      </c>
      <c r="N284">
        <v>5</v>
      </c>
    </row>
    <row r="285" spans="1:14" x14ac:dyDescent="0.35">
      <c r="A285" t="s">
        <v>4764</v>
      </c>
      <c r="B285" t="s">
        <v>291</v>
      </c>
      <c r="C285" t="s">
        <v>1927</v>
      </c>
      <c r="D285" t="s">
        <v>4490</v>
      </c>
      <c r="E285" t="s">
        <v>4439</v>
      </c>
      <c r="F285" s="3">
        <v>45247</v>
      </c>
      <c r="G285" s="3" t="s">
        <v>537</v>
      </c>
      <c r="I285">
        <v>48</v>
      </c>
      <c r="J285" t="s">
        <v>4440</v>
      </c>
      <c r="K285" t="s">
        <v>4453</v>
      </c>
      <c r="L285" t="s">
        <v>4492</v>
      </c>
      <c r="M285" t="s">
        <v>1625</v>
      </c>
    </row>
    <row r="286" spans="1:14" x14ac:dyDescent="0.35">
      <c r="A286" t="s">
        <v>4765</v>
      </c>
      <c r="B286" t="s">
        <v>458</v>
      </c>
      <c r="C286" t="s">
        <v>1883</v>
      </c>
      <c r="D286" t="s">
        <v>4482</v>
      </c>
      <c r="E286" t="s">
        <v>4439</v>
      </c>
      <c r="F286" s="3">
        <v>45697</v>
      </c>
      <c r="G286" s="3" t="s">
        <v>537</v>
      </c>
      <c r="I286">
        <v>48</v>
      </c>
      <c r="J286" t="s">
        <v>4448</v>
      </c>
      <c r="K286" t="s">
        <v>4474</v>
      </c>
      <c r="L286" t="s">
        <v>4465</v>
      </c>
      <c r="M286" t="s">
        <v>1625</v>
      </c>
    </row>
    <row r="287" spans="1:14" x14ac:dyDescent="0.35">
      <c r="A287" t="s">
        <v>4766</v>
      </c>
      <c r="B287" t="s">
        <v>401</v>
      </c>
      <c r="C287" t="s">
        <v>1899</v>
      </c>
      <c r="D287" t="s">
        <v>4460</v>
      </c>
      <c r="E287" t="s">
        <v>4444</v>
      </c>
      <c r="F287" s="3">
        <v>45192</v>
      </c>
      <c r="G287" s="3" t="s">
        <v>537</v>
      </c>
      <c r="I287">
        <v>24</v>
      </c>
      <c r="J287" t="s">
        <v>4440</v>
      </c>
      <c r="K287" t="s">
        <v>4457</v>
      </c>
      <c r="L287" t="s">
        <v>4509</v>
      </c>
      <c r="M287" t="s">
        <v>4462</v>
      </c>
    </row>
    <row r="288" spans="1:14" x14ac:dyDescent="0.35">
      <c r="A288" t="s">
        <v>4767</v>
      </c>
      <c r="B288" t="s">
        <v>97</v>
      </c>
      <c r="C288" t="s">
        <v>1927</v>
      </c>
      <c r="D288" t="s">
        <v>4460</v>
      </c>
      <c r="E288" t="s">
        <v>4456</v>
      </c>
      <c r="F288" s="3">
        <v>45274</v>
      </c>
      <c r="G288" s="3">
        <v>45274</v>
      </c>
      <c r="H288">
        <v>9.1</v>
      </c>
      <c r="I288">
        <v>4</v>
      </c>
      <c r="J288" t="s">
        <v>4440</v>
      </c>
      <c r="K288" t="s">
        <v>4441</v>
      </c>
      <c r="L288" t="s">
        <v>4445</v>
      </c>
      <c r="M288" t="s">
        <v>4450</v>
      </c>
      <c r="N288">
        <v>1</v>
      </c>
    </row>
    <row r="289" spans="1:14" x14ac:dyDescent="0.35">
      <c r="A289" t="s">
        <v>4768</v>
      </c>
      <c r="B289" t="s">
        <v>300</v>
      </c>
      <c r="C289" t="s">
        <v>1927</v>
      </c>
      <c r="D289" t="s">
        <v>4476</v>
      </c>
      <c r="E289" t="s">
        <v>4439</v>
      </c>
      <c r="F289" s="3">
        <v>45421</v>
      </c>
      <c r="G289" s="3">
        <v>45423</v>
      </c>
      <c r="H289">
        <v>68.099999999999994</v>
      </c>
      <c r="I289">
        <v>48</v>
      </c>
      <c r="J289" t="s">
        <v>4440</v>
      </c>
      <c r="K289" t="s">
        <v>4441</v>
      </c>
      <c r="L289" t="s">
        <v>4470</v>
      </c>
      <c r="M289" t="s">
        <v>1625</v>
      </c>
      <c r="N289">
        <v>4</v>
      </c>
    </row>
    <row r="290" spans="1:14" x14ac:dyDescent="0.35">
      <c r="A290" t="s">
        <v>4769</v>
      </c>
      <c r="B290" t="s">
        <v>280</v>
      </c>
      <c r="C290" t="s">
        <v>1890</v>
      </c>
      <c r="D290" t="s">
        <v>4460</v>
      </c>
      <c r="E290" t="s">
        <v>4439</v>
      </c>
      <c r="F290" s="3">
        <v>45530</v>
      </c>
      <c r="G290" s="3" t="s">
        <v>537</v>
      </c>
      <c r="I290">
        <v>48</v>
      </c>
      <c r="J290" t="s">
        <v>1945</v>
      </c>
      <c r="K290" t="s">
        <v>4474</v>
      </c>
      <c r="L290" t="s">
        <v>4512</v>
      </c>
      <c r="M290" t="s">
        <v>4462</v>
      </c>
    </row>
    <row r="291" spans="1:14" x14ac:dyDescent="0.35">
      <c r="A291" t="s">
        <v>4770</v>
      </c>
      <c r="B291" t="s">
        <v>291</v>
      </c>
      <c r="C291" t="s">
        <v>1927</v>
      </c>
      <c r="D291" t="s">
        <v>4452</v>
      </c>
      <c r="E291" t="s">
        <v>4456</v>
      </c>
      <c r="F291" s="3">
        <v>45068</v>
      </c>
      <c r="G291" s="3">
        <v>45068</v>
      </c>
      <c r="H291">
        <v>1.7</v>
      </c>
      <c r="I291">
        <v>4</v>
      </c>
      <c r="J291" t="s">
        <v>4448</v>
      </c>
      <c r="K291" t="s">
        <v>4441</v>
      </c>
      <c r="L291" t="s">
        <v>4509</v>
      </c>
      <c r="M291" t="s">
        <v>4450</v>
      </c>
      <c r="N291">
        <v>4</v>
      </c>
    </row>
    <row r="292" spans="1:14" x14ac:dyDescent="0.35">
      <c r="A292" t="s">
        <v>4771</v>
      </c>
      <c r="B292" t="s">
        <v>366</v>
      </c>
      <c r="C292" t="s">
        <v>1899</v>
      </c>
      <c r="D292" t="s">
        <v>4482</v>
      </c>
      <c r="E292" t="s">
        <v>4444</v>
      </c>
      <c r="F292" s="3">
        <v>45554</v>
      </c>
      <c r="G292" s="3" t="s">
        <v>537</v>
      </c>
      <c r="I292">
        <v>24</v>
      </c>
      <c r="J292" t="s">
        <v>4440</v>
      </c>
      <c r="K292" t="s">
        <v>4457</v>
      </c>
      <c r="L292" t="s">
        <v>4514</v>
      </c>
      <c r="M292" t="s">
        <v>1625</v>
      </c>
    </row>
    <row r="293" spans="1:14" x14ac:dyDescent="0.35">
      <c r="A293" t="s">
        <v>4772</v>
      </c>
      <c r="B293" t="s">
        <v>392</v>
      </c>
      <c r="C293" t="s">
        <v>1915</v>
      </c>
      <c r="D293" t="s">
        <v>4460</v>
      </c>
      <c r="E293" t="s">
        <v>4439</v>
      </c>
      <c r="F293" s="3">
        <v>45389</v>
      </c>
      <c r="G293" s="3" t="s">
        <v>537</v>
      </c>
      <c r="I293">
        <v>48</v>
      </c>
      <c r="J293" t="s">
        <v>4448</v>
      </c>
      <c r="K293" t="s">
        <v>4457</v>
      </c>
      <c r="L293" t="s">
        <v>4514</v>
      </c>
      <c r="M293" t="s">
        <v>4462</v>
      </c>
    </row>
    <row r="294" spans="1:14" x14ac:dyDescent="0.35">
      <c r="A294" t="s">
        <v>4773</v>
      </c>
      <c r="B294" t="s">
        <v>388</v>
      </c>
      <c r="C294" t="s">
        <v>1904</v>
      </c>
      <c r="D294" t="s">
        <v>8506</v>
      </c>
      <c r="E294" t="s">
        <v>4456</v>
      </c>
      <c r="F294" s="3">
        <v>45396</v>
      </c>
      <c r="G294" s="3" t="s">
        <v>537</v>
      </c>
      <c r="I294">
        <v>4</v>
      </c>
      <c r="J294" t="s">
        <v>4440</v>
      </c>
      <c r="K294" t="s">
        <v>4453</v>
      </c>
      <c r="L294" t="s">
        <v>4492</v>
      </c>
      <c r="M294" t="s">
        <v>1625</v>
      </c>
    </row>
    <row r="295" spans="1:14" x14ac:dyDescent="0.35">
      <c r="A295" t="s">
        <v>4774</v>
      </c>
      <c r="B295" t="s">
        <v>442</v>
      </c>
      <c r="C295" t="s">
        <v>1890</v>
      </c>
      <c r="D295" t="s">
        <v>4476</v>
      </c>
      <c r="E295" t="s">
        <v>4456</v>
      </c>
      <c r="F295" s="3">
        <v>45127</v>
      </c>
      <c r="G295" s="3" t="s">
        <v>537</v>
      </c>
      <c r="I295">
        <v>4</v>
      </c>
      <c r="J295" t="s">
        <v>4440</v>
      </c>
      <c r="K295" t="s">
        <v>4474</v>
      </c>
      <c r="L295" t="s">
        <v>4467</v>
      </c>
      <c r="M295" t="s">
        <v>4450</v>
      </c>
    </row>
    <row r="296" spans="1:14" x14ac:dyDescent="0.35">
      <c r="A296" t="s">
        <v>4775</v>
      </c>
      <c r="B296" t="s">
        <v>68</v>
      </c>
      <c r="C296" t="s">
        <v>1883</v>
      </c>
      <c r="D296" t="s">
        <v>4460</v>
      </c>
      <c r="E296" t="s">
        <v>79</v>
      </c>
      <c r="F296" s="3">
        <v>45729</v>
      </c>
      <c r="G296" s="3">
        <v>45730</v>
      </c>
      <c r="H296">
        <v>43.3</v>
      </c>
      <c r="I296">
        <v>24</v>
      </c>
      <c r="J296" t="s">
        <v>4440</v>
      </c>
      <c r="K296" t="s">
        <v>4441</v>
      </c>
      <c r="L296" t="s">
        <v>4514</v>
      </c>
      <c r="M296" t="s">
        <v>4446</v>
      </c>
    </row>
    <row r="297" spans="1:14" x14ac:dyDescent="0.35">
      <c r="A297" t="s">
        <v>4776</v>
      </c>
      <c r="B297" t="s">
        <v>365</v>
      </c>
      <c r="C297" t="s">
        <v>1904</v>
      </c>
      <c r="D297" t="s">
        <v>4464</v>
      </c>
      <c r="E297" t="s">
        <v>79</v>
      </c>
      <c r="F297" s="3">
        <v>45398</v>
      </c>
      <c r="G297" s="3">
        <v>45398</v>
      </c>
      <c r="H297">
        <v>4.5999999999999996</v>
      </c>
      <c r="I297">
        <v>8</v>
      </c>
      <c r="J297" t="s">
        <v>1945</v>
      </c>
      <c r="K297" t="s">
        <v>4441</v>
      </c>
      <c r="L297" t="s">
        <v>4467</v>
      </c>
      <c r="M297" t="s">
        <v>4450</v>
      </c>
      <c r="N297">
        <v>3</v>
      </c>
    </row>
    <row r="298" spans="1:14" x14ac:dyDescent="0.35">
      <c r="A298" t="s">
        <v>4777</v>
      </c>
      <c r="B298" t="s">
        <v>235</v>
      </c>
      <c r="C298" t="s">
        <v>1883</v>
      </c>
      <c r="D298" t="s">
        <v>4476</v>
      </c>
      <c r="E298" t="s">
        <v>4473</v>
      </c>
      <c r="F298" s="3">
        <v>45700</v>
      </c>
      <c r="G298" s="3" t="s">
        <v>537</v>
      </c>
      <c r="I298">
        <v>8</v>
      </c>
      <c r="J298" t="s">
        <v>4440</v>
      </c>
      <c r="K298" t="s">
        <v>4457</v>
      </c>
      <c r="L298" t="s">
        <v>4465</v>
      </c>
      <c r="M298" t="s">
        <v>4446</v>
      </c>
    </row>
    <row r="299" spans="1:14" x14ac:dyDescent="0.35">
      <c r="A299" t="s">
        <v>4778</v>
      </c>
      <c r="B299" t="s">
        <v>222</v>
      </c>
      <c r="C299" t="s">
        <v>1904</v>
      </c>
      <c r="D299" t="s">
        <v>4490</v>
      </c>
      <c r="E299" t="s">
        <v>4444</v>
      </c>
      <c r="F299" s="3">
        <v>45409</v>
      </c>
      <c r="G299" s="3">
        <v>45409</v>
      </c>
      <c r="H299">
        <v>3.6</v>
      </c>
      <c r="I299">
        <v>24</v>
      </c>
      <c r="J299" t="s">
        <v>4448</v>
      </c>
      <c r="K299" t="s">
        <v>4441</v>
      </c>
      <c r="L299" t="s">
        <v>4509</v>
      </c>
      <c r="M299" t="s">
        <v>4446</v>
      </c>
      <c r="N299">
        <v>3</v>
      </c>
    </row>
    <row r="300" spans="1:14" x14ac:dyDescent="0.35">
      <c r="A300" t="s">
        <v>4779</v>
      </c>
      <c r="B300" t="s">
        <v>469</v>
      </c>
      <c r="C300" t="s">
        <v>1904</v>
      </c>
      <c r="D300" t="s">
        <v>4476</v>
      </c>
      <c r="E300" t="s">
        <v>4439</v>
      </c>
      <c r="F300" s="3">
        <v>45301</v>
      </c>
      <c r="G300" s="3" t="s">
        <v>537</v>
      </c>
      <c r="I300">
        <v>48</v>
      </c>
      <c r="J300" t="s">
        <v>4440</v>
      </c>
      <c r="K300" t="s">
        <v>4457</v>
      </c>
      <c r="L300" t="s">
        <v>4449</v>
      </c>
      <c r="M300" t="s">
        <v>1625</v>
      </c>
    </row>
    <row r="301" spans="1:14" x14ac:dyDescent="0.35">
      <c r="A301" t="s">
        <v>4780</v>
      </c>
      <c r="B301" t="s">
        <v>392</v>
      </c>
      <c r="C301" t="s">
        <v>1915</v>
      </c>
      <c r="D301" t="s">
        <v>4482</v>
      </c>
      <c r="E301" t="s">
        <v>4439</v>
      </c>
      <c r="F301" s="3">
        <v>45378</v>
      </c>
      <c r="G301" s="3" t="s">
        <v>537</v>
      </c>
      <c r="I301">
        <v>48</v>
      </c>
      <c r="J301" t="s">
        <v>4448</v>
      </c>
      <c r="K301" t="s">
        <v>4453</v>
      </c>
      <c r="L301" t="s">
        <v>4483</v>
      </c>
      <c r="M301" t="s">
        <v>4450</v>
      </c>
    </row>
    <row r="302" spans="1:14" x14ac:dyDescent="0.35">
      <c r="A302" t="s">
        <v>4781</v>
      </c>
      <c r="B302" t="s">
        <v>167</v>
      </c>
      <c r="C302" t="s">
        <v>1890</v>
      </c>
      <c r="D302" t="s">
        <v>4464</v>
      </c>
      <c r="E302" t="s">
        <v>4444</v>
      </c>
      <c r="F302" s="3">
        <v>45317</v>
      </c>
      <c r="G302" s="3">
        <v>45317</v>
      </c>
      <c r="H302">
        <v>20.6</v>
      </c>
      <c r="I302">
        <v>24</v>
      </c>
      <c r="J302" t="s">
        <v>4448</v>
      </c>
      <c r="K302" t="s">
        <v>4441</v>
      </c>
      <c r="L302" t="s">
        <v>4467</v>
      </c>
      <c r="M302" t="s">
        <v>4450</v>
      </c>
      <c r="N302">
        <v>5</v>
      </c>
    </row>
    <row r="303" spans="1:14" x14ac:dyDescent="0.35">
      <c r="A303" t="s">
        <v>4782</v>
      </c>
      <c r="B303" t="s">
        <v>240</v>
      </c>
      <c r="C303" t="s">
        <v>1883</v>
      </c>
      <c r="D303" t="s">
        <v>4464</v>
      </c>
      <c r="E303" t="s">
        <v>4473</v>
      </c>
      <c r="F303" s="3">
        <v>45649</v>
      </c>
      <c r="G303" s="3">
        <v>45649</v>
      </c>
      <c r="H303">
        <v>4.3</v>
      </c>
      <c r="I303">
        <v>8</v>
      </c>
      <c r="J303" t="s">
        <v>4448</v>
      </c>
      <c r="K303" t="s">
        <v>4441</v>
      </c>
      <c r="L303" t="s">
        <v>4512</v>
      </c>
      <c r="M303" t="s">
        <v>4450</v>
      </c>
      <c r="N303">
        <v>3</v>
      </c>
    </row>
    <row r="304" spans="1:14" x14ac:dyDescent="0.35">
      <c r="A304" t="s">
        <v>4783</v>
      </c>
      <c r="B304" t="s">
        <v>190</v>
      </c>
      <c r="C304" t="s">
        <v>1883</v>
      </c>
      <c r="D304" t="s">
        <v>4490</v>
      </c>
      <c r="E304" t="s">
        <v>4444</v>
      </c>
      <c r="F304" s="3">
        <v>45406</v>
      </c>
      <c r="G304" s="3" t="s">
        <v>537</v>
      </c>
      <c r="I304">
        <v>24</v>
      </c>
      <c r="J304" t="s">
        <v>4440</v>
      </c>
      <c r="K304" t="s">
        <v>4457</v>
      </c>
      <c r="L304" t="s">
        <v>4492</v>
      </c>
      <c r="M304" t="s">
        <v>4446</v>
      </c>
    </row>
    <row r="305" spans="1:14" x14ac:dyDescent="0.35">
      <c r="A305" t="s">
        <v>4784</v>
      </c>
      <c r="B305" t="s">
        <v>275</v>
      </c>
      <c r="C305" t="s">
        <v>1927</v>
      </c>
      <c r="D305" t="s">
        <v>4460</v>
      </c>
      <c r="E305" t="s">
        <v>4439</v>
      </c>
      <c r="F305" s="3">
        <v>45172</v>
      </c>
      <c r="G305" s="3" t="s">
        <v>537</v>
      </c>
      <c r="I305">
        <v>48</v>
      </c>
      <c r="J305" t="s">
        <v>4440</v>
      </c>
      <c r="K305" t="s">
        <v>4453</v>
      </c>
      <c r="L305" t="s">
        <v>4461</v>
      </c>
      <c r="M305" t="s">
        <v>4446</v>
      </c>
    </row>
    <row r="306" spans="1:14" x14ac:dyDescent="0.35">
      <c r="A306" t="s">
        <v>4785</v>
      </c>
      <c r="B306" t="s">
        <v>392</v>
      </c>
      <c r="C306" t="s">
        <v>1899</v>
      </c>
      <c r="D306" t="s">
        <v>4490</v>
      </c>
      <c r="E306" t="s">
        <v>4439</v>
      </c>
      <c r="F306" s="3">
        <v>45417</v>
      </c>
      <c r="G306" s="3" t="s">
        <v>537</v>
      </c>
      <c r="I306">
        <v>48</v>
      </c>
      <c r="J306" t="s">
        <v>4440</v>
      </c>
      <c r="K306" t="s">
        <v>4457</v>
      </c>
      <c r="L306" t="s">
        <v>4501</v>
      </c>
      <c r="M306" t="s">
        <v>4462</v>
      </c>
    </row>
    <row r="307" spans="1:14" x14ac:dyDescent="0.35">
      <c r="A307" t="s">
        <v>4786</v>
      </c>
      <c r="B307" t="s">
        <v>364</v>
      </c>
      <c r="C307" t="s">
        <v>1904</v>
      </c>
      <c r="D307" t="s">
        <v>4490</v>
      </c>
      <c r="E307" t="s">
        <v>4456</v>
      </c>
      <c r="F307" s="3">
        <v>45025</v>
      </c>
      <c r="G307" s="3">
        <v>45025</v>
      </c>
      <c r="H307">
        <v>5.8</v>
      </c>
      <c r="I307">
        <v>4</v>
      </c>
      <c r="J307" t="s">
        <v>4440</v>
      </c>
      <c r="K307" t="s">
        <v>4441</v>
      </c>
      <c r="L307" t="s">
        <v>4467</v>
      </c>
      <c r="M307" t="s">
        <v>4446</v>
      </c>
      <c r="N307">
        <v>2</v>
      </c>
    </row>
    <row r="308" spans="1:14" x14ac:dyDescent="0.35">
      <c r="A308" t="s">
        <v>4787</v>
      </c>
      <c r="B308" t="s">
        <v>360</v>
      </c>
      <c r="C308" t="s">
        <v>1927</v>
      </c>
      <c r="D308" t="s">
        <v>4472</v>
      </c>
      <c r="E308" t="s">
        <v>4439</v>
      </c>
      <c r="F308" s="3">
        <v>45084</v>
      </c>
      <c r="G308" s="3">
        <v>45087</v>
      </c>
      <c r="H308">
        <v>85.7</v>
      </c>
      <c r="I308">
        <v>48</v>
      </c>
      <c r="J308" t="s">
        <v>4440</v>
      </c>
      <c r="K308" t="s">
        <v>4441</v>
      </c>
      <c r="L308" t="s">
        <v>4445</v>
      </c>
      <c r="M308" t="s">
        <v>4446</v>
      </c>
      <c r="N308">
        <v>2</v>
      </c>
    </row>
    <row r="309" spans="1:14" x14ac:dyDescent="0.35">
      <c r="A309" t="s">
        <v>4788</v>
      </c>
      <c r="B309" t="s">
        <v>164</v>
      </c>
      <c r="C309" t="s">
        <v>1904</v>
      </c>
      <c r="D309" t="s">
        <v>4485</v>
      </c>
      <c r="E309" t="s">
        <v>4456</v>
      </c>
      <c r="F309" s="3">
        <v>45486</v>
      </c>
      <c r="G309" s="3" t="s">
        <v>537</v>
      </c>
      <c r="I309">
        <v>4</v>
      </c>
      <c r="J309" t="s">
        <v>4440</v>
      </c>
      <c r="K309" t="s">
        <v>4474</v>
      </c>
      <c r="L309" t="s">
        <v>4458</v>
      </c>
      <c r="M309" t="s">
        <v>1625</v>
      </c>
    </row>
    <row r="310" spans="1:14" x14ac:dyDescent="0.35">
      <c r="A310" t="s">
        <v>4789</v>
      </c>
      <c r="B310" t="s">
        <v>473</v>
      </c>
      <c r="C310" t="s">
        <v>1890</v>
      </c>
      <c r="D310" t="s">
        <v>4469</v>
      </c>
      <c r="E310" t="s">
        <v>4473</v>
      </c>
      <c r="F310" s="3">
        <v>45565</v>
      </c>
      <c r="G310" s="3" t="s">
        <v>537</v>
      </c>
      <c r="I310">
        <v>8</v>
      </c>
      <c r="J310" t="s">
        <v>4440</v>
      </c>
      <c r="K310" t="s">
        <v>4474</v>
      </c>
      <c r="L310" t="s">
        <v>4467</v>
      </c>
      <c r="M310" t="s">
        <v>4450</v>
      </c>
    </row>
    <row r="311" spans="1:14" x14ac:dyDescent="0.35">
      <c r="A311" t="s">
        <v>4790</v>
      </c>
      <c r="B311" t="s">
        <v>23</v>
      </c>
      <c r="C311" t="s">
        <v>1890</v>
      </c>
      <c r="D311" t="s">
        <v>4438</v>
      </c>
      <c r="E311" t="s">
        <v>4444</v>
      </c>
      <c r="F311" s="3">
        <v>45417</v>
      </c>
      <c r="G311" s="3" t="s">
        <v>537</v>
      </c>
      <c r="I311">
        <v>24</v>
      </c>
      <c r="J311" t="s">
        <v>4448</v>
      </c>
      <c r="K311" t="s">
        <v>4474</v>
      </c>
      <c r="L311" t="s">
        <v>1907</v>
      </c>
      <c r="M311" t="s">
        <v>4446</v>
      </c>
    </row>
    <row r="312" spans="1:14" x14ac:dyDescent="0.35">
      <c r="A312" t="s">
        <v>4791</v>
      </c>
      <c r="B312" t="s">
        <v>414</v>
      </c>
      <c r="C312" t="s">
        <v>1927</v>
      </c>
      <c r="D312" t="s">
        <v>4479</v>
      </c>
      <c r="E312" t="s">
        <v>4444</v>
      </c>
      <c r="F312" s="3">
        <v>45339</v>
      </c>
      <c r="G312" s="3">
        <v>45340</v>
      </c>
      <c r="H312">
        <v>30.6</v>
      </c>
      <c r="I312">
        <v>24</v>
      </c>
      <c r="J312" t="s">
        <v>4440</v>
      </c>
      <c r="K312" t="s">
        <v>4441</v>
      </c>
      <c r="L312" t="s">
        <v>4533</v>
      </c>
      <c r="M312" t="s">
        <v>4462</v>
      </c>
      <c r="N312">
        <v>4</v>
      </c>
    </row>
    <row r="313" spans="1:14" x14ac:dyDescent="0.35">
      <c r="A313" t="s">
        <v>4792</v>
      </c>
      <c r="B313" t="s">
        <v>390</v>
      </c>
      <c r="C313" t="s">
        <v>1899</v>
      </c>
      <c r="D313" t="s">
        <v>4464</v>
      </c>
      <c r="E313" t="s">
        <v>4444</v>
      </c>
      <c r="F313" s="3">
        <v>45546</v>
      </c>
      <c r="G313" s="3">
        <v>45547</v>
      </c>
      <c r="H313">
        <v>32.299999999999997</v>
      </c>
      <c r="I313">
        <v>24</v>
      </c>
      <c r="J313" t="s">
        <v>4440</v>
      </c>
      <c r="K313" t="s">
        <v>4441</v>
      </c>
      <c r="L313" t="s">
        <v>4480</v>
      </c>
      <c r="M313" t="s">
        <v>4446</v>
      </c>
      <c r="N313">
        <v>5</v>
      </c>
    </row>
    <row r="314" spans="1:14" x14ac:dyDescent="0.35">
      <c r="A314" t="s">
        <v>4793</v>
      </c>
      <c r="B314" t="s">
        <v>414</v>
      </c>
      <c r="C314" t="s">
        <v>1890</v>
      </c>
      <c r="D314" t="s">
        <v>4482</v>
      </c>
      <c r="E314" t="s">
        <v>4473</v>
      </c>
      <c r="F314" s="3">
        <v>45040</v>
      </c>
      <c r="G314" s="3" t="s">
        <v>537</v>
      </c>
      <c r="I314">
        <v>8</v>
      </c>
      <c r="J314" t="s">
        <v>4448</v>
      </c>
      <c r="K314" t="s">
        <v>4457</v>
      </c>
      <c r="L314" t="s">
        <v>4514</v>
      </c>
      <c r="M314" t="s">
        <v>4462</v>
      </c>
    </row>
    <row r="315" spans="1:14" x14ac:dyDescent="0.35">
      <c r="A315" t="s">
        <v>4794</v>
      </c>
      <c r="B315" t="s">
        <v>437</v>
      </c>
      <c r="C315" t="s">
        <v>1904</v>
      </c>
      <c r="D315" t="s">
        <v>4452</v>
      </c>
      <c r="E315" t="s">
        <v>4439</v>
      </c>
      <c r="F315" s="3">
        <v>45323</v>
      </c>
      <c r="G315" s="3" t="s">
        <v>537</v>
      </c>
      <c r="I315">
        <v>48</v>
      </c>
      <c r="J315" t="s">
        <v>4448</v>
      </c>
      <c r="K315" t="s">
        <v>4453</v>
      </c>
      <c r="L315" t="s">
        <v>4514</v>
      </c>
      <c r="M315" t="s">
        <v>1625</v>
      </c>
    </row>
    <row r="316" spans="1:14" x14ac:dyDescent="0.35">
      <c r="A316" t="s">
        <v>4795</v>
      </c>
      <c r="B316" t="s">
        <v>207</v>
      </c>
      <c r="C316" t="s">
        <v>1883</v>
      </c>
      <c r="D316" t="s">
        <v>4482</v>
      </c>
      <c r="E316" t="s">
        <v>4444</v>
      </c>
      <c r="F316" s="3">
        <v>45101</v>
      </c>
      <c r="G316" s="3" t="s">
        <v>537</v>
      </c>
      <c r="I316">
        <v>24</v>
      </c>
      <c r="J316" t="s">
        <v>4440</v>
      </c>
      <c r="K316" t="s">
        <v>4474</v>
      </c>
      <c r="L316" t="s">
        <v>4449</v>
      </c>
      <c r="M316" t="s">
        <v>4450</v>
      </c>
    </row>
    <row r="317" spans="1:14" x14ac:dyDescent="0.35">
      <c r="A317" t="s">
        <v>4796</v>
      </c>
      <c r="B317" t="s">
        <v>410</v>
      </c>
      <c r="C317" t="s">
        <v>1899</v>
      </c>
      <c r="D317" t="s">
        <v>4472</v>
      </c>
      <c r="E317" t="s">
        <v>4473</v>
      </c>
      <c r="F317" s="3">
        <v>45372</v>
      </c>
      <c r="G317" s="3">
        <v>45372</v>
      </c>
      <c r="H317">
        <v>15.1</v>
      </c>
      <c r="I317">
        <v>8</v>
      </c>
      <c r="J317" t="s">
        <v>4440</v>
      </c>
      <c r="K317" t="s">
        <v>4441</v>
      </c>
      <c r="L317" t="s">
        <v>4580</v>
      </c>
      <c r="M317" t="s">
        <v>1625</v>
      </c>
      <c r="N317">
        <v>3</v>
      </c>
    </row>
    <row r="318" spans="1:14" x14ac:dyDescent="0.35">
      <c r="A318" t="s">
        <v>4797</v>
      </c>
      <c r="B318" t="s">
        <v>62</v>
      </c>
      <c r="C318" t="s">
        <v>1899</v>
      </c>
      <c r="D318" t="s">
        <v>4438</v>
      </c>
      <c r="E318" t="s">
        <v>4473</v>
      </c>
      <c r="F318" s="3">
        <v>45008</v>
      </c>
      <c r="G318" s="3">
        <v>45008</v>
      </c>
      <c r="H318">
        <v>17.7</v>
      </c>
      <c r="I318">
        <v>8</v>
      </c>
      <c r="J318" t="s">
        <v>4440</v>
      </c>
      <c r="K318" t="s">
        <v>4441</v>
      </c>
      <c r="L318" t="s">
        <v>4501</v>
      </c>
      <c r="M318" t="s">
        <v>4446</v>
      </c>
      <c r="N318">
        <v>3</v>
      </c>
    </row>
    <row r="319" spans="1:14" x14ac:dyDescent="0.35">
      <c r="A319" t="s">
        <v>4798</v>
      </c>
      <c r="B319" t="s">
        <v>82</v>
      </c>
      <c r="C319" t="s">
        <v>1883</v>
      </c>
      <c r="D319" t="s">
        <v>4472</v>
      </c>
      <c r="E319" t="s">
        <v>4444</v>
      </c>
      <c r="F319" s="3">
        <v>45014</v>
      </c>
      <c r="G319" s="3" t="s">
        <v>537</v>
      </c>
      <c r="I319">
        <v>24</v>
      </c>
      <c r="J319" t="s">
        <v>4448</v>
      </c>
      <c r="K319" t="s">
        <v>4474</v>
      </c>
      <c r="L319" t="s">
        <v>4492</v>
      </c>
      <c r="M319" t="s">
        <v>1625</v>
      </c>
    </row>
    <row r="320" spans="1:14" x14ac:dyDescent="0.35">
      <c r="A320" t="s">
        <v>4799</v>
      </c>
      <c r="B320" t="s">
        <v>382</v>
      </c>
      <c r="C320" t="s">
        <v>1915</v>
      </c>
      <c r="D320" t="s">
        <v>4472</v>
      </c>
      <c r="E320" t="s">
        <v>4473</v>
      </c>
      <c r="F320" s="3">
        <v>45352</v>
      </c>
      <c r="G320" s="3" t="s">
        <v>537</v>
      </c>
      <c r="I320">
        <v>8</v>
      </c>
      <c r="J320" t="s">
        <v>4448</v>
      </c>
      <c r="K320" t="s">
        <v>4474</v>
      </c>
      <c r="L320" t="s">
        <v>4449</v>
      </c>
      <c r="M320" t="s">
        <v>4450</v>
      </c>
    </row>
    <row r="321" spans="1:14" x14ac:dyDescent="0.35">
      <c r="A321" t="s">
        <v>4800</v>
      </c>
      <c r="B321" t="s">
        <v>300</v>
      </c>
      <c r="C321" t="s">
        <v>1915</v>
      </c>
      <c r="D321" t="s">
        <v>4443</v>
      </c>
      <c r="E321" t="s">
        <v>4444</v>
      </c>
      <c r="F321" s="3">
        <v>44961</v>
      </c>
      <c r="G321" s="3">
        <v>44961</v>
      </c>
      <c r="H321">
        <v>18.8</v>
      </c>
      <c r="I321">
        <v>24</v>
      </c>
      <c r="J321" t="s">
        <v>4448</v>
      </c>
      <c r="K321" t="s">
        <v>4441</v>
      </c>
      <c r="L321" t="s">
        <v>4449</v>
      </c>
      <c r="M321" t="s">
        <v>1625</v>
      </c>
      <c r="N321">
        <v>4</v>
      </c>
    </row>
    <row r="322" spans="1:14" x14ac:dyDescent="0.35">
      <c r="A322" t="s">
        <v>4801</v>
      </c>
      <c r="B322" t="s">
        <v>126</v>
      </c>
      <c r="C322" t="s">
        <v>1883</v>
      </c>
      <c r="D322" t="s">
        <v>4460</v>
      </c>
      <c r="E322" t="s">
        <v>4473</v>
      </c>
      <c r="F322" s="3">
        <v>45110</v>
      </c>
      <c r="G322" s="3" t="s">
        <v>537</v>
      </c>
      <c r="I322">
        <v>8</v>
      </c>
      <c r="J322" t="s">
        <v>1945</v>
      </c>
      <c r="K322" t="s">
        <v>4457</v>
      </c>
      <c r="L322" t="s">
        <v>4509</v>
      </c>
      <c r="M322" t="s">
        <v>1625</v>
      </c>
    </row>
    <row r="323" spans="1:14" x14ac:dyDescent="0.35">
      <c r="A323" t="s">
        <v>4802</v>
      </c>
      <c r="B323" t="s">
        <v>483</v>
      </c>
      <c r="C323" t="s">
        <v>1890</v>
      </c>
      <c r="D323" t="s">
        <v>4476</v>
      </c>
      <c r="E323" t="s">
        <v>4439</v>
      </c>
      <c r="F323" s="3">
        <v>45078</v>
      </c>
      <c r="G323" s="3" t="s">
        <v>537</v>
      </c>
      <c r="I323">
        <v>48</v>
      </c>
      <c r="J323" t="s">
        <v>4448</v>
      </c>
      <c r="K323" t="s">
        <v>4453</v>
      </c>
      <c r="L323" t="s">
        <v>4533</v>
      </c>
      <c r="M323" t="s">
        <v>4450</v>
      </c>
    </row>
    <row r="324" spans="1:14" x14ac:dyDescent="0.35">
      <c r="A324" t="s">
        <v>4803</v>
      </c>
      <c r="B324" t="s">
        <v>351</v>
      </c>
      <c r="C324" t="s">
        <v>1890</v>
      </c>
      <c r="D324" t="s">
        <v>4490</v>
      </c>
      <c r="E324" t="s">
        <v>4444</v>
      </c>
      <c r="F324" s="3">
        <v>45198</v>
      </c>
      <c r="G324" s="3">
        <v>45200</v>
      </c>
      <c r="H324">
        <v>54.5</v>
      </c>
      <c r="I324">
        <v>24</v>
      </c>
      <c r="J324" t="s">
        <v>4440</v>
      </c>
      <c r="K324" t="s">
        <v>4441</v>
      </c>
      <c r="L324" t="s">
        <v>4449</v>
      </c>
      <c r="M324" t="s">
        <v>4462</v>
      </c>
      <c r="N324">
        <v>3</v>
      </c>
    </row>
    <row r="325" spans="1:14" x14ac:dyDescent="0.35">
      <c r="A325" t="s">
        <v>4804</v>
      </c>
      <c r="B325" t="s">
        <v>90</v>
      </c>
      <c r="C325" t="s">
        <v>1890</v>
      </c>
      <c r="D325" t="s">
        <v>4482</v>
      </c>
      <c r="E325" t="s">
        <v>4444</v>
      </c>
      <c r="F325" s="3">
        <v>45656</v>
      </c>
      <c r="G325" s="3" t="s">
        <v>537</v>
      </c>
      <c r="I325">
        <v>24</v>
      </c>
      <c r="J325" t="s">
        <v>4448</v>
      </c>
      <c r="K325" t="s">
        <v>4453</v>
      </c>
      <c r="L325" t="s">
        <v>4470</v>
      </c>
      <c r="M325" t="s">
        <v>4446</v>
      </c>
    </row>
    <row r="326" spans="1:14" x14ac:dyDescent="0.35">
      <c r="A326" t="s">
        <v>4805</v>
      </c>
      <c r="B326" t="s">
        <v>428</v>
      </c>
      <c r="C326" t="s">
        <v>1904</v>
      </c>
      <c r="D326" t="s">
        <v>4482</v>
      </c>
      <c r="E326" t="s">
        <v>4473</v>
      </c>
      <c r="F326" s="3">
        <v>45422</v>
      </c>
      <c r="G326" s="3">
        <v>45422</v>
      </c>
      <c r="H326">
        <v>1.5</v>
      </c>
      <c r="I326">
        <v>8</v>
      </c>
      <c r="J326" t="s">
        <v>4448</v>
      </c>
      <c r="K326" t="s">
        <v>4441</v>
      </c>
      <c r="L326" t="s">
        <v>4580</v>
      </c>
      <c r="M326" t="s">
        <v>4462</v>
      </c>
      <c r="N326">
        <v>4</v>
      </c>
    </row>
    <row r="327" spans="1:14" x14ac:dyDescent="0.35">
      <c r="A327" t="s">
        <v>4806</v>
      </c>
      <c r="B327" t="s">
        <v>222</v>
      </c>
      <c r="C327" t="s">
        <v>1883</v>
      </c>
      <c r="D327" t="s">
        <v>4438</v>
      </c>
      <c r="E327" t="s">
        <v>4444</v>
      </c>
      <c r="F327" s="3">
        <v>45149</v>
      </c>
      <c r="G327" s="3" t="s">
        <v>537</v>
      </c>
      <c r="I327">
        <v>24</v>
      </c>
      <c r="J327" t="s">
        <v>4448</v>
      </c>
      <c r="K327" t="s">
        <v>4474</v>
      </c>
      <c r="L327" t="s">
        <v>4580</v>
      </c>
      <c r="M327" t="s">
        <v>1625</v>
      </c>
    </row>
    <row r="328" spans="1:14" x14ac:dyDescent="0.35">
      <c r="A328" t="s">
        <v>4807</v>
      </c>
      <c r="B328" t="s">
        <v>395</v>
      </c>
      <c r="C328" t="s">
        <v>1890</v>
      </c>
      <c r="D328" t="s">
        <v>4443</v>
      </c>
      <c r="E328" t="s">
        <v>4444</v>
      </c>
      <c r="F328" s="3">
        <v>45586</v>
      </c>
      <c r="G328" s="3" t="s">
        <v>537</v>
      </c>
      <c r="I328">
        <v>24</v>
      </c>
      <c r="J328" t="s">
        <v>4448</v>
      </c>
      <c r="K328" t="s">
        <v>4457</v>
      </c>
      <c r="L328" t="s">
        <v>4465</v>
      </c>
      <c r="M328" t="s">
        <v>4450</v>
      </c>
    </row>
    <row r="329" spans="1:14" x14ac:dyDescent="0.35">
      <c r="A329" t="s">
        <v>4808</v>
      </c>
      <c r="B329" t="s">
        <v>275</v>
      </c>
      <c r="C329" t="s">
        <v>1899</v>
      </c>
      <c r="D329" t="s">
        <v>4482</v>
      </c>
      <c r="E329" t="s">
        <v>4444</v>
      </c>
      <c r="F329" s="3">
        <v>45018</v>
      </c>
      <c r="G329" s="3">
        <v>45018</v>
      </c>
      <c r="H329">
        <v>5.2</v>
      </c>
      <c r="I329">
        <v>24</v>
      </c>
      <c r="J329" t="s">
        <v>4448</v>
      </c>
      <c r="K329" t="s">
        <v>4441</v>
      </c>
      <c r="L329" t="s">
        <v>4492</v>
      </c>
      <c r="M329" t="s">
        <v>4450</v>
      </c>
      <c r="N329">
        <v>5</v>
      </c>
    </row>
    <row r="330" spans="1:14" x14ac:dyDescent="0.35">
      <c r="A330" t="s">
        <v>4809</v>
      </c>
      <c r="B330" t="s">
        <v>316</v>
      </c>
      <c r="C330" t="s">
        <v>1899</v>
      </c>
      <c r="D330" t="s">
        <v>8504</v>
      </c>
      <c r="E330" t="s">
        <v>4473</v>
      </c>
      <c r="F330" s="3">
        <v>45661</v>
      </c>
      <c r="G330" s="3">
        <v>45661</v>
      </c>
      <c r="H330">
        <v>10.3</v>
      </c>
      <c r="I330">
        <v>8</v>
      </c>
      <c r="J330" t="s">
        <v>4440</v>
      </c>
      <c r="K330" t="s">
        <v>4441</v>
      </c>
      <c r="L330" t="s">
        <v>4483</v>
      </c>
      <c r="M330" t="s">
        <v>4450</v>
      </c>
      <c r="N330">
        <v>3</v>
      </c>
    </row>
    <row r="331" spans="1:14" x14ac:dyDescent="0.35">
      <c r="A331" t="s">
        <v>4810</v>
      </c>
      <c r="B331" t="s">
        <v>68</v>
      </c>
      <c r="C331" t="s">
        <v>1927</v>
      </c>
      <c r="D331" t="s">
        <v>4438</v>
      </c>
      <c r="E331" t="s">
        <v>4444</v>
      </c>
      <c r="F331" s="3">
        <v>45056</v>
      </c>
      <c r="G331" s="3" t="s">
        <v>537</v>
      </c>
      <c r="I331">
        <v>24</v>
      </c>
      <c r="J331" t="s">
        <v>4440</v>
      </c>
      <c r="K331" t="s">
        <v>4457</v>
      </c>
      <c r="L331" t="s">
        <v>4492</v>
      </c>
      <c r="M331" t="s">
        <v>4462</v>
      </c>
    </row>
    <row r="332" spans="1:14" x14ac:dyDescent="0.35">
      <c r="A332" t="s">
        <v>4811</v>
      </c>
      <c r="B332" t="s">
        <v>389</v>
      </c>
      <c r="C332" t="s">
        <v>1890</v>
      </c>
      <c r="D332" t="s">
        <v>4472</v>
      </c>
      <c r="E332" t="s">
        <v>4473</v>
      </c>
      <c r="F332" s="3">
        <v>45544</v>
      </c>
      <c r="G332" s="3">
        <v>45544</v>
      </c>
      <c r="H332">
        <v>17.5</v>
      </c>
      <c r="I332">
        <v>8</v>
      </c>
      <c r="J332" t="s">
        <v>4440</v>
      </c>
      <c r="K332" t="s">
        <v>4441</v>
      </c>
      <c r="L332" t="s">
        <v>4458</v>
      </c>
      <c r="M332" t="s">
        <v>4462</v>
      </c>
      <c r="N332">
        <v>4</v>
      </c>
    </row>
    <row r="333" spans="1:14" x14ac:dyDescent="0.35">
      <c r="A333" t="s">
        <v>4812</v>
      </c>
      <c r="B333" t="s">
        <v>330</v>
      </c>
      <c r="C333" t="s">
        <v>1890</v>
      </c>
      <c r="D333" t="s">
        <v>4438</v>
      </c>
      <c r="E333" t="s">
        <v>4444</v>
      </c>
      <c r="F333" s="3">
        <v>45638</v>
      </c>
      <c r="G333" s="3" t="s">
        <v>537</v>
      </c>
      <c r="I333">
        <v>24</v>
      </c>
      <c r="J333" t="s">
        <v>4440</v>
      </c>
      <c r="K333" t="s">
        <v>4457</v>
      </c>
      <c r="L333" t="s">
        <v>4445</v>
      </c>
      <c r="M333" t="s">
        <v>4446</v>
      </c>
    </row>
    <row r="334" spans="1:14" x14ac:dyDescent="0.35">
      <c r="A334" t="s">
        <v>4813</v>
      </c>
      <c r="B334" t="s">
        <v>310</v>
      </c>
      <c r="C334" t="s">
        <v>1927</v>
      </c>
      <c r="D334" t="s">
        <v>4464</v>
      </c>
      <c r="E334" t="s">
        <v>4456</v>
      </c>
      <c r="F334" s="3">
        <v>45481</v>
      </c>
      <c r="G334" s="3" t="s">
        <v>537</v>
      </c>
      <c r="I334">
        <v>4</v>
      </c>
      <c r="J334" t="s">
        <v>4440</v>
      </c>
      <c r="K334" t="s">
        <v>4453</v>
      </c>
      <c r="L334" t="s">
        <v>4445</v>
      </c>
      <c r="M334" t="s">
        <v>4446</v>
      </c>
    </row>
    <row r="335" spans="1:14" x14ac:dyDescent="0.35">
      <c r="A335" t="s">
        <v>4814</v>
      </c>
      <c r="B335" t="s">
        <v>131</v>
      </c>
      <c r="C335" t="s">
        <v>1899</v>
      </c>
      <c r="D335" t="s">
        <v>4452</v>
      </c>
      <c r="E335" t="s">
        <v>4439</v>
      </c>
      <c r="F335" s="3">
        <v>45700</v>
      </c>
      <c r="G335" s="3">
        <v>45700</v>
      </c>
      <c r="H335">
        <v>1.6</v>
      </c>
      <c r="I335">
        <v>48</v>
      </c>
      <c r="J335" t="s">
        <v>4448</v>
      </c>
      <c r="K335" t="s">
        <v>4441</v>
      </c>
      <c r="L335" t="s">
        <v>4527</v>
      </c>
      <c r="M335" t="s">
        <v>1625</v>
      </c>
      <c r="N335">
        <v>4</v>
      </c>
    </row>
    <row r="336" spans="1:14" x14ac:dyDescent="0.35">
      <c r="A336" t="s">
        <v>4815</v>
      </c>
      <c r="B336" t="s">
        <v>425</v>
      </c>
      <c r="C336" t="s">
        <v>1899</v>
      </c>
      <c r="D336" t="s">
        <v>4472</v>
      </c>
      <c r="E336" t="s">
        <v>4473</v>
      </c>
      <c r="F336" s="3">
        <v>45576</v>
      </c>
      <c r="G336" s="3">
        <v>45576</v>
      </c>
      <c r="H336">
        <v>9.5</v>
      </c>
      <c r="I336">
        <v>8</v>
      </c>
      <c r="J336" t="s">
        <v>4440</v>
      </c>
      <c r="K336" t="s">
        <v>4441</v>
      </c>
      <c r="L336" t="s">
        <v>4480</v>
      </c>
      <c r="M336" t="s">
        <v>1625</v>
      </c>
      <c r="N336">
        <v>4</v>
      </c>
    </row>
    <row r="337" spans="1:14" x14ac:dyDescent="0.35">
      <c r="A337" t="s">
        <v>4816</v>
      </c>
      <c r="B337" t="s">
        <v>343</v>
      </c>
      <c r="C337" t="s">
        <v>1890</v>
      </c>
      <c r="D337" t="s">
        <v>4476</v>
      </c>
      <c r="E337" t="s">
        <v>4444</v>
      </c>
      <c r="F337" s="3">
        <v>45060</v>
      </c>
      <c r="G337" s="3" t="s">
        <v>537</v>
      </c>
      <c r="I337">
        <v>24</v>
      </c>
      <c r="J337" t="s">
        <v>4448</v>
      </c>
      <c r="K337" t="s">
        <v>4474</v>
      </c>
      <c r="L337" t="s">
        <v>4492</v>
      </c>
      <c r="M337" t="s">
        <v>4450</v>
      </c>
    </row>
    <row r="338" spans="1:14" x14ac:dyDescent="0.35">
      <c r="A338" t="s">
        <v>4817</v>
      </c>
      <c r="B338" t="s">
        <v>414</v>
      </c>
      <c r="C338" t="s">
        <v>1915</v>
      </c>
      <c r="D338" t="s">
        <v>4482</v>
      </c>
      <c r="E338" t="s">
        <v>79</v>
      </c>
      <c r="F338" s="3">
        <v>44975</v>
      </c>
      <c r="G338" s="3">
        <v>44975</v>
      </c>
      <c r="H338">
        <v>8.1</v>
      </c>
      <c r="I338">
        <v>8</v>
      </c>
      <c r="J338" t="s">
        <v>4440</v>
      </c>
      <c r="K338" t="s">
        <v>4441</v>
      </c>
      <c r="L338" t="s">
        <v>4480</v>
      </c>
      <c r="M338" t="s">
        <v>4450</v>
      </c>
      <c r="N338">
        <v>5</v>
      </c>
    </row>
    <row r="339" spans="1:14" x14ac:dyDescent="0.35">
      <c r="A339" t="s">
        <v>4818</v>
      </c>
      <c r="B339" t="s">
        <v>165</v>
      </c>
      <c r="C339" t="s">
        <v>1883</v>
      </c>
      <c r="D339" t="s">
        <v>4452</v>
      </c>
      <c r="E339" t="s">
        <v>4473</v>
      </c>
      <c r="F339" s="3">
        <v>45423</v>
      </c>
      <c r="G339" s="3">
        <v>45423</v>
      </c>
      <c r="H339">
        <v>4.9000000000000004</v>
      </c>
      <c r="I339">
        <v>8</v>
      </c>
      <c r="J339" t="s">
        <v>1945</v>
      </c>
      <c r="K339" t="s">
        <v>4441</v>
      </c>
      <c r="L339" t="s">
        <v>4527</v>
      </c>
      <c r="M339" t="s">
        <v>4462</v>
      </c>
    </row>
    <row r="340" spans="1:14" x14ac:dyDescent="0.35">
      <c r="A340" t="s">
        <v>4819</v>
      </c>
      <c r="B340" t="s">
        <v>124</v>
      </c>
      <c r="C340" t="s">
        <v>1927</v>
      </c>
      <c r="D340" t="s">
        <v>4476</v>
      </c>
      <c r="E340" t="s">
        <v>4456</v>
      </c>
      <c r="F340" s="3">
        <v>44988</v>
      </c>
      <c r="G340" s="3">
        <v>44988</v>
      </c>
      <c r="H340">
        <v>5.3</v>
      </c>
      <c r="I340">
        <v>4</v>
      </c>
      <c r="J340" t="s">
        <v>4440</v>
      </c>
      <c r="K340" t="s">
        <v>4441</v>
      </c>
      <c r="L340" t="s">
        <v>4470</v>
      </c>
      <c r="M340" t="s">
        <v>4446</v>
      </c>
      <c r="N340">
        <v>5</v>
      </c>
    </row>
    <row r="341" spans="1:14" x14ac:dyDescent="0.35">
      <c r="A341" t="s">
        <v>4820</v>
      </c>
      <c r="B341" t="s">
        <v>466</v>
      </c>
      <c r="C341" t="s">
        <v>1890</v>
      </c>
      <c r="D341" t="s">
        <v>4464</v>
      </c>
      <c r="E341" t="s">
        <v>4473</v>
      </c>
      <c r="F341" s="3">
        <v>45365</v>
      </c>
      <c r="G341" s="3" t="s">
        <v>537</v>
      </c>
      <c r="I341">
        <v>8</v>
      </c>
      <c r="J341" t="s">
        <v>4440</v>
      </c>
      <c r="K341" t="s">
        <v>4457</v>
      </c>
      <c r="L341" t="s">
        <v>4514</v>
      </c>
      <c r="M341" t="s">
        <v>1625</v>
      </c>
    </row>
    <row r="342" spans="1:14" x14ac:dyDescent="0.35">
      <c r="A342" t="s">
        <v>4821</v>
      </c>
      <c r="B342" t="s">
        <v>66</v>
      </c>
      <c r="C342" t="s">
        <v>1883</v>
      </c>
      <c r="D342" t="s">
        <v>4472</v>
      </c>
      <c r="E342" t="s">
        <v>4473</v>
      </c>
      <c r="F342" s="3">
        <v>45409</v>
      </c>
      <c r="G342" s="3">
        <v>45409</v>
      </c>
      <c r="H342">
        <v>17.600000000000001</v>
      </c>
      <c r="I342">
        <v>8</v>
      </c>
      <c r="J342" t="s">
        <v>4440</v>
      </c>
      <c r="K342" t="s">
        <v>4441</v>
      </c>
      <c r="L342" t="s">
        <v>4509</v>
      </c>
      <c r="M342" t="s">
        <v>4462</v>
      </c>
      <c r="N342">
        <v>5</v>
      </c>
    </row>
    <row r="343" spans="1:14" x14ac:dyDescent="0.35">
      <c r="A343" t="s">
        <v>4822</v>
      </c>
      <c r="B343" t="s">
        <v>414</v>
      </c>
      <c r="C343" t="s">
        <v>1915</v>
      </c>
      <c r="D343" t="s">
        <v>4452</v>
      </c>
      <c r="E343" t="s">
        <v>4444</v>
      </c>
      <c r="F343" s="3">
        <v>45604</v>
      </c>
      <c r="G343" s="3">
        <v>45605</v>
      </c>
      <c r="H343">
        <v>29.7</v>
      </c>
      <c r="I343">
        <v>24</v>
      </c>
      <c r="J343" t="s">
        <v>4440</v>
      </c>
      <c r="K343" t="s">
        <v>4441</v>
      </c>
      <c r="L343" t="s">
        <v>4512</v>
      </c>
      <c r="M343" t="s">
        <v>1625</v>
      </c>
      <c r="N343">
        <v>4</v>
      </c>
    </row>
    <row r="344" spans="1:14" x14ac:dyDescent="0.35">
      <c r="A344" t="s">
        <v>4823</v>
      </c>
      <c r="B344" t="s">
        <v>353</v>
      </c>
      <c r="C344" t="s">
        <v>1883</v>
      </c>
      <c r="D344" t="s">
        <v>4482</v>
      </c>
      <c r="E344" t="s">
        <v>4473</v>
      </c>
      <c r="F344" s="3">
        <v>45339</v>
      </c>
      <c r="G344" s="3" t="s">
        <v>537</v>
      </c>
      <c r="I344">
        <v>8</v>
      </c>
      <c r="J344" t="s">
        <v>4448</v>
      </c>
      <c r="K344" t="s">
        <v>4453</v>
      </c>
      <c r="L344" t="s">
        <v>4501</v>
      </c>
      <c r="M344" t="s">
        <v>4462</v>
      </c>
    </row>
    <row r="345" spans="1:14" x14ac:dyDescent="0.35">
      <c r="A345" t="s">
        <v>4824</v>
      </c>
      <c r="B345" t="s">
        <v>228</v>
      </c>
      <c r="C345" t="s">
        <v>1890</v>
      </c>
      <c r="D345" t="s">
        <v>4469</v>
      </c>
      <c r="E345" t="s">
        <v>4473</v>
      </c>
      <c r="F345" s="3">
        <v>45263</v>
      </c>
      <c r="G345" s="3">
        <v>45263</v>
      </c>
      <c r="H345">
        <v>1.5</v>
      </c>
      <c r="I345">
        <v>8</v>
      </c>
      <c r="J345" t="s">
        <v>4448</v>
      </c>
      <c r="K345" t="s">
        <v>4441</v>
      </c>
      <c r="L345" t="s">
        <v>4509</v>
      </c>
      <c r="M345" t="s">
        <v>4450</v>
      </c>
      <c r="N345">
        <v>3</v>
      </c>
    </row>
    <row r="346" spans="1:14" x14ac:dyDescent="0.35">
      <c r="A346" t="s">
        <v>4825</v>
      </c>
      <c r="B346" t="s">
        <v>417</v>
      </c>
      <c r="C346" t="s">
        <v>1890</v>
      </c>
      <c r="D346" t="s">
        <v>4476</v>
      </c>
      <c r="E346" t="s">
        <v>4444</v>
      </c>
      <c r="F346" s="3">
        <v>45380</v>
      </c>
      <c r="G346" s="3">
        <v>45381</v>
      </c>
      <c r="H346">
        <v>25.7</v>
      </c>
      <c r="I346">
        <v>24</v>
      </c>
      <c r="J346" t="s">
        <v>4440</v>
      </c>
      <c r="K346" t="s">
        <v>4441</v>
      </c>
      <c r="L346" t="s">
        <v>4454</v>
      </c>
      <c r="M346" t="s">
        <v>1625</v>
      </c>
    </row>
    <row r="347" spans="1:14" x14ac:dyDescent="0.35">
      <c r="A347" t="s">
        <v>4826</v>
      </c>
      <c r="B347" t="s">
        <v>460</v>
      </c>
      <c r="C347" t="s">
        <v>1890</v>
      </c>
      <c r="D347" t="s">
        <v>4485</v>
      </c>
      <c r="E347" t="s">
        <v>4444</v>
      </c>
      <c r="F347" s="3">
        <v>45575</v>
      </c>
      <c r="G347" s="3">
        <v>45575</v>
      </c>
      <c r="H347">
        <v>13.7</v>
      </c>
      <c r="I347">
        <v>24</v>
      </c>
      <c r="J347" t="s">
        <v>4448</v>
      </c>
      <c r="K347" t="s">
        <v>4441</v>
      </c>
      <c r="L347" t="s">
        <v>4449</v>
      </c>
      <c r="M347" t="s">
        <v>4462</v>
      </c>
      <c r="N347">
        <v>4</v>
      </c>
    </row>
    <row r="348" spans="1:14" x14ac:dyDescent="0.35">
      <c r="A348" t="s">
        <v>4827</v>
      </c>
      <c r="B348" t="s">
        <v>318</v>
      </c>
      <c r="C348" t="s">
        <v>1883</v>
      </c>
      <c r="D348" t="s">
        <v>4438</v>
      </c>
      <c r="E348" t="s">
        <v>4439</v>
      </c>
      <c r="F348" s="3">
        <v>45142</v>
      </c>
      <c r="G348" s="3">
        <v>45144</v>
      </c>
      <c r="H348">
        <v>49.9</v>
      </c>
      <c r="I348">
        <v>48</v>
      </c>
      <c r="J348" t="s">
        <v>1945</v>
      </c>
      <c r="K348" t="s">
        <v>4441</v>
      </c>
      <c r="L348" t="s">
        <v>4492</v>
      </c>
      <c r="M348" t="s">
        <v>1625</v>
      </c>
      <c r="N348">
        <v>5</v>
      </c>
    </row>
    <row r="349" spans="1:14" x14ac:dyDescent="0.35">
      <c r="A349" t="s">
        <v>4828</v>
      </c>
      <c r="B349" t="s">
        <v>268</v>
      </c>
      <c r="C349" t="s">
        <v>1899</v>
      </c>
      <c r="D349" t="s">
        <v>4452</v>
      </c>
      <c r="E349" t="s">
        <v>4439</v>
      </c>
      <c r="F349" s="3">
        <v>45661</v>
      </c>
      <c r="G349" s="3" t="s">
        <v>537</v>
      </c>
      <c r="I349">
        <v>48</v>
      </c>
      <c r="J349" t="s">
        <v>4440</v>
      </c>
      <c r="K349" t="s">
        <v>4457</v>
      </c>
      <c r="L349" t="s">
        <v>4533</v>
      </c>
      <c r="M349" t="s">
        <v>4462</v>
      </c>
    </row>
    <row r="350" spans="1:14" x14ac:dyDescent="0.35">
      <c r="A350" t="s">
        <v>4829</v>
      </c>
      <c r="B350" t="s">
        <v>396</v>
      </c>
      <c r="C350" t="s">
        <v>1883</v>
      </c>
      <c r="D350" t="s">
        <v>4443</v>
      </c>
      <c r="E350" t="s">
        <v>4439</v>
      </c>
      <c r="F350" s="3">
        <v>45412</v>
      </c>
      <c r="G350" s="3" t="s">
        <v>537</v>
      </c>
      <c r="I350">
        <v>48</v>
      </c>
      <c r="J350" t="s">
        <v>4448</v>
      </c>
      <c r="K350" t="s">
        <v>4457</v>
      </c>
      <c r="L350" t="s">
        <v>4483</v>
      </c>
      <c r="M350" t="s">
        <v>4450</v>
      </c>
    </row>
    <row r="351" spans="1:14" x14ac:dyDescent="0.35">
      <c r="A351" t="s">
        <v>4830</v>
      </c>
      <c r="B351" t="s">
        <v>242</v>
      </c>
      <c r="C351" t="s">
        <v>1890</v>
      </c>
      <c r="D351" t="s">
        <v>4479</v>
      </c>
      <c r="E351" t="s">
        <v>4444</v>
      </c>
      <c r="F351" s="3">
        <v>45361</v>
      </c>
      <c r="G351" s="3">
        <v>45361</v>
      </c>
      <c r="H351">
        <v>9</v>
      </c>
      <c r="I351">
        <v>24</v>
      </c>
      <c r="J351" t="s">
        <v>4448</v>
      </c>
      <c r="K351" t="s">
        <v>4441</v>
      </c>
      <c r="L351" t="s">
        <v>4470</v>
      </c>
      <c r="M351" t="s">
        <v>4450</v>
      </c>
      <c r="N351">
        <v>4</v>
      </c>
    </row>
    <row r="352" spans="1:14" x14ac:dyDescent="0.35">
      <c r="A352" t="s">
        <v>4831</v>
      </c>
      <c r="B352" t="s">
        <v>149</v>
      </c>
      <c r="C352" t="s">
        <v>1890</v>
      </c>
      <c r="D352" t="s">
        <v>4476</v>
      </c>
      <c r="E352" t="s">
        <v>4473</v>
      </c>
      <c r="F352" s="3">
        <v>44970</v>
      </c>
      <c r="G352" s="3">
        <v>44970</v>
      </c>
      <c r="H352">
        <v>12.2</v>
      </c>
      <c r="I352">
        <v>8</v>
      </c>
      <c r="J352" t="s">
        <v>4440</v>
      </c>
      <c r="K352" t="s">
        <v>4441</v>
      </c>
      <c r="L352" t="s">
        <v>4492</v>
      </c>
      <c r="M352" t="s">
        <v>4462</v>
      </c>
      <c r="N352">
        <v>5</v>
      </c>
    </row>
    <row r="353" spans="1:14" x14ac:dyDescent="0.35">
      <c r="A353" t="s">
        <v>4832</v>
      </c>
      <c r="B353" t="s">
        <v>142</v>
      </c>
      <c r="C353" t="s">
        <v>1899</v>
      </c>
      <c r="D353" t="s">
        <v>4460</v>
      </c>
      <c r="E353" t="s">
        <v>4444</v>
      </c>
      <c r="F353" s="3">
        <v>45035</v>
      </c>
      <c r="G353" s="3" t="s">
        <v>537</v>
      </c>
      <c r="I353">
        <v>24</v>
      </c>
      <c r="J353" t="s">
        <v>4440</v>
      </c>
      <c r="K353" t="s">
        <v>4453</v>
      </c>
      <c r="L353" t="s">
        <v>4445</v>
      </c>
      <c r="M353" t="s">
        <v>4462</v>
      </c>
    </row>
    <row r="354" spans="1:14" x14ac:dyDescent="0.35">
      <c r="A354" t="s">
        <v>4833</v>
      </c>
      <c r="B354" t="s">
        <v>280</v>
      </c>
      <c r="C354" t="s">
        <v>1899</v>
      </c>
      <c r="D354" t="s">
        <v>4490</v>
      </c>
      <c r="E354" t="s">
        <v>4444</v>
      </c>
      <c r="F354" s="3">
        <v>45196</v>
      </c>
      <c r="G354" s="3">
        <v>45198</v>
      </c>
      <c r="H354">
        <v>50.3</v>
      </c>
      <c r="I354">
        <v>24</v>
      </c>
      <c r="J354" t="s">
        <v>4440</v>
      </c>
      <c r="K354" t="s">
        <v>4441</v>
      </c>
      <c r="L354" t="s">
        <v>4488</v>
      </c>
      <c r="M354" t="s">
        <v>4450</v>
      </c>
    </row>
    <row r="355" spans="1:14" x14ac:dyDescent="0.35">
      <c r="A355" t="s">
        <v>4834</v>
      </c>
      <c r="B355" t="s">
        <v>162</v>
      </c>
      <c r="C355" t="s">
        <v>1927</v>
      </c>
      <c r="D355" t="s">
        <v>4464</v>
      </c>
      <c r="E355" t="s">
        <v>4444</v>
      </c>
      <c r="F355" s="3">
        <v>45477</v>
      </c>
      <c r="G355" s="3" t="s">
        <v>537</v>
      </c>
      <c r="I355">
        <v>24</v>
      </c>
      <c r="J355" t="s">
        <v>4440</v>
      </c>
      <c r="K355" t="s">
        <v>4474</v>
      </c>
      <c r="L355" t="s">
        <v>4514</v>
      </c>
      <c r="M355" t="s">
        <v>4462</v>
      </c>
    </row>
    <row r="356" spans="1:14" x14ac:dyDescent="0.35">
      <c r="A356" t="s">
        <v>4835</v>
      </c>
      <c r="B356" t="s">
        <v>355</v>
      </c>
      <c r="C356" t="s">
        <v>1927</v>
      </c>
      <c r="D356" t="s">
        <v>4482</v>
      </c>
      <c r="E356" t="s">
        <v>4439</v>
      </c>
      <c r="F356" s="3">
        <v>45284</v>
      </c>
      <c r="G356" s="3" t="s">
        <v>537</v>
      </c>
      <c r="I356">
        <v>48</v>
      </c>
      <c r="J356" t="s">
        <v>4440</v>
      </c>
      <c r="K356" t="s">
        <v>4474</v>
      </c>
      <c r="L356" t="s">
        <v>4458</v>
      </c>
      <c r="M356" t="s">
        <v>1625</v>
      </c>
    </row>
    <row r="357" spans="1:14" x14ac:dyDescent="0.35">
      <c r="A357" t="s">
        <v>4836</v>
      </c>
      <c r="B357" t="s">
        <v>319</v>
      </c>
      <c r="C357" t="s">
        <v>1927</v>
      </c>
      <c r="D357" t="s">
        <v>4452</v>
      </c>
      <c r="E357" t="s">
        <v>4473</v>
      </c>
      <c r="F357" s="3">
        <v>45113</v>
      </c>
      <c r="G357" s="3">
        <v>45113</v>
      </c>
      <c r="H357">
        <v>9.3000000000000007</v>
      </c>
      <c r="I357">
        <v>8</v>
      </c>
      <c r="J357" t="s">
        <v>4440</v>
      </c>
      <c r="K357" t="s">
        <v>4441</v>
      </c>
      <c r="L357" t="s">
        <v>1907</v>
      </c>
      <c r="M357" t="s">
        <v>4446</v>
      </c>
      <c r="N357">
        <v>1</v>
      </c>
    </row>
    <row r="358" spans="1:14" x14ac:dyDescent="0.35">
      <c r="A358" t="s">
        <v>4837</v>
      </c>
      <c r="B358" t="s">
        <v>300</v>
      </c>
      <c r="C358" t="s">
        <v>1904</v>
      </c>
      <c r="D358" t="s">
        <v>4452</v>
      </c>
      <c r="E358" t="s">
        <v>4444</v>
      </c>
      <c r="F358" s="3">
        <v>45228</v>
      </c>
      <c r="G358" s="3">
        <v>45229</v>
      </c>
      <c r="H358">
        <v>45.5</v>
      </c>
      <c r="I358">
        <v>24</v>
      </c>
      <c r="J358" t="s">
        <v>4440</v>
      </c>
      <c r="K358" t="s">
        <v>4441</v>
      </c>
      <c r="L358" t="s">
        <v>4533</v>
      </c>
      <c r="M358" t="s">
        <v>4450</v>
      </c>
      <c r="N358">
        <v>4</v>
      </c>
    </row>
    <row r="359" spans="1:14" x14ac:dyDescent="0.35">
      <c r="A359" t="s">
        <v>4838</v>
      </c>
      <c r="B359" t="s">
        <v>194</v>
      </c>
      <c r="C359" t="s">
        <v>1890</v>
      </c>
      <c r="D359" t="s">
        <v>4472</v>
      </c>
      <c r="E359" t="s">
        <v>4473</v>
      </c>
      <c r="F359" s="3">
        <v>45701</v>
      </c>
      <c r="G359" s="3" t="s">
        <v>537</v>
      </c>
      <c r="I359">
        <v>8</v>
      </c>
      <c r="J359" t="s">
        <v>4448</v>
      </c>
      <c r="K359" t="s">
        <v>4457</v>
      </c>
      <c r="L359" t="s">
        <v>4461</v>
      </c>
      <c r="M359" t="s">
        <v>4446</v>
      </c>
    </row>
    <row r="360" spans="1:14" x14ac:dyDescent="0.35">
      <c r="A360" t="s">
        <v>4839</v>
      </c>
      <c r="B360" t="s">
        <v>116</v>
      </c>
      <c r="C360" t="s">
        <v>1904</v>
      </c>
      <c r="D360" t="s">
        <v>4464</v>
      </c>
      <c r="E360" t="s">
        <v>4473</v>
      </c>
      <c r="F360" s="3">
        <v>45303</v>
      </c>
      <c r="G360" s="3">
        <v>45303</v>
      </c>
      <c r="H360">
        <v>4.0999999999999996</v>
      </c>
      <c r="I360">
        <v>8</v>
      </c>
      <c r="J360" t="s">
        <v>4448</v>
      </c>
      <c r="K360" t="s">
        <v>4441</v>
      </c>
      <c r="L360" t="s">
        <v>4533</v>
      </c>
      <c r="M360" t="s">
        <v>4450</v>
      </c>
      <c r="N360">
        <v>4</v>
      </c>
    </row>
    <row r="361" spans="1:14" x14ac:dyDescent="0.35">
      <c r="A361" t="s">
        <v>4840</v>
      </c>
      <c r="B361" t="s">
        <v>496</v>
      </c>
      <c r="C361" t="s">
        <v>1915</v>
      </c>
      <c r="D361" t="s">
        <v>4472</v>
      </c>
      <c r="E361" t="s">
        <v>4444</v>
      </c>
      <c r="F361" s="3">
        <v>45643</v>
      </c>
      <c r="G361" s="3" t="s">
        <v>537</v>
      </c>
      <c r="I361">
        <v>24</v>
      </c>
      <c r="J361" t="s">
        <v>4448</v>
      </c>
      <c r="K361" t="s">
        <v>4453</v>
      </c>
      <c r="L361" t="s">
        <v>4461</v>
      </c>
      <c r="M361" t="s">
        <v>4462</v>
      </c>
    </row>
    <row r="362" spans="1:14" x14ac:dyDescent="0.35">
      <c r="A362" t="s">
        <v>4841</v>
      </c>
      <c r="B362" t="s">
        <v>297</v>
      </c>
      <c r="C362" t="s">
        <v>1890</v>
      </c>
      <c r="D362" t="s">
        <v>4460</v>
      </c>
      <c r="E362" t="s">
        <v>4456</v>
      </c>
      <c r="F362" s="3">
        <v>45099</v>
      </c>
      <c r="G362" s="3">
        <v>45099</v>
      </c>
      <c r="H362">
        <v>0.7</v>
      </c>
      <c r="I362">
        <v>4</v>
      </c>
      <c r="J362" t="s">
        <v>1945</v>
      </c>
      <c r="K362" t="s">
        <v>4441</v>
      </c>
      <c r="L362" t="s">
        <v>4514</v>
      </c>
      <c r="M362" t="s">
        <v>4450</v>
      </c>
      <c r="N362">
        <v>5</v>
      </c>
    </row>
    <row r="363" spans="1:14" x14ac:dyDescent="0.35">
      <c r="A363" t="s">
        <v>4842</v>
      </c>
      <c r="B363" t="s">
        <v>23</v>
      </c>
      <c r="C363" t="s">
        <v>1927</v>
      </c>
      <c r="D363" t="s">
        <v>4472</v>
      </c>
      <c r="E363" t="s">
        <v>4473</v>
      </c>
      <c r="F363" s="3">
        <v>45233</v>
      </c>
      <c r="G363" s="3" t="s">
        <v>537</v>
      </c>
      <c r="I363">
        <v>8</v>
      </c>
      <c r="J363" t="s">
        <v>4440</v>
      </c>
      <c r="K363" t="s">
        <v>4474</v>
      </c>
      <c r="L363" t="s">
        <v>4445</v>
      </c>
      <c r="M363" t="s">
        <v>4462</v>
      </c>
    </row>
    <row r="364" spans="1:14" x14ac:dyDescent="0.35">
      <c r="A364" t="s">
        <v>4843</v>
      </c>
      <c r="B364" t="s">
        <v>226</v>
      </c>
      <c r="C364" t="s">
        <v>1890</v>
      </c>
      <c r="D364" t="s">
        <v>4476</v>
      </c>
      <c r="E364" t="s">
        <v>4439</v>
      </c>
      <c r="F364" s="3">
        <v>45703</v>
      </c>
      <c r="G364" s="3">
        <v>45704</v>
      </c>
      <c r="H364">
        <v>30.8</v>
      </c>
      <c r="I364">
        <v>48</v>
      </c>
      <c r="J364" t="s">
        <v>4448</v>
      </c>
      <c r="K364" t="s">
        <v>4441</v>
      </c>
      <c r="L364" t="s">
        <v>4445</v>
      </c>
      <c r="M364" t="s">
        <v>4462</v>
      </c>
      <c r="N364">
        <v>4</v>
      </c>
    </row>
    <row r="365" spans="1:14" x14ac:dyDescent="0.35">
      <c r="A365" t="s">
        <v>4844</v>
      </c>
      <c r="B365" t="s">
        <v>243</v>
      </c>
      <c r="C365" t="s">
        <v>1915</v>
      </c>
      <c r="D365" t="s">
        <v>4479</v>
      </c>
      <c r="E365" t="s">
        <v>4444</v>
      </c>
      <c r="F365" s="3">
        <v>45259</v>
      </c>
      <c r="G365" s="3">
        <v>45260</v>
      </c>
      <c r="H365">
        <v>37.799999999999997</v>
      </c>
      <c r="I365">
        <v>24</v>
      </c>
      <c r="J365" t="s">
        <v>4440</v>
      </c>
      <c r="K365" t="s">
        <v>4441</v>
      </c>
      <c r="L365" t="s">
        <v>4514</v>
      </c>
      <c r="M365" t="s">
        <v>4446</v>
      </c>
      <c r="N365">
        <v>5</v>
      </c>
    </row>
    <row r="366" spans="1:14" x14ac:dyDescent="0.35">
      <c r="A366" t="s">
        <v>4845</v>
      </c>
      <c r="B366" t="s">
        <v>99</v>
      </c>
      <c r="C366" t="s">
        <v>1883</v>
      </c>
      <c r="D366" t="s">
        <v>4464</v>
      </c>
      <c r="E366" t="s">
        <v>4439</v>
      </c>
      <c r="F366" s="3">
        <v>45665</v>
      </c>
      <c r="G366" s="3">
        <v>45666</v>
      </c>
      <c r="H366">
        <v>25.8</v>
      </c>
      <c r="I366">
        <v>48</v>
      </c>
      <c r="J366" t="s">
        <v>4448</v>
      </c>
      <c r="K366" t="s">
        <v>4441</v>
      </c>
      <c r="L366" t="s">
        <v>4461</v>
      </c>
      <c r="M366" t="s">
        <v>4446</v>
      </c>
      <c r="N366">
        <v>1</v>
      </c>
    </row>
    <row r="367" spans="1:14" x14ac:dyDescent="0.35">
      <c r="A367" t="s">
        <v>4846</v>
      </c>
      <c r="B367" t="s">
        <v>314</v>
      </c>
      <c r="C367" t="s">
        <v>1899</v>
      </c>
      <c r="D367" t="s">
        <v>4479</v>
      </c>
      <c r="E367" t="s">
        <v>4473</v>
      </c>
      <c r="F367" s="3">
        <v>45448</v>
      </c>
      <c r="G367" s="3">
        <v>45448</v>
      </c>
      <c r="H367">
        <v>18.399999999999999</v>
      </c>
      <c r="I367">
        <v>8</v>
      </c>
      <c r="J367" t="s">
        <v>4440</v>
      </c>
      <c r="K367" t="s">
        <v>4441</v>
      </c>
      <c r="L367" t="s">
        <v>4461</v>
      </c>
      <c r="M367" t="s">
        <v>4450</v>
      </c>
      <c r="N367">
        <v>3</v>
      </c>
    </row>
    <row r="368" spans="1:14" x14ac:dyDescent="0.35">
      <c r="A368" t="s">
        <v>4847</v>
      </c>
      <c r="B368" t="s">
        <v>326</v>
      </c>
      <c r="C368" t="s">
        <v>1899</v>
      </c>
      <c r="D368" t="s">
        <v>4479</v>
      </c>
      <c r="E368" t="s">
        <v>4473</v>
      </c>
      <c r="F368" s="3">
        <v>45190</v>
      </c>
      <c r="G368" s="3" t="s">
        <v>537</v>
      </c>
      <c r="I368">
        <v>8</v>
      </c>
      <c r="J368" t="s">
        <v>4448</v>
      </c>
      <c r="K368" t="s">
        <v>4453</v>
      </c>
      <c r="L368" t="s">
        <v>4458</v>
      </c>
      <c r="M368" t="s">
        <v>4450</v>
      </c>
    </row>
    <row r="369" spans="1:14" x14ac:dyDescent="0.35">
      <c r="A369" t="s">
        <v>4848</v>
      </c>
      <c r="B369" t="s">
        <v>481</v>
      </c>
      <c r="C369" t="s">
        <v>1915</v>
      </c>
      <c r="D369" t="s">
        <v>4472</v>
      </c>
      <c r="E369" t="s">
        <v>4473</v>
      </c>
      <c r="F369" s="3">
        <v>45722</v>
      </c>
      <c r="G369" s="3" t="s">
        <v>537</v>
      </c>
      <c r="I369">
        <v>8</v>
      </c>
      <c r="J369" t="s">
        <v>4440</v>
      </c>
      <c r="K369" t="s">
        <v>4457</v>
      </c>
      <c r="L369" t="s">
        <v>4458</v>
      </c>
      <c r="M369" t="s">
        <v>4462</v>
      </c>
    </row>
    <row r="370" spans="1:14" x14ac:dyDescent="0.35">
      <c r="A370" t="s">
        <v>4849</v>
      </c>
      <c r="B370" t="s">
        <v>285</v>
      </c>
      <c r="C370" t="s">
        <v>1927</v>
      </c>
      <c r="D370" t="s">
        <v>4485</v>
      </c>
      <c r="E370" t="s">
        <v>4444</v>
      </c>
      <c r="F370" s="3">
        <v>45230</v>
      </c>
      <c r="G370" s="3">
        <v>45231</v>
      </c>
      <c r="H370">
        <v>30.3</v>
      </c>
      <c r="I370">
        <v>24</v>
      </c>
      <c r="J370" t="s">
        <v>4440</v>
      </c>
      <c r="K370" t="s">
        <v>4441</v>
      </c>
      <c r="L370" t="s">
        <v>4514</v>
      </c>
      <c r="M370" t="s">
        <v>4450</v>
      </c>
      <c r="N370">
        <v>4</v>
      </c>
    </row>
    <row r="371" spans="1:14" x14ac:dyDescent="0.35">
      <c r="A371" t="s">
        <v>4850</v>
      </c>
      <c r="B371" t="s">
        <v>390</v>
      </c>
      <c r="C371" t="s">
        <v>1890</v>
      </c>
      <c r="D371" t="s">
        <v>4482</v>
      </c>
      <c r="E371" t="s">
        <v>4439</v>
      </c>
      <c r="F371" s="3">
        <v>45245</v>
      </c>
      <c r="G371" s="3">
        <v>45246</v>
      </c>
      <c r="H371">
        <v>27.6</v>
      </c>
      <c r="I371">
        <v>48</v>
      </c>
      <c r="J371" t="s">
        <v>4448</v>
      </c>
      <c r="K371" t="s">
        <v>4441</v>
      </c>
      <c r="L371" t="s">
        <v>4527</v>
      </c>
      <c r="M371" t="s">
        <v>4446</v>
      </c>
      <c r="N371">
        <v>4</v>
      </c>
    </row>
    <row r="372" spans="1:14" x14ac:dyDescent="0.35">
      <c r="A372" t="s">
        <v>4851</v>
      </c>
      <c r="B372" t="s">
        <v>366</v>
      </c>
      <c r="C372" t="s">
        <v>1904</v>
      </c>
      <c r="D372" t="s">
        <v>4485</v>
      </c>
      <c r="E372" t="s">
        <v>4444</v>
      </c>
      <c r="F372" s="3">
        <v>45201</v>
      </c>
      <c r="G372" s="3" t="s">
        <v>537</v>
      </c>
      <c r="I372">
        <v>24</v>
      </c>
      <c r="J372" t="s">
        <v>4440</v>
      </c>
      <c r="K372" t="s">
        <v>4457</v>
      </c>
      <c r="L372" t="s">
        <v>4533</v>
      </c>
      <c r="M372" t="s">
        <v>4446</v>
      </c>
    </row>
    <row r="373" spans="1:14" x14ac:dyDescent="0.35">
      <c r="A373" t="s">
        <v>4852</v>
      </c>
      <c r="B373" t="s">
        <v>291</v>
      </c>
      <c r="C373" t="s">
        <v>1904</v>
      </c>
      <c r="D373" t="s">
        <v>4472</v>
      </c>
      <c r="E373" t="s">
        <v>4473</v>
      </c>
      <c r="F373" s="3">
        <v>44949</v>
      </c>
      <c r="G373" s="3" t="s">
        <v>537</v>
      </c>
      <c r="I373">
        <v>8</v>
      </c>
      <c r="J373" t="s">
        <v>1945</v>
      </c>
      <c r="K373" t="s">
        <v>4457</v>
      </c>
      <c r="L373" t="s">
        <v>4533</v>
      </c>
      <c r="M373" t="s">
        <v>4446</v>
      </c>
    </row>
    <row r="374" spans="1:14" x14ac:dyDescent="0.35">
      <c r="A374" t="s">
        <v>4853</v>
      </c>
      <c r="B374" t="s">
        <v>470</v>
      </c>
      <c r="C374" t="s">
        <v>1883</v>
      </c>
      <c r="D374" t="s">
        <v>4490</v>
      </c>
      <c r="E374" t="s">
        <v>4439</v>
      </c>
      <c r="F374" s="3">
        <v>45544</v>
      </c>
      <c r="G374" s="3" t="s">
        <v>537</v>
      </c>
      <c r="I374">
        <v>48</v>
      </c>
      <c r="J374" t="s">
        <v>4440</v>
      </c>
      <c r="K374" t="s">
        <v>4474</v>
      </c>
      <c r="L374" t="s">
        <v>4512</v>
      </c>
      <c r="M374" t="s">
        <v>4462</v>
      </c>
    </row>
    <row r="375" spans="1:14" x14ac:dyDescent="0.35">
      <c r="A375" t="s">
        <v>4854</v>
      </c>
      <c r="B375" t="s">
        <v>318</v>
      </c>
      <c r="C375" t="s">
        <v>1927</v>
      </c>
      <c r="D375" t="s">
        <v>4443</v>
      </c>
      <c r="E375" t="s">
        <v>4439</v>
      </c>
      <c r="F375" s="3">
        <v>45475</v>
      </c>
      <c r="G375" s="3" t="s">
        <v>537</v>
      </c>
      <c r="I375">
        <v>48</v>
      </c>
      <c r="J375" t="s">
        <v>4440</v>
      </c>
      <c r="K375" t="s">
        <v>4474</v>
      </c>
      <c r="L375" t="s">
        <v>4533</v>
      </c>
      <c r="M375" t="s">
        <v>4462</v>
      </c>
    </row>
    <row r="376" spans="1:14" x14ac:dyDescent="0.35">
      <c r="A376" t="s">
        <v>4855</v>
      </c>
      <c r="B376" t="s">
        <v>126</v>
      </c>
      <c r="C376" t="s">
        <v>1883</v>
      </c>
      <c r="D376" t="s">
        <v>4469</v>
      </c>
      <c r="E376" t="s">
        <v>4444</v>
      </c>
      <c r="F376" s="3">
        <v>45281</v>
      </c>
      <c r="G376" s="3">
        <v>45283</v>
      </c>
      <c r="H376">
        <v>55.7</v>
      </c>
      <c r="I376">
        <v>24</v>
      </c>
      <c r="J376" t="s">
        <v>4440</v>
      </c>
      <c r="K376" t="s">
        <v>4441</v>
      </c>
      <c r="L376" t="s">
        <v>4480</v>
      </c>
      <c r="M376" t="s">
        <v>4462</v>
      </c>
      <c r="N376">
        <v>5</v>
      </c>
    </row>
    <row r="377" spans="1:14" x14ac:dyDescent="0.35">
      <c r="A377" t="s">
        <v>4856</v>
      </c>
      <c r="B377" t="s">
        <v>328</v>
      </c>
      <c r="C377" t="s">
        <v>1890</v>
      </c>
      <c r="D377" t="s">
        <v>4476</v>
      </c>
      <c r="E377" t="s">
        <v>4444</v>
      </c>
      <c r="F377" s="3">
        <v>45386</v>
      </c>
      <c r="G377" s="3" t="s">
        <v>537</v>
      </c>
      <c r="I377">
        <v>24</v>
      </c>
      <c r="J377" t="s">
        <v>4448</v>
      </c>
      <c r="K377" t="s">
        <v>4474</v>
      </c>
      <c r="L377" t="s">
        <v>4527</v>
      </c>
      <c r="M377" t="s">
        <v>4462</v>
      </c>
    </row>
    <row r="378" spans="1:14" x14ac:dyDescent="0.35">
      <c r="A378" t="s">
        <v>4857</v>
      </c>
      <c r="B378" t="s">
        <v>481</v>
      </c>
      <c r="C378" t="s">
        <v>1890</v>
      </c>
      <c r="D378" t="s">
        <v>4476</v>
      </c>
      <c r="E378" t="s">
        <v>4473</v>
      </c>
      <c r="F378" s="3">
        <v>45233</v>
      </c>
      <c r="G378" s="3">
        <v>45233</v>
      </c>
      <c r="H378">
        <v>8</v>
      </c>
      <c r="I378">
        <v>8</v>
      </c>
      <c r="J378" t="s">
        <v>4448</v>
      </c>
      <c r="K378" t="s">
        <v>4441</v>
      </c>
      <c r="L378" t="s">
        <v>4514</v>
      </c>
      <c r="M378" t="s">
        <v>1625</v>
      </c>
      <c r="N378">
        <v>5</v>
      </c>
    </row>
    <row r="379" spans="1:14" x14ac:dyDescent="0.35">
      <c r="A379" t="s">
        <v>4858</v>
      </c>
      <c r="B379" t="s">
        <v>415</v>
      </c>
      <c r="C379" t="s">
        <v>1899</v>
      </c>
      <c r="D379" t="s">
        <v>4482</v>
      </c>
      <c r="E379" t="s">
        <v>4473</v>
      </c>
      <c r="F379" s="3">
        <v>45516</v>
      </c>
      <c r="G379" s="3" t="s">
        <v>537</v>
      </c>
      <c r="I379">
        <v>8</v>
      </c>
      <c r="J379" t="s">
        <v>4440</v>
      </c>
      <c r="K379" t="s">
        <v>4453</v>
      </c>
      <c r="L379" t="s">
        <v>4533</v>
      </c>
      <c r="M379" t="s">
        <v>4462</v>
      </c>
    </row>
    <row r="380" spans="1:14" x14ac:dyDescent="0.35">
      <c r="A380" t="s">
        <v>4859</v>
      </c>
      <c r="B380" t="s">
        <v>319</v>
      </c>
      <c r="C380" t="s">
        <v>1915</v>
      </c>
      <c r="D380" t="s">
        <v>4472</v>
      </c>
      <c r="E380" t="s">
        <v>4444</v>
      </c>
      <c r="F380" s="3">
        <v>45575</v>
      </c>
      <c r="G380" s="3" t="s">
        <v>537</v>
      </c>
      <c r="I380">
        <v>24</v>
      </c>
      <c r="J380" t="s">
        <v>4440</v>
      </c>
      <c r="K380" t="s">
        <v>4457</v>
      </c>
      <c r="L380" t="s">
        <v>4465</v>
      </c>
      <c r="M380" t="s">
        <v>4462</v>
      </c>
    </row>
    <row r="381" spans="1:14" x14ac:dyDescent="0.35">
      <c r="A381" t="s">
        <v>4860</v>
      </c>
      <c r="B381" t="s">
        <v>130</v>
      </c>
      <c r="C381" t="s">
        <v>1915</v>
      </c>
      <c r="D381" t="s">
        <v>4485</v>
      </c>
      <c r="E381" t="s">
        <v>4439</v>
      </c>
      <c r="F381" s="3">
        <v>45253</v>
      </c>
      <c r="G381" s="3">
        <v>45257</v>
      </c>
      <c r="H381">
        <v>104.5</v>
      </c>
      <c r="I381">
        <v>48</v>
      </c>
      <c r="J381" t="s">
        <v>4440</v>
      </c>
      <c r="K381" t="s">
        <v>4441</v>
      </c>
      <c r="L381" t="s">
        <v>4467</v>
      </c>
      <c r="M381" t="s">
        <v>4446</v>
      </c>
      <c r="N381">
        <v>1</v>
      </c>
    </row>
    <row r="382" spans="1:14" x14ac:dyDescent="0.35">
      <c r="A382" t="s">
        <v>4861</v>
      </c>
      <c r="B382" t="s">
        <v>334</v>
      </c>
      <c r="C382" t="s">
        <v>1890</v>
      </c>
      <c r="D382" t="s">
        <v>4479</v>
      </c>
      <c r="E382" t="s">
        <v>4473</v>
      </c>
      <c r="F382" s="3">
        <v>45258</v>
      </c>
      <c r="G382" s="3" t="s">
        <v>537</v>
      </c>
      <c r="I382">
        <v>8</v>
      </c>
      <c r="J382" t="s">
        <v>4448</v>
      </c>
      <c r="K382" t="s">
        <v>4457</v>
      </c>
      <c r="L382" t="s">
        <v>4467</v>
      </c>
      <c r="M382" t="s">
        <v>4462</v>
      </c>
    </row>
    <row r="383" spans="1:14" x14ac:dyDescent="0.35">
      <c r="A383" t="s">
        <v>4862</v>
      </c>
      <c r="B383" t="s">
        <v>310</v>
      </c>
      <c r="C383" t="s">
        <v>1890</v>
      </c>
      <c r="D383" t="s">
        <v>4485</v>
      </c>
      <c r="E383" t="s">
        <v>79</v>
      </c>
      <c r="F383" s="3">
        <v>45624</v>
      </c>
      <c r="G383" s="3">
        <v>45624</v>
      </c>
      <c r="H383">
        <v>19.5</v>
      </c>
      <c r="I383">
        <v>8</v>
      </c>
      <c r="J383" t="s">
        <v>4440</v>
      </c>
      <c r="K383" t="s">
        <v>4441</v>
      </c>
      <c r="L383" t="s">
        <v>4527</v>
      </c>
      <c r="M383" t="s">
        <v>1625</v>
      </c>
      <c r="N383">
        <v>4</v>
      </c>
    </row>
    <row r="384" spans="1:14" x14ac:dyDescent="0.35">
      <c r="A384" t="s">
        <v>4863</v>
      </c>
      <c r="B384" t="s">
        <v>200</v>
      </c>
      <c r="C384" t="s">
        <v>1890</v>
      </c>
      <c r="D384" t="s">
        <v>4443</v>
      </c>
      <c r="E384" t="s">
        <v>4473</v>
      </c>
      <c r="F384" s="3">
        <v>45103</v>
      </c>
      <c r="G384" s="3" t="s">
        <v>537</v>
      </c>
      <c r="I384">
        <v>8</v>
      </c>
      <c r="J384" t="s">
        <v>4448</v>
      </c>
      <c r="K384" t="s">
        <v>4453</v>
      </c>
      <c r="L384" t="s">
        <v>4454</v>
      </c>
      <c r="M384" t="s">
        <v>4446</v>
      </c>
    </row>
    <row r="385" spans="1:14" x14ac:dyDescent="0.35">
      <c r="A385" t="s">
        <v>4864</v>
      </c>
      <c r="B385" t="s">
        <v>279</v>
      </c>
      <c r="C385" t="s">
        <v>1927</v>
      </c>
      <c r="D385" t="s">
        <v>4490</v>
      </c>
      <c r="E385" t="s">
        <v>4444</v>
      </c>
      <c r="F385" s="3">
        <v>45370</v>
      </c>
      <c r="G385" s="3">
        <v>45370</v>
      </c>
      <c r="H385">
        <v>14.5</v>
      </c>
      <c r="I385">
        <v>24</v>
      </c>
      <c r="J385" t="s">
        <v>4448</v>
      </c>
      <c r="K385" t="s">
        <v>4441</v>
      </c>
      <c r="L385" t="s">
        <v>4449</v>
      </c>
      <c r="M385" t="s">
        <v>1625</v>
      </c>
      <c r="N385">
        <v>3</v>
      </c>
    </row>
    <row r="386" spans="1:14" x14ac:dyDescent="0.35">
      <c r="A386" t="s">
        <v>4865</v>
      </c>
      <c r="B386" t="s">
        <v>365</v>
      </c>
      <c r="C386" t="s">
        <v>1883</v>
      </c>
      <c r="D386" t="s">
        <v>4479</v>
      </c>
      <c r="E386" t="s">
        <v>4473</v>
      </c>
      <c r="F386" s="3">
        <v>45553</v>
      </c>
      <c r="G386" s="3">
        <v>45553</v>
      </c>
      <c r="H386">
        <v>9.3000000000000007</v>
      </c>
      <c r="I386">
        <v>8</v>
      </c>
      <c r="J386" t="s">
        <v>4440</v>
      </c>
      <c r="K386" t="s">
        <v>4441</v>
      </c>
      <c r="L386" t="s">
        <v>4480</v>
      </c>
      <c r="M386" t="s">
        <v>4446</v>
      </c>
      <c r="N386">
        <v>1</v>
      </c>
    </row>
    <row r="387" spans="1:14" x14ac:dyDescent="0.35">
      <c r="A387" t="s">
        <v>4866</v>
      </c>
      <c r="B387" t="s">
        <v>18</v>
      </c>
      <c r="C387" t="s">
        <v>1927</v>
      </c>
      <c r="D387" t="s">
        <v>4443</v>
      </c>
      <c r="E387" t="s">
        <v>4473</v>
      </c>
      <c r="F387" s="3">
        <v>44934</v>
      </c>
      <c r="G387" s="3" t="s">
        <v>537</v>
      </c>
      <c r="I387">
        <v>8</v>
      </c>
      <c r="J387" t="s">
        <v>4440</v>
      </c>
      <c r="K387" t="s">
        <v>4457</v>
      </c>
      <c r="L387" t="s">
        <v>1907</v>
      </c>
      <c r="M387" t="s">
        <v>1625</v>
      </c>
    </row>
    <row r="388" spans="1:14" x14ac:dyDescent="0.35">
      <c r="A388" t="s">
        <v>4867</v>
      </c>
      <c r="B388" t="s">
        <v>11</v>
      </c>
      <c r="C388" t="s">
        <v>1927</v>
      </c>
      <c r="D388" t="s">
        <v>4482</v>
      </c>
      <c r="E388" t="s">
        <v>4444</v>
      </c>
      <c r="F388" s="3">
        <v>45077</v>
      </c>
      <c r="G388" s="3" t="s">
        <v>537</v>
      </c>
      <c r="I388">
        <v>24</v>
      </c>
      <c r="J388" t="s">
        <v>4440</v>
      </c>
      <c r="K388" t="s">
        <v>4474</v>
      </c>
      <c r="L388" t="s">
        <v>4488</v>
      </c>
      <c r="M388" t="s">
        <v>1625</v>
      </c>
    </row>
    <row r="389" spans="1:14" x14ac:dyDescent="0.35">
      <c r="A389" t="s">
        <v>4868</v>
      </c>
      <c r="B389" t="s">
        <v>146</v>
      </c>
      <c r="C389" t="s">
        <v>1904</v>
      </c>
      <c r="D389" t="s">
        <v>4485</v>
      </c>
      <c r="E389" t="s">
        <v>4456</v>
      </c>
      <c r="F389" s="3">
        <v>45744</v>
      </c>
      <c r="G389" s="3" t="s">
        <v>537</v>
      </c>
      <c r="I389">
        <v>4</v>
      </c>
      <c r="J389" t="s">
        <v>4440</v>
      </c>
      <c r="K389" t="s">
        <v>4457</v>
      </c>
      <c r="L389" t="s">
        <v>4514</v>
      </c>
      <c r="M389" t="s">
        <v>4450</v>
      </c>
    </row>
    <row r="390" spans="1:14" x14ac:dyDescent="0.35">
      <c r="A390" t="s">
        <v>4869</v>
      </c>
      <c r="B390" t="s">
        <v>457</v>
      </c>
      <c r="C390" t="s">
        <v>1927</v>
      </c>
      <c r="D390" t="s">
        <v>4460</v>
      </c>
      <c r="E390" t="s">
        <v>4444</v>
      </c>
      <c r="F390" s="3">
        <v>44991</v>
      </c>
      <c r="G390" s="3" t="s">
        <v>537</v>
      </c>
      <c r="I390">
        <v>24</v>
      </c>
      <c r="J390" t="s">
        <v>4448</v>
      </c>
      <c r="K390" t="s">
        <v>4474</v>
      </c>
      <c r="L390" t="s">
        <v>4483</v>
      </c>
      <c r="M390" t="s">
        <v>1625</v>
      </c>
    </row>
    <row r="391" spans="1:14" x14ac:dyDescent="0.35">
      <c r="A391" t="s">
        <v>4870</v>
      </c>
      <c r="B391" t="s">
        <v>493</v>
      </c>
      <c r="C391" t="s">
        <v>1915</v>
      </c>
      <c r="D391" t="s">
        <v>4460</v>
      </c>
      <c r="E391" t="s">
        <v>4473</v>
      </c>
      <c r="F391" s="3">
        <v>45454</v>
      </c>
      <c r="G391" s="3">
        <v>45454</v>
      </c>
      <c r="H391">
        <v>9.1</v>
      </c>
      <c r="I391">
        <v>8</v>
      </c>
      <c r="J391" t="s">
        <v>4440</v>
      </c>
      <c r="K391" t="s">
        <v>4441</v>
      </c>
      <c r="L391" t="s">
        <v>4580</v>
      </c>
      <c r="M391" t="s">
        <v>4446</v>
      </c>
      <c r="N391">
        <v>4</v>
      </c>
    </row>
    <row r="392" spans="1:14" x14ac:dyDescent="0.35">
      <c r="A392" t="s">
        <v>4871</v>
      </c>
      <c r="B392" t="s">
        <v>194</v>
      </c>
      <c r="C392" t="s">
        <v>1927</v>
      </c>
      <c r="D392" t="s">
        <v>4460</v>
      </c>
      <c r="E392" t="s">
        <v>4444</v>
      </c>
      <c r="F392" s="3">
        <v>45477</v>
      </c>
      <c r="G392" s="3">
        <v>45477</v>
      </c>
      <c r="H392">
        <v>12.4</v>
      </c>
      <c r="I392">
        <v>24</v>
      </c>
      <c r="J392" t="s">
        <v>4448</v>
      </c>
      <c r="K392" t="s">
        <v>4441</v>
      </c>
      <c r="L392" t="s">
        <v>4533</v>
      </c>
      <c r="M392" t="s">
        <v>4450</v>
      </c>
      <c r="N392">
        <v>4</v>
      </c>
    </row>
    <row r="393" spans="1:14" x14ac:dyDescent="0.35">
      <c r="A393" t="s">
        <v>4872</v>
      </c>
      <c r="B393" t="s">
        <v>335</v>
      </c>
      <c r="C393" t="s">
        <v>1927</v>
      </c>
      <c r="D393" t="s">
        <v>4443</v>
      </c>
      <c r="E393" t="s">
        <v>4439</v>
      </c>
      <c r="F393" s="3">
        <v>45485</v>
      </c>
      <c r="G393" s="3" t="s">
        <v>537</v>
      </c>
      <c r="I393">
        <v>48</v>
      </c>
      <c r="J393" t="s">
        <v>4448</v>
      </c>
      <c r="K393" t="s">
        <v>4457</v>
      </c>
      <c r="L393" t="s">
        <v>4449</v>
      </c>
      <c r="M393" t="s">
        <v>4446</v>
      </c>
    </row>
    <row r="394" spans="1:14" x14ac:dyDescent="0.35">
      <c r="A394" t="s">
        <v>4873</v>
      </c>
      <c r="B394" t="s">
        <v>372</v>
      </c>
      <c r="C394" t="s">
        <v>1890</v>
      </c>
      <c r="D394" t="s">
        <v>4443</v>
      </c>
      <c r="E394" t="s">
        <v>4473</v>
      </c>
      <c r="F394" s="3">
        <v>45466</v>
      </c>
      <c r="G394" s="3">
        <v>45466</v>
      </c>
      <c r="H394">
        <v>13.7</v>
      </c>
      <c r="I394">
        <v>8</v>
      </c>
      <c r="J394" t="s">
        <v>4440</v>
      </c>
      <c r="K394" t="s">
        <v>4441</v>
      </c>
      <c r="L394" t="s">
        <v>4509</v>
      </c>
      <c r="M394" t="s">
        <v>4462</v>
      </c>
      <c r="N394">
        <v>4</v>
      </c>
    </row>
    <row r="395" spans="1:14" x14ac:dyDescent="0.35">
      <c r="A395" t="s">
        <v>4874</v>
      </c>
      <c r="B395" t="s">
        <v>459</v>
      </c>
      <c r="C395" t="s">
        <v>1927</v>
      </c>
      <c r="D395" t="s">
        <v>4485</v>
      </c>
      <c r="E395" t="s">
        <v>4444</v>
      </c>
      <c r="F395" s="3">
        <v>45283</v>
      </c>
      <c r="G395" s="3" t="s">
        <v>537</v>
      </c>
      <c r="I395">
        <v>24</v>
      </c>
      <c r="J395" t="s">
        <v>4440</v>
      </c>
      <c r="K395" t="s">
        <v>4457</v>
      </c>
      <c r="L395" t="s">
        <v>4467</v>
      </c>
      <c r="M395" t="s">
        <v>1625</v>
      </c>
    </row>
    <row r="396" spans="1:14" x14ac:dyDescent="0.35">
      <c r="A396" t="s">
        <v>4875</v>
      </c>
      <c r="B396" t="s">
        <v>235</v>
      </c>
      <c r="C396" t="s">
        <v>1883</v>
      </c>
      <c r="D396" t="s">
        <v>4485</v>
      </c>
      <c r="E396" t="s">
        <v>4473</v>
      </c>
      <c r="F396" s="3">
        <v>45603</v>
      </c>
      <c r="G396" s="3" t="s">
        <v>537</v>
      </c>
      <c r="I396">
        <v>8</v>
      </c>
      <c r="J396" t="s">
        <v>4448</v>
      </c>
      <c r="K396" t="s">
        <v>4457</v>
      </c>
      <c r="L396" t="s">
        <v>4467</v>
      </c>
      <c r="M396" t="s">
        <v>4462</v>
      </c>
    </row>
    <row r="397" spans="1:14" x14ac:dyDescent="0.35">
      <c r="A397" t="s">
        <v>4876</v>
      </c>
      <c r="B397" t="s">
        <v>38</v>
      </c>
      <c r="C397" t="s">
        <v>1904</v>
      </c>
      <c r="D397" t="s">
        <v>4490</v>
      </c>
      <c r="E397" t="s">
        <v>4444</v>
      </c>
      <c r="F397" s="3">
        <v>45616</v>
      </c>
      <c r="G397" s="3" t="s">
        <v>537</v>
      </c>
      <c r="I397">
        <v>24</v>
      </c>
      <c r="J397" t="s">
        <v>4440</v>
      </c>
      <c r="K397" t="s">
        <v>4474</v>
      </c>
      <c r="L397" t="s">
        <v>4492</v>
      </c>
      <c r="M397" t="s">
        <v>1625</v>
      </c>
    </row>
    <row r="398" spans="1:14" x14ac:dyDescent="0.35">
      <c r="A398" t="s">
        <v>4877</v>
      </c>
      <c r="B398" t="s">
        <v>124</v>
      </c>
      <c r="C398" t="s">
        <v>1890</v>
      </c>
      <c r="D398" t="s">
        <v>4464</v>
      </c>
      <c r="E398" t="s">
        <v>4439</v>
      </c>
      <c r="F398" s="3">
        <v>45255</v>
      </c>
      <c r="G398" s="3">
        <v>45257</v>
      </c>
      <c r="H398">
        <v>67.900000000000006</v>
      </c>
      <c r="I398">
        <v>48</v>
      </c>
      <c r="J398" t="s">
        <v>4440</v>
      </c>
      <c r="K398" t="s">
        <v>4441</v>
      </c>
      <c r="L398" t="s">
        <v>4461</v>
      </c>
      <c r="M398" t="s">
        <v>1625</v>
      </c>
      <c r="N398">
        <v>4</v>
      </c>
    </row>
    <row r="399" spans="1:14" x14ac:dyDescent="0.35">
      <c r="A399" t="s">
        <v>4878</v>
      </c>
      <c r="B399" t="s">
        <v>249</v>
      </c>
      <c r="C399" t="s">
        <v>1927</v>
      </c>
      <c r="D399" t="s">
        <v>4472</v>
      </c>
      <c r="E399" t="s">
        <v>4444</v>
      </c>
      <c r="F399" s="3">
        <v>45602</v>
      </c>
      <c r="G399" s="3">
        <v>45602</v>
      </c>
      <c r="H399">
        <v>10.5</v>
      </c>
      <c r="I399">
        <v>24</v>
      </c>
      <c r="J399" t="s">
        <v>4448</v>
      </c>
      <c r="K399" t="s">
        <v>4441</v>
      </c>
      <c r="L399" t="s">
        <v>4533</v>
      </c>
      <c r="M399" t="s">
        <v>1625</v>
      </c>
      <c r="N399">
        <v>4</v>
      </c>
    </row>
    <row r="400" spans="1:14" x14ac:dyDescent="0.35">
      <c r="A400" t="s">
        <v>4879</v>
      </c>
      <c r="B400" t="s">
        <v>196</v>
      </c>
      <c r="C400" t="s">
        <v>1883</v>
      </c>
      <c r="D400" t="s">
        <v>4452</v>
      </c>
      <c r="E400" t="s">
        <v>4444</v>
      </c>
      <c r="F400" s="3">
        <v>45336</v>
      </c>
      <c r="G400" s="3" t="s">
        <v>537</v>
      </c>
      <c r="I400">
        <v>24</v>
      </c>
      <c r="J400" t="s">
        <v>4448</v>
      </c>
      <c r="K400" t="s">
        <v>4474</v>
      </c>
      <c r="L400" t="s">
        <v>4509</v>
      </c>
      <c r="M400" t="s">
        <v>4446</v>
      </c>
    </row>
    <row r="401" spans="1:14" x14ac:dyDescent="0.35">
      <c r="A401" t="s">
        <v>4880</v>
      </c>
      <c r="B401" t="s">
        <v>71</v>
      </c>
      <c r="C401" t="s">
        <v>1904</v>
      </c>
      <c r="D401" t="s">
        <v>4452</v>
      </c>
      <c r="E401" t="s">
        <v>4473</v>
      </c>
      <c r="F401" s="3">
        <v>45248</v>
      </c>
      <c r="G401" s="3">
        <v>45248</v>
      </c>
      <c r="H401">
        <v>13.4</v>
      </c>
      <c r="I401">
        <v>8</v>
      </c>
      <c r="J401" t="s">
        <v>4440</v>
      </c>
      <c r="K401" t="s">
        <v>4441</v>
      </c>
      <c r="L401" t="s">
        <v>4480</v>
      </c>
      <c r="M401" t="s">
        <v>4462</v>
      </c>
      <c r="N401">
        <v>4</v>
      </c>
    </row>
    <row r="402" spans="1:14" x14ac:dyDescent="0.35">
      <c r="A402" t="s">
        <v>4881</v>
      </c>
      <c r="B402" t="s">
        <v>434</v>
      </c>
      <c r="C402" t="s">
        <v>1927</v>
      </c>
      <c r="D402" t="s">
        <v>4464</v>
      </c>
      <c r="E402" t="s">
        <v>4473</v>
      </c>
      <c r="F402" s="3">
        <v>45663</v>
      </c>
      <c r="G402" s="3" t="s">
        <v>537</v>
      </c>
      <c r="I402">
        <v>8</v>
      </c>
      <c r="J402" t="s">
        <v>4448</v>
      </c>
      <c r="K402" t="s">
        <v>4457</v>
      </c>
      <c r="L402" t="s">
        <v>4580</v>
      </c>
      <c r="M402" t="s">
        <v>4462</v>
      </c>
    </row>
    <row r="403" spans="1:14" x14ac:dyDescent="0.35">
      <c r="A403" t="s">
        <v>4882</v>
      </c>
      <c r="B403" t="s">
        <v>357</v>
      </c>
      <c r="C403" t="s">
        <v>1899</v>
      </c>
      <c r="D403" t="s">
        <v>4485</v>
      </c>
      <c r="E403" t="s">
        <v>4473</v>
      </c>
      <c r="F403" s="3">
        <v>45670</v>
      </c>
      <c r="G403" s="3" t="s">
        <v>537</v>
      </c>
      <c r="I403">
        <v>8</v>
      </c>
      <c r="J403" t="s">
        <v>1945</v>
      </c>
      <c r="K403" t="s">
        <v>4457</v>
      </c>
      <c r="L403" t="s">
        <v>4483</v>
      </c>
      <c r="M403" t="s">
        <v>1625</v>
      </c>
    </row>
    <row r="404" spans="1:14" x14ac:dyDescent="0.35">
      <c r="A404" t="s">
        <v>4883</v>
      </c>
      <c r="B404" t="s">
        <v>66</v>
      </c>
      <c r="C404" t="s">
        <v>1890</v>
      </c>
      <c r="D404" t="s">
        <v>4476</v>
      </c>
      <c r="E404" t="s">
        <v>4473</v>
      </c>
      <c r="F404" s="3">
        <v>45038</v>
      </c>
      <c r="G404" s="3" t="s">
        <v>537</v>
      </c>
      <c r="I404">
        <v>8</v>
      </c>
      <c r="J404" t="s">
        <v>4448</v>
      </c>
      <c r="K404" t="s">
        <v>4453</v>
      </c>
      <c r="L404" t="s">
        <v>4449</v>
      </c>
      <c r="M404" t="s">
        <v>4462</v>
      </c>
    </row>
    <row r="405" spans="1:14" x14ac:dyDescent="0.35">
      <c r="A405" t="s">
        <v>4884</v>
      </c>
      <c r="B405" t="s">
        <v>451</v>
      </c>
      <c r="C405" t="s">
        <v>1899</v>
      </c>
      <c r="D405" t="s">
        <v>4438</v>
      </c>
      <c r="E405" t="s">
        <v>4444</v>
      </c>
      <c r="F405" s="3">
        <v>45158</v>
      </c>
      <c r="G405" s="3">
        <v>45159</v>
      </c>
      <c r="H405">
        <v>47.1</v>
      </c>
      <c r="I405">
        <v>24</v>
      </c>
      <c r="J405" t="s">
        <v>4440</v>
      </c>
      <c r="K405" t="s">
        <v>4441</v>
      </c>
      <c r="L405" t="s">
        <v>4501</v>
      </c>
      <c r="M405" t="s">
        <v>4450</v>
      </c>
    </row>
    <row r="406" spans="1:14" x14ac:dyDescent="0.35">
      <c r="A406" t="s">
        <v>4885</v>
      </c>
      <c r="B406" t="s">
        <v>406</v>
      </c>
      <c r="C406" t="s">
        <v>1899</v>
      </c>
      <c r="D406" t="s">
        <v>4479</v>
      </c>
      <c r="E406" t="s">
        <v>4439</v>
      </c>
      <c r="F406" s="3">
        <v>45276</v>
      </c>
      <c r="G406" s="3">
        <v>45277</v>
      </c>
      <c r="H406">
        <v>24.2</v>
      </c>
      <c r="I406">
        <v>48</v>
      </c>
      <c r="J406" t="s">
        <v>4448</v>
      </c>
      <c r="K406" t="s">
        <v>4441</v>
      </c>
      <c r="L406" t="s">
        <v>4580</v>
      </c>
      <c r="M406" t="s">
        <v>4450</v>
      </c>
      <c r="N406">
        <v>2</v>
      </c>
    </row>
    <row r="407" spans="1:14" x14ac:dyDescent="0.35">
      <c r="A407" t="s">
        <v>4886</v>
      </c>
      <c r="B407" t="s">
        <v>271</v>
      </c>
      <c r="C407" t="s">
        <v>1915</v>
      </c>
      <c r="D407" t="s">
        <v>4443</v>
      </c>
      <c r="E407" t="s">
        <v>4444</v>
      </c>
      <c r="F407" s="3">
        <v>45426</v>
      </c>
      <c r="G407" s="3" t="s">
        <v>537</v>
      </c>
      <c r="I407">
        <v>24</v>
      </c>
      <c r="J407" t="s">
        <v>4448</v>
      </c>
      <c r="K407" t="s">
        <v>4453</v>
      </c>
      <c r="L407" t="s">
        <v>4509</v>
      </c>
      <c r="M407" t="s">
        <v>4450</v>
      </c>
    </row>
    <row r="408" spans="1:14" x14ac:dyDescent="0.35">
      <c r="A408" t="s">
        <v>4887</v>
      </c>
      <c r="B408" t="s">
        <v>193</v>
      </c>
      <c r="C408" t="s">
        <v>1883</v>
      </c>
      <c r="D408" t="s">
        <v>4443</v>
      </c>
      <c r="E408" t="s">
        <v>4439</v>
      </c>
      <c r="F408" s="3">
        <v>45283</v>
      </c>
      <c r="G408" s="3" t="s">
        <v>537</v>
      </c>
      <c r="I408">
        <v>48</v>
      </c>
      <c r="J408" t="s">
        <v>4448</v>
      </c>
      <c r="K408" t="s">
        <v>4453</v>
      </c>
      <c r="L408" t="s">
        <v>4488</v>
      </c>
      <c r="M408" t="s">
        <v>1625</v>
      </c>
    </row>
    <row r="409" spans="1:14" x14ac:dyDescent="0.35">
      <c r="A409" t="s">
        <v>4888</v>
      </c>
      <c r="B409" t="s">
        <v>371</v>
      </c>
      <c r="C409" t="s">
        <v>1915</v>
      </c>
      <c r="D409" t="s">
        <v>4464</v>
      </c>
      <c r="E409" t="s">
        <v>4439</v>
      </c>
      <c r="F409" s="3">
        <v>45565</v>
      </c>
      <c r="G409" s="3">
        <v>45567</v>
      </c>
      <c r="H409">
        <v>68</v>
      </c>
      <c r="I409">
        <v>48</v>
      </c>
      <c r="J409" t="s">
        <v>4440</v>
      </c>
      <c r="K409" t="s">
        <v>4441</v>
      </c>
      <c r="L409" t="s">
        <v>4527</v>
      </c>
      <c r="M409" t="s">
        <v>4446</v>
      </c>
      <c r="N409">
        <v>4</v>
      </c>
    </row>
    <row r="410" spans="1:14" x14ac:dyDescent="0.35">
      <c r="A410" t="s">
        <v>4889</v>
      </c>
      <c r="B410" t="s">
        <v>243</v>
      </c>
      <c r="C410" t="s">
        <v>1890</v>
      </c>
      <c r="D410" t="s">
        <v>4485</v>
      </c>
      <c r="E410" t="s">
        <v>4444</v>
      </c>
      <c r="F410" s="3">
        <v>45645</v>
      </c>
      <c r="G410" s="3">
        <v>45646</v>
      </c>
      <c r="H410">
        <v>31.8</v>
      </c>
      <c r="I410">
        <v>24</v>
      </c>
      <c r="J410" t="s">
        <v>4440</v>
      </c>
      <c r="K410" t="s">
        <v>4441</v>
      </c>
      <c r="L410" t="s">
        <v>4445</v>
      </c>
      <c r="M410" t="s">
        <v>4462</v>
      </c>
      <c r="N410">
        <v>1</v>
      </c>
    </row>
    <row r="411" spans="1:14" x14ac:dyDescent="0.35">
      <c r="A411" t="s">
        <v>4890</v>
      </c>
      <c r="B411" t="s">
        <v>455</v>
      </c>
      <c r="C411" t="s">
        <v>1927</v>
      </c>
      <c r="D411" t="s">
        <v>4452</v>
      </c>
      <c r="E411" t="s">
        <v>4439</v>
      </c>
      <c r="F411" s="3">
        <v>45014</v>
      </c>
      <c r="G411" s="3" t="s">
        <v>537</v>
      </c>
      <c r="I411">
        <v>48</v>
      </c>
      <c r="J411" t="s">
        <v>4440</v>
      </c>
      <c r="K411" t="s">
        <v>4453</v>
      </c>
      <c r="L411" t="s">
        <v>4514</v>
      </c>
      <c r="M411" t="s">
        <v>4450</v>
      </c>
    </row>
    <row r="412" spans="1:14" x14ac:dyDescent="0.35">
      <c r="A412" t="s">
        <v>4891</v>
      </c>
      <c r="B412" t="s">
        <v>484</v>
      </c>
      <c r="C412" t="s">
        <v>1915</v>
      </c>
      <c r="D412" t="s">
        <v>4438</v>
      </c>
      <c r="E412" t="s">
        <v>4456</v>
      </c>
      <c r="F412" s="3">
        <v>45373</v>
      </c>
      <c r="G412" s="3">
        <v>45373</v>
      </c>
      <c r="H412">
        <v>7</v>
      </c>
      <c r="I412">
        <v>4</v>
      </c>
      <c r="J412" t="s">
        <v>4440</v>
      </c>
      <c r="K412" t="s">
        <v>4441</v>
      </c>
      <c r="L412" t="s">
        <v>4512</v>
      </c>
      <c r="M412" t="s">
        <v>4446</v>
      </c>
      <c r="N412">
        <v>2</v>
      </c>
    </row>
    <row r="413" spans="1:14" x14ac:dyDescent="0.35">
      <c r="A413" t="s">
        <v>4892</v>
      </c>
      <c r="B413" t="s">
        <v>82</v>
      </c>
      <c r="C413" t="s">
        <v>1899</v>
      </c>
      <c r="D413" t="s">
        <v>4479</v>
      </c>
      <c r="E413" t="s">
        <v>4439</v>
      </c>
      <c r="F413" s="3">
        <v>45432</v>
      </c>
      <c r="G413" s="3">
        <v>45434</v>
      </c>
      <c r="H413">
        <v>70.7</v>
      </c>
      <c r="I413">
        <v>48</v>
      </c>
      <c r="J413" t="s">
        <v>4440</v>
      </c>
      <c r="K413" t="s">
        <v>4441</v>
      </c>
      <c r="L413" t="s">
        <v>4465</v>
      </c>
      <c r="M413" t="s">
        <v>4450</v>
      </c>
      <c r="N413">
        <v>3</v>
      </c>
    </row>
    <row r="414" spans="1:14" x14ac:dyDescent="0.35">
      <c r="A414" t="s">
        <v>4893</v>
      </c>
      <c r="B414" t="s">
        <v>482</v>
      </c>
      <c r="C414" t="s">
        <v>1904</v>
      </c>
      <c r="D414" t="s">
        <v>4482</v>
      </c>
      <c r="E414" t="s">
        <v>4439</v>
      </c>
      <c r="F414" s="3">
        <v>44937</v>
      </c>
      <c r="G414" s="3">
        <v>44940</v>
      </c>
      <c r="H414">
        <v>76.400000000000006</v>
      </c>
      <c r="I414">
        <v>48</v>
      </c>
      <c r="J414" t="s">
        <v>4440</v>
      </c>
      <c r="K414" t="s">
        <v>4441</v>
      </c>
      <c r="L414" t="s">
        <v>1907</v>
      </c>
      <c r="M414" t="s">
        <v>1625</v>
      </c>
      <c r="N414">
        <v>5</v>
      </c>
    </row>
    <row r="415" spans="1:14" x14ac:dyDescent="0.35">
      <c r="A415" t="s">
        <v>4894</v>
      </c>
      <c r="B415" t="s">
        <v>156</v>
      </c>
      <c r="C415" t="s">
        <v>1904</v>
      </c>
      <c r="D415" t="s">
        <v>4472</v>
      </c>
      <c r="E415" t="s">
        <v>4473</v>
      </c>
      <c r="F415" s="3">
        <v>45024</v>
      </c>
      <c r="G415" s="3">
        <v>45024</v>
      </c>
      <c r="H415">
        <v>15.5</v>
      </c>
      <c r="I415">
        <v>8</v>
      </c>
      <c r="J415" t="s">
        <v>4440</v>
      </c>
      <c r="K415" t="s">
        <v>4441</v>
      </c>
      <c r="L415" t="s">
        <v>4483</v>
      </c>
      <c r="M415" t="s">
        <v>4446</v>
      </c>
      <c r="N415">
        <v>4</v>
      </c>
    </row>
    <row r="416" spans="1:14" x14ac:dyDescent="0.35">
      <c r="A416" t="s">
        <v>4895</v>
      </c>
      <c r="B416" t="s">
        <v>86</v>
      </c>
      <c r="C416" t="s">
        <v>1890</v>
      </c>
      <c r="D416" t="s">
        <v>4490</v>
      </c>
      <c r="E416" t="s">
        <v>4456</v>
      </c>
      <c r="F416" s="3">
        <v>45372</v>
      </c>
      <c r="G416" s="3">
        <v>45372</v>
      </c>
      <c r="H416">
        <v>1.2</v>
      </c>
      <c r="I416">
        <v>4</v>
      </c>
      <c r="J416" t="s">
        <v>4448</v>
      </c>
      <c r="K416" t="s">
        <v>4441</v>
      </c>
      <c r="L416" t="s">
        <v>4580</v>
      </c>
      <c r="M416" t="s">
        <v>1625</v>
      </c>
      <c r="N416">
        <v>2</v>
      </c>
    </row>
    <row r="417" spans="1:14" x14ac:dyDescent="0.35">
      <c r="A417" t="s">
        <v>4896</v>
      </c>
      <c r="B417" t="s">
        <v>389</v>
      </c>
      <c r="C417" t="s">
        <v>1899</v>
      </c>
      <c r="D417" t="s">
        <v>4482</v>
      </c>
      <c r="E417" t="s">
        <v>4439</v>
      </c>
      <c r="F417" s="3">
        <v>45026</v>
      </c>
      <c r="G417" s="3">
        <v>45027</v>
      </c>
      <c r="H417">
        <v>36.200000000000003</v>
      </c>
      <c r="I417">
        <v>48</v>
      </c>
      <c r="J417" t="s">
        <v>4448</v>
      </c>
      <c r="K417" t="s">
        <v>4441</v>
      </c>
      <c r="L417" t="s">
        <v>4483</v>
      </c>
      <c r="M417" t="s">
        <v>4462</v>
      </c>
      <c r="N417">
        <v>4</v>
      </c>
    </row>
    <row r="418" spans="1:14" x14ac:dyDescent="0.35">
      <c r="A418" t="s">
        <v>4897</v>
      </c>
      <c r="B418" t="s">
        <v>307</v>
      </c>
      <c r="C418" t="s">
        <v>1899</v>
      </c>
      <c r="D418" t="s">
        <v>8507</v>
      </c>
      <c r="E418" t="s">
        <v>4439</v>
      </c>
      <c r="F418" s="3">
        <v>45385</v>
      </c>
      <c r="G418" s="3" t="s">
        <v>537</v>
      </c>
      <c r="I418">
        <v>48</v>
      </c>
      <c r="J418" t="s">
        <v>4440</v>
      </c>
      <c r="K418" t="s">
        <v>4453</v>
      </c>
      <c r="L418" t="s">
        <v>4514</v>
      </c>
      <c r="M418" t="s">
        <v>1625</v>
      </c>
    </row>
    <row r="419" spans="1:14" x14ac:dyDescent="0.35">
      <c r="A419" t="s">
        <v>4898</v>
      </c>
      <c r="B419" t="s">
        <v>458</v>
      </c>
      <c r="C419" t="s">
        <v>1899</v>
      </c>
      <c r="D419" t="s">
        <v>4438</v>
      </c>
      <c r="E419" t="s">
        <v>4439</v>
      </c>
      <c r="F419" s="3">
        <v>45399</v>
      </c>
      <c r="G419" s="3" t="s">
        <v>537</v>
      </c>
      <c r="I419">
        <v>48</v>
      </c>
      <c r="J419" t="s">
        <v>4440</v>
      </c>
      <c r="K419" t="s">
        <v>4457</v>
      </c>
      <c r="L419" t="s">
        <v>4454</v>
      </c>
      <c r="M419" t="s">
        <v>4450</v>
      </c>
    </row>
    <row r="420" spans="1:14" x14ac:dyDescent="0.35">
      <c r="A420" t="s">
        <v>4899</v>
      </c>
      <c r="B420" t="s">
        <v>491</v>
      </c>
      <c r="C420" t="s">
        <v>1904</v>
      </c>
      <c r="D420" t="s">
        <v>4443</v>
      </c>
      <c r="E420" t="s">
        <v>4444</v>
      </c>
      <c r="F420" s="3">
        <v>45525</v>
      </c>
      <c r="G420" s="3" t="s">
        <v>537</v>
      </c>
      <c r="I420">
        <v>24</v>
      </c>
      <c r="J420" t="s">
        <v>4440</v>
      </c>
      <c r="K420" t="s">
        <v>4457</v>
      </c>
      <c r="L420" t="s">
        <v>4501</v>
      </c>
      <c r="M420" t="s">
        <v>4446</v>
      </c>
    </row>
    <row r="421" spans="1:14" x14ac:dyDescent="0.35">
      <c r="A421" t="s">
        <v>4900</v>
      </c>
      <c r="B421" t="s">
        <v>32</v>
      </c>
      <c r="C421" t="s">
        <v>1904</v>
      </c>
      <c r="D421" t="s">
        <v>4485</v>
      </c>
      <c r="E421" t="s">
        <v>4444</v>
      </c>
      <c r="F421" s="3">
        <v>44933</v>
      </c>
      <c r="G421" s="3">
        <v>44933</v>
      </c>
      <c r="H421">
        <v>2</v>
      </c>
      <c r="I421">
        <v>24</v>
      </c>
      <c r="J421" t="s">
        <v>4448</v>
      </c>
      <c r="K421" t="s">
        <v>4441</v>
      </c>
      <c r="L421" t="s">
        <v>4467</v>
      </c>
      <c r="M421" t="s">
        <v>1625</v>
      </c>
      <c r="N421">
        <v>3</v>
      </c>
    </row>
    <row r="422" spans="1:14" x14ac:dyDescent="0.35">
      <c r="A422" t="s">
        <v>4901</v>
      </c>
      <c r="B422" t="s">
        <v>200</v>
      </c>
      <c r="C422" t="s">
        <v>1883</v>
      </c>
      <c r="D422" t="s">
        <v>4472</v>
      </c>
      <c r="E422" t="s">
        <v>4439</v>
      </c>
      <c r="F422" s="3">
        <v>45521</v>
      </c>
      <c r="G422" s="3" t="s">
        <v>537</v>
      </c>
      <c r="I422">
        <v>48</v>
      </c>
      <c r="J422" t="s">
        <v>4448</v>
      </c>
      <c r="K422" t="s">
        <v>4457</v>
      </c>
      <c r="L422" t="s">
        <v>1907</v>
      </c>
      <c r="M422" t="s">
        <v>1625</v>
      </c>
    </row>
    <row r="423" spans="1:14" x14ac:dyDescent="0.35">
      <c r="A423" t="s">
        <v>4902</v>
      </c>
      <c r="B423" t="s">
        <v>372</v>
      </c>
      <c r="C423" t="s">
        <v>1890</v>
      </c>
      <c r="D423" t="s">
        <v>4452</v>
      </c>
      <c r="E423" t="s">
        <v>4444</v>
      </c>
      <c r="F423" s="3">
        <v>45533</v>
      </c>
      <c r="G423" s="3">
        <v>45533</v>
      </c>
      <c r="H423">
        <v>9.8000000000000007</v>
      </c>
      <c r="I423">
        <v>24</v>
      </c>
      <c r="J423" t="s">
        <v>4448</v>
      </c>
      <c r="K423" t="s">
        <v>4441</v>
      </c>
      <c r="L423" t="s">
        <v>4461</v>
      </c>
      <c r="M423" t="s">
        <v>4446</v>
      </c>
      <c r="N423">
        <v>4</v>
      </c>
    </row>
    <row r="424" spans="1:14" x14ac:dyDescent="0.35">
      <c r="A424" t="s">
        <v>4903</v>
      </c>
      <c r="B424" t="s">
        <v>273</v>
      </c>
      <c r="C424" t="s">
        <v>1904</v>
      </c>
      <c r="D424" t="s">
        <v>4460</v>
      </c>
      <c r="E424" t="s">
        <v>4473</v>
      </c>
      <c r="F424" s="3">
        <v>45530</v>
      </c>
      <c r="G424" s="3" t="s">
        <v>537</v>
      </c>
      <c r="I424">
        <v>8</v>
      </c>
      <c r="J424" t="s">
        <v>4448</v>
      </c>
      <c r="K424" t="s">
        <v>4474</v>
      </c>
      <c r="L424" t="s">
        <v>4492</v>
      </c>
      <c r="M424" t="s">
        <v>4462</v>
      </c>
    </row>
    <row r="425" spans="1:14" x14ac:dyDescent="0.35">
      <c r="A425" t="s">
        <v>4904</v>
      </c>
      <c r="B425" t="s">
        <v>479</v>
      </c>
      <c r="C425" t="s">
        <v>1904</v>
      </c>
      <c r="D425" t="s">
        <v>4438</v>
      </c>
      <c r="E425" t="s">
        <v>4456</v>
      </c>
      <c r="F425" s="3">
        <v>44984</v>
      </c>
      <c r="G425" s="3">
        <v>44984</v>
      </c>
      <c r="H425">
        <v>7.2</v>
      </c>
      <c r="I425">
        <v>4</v>
      </c>
      <c r="J425" t="s">
        <v>4440</v>
      </c>
      <c r="K425" t="s">
        <v>4441</v>
      </c>
      <c r="L425" t="s">
        <v>4454</v>
      </c>
      <c r="M425" t="s">
        <v>4462</v>
      </c>
      <c r="N425">
        <v>4</v>
      </c>
    </row>
    <row r="426" spans="1:14" x14ac:dyDescent="0.35">
      <c r="A426" t="s">
        <v>4905</v>
      </c>
      <c r="B426" t="s">
        <v>403</v>
      </c>
      <c r="C426" t="s">
        <v>1890</v>
      </c>
      <c r="D426" t="s">
        <v>4479</v>
      </c>
      <c r="E426" t="s">
        <v>4444</v>
      </c>
      <c r="F426" s="3">
        <v>45620</v>
      </c>
      <c r="G426" s="3">
        <v>45620</v>
      </c>
      <c r="H426">
        <v>9.6999999999999993</v>
      </c>
      <c r="I426">
        <v>24</v>
      </c>
      <c r="J426" t="s">
        <v>4448</v>
      </c>
      <c r="K426" t="s">
        <v>4441</v>
      </c>
      <c r="L426" t="s">
        <v>4449</v>
      </c>
      <c r="M426" t="s">
        <v>4462</v>
      </c>
    </row>
    <row r="427" spans="1:14" x14ac:dyDescent="0.35">
      <c r="A427" t="s">
        <v>4906</v>
      </c>
      <c r="B427" t="s">
        <v>457</v>
      </c>
      <c r="C427" t="s">
        <v>1927</v>
      </c>
      <c r="D427" t="s">
        <v>4438</v>
      </c>
      <c r="E427" t="s">
        <v>4444</v>
      </c>
      <c r="F427" s="3">
        <v>45196</v>
      </c>
      <c r="G427" s="3">
        <v>45197</v>
      </c>
      <c r="H427">
        <v>37</v>
      </c>
      <c r="I427">
        <v>24</v>
      </c>
      <c r="J427" t="s">
        <v>4440</v>
      </c>
      <c r="K427" t="s">
        <v>4441</v>
      </c>
      <c r="L427" t="s">
        <v>4533</v>
      </c>
      <c r="M427" t="s">
        <v>4462</v>
      </c>
      <c r="N427">
        <v>5</v>
      </c>
    </row>
    <row r="428" spans="1:14" x14ac:dyDescent="0.35">
      <c r="A428" t="s">
        <v>4907</v>
      </c>
      <c r="B428" t="s">
        <v>381</v>
      </c>
      <c r="C428" t="s">
        <v>1927</v>
      </c>
      <c r="D428" t="s">
        <v>4443</v>
      </c>
      <c r="E428" t="s">
        <v>4444</v>
      </c>
      <c r="F428" s="3">
        <v>45019</v>
      </c>
      <c r="G428" s="3" t="s">
        <v>537</v>
      </c>
      <c r="I428">
        <v>24</v>
      </c>
      <c r="J428" t="s">
        <v>4448</v>
      </c>
      <c r="K428" t="s">
        <v>4474</v>
      </c>
      <c r="L428" t="s">
        <v>4533</v>
      </c>
      <c r="M428" t="s">
        <v>4462</v>
      </c>
    </row>
    <row r="429" spans="1:14" x14ac:dyDescent="0.35">
      <c r="A429" t="s">
        <v>4908</v>
      </c>
      <c r="B429" t="s">
        <v>330</v>
      </c>
      <c r="C429" t="s">
        <v>1927</v>
      </c>
      <c r="D429" t="s">
        <v>4464</v>
      </c>
      <c r="E429" t="s">
        <v>4439</v>
      </c>
      <c r="F429" s="3">
        <v>45015</v>
      </c>
      <c r="G429" s="3">
        <v>45016</v>
      </c>
      <c r="H429">
        <v>45</v>
      </c>
      <c r="I429">
        <v>48</v>
      </c>
      <c r="J429" t="s">
        <v>4448</v>
      </c>
      <c r="K429" t="s">
        <v>4441</v>
      </c>
      <c r="L429" t="s">
        <v>4454</v>
      </c>
      <c r="M429" t="s">
        <v>4462</v>
      </c>
      <c r="N429">
        <v>4</v>
      </c>
    </row>
    <row r="430" spans="1:14" x14ac:dyDescent="0.35">
      <c r="A430" t="s">
        <v>4909</v>
      </c>
      <c r="B430" t="s">
        <v>492</v>
      </c>
      <c r="C430" t="s">
        <v>1899</v>
      </c>
      <c r="D430" t="s">
        <v>4472</v>
      </c>
      <c r="E430" t="s">
        <v>4439</v>
      </c>
      <c r="F430" s="3">
        <v>45142</v>
      </c>
      <c r="G430" s="3">
        <v>45145</v>
      </c>
      <c r="H430">
        <v>75.599999999999994</v>
      </c>
      <c r="I430">
        <v>48</v>
      </c>
      <c r="J430" t="s">
        <v>4440</v>
      </c>
      <c r="K430" t="s">
        <v>4441</v>
      </c>
      <c r="L430" t="s">
        <v>4449</v>
      </c>
      <c r="M430" t="s">
        <v>4450</v>
      </c>
      <c r="N430">
        <v>4</v>
      </c>
    </row>
    <row r="431" spans="1:14" x14ac:dyDescent="0.35">
      <c r="A431" t="s">
        <v>4910</v>
      </c>
      <c r="B431" t="s">
        <v>11</v>
      </c>
      <c r="C431" t="s">
        <v>1890</v>
      </c>
      <c r="D431" t="s">
        <v>4469</v>
      </c>
      <c r="E431" t="s">
        <v>4439</v>
      </c>
      <c r="F431" s="3">
        <v>45394</v>
      </c>
      <c r="G431" s="3">
        <v>45396</v>
      </c>
      <c r="H431">
        <v>64.8</v>
      </c>
      <c r="I431">
        <v>48</v>
      </c>
      <c r="J431" t="s">
        <v>4440</v>
      </c>
      <c r="K431" t="s">
        <v>4441</v>
      </c>
      <c r="L431" t="s">
        <v>4467</v>
      </c>
      <c r="M431" t="s">
        <v>4450</v>
      </c>
      <c r="N431">
        <v>4</v>
      </c>
    </row>
    <row r="432" spans="1:14" x14ac:dyDescent="0.35">
      <c r="A432" t="s">
        <v>4911</v>
      </c>
      <c r="B432" t="s">
        <v>182</v>
      </c>
      <c r="C432" t="s">
        <v>1927</v>
      </c>
      <c r="D432" t="s">
        <v>4482</v>
      </c>
      <c r="E432" t="s">
        <v>4439</v>
      </c>
      <c r="F432" s="3">
        <v>45143</v>
      </c>
      <c r="G432" s="3" t="s">
        <v>537</v>
      </c>
      <c r="I432">
        <v>48</v>
      </c>
      <c r="J432" t="s">
        <v>4440</v>
      </c>
      <c r="K432" t="s">
        <v>4457</v>
      </c>
      <c r="L432" t="s">
        <v>4445</v>
      </c>
      <c r="M432" t="s">
        <v>4450</v>
      </c>
    </row>
    <row r="433" spans="1:14" x14ac:dyDescent="0.35">
      <c r="A433" t="s">
        <v>4912</v>
      </c>
      <c r="B433" t="s">
        <v>266</v>
      </c>
      <c r="C433" t="s">
        <v>1883</v>
      </c>
      <c r="D433" t="s">
        <v>4464</v>
      </c>
      <c r="E433" t="s">
        <v>4473</v>
      </c>
      <c r="F433" s="3">
        <v>45383</v>
      </c>
      <c r="G433" s="3" t="s">
        <v>537</v>
      </c>
      <c r="I433">
        <v>8</v>
      </c>
      <c r="J433" t="s">
        <v>4448</v>
      </c>
      <c r="K433" t="s">
        <v>4474</v>
      </c>
      <c r="L433" t="s">
        <v>4501</v>
      </c>
      <c r="M433" t="s">
        <v>4462</v>
      </c>
    </row>
    <row r="434" spans="1:14" x14ac:dyDescent="0.35">
      <c r="A434" t="s">
        <v>4913</v>
      </c>
      <c r="B434" t="s">
        <v>285</v>
      </c>
      <c r="C434" t="s">
        <v>1883</v>
      </c>
      <c r="D434" t="s">
        <v>4479</v>
      </c>
      <c r="E434" t="s">
        <v>4444</v>
      </c>
      <c r="F434" s="3">
        <v>45733</v>
      </c>
      <c r="G434" s="3" t="s">
        <v>537</v>
      </c>
      <c r="I434">
        <v>24</v>
      </c>
      <c r="J434" t="s">
        <v>4440</v>
      </c>
      <c r="K434" t="s">
        <v>4457</v>
      </c>
      <c r="L434" t="s">
        <v>4580</v>
      </c>
      <c r="M434" t="s">
        <v>4446</v>
      </c>
    </row>
    <row r="435" spans="1:14" x14ac:dyDescent="0.35">
      <c r="A435" t="s">
        <v>4914</v>
      </c>
      <c r="B435" t="s">
        <v>207</v>
      </c>
      <c r="C435" t="s">
        <v>1904</v>
      </c>
      <c r="D435" t="s">
        <v>4438</v>
      </c>
      <c r="E435" t="s">
        <v>4473</v>
      </c>
      <c r="F435" s="3">
        <v>45377</v>
      </c>
      <c r="G435" s="3">
        <v>45377</v>
      </c>
      <c r="H435">
        <v>2.7</v>
      </c>
      <c r="I435">
        <v>8</v>
      </c>
      <c r="J435" t="s">
        <v>4448</v>
      </c>
      <c r="K435" t="s">
        <v>4441</v>
      </c>
      <c r="L435" t="s">
        <v>4465</v>
      </c>
      <c r="M435" t="s">
        <v>4446</v>
      </c>
      <c r="N435">
        <v>3</v>
      </c>
    </row>
    <row r="436" spans="1:14" x14ac:dyDescent="0.35">
      <c r="A436" t="s">
        <v>4915</v>
      </c>
      <c r="B436" t="s">
        <v>381</v>
      </c>
      <c r="C436" t="s">
        <v>1899</v>
      </c>
      <c r="D436" t="s">
        <v>4443</v>
      </c>
      <c r="E436" t="s">
        <v>4439</v>
      </c>
      <c r="F436" s="3">
        <v>45710</v>
      </c>
      <c r="G436" s="3">
        <v>45712</v>
      </c>
      <c r="H436">
        <v>67.599999999999994</v>
      </c>
      <c r="I436">
        <v>48</v>
      </c>
      <c r="J436" t="s">
        <v>4440</v>
      </c>
      <c r="K436" t="s">
        <v>4441</v>
      </c>
      <c r="L436" t="s">
        <v>4512</v>
      </c>
      <c r="M436" t="s">
        <v>4450</v>
      </c>
      <c r="N436">
        <v>5</v>
      </c>
    </row>
    <row r="437" spans="1:14" x14ac:dyDescent="0.35">
      <c r="A437" t="s">
        <v>4916</v>
      </c>
      <c r="B437" t="s">
        <v>201</v>
      </c>
      <c r="C437" t="s">
        <v>1883</v>
      </c>
      <c r="D437" t="s">
        <v>4438</v>
      </c>
      <c r="E437" t="s">
        <v>4473</v>
      </c>
      <c r="F437" s="3">
        <v>45261</v>
      </c>
      <c r="G437" s="3">
        <v>45261</v>
      </c>
      <c r="H437">
        <v>11.6</v>
      </c>
      <c r="I437">
        <v>8</v>
      </c>
      <c r="J437" t="s">
        <v>4440</v>
      </c>
      <c r="K437" t="s">
        <v>4441</v>
      </c>
      <c r="L437" t="s">
        <v>4512</v>
      </c>
      <c r="M437" t="s">
        <v>4446</v>
      </c>
    </row>
    <row r="438" spans="1:14" x14ac:dyDescent="0.35">
      <c r="A438" t="s">
        <v>4917</v>
      </c>
      <c r="B438" t="s">
        <v>329</v>
      </c>
      <c r="C438" t="s">
        <v>1927</v>
      </c>
      <c r="D438" t="s">
        <v>4482</v>
      </c>
      <c r="E438" t="s">
        <v>4439</v>
      </c>
      <c r="F438" s="3">
        <v>45595</v>
      </c>
      <c r="G438" s="3">
        <v>45596</v>
      </c>
      <c r="H438">
        <v>47.3</v>
      </c>
      <c r="I438">
        <v>48</v>
      </c>
      <c r="J438" t="s">
        <v>4448</v>
      </c>
      <c r="K438" t="s">
        <v>4441</v>
      </c>
      <c r="L438" t="s">
        <v>4480</v>
      </c>
      <c r="M438" t="s">
        <v>1625</v>
      </c>
    </row>
    <row r="439" spans="1:14" x14ac:dyDescent="0.35">
      <c r="A439" t="s">
        <v>4918</v>
      </c>
      <c r="B439" t="s">
        <v>266</v>
      </c>
      <c r="C439" t="s">
        <v>1904</v>
      </c>
      <c r="D439" t="s">
        <v>4460</v>
      </c>
      <c r="E439" t="s">
        <v>4473</v>
      </c>
      <c r="F439" s="3">
        <v>45330</v>
      </c>
      <c r="G439" s="3" t="s">
        <v>537</v>
      </c>
      <c r="I439">
        <v>8</v>
      </c>
      <c r="J439" t="s">
        <v>4440</v>
      </c>
      <c r="K439" t="s">
        <v>4453</v>
      </c>
      <c r="L439" t="s">
        <v>4509</v>
      </c>
      <c r="M439" t="s">
        <v>1625</v>
      </c>
    </row>
    <row r="440" spans="1:14" x14ac:dyDescent="0.35">
      <c r="A440" t="s">
        <v>4919</v>
      </c>
      <c r="B440" t="s">
        <v>308</v>
      </c>
      <c r="C440" t="s">
        <v>1899</v>
      </c>
      <c r="D440" t="s">
        <v>4438</v>
      </c>
      <c r="E440" t="s">
        <v>4444</v>
      </c>
      <c r="F440" s="3">
        <v>45054</v>
      </c>
      <c r="G440" s="3">
        <v>45054</v>
      </c>
      <c r="H440">
        <v>20.5</v>
      </c>
      <c r="I440">
        <v>24</v>
      </c>
      <c r="J440" t="s">
        <v>4448</v>
      </c>
      <c r="K440" t="s">
        <v>4441</v>
      </c>
      <c r="L440" t="s">
        <v>4458</v>
      </c>
      <c r="M440" t="s">
        <v>1625</v>
      </c>
      <c r="N440">
        <v>4</v>
      </c>
    </row>
    <row r="441" spans="1:14" x14ac:dyDescent="0.35">
      <c r="A441" t="s">
        <v>4920</v>
      </c>
      <c r="B441" t="s">
        <v>433</v>
      </c>
      <c r="C441" t="s">
        <v>1883</v>
      </c>
      <c r="D441" t="s">
        <v>4464</v>
      </c>
      <c r="E441" t="s">
        <v>4444</v>
      </c>
      <c r="F441" s="3">
        <v>44996</v>
      </c>
      <c r="G441" s="3">
        <v>44996</v>
      </c>
      <c r="H441">
        <v>20.6</v>
      </c>
      <c r="I441">
        <v>24</v>
      </c>
      <c r="J441" t="s">
        <v>4448</v>
      </c>
      <c r="K441" t="s">
        <v>4441</v>
      </c>
      <c r="L441" t="s">
        <v>4449</v>
      </c>
      <c r="M441" t="s">
        <v>4462</v>
      </c>
      <c r="N441">
        <v>2</v>
      </c>
    </row>
    <row r="442" spans="1:14" x14ac:dyDescent="0.35">
      <c r="A442" t="s">
        <v>4921</v>
      </c>
      <c r="B442" t="s">
        <v>193</v>
      </c>
      <c r="C442" t="s">
        <v>1915</v>
      </c>
      <c r="D442" t="s">
        <v>4485</v>
      </c>
      <c r="E442" t="s">
        <v>4444</v>
      </c>
      <c r="F442" s="3">
        <v>45235</v>
      </c>
      <c r="G442" s="3">
        <v>45235</v>
      </c>
      <c r="H442">
        <v>7.5</v>
      </c>
      <c r="I442">
        <v>24</v>
      </c>
      <c r="J442" t="s">
        <v>4448</v>
      </c>
      <c r="K442" t="s">
        <v>4441</v>
      </c>
      <c r="L442" t="s">
        <v>4461</v>
      </c>
      <c r="M442" t="s">
        <v>4446</v>
      </c>
      <c r="N442">
        <v>2</v>
      </c>
    </row>
    <row r="443" spans="1:14" x14ac:dyDescent="0.35">
      <c r="A443" t="s">
        <v>4922</v>
      </c>
      <c r="B443" t="s">
        <v>228</v>
      </c>
      <c r="C443" t="s">
        <v>1904</v>
      </c>
      <c r="D443" t="s">
        <v>4464</v>
      </c>
      <c r="E443" t="s">
        <v>4444</v>
      </c>
      <c r="F443" s="3">
        <v>44996</v>
      </c>
      <c r="G443" s="3" t="s">
        <v>537</v>
      </c>
      <c r="I443">
        <v>24</v>
      </c>
      <c r="J443" t="s">
        <v>4440</v>
      </c>
      <c r="K443" t="s">
        <v>4457</v>
      </c>
      <c r="L443" t="s">
        <v>4445</v>
      </c>
      <c r="M443" t="s">
        <v>4462</v>
      </c>
    </row>
    <row r="444" spans="1:14" x14ac:dyDescent="0.35">
      <c r="A444" t="s">
        <v>4923</v>
      </c>
      <c r="B444" t="s">
        <v>341</v>
      </c>
      <c r="C444" t="s">
        <v>1927</v>
      </c>
      <c r="D444" t="s">
        <v>4464</v>
      </c>
      <c r="E444" t="s">
        <v>4473</v>
      </c>
      <c r="F444" s="3">
        <v>45103</v>
      </c>
      <c r="G444" s="3">
        <v>45103</v>
      </c>
      <c r="H444">
        <v>3.3</v>
      </c>
      <c r="I444">
        <v>8</v>
      </c>
      <c r="J444" t="s">
        <v>4448</v>
      </c>
      <c r="K444" t="s">
        <v>4441</v>
      </c>
      <c r="L444" t="s">
        <v>4454</v>
      </c>
      <c r="M444" t="s">
        <v>4462</v>
      </c>
      <c r="N444">
        <v>5</v>
      </c>
    </row>
    <row r="445" spans="1:14" x14ac:dyDescent="0.35">
      <c r="A445" t="s">
        <v>4924</v>
      </c>
      <c r="B445" t="s">
        <v>305</v>
      </c>
      <c r="C445" t="s">
        <v>1890</v>
      </c>
      <c r="D445" t="s">
        <v>4482</v>
      </c>
      <c r="E445" t="s">
        <v>4439</v>
      </c>
      <c r="F445" s="3">
        <v>45626</v>
      </c>
      <c r="G445" s="3" t="s">
        <v>537</v>
      </c>
      <c r="I445">
        <v>48</v>
      </c>
      <c r="J445" t="s">
        <v>4440</v>
      </c>
      <c r="K445" t="s">
        <v>4457</v>
      </c>
      <c r="L445" t="s">
        <v>4483</v>
      </c>
      <c r="M445" t="s">
        <v>4450</v>
      </c>
    </row>
    <row r="446" spans="1:14" x14ac:dyDescent="0.35">
      <c r="A446" t="s">
        <v>4925</v>
      </c>
      <c r="B446" t="s">
        <v>332</v>
      </c>
      <c r="C446" t="s">
        <v>1904</v>
      </c>
      <c r="D446" t="s">
        <v>4438</v>
      </c>
      <c r="E446" t="s">
        <v>4439</v>
      </c>
      <c r="F446" s="3">
        <v>45009</v>
      </c>
      <c r="G446" s="3">
        <v>45009</v>
      </c>
      <c r="H446">
        <v>10.8</v>
      </c>
      <c r="I446">
        <v>48</v>
      </c>
      <c r="J446" t="s">
        <v>4448</v>
      </c>
      <c r="K446" t="s">
        <v>4441</v>
      </c>
      <c r="L446" t="s">
        <v>4483</v>
      </c>
      <c r="M446" t="s">
        <v>4446</v>
      </c>
      <c r="N446">
        <v>4</v>
      </c>
    </row>
    <row r="447" spans="1:14" x14ac:dyDescent="0.35">
      <c r="A447" t="s">
        <v>4926</v>
      </c>
      <c r="B447" t="s">
        <v>214</v>
      </c>
      <c r="C447" t="s">
        <v>1890</v>
      </c>
      <c r="D447" t="s">
        <v>4460</v>
      </c>
      <c r="E447" t="s">
        <v>4456</v>
      </c>
      <c r="F447" s="3">
        <v>45205</v>
      </c>
      <c r="G447" s="3" t="s">
        <v>537</v>
      </c>
      <c r="I447">
        <v>4</v>
      </c>
      <c r="J447" t="s">
        <v>4440</v>
      </c>
      <c r="K447" t="s">
        <v>4457</v>
      </c>
      <c r="L447" t="s">
        <v>4470</v>
      </c>
      <c r="M447" t="s">
        <v>1625</v>
      </c>
    </row>
    <row r="448" spans="1:14" x14ac:dyDescent="0.35">
      <c r="A448" t="s">
        <v>4927</v>
      </c>
      <c r="B448" t="s">
        <v>366</v>
      </c>
      <c r="C448" t="s">
        <v>1890</v>
      </c>
      <c r="D448" t="s">
        <v>4472</v>
      </c>
      <c r="E448" t="s">
        <v>4456</v>
      </c>
      <c r="F448" s="3">
        <v>45641</v>
      </c>
      <c r="G448" s="3">
        <v>45641</v>
      </c>
      <c r="H448">
        <v>4.5</v>
      </c>
      <c r="I448">
        <v>4</v>
      </c>
      <c r="J448" t="s">
        <v>4440</v>
      </c>
      <c r="K448" t="s">
        <v>4441</v>
      </c>
      <c r="L448" t="s">
        <v>4458</v>
      </c>
      <c r="M448" t="s">
        <v>4446</v>
      </c>
      <c r="N448">
        <v>5</v>
      </c>
    </row>
    <row r="449" spans="1:14" x14ac:dyDescent="0.35">
      <c r="A449" t="s">
        <v>4928</v>
      </c>
      <c r="B449" t="s">
        <v>475</v>
      </c>
      <c r="C449" t="s">
        <v>1904</v>
      </c>
      <c r="D449" t="s">
        <v>4482</v>
      </c>
      <c r="E449" t="s">
        <v>4444</v>
      </c>
      <c r="F449" s="3">
        <v>45089</v>
      </c>
      <c r="G449" s="3">
        <v>45090</v>
      </c>
      <c r="H449">
        <v>39</v>
      </c>
      <c r="I449">
        <v>24</v>
      </c>
      <c r="J449" t="s">
        <v>4440</v>
      </c>
      <c r="K449" t="s">
        <v>4441</v>
      </c>
      <c r="L449" t="s">
        <v>4470</v>
      </c>
      <c r="M449" t="s">
        <v>4450</v>
      </c>
    </row>
    <row r="450" spans="1:14" x14ac:dyDescent="0.35">
      <c r="A450" t="s">
        <v>4929</v>
      </c>
      <c r="B450" t="s">
        <v>440</v>
      </c>
      <c r="C450" t="s">
        <v>1899</v>
      </c>
      <c r="D450" t="s">
        <v>4443</v>
      </c>
      <c r="E450" t="s">
        <v>4439</v>
      </c>
      <c r="F450" s="3">
        <v>45576</v>
      </c>
      <c r="G450" s="3" t="s">
        <v>537</v>
      </c>
      <c r="I450">
        <v>48</v>
      </c>
      <c r="J450" t="s">
        <v>4448</v>
      </c>
      <c r="K450" t="s">
        <v>4453</v>
      </c>
      <c r="L450" t="s">
        <v>4483</v>
      </c>
      <c r="M450" t="s">
        <v>1625</v>
      </c>
    </row>
    <row r="451" spans="1:14" x14ac:dyDescent="0.35">
      <c r="A451" t="s">
        <v>4930</v>
      </c>
      <c r="B451" t="s">
        <v>451</v>
      </c>
      <c r="C451" t="s">
        <v>1899</v>
      </c>
      <c r="D451" t="s">
        <v>4443</v>
      </c>
      <c r="E451" t="s">
        <v>4439</v>
      </c>
      <c r="F451" s="3">
        <v>45273</v>
      </c>
      <c r="G451" s="3">
        <v>45276</v>
      </c>
      <c r="H451">
        <v>87</v>
      </c>
      <c r="I451">
        <v>48</v>
      </c>
      <c r="J451" t="s">
        <v>4440</v>
      </c>
      <c r="K451" t="s">
        <v>4441</v>
      </c>
      <c r="L451" t="s">
        <v>4454</v>
      </c>
      <c r="M451" t="s">
        <v>1625</v>
      </c>
      <c r="N451">
        <v>5</v>
      </c>
    </row>
    <row r="452" spans="1:14" x14ac:dyDescent="0.35">
      <c r="A452" t="s">
        <v>4931</v>
      </c>
      <c r="B452" t="s">
        <v>178</v>
      </c>
      <c r="C452" t="s">
        <v>1927</v>
      </c>
      <c r="D452" t="s">
        <v>4452</v>
      </c>
      <c r="E452" t="s">
        <v>4439</v>
      </c>
      <c r="F452" s="3">
        <v>45544</v>
      </c>
      <c r="G452" s="3">
        <v>45546</v>
      </c>
      <c r="H452">
        <v>67.599999999999994</v>
      </c>
      <c r="I452">
        <v>48</v>
      </c>
      <c r="J452" t="s">
        <v>4440</v>
      </c>
      <c r="K452" t="s">
        <v>4441</v>
      </c>
      <c r="L452" t="s">
        <v>4480</v>
      </c>
      <c r="M452" t="s">
        <v>4446</v>
      </c>
    </row>
    <row r="453" spans="1:14" x14ac:dyDescent="0.35">
      <c r="A453" t="s">
        <v>4932</v>
      </c>
      <c r="B453" t="s">
        <v>390</v>
      </c>
      <c r="C453" t="s">
        <v>1890</v>
      </c>
      <c r="D453" t="s">
        <v>4469</v>
      </c>
      <c r="E453" t="s">
        <v>4456</v>
      </c>
      <c r="F453" s="3">
        <v>45719</v>
      </c>
      <c r="G453" s="3">
        <v>45719</v>
      </c>
      <c r="H453">
        <v>4.8</v>
      </c>
      <c r="I453">
        <v>4</v>
      </c>
      <c r="J453" t="s">
        <v>4440</v>
      </c>
      <c r="K453" t="s">
        <v>4441</v>
      </c>
      <c r="L453" t="s">
        <v>4533</v>
      </c>
      <c r="M453" t="s">
        <v>1625</v>
      </c>
      <c r="N453">
        <v>5</v>
      </c>
    </row>
    <row r="454" spans="1:14" x14ac:dyDescent="0.35">
      <c r="A454" t="s">
        <v>4933</v>
      </c>
      <c r="B454" t="s">
        <v>152</v>
      </c>
      <c r="C454" t="s">
        <v>1915</v>
      </c>
      <c r="D454" t="s">
        <v>4479</v>
      </c>
      <c r="E454" t="s">
        <v>4456</v>
      </c>
      <c r="F454" s="3">
        <v>45200</v>
      </c>
      <c r="G454" s="3">
        <v>45200</v>
      </c>
      <c r="H454">
        <v>4.9000000000000004</v>
      </c>
      <c r="I454">
        <v>4</v>
      </c>
      <c r="J454" t="s">
        <v>4440</v>
      </c>
      <c r="K454" t="s">
        <v>4441</v>
      </c>
      <c r="L454" t="s">
        <v>4454</v>
      </c>
      <c r="M454" t="s">
        <v>4446</v>
      </c>
      <c r="N454">
        <v>3</v>
      </c>
    </row>
    <row r="455" spans="1:14" x14ac:dyDescent="0.35">
      <c r="A455" t="s">
        <v>4934</v>
      </c>
      <c r="B455" t="s">
        <v>412</v>
      </c>
      <c r="C455" t="s">
        <v>1883</v>
      </c>
      <c r="D455" t="s">
        <v>4490</v>
      </c>
      <c r="E455" t="s">
        <v>4444</v>
      </c>
      <c r="F455" s="3">
        <v>45597</v>
      </c>
      <c r="G455" s="3">
        <v>45599</v>
      </c>
      <c r="H455">
        <v>54.1</v>
      </c>
      <c r="I455">
        <v>24</v>
      </c>
      <c r="J455" t="s">
        <v>4440</v>
      </c>
      <c r="K455" t="s">
        <v>4441</v>
      </c>
      <c r="L455" t="s">
        <v>4512</v>
      </c>
      <c r="M455" t="s">
        <v>1625</v>
      </c>
      <c r="N455">
        <v>4</v>
      </c>
    </row>
    <row r="456" spans="1:14" x14ac:dyDescent="0.35">
      <c r="A456" t="s">
        <v>4935</v>
      </c>
      <c r="B456" t="s">
        <v>401</v>
      </c>
      <c r="C456" t="s">
        <v>1904</v>
      </c>
      <c r="D456" t="s">
        <v>4472</v>
      </c>
      <c r="E456" t="s">
        <v>4439</v>
      </c>
      <c r="F456" s="3">
        <v>45561</v>
      </c>
      <c r="G456" s="3">
        <v>45565</v>
      </c>
      <c r="H456">
        <v>105</v>
      </c>
      <c r="I456">
        <v>48</v>
      </c>
      <c r="J456" t="s">
        <v>4440</v>
      </c>
      <c r="K456" t="s">
        <v>4441</v>
      </c>
      <c r="L456" t="s">
        <v>4465</v>
      </c>
      <c r="M456" t="s">
        <v>4446</v>
      </c>
      <c r="N456">
        <v>3</v>
      </c>
    </row>
    <row r="457" spans="1:14" x14ac:dyDescent="0.35">
      <c r="A457" t="s">
        <v>4936</v>
      </c>
      <c r="B457" t="s">
        <v>450</v>
      </c>
      <c r="C457" t="s">
        <v>1899</v>
      </c>
      <c r="D457" t="s">
        <v>4485</v>
      </c>
      <c r="E457" t="s">
        <v>4473</v>
      </c>
      <c r="F457" s="3">
        <v>45513</v>
      </c>
      <c r="G457" s="3" t="s">
        <v>537</v>
      </c>
      <c r="I457">
        <v>8</v>
      </c>
      <c r="J457" t="s">
        <v>4448</v>
      </c>
      <c r="K457" t="s">
        <v>4457</v>
      </c>
      <c r="L457" t="s">
        <v>4449</v>
      </c>
      <c r="M457" t="s">
        <v>4446</v>
      </c>
    </row>
    <row r="458" spans="1:14" x14ac:dyDescent="0.35">
      <c r="A458" t="s">
        <v>4937</v>
      </c>
      <c r="B458" t="s">
        <v>112</v>
      </c>
      <c r="C458" t="s">
        <v>1890</v>
      </c>
      <c r="D458" t="s">
        <v>4443</v>
      </c>
      <c r="E458" t="s">
        <v>4473</v>
      </c>
      <c r="F458" s="3">
        <v>45387</v>
      </c>
      <c r="G458" s="3">
        <v>45387</v>
      </c>
      <c r="H458">
        <v>2.2999999999999998</v>
      </c>
      <c r="I458">
        <v>8</v>
      </c>
      <c r="J458" t="s">
        <v>4448</v>
      </c>
      <c r="K458" t="s">
        <v>4441</v>
      </c>
      <c r="L458" t="s">
        <v>4533</v>
      </c>
      <c r="M458" t="s">
        <v>4446</v>
      </c>
      <c r="N458">
        <v>3</v>
      </c>
    </row>
    <row r="459" spans="1:14" x14ac:dyDescent="0.35">
      <c r="A459" t="s">
        <v>4938</v>
      </c>
      <c r="B459" t="s">
        <v>297</v>
      </c>
      <c r="C459" t="s">
        <v>1915</v>
      </c>
      <c r="D459" t="s">
        <v>4464</v>
      </c>
      <c r="E459" t="s">
        <v>4456</v>
      </c>
      <c r="F459" s="3">
        <v>45009</v>
      </c>
      <c r="G459" s="3">
        <v>45009</v>
      </c>
      <c r="H459">
        <v>7.7</v>
      </c>
      <c r="I459">
        <v>4</v>
      </c>
      <c r="J459" t="s">
        <v>4440</v>
      </c>
      <c r="K459" t="s">
        <v>4441</v>
      </c>
      <c r="L459" t="s">
        <v>4445</v>
      </c>
      <c r="M459" t="s">
        <v>1625</v>
      </c>
      <c r="N459">
        <v>4</v>
      </c>
    </row>
    <row r="460" spans="1:14" x14ac:dyDescent="0.35">
      <c r="A460" t="s">
        <v>4939</v>
      </c>
      <c r="B460" t="s">
        <v>45</v>
      </c>
      <c r="C460" t="s">
        <v>1927</v>
      </c>
      <c r="D460" t="s">
        <v>4482</v>
      </c>
      <c r="E460" t="s">
        <v>4439</v>
      </c>
      <c r="F460" s="3">
        <v>45127</v>
      </c>
      <c r="G460" s="3">
        <v>45127</v>
      </c>
      <c r="H460">
        <v>6.6</v>
      </c>
      <c r="I460">
        <v>48</v>
      </c>
      <c r="J460" t="s">
        <v>4448</v>
      </c>
      <c r="K460" t="s">
        <v>4441</v>
      </c>
      <c r="L460" t="s">
        <v>4449</v>
      </c>
      <c r="M460" t="s">
        <v>4462</v>
      </c>
    </row>
    <row r="461" spans="1:14" x14ac:dyDescent="0.35">
      <c r="A461" t="s">
        <v>4940</v>
      </c>
      <c r="B461" t="s">
        <v>292</v>
      </c>
      <c r="C461" t="s">
        <v>1927</v>
      </c>
      <c r="D461" t="s">
        <v>4490</v>
      </c>
      <c r="E461" t="s">
        <v>4444</v>
      </c>
      <c r="F461" s="3">
        <v>44940</v>
      </c>
      <c r="G461" s="3" t="s">
        <v>537</v>
      </c>
      <c r="I461">
        <v>24</v>
      </c>
      <c r="J461" t="s">
        <v>4440</v>
      </c>
      <c r="K461" t="s">
        <v>4474</v>
      </c>
      <c r="L461" t="s">
        <v>4492</v>
      </c>
      <c r="M461" t="s">
        <v>1625</v>
      </c>
    </row>
    <row r="462" spans="1:14" x14ac:dyDescent="0.35">
      <c r="A462" t="s">
        <v>4941</v>
      </c>
      <c r="B462" t="s">
        <v>477</v>
      </c>
      <c r="C462" t="s">
        <v>1890</v>
      </c>
      <c r="D462" t="s">
        <v>4469</v>
      </c>
      <c r="E462" t="s">
        <v>4473</v>
      </c>
      <c r="F462" s="3">
        <v>45038</v>
      </c>
      <c r="G462" s="3" t="s">
        <v>537</v>
      </c>
      <c r="I462">
        <v>8</v>
      </c>
      <c r="J462" t="s">
        <v>4440</v>
      </c>
      <c r="K462" t="s">
        <v>4474</v>
      </c>
      <c r="L462" t="s">
        <v>4461</v>
      </c>
      <c r="M462" t="s">
        <v>4446</v>
      </c>
    </row>
    <row r="463" spans="1:14" x14ac:dyDescent="0.35">
      <c r="A463" t="s">
        <v>4942</v>
      </c>
      <c r="B463" t="s">
        <v>370</v>
      </c>
      <c r="C463" t="s">
        <v>1915</v>
      </c>
      <c r="D463" t="s">
        <v>8505</v>
      </c>
      <c r="E463" t="s">
        <v>4439</v>
      </c>
      <c r="F463" s="3">
        <v>45275</v>
      </c>
      <c r="G463" s="3">
        <v>45279</v>
      </c>
      <c r="H463">
        <v>115.1</v>
      </c>
      <c r="I463">
        <v>48</v>
      </c>
      <c r="J463" t="s">
        <v>4440</v>
      </c>
      <c r="K463" t="s">
        <v>4441</v>
      </c>
      <c r="L463" t="s">
        <v>4533</v>
      </c>
      <c r="M463" t="s">
        <v>4462</v>
      </c>
    </row>
    <row r="464" spans="1:14" x14ac:dyDescent="0.35">
      <c r="A464" t="s">
        <v>4943</v>
      </c>
      <c r="B464" t="s">
        <v>410</v>
      </c>
      <c r="C464" t="s">
        <v>1899</v>
      </c>
      <c r="D464" t="s">
        <v>4476</v>
      </c>
      <c r="E464" t="s">
        <v>4439</v>
      </c>
      <c r="F464" s="3">
        <v>45561</v>
      </c>
      <c r="G464" s="3" t="s">
        <v>537</v>
      </c>
      <c r="I464">
        <v>48</v>
      </c>
      <c r="J464" t="s">
        <v>4448</v>
      </c>
      <c r="K464" t="s">
        <v>4474</v>
      </c>
      <c r="L464" t="s">
        <v>4580</v>
      </c>
      <c r="M464" t="s">
        <v>4462</v>
      </c>
    </row>
    <row r="465" spans="1:14" x14ac:dyDescent="0.35">
      <c r="A465" t="s">
        <v>4944</v>
      </c>
      <c r="B465" t="s">
        <v>342</v>
      </c>
      <c r="C465" t="s">
        <v>1883</v>
      </c>
      <c r="D465" t="s">
        <v>4472</v>
      </c>
      <c r="E465" t="s">
        <v>4439</v>
      </c>
      <c r="F465" s="3">
        <v>44968</v>
      </c>
      <c r="G465" s="3">
        <v>44969</v>
      </c>
      <c r="H465">
        <v>40.5</v>
      </c>
      <c r="I465">
        <v>48</v>
      </c>
      <c r="J465" t="s">
        <v>4448</v>
      </c>
      <c r="K465" t="s">
        <v>4441</v>
      </c>
      <c r="L465" t="s">
        <v>4514</v>
      </c>
      <c r="M465" t="s">
        <v>4450</v>
      </c>
      <c r="N465">
        <v>4</v>
      </c>
    </row>
    <row r="466" spans="1:14" x14ac:dyDescent="0.35">
      <c r="A466" t="s">
        <v>4945</v>
      </c>
      <c r="B466" t="s">
        <v>120</v>
      </c>
      <c r="C466" t="s">
        <v>1927</v>
      </c>
      <c r="D466" t="s">
        <v>4482</v>
      </c>
      <c r="E466" t="s">
        <v>4456</v>
      </c>
      <c r="F466" s="3">
        <v>45206</v>
      </c>
      <c r="G466" s="3" t="s">
        <v>537</v>
      </c>
      <c r="I466">
        <v>4</v>
      </c>
      <c r="J466" t="s">
        <v>4448</v>
      </c>
      <c r="K466" t="s">
        <v>4474</v>
      </c>
      <c r="L466" t="s">
        <v>4512</v>
      </c>
      <c r="M466" t="s">
        <v>4450</v>
      </c>
    </row>
    <row r="467" spans="1:14" x14ac:dyDescent="0.35">
      <c r="A467" t="s">
        <v>4946</v>
      </c>
      <c r="B467" t="s">
        <v>342</v>
      </c>
      <c r="C467" t="s">
        <v>1927</v>
      </c>
      <c r="D467" t="s">
        <v>4469</v>
      </c>
      <c r="E467" t="s">
        <v>4473</v>
      </c>
      <c r="F467" s="3">
        <v>45547</v>
      </c>
      <c r="G467" s="3">
        <v>45547</v>
      </c>
      <c r="H467">
        <v>17.100000000000001</v>
      </c>
      <c r="I467">
        <v>8</v>
      </c>
      <c r="J467" t="s">
        <v>4440</v>
      </c>
      <c r="K467" t="s">
        <v>4441</v>
      </c>
      <c r="L467" t="s">
        <v>4512</v>
      </c>
      <c r="M467" t="s">
        <v>4462</v>
      </c>
      <c r="N467">
        <v>4</v>
      </c>
    </row>
    <row r="468" spans="1:14" x14ac:dyDescent="0.35">
      <c r="A468" t="s">
        <v>4947</v>
      </c>
      <c r="B468" t="s">
        <v>481</v>
      </c>
      <c r="C468" t="s">
        <v>1927</v>
      </c>
      <c r="D468" t="s">
        <v>4443</v>
      </c>
      <c r="E468" t="s">
        <v>4456</v>
      </c>
      <c r="F468" s="3">
        <v>45462</v>
      </c>
      <c r="G468" s="3">
        <v>45462</v>
      </c>
      <c r="H468">
        <v>8</v>
      </c>
      <c r="I468">
        <v>4</v>
      </c>
      <c r="J468" t="s">
        <v>4440</v>
      </c>
      <c r="K468" t="s">
        <v>4441</v>
      </c>
      <c r="L468" t="s">
        <v>4465</v>
      </c>
      <c r="M468" t="s">
        <v>4462</v>
      </c>
      <c r="N468">
        <v>5</v>
      </c>
    </row>
    <row r="469" spans="1:14" x14ac:dyDescent="0.35">
      <c r="A469" t="s">
        <v>4948</v>
      </c>
      <c r="B469" t="s">
        <v>475</v>
      </c>
      <c r="C469" t="s">
        <v>1883</v>
      </c>
      <c r="D469" t="s">
        <v>4438</v>
      </c>
      <c r="E469" t="s">
        <v>4444</v>
      </c>
      <c r="F469" s="3">
        <v>45635</v>
      </c>
      <c r="G469" s="3">
        <v>45637</v>
      </c>
      <c r="H469">
        <v>50.5</v>
      </c>
      <c r="I469">
        <v>24</v>
      </c>
      <c r="J469" t="s">
        <v>4440</v>
      </c>
      <c r="K469" t="s">
        <v>4441</v>
      </c>
      <c r="L469" t="s">
        <v>4512</v>
      </c>
      <c r="M469" t="s">
        <v>4462</v>
      </c>
      <c r="N469">
        <v>5</v>
      </c>
    </row>
    <row r="470" spans="1:14" x14ac:dyDescent="0.35">
      <c r="A470" t="s">
        <v>4949</v>
      </c>
      <c r="B470" t="s">
        <v>419</v>
      </c>
      <c r="C470" t="s">
        <v>1927</v>
      </c>
      <c r="D470" t="s">
        <v>4469</v>
      </c>
      <c r="E470" t="s">
        <v>4444</v>
      </c>
      <c r="F470" s="3">
        <v>45372</v>
      </c>
      <c r="G470" s="3" t="s">
        <v>537</v>
      </c>
      <c r="I470">
        <v>24</v>
      </c>
      <c r="J470" t="s">
        <v>4440</v>
      </c>
      <c r="K470" t="s">
        <v>4457</v>
      </c>
      <c r="L470" t="s">
        <v>4514</v>
      </c>
      <c r="M470" t="s">
        <v>4450</v>
      </c>
    </row>
    <row r="471" spans="1:14" x14ac:dyDescent="0.35">
      <c r="A471" t="s">
        <v>4950</v>
      </c>
      <c r="B471" t="s">
        <v>92</v>
      </c>
      <c r="C471" t="s">
        <v>1899</v>
      </c>
      <c r="D471" t="s">
        <v>4485</v>
      </c>
      <c r="E471" t="s">
        <v>4473</v>
      </c>
      <c r="F471" s="3">
        <v>45576</v>
      </c>
      <c r="G471" s="3">
        <v>45576</v>
      </c>
      <c r="H471">
        <v>19.8</v>
      </c>
      <c r="I471">
        <v>8</v>
      </c>
      <c r="J471" t="s">
        <v>4440</v>
      </c>
      <c r="K471" t="s">
        <v>4441</v>
      </c>
      <c r="L471" t="s">
        <v>4461</v>
      </c>
      <c r="M471" t="s">
        <v>4462</v>
      </c>
      <c r="N471">
        <v>5</v>
      </c>
    </row>
    <row r="472" spans="1:14" x14ac:dyDescent="0.35">
      <c r="A472" t="s">
        <v>4951</v>
      </c>
      <c r="B472" t="s">
        <v>236</v>
      </c>
      <c r="C472" t="s">
        <v>1899</v>
      </c>
      <c r="D472" t="s">
        <v>4482</v>
      </c>
      <c r="E472" t="s">
        <v>4439</v>
      </c>
      <c r="F472" s="3">
        <v>45735</v>
      </c>
      <c r="G472" s="3">
        <v>45738</v>
      </c>
      <c r="H472">
        <v>82.7</v>
      </c>
      <c r="I472">
        <v>48</v>
      </c>
      <c r="J472" t="s">
        <v>4440</v>
      </c>
      <c r="K472" t="s">
        <v>4441</v>
      </c>
      <c r="L472" t="s">
        <v>4458</v>
      </c>
      <c r="M472" t="s">
        <v>4446</v>
      </c>
      <c r="N472">
        <v>2</v>
      </c>
    </row>
    <row r="473" spans="1:14" x14ac:dyDescent="0.35">
      <c r="A473" t="s">
        <v>4952</v>
      </c>
      <c r="B473" t="s">
        <v>201</v>
      </c>
      <c r="C473" t="s">
        <v>1927</v>
      </c>
      <c r="D473" t="s">
        <v>4479</v>
      </c>
      <c r="E473" t="s">
        <v>4439</v>
      </c>
      <c r="F473" s="3">
        <v>45746</v>
      </c>
      <c r="G473" s="3" t="s">
        <v>537</v>
      </c>
      <c r="I473">
        <v>48</v>
      </c>
      <c r="J473" t="s">
        <v>4448</v>
      </c>
      <c r="K473" t="s">
        <v>4457</v>
      </c>
      <c r="L473" t="s">
        <v>4527</v>
      </c>
      <c r="M473" t="s">
        <v>4450</v>
      </c>
    </row>
    <row r="474" spans="1:14" x14ac:dyDescent="0.35">
      <c r="A474" t="s">
        <v>4953</v>
      </c>
      <c r="B474" t="s">
        <v>116</v>
      </c>
      <c r="C474" t="s">
        <v>1890</v>
      </c>
      <c r="D474" t="s">
        <v>4485</v>
      </c>
      <c r="E474" t="s">
        <v>4444</v>
      </c>
      <c r="F474" s="3">
        <v>45344</v>
      </c>
      <c r="G474" s="3" t="s">
        <v>537</v>
      </c>
      <c r="I474">
        <v>24</v>
      </c>
      <c r="J474" t="s">
        <v>4440</v>
      </c>
      <c r="K474" t="s">
        <v>4457</v>
      </c>
      <c r="L474" t="s">
        <v>1907</v>
      </c>
      <c r="M474" t="s">
        <v>4446</v>
      </c>
    </row>
    <row r="475" spans="1:14" x14ac:dyDescent="0.35">
      <c r="A475" t="s">
        <v>4954</v>
      </c>
      <c r="B475" t="s">
        <v>32</v>
      </c>
      <c r="C475" t="s">
        <v>1890</v>
      </c>
      <c r="D475" t="s">
        <v>8505</v>
      </c>
      <c r="E475" t="s">
        <v>4444</v>
      </c>
      <c r="F475" s="3">
        <v>45731</v>
      </c>
      <c r="G475" s="3">
        <v>45733</v>
      </c>
      <c r="H475">
        <v>52.9</v>
      </c>
      <c r="I475">
        <v>24</v>
      </c>
      <c r="J475" t="s">
        <v>4440</v>
      </c>
      <c r="K475" t="s">
        <v>4441</v>
      </c>
      <c r="L475" t="s">
        <v>4480</v>
      </c>
      <c r="M475" t="s">
        <v>4450</v>
      </c>
    </row>
    <row r="476" spans="1:14" x14ac:dyDescent="0.35">
      <c r="A476" t="s">
        <v>4955</v>
      </c>
      <c r="B476" t="s">
        <v>173</v>
      </c>
      <c r="C476" t="s">
        <v>1927</v>
      </c>
      <c r="D476" t="s">
        <v>4476</v>
      </c>
      <c r="E476" t="s">
        <v>4444</v>
      </c>
      <c r="F476" s="3">
        <v>45701</v>
      </c>
      <c r="G476" s="3">
        <v>45701</v>
      </c>
      <c r="H476">
        <v>6.2</v>
      </c>
      <c r="I476">
        <v>24</v>
      </c>
      <c r="J476" t="s">
        <v>4448</v>
      </c>
      <c r="K476" t="s">
        <v>4441</v>
      </c>
      <c r="L476" t="s">
        <v>4467</v>
      </c>
      <c r="M476" t="s">
        <v>1625</v>
      </c>
      <c r="N476">
        <v>3</v>
      </c>
    </row>
    <row r="477" spans="1:14" x14ac:dyDescent="0.35">
      <c r="A477" t="s">
        <v>4956</v>
      </c>
      <c r="B477" t="s">
        <v>62</v>
      </c>
      <c r="C477" t="s">
        <v>1927</v>
      </c>
      <c r="D477" t="s">
        <v>4460</v>
      </c>
      <c r="E477" t="s">
        <v>4439</v>
      </c>
      <c r="F477" s="3">
        <v>44992</v>
      </c>
      <c r="G477" s="3">
        <v>44995</v>
      </c>
      <c r="H477">
        <v>74.599999999999994</v>
      </c>
      <c r="I477">
        <v>48</v>
      </c>
      <c r="J477" t="s">
        <v>1945</v>
      </c>
      <c r="K477" t="s">
        <v>4441</v>
      </c>
      <c r="L477" t="s">
        <v>4509</v>
      </c>
      <c r="M477" t="s">
        <v>4450</v>
      </c>
      <c r="N477">
        <v>5</v>
      </c>
    </row>
    <row r="478" spans="1:14" x14ac:dyDescent="0.35">
      <c r="A478" t="s">
        <v>4957</v>
      </c>
      <c r="B478" t="s">
        <v>321</v>
      </c>
      <c r="C478" t="s">
        <v>1883</v>
      </c>
      <c r="D478" t="s">
        <v>4452</v>
      </c>
      <c r="E478" t="s">
        <v>4439</v>
      </c>
      <c r="F478" s="3">
        <v>45560</v>
      </c>
      <c r="G478" s="3">
        <v>45561</v>
      </c>
      <c r="H478">
        <v>45.8</v>
      </c>
      <c r="I478">
        <v>48</v>
      </c>
      <c r="J478" t="s">
        <v>4448</v>
      </c>
      <c r="K478" t="s">
        <v>4441</v>
      </c>
      <c r="L478" t="s">
        <v>4449</v>
      </c>
      <c r="M478" t="s">
        <v>4462</v>
      </c>
      <c r="N478">
        <v>4</v>
      </c>
    </row>
    <row r="479" spans="1:14" x14ac:dyDescent="0.35">
      <c r="A479" t="s">
        <v>4958</v>
      </c>
      <c r="B479" t="s">
        <v>297</v>
      </c>
      <c r="C479" t="s">
        <v>1904</v>
      </c>
      <c r="D479" t="s">
        <v>4464</v>
      </c>
      <c r="E479" t="s">
        <v>4473</v>
      </c>
      <c r="F479" s="3">
        <v>45081</v>
      </c>
      <c r="G479" s="3">
        <v>45081</v>
      </c>
      <c r="H479">
        <v>4.3</v>
      </c>
      <c r="I479">
        <v>8</v>
      </c>
      <c r="J479" t="s">
        <v>4448</v>
      </c>
      <c r="K479" t="s">
        <v>4441</v>
      </c>
      <c r="L479" t="s">
        <v>4492</v>
      </c>
      <c r="M479" t="s">
        <v>4446</v>
      </c>
      <c r="N479">
        <v>3</v>
      </c>
    </row>
    <row r="480" spans="1:14" x14ac:dyDescent="0.35">
      <c r="A480" t="s">
        <v>4959</v>
      </c>
      <c r="B480" t="s">
        <v>308</v>
      </c>
      <c r="C480" t="s">
        <v>1915</v>
      </c>
      <c r="D480" t="s">
        <v>4485</v>
      </c>
      <c r="E480" t="s">
        <v>4444</v>
      </c>
      <c r="F480" s="3">
        <v>45494</v>
      </c>
      <c r="G480" s="3" t="s">
        <v>537</v>
      </c>
      <c r="I480">
        <v>24</v>
      </c>
      <c r="J480" t="s">
        <v>4440</v>
      </c>
      <c r="K480" t="s">
        <v>4457</v>
      </c>
      <c r="L480" t="s">
        <v>4458</v>
      </c>
      <c r="M480" t="s">
        <v>1625</v>
      </c>
    </row>
    <row r="481" spans="1:14" x14ac:dyDescent="0.35">
      <c r="A481" t="s">
        <v>4960</v>
      </c>
      <c r="B481" t="s">
        <v>447</v>
      </c>
      <c r="C481" t="s">
        <v>1915</v>
      </c>
      <c r="D481" t="s">
        <v>4472</v>
      </c>
      <c r="E481" t="s">
        <v>4444</v>
      </c>
      <c r="F481" s="3">
        <v>44939</v>
      </c>
      <c r="G481" s="3">
        <v>44940</v>
      </c>
      <c r="H481">
        <v>40.9</v>
      </c>
      <c r="I481">
        <v>24</v>
      </c>
      <c r="J481" t="s">
        <v>4440</v>
      </c>
      <c r="K481" t="s">
        <v>4441</v>
      </c>
      <c r="L481" t="s">
        <v>4527</v>
      </c>
      <c r="M481" t="s">
        <v>4450</v>
      </c>
      <c r="N481">
        <v>4</v>
      </c>
    </row>
    <row r="482" spans="1:14" x14ac:dyDescent="0.35">
      <c r="A482" t="s">
        <v>4961</v>
      </c>
      <c r="B482" t="s">
        <v>240</v>
      </c>
      <c r="C482" t="s">
        <v>1904</v>
      </c>
      <c r="D482" t="s">
        <v>4443</v>
      </c>
      <c r="E482" t="s">
        <v>4444</v>
      </c>
      <c r="F482" s="3">
        <v>45271</v>
      </c>
      <c r="G482" s="3">
        <v>45272</v>
      </c>
      <c r="H482">
        <v>32</v>
      </c>
      <c r="I482">
        <v>24</v>
      </c>
      <c r="J482" t="s">
        <v>4440</v>
      </c>
      <c r="K482" t="s">
        <v>4441</v>
      </c>
      <c r="L482" t="s">
        <v>4449</v>
      </c>
      <c r="M482" t="s">
        <v>4450</v>
      </c>
      <c r="N482">
        <v>4</v>
      </c>
    </row>
    <row r="483" spans="1:14" x14ac:dyDescent="0.35">
      <c r="A483" t="s">
        <v>4962</v>
      </c>
      <c r="B483" t="s">
        <v>467</v>
      </c>
      <c r="C483" t="s">
        <v>1927</v>
      </c>
      <c r="D483" t="s">
        <v>4469</v>
      </c>
      <c r="E483" t="s">
        <v>4473</v>
      </c>
      <c r="F483" s="3">
        <v>45228</v>
      </c>
      <c r="G483" s="3">
        <v>45228</v>
      </c>
      <c r="H483">
        <v>16.600000000000001</v>
      </c>
      <c r="I483">
        <v>8</v>
      </c>
      <c r="J483" t="s">
        <v>4440</v>
      </c>
      <c r="K483" t="s">
        <v>4441</v>
      </c>
      <c r="L483" t="s">
        <v>4449</v>
      </c>
      <c r="M483" t="s">
        <v>4446</v>
      </c>
      <c r="N483">
        <v>2</v>
      </c>
    </row>
    <row r="484" spans="1:14" x14ac:dyDescent="0.35">
      <c r="A484" t="s">
        <v>4963</v>
      </c>
      <c r="B484" t="s">
        <v>466</v>
      </c>
      <c r="C484" t="s">
        <v>1899</v>
      </c>
      <c r="D484" t="s">
        <v>4469</v>
      </c>
      <c r="E484" t="s">
        <v>4439</v>
      </c>
      <c r="F484" s="3">
        <v>45205</v>
      </c>
      <c r="G484" s="3" t="s">
        <v>537</v>
      </c>
      <c r="I484">
        <v>48</v>
      </c>
      <c r="J484" t="s">
        <v>4448</v>
      </c>
      <c r="K484" t="s">
        <v>4457</v>
      </c>
      <c r="L484" t="s">
        <v>4480</v>
      </c>
      <c r="M484" t="s">
        <v>1625</v>
      </c>
    </row>
    <row r="485" spans="1:14" x14ac:dyDescent="0.35">
      <c r="A485" t="s">
        <v>4964</v>
      </c>
      <c r="B485" t="s">
        <v>232</v>
      </c>
      <c r="C485" t="s">
        <v>1904</v>
      </c>
      <c r="D485" t="s">
        <v>4460</v>
      </c>
      <c r="E485" t="s">
        <v>4444</v>
      </c>
      <c r="F485" s="3">
        <v>45692</v>
      </c>
      <c r="G485" s="3">
        <v>45693</v>
      </c>
      <c r="H485">
        <v>31</v>
      </c>
      <c r="I485">
        <v>24</v>
      </c>
      <c r="J485" t="s">
        <v>4440</v>
      </c>
      <c r="K485" t="s">
        <v>4441</v>
      </c>
      <c r="L485" t="s">
        <v>1907</v>
      </c>
      <c r="M485" t="s">
        <v>4446</v>
      </c>
      <c r="N485">
        <v>4</v>
      </c>
    </row>
    <row r="486" spans="1:14" x14ac:dyDescent="0.35">
      <c r="A486" t="s">
        <v>4965</v>
      </c>
      <c r="B486" t="s">
        <v>404</v>
      </c>
      <c r="C486" t="s">
        <v>1904</v>
      </c>
      <c r="D486" t="s">
        <v>4438</v>
      </c>
      <c r="E486" t="s">
        <v>4444</v>
      </c>
      <c r="F486" s="3">
        <v>45582</v>
      </c>
      <c r="G486" s="3" t="s">
        <v>537</v>
      </c>
      <c r="I486">
        <v>24</v>
      </c>
      <c r="J486" t="s">
        <v>4440</v>
      </c>
      <c r="K486" t="s">
        <v>4457</v>
      </c>
      <c r="L486" t="s">
        <v>4483</v>
      </c>
      <c r="M486" t="s">
        <v>4462</v>
      </c>
    </row>
    <row r="487" spans="1:14" x14ac:dyDescent="0.35">
      <c r="A487" t="s">
        <v>4966</v>
      </c>
      <c r="B487" t="s">
        <v>406</v>
      </c>
      <c r="C487" t="s">
        <v>1899</v>
      </c>
      <c r="D487" t="s">
        <v>4485</v>
      </c>
      <c r="E487" t="s">
        <v>4473</v>
      </c>
      <c r="F487" s="3">
        <v>45621</v>
      </c>
      <c r="G487" s="3">
        <v>45621</v>
      </c>
      <c r="H487">
        <v>9.5</v>
      </c>
      <c r="I487">
        <v>8</v>
      </c>
      <c r="J487" t="s">
        <v>4440</v>
      </c>
      <c r="K487" t="s">
        <v>4441</v>
      </c>
      <c r="L487" t="s">
        <v>4454</v>
      </c>
      <c r="M487" t="s">
        <v>4446</v>
      </c>
    </row>
    <row r="488" spans="1:14" x14ac:dyDescent="0.35">
      <c r="A488" t="s">
        <v>4967</v>
      </c>
      <c r="B488" t="s">
        <v>451</v>
      </c>
      <c r="C488" t="s">
        <v>1904</v>
      </c>
      <c r="D488" t="s">
        <v>4472</v>
      </c>
      <c r="E488" t="s">
        <v>4473</v>
      </c>
      <c r="F488" s="3">
        <v>45079</v>
      </c>
      <c r="G488" s="3" t="s">
        <v>537</v>
      </c>
      <c r="I488">
        <v>8</v>
      </c>
      <c r="J488" t="s">
        <v>4440</v>
      </c>
      <c r="K488" t="s">
        <v>4457</v>
      </c>
      <c r="L488" t="s">
        <v>4454</v>
      </c>
      <c r="M488" t="s">
        <v>4462</v>
      </c>
    </row>
    <row r="489" spans="1:14" x14ac:dyDescent="0.35">
      <c r="A489" t="s">
        <v>4968</v>
      </c>
      <c r="B489" t="s">
        <v>465</v>
      </c>
      <c r="C489" t="s">
        <v>1904</v>
      </c>
      <c r="D489" t="s">
        <v>4482</v>
      </c>
      <c r="E489" t="s">
        <v>4444</v>
      </c>
      <c r="F489" s="3">
        <v>45649</v>
      </c>
      <c r="G489" s="3">
        <v>45650</v>
      </c>
      <c r="H489">
        <v>33.799999999999997</v>
      </c>
      <c r="I489">
        <v>24</v>
      </c>
      <c r="J489" t="s">
        <v>4440</v>
      </c>
      <c r="K489" t="s">
        <v>4441</v>
      </c>
      <c r="L489" t="s">
        <v>4467</v>
      </c>
      <c r="M489" t="s">
        <v>4446</v>
      </c>
      <c r="N489">
        <v>4</v>
      </c>
    </row>
    <row r="490" spans="1:14" x14ac:dyDescent="0.35">
      <c r="A490" t="s">
        <v>4969</v>
      </c>
      <c r="B490" t="s">
        <v>268</v>
      </c>
      <c r="C490" t="s">
        <v>1927</v>
      </c>
      <c r="D490" t="s">
        <v>4460</v>
      </c>
      <c r="E490" t="s">
        <v>4439</v>
      </c>
      <c r="F490" s="3">
        <v>44988</v>
      </c>
      <c r="G490" s="3">
        <v>44990</v>
      </c>
      <c r="H490">
        <v>71.8</v>
      </c>
      <c r="I490">
        <v>48</v>
      </c>
      <c r="J490" t="s">
        <v>4440</v>
      </c>
      <c r="K490" t="s">
        <v>4441</v>
      </c>
      <c r="L490" t="s">
        <v>4514</v>
      </c>
      <c r="M490" t="s">
        <v>4462</v>
      </c>
      <c r="N490">
        <v>5</v>
      </c>
    </row>
    <row r="491" spans="1:14" x14ac:dyDescent="0.35">
      <c r="A491" t="s">
        <v>4970</v>
      </c>
      <c r="B491" t="s">
        <v>34</v>
      </c>
      <c r="C491" t="s">
        <v>1899</v>
      </c>
      <c r="D491" t="s">
        <v>4476</v>
      </c>
      <c r="E491" t="s">
        <v>4444</v>
      </c>
      <c r="F491" s="3">
        <v>45346</v>
      </c>
      <c r="G491" s="3">
        <v>45347</v>
      </c>
      <c r="H491">
        <v>41.5</v>
      </c>
      <c r="I491">
        <v>24</v>
      </c>
      <c r="J491" t="s">
        <v>1945</v>
      </c>
      <c r="K491" t="s">
        <v>4441</v>
      </c>
      <c r="L491" t="s">
        <v>4580</v>
      </c>
      <c r="M491" t="s">
        <v>4450</v>
      </c>
      <c r="N491">
        <v>5</v>
      </c>
    </row>
    <row r="492" spans="1:14" x14ac:dyDescent="0.35">
      <c r="A492" t="s">
        <v>4971</v>
      </c>
      <c r="B492" t="s">
        <v>167</v>
      </c>
      <c r="C492" t="s">
        <v>1904</v>
      </c>
      <c r="D492" t="s">
        <v>4472</v>
      </c>
      <c r="E492" t="s">
        <v>4439</v>
      </c>
      <c r="F492" s="3">
        <v>44941</v>
      </c>
      <c r="G492" s="3">
        <v>44943</v>
      </c>
      <c r="H492">
        <v>56.8</v>
      </c>
      <c r="I492">
        <v>48</v>
      </c>
      <c r="J492" t="s">
        <v>4440</v>
      </c>
      <c r="K492" t="s">
        <v>4441</v>
      </c>
      <c r="L492" t="s">
        <v>4580</v>
      </c>
      <c r="M492" t="s">
        <v>4462</v>
      </c>
      <c r="N492">
        <v>5</v>
      </c>
    </row>
    <row r="493" spans="1:14" x14ac:dyDescent="0.35">
      <c r="A493" t="s">
        <v>4972</v>
      </c>
      <c r="B493" t="s">
        <v>77</v>
      </c>
      <c r="C493" t="s">
        <v>1904</v>
      </c>
      <c r="D493" t="s">
        <v>4443</v>
      </c>
      <c r="E493" t="s">
        <v>4439</v>
      </c>
      <c r="F493" s="3">
        <v>45459</v>
      </c>
      <c r="G493" s="3" t="s">
        <v>537</v>
      </c>
      <c r="I493">
        <v>48</v>
      </c>
      <c r="J493" t="s">
        <v>4440</v>
      </c>
      <c r="K493" t="s">
        <v>4453</v>
      </c>
      <c r="L493" t="s">
        <v>4512</v>
      </c>
      <c r="M493" t="s">
        <v>4450</v>
      </c>
    </row>
    <row r="494" spans="1:14" x14ac:dyDescent="0.35">
      <c r="A494" t="s">
        <v>4973</v>
      </c>
      <c r="B494" t="s">
        <v>324</v>
      </c>
      <c r="C494" t="s">
        <v>1890</v>
      </c>
      <c r="D494" t="s">
        <v>4479</v>
      </c>
      <c r="E494" t="s">
        <v>4444</v>
      </c>
      <c r="F494" s="3">
        <v>45238</v>
      </c>
      <c r="G494" s="3">
        <v>45238</v>
      </c>
      <c r="H494">
        <v>16.3</v>
      </c>
      <c r="I494">
        <v>24</v>
      </c>
      <c r="J494" t="s">
        <v>4448</v>
      </c>
      <c r="K494" t="s">
        <v>4441</v>
      </c>
      <c r="L494" t="s">
        <v>4483</v>
      </c>
      <c r="M494" t="s">
        <v>4450</v>
      </c>
      <c r="N494">
        <v>4</v>
      </c>
    </row>
    <row r="495" spans="1:14" x14ac:dyDescent="0.35">
      <c r="A495" t="s">
        <v>4974</v>
      </c>
      <c r="B495" t="s">
        <v>469</v>
      </c>
      <c r="C495" t="s">
        <v>1883</v>
      </c>
      <c r="D495" t="s">
        <v>4443</v>
      </c>
      <c r="E495" t="s">
        <v>4439</v>
      </c>
      <c r="F495" s="3">
        <v>45446</v>
      </c>
      <c r="G495" s="3" t="s">
        <v>537</v>
      </c>
      <c r="I495">
        <v>48</v>
      </c>
      <c r="J495" t="s">
        <v>4448</v>
      </c>
      <c r="K495" t="s">
        <v>4474</v>
      </c>
      <c r="L495" t="s">
        <v>4483</v>
      </c>
      <c r="M495" t="s">
        <v>4462</v>
      </c>
    </row>
    <row r="496" spans="1:14" x14ac:dyDescent="0.35">
      <c r="A496" t="s">
        <v>4975</v>
      </c>
      <c r="B496" t="s">
        <v>176</v>
      </c>
      <c r="C496" t="s">
        <v>1890</v>
      </c>
      <c r="D496" t="s">
        <v>4482</v>
      </c>
      <c r="E496" t="s">
        <v>4444</v>
      </c>
      <c r="F496" s="3">
        <v>45733</v>
      </c>
      <c r="G496" s="3" t="s">
        <v>537</v>
      </c>
      <c r="I496">
        <v>24</v>
      </c>
      <c r="J496" t="s">
        <v>4440</v>
      </c>
      <c r="K496" t="s">
        <v>4474</v>
      </c>
      <c r="L496" t="s">
        <v>4514</v>
      </c>
      <c r="M496" t="s">
        <v>1625</v>
      </c>
    </row>
    <row r="497" spans="1:14" x14ac:dyDescent="0.35">
      <c r="A497" t="s">
        <v>4976</v>
      </c>
      <c r="B497" t="s">
        <v>378</v>
      </c>
      <c r="C497" t="s">
        <v>1899</v>
      </c>
      <c r="D497" t="s">
        <v>4464</v>
      </c>
      <c r="E497" t="s">
        <v>4439</v>
      </c>
      <c r="F497" s="3">
        <v>45014</v>
      </c>
      <c r="G497" s="3">
        <v>45018</v>
      </c>
      <c r="H497">
        <v>102.3</v>
      </c>
      <c r="I497">
        <v>48</v>
      </c>
      <c r="J497" t="s">
        <v>4440</v>
      </c>
      <c r="K497" t="s">
        <v>4441</v>
      </c>
      <c r="L497" t="s">
        <v>4449</v>
      </c>
      <c r="M497" t="s">
        <v>4462</v>
      </c>
    </row>
    <row r="498" spans="1:14" x14ac:dyDescent="0.35">
      <c r="A498" t="s">
        <v>4977</v>
      </c>
      <c r="B498" t="s">
        <v>188</v>
      </c>
      <c r="C498" t="s">
        <v>1890</v>
      </c>
      <c r="D498" t="s">
        <v>4452</v>
      </c>
      <c r="E498" t="s">
        <v>4444</v>
      </c>
      <c r="F498" s="3">
        <v>44933</v>
      </c>
      <c r="G498" s="3" t="s">
        <v>537</v>
      </c>
      <c r="I498">
        <v>24</v>
      </c>
      <c r="J498" t="s">
        <v>4448</v>
      </c>
      <c r="K498" t="s">
        <v>4457</v>
      </c>
      <c r="L498" t="s">
        <v>4480</v>
      </c>
      <c r="M498" t="s">
        <v>1625</v>
      </c>
    </row>
    <row r="499" spans="1:14" x14ac:dyDescent="0.35">
      <c r="A499" t="s">
        <v>4978</v>
      </c>
      <c r="B499" t="s">
        <v>49</v>
      </c>
      <c r="C499" t="s">
        <v>1904</v>
      </c>
      <c r="D499" t="s">
        <v>4438</v>
      </c>
      <c r="E499" t="s">
        <v>4439</v>
      </c>
      <c r="F499" s="3">
        <v>45442</v>
      </c>
      <c r="G499" s="3">
        <v>45445</v>
      </c>
      <c r="H499">
        <v>72.2</v>
      </c>
      <c r="I499">
        <v>48</v>
      </c>
      <c r="J499" t="s">
        <v>4440</v>
      </c>
      <c r="K499" t="s">
        <v>4441</v>
      </c>
      <c r="L499" t="s">
        <v>4514</v>
      </c>
      <c r="M499" t="s">
        <v>4450</v>
      </c>
      <c r="N499">
        <v>4</v>
      </c>
    </row>
    <row r="500" spans="1:14" x14ac:dyDescent="0.35">
      <c r="A500" t="s">
        <v>4979</v>
      </c>
      <c r="B500" t="s">
        <v>154</v>
      </c>
      <c r="C500" t="s">
        <v>1899</v>
      </c>
      <c r="D500" t="s">
        <v>4438</v>
      </c>
      <c r="E500" t="s">
        <v>4473</v>
      </c>
      <c r="F500" s="3">
        <v>45218</v>
      </c>
      <c r="G500" s="3" t="s">
        <v>537</v>
      </c>
      <c r="I500">
        <v>8</v>
      </c>
      <c r="J500" t="s">
        <v>4448</v>
      </c>
      <c r="K500" t="s">
        <v>4453</v>
      </c>
      <c r="L500" t="s">
        <v>4580</v>
      </c>
      <c r="M500" t="s">
        <v>4462</v>
      </c>
    </row>
    <row r="501" spans="1:14" x14ac:dyDescent="0.35">
      <c r="A501" t="s">
        <v>4980</v>
      </c>
      <c r="B501" t="s">
        <v>434</v>
      </c>
      <c r="C501" t="s">
        <v>1899</v>
      </c>
      <c r="D501" t="s">
        <v>4490</v>
      </c>
      <c r="E501" t="s">
        <v>4473</v>
      </c>
      <c r="F501" s="3">
        <v>45015</v>
      </c>
      <c r="G501" s="3">
        <v>45015</v>
      </c>
      <c r="H501">
        <v>12.1</v>
      </c>
      <c r="I501">
        <v>8</v>
      </c>
      <c r="J501" t="s">
        <v>4440</v>
      </c>
      <c r="K501" t="s">
        <v>4441</v>
      </c>
      <c r="L501" t="s">
        <v>4527</v>
      </c>
      <c r="M501" t="s">
        <v>4450</v>
      </c>
    </row>
    <row r="502" spans="1:14" x14ac:dyDescent="0.35">
      <c r="A502" t="s">
        <v>4981</v>
      </c>
      <c r="B502" t="s">
        <v>481</v>
      </c>
      <c r="C502" t="s">
        <v>1899</v>
      </c>
      <c r="D502" t="s">
        <v>4476</v>
      </c>
      <c r="E502" t="s">
        <v>4473</v>
      </c>
      <c r="F502" s="3">
        <v>45693</v>
      </c>
      <c r="G502" s="3">
        <v>45693</v>
      </c>
      <c r="H502">
        <v>9</v>
      </c>
      <c r="I502">
        <v>8</v>
      </c>
      <c r="J502" t="s">
        <v>4440</v>
      </c>
      <c r="K502" t="s">
        <v>4441</v>
      </c>
      <c r="L502" t="s">
        <v>4501</v>
      </c>
      <c r="M502" t="s">
        <v>1625</v>
      </c>
      <c r="N502">
        <v>4</v>
      </c>
    </row>
    <row r="503" spans="1:14" x14ac:dyDescent="0.35">
      <c r="A503" t="s">
        <v>4982</v>
      </c>
      <c r="B503" t="s">
        <v>447</v>
      </c>
      <c r="C503" t="s">
        <v>1890</v>
      </c>
      <c r="D503" t="s">
        <v>4485</v>
      </c>
      <c r="E503" t="s">
        <v>4439</v>
      </c>
      <c r="F503" s="3">
        <v>45594</v>
      </c>
      <c r="G503" s="3">
        <v>45597</v>
      </c>
      <c r="H503">
        <v>86.2</v>
      </c>
      <c r="I503">
        <v>48</v>
      </c>
      <c r="J503" t="s">
        <v>4440</v>
      </c>
      <c r="K503" t="s">
        <v>4441</v>
      </c>
      <c r="L503" t="s">
        <v>4467</v>
      </c>
      <c r="M503" t="s">
        <v>4446</v>
      </c>
      <c r="N503">
        <v>4</v>
      </c>
    </row>
    <row r="504" spans="1:14" x14ac:dyDescent="0.35">
      <c r="A504" t="s">
        <v>4983</v>
      </c>
      <c r="B504" t="s">
        <v>27</v>
      </c>
      <c r="C504" t="s">
        <v>1899</v>
      </c>
      <c r="D504" t="s">
        <v>4464</v>
      </c>
      <c r="E504" t="s">
        <v>4456</v>
      </c>
      <c r="F504" s="3">
        <v>45425</v>
      </c>
      <c r="G504" s="3" t="s">
        <v>537</v>
      </c>
      <c r="I504">
        <v>4</v>
      </c>
      <c r="J504" t="s">
        <v>4440</v>
      </c>
      <c r="K504" t="s">
        <v>4453</v>
      </c>
      <c r="L504" t="s">
        <v>4580</v>
      </c>
      <c r="M504" t="s">
        <v>4446</v>
      </c>
    </row>
    <row r="505" spans="1:14" x14ac:dyDescent="0.35">
      <c r="A505" t="s">
        <v>4984</v>
      </c>
      <c r="B505" t="s">
        <v>305</v>
      </c>
      <c r="C505" t="s">
        <v>1899</v>
      </c>
      <c r="D505" t="s">
        <v>4438</v>
      </c>
      <c r="E505" t="s">
        <v>4444</v>
      </c>
      <c r="F505" s="3">
        <v>45055</v>
      </c>
      <c r="G505" s="3">
        <v>45055</v>
      </c>
      <c r="H505">
        <v>10.6</v>
      </c>
      <c r="I505">
        <v>24</v>
      </c>
      <c r="J505" t="s">
        <v>4448</v>
      </c>
      <c r="K505" t="s">
        <v>4441</v>
      </c>
      <c r="L505" t="s">
        <v>4492</v>
      </c>
      <c r="M505" t="s">
        <v>4450</v>
      </c>
    </row>
    <row r="506" spans="1:14" x14ac:dyDescent="0.35">
      <c r="A506" t="s">
        <v>4985</v>
      </c>
      <c r="B506" t="s">
        <v>164</v>
      </c>
      <c r="C506" t="s">
        <v>1904</v>
      </c>
      <c r="D506" t="s">
        <v>4485</v>
      </c>
      <c r="E506" t="s">
        <v>4456</v>
      </c>
      <c r="F506" s="3">
        <v>45546</v>
      </c>
      <c r="G506" s="3">
        <v>45546</v>
      </c>
      <c r="H506">
        <v>3.4</v>
      </c>
      <c r="I506">
        <v>4</v>
      </c>
      <c r="J506" t="s">
        <v>4448</v>
      </c>
      <c r="K506" t="s">
        <v>4441</v>
      </c>
      <c r="L506" t="s">
        <v>4480</v>
      </c>
      <c r="M506" t="s">
        <v>4450</v>
      </c>
      <c r="N506">
        <v>4</v>
      </c>
    </row>
    <row r="507" spans="1:14" x14ac:dyDescent="0.35">
      <c r="A507" t="s">
        <v>4986</v>
      </c>
      <c r="B507" t="s">
        <v>92</v>
      </c>
      <c r="C507" t="s">
        <v>1883</v>
      </c>
      <c r="D507" t="s">
        <v>4479</v>
      </c>
      <c r="E507" t="s">
        <v>4444</v>
      </c>
      <c r="F507" s="3">
        <v>44958</v>
      </c>
      <c r="G507" s="3">
        <v>44958</v>
      </c>
      <c r="H507">
        <v>17.8</v>
      </c>
      <c r="I507">
        <v>24</v>
      </c>
      <c r="J507" t="s">
        <v>4448</v>
      </c>
      <c r="K507" t="s">
        <v>4441</v>
      </c>
      <c r="L507" t="s">
        <v>4509</v>
      </c>
      <c r="M507" t="s">
        <v>4462</v>
      </c>
    </row>
    <row r="508" spans="1:14" x14ac:dyDescent="0.35">
      <c r="A508" t="s">
        <v>4987</v>
      </c>
      <c r="B508" t="s">
        <v>142</v>
      </c>
      <c r="C508" t="s">
        <v>1927</v>
      </c>
      <c r="D508" t="s">
        <v>8508</v>
      </c>
      <c r="E508" t="s">
        <v>4439</v>
      </c>
      <c r="F508" s="3">
        <v>45306</v>
      </c>
      <c r="G508" s="3" t="s">
        <v>537</v>
      </c>
      <c r="I508">
        <v>48</v>
      </c>
      <c r="J508" t="s">
        <v>4440</v>
      </c>
      <c r="K508" t="s">
        <v>4453</v>
      </c>
      <c r="L508" t="s">
        <v>4449</v>
      </c>
      <c r="M508" t="s">
        <v>4462</v>
      </c>
    </row>
    <row r="509" spans="1:14" x14ac:dyDescent="0.35">
      <c r="A509" t="s">
        <v>4988</v>
      </c>
      <c r="B509" t="s">
        <v>182</v>
      </c>
      <c r="C509" t="s">
        <v>1915</v>
      </c>
      <c r="D509" t="s">
        <v>4476</v>
      </c>
      <c r="E509" t="s">
        <v>4444</v>
      </c>
      <c r="F509" s="3">
        <v>45498</v>
      </c>
      <c r="G509" s="3">
        <v>45499</v>
      </c>
      <c r="H509">
        <v>27.2</v>
      </c>
      <c r="I509">
        <v>24</v>
      </c>
      <c r="J509" t="s">
        <v>4440</v>
      </c>
      <c r="K509" t="s">
        <v>4441</v>
      </c>
      <c r="L509" t="s">
        <v>4483</v>
      </c>
      <c r="M509" t="s">
        <v>1625</v>
      </c>
      <c r="N509">
        <v>4</v>
      </c>
    </row>
    <row r="510" spans="1:14" x14ac:dyDescent="0.35">
      <c r="A510" t="s">
        <v>4989</v>
      </c>
      <c r="B510" t="s">
        <v>474</v>
      </c>
      <c r="C510" t="s">
        <v>1890</v>
      </c>
      <c r="D510" t="s">
        <v>4438</v>
      </c>
      <c r="E510" t="s">
        <v>4439</v>
      </c>
      <c r="F510" s="3">
        <v>45631</v>
      </c>
      <c r="G510" s="3">
        <v>45631</v>
      </c>
      <c r="H510">
        <v>9.5</v>
      </c>
      <c r="I510">
        <v>48</v>
      </c>
      <c r="J510" t="s">
        <v>4448</v>
      </c>
      <c r="K510" t="s">
        <v>4441</v>
      </c>
      <c r="L510" t="s">
        <v>4512</v>
      </c>
      <c r="M510" t="s">
        <v>4462</v>
      </c>
    </row>
    <row r="511" spans="1:14" x14ac:dyDescent="0.35">
      <c r="A511" t="s">
        <v>4990</v>
      </c>
      <c r="B511" t="s">
        <v>287</v>
      </c>
      <c r="C511" t="s">
        <v>1899</v>
      </c>
      <c r="D511" t="s">
        <v>4476</v>
      </c>
      <c r="E511" t="s">
        <v>4444</v>
      </c>
      <c r="F511" s="3">
        <v>45597</v>
      </c>
      <c r="G511" s="3">
        <v>45599</v>
      </c>
      <c r="H511">
        <v>52.2</v>
      </c>
      <c r="I511">
        <v>24</v>
      </c>
      <c r="J511" t="s">
        <v>4440</v>
      </c>
      <c r="K511" t="s">
        <v>4441</v>
      </c>
      <c r="L511" t="s">
        <v>4509</v>
      </c>
      <c r="M511" t="s">
        <v>1625</v>
      </c>
      <c r="N511">
        <v>2</v>
      </c>
    </row>
    <row r="512" spans="1:14" x14ac:dyDescent="0.35">
      <c r="A512" t="s">
        <v>4991</v>
      </c>
      <c r="B512" t="s">
        <v>279</v>
      </c>
      <c r="C512" t="s">
        <v>1927</v>
      </c>
      <c r="D512" t="s">
        <v>4485</v>
      </c>
      <c r="E512" t="s">
        <v>4444</v>
      </c>
      <c r="F512" s="3">
        <v>45293</v>
      </c>
      <c r="G512" s="3" t="s">
        <v>537</v>
      </c>
      <c r="I512">
        <v>24</v>
      </c>
      <c r="J512" t="s">
        <v>4440</v>
      </c>
      <c r="K512" t="s">
        <v>4453</v>
      </c>
      <c r="L512" t="s">
        <v>4458</v>
      </c>
      <c r="M512" t="s">
        <v>1625</v>
      </c>
    </row>
    <row r="513" spans="1:14" x14ac:dyDescent="0.35">
      <c r="A513" t="s">
        <v>4992</v>
      </c>
      <c r="B513" t="s">
        <v>45</v>
      </c>
      <c r="C513" t="s">
        <v>1904</v>
      </c>
      <c r="D513" t="s">
        <v>4464</v>
      </c>
      <c r="E513" t="s">
        <v>4444</v>
      </c>
      <c r="F513" s="3">
        <v>45366</v>
      </c>
      <c r="G513" s="3">
        <v>45368</v>
      </c>
      <c r="H513">
        <v>55.8</v>
      </c>
      <c r="I513">
        <v>24</v>
      </c>
      <c r="J513" t="s">
        <v>4440</v>
      </c>
      <c r="K513" t="s">
        <v>4441</v>
      </c>
      <c r="L513" t="s">
        <v>4461</v>
      </c>
      <c r="M513" t="s">
        <v>4462</v>
      </c>
      <c r="N513">
        <v>3</v>
      </c>
    </row>
    <row r="514" spans="1:14" x14ac:dyDescent="0.35">
      <c r="A514" t="s">
        <v>4993</v>
      </c>
      <c r="B514" t="s">
        <v>167</v>
      </c>
      <c r="C514" t="s">
        <v>1915</v>
      </c>
      <c r="D514" t="s">
        <v>4476</v>
      </c>
      <c r="E514" t="s">
        <v>4439</v>
      </c>
      <c r="F514" s="3">
        <v>45023</v>
      </c>
      <c r="G514" s="3">
        <v>45027</v>
      </c>
      <c r="H514">
        <v>114.4</v>
      </c>
      <c r="I514">
        <v>48</v>
      </c>
      <c r="J514" t="s">
        <v>4440</v>
      </c>
      <c r="K514" t="s">
        <v>4441</v>
      </c>
      <c r="L514" t="s">
        <v>4470</v>
      </c>
      <c r="M514" t="s">
        <v>1625</v>
      </c>
      <c r="N514">
        <v>5</v>
      </c>
    </row>
    <row r="515" spans="1:14" x14ac:dyDescent="0.35">
      <c r="A515" t="s">
        <v>4994</v>
      </c>
      <c r="B515" t="s">
        <v>250</v>
      </c>
      <c r="C515" t="s">
        <v>1890</v>
      </c>
      <c r="D515" t="s">
        <v>4464</v>
      </c>
      <c r="E515" t="s">
        <v>4456</v>
      </c>
      <c r="F515" s="3">
        <v>44969</v>
      </c>
      <c r="G515" s="3">
        <v>44969</v>
      </c>
      <c r="H515">
        <v>9.5</v>
      </c>
      <c r="I515">
        <v>4</v>
      </c>
      <c r="J515" t="s">
        <v>4440</v>
      </c>
      <c r="K515" t="s">
        <v>4441</v>
      </c>
      <c r="L515" t="s">
        <v>4461</v>
      </c>
      <c r="M515" t="s">
        <v>4450</v>
      </c>
      <c r="N515">
        <v>2</v>
      </c>
    </row>
    <row r="516" spans="1:14" x14ac:dyDescent="0.35">
      <c r="A516" t="s">
        <v>4995</v>
      </c>
      <c r="B516" t="s">
        <v>207</v>
      </c>
      <c r="C516" t="s">
        <v>1883</v>
      </c>
      <c r="D516" t="s">
        <v>4469</v>
      </c>
      <c r="E516" t="s">
        <v>4439</v>
      </c>
      <c r="F516" s="3">
        <v>45195</v>
      </c>
      <c r="G516" s="3" t="s">
        <v>537</v>
      </c>
      <c r="I516">
        <v>48</v>
      </c>
      <c r="J516" t="s">
        <v>4440</v>
      </c>
      <c r="K516" t="s">
        <v>4474</v>
      </c>
      <c r="L516" t="s">
        <v>4509</v>
      </c>
      <c r="M516" t="s">
        <v>4446</v>
      </c>
    </row>
    <row r="517" spans="1:14" x14ac:dyDescent="0.35">
      <c r="A517" t="s">
        <v>4996</v>
      </c>
      <c r="B517" t="s">
        <v>285</v>
      </c>
      <c r="C517" t="s">
        <v>1883</v>
      </c>
      <c r="D517" t="s">
        <v>4469</v>
      </c>
      <c r="E517" t="s">
        <v>4439</v>
      </c>
      <c r="F517" s="3">
        <v>45432</v>
      </c>
      <c r="G517" s="3">
        <v>45434</v>
      </c>
      <c r="H517">
        <v>59.9</v>
      </c>
      <c r="I517">
        <v>48</v>
      </c>
      <c r="J517" t="s">
        <v>4440</v>
      </c>
      <c r="K517" t="s">
        <v>4441</v>
      </c>
      <c r="L517" t="s">
        <v>4449</v>
      </c>
      <c r="M517" t="s">
        <v>1625</v>
      </c>
      <c r="N517">
        <v>5</v>
      </c>
    </row>
    <row r="518" spans="1:14" x14ac:dyDescent="0.35">
      <c r="A518" t="s">
        <v>4997</v>
      </c>
      <c r="B518" t="s">
        <v>344</v>
      </c>
      <c r="C518" t="s">
        <v>1927</v>
      </c>
      <c r="D518" t="s">
        <v>4469</v>
      </c>
      <c r="E518" t="s">
        <v>4473</v>
      </c>
      <c r="F518" s="3">
        <v>45042</v>
      </c>
      <c r="G518" s="3">
        <v>45042</v>
      </c>
      <c r="H518">
        <v>10</v>
      </c>
      <c r="I518">
        <v>8</v>
      </c>
      <c r="J518" t="s">
        <v>4440</v>
      </c>
      <c r="K518" t="s">
        <v>4441</v>
      </c>
      <c r="L518" t="s">
        <v>4527</v>
      </c>
      <c r="M518" t="s">
        <v>1625</v>
      </c>
    </row>
    <row r="519" spans="1:14" x14ac:dyDescent="0.35">
      <c r="A519" t="s">
        <v>4998</v>
      </c>
      <c r="B519" t="s">
        <v>389</v>
      </c>
      <c r="C519" t="s">
        <v>1883</v>
      </c>
      <c r="D519" t="s">
        <v>4469</v>
      </c>
      <c r="E519" t="s">
        <v>4456</v>
      </c>
      <c r="F519" s="3">
        <v>45425</v>
      </c>
      <c r="G519" s="3" t="s">
        <v>537</v>
      </c>
      <c r="I519">
        <v>4</v>
      </c>
      <c r="J519" t="s">
        <v>4440</v>
      </c>
      <c r="K519" t="s">
        <v>4457</v>
      </c>
      <c r="L519" t="s">
        <v>4458</v>
      </c>
      <c r="M519" t="s">
        <v>1625</v>
      </c>
    </row>
    <row r="520" spans="1:14" x14ac:dyDescent="0.35">
      <c r="A520" t="s">
        <v>4999</v>
      </c>
      <c r="B520" t="s">
        <v>85</v>
      </c>
      <c r="C520" t="s">
        <v>1899</v>
      </c>
      <c r="D520" t="s">
        <v>4452</v>
      </c>
      <c r="E520" t="s">
        <v>4444</v>
      </c>
      <c r="F520" s="3">
        <v>45667</v>
      </c>
      <c r="G520" s="3">
        <v>45668</v>
      </c>
      <c r="H520">
        <v>38.299999999999997</v>
      </c>
      <c r="I520">
        <v>24</v>
      </c>
      <c r="J520" t="s">
        <v>4440</v>
      </c>
      <c r="K520" t="s">
        <v>4441</v>
      </c>
      <c r="L520" t="s">
        <v>4488</v>
      </c>
      <c r="M520" t="s">
        <v>4450</v>
      </c>
      <c r="N520">
        <v>3</v>
      </c>
    </row>
    <row r="521" spans="1:14" x14ac:dyDescent="0.35">
      <c r="A521" t="s">
        <v>5000</v>
      </c>
      <c r="B521" t="s">
        <v>214</v>
      </c>
      <c r="C521" t="s">
        <v>1890</v>
      </c>
      <c r="D521" t="s">
        <v>4476</v>
      </c>
      <c r="E521" t="s">
        <v>4456</v>
      </c>
      <c r="F521" s="3">
        <v>45737</v>
      </c>
      <c r="G521" s="3" t="s">
        <v>537</v>
      </c>
      <c r="I521">
        <v>4</v>
      </c>
      <c r="J521" t="s">
        <v>4448</v>
      </c>
      <c r="K521" t="s">
        <v>4474</v>
      </c>
      <c r="L521" t="s">
        <v>4465</v>
      </c>
      <c r="M521" t="s">
        <v>4446</v>
      </c>
    </row>
    <row r="522" spans="1:14" x14ac:dyDescent="0.35">
      <c r="A522" t="s">
        <v>5001</v>
      </c>
      <c r="B522" t="s">
        <v>473</v>
      </c>
      <c r="C522" t="s">
        <v>1915</v>
      </c>
      <c r="D522" t="s">
        <v>4472</v>
      </c>
      <c r="E522" t="s">
        <v>4439</v>
      </c>
      <c r="F522" s="3">
        <v>45055</v>
      </c>
      <c r="G522" s="3" t="s">
        <v>537</v>
      </c>
      <c r="I522">
        <v>48</v>
      </c>
      <c r="J522" t="s">
        <v>4448</v>
      </c>
      <c r="K522" t="s">
        <v>4474</v>
      </c>
      <c r="L522" t="s">
        <v>4458</v>
      </c>
      <c r="M522" t="s">
        <v>4462</v>
      </c>
    </row>
    <row r="523" spans="1:14" x14ac:dyDescent="0.35">
      <c r="A523" t="s">
        <v>5002</v>
      </c>
      <c r="B523" t="s">
        <v>52</v>
      </c>
      <c r="C523" t="s">
        <v>1927</v>
      </c>
      <c r="D523" t="s">
        <v>4485</v>
      </c>
      <c r="E523" t="s">
        <v>4456</v>
      </c>
      <c r="F523" s="3">
        <v>45703</v>
      </c>
      <c r="G523" s="3">
        <v>45703</v>
      </c>
      <c r="H523">
        <v>8.3000000000000007</v>
      </c>
      <c r="I523">
        <v>4</v>
      </c>
      <c r="J523" t="s">
        <v>4440</v>
      </c>
      <c r="K523" t="s">
        <v>4441</v>
      </c>
      <c r="L523" t="s">
        <v>4580</v>
      </c>
      <c r="M523" t="s">
        <v>1625</v>
      </c>
      <c r="N523">
        <v>5</v>
      </c>
    </row>
    <row r="524" spans="1:14" x14ac:dyDescent="0.35">
      <c r="A524" t="s">
        <v>5003</v>
      </c>
      <c r="B524" t="s">
        <v>361</v>
      </c>
      <c r="C524" t="s">
        <v>1890</v>
      </c>
      <c r="D524" t="s">
        <v>4490</v>
      </c>
      <c r="E524" t="s">
        <v>4473</v>
      </c>
      <c r="F524" s="3">
        <v>45551</v>
      </c>
      <c r="G524" s="3">
        <v>45551</v>
      </c>
      <c r="H524">
        <v>13.4</v>
      </c>
      <c r="I524">
        <v>8</v>
      </c>
      <c r="J524" t="s">
        <v>4440</v>
      </c>
      <c r="K524" t="s">
        <v>4441</v>
      </c>
      <c r="L524" t="s">
        <v>4533</v>
      </c>
      <c r="M524" t="s">
        <v>4446</v>
      </c>
      <c r="N524">
        <v>1</v>
      </c>
    </row>
    <row r="525" spans="1:14" x14ac:dyDescent="0.35">
      <c r="A525" t="s">
        <v>5004</v>
      </c>
      <c r="B525" t="s">
        <v>313</v>
      </c>
      <c r="C525" t="s">
        <v>1927</v>
      </c>
      <c r="D525" t="s">
        <v>4464</v>
      </c>
      <c r="E525" t="s">
        <v>4439</v>
      </c>
      <c r="F525" s="3">
        <v>45530</v>
      </c>
      <c r="G525" s="3">
        <v>45530</v>
      </c>
      <c r="H525">
        <v>10.3</v>
      </c>
      <c r="I525">
        <v>48</v>
      </c>
      <c r="J525" t="s">
        <v>4448</v>
      </c>
      <c r="K525" t="s">
        <v>4441</v>
      </c>
      <c r="L525" t="s">
        <v>4461</v>
      </c>
      <c r="M525" t="s">
        <v>4450</v>
      </c>
      <c r="N525">
        <v>3</v>
      </c>
    </row>
    <row r="526" spans="1:14" x14ac:dyDescent="0.35">
      <c r="A526" t="s">
        <v>5005</v>
      </c>
      <c r="B526" t="s">
        <v>97</v>
      </c>
      <c r="C526" t="s">
        <v>1904</v>
      </c>
      <c r="D526" t="s">
        <v>4479</v>
      </c>
      <c r="E526" t="s">
        <v>4439</v>
      </c>
      <c r="F526" s="3">
        <v>45614</v>
      </c>
      <c r="G526" s="3">
        <v>45616</v>
      </c>
      <c r="H526">
        <v>57.2</v>
      </c>
      <c r="I526">
        <v>48</v>
      </c>
      <c r="J526" t="s">
        <v>4440</v>
      </c>
      <c r="K526" t="s">
        <v>4441</v>
      </c>
      <c r="L526" t="s">
        <v>4488</v>
      </c>
      <c r="M526" t="s">
        <v>4446</v>
      </c>
    </row>
    <row r="527" spans="1:14" x14ac:dyDescent="0.35">
      <c r="A527" t="s">
        <v>5006</v>
      </c>
      <c r="B527" t="s">
        <v>249</v>
      </c>
      <c r="C527" t="s">
        <v>1927</v>
      </c>
      <c r="D527" t="s">
        <v>8505</v>
      </c>
      <c r="E527" t="s">
        <v>4456</v>
      </c>
      <c r="F527" s="3">
        <v>45576</v>
      </c>
      <c r="G527" s="3">
        <v>45576</v>
      </c>
      <c r="H527">
        <v>6.8</v>
      </c>
      <c r="I527">
        <v>4</v>
      </c>
      <c r="J527" t="s">
        <v>4440</v>
      </c>
      <c r="K527" t="s">
        <v>4441</v>
      </c>
      <c r="L527" t="s">
        <v>4492</v>
      </c>
      <c r="M527" t="s">
        <v>4446</v>
      </c>
      <c r="N527">
        <v>3</v>
      </c>
    </row>
    <row r="528" spans="1:14" x14ac:dyDescent="0.35">
      <c r="A528" t="s">
        <v>5007</v>
      </c>
      <c r="B528" t="s">
        <v>126</v>
      </c>
      <c r="C528" t="s">
        <v>1927</v>
      </c>
      <c r="D528" t="s">
        <v>4469</v>
      </c>
      <c r="E528" t="s">
        <v>4473</v>
      </c>
      <c r="F528" s="3">
        <v>45208</v>
      </c>
      <c r="G528" s="3">
        <v>45208</v>
      </c>
      <c r="H528">
        <v>14.6</v>
      </c>
      <c r="I528">
        <v>8</v>
      </c>
      <c r="J528" t="s">
        <v>4440</v>
      </c>
      <c r="K528" t="s">
        <v>4441</v>
      </c>
      <c r="L528" t="s">
        <v>4514</v>
      </c>
      <c r="M528" t="s">
        <v>4450</v>
      </c>
      <c r="N528">
        <v>3</v>
      </c>
    </row>
    <row r="529" spans="1:14" x14ac:dyDescent="0.35">
      <c r="A529" t="s">
        <v>5008</v>
      </c>
      <c r="B529" t="s">
        <v>473</v>
      </c>
      <c r="C529" t="s">
        <v>1904</v>
      </c>
      <c r="D529" t="s">
        <v>4479</v>
      </c>
      <c r="E529" t="s">
        <v>4439</v>
      </c>
      <c r="F529" s="3">
        <v>45688</v>
      </c>
      <c r="G529" s="3" t="s">
        <v>537</v>
      </c>
      <c r="I529">
        <v>48</v>
      </c>
      <c r="J529" t="s">
        <v>4440</v>
      </c>
      <c r="K529" t="s">
        <v>4457</v>
      </c>
      <c r="L529" t="s">
        <v>4465</v>
      </c>
      <c r="M529" t="s">
        <v>4446</v>
      </c>
    </row>
    <row r="530" spans="1:14" x14ac:dyDescent="0.35">
      <c r="A530" t="s">
        <v>5009</v>
      </c>
      <c r="B530" t="s">
        <v>436</v>
      </c>
      <c r="C530" t="s">
        <v>1883</v>
      </c>
      <c r="D530" t="s">
        <v>4460</v>
      </c>
      <c r="E530" t="s">
        <v>4473</v>
      </c>
      <c r="F530" s="3">
        <v>45038</v>
      </c>
      <c r="G530" s="3">
        <v>45038</v>
      </c>
      <c r="H530">
        <v>15.6</v>
      </c>
      <c r="I530">
        <v>8</v>
      </c>
      <c r="J530" t="s">
        <v>4440</v>
      </c>
      <c r="K530" t="s">
        <v>4441</v>
      </c>
      <c r="L530" t="s">
        <v>4461</v>
      </c>
      <c r="M530" t="s">
        <v>1625</v>
      </c>
      <c r="N530">
        <v>3</v>
      </c>
    </row>
    <row r="531" spans="1:14" x14ac:dyDescent="0.35">
      <c r="A531" t="s">
        <v>5010</v>
      </c>
      <c r="B531" t="s">
        <v>466</v>
      </c>
      <c r="C531" t="s">
        <v>1890</v>
      </c>
      <c r="D531" t="s">
        <v>4479</v>
      </c>
      <c r="E531" t="s">
        <v>4439</v>
      </c>
      <c r="F531" s="3">
        <v>45028</v>
      </c>
      <c r="G531" s="3">
        <v>45029</v>
      </c>
      <c r="H531">
        <v>34.5</v>
      </c>
      <c r="I531">
        <v>48</v>
      </c>
      <c r="J531" t="s">
        <v>4448</v>
      </c>
      <c r="K531" t="s">
        <v>4441</v>
      </c>
      <c r="L531" t="s">
        <v>4501</v>
      </c>
      <c r="M531" t="s">
        <v>1625</v>
      </c>
      <c r="N531">
        <v>4</v>
      </c>
    </row>
    <row r="532" spans="1:14" x14ac:dyDescent="0.35">
      <c r="A532" t="s">
        <v>5011</v>
      </c>
      <c r="B532" t="s">
        <v>440</v>
      </c>
      <c r="C532" t="s">
        <v>1883</v>
      </c>
      <c r="D532" t="s">
        <v>4476</v>
      </c>
      <c r="E532" t="s">
        <v>4444</v>
      </c>
      <c r="F532" s="3">
        <v>45615</v>
      </c>
      <c r="G532" s="3">
        <v>45616</v>
      </c>
      <c r="H532">
        <v>31.9</v>
      </c>
      <c r="I532">
        <v>24</v>
      </c>
      <c r="J532" t="s">
        <v>4440</v>
      </c>
      <c r="K532" t="s">
        <v>4441</v>
      </c>
      <c r="L532" t="s">
        <v>4480</v>
      </c>
      <c r="M532" t="s">
        <v>4462</v>
      </c>
      <c r="N532">
        <v>4</v>
      </c>
    </row>
    <row r="533" spans="1:14" x14ac:dyDescent="0.35">
      <c r="A533" t="s">
        <v>5012</v>
      </c>
      <c r="B533" t="s">
        <v>27</v>
      </c>
      <c r="C533" t="s">
        <v>1904</v>
      </c>
      <c r="D533" t="s">
        <v>4485</v>
      </c>
      <c r="E533" t="s">
        <v>4444</v>
      </c>
      <c r="F533" s="3">
        <v>45407</v>
      </c>
      <c r="G533" s="3" t="s">
        <v>537</v>
      </c>
      <c r="I533">
        <v>24</v>
      </c>
      <c r="J533" t="s">
        <v>4448</v>
      </c>
      <c r="K533" t="s">
        <v>4457</v>
      </c>
      <c r="L533" t="s">
        <v>4461</v>
      </c>
      <c r="M533" t="s">
        <v>1625</v>
      </c>
    </row>
    <row r="534" spans="1:14" x14ac:dyDescent="0.35">
      <c r="A534" t="s">
        <v>5013</v>
      </c>
      <c r="B534" t="s">
        <v>425</v>
      </c>
      <c r="C534" t="s">
        <v>1915</v>
      </c>
      <c r="D534" t="s">
        <v>4485</v>
      </c>
      <c r="E534" t="s">
        <v>4439</v>
      </c>
      <c r="F534" s="3">
        <v>45729</v>
      </c>
      <c r="G534" s="3">
        <v>45733</v>
      </c>
      <c r="H534">
        <v>96</v>
      </c>
      <c r="I534">
        <v>48</v>
      </c>
      <c r="J534" t="s">
        <v>4440</v>
      </c>
      <c r="K534" t="s">
        <v>4441</v>
      </c>
      <c r="L534" t="s">
        <v>4461</v>
      </c>
      <c r="M534" t="s">
        <v>4462</v>
      </c>
      <c r="N534">
        <v>4</v>
      </c>
    </row>
    <row r="535" spans="1:14" x14ac:dyDescent="0.35">
      <c r="A535" t="s">
        <v>5014</v>
      </c>
      <c r="B535" t="s">
        <v>144</v>
      </c>
      <c r="C535" t="s">
        <v>1890</v>
      </c>
      <c r="D535" t="s">
        <v>4452</v>
      </c>
      <c r="E535" t="s">
        <v>79</v>
      </c>
      <c r="F535" s="3">
        <v>45186</v>
      </c>
      <c r="G535" s="3">
        <v>45186</v>
      </c>
      <c r="H535">
        <v>7.2</v>
      </c>
      <c r="I535">
        <v>8</v>
      </c>
      <c r="J535" t="s">
        <v>4448</v>
      </c>
      <c r="K535" t="s">
        <v>4441</v>
      </c>
      <c r="L535" t="s">
        <v>4465</v>
      </c>
      <c r="M535" t="s">
        <v>1625</v>
      </c>
      <c r="N535">
        <v>4</v>
      </c>
    </row>
    <row r="536" spans="1:14" x14ac:dyDescent="0.35">
      <c r="A536" t="s">
        <v>5015</v>
      </c>
      <c r="B536" t="s">
        <v>182</v>
      </c>
      <c r="C536" t="s">
        <v>1883</v>
      </c>
      <c r="D536" t="s">
        <v>4438</v>
      </c>
      <c r="E536" t="s">
        <v>4456</v>
      </c>
      <c r="F536" s="3">
        <v>45450</v>
      </c>
      <c r="G536" s="3">
        <v>45450</v>
      </c>
      <c r="H536">
        <v>5.7</v>
      </c>
      <c r="I536">
        <v>4</v>
      </c>
      <c r="J536" t="s">
        <v>4440</v>
      </c>
      <c r="K536" t="s">
        <v>4441</v>
      </c>
      <c r="L536" t="s">
        <v>4467</v>
      </c>
      <c r="M536" t="s">
        <v>1625</v>
      </c>
      <c r="N536">
        <v>3</v>
      </c>
    </row>
    <row r="537" spans="1:14" x14ac:dyDescent="0.35">
      <c r="A537" t="s">
        <v>5016</v>
      </c>
      <c r="B537" t="s">
        <v>348</v>
      </c>
      <c r="C537" t="s">
        <v>1883</v>
      </c>
      <c r="D537" t="s">
        <v>4479</v>
      </c>
      <c r="E537" t="s">
        <v>4439</v>
      </c>
      <c r="F537" s="3">
        <v>44999</v>
      </c>
      <c r="G537" s="3" t="s">
        <v>537</v>
      </c>
      <c r="I537">
        <v>48</v>
      </c>
      <c r="J537" t="s">
        <v>4448</v>
      </c>
      <c r="K537" t="s">
        <v>4474</v>
      </c>
      <c r="L537" t="s">
        <v>4492</v>
      </c>
      <c r="M537" t="s">
        <v>4462</v>
      </c>
    </row>
    <row r="538" spans="1:14" x14ac:dyDescent="0.35">
      <c r="A538" t="s">
        <v>5017</v>
      </c>
      <c r="B538" t="s">
        <v>308</v>
      </c>
      <c r="C538" t="s">
        <v>1927</v>
      </c>
      <c r="D538" t="s">
        <v>4469</v>
      </c>
      <c r="E538" t="s">
        <v>79</v>
      </c>
      <c r="F538" s="3">
        <v>45506</v>
      </c>
      <c r="G538" s="3">
        <v>45506</v>
      </c>
      <c r="H538">
        <v>16.899999999999999</v>
      </c>
      <c r="I538">
        <v>24</v>
      </c>
      <c r="J538" t="s">
        <v>4448</v>
      </c>
      <c r="K538" t="s">
        <v>4441</v>
      </c>
      <c r="L538" t="s">
        <v>4458</v>
      </c>
      <c r="M538" t="s">
        <v>1625</v>
      </c>
      <c r="N538">
        <v>4</v>
      </c>
    </row>
    <row r="539" spans="1:14" x14ac:dyDescent="0.35">
      <c r="A539" t="s">
        <v>5018</v>
      </c>
      <c r="B539" t="s">
        <v>130</v>
      </c>
      <c r="C539" t="s">
        <v>1927</v>
      </c>
      <c r="D539" t="s">
        <v>4472</v>
      </c>
      <c r="E539" t="s">
        <v>4439</v>
      </c>
      <c r="F539" s="3">
        <v>45739</v>
      </c>
      <c r="G539" s="3">
        <v>45741</v>
      </c>
      <c r="H539">
        <v>59.8</v>
      </c>
      <c r="I539">
        <v>48</v>
      </c>
      <c r="J539" t="s">
        <v>4440</v>
      </c>
      <c r="K539" t="s">
        <v>4441</v>
      </c>
      <c r="L539" t="s">
        <v>4470</v>
      </c>
      <c r="M539" t="s">
        <v>4462</v>
      </c>
    </row>
    <row r="540" spans="1:14" x14ac:dyDescent="0.35">
      <c r="A540" t="s">
        <v>5019</v>
      </c>
      <c r="B540" t="s">
        <v>249</v>
      </c>
      <c r="C540" t="s">
        <v>1915</v>
      </c>
      <c r="D540" t="s">
        <v>4482</v>
      </c>
      <c r="E540" t="s">
        <v>4473</v>
      </c>
      <c r="F540" s="3">
        <v>45330</v>
      </c>
      <c r="G540" s="3">
        <v>45330</v>
      </c>
      <c r="H540">
        <v>10.199999999999999</v>
      </c>
      <c r="I540">
        <v>8</v>
      </c>
      <c r="J540" t="s">
        <v>4440</v>
      </c>
      <c r="K540" t="s">
        <v>4441</v>
      </c>
      <c r="L540" t="s">
        <v>4514</v>
      </c>
      <c r="M540" t="s">
        <v>1625</v>
      </c>
    </row>
    <row r="541" spans="1:14" x14ac:dyDescent="0.35">
      <c r="A541" t="s">
        <v>5020</v>
      </c>
      <c r="B541" t="s">
        <v>428</v>
      </c>
      <c r="C541" t="s">
        <v>1890</v>
      </c>
      <c r="D541" t="s">
        <v>4443</v>
      </c>
      <c r="E541" t="s">
        <v>4444</v>
      </c>
      <c r="F541" s="3">
        <v>45513</v>
      </c>
      <c r="G541" s="3">
        <v>45513</v>
      </c>
      <c r="H541">
        <v>22.7</v>
      </c>
      <c r="I541">
        <v>24</v>
      </c>
      <c r="J541" t="s">
        <v>4448</v>
      </c>
      <c r="K541" t="s">
        <v>4441</v>
      </c>
      <c r="L541" t="s">
        <v>4467</v>
      </c>
      <c r="M541" t="s">
        <v>4450</v>
      </c>
    </row>
    <row r="542" spans="1:14" x14ac:dyDescent="0.35">
      <c r="A542" t="s">
        <v>5021</v>
      </c>
      <c r="B542" t="s">
        <v>171</v>
      </c>
      <c r="C542" t="s">
        <v>1899</v>
      </c>
      <c r="D542" t="s">
        <v>4472</v>
      </c>
      <c r="E542" t="s">
        <v>4473</v>
      </c>
      <c r="F542" s="3">
        <v>45727</v>
      </c>
      <c r="G542" s="3">
        <v>45727</v>
      </c>
      <c r="H542">
        <v>16.600000000000001</v>
      </c>
      <c r="I542">
        <v>8</v>
      </c>
      <c r="J542" t="s">
        <v>4440</v>
      </c>
      <c r="K542" t="s">
        <v>4441</v>
      </c>
      <c r="L542" t="s">
        <v>4533</v>
      </c>
      <c r="M542" t="s">
        <v>4462</v>
      </c>
      <c r="N542">
        <v>3</v>
      </c>
    </row>
    <row r="543" spans="1:14" x14ac:dyDescent="0.35">
      <c r="A543" t="s">
        <v>5022</v>
      </c>
      <c r="B543" t="s">
        <v>106</v>
      </c>
      <c r="C543" t="s">
        <v>1890</v>
      </c>
      <c r="D543" t="s">
        <v>4460</v>
      </c>
      <c r="E543" t="s">
        <v>4473</v>
      </c>
      <c r="F543" s="3">
        <v>45607</v>
      </c>
      <c r="G543" s="3">
        <v>45607</v>
      </c>
      <c r="H543">
        <v>3.5</v>
      </c>
      <c r="I543">
        <v>8</v>
      </c>
      <c r="J543" t="s">
        <v>4448</v>
      </c>
      <c r="K543" t="s">
        <v>4441</v>
      </c>
      <c r="L543" t="s">
        <v>4514</v>
      </c>
      <c r="M543" t="s">
        <v>4462</v>
      </c>
      <c r="N543">
        <v>4</v>
      </c>
    </row>
    <row r="544" spans="1:14" x14ac:dyDescent="0.35">
      <c r="A544" t="s">
        <v>5023</v>
      </c>
      <c r="B544" t="s">
        <v>60</v>
      </c>
      <c r="C544" t="s">
        <v>1915</v>
      </c>
      <c r="D544" t="s">
        <v>4485</v>
      </c>
      <c r="E544" t="s">
        <v>4473</v>
      </c>
      <c r="F544" s="3">
        <v>45041</v>
      </c>
      <c r="G544" s="3" t="s">
        <v>537</v>
      </c>
      <c r="I544">
        <v>8</v>
      </c>
      <c r="J544" t="s">
        <v>4440</v>
      </c>
      <c r="K544" t="s">
        <v>4474</v>
      </c>
      <c r="L544" t="s">
        <v>4467</v>
      </c>
      <c r="M544" t="s">
        <v>4446</v>
      </c>
    </row>
    <row r="545" spans="1:14" x14ac:dyDescent="0.35">
      <c r="A545" t="s">
        <v>5024</v>
      </c>
      <c r="B545" t="s">
        <v>355</v>
      </c>
      <c r="C545" t="s">
        <v>1904</v>
      </c>
      <c r="D545" t="s">
        <v>4464</v>
      </c>
      <c r="E545" t="s">
        <v>4473</v>
      </c>
      <c r="F545" s="3">
        <v>45493</v>
      </c>
      <c r="G545" s="3">
        <v>45493</v>
      </c>
      <c r="H545">
        <v>7.3</v>
      </c>
      <c r="I545">
        <v>8</v>
      </c>
      <c r="J545" t="s">
        <v>4448</v>
      </c>
      <c r="K545" t="s">
        <v>4441</v>
      </c>
      <c r="L545" t="s">
        <v>4533</v>
      </c>
      <c r="M545" t="s">
        <v>4446</v>
      </c>
      <c r="N545">
        <v>2</v>
      </c>
    </row>
    <row r="546" spans="1:14" x14ac:dyDescent="0.35">
      <c r="A546" t="s">
        <v>5025</v>
      </c>
      <c r="B546" t="s">
        <v>412</v>
      </c>
      <c r="C546" t="s">
        <v>1899</v>
      </c>
      <c r="D546" t="s">
        <v>4485</v>
      </c>
      <c r="E546" t="s">
        <v>4439</v>
      </c>
      <c r="F546" s="3">
        <v>45001</v>
      </c>
      <c r="G546" s="3" t="s">
        <v>537</v>
      </c>
      <c r="I546">
        <v>48</v>
      </c>
      <c r="J546" t="s">
        <v>4440</v>
      </c>
      <c r="K546" t="s">
        <v>4474</v>
      </c>
      <c r="L546" t="s">
        <v>4467</v>
      </c>
      <c r="M546" t="s">
        <v>4462</v>
      </c>
    </row>
    <row r="547" spans="1:14" x14ac:dyDescent="0.35">
      <c r="A547" t="s">
        <v>5026</v>
      </c>
      <c r="B547" t="s">
        <v>344</v>
      </c>
      <c r="C547" t="s">
        <v>1890</v>
      </c>
      <c r="D547" t="s">
        <v>4485</v>
      </c>
      <c r="E547" t="s">
        <v>4473</v>
      </c>
      <c r="F547" s="3">
        <v>45464</v>
      </c>
      <c r="G547" s="3">
        <v>45464</v>
      </c>
      <c r="H547">
        <v>14.9</v>
      </c>
      <c r="I547">
        <v>8</v>
      </c>
      <c r="J547" t="s">
        <v>4440</v>
      </c>
      <c r="K547" t="s">
        <v>4441</v>
      </c>
      <c r="L547" t="s">
        <v>4492</v>
      </c>
      <c r="M547" t="s">
        <v>4446</v>
      </c>
      <c r="N547">
        <v>2</v>
      </c>
    </row>
    <row r="548" spans="1:14" x14ac:dyDescent="0.35">
      <c r="A548" t="s">
        <v>5027</v>
      </c>
      <c r="B548" t="s">
        <v>405</v>
      </c>
      <c r="C548" t="s">
        <v>1915</v>
      </c>
      <c r="D548" t="s">
        <v>4476</v>
      </c>
      <c r="E548" t="s">
        <v>4473</v>
      </c>
      <c r="F548" s="3">
        <v>45321</v>
      </c>
      <c r="G548" s="3">
        <v>45321</v>
      </c>
      <c r="H548">
        <v>8.8000000000000007</v>
      </c>
      <c r="I548">
        <v>8</v>
      </c>
      <c r="J548" t="s">
        <v>4440</v>
      </c>
      <c r="K548" t="s">
        <v>4441</v>
      </c>
      <c r="L548" t="s">
        <v>4580</v>
      </c>
      <c r="M548" t="s">
        <v>1625</v>
      </c>
      <c r="N548">
        <v>3</v>
      </c>
    </row>
    <row r="549" spans="1:14" x14ac:dyDescent="0.35">
      <c r="A549" t="s">
        <v>5028</v>
      </c>
      <c r="B549" t="s">
        <v>400</v>
      </c>
      <c r="C549" t="s">
        <v>1915</v>
      </c>
      <c r="D549" t="s">
        <v>4460</v>
      </c>
      <c r="E549" t="s">
        <v>4439</v>
      </c>
      <c r="F549" s="3">
        <v>45241</v>
      </c>
      <c r="G549" s="3" t="s">
        <v>537</v>
      </c>
      <c r="I549">
        <v>48</v>
      </c>
      <c r="J549" t="s">
        <v>4440</v>
      </c>
      <c r="K549" t="s">
        <v>4457</v>
      </c>
      <c r="L549" t="s">
        <v>4461</v>
      </c>
      <c r="M549" t="s">
        <v>4450</v>
      </c>
    </row>
    <row r="550" spans="1:14" x14ac:dyDescent="0.35">
      <c r="A550" t="s">
        <v>5029</v>
      </c>
      <c r="B550" t="s">
        <v>465</v>
      </c>
      <c r="C550" t="s">
        <v>1883</v>
      </c>
      <c r="D550" t="s">
        <v>4490</v>
      </c>
      <c r="E550" t="s">
        <v>4456</v>
      </c>
      <c r="F550" s="3">
        <v>45005</v>
      </c>
      <c r="G550" s="3" t="s">
        <v>537</v>
      </c>
      <c r="I550">
        <v>4</v>
      </c>
      <c r="J550" t="s">
        <v>4440</v>
      </c>
      <c r="K550" t="s">
        <v>4457</v>
      </c>
      <c r="L550" t="s">
        <v>4533</v>
      </c>
      <c r="M550" t="s">
        <v>4450</v>
      </c>
    </row>
    <row r="551" spans="1:14" x14ac:dyDescent="0.35">
      <c r="A551" t="s">
        <v>5030</v>
      </c>
      <c r="B551" t="s">
        <v>316</v>
      </c>
      <c r="C551" t="s">
        <v>1927</v>
      </c>
      <c r="D551" t="s">
        <v>4443</v>
      </c>
      <c r="E551" t="s">
        <v>4456</v>
      </c>
      <c r="F551" s="3">
        <v>45386</v>
      </c>
      <c r="G551" s="3" t="s">
        <v>537</v>
      </c>
      <c r="I551">
        <v>4</v>
      </c>
      <c r="J551" t="s">
        <v>4440</v>
      </c>
      <c r="K551" t="s">
        <v>4474</v>
      </c>
      <c r="L551" t="s">
        <v>4449</v>
      </c>
      <c r="M551" t="s">
        <v>4462</v>
      </c>
    </row>
    <row r="552" spans="1:14" x14ac:dyDescent="0.35">
      <c r="A552" t="s">
        <v>5031</v>
      </c>
      <c r="B552" t="s">
        <v>425</v>
      </c>
      <c r="C552" t="s">
        <v>1883</v>
      </c>
      <c r="D552" t="s">
        <v>4485</v>
      </c>
      <c r="E552" t="s">
        <v>4444</v>
      </c>
      <c r="F552" s="3">
        <v>45274</v>
      </c>
      <c r="G552" s="3">
        <v>45274</v>
      </c>
      <c r="H552">
        <v>7.3</v>
      </c>
      <c r="I552">
        <v>24</v>
      </c>
      <c r="J552" t="s">
        <v>4448</v>
      </c>
      <c r="K552" t="s">
        <v>4441</v>
      </c>
      <c r="L552" t="s">
        <v>4527</v>
      </c>
      <c r="M552" t="s">
        <v>1625</v>
      </c>
      <c r="N552">
        <v>5</v>
      </c>
    </row>
    <row r="553" spans="1:14" x14ac:dyDescent="0.35">
      <c r="A553" t="s">
        <v>5032</v>
      </c>
      <c r="B553" t="s">
        <v>88</v>
      </c>
      <c r="C553" t="s">
        <v>1904</v>
      </c>
      <c r="D553" t="s">
        <v>4472</v>
      </c>
      <c r="E553" t="s">
        <v>4444</v>
      </c>
      <c r="F553" s="3">
        <v>45553</v>
      </c>
      <c r="G553" s="3" t="s">
        <v>537</v>
      </c>
      <c r="I553">
        <v>24</v>
      </c>
      <c r="J553" t="s">
        <v>4440</v>
      </c>
      <c r="K553" t="s">
        <v>4457</v>
      </c>
      <c r="L553" t="s">
        <v>4449</v>
      </c>
      <c r="M553" t="s">
        <v>1625</v>
      </c>
    </row>
    <row r="554" spans="1:14" x14ac:dyDescent="0.35">
      <c r="A554" t="s">
        <v>5033</v>
      </c>
      <c r="B554" t="s">
        <v>99</v>
      </c>
      <c r="C554" t="s">
        <v>1904</v>
      </c>
      <c r="D554" t="s">
        <v>4482</v>
      </c>
      <c r="E554" t="s">
        <v>4444</v>
      </c>
      <c r="F554" s="3">
        <v>45398</v>
      </c>
      <c r="G554" s="3">
        <v>45399</v>
      </c>
      <c r="H554">
        <v>25.7</v>
      </c>
      <c r="I554">
        <v>24</v>
      </c>
      <c r="J554" t="s">
        <v>4440</v>
      </c>
      <c r="K554" t="s">
        <v>4441</v>
      </c>
      <c r="L554" t="s">
        <v>4458</v>
      </c>
      <c r="M554" t="s">
        <v>4446</v>
      </c>
      <c r="N554">
        <v>3</v>
      </c>
    </row>
    <row r="555" spans="1:14" x14ac:dyDescent="0.35">
      <c r="A555" t="s">
        <v>5034</v>
      </c>
      <c r="B555" t="s">
        <v>52</v>
      </c>
      <c r="C555" t="s">
        <v>1899</v>
      </c>
      <c r="D555" t="s">
        <v>4452</v>
      </c>
      <c r="E555" t="s">
        <v>4439</v>
      </c>
      <c r="F555" s="3">
        <v>45696</v>
      </c>
      <c r="G555" s="3" t="s">
        <v>537</v>
      </c>
      <c r="I555">
        <v>48</v>
      </c>
      <c r="J555" t="s">
        <v>4448</v>
      </c>
      <c r="K555" t="s">
        <v>4457</v>
      </c>
      <c r="L555" t="s">
        <v>4512</v>
      </c>
      <c r="M555" t="s">
        <v>1625</v>
      </c>
    </row>
    <row r="556" spans="1:14" x14ac:dyDescent="0.35">
      <c r="A556" t="s">
        <v>5035</v>
      </c>
      <c r="B556" t="s">
        <v>365</v>
      </c>
      <c r="C556" t="s">
        <v>1899</v>
      </c>
      <c r="D556" t="s">
        <v>4469</v>
      </c>
      <c r="E556" t="s">
        <v>4444</v>
      </c>
      <c r="F556" s="3">
        <v>45206</v>
      </c>
      <c r="G556" s="3" t="s">
        <v>537</v>
      </c>
      <c r="I556">
        <v>24</v>
      </c>
      <c r="J556" t="s">
        <v>4448</v>
      </c>
      <c r="K556" t="s">
        <v>4457</v>
      </c>
      <c r="L556" t="s">
        <v>4470</v>
      </c>
      <c r="M556" t="s">
        <v>1625</v>
      </c>
    </row>
    <row r="557" spans="1:14" x14ac:dyDescent="0.35">
      <c r="A557" t="s">
        <v>5036</v>
      </c>
      <c r="B557" t="s">
        <v>426</v>
      </c>
      <c r="C557" t="s">
        <v>1915</v>
      </c>
      <c r="D557" t="s">
        <v>4482</v>
      </c>
      <c r="E557" t="s">
        <v>4439</v>
      </c>
      <c r="F557" s="3">
        <v>45022</v>
      </c>
      <c r="G557" s="3">
        <v>45024</v>
      </c>
      <c r="H557">
        <v>61.7</v>
      </c>
      <c r="I557">
        <v>48</v>
      </c>
      <c r="J557" t="s">
        <v>4440</v>
      </c>
      <c r="K557" t="s">
        <v>4441</v>
      </c>
      <c r="L557" t="s">
        <v>4483</v>
      </c>
      <c r="M557" t="s">
        <v>1625</v>
      </c>
      <c r="N557">
        <v>4</v>
      </c>
    </row>
    <row r="558" spans="1:14" x14ac:dyDescent="0.35">
      <c r="A558" t="s">
        <v>5037</v>
      </c>
      <c r="B558" t="s">
        <v>219</v>
      </c>
      <c r="C558" t="s">
        <v>1883</v>
      </c>
      <c r="D558" t="s">
        <v>4443</v>
      </c>
      <c r="E558" t="s">
        <v>4444</v>
      </c>
      <c r="F558" s="3">
        <v>45375</v>
      </c>
      <c r="G558" s="3" t="s">
        <v>537</v>
      </c>
      <c r="I558">
        <v>24</v>
      </c>
      <c r="J558" t="s">
        <v>4440</v>
      </c>
      <c r="K558" t="s">
        <v>4474</v>
      </c>
      <c r="L558" t="s">
        <v>4480</v>
      </c>
      <c r="M558" t="s">
        <v>1625</v>
      </c>
    </row>
    <row r="559" spans="1:14" x14ac:dyDescent="0.35">
      <c r="A559" t="s">
        <v>5038</v>
      </c>
      <c r="B559" t="s">
        <v>88</v>
      </c>
      <c r="C559" t="s">
        <v>1904</v>
      </c>
      <c r="D559" t="s">
        <v>4479</v>
      </c>
      <c r="E559" t="s">
        <v>4444</v>
      </c>
      <c r="F559" s="3">
        <v>45337</v>
      </c>
      <c r="G559" s="3" t="s">
        <v>537</v>
      </c>
      <c r="I559">
        <v>24</v>
      </c>
      <c r="J559" t="s">
        <v>4448</v>
      </c>
      <c r="K559" t="s">
        <v>4457</v>
      </c>
      <c r="L559" t="s">
        <v>4480</v>
      </c>
      <c r="M559" t="s">
        <v>4462</v>
      </c>
    </row>
    <row r="560" spans="1:14" x14ac:dyDescent="0.35">
      <c r="A560" t="s">
        <v>5039</v>
      </c>
      <c r="B560" t="s">
        <v>411</v>
      </c>
      <c r="C560" t="s">
        <v>1927</v>
      </c>
      <c r="D560" t="s">
        <v>4485</v>
      </c>
      <c r="E560" t="s">
        <v>4456</v>
      </c>
      <c r="F560" s="3">
        <v>45388</v>
      </c>
      <c r="G560" s="3" t="s">
        <v>537</v>
      </c>
      <c r="I560">
        <v>4</v>
      </c>
      <c r="J560" t="s">
        <v>4440</v>
      </c>
      <c r="K560" t="s">
        <v>4474</v>
      </c>
      <c r="L560" t="s">
        <v>4467</v>
      </c>
      <c r="M560" t="s">
        <v>1625</v>
      </c>
    </row>
    <row r="561" spans="1:14" x14ac:dyDescent="0.35">
      <c r="A561" t="s">
        <v>5040</v>
      </c>
      <c r="B561" t="s">
        <v>211</v>
      </c>
      <c r="C561" t="s">
        <v>1899</v>
      </c>
      <c r="D561" t="s">
        <v>4460</v>
      </c>
      <c r="E561" t="s">
        <v>4456</v>
      </c>
      <c r="F561" s="3">
        <v>45430</v>
      </c>
      <c r="G561" s="3">
        <v>45430</v>
      </c>
      <c r="H561">
        <v>1.6</v>
      </c>
      <c r="I561">
        <v>4</v>
      </c>
      <c r="J561" t="s">
        <v>4448</v>
      </c>
      <c r="K561" t="s">
        <v>4441</v>
      </c>
      <c r="L561" t="s">
        <v>4492</v>
      </c>
      <c r="M561" t="s">
        <v>4446</v>
      </c>
      <c r="N561">
        <v>2</v>
      </c>
    </row>
    <row r="562" spans="1:14" x14ac:dyDescent="0.35">
      <c r="A562" t="s">
        <v>5041</v>
      </c>
      <c r="B562" t="s">
        <v>414</v>
      </c>
      <c r="C562" t="s">
        <v>1899</v>
      </c>
      <c r="D562" t="s">
        <v>4469</v>
      </c>
      <c r="E562" t="s">
        <v>4473</v>
      </c>
      <c r="F562" s="3">
        <v>45391</v>
      </c>
      <c r="G562" s="3" t="s">
        <v>537</v>
      </c>
      <c r="I562">
        <v>8</v>
      </c>
      <c r="J562" t="s">
        <v>4440</v>
      </c>
      <c r="K562" t="s">
        <v>4457</v>
      </c>
      <c r="L562" t="s">
        <v>4458</v>
      </c>
      <c r="M562" t="s">
        <v>4450</v>
      </c>
    </row>
    <row r="563" spans="1:14" x14ac:dyDescent="0.35">
      <c r="A563" t="s">
        <v>5042</v>
      </c>
      <c r="B563" t="s">
        <v>196</v>
      </c>
      <c r="C563" t="s">
        <v>1904</v>
      </c>
      <c r="D563" t="s">
        <v>4490</v>
      </c>
      <c r="E563" t="s">
        <v>4473</v>
      </c>
      <c r="F563" s="3">
        <v>45523</v>
      </c>
      <c r="G563" s="3">
        <v>45523</v>
      </c>
      <c r="H563">
        <v>11.3</v>
      </c>
      <c r="I563">
        <v>8</v>
      </c>
      <c r="J563" t="s">
        <v>4440</v>
      </c>
      <c r="K563" t="s">
        <v>4441</v>
      </c>
      <c r="L563" t="s">
        <v>4483</v>
      </c>
      <c r="M563" t="s">
        <v>1625</v>
      </c>
      <c r="N563">
        <v>4</v>
      </c>
    </row>
    <row r="564" spans="1:14" x14ac:dyDescent="0.35">
      <c r="A564" t="s">
        <v>5043</v>
      </c>
      <c r="B564" t="s">
        <v>92</v>
      </c>
      <c r="C564" t="s">
        <v>1899</v>
      </c>
      <c r="D564" t="s">
        <v>4443</v>
      </c>
      <c r="E564" t="s">
        <v>4439</v>
      </c>
      <c r="F564" s="3">
        <v>45020</v>
      </c>
      <c r="G564" s="3">
        <v>45024</v>
      </c>
      <c r="H564">
        <v>109.1</v>
      </c>
      <c r="I564">
        <v>48</v>
      </c>
      <c r="J564" t="s">
        <v>4440</v>
      </c>
      <c r="K564" t="s">
        <v>4441</v>
      </c>
      <c r="L564" t="s">
        <v>4514</v>
      </c>
      <c r="M564" t="s">
        <v>4462</v>
      </c>
      <c r="N564">
        <v>3</v>
      </c>
    </row>
    <row r="565" spans="1:14" x14ac:dyDescent="0.35">
      <c r="A565" t="s">
        <v>5044</v>
      </c>
      <c r="B565" t="s">
        <v>262</v>
      </c>
      <c r="C565" t="s">
        <v>1883</v>
      </c>
      <c r="D565" t="s">
        <v>4472</v>
      </c>
      <c r="E565" t="s">
        <v>4439</v>
      </c>
      <c r="F565" s="3">
        <v>45365</v>
      </c>
      <c r="G565" s="3">
        <v>45367</v>
      </c>
      <c r="H565">
        <v>57.5</v>
      </c>
      <c r="I565">
        <v>48</v>
      </c>
      <c r="J565" t="s">
        <v>4440</v>
      </c>
      <c r="K565" t="s">
        <v>4441</v>
      </c>
      <c r="L565" t="s">
        <v>4470</v>
      </c>
      <c r="M565" t="s">
        <v>4450</v>
      </c>
      <c r="N565">
        <v>3</v>
      </c>
    </row>
    <row r="566" spans="1:14" x14ac:dyDescent="0.35">
      <c r="A566" t="s">
        <v>5045</v>
      </c>
      <c r="B566" t="s">
        <v>434</v>
      </c>
      <c r="C566" t="s">
        <v>1883</v>
      </c>
      <c r="D566" t="s">
        <v>4476</v>
      </c>
      <c r="E566" t="s">
        <v>4444</v>
      </c>
      <c r="F566" s="3">
        <v>45328</v>
      </c>
      <c r="G566" s="3">
        <v>45330</v>
      </c>
      <c r="H566">
        <v>50.1</v>
      </c>
      <c r="I566">
        <v>24</v>
      </c>
      <c r="J566" t="s">
        <v>4440</v>
      </c>
      <c r="K566" t="s">
        <v>4441</v>
      </c>
      <c r="L566" t="s">
        <v>4470</v>
      </c>
      <c r="M566" t="s">
        <v>4462</v>
      </c>
      <c r="N566">
        <v>5</v>
      </c>
    </row>
    <row r="567" spans="1:14" x14ac:dyDescent="0.35">
      <c r="A567" t="s">
        <v>5046</v>
      </c>
      <c r="B567" t="s">
        <v>257</v>
      </c>
      <c r="C567" t="s">
        <v>1899</v>
      </c>
      <c r="D567" t="s">
        <v>4482</v>
      </c>
      <c r="E567" t="s">
        <v>4473</v>
      </c>
      <c r="F567" s="3">
        <v>45640</v>
      </c>
      <c r="G567" s="3">
        <v>45640</v>
      </c>
      <c r="H567">
        <v>11</v>
      </c>
      <c r="I567">
        <v>8</v>
      </c>
      <c r="J567" t="s">
        <v>4440</v>
      </c>
      <c r="K567" t="s">
        <v>4441</v>
      </c>
      <c r="L567" t="s">
        <v>4449</v>
      </c>
      <c r="M567" t="s">
        <v>4462</v>
      </c>
      <c r="N567">
        <v>5</v>
      </c>
    </row>
    <row r="568" spans="1:14" x14ac:dyDescent="0.35">
      <c r="A568" t="s">
        <v>5047</v>
      </c>
      <c r="B568" t="s">
        <v>307</v>
      </c>
      <c r="C568" t="s">
        <v>1899</v>
      </c>
      <c r="D568" t="s">
        <v>4452</v>
      </c>
      <c r="E568" t="s">
        <v>4444</v>
      </c>
      <c r="F568" s="3">
        <v>45263</v>
      </c>
      <c r="G568" s="3">
        <v>45265</v>
      </c>
      <c r="H568">
        <v>53.8</v>
      </c>
      <c r="I568">
        <v>24</v>
      </c>
      <c r="J568" t="s">
        <v>4440</v>
      </c>
      <c r="K568" t="s">
        <v>4441</v>
      </c>
      <c r="L568" t="s">
        <v>4449</v>
      </c>
      <c r="M568" t="s">
        <v>1625</v>
      </c>
    </row>
    <row r="569" spans="1:14" x14ac:dyDescent="0.35">
      <c r="A569" t="s">
        <v>5048</v>
      </c>
      <c r="B569" t="s">
        <v>275</v>
      </c>
      <c r="C569" t="s">
        <v>1899</v>
      </c>
      <c r="D569" t="s">
        <v>4490</v>
      </c>
      <c r="E569" t="s">
        <v>4444</v>
      </c>
      <c r="F569" s="3">
        <v>44938</v>
      </c>
      <c r="G569" s="3">
        <v>44940</v>
      </c>
      <c r="H569">
        <v>57.5</v>
      </c>
      <c r="I569">
        <v>24</v>
      </c>
      <c r="J569" t="s">
        <v>4440</v>
      </c>
      <c r="K569" t="s">
        <v>4441</v>
      </c>
      <c r="L569" t="s">
        <v>4509</v>
      </c>
      <c r="M569" t="s">
        <v>4450</v>
      </c>
      <c r="N569">
        <v>4</v>
      </c>
    </row>
    <row r="570" spans="1:14" x14ac:dyDescent="0.35">
      <c r="A570" t="s">
        <v>5049</v>
      </c>
      <c r="B570" t="s">
        <v>437</v>
      </c>
      <c r="C570" t="s">
        <v>1904</v>
      </c>
      <c r="D570" t="s">
        <v>4472</v>
      </c>
      <c r="E570" t="s">
        <v>4456</v>
      </c>
      <c r="F570" s="3">
        <v>45158</v>
      </c>
      <c r="G570" s="3">
        <v>45158</v>
      </c>
      <c r="H570">
        <v>2.7</v>
      </c>
      <c r="I570">
        <v>4</v>
      </c>
      <c r="J570" t="s">
        <v>4448</v>
      </c>
      <c r="K570" t="s">
        <v>4441</v>
      </c>
      <c r="L570" t="s">
        <v>4461</v>
      </c>
      <c r="M570" t="s">
        <v>1625</v>
      </c>
      <c r="N570">
        <v>3</v>
      </c>
    </row>
    <row r="571" spans="1:14" x14ac:dyDescent="0.35">
      <c r="A571" t="s">
        <v>5050</v>
      </c>
      <c r="B571" t="s">
        <v>361</v>
      </c>
      <c r="C571" t="s">
        <v>1890</v>
      </c>
      <c r="D571" t="s">
        <v>4438</v>
      </c>
      <c r="E571" t="s">
        <v>4456</v>
      </c>
      <c r="F571" s="3">
        <v>45285</v>
      </c>
      <c r="G571" s="3" t="s">
        <v>537</v>
      </c>
      <c r="I571">
        <v>4</v>
      </c>
      <c r="J571" t="s">
        <v>4440</v>
      </c>
      <c r="K571" t="s">
        <v>4453</v>
      </c>
      <c r="L571" t="s">
        <v>4527</v>
      </c>
      <c r="M571" t="s">
        <v>1625</v>
      </c>
    </row>
    <row r="572" spans="1:14" x14ac:dyDescent="0.35">
      <c r="A572" t="s">
        <v>5051</v>
      </c>
      <c r="B572" t="s">
        <v>85</v>
      </c>
      <c r="C572" t="s">
        <v>1904</v>
      </c>
      <c r="D572" t="s">
        <v>4472</v>
      </c>
      <c r="E572" t="s">
        <v>4439</v>
      </c>
      <c r="F572" s="3">
        <v>45409</v>
      </c>
      <c r="G572" s="3" t="s">
        <v>537</v>
      </c>
      <c r="I572">
        <v>48</v>
      </c>
      <c r="J572" t="s">
        <v>4440</v>
      </c>
      <c r="K572" t="s">
        <v>4474</v>
      </c>
      <c r="L572" t="s">
        <v>4470</v>
      </c>
      <c r="M572" t="s">
        <v>1625</v>
      </c>
    </row>
    <row r="573" spans="1:14" x14ac:dyDescent="0.35">
      <c r="A573" t="s">
        <v>5052</v>
      </c>
      <c r="B573" t="s">
        <v>356</v>
      </c>
      <c r="C573" t="s">
        <v>1890</v>
      </c>
      <c r="D573" t="s">
        <v>4490</v>
      </c>
      <c r="E573" t="s">
        <v>4444</v>
      </c>
      <c r="F573" s="3">
        <v>45663</v>
      </c>
      <c r="G573" s="3">
        <v>45663</v>
      </c>
      <c r="H573">
        <v>9.6</v>
      </c>
      <c r="I573">
        <v>24</v>
      </c>
      <c r="J573" t="s">
        <v>4448</v>
      </c>
      <c r="K573" t="s">
        <v>4441</v>
      </c>
      <c r="L573" t="s">
        <v>4514</v>
      </c>
      <c r="M573" t="s">
        <v>4450</v>
      </c>
      <c r="N573">
        <v>4</v>
      </c>
    </row>
    <row r="574" spans="1:14" x14ac:dyDescent="0.35">
      <c r="A574" t="s">
        <v>5053</v>
      </c>
      <c r="B574" t="s">
        <v>228</v>
      </c>
      <c r="C574" t="s">
        <v>1915</v>
      </c>
      <c r="D574" t="s">
        <v>4469</v>
      </c>
      <c r="E574" t="s">
        <v>4444</v>
      </c>
      <c r="F574" s="3">
        <v>45315</v>
      </c>
      <c r="G574" s="3">
        <v>45315</v>
      </c>
      <c r="H574">
        <v>4.2</v>
      </c>
      <c r="I574">
        <v>24</v>
      </c>
      <c r="J574" t="s">
        <v>4448</v>
      </c>
      <c r="K574" t="s">
        <v>4441</v>
      </c>
      <c r="L574" t="s">
        <v>4488</v>
      </c>
      <c r="M574" t="s">
        <v>1625</v>
      </c>
      <c r="N574">
        <v>4</v>
      </c>
    </row>
    <row r="575" spans="1:14" x14ac:dyDescent="0.35">
      <c r="A575" t="s">
        <v>5054</v>
      </c>
      <c r="B575" t="s">
        <v>234</v>
      </c>
      <c r="C575" t="s">
        <v>1927</v>
      </c>
      <c r="D575" t="s">
        <v>4490</v>
      </c>
      <c r="E575" t="s">
        <v>4439</v>
      </c>
      <c r="F575" s="3">
        <v>45054</v>
      </c>
      <c r="G575" s="3" t="s">
        <v>537</v>
      </c>
      <c r="I575">
        <v>48</v>
      </c>
      <c r="J575" t="s">
        <v>4440</v>
      </c>
      <c r="K575" t="s">
        <v>4457</v>
      </c>
      <c r="L575" t="s">
        <v>4509</v>
      </c>
      <c r="M575" t="s">
        <v>4450</v>
      </c>
    </row>
    <row r="576" spans="1:14" x14ac:dyDescent="0.35">
      <c r="A576" t="s">
        <v>5055</v>
      </c>
      <c r="B576" t="s">
        <v>434</v>
      </c>
      <c r="C576" t="s">
        <v>1883</v>
      </c>
      <c r="D576" t="s">
        <v>4472</v>
      </c>
      <c r="E576" t="s">
        <v>4444</v>
      </c>
      <c r="F576" s="3">
        <v>45413</v>
      </c>
      <c r="G576" s="3" t="s">
        <v>537</v>
      </c>
      <c r="I576">
        <v>24</v>
      </c>
      <c r="J576" t="s">
        <v>4440</v>
      </c>
      <c r="K576" t="s">
        <v>4457</v>
      </c>
      <c r="L576" t="s">
        <v>4492</v>
      </c>
      <c r="M576" t="s">
        <v>1625</v>
      </c>
    </row>
    <row r="577" spans="1:14" x14ac:dyDescent="0.35">
      <c r="A577" t="s">
        <v>5056</v>
      </c>
      <c r="B577" t="s">
        <v>287</v>
      </c>
      <c r="C577" t="s">
        <v>1927</v>
      </c>
      <c r="D577" t="s">
        <v>4438</v>
      </c>
      <c r="E577" t="s">
        <v>4439</v>
      </c>
      <c r="F577" s="3">
        <v>45568</v>
      </c>
      <c r="G577" s="3" t="s">
        <v>537</v>
      </c>
      <c r="I577">
        <v>48</v>
      </c>
      <c r="J577" t="s">
        <v>4440</v>
      </c>
      <c r="K577" t="s">
        <v>4474</v>
      </c>
      <c r="L577" t="s">
        <v>4480</v>
      </c>
      <c r="M577" t="s">
        <v>4450</v>
      </c>
    </row>
    <row r="578" spans="1:14" x14ac:dyDescent="0.35">
      <c r="A578" t="s">
        <v>5057</v>
      </c>
      <c r="B578" t="s">
        <v>194</v>
      </c>
      <c r="C578" t="s">
        <v>1899</v>
      </c>
      <c r="D578" t="s">
        <v>4479</v>
      </c>
      <c r="E578" t="s">
        <v>4439</v>
      </c>
      <c r="F578" s="3">
        <v>45163</v>
      </c>
      <c r="G578" s="3" t="s">
        <v>537</v>
      </c>
      <c r="I578">
        <v>48</v>
      </c>
      <c r="J578" t="s">
        <v>4448</v>
      </c>
      <c r="K578" t="s">
        <v>4474</v>
      </c>
      <c r="L578" t="s">
        <v>4467</v>
      </c>
      <c r="M578" t="s">
        <v>4462</v>
      </c>
    </row>
    <row r="579" spans="1:14" x14ac:dyDescent="0.35">
      <c r="A579" t="s">
        <v>5058</v>
      </c>
      <c r="B579" t="s">
        <v>372</v>
      </c>
      <c r="C579" t="s">
        <v>1927</v>
      </c>
      <c r="D579" t="s">
        <v>4485</v>
      </c>
      <c r="E579" t="s">
        <v>4444</v>
      </c>
      <c r="F579" s="3">
        <v>45375</v>
      </c>
      <c r="G579" s="3">
        <v>45376</v>
      </c>
      <c r="H579">
        <v>28.9</v>
      </c>
      <c r="I579">
        <v>24</v>
      </c>
      <c r="J579" t="s">
        <v>4440</v>
      </c>
      <c r="K579" t="s">
        <v>4441</v>
      </c>
      <c r="L579" t="s">
        <v>4445</v>
      </c>
      <c r="M579" t="s">
        <v>4462</v>
      </c>
      <c r="N579">
        <v>3</v>
      </c>
    </row>
    <row r="580" spans="1:14" x14ac:dyDescent="0.35">
      <c r="A580" t="s">
        <v>5059</v>
      </c>
      <c r="B580" t="s">
        <v>188</v>
      </c>
      <c r="C580" t="s">
        <v>1904</v>
      </c>
      <c r="D580" t="s">
        <v>4464</v>
      </c>
      <c r="E580" t="s">
        <v>4473</v>
      </c>
      <c r="F580" s="3">
        <v>45627</v>
      </c>
      <c r="G580" s="3" t="s">
        <v>537</v>
      </c>
      <c r="I580">
        <v>8</v>
      </c>
      <c r="J580" t="s">
        <v>4448</v>
      </c>
      <c r="K580" t="s">
        <v>4457</v>
      </c>
      <c r="L580" t="s">
        <v>4458</v>
      </c>
      <c r="M580" t="s">
        <v>4450</v>
      </c>
    </row>
    <row r="581" spans="1:14" x14ac:dyDescent="0.35">
      <c r="A581" t="s">
        <v>5060</v>
      </c>
      <c r="B581" t="s">
        <v>404</v>
      </c>
      <c r="C581" t="s">
        <v>1927</v>
      </c>
      <c r="D581" t="s">
        <v>4476</v>
      </c>
      <c r="E581" t="s">
        <v>4444</v>
      </c>
      <c r="F581" s="3">
        <v>45746</v>
      </c>
      <c r="G581" s="3" t="s">
        <v>537</v>
      </c>
      <c r="I581">
        <v>24</v>
      </c>
      <c r="J581" t="s">
        <v>4448</v>
      </c>
      <c r="K581" t="s">
        <v>4453</v>
      </c>
      <c r="L581" t="s">
        <v>4454</v>
      </c>
      <c r="M581" t="s">
        <v>1625</v>
      </c>
    </row>
    <row r="582" spans="1:14" x14ac:dyDescent="0.35">
      <c r="A582" t="s">
        <v>5061</v>
      </c>
      <c r="B582" t="s">
        <v>423</v>
      </c>
      <c r="C582" t="s">
        <v>1890</v>
      </c>
      <c r="D582" t="s">
        <v>4482</v>
      </c>
      <c r="E582" t="s">
        <v>4473</v>
      </c>
      <c r="F582" s="3">
        <v>45579</v>
      </c>
      <c r="G582" s="3" t="s">
        <v>537</v>
      </c>
      <c r="I582">
        <v>8</v>
      </c>
      <c r="J582" t="s">
        <v>4440</v>
      </c>
      <c r="K582" t="s">
        <v>4474</v>
      </c>
      <c r="L582" t="s">
        <v>4580</v>
      </c>
      <c r="M582" t="s">
        <v>4450</v>
      </c>
    </row>
    <row r="583" spans="1:14" x14ac:dyDescent="0.35">
      <c r="A583" t="s">
        <v>5062</v>
      </c>
      <c r="B583" t="s">
        <v>130</v>
      </c>
      <c r="C583" t="s">
        <v>1899</v>
      </c>
      <c r="D583" t="s">
        <v>4476</v>
      </c>
      <c r="E583" t="s">
        <v>4439</v>
      </c>
      <c r="F583" s="3">
        <v>45427</v>
      </c>
      <c r="G583" s="3">
        <v>45430</v>
      </c>
      <c r="H583">
        <v>90.8</v>
      </c>
      <c r="I583">
        <v>48</v>
      </c>
      <c r="J583" t="s">
        <v>4440</v>
      </c>
      <c r="K583" t="s">
        <v>4441</v>
      </c>
      <c r="L583" t="s">
        <v>4449</v>
      </c>
      <c r="M583" t="s">
        <v>4446</v>
      </c>
      <c r="N583">
        <v>4</v>
      </c>
    </row>
    <row r="584" spans="1:14" x14ac:dyDescent="0.35">
      <c r="A584" t="s">
        <v>5063</v>
      </c>
      <c r="B584" t="s">
        <v>292</v>
      </c>
      <c r="C584" t="s">
        <v>1883</v>
      </c>
      <c r="D584" t="s">
        <v>4460</v>
      </c>
      <c r="E584" t="s">
        <v>4456</v>
      </c>
      <c r="F584" s="3">
        <v>45342</v>
      </c>
      <c r="G584" s="3">
        <v>45342</v>
      </c>
      <c r="H584">
        <v>5.3</v>
      </c>
      <c r="I584">
        <v>4</v>
      </c>
      <c r="J584" t="s">
        <v>4440</v>
      </c>
      <c r="K584" t="s">
        <v>4441</v>
      </c>
      <c r="L584" t="s">
        <v>4509</v>
      </c>
      <c r="M584" t="s">
        <v>4446</v>
      </c>
      <c r="N584">
        <v>3</v>
      </c>
    </row>
    <row r="585" spans="1:14" x14ac:dyDescent="0.35">
      <c r="A585" t="s">
        <v>5064</v>
      </c>
      <c r="B585" t="s">
        <v>94</v>
      </c>
      <c r="C585" t="s">
        <v>1890</v>
      </c>
      <c r="D585" t="s">
        <v>4464</v>
      </c>
      <c r="E585" t="s">
        <v>4473</v>
      </c>
      <c r="F585" s="3">
        <v>45146</v>
      </c>
      <c r="G585" s="3" t="s">
        <v>537</v>
      </c>
      <c r="I585">
        <v>8</v>
      </c>
      <c r="J585" t="s">
        <v>4440</v>
      </c>
      <c r="K585" t="s">
        <v>4457</v>
      </c>
      <c r="L585" t="s">
        <v>4492</v>
      </c>
      <c r="M585" t="s">
        <v>1625</v>
      </c>
    </row>
    <row r="586" spans="1:14" x14ac:dyDescent="0.35">
      <c r="A586" t="s">
        <v>5065</v>
      </c>
      <c r="B586" t="s">
        <v>448</v>
      </c>
      <c r="C586" t="s">
        <v>1890</v>
      </c>
      <c r="D586" t="s">
        <v>4438</v>
      </c>
      <c r="E586" t="s">
        <v>4473</v>
      </c>
      <c r="F586" s="3">
        <v>45537</v>
      </c>
      <c r="G586" s="3">
        <v>45537</v>
      </c>
      <c r="H586">
        <v>5.7</v>
      </c>
      <c r="I586">
        <v>8</v>
      </c>
      <c r="J586" t="s">
        <v>4448</v>
      </c>
      <c r="K586" t="s">
        <v>4441</v>
      </c>
      <c r="L586" t="s">
        <v>4527</v>
      </c>
      <c r="M586" t="s">
        <v>4446</v>
      </c>
      <c r="N586">
        <v>5</v>
      </c>
    </row>
    <row r="587" spans="1:14" x14ac:dyDescent="0.35">
      <c r="A587" t="s">
        <v>5066</v>
      </c>
      <c r="B587" t="s">
        <v>297</v>
      </c>
      <c r="C587" t="s">
        <v>1927</v>
      </c>
      <c r="D587" t="s">
        <v>8508</v>
      </c>
      <c r="E587" t="s">
        <v>4439</v>
      </c>
      <c r="F587" s="3">
        <v>44957</v>
      </c>
      <c r="G587" s="3" t="s">
        <v>537</v>
      </c>
      <c r="I587">
        <v>48</v>
      </c>
      <c r="J587" t="s">
        <v>4448</v>
      </c>
      <c r="K587" t="s">
        <v>4474</v>
      </c>
      <c r="L587" t="s">
        <v>4465</v>
      </c>
      <c r="M587" t="s">
        <v>1625</v>
      </c>
    </row>
    <row r="588" spans="1:14" x14ac:dyDescent="0.35">
      <c r="A588" t="s">
        <v>5067</v>
      </c>
      <c r="B588" t="s">
        <v>226</v>
      </c>
      <c r="C588" t="s">
        <v>1927</v>
      </c>
      <c r="D588" t="s">
        <v>4460</v>
      </c>
      <c r="E588" t="s">
        <v>4439</v>
      </c>
      <c r="F588" s="3">
        <v>44949</v>
      </c>
      <c r="G588" s="3" t="s">
        <v>537</v>
      </c>
      <c r="I588">
        <v>48</v>
      </c>
      <c r="J588" t="s">
        <v>4440</v>
      </c>
      <c r="K588" t="s">
        <v>4474</v>
      </c>
      <c r="L588" t="s">
        <v>4461</v>
      </c>
      <c r="M588" t="s">
        <v>4462</v>
      </c>
    </row>
    <row r="589" spans="1:14" x14ac:dyDescent="0.35">
      <c r="A589" t="s">
        <v>5068</v>
      </c>
      <c r="B589" t="s">
        <v>349</v>
      </c>
      <c r="C589" t="s">
        <v>1890</v>
      </c>
      <c r="D589" t="s">
        <v>4452</v>
      </c>
      <c r="E589" t="s">
        <v>4456</v>
      </c>
      <c r="F589" s="3">
        <v>45500</v>
      </c>
      <c r="G589" s="3" t="s">
        <v>537</v>
      </c>
      <c r="I589">
        <v>4</v>
      </c>
      <c r="J589" t="s">
        <v>4440</v>
      </c>
      <c r="K589" t="s">
        <v>4474</v>
      </c>
      <c r="L589" t="s">
        <v>4483</v>
      </c>
      <c r="M589" t="s">
        <v>4446</v>
      </c>
    </row>
    <row r="590" spans="1:14" x14ac:dyDescent="0.35">
      <c r="A590" t="s">
        <v>5069</v>
      </c>
      <c r="B590" t="s">
        <v>260</v>
      </c>
      <c r="C590" t="s">
        <v>1890</v>
      </c>
      <c r="D590" t="s">
        <v>4490</v>
      </c>
      <c r="E590" t="s">
        <v>4444</v>
      </c>
      <c r="F590" s="3">
        <v>45531</v>
      </c>
      <c r="G590" s="3">
        <v>45532</v>
      </c>
      <c r="H590">
        <v>33.4</v>
      </c>
      <c r="I590">
        <v>24</v>
      </c>
      <c r="J590" t="s">
        <v>4440</v>
      </c>
      <c r="K590" t="s">
        <v>4441</v>
      </c>
      <c r="L590" t="s">
        <v>4509</v>
      </c>
      <c r="M590" t="s">
        <v>4446</v>
      </c>
      <c r="N590">
        <v>5</v>
      </c>
    </row>
    <row r="591" spans="1:14" x14ac:dyDescent="0.35">
      <c r="A591" t="s">
        <v>5070</v>
      </c>
      <c r="B591" t="s">
        <v>308</v>
      </c>
      <c r="C591" t="s">
        <v>1890</v>
      </c>
      <c r="D591" t="s">
        <v>4472</v>
      </c>
      <c r="E591" t="s">
        <v>4444</v>
      </c>
      <c r="F591" s="3">
        <v>45197</v>
      </c>
      <c r="G591" s="3">
        <v>45197</v>
      </c>
      <c r="H591">
        <v>17.5</v>
      </c>
      <c r="I591">
        <v>24</v>
      </c>
      <c r="J591" t="s">
        <v>4448</v>
      </c>
      <c r="K591" t="s">
        <v>4441</v>
      </c>
      <c r="L591" t="s">
        <v>4467</v>
      </c>
      <c r="M591" t="s">
        <v>1625</v>
      </c>
      <c r="N591">
        <v>4</v>
      </c>
    </row>
    <row r="592" spans="1:14" x14ac:dyDescent="0.35">
      <c r="A592" t="s">
        <v>5071</v>
      </c>
      <c r="B592" t="s">
        <v>243</v>
      </c>
      <c r="C592" t="s">
        <v>1899</v>
      </c>
      <c r="D592" t="s">
        <v>4469</v>
      </c>
      <c r="E592" t="s">
        <v>4444</v>
      </c>
      <c r="F592" s="3">
        <v>45612</v>
      </c>
      <c r="G592" s="3">
        <v>45613</v>
      </c>
      <c r="H592">
        <v>32.4</v>
      </c>
      <c r="I592">
        <v>24</v>
      </c>
      <c r="J592" t="s">
        <v>4440</v>
      </c>
      <c r="K592" t="s">
        <v>4441</v>
      </c>
      <c r="L592" t="s">
        <v>4449</v>
      </c>
      <c r="M592" t="s">
        <v>4450</v>
      </c>
      <c r="N592">
        <v>4</v>
      </c>
    </row>
    <row r="593" spans="1:14" x14ac:dyDescent="0.35">
      <c r="A593" t="s">
        <v>5072</v>
      </c>
      <c r="B593" t="s">
        <v>11</v>
      </c>
      <c r="C593" t="s">
        <v>1883</v>
      </c>
      <c r="D593" t="s">
        <v>4490</v>
      </c>
      <c r="E593" t="s">
        <v>4456</v>
      </c>
      <c r="F593" s="3">
        <v>44994</v>
      </c>
      <c r="G593" s="3">
        <v>44994</v>
      </c>
      <c r="H593">
        <v>7.9</v>
      </c>
      <c r="I593">
        <v>4</v>
      </c>
      <c r="J593" t="s">
        <v>4440</v>
      </c>
      <c r="K593" t="s">
        <v>4441</v>
      </c>
      <c r="L593" t="s">
        <v>4467</v>
      </c>
      <c r="M593" t="s">
        <v>1625</v>
      </c>
      <c r="N593">
        <v>4</v>
      </c>
    </row>
    <row r="594" spans="1:14" x14ac:dyDescent="0.35">
      <c r="A594" t="s">
        <v>5073</v>
      </c>
      <c r="B594" t="s">
        <v>383</v>
      </c>
      <c r="C594" t="s">
        <v>1904</v>
      </c>
      <c r="D594" t="s">
        <v>4452</v>
      </c>
      <c r="E594" t="s">
        <v>4444</v>
      </c>
      <c r="F594" s="3">
        <v>45725</v>
      </c>
      <c r="G594" s="3">
        <v>45726</v>
      </c>
      <c r="H594">
        <v>41.3</v>
      </c>
      <c r="I594">
        <v>24</v>
      </c>
      <c r="J594" t="s">
        <v>4440</v>
      </c>
      <c r="K594" t="s">
        <v>4441</v>
      </c>
      <c r="L594" t="s">
        <v>4449</v>
      </c>
      <c r="M594" t="s">
        <v>4450</v>
      </c>
      <c r="N594">
        <v>4</v>
      </c>
    </row>
    <row r="595" spans="1:14" x14ac:dyDescent="0.35">
      <c r="A595" t="s">
        <v>5074</v>
      </c>
      <c r="B595" t="s">
        <v>370</v>
      </c>
      <c r="C595" t="s">
        <v>1899</v>
      </c>
      <c r="D595" t="s">
        <v>4438</v>
      </c>
      <c r="E595" t="s">
        <v>4444</v>
      </c>
      <c r="F595" s="3">
        <v>45107</v>
      </c>
      <c r="G595" s="3">
        <v>45109</v>
      </c>
      <c r="H595">
        <v>50.4</v>
      </c>
      <c r="I595">
        <v>24</v>
      </c>
      <c r="J595" t="s">
        <v>4440</v>
      </c>
      <c r="K595" t="s">
        <v>4441</v>
      </c>
      <c r="L595" t="s">
        <v>4458</v>
      </c>
      <c r="M595" t="s">
        <v>4450</v>
      </c>
      <c r="N595">
        <v>3</v>
      </c>
    </row>
    <row r="596" spans="1:14" x14ac:dyDescent="0.35">
      <c r="A596" t="s">
        <v>5075</v>
      </c>
      <c r="B596" t="s">
        <v>42</v>
      </c>
      <c r="C596" t="s">
        <v>1883</v>
      </c>
      <c r="D596" t="s">
        <v>4490</v>
      </c>
      <c r="E596" t="s">
        <v>4473</v>
      </c>
      <c r="F596" s="3">
        <v>45300</v>
      </c>
      <c r="G596" s="3">
        <v>45300</v>
      </c>
      <c r="H596">
        <v>16.2</v>
      </c>
      <c r="I596">
        <v>8</v>
      </c>
      <c r="J596" t="s">
        <v>4440</v>
      </c>
      <c r="K596" t="s">
        <v>4441</v>
      </c>
      <c r="L596" t="s">
        <v>4465</v>
      </c>
      <c r="M596" t="s">
        <v>1625</v>
      </c>
      <c r="N596">
        <v>3</v>
      </c>
    </row>
    <row r="597" spans="1:14" x14ac:dyDescent="0.35">
      <c r="A597" t="s">
        <v>5076</v>
      </c>
      <c r="B597" t="s">
        <v>337</v>
      </c>
      <c r="C597" t="s">
        <v>1883</v>
      </c>
      <c r="D597" t="s">
        <v>4482</v>
      </c>
      <c r="E597" t="s">
        <v>4444</v>
      </c>
      <c r="F597" s="3">
        <v>45369</v>
      </c>
      <c r="G597" s="3">
        <v>45369</v>
      </c>
      <c r="H597">
        <v>1.3</v>
      </c>
      <c r="I597">
        <v>24</v>
      </c>
      <c r="J597" t="s">
        <v>4448</v>
      </c>
      <c r="K597" t="s">
        <v>4441</v>
      </c>
      <c r="L597" t="s">
        <v>4458</v>
      </c>
      <c r="M597" t="s">
        <v>1625</v>
      </c>
      <c r="N597">
        <v>3</v>
      </c>
    </row>
    <row r="598" spans="1:14" x14ac:dyDescent="0.35">
      <c r="A598" t="s">
        <v>5077</v>
      </c>
      <c r="B598" t="s">
        <v>236</v>
      </c>
      <c r="C598" t="s">
        <v>1915</v>
      </c>
      <c r="D598" t="s">
        <v>4479</v>
      </c>
      <c r="E598" t="s">
        <v>4444</v>
      </c>
      <c r="F598" s="3">
        <v>45414</v>
      </c>
      <c r="G598" s="3">
        <v>45414</v>
      </c>
      <c r="H598">
        <v>0.6</v>
      </c>
      <c r="I598">
        <v>24</v>
      </c>
      <c r="J598" t="s">
        <v>4448</v>
      </c>
      <c r="K598" t="s">
        <v>4441</v>
      </c>
      <c r="L598" t="s">
        <v>4514</v>
      </c>
      <c r="M598" t="s">
        <v>4450</v>
      </c>
      <c r="N598">
        <v>4</v>
      </c>
    </row>
    <row r="599" spans="1:14" x14ac:dyDescent="0.35">
      <c r="A599" t="s">
        <v>5078</v>
      </c>
      <c r="B599" t="s">
        <v>476</v>
      </c>
      <c r="C599" t="s">
        <v>1915</v>
      </c>
      <c r="D599" t="s">
        <v>4443</v>
      </c>
      <c r="E599" t="s">
        <v>4473</v>
      </c>
      <c r="F599" s="3">
        <v>45408</v>
      </c>
      <c r="G599" s="3" t="s">
        <v>537</v>
      </c>
      <c r="I599">
        <v>8</v>
      </c>
      <c r="J599" t="s">
        <v>4448</v>
      </c>
      <c r="K599" t="s">
        <v>4474</v>
      </c>
      <c r="L599" t="s">
        <v>4488</v>
      </c>
      <c r="M599" t="s">
        <v>1625</v>
      </c>
    </row>
    <row r="600" spans="1:14" x14ac:dyDescent="0.35">
      <c r="A600" t="s">
        <v>5079</v>
      </c>
      <c r="B600" t="s">
        <v>472</v>
      </c>
      <c r="C600" t="s">
        <v>1890</v>
      </c>
      <c r="D600" t="s">
        <v>4452</v>
      </c>
      <c r="E600" t="s">
        <v>4456</v>
      </c>
      <c r="F600" s="3">
        <v>45325</v>
      </c>
      <c r="G600" s="3">
        <v>45325</v>
      </c>
      <c r="H600">
        <v>4.4000000000000004</v>
      </c>
      <c r="I600">
        <v>4</v>
      </c>
      <c r="J600" t="s">
        <v>4440</v>
      </c>
      <c r="K600" t="s">
        <v>4441</v>
      </c>
      <c r="L600" t="s">
        <v>4467</v>
      </c>
      <c r="M600" t="s">
        <v>4462</v>
      </c>
      <c r="N600">
        <v>2</v>
      </c>
    </row>
    <row r="601" spans="1:14" x14ac:dyDescent="0.35">
      <c r="A601" t="s">
        <v>5080</v>
      </c>
      <c r="B601" t="s">
        <v>218</v>
      </c>
      <c r="C601" t="s">
        <v>1927</v>
      </c>
      <c r="D601" t="s">
        <v>4438</v>
      </c>
      <c r="E601" t="s">
        <v>4456</v>
      </c>
      <c r="F601" s="3">
        <v>45517</v>
      </c>
      <c r="G601" s="3">
        <v>45517</v>
      </c>
      <c r="H601">
        <v>8.4</v>
      </c>
      <c r="I601">
        <v>4</v>
      </c>
      <c r="J601" t="s">
        <v>4440</v>
      </c>
      <c r="K601" t="s">
        <v>4441</v>
      </c>
      <c r="L601" t="s">
        <v>4461</v>
      </c>
      <c r="M601" t="s">
        <v>4450</v>
      </c>
      <c r="N601">
        <v>5</v>
      </c>
    </row>
    <row r="602" spans="1:14" x14ac:dyDescent="0.35">
      <c r="A602" t="s">
        <v>5081</v>
      </c>
      <c r="B602" t="s">
        <v>466</v>
      </c>
      <c r="C602" t="s">
        <v>1883</v>
      </c>
      <c r="D602" t="s">
        <v>4476</v>
      </c>
      <c r="E602" t="s">
        <v>4473</v>
      </c>
      <c r="F602" s="3">
        <v>45509</v>
      </c>
      <c r="G602" s="3" t="s">
        <v>537</v>
      </c>
      <c r="I602">
        <v>8</v>
      </c>
      <c r="J602" t="s">
        <v>4448</v>
      </c>
      <c r="K602" t="s">
        <v>4457</v>
      </c>
      <c r="L602" t="s">
        <v>4467</v>
      </c>
      <c r="M602" t="s">
        <v>4462</v>
      </c>
    </row>
    <row r="603" spans="1:14" x14ac:dyDescent="0.35">
      <c r="A603" t="s">
        <v>5082</v>
      </c>
      <c r="B603" t="s">
        <v>154</v>
      </c>
      <c r="C603" t="s">
        <v>1927</v>
      </c>
      <c r="D603" t="s">
        <v>4476</v>
      </c>
      <c r="E603" t="s">
        <v>4439</v>
      </c>
      <c r="F603" s="3">
        <v>45160</v>
      </c>
      <c r="G603" s="3" t="s">
        <v>537</v>
      </c>
      <c r="I603">
        <v>48</v>
      </c>
      <c r="J603" t="s">
        <v>4448</v>
      </c>
      <c r="K603" t="s">
        <v>4453</v>
      </c>
      <c r="L603" t="s">
        <v>4483</v>
      </c>
      <c r="M603" t="s">
        <v>4462</v>
      </c>
    </row>
    <row r="604" spans="1:14" x14ac:dyDescent="0.35">
      <c r="A604" t="s">
        <v>5083</v>
      </c>
      <c r="B604" t="s">
        <v>498</v>
      </c>
      <c r="C604" t="s">
        <v>1904</v>
      </c>
      <c r="D604" t="s">
        <v>4476</v>
      </c>
      <c r="E604" t="s">
        <v>4444</v>
      </c>
      <c r="F604" s="3">
        <v>45158</v>
      </c>
      <c r="G604" s="3" t="s">
        <v>537</v>
      </c>
      <c r="I604">
        <v>24</v>
      </c>
      <c r="J604" t="s">
        <v>4440</v>
      </c>
      <c r="K604" t="s">
        <v>4457</v>
      </c>
      <c r="L604" t="s">
        <v>4527</v>
      </c>
      <c r="M604" t="s">
        <v>4446</v>
      </c>
    </row>
    <row r="605" spans="1:14" x14ac:dyDescent="0.35">
      <c r="A605" t="s">
        <v>5084</v>
      </c>
      <c r="B605" t="s">
        <v>283</v>
      </c>
      <c r="C605" t="s">
        <v>1915</v>
      </c>
      <c r="D605" t="s">
        <v>4464</v>
      </c>
      <c r="E605" t="s">
        <v>4444</v>
      </c>
      <c r="F605" s="3">
        <v>45259</v>
      </c>
      <c r="G605" s="3">
        <v>45260</v>
      </c>
      <c r="H605">
        <v>35.200000000000003</v>
      </c>
      <c r="I605">
        <v>24</v>
      </c>
      <c r="J605" t="s">
        <v>4440</v>
      </c>
      <c r="K605" t="s">
        <v>4441</v>
      </c>
      <c r="L605" t="s">
        <v>4509</v>
      </c>
      <c r="M605" t="s">
        <v>4462</v>
      </c>
    </row>
    <row r="606" spans="1:14" x14ac:dyDescent="0.35">
      <c r="A606" t="s">
        <v>5085</v>
      </c>
      <c r="B606" t="s">
        <v>456</v>
      </c>
      <c r="C606" t="s">
        <v>1904</v>
      </c>
      <c r="D606" t="s">
        <v>4464</v>
      </c>
      <c r="E606" t="s">
        <v>4444</v>
      </c>
      <c r="F606" s="3">
        <v>45516</v>
      </c>
      <c r="G606" s="3">
        <v>45517</v>
      </c>
      <c r="H606">
        <v>45.7</v>
      </c>
      <c r="I606">
        <v>24</v>
      </c>
      <c r="J606" t="s">
        <v>4440</v>
      </c>
      <c r="K606" t="s">
        <v>4441</v>
      </c>
      <c r="L606" t="s">
        <v>4449</v>
      </c>
      <c r="M606" t="s">
        <v>4450</v>
      </c>
      <c r="N606">
        <v>4</v>
      </c>
    </row>
    <row r="607" spans="1:14" x14ac:dyDescent="0.35">
      <c r="A607" t="s">
        <v>5086</v>
      </c>
      <c r="B607" t="s">
        <v>451</v>
      </c>
      <c r="C607" t="s">
        <v>1915</v>
      </c>
      <c r="D607" t="s">
        <v>4479</v>
      </c>
      <c r="E607" t="s">
        <v>4439</v>
      </c>
      <c r="F607" s="3">
        <v>45570</v>
      </c>
      <c r="G607" s="3" t="s">
        <v>537</v>
      </c>
      <c r="I607">
        <v>48</v>
      </c>
      <c r="J607" t="s">
        <v>4440</v>
      </c>
      <c r="K607" t="s">
        <v>4474</v>
      </c>
      <c r="L607" t="s">
        <v>4449</v>
      </c>
      <c r="M607" t="s">
        <v>4446</v>
      </c>
    </row>
    <row r="608" spans="1:14" x14ac:dyDescent="0.35">
      <c r="A608" t="s">
        <v>5087</v>
      </c>
      <c r="B608" t="s">
        <v>493</v>
      </c>
      <c r="C608" t="s">
        <v>1904</v>
      </c>
      <c r="D608" t="s">
        <v>4476</v>
      </c>
      <c r="E608" t="s">
        <v>4473</v>
      </c>
      <c r="F608" s="3">
        <v>45231</v>
      </c>
      <c r="G608" s="3">
        <v>45231</v>
      </c>
      <c r="H608">
        <v>9.1</v>
      </c>
      <c r="I608">
        <v>8</v>
      </c>
      <c r="J608" t="s">
        <v>4440</v>
      </c>
      <c r="K608" t="s">
        <v>4441</v>
      </c>
      <c r="L608" t="s">
        <v>4445</v>
      </c>
      <c r="M608" t="s">
        <v>4446</v>
      </c>
      <c r="N608">
        <v>3</v>
      </c>
    </row>
    <row r="609" spans="1:14" x14ac:dyDescent="0.35">
      <c r="A609" t="s">
        <v>5088</v>
      </c>
      <c r="B609" t="s">
        <v>319</v>
      </c>
      <c r="C609" t="s">
        <v>1899</v>
      </c>
      <c r="D609" t="s">
        <v>4460</v>
      </c>
      <c r="E609" t="s">
        <v>4473</v>
      </c>
      <c r="F609" s="3">
        <v>45520</v>
      </c>
      <c r="G609" s="3">
        <v>45520</v>
      </c>
      <c r="H609">
        <v>10.4</v>
      </c>
      <c r="I609">
        <v>8</v>
      </c>
      <c r="J609" t="s">
        <v>1945</v>
      </c>
      <c r="K609" t="s">
        <v>4441</v>
      </c>
      <c r="L609" t="s">
        <v>4512</v>
      </c>
      <c r="M609" t="s">
        <v>4450</v>
      </c>
      <c r="N609">
        <v>3</v>
      </c>
    </row>
    <row r="610" spans="1:14" x14ac:dyDescent="0.35">
      <c r="A610" t="s">
        <v>5089</v>
      </c>
      <c r="B610" t="s">
        <v>334</v>
      </c>
      <c r="C610" t="s">
        <v>1890</v>
      </c>
      <c r="D610" t="s">
        <v>4469</v>
      </c>
      <c r="E610" t="s">
        <v>4456</v>
      </c>
      <c r="F610" s="3">
        <v>45034</v>
      </c>
      <c r="G610" s="3" t="s">
        <v>537</v>
      </c>
      <c r="I610">
        <v>4</v>
      </c>
      <c r="J610" t="s">
        <v>4440</v>
      </c>
      <c r="K610" t="s">
        <v>4474</v>
      </c>
      <c r="L610" t="s">
        <v>4467</v>
      </c>
      <c r="M610" t="s">
        <v>1625</v>
      </c>
    </row>
    <row r="611" spans="1:14" x14ac:dyDescent="0.35">
      <c r="A611" t="s">
        <v>5090</v>
      </c>
      <c r="B611" t="s">
        <v>492</v>
      </c>
      <c r="C611" t="s">
        <v>1927</v>
      </c>
      <c r="D611" t="s">
        <v>4485</v>
      </c>
      <c r="E611" t="s">
        <v>4439</v>
      </c>
      <c r="F611" s="3">
        <v>45284</v>
      </c>
      <c r="G611" s="3">
        <v>45284</v>
      </c>
      <c r="H611">
        <v>8.8000000000000007</v>
      </c>
      <c r="I611">
        <v>48</v>
      </c>
      <c r="J611" t="s">
        <v>4448</v>
      </c>
      <c r="K611" t="s">
        <v>4441</v>
      </c>
      <c r="L611" t="s">
        <v>4527</v>
      </c>
      <c r="M611" t="s">
        <v>4450</v>
      </c>
    </row>
    <row r="612" spans="1:14" x14ac:dyDescent="0.35">
      <c r="A612" t="s">
        <v>5091</v>
      </c>
      <c r="B612" t="s">
        <v>302</v>
      </c>
      <c r="C612" t="s">
        <v>1890</v>
      </c>
      <c r="D612" t="s">
        <v>4443</v>
      </c>
      <c r="E612" t="s">
        <v>4473</v>
      </c>
      <c r="F612" s="3">
        <v>45417</v>
      </c>
      <c r="G612" s="3" t="s">
        <v>537</v>
      </c>
      <c r="I612">
        <v>8</v>
      </c>
      <c r="J612" t="s">
        <v>4440</v>
      </c>
      <c r="K612" t="s">
        <v>4474</v>
      </c>
      <c r="L612" t="s">
        <v>4509</v>
      </c>
      <c r="M612" t="s">
        <v>4450</v>
      </c>
    </row>
    <row r="613" spans="1:14" x14ac:dyDescent="0.35">
      <c r="A613" t="s">
        <v>5092</v>
      </c>
      <c r="B613" t="s">
        <v>247</v>
      </c>
      <c r="C613" t="s">
        <v>1883</v>
      </c>
      <c r="D613" t="s">
        <v>4482</v>
      </c>
      <c r="E613" t="s">
        <v>4473</v>
      </c>
      <c r="F613" s="3">
        <v>45019</v>
      </c>
      <c r="G613" s="3" t="s">
        <v>537</v>
      </c>
      <c r="I613">
        <v>8</v>
      </c>
      <c r="J613" t="s">
        <v>4448</v>
      </c>
      <c r="K613" t="s">
        <v>4474</v>
      </c>
      <c r="L613" t="s">
        <v>4449</v>
      </c>
      <c r="M613" t="s">
        <v>4462</v>
      </c>
    </row>
    <row r="614" spans="1:14" x14ac:dyDescent="0.35">
      <c r="A614" t="s">
        <v>5093</v>
      </c>
      <c r="B614" t="s">
        <v>434</v>
      </c>
      <c r="C614" t="s">
        <v>1899</v>
      </c>
      <c r="D614" t="s">
        <v>4438</v>
      </c>
      <c r="E614" t="s">
        <v>4444</v>
      </c>
      <c r="F614" s="3">
        <v>44969</v>
      </c>
      <c r="G614" s="3">
        <v>44970</v>
      </c>
      <c r="H614">
        <v>43</v>
      </c>
      <c r="I614">
        <v>24</v>
      </c>
      <c r="J614" t="s">
        <v>4440</v>
      </c>
      <c r="K614" t="s">
        <v>4441</v>
      </c>
      <c r="L614" t="s">
        <v>4467</v>
      </c>
      <c r="M614" t="s">
        <v>4450</v>
      </c>
      <c r="N614">
        <v>5</v>
      </c>
    </row>
    <row r="615" spans="1:14" x14ac:dyDescent="0.35">
      <c r="A615" t="s">
        <v>5094</v>
      </c>
      <c r="B615" t="s">
        <v>122</v>
      </c>
      <c r="C615" t="s">
        <v>1890</v>
      </c>
      <c r="D615" t="s">
        <v>4452</v>
      </c>
      <c r="E615" t="s">
        <v>4444</v>
      </c>
      <c r="F615" s="3">
        <v>45026</v>
      </c>
      <c r="G615" s="3">
        <v>45027</v>
      </c>
      <c r="H615">
        <v>47.3</v>
      </c>
      <c r="I615">
        <v>24</v>
      </c>
      <c r="J615" t="s">
        <v>4440</v>
      </c>
      <c r="K615" t="s">
        <v>4441</v>
      </c>
      <c r="L615" t="s">
        <v>4465</v>
      </c>
      <c r="M615" t="s">
        <v>1625</v>
      </c>
      <c r="N615">
        <v>4</v>
      </c>
    </row>
    <row r="616" spans="1:14" x14ac:dyDescent="0.35">
      <c r="A616" t="s">
        <v>5095</v>
      </c>
      <c r="B616" t="s">
        <v>479</v>
      </c>
      <c r="C616" t="s">
        <v>1883</v>
      </c>
      <c r="D616" t="s">
        <v>4464</v>
      </c>
      <c r="E616" t="s">
        <v>4456</v>
      </c>
      <c r="F616" s="3">
        <v>45321</v>
      </c>
      <c r="G616" s="3">
        <v>45321</v>
      </c>
      <c r="H616">
        <v>4.5999999999999996</v>
      </c>
      <c r="I616">
        <v>4</v>
      </c>
      <c r="J616" t="s">
        <v>4440</v>
      </c>
      <c r="K616" t="s">
        <v>4441</v>
      </c>
      <c r="L616" t="s">
        <v>4512</v>
      </c>
      <c r="M616" t="s">
        <v>4462</v>
      </c>
      <c r="N616">
        <v>4</v>
      </c>
    </row>
    <row r="617" spans="1:14" x14ac:dyDescent="0.35">
      <c r="A617" t="s">
        <v>5096</v>
      </c>
      <c r="B617" t="s">
        <v>339</v>
      </c>
      <c r="C617" t="s">
        <v>1899</v>
      </c>
      <c r="D617" t="s">
        <v>4479</v>
      </c>
      <c r="E617" t="s">
        <v>4439</v>
      </c>
      <c r="F617" s="3">
        <v>45571</v>
      </c>
      <c r="G617" s="3">
        <v>45573</v>
      </c>
      <c r="H617">
        <v>48.8</v>
      </c>
      <c r="I617">
        <v>48</v>
      </c>
      <c r="J617" t="s">
        <v>4440</v>
      </c>
      <c r="K617" t="s">
        <v>4441</v>
      </c>
      <c r="L617" t="s">
        <v>4488</v>
      </c>
      <c r="M617" t="s">
        <v>4462</v>
      </c>
      <c r="N617">
        <v>4</v>
      </c>
    </row>
    <row r="618" spans="1:14" x14ac:dyDescent="0.35">
      <c r="A618" t="s">
        <v>5097</v>
      </c>
      <c r="B618" t="s">
        <v>27</v>
      </c>
      <c r="C618" t="s">
        <v>1899</v>
      </c>
      <c r="D618" t="s">
        <v>4485</v>
      </c>
      <c r="E618" t="s">
        <v>4473</v>
      </c>
      <c r="F618" s="3">
        <v>45468</v>
      </c>
      <c r="G618" s="3" t="s">
        <v>537</v>
      </c>
      <c r="I618">
        <v>8</v>
      </c>
      <c r="J618" t="s">
        <v>4440</v>
      </c>
      <c r="K618" t="s">
        <v>4457</v>
      </c>
      <c r="L618" t="s">
        <v>4461</v>
      </c>
      <c r="M618" t="s">
        <v>4462</v>
      </c>
    </row>
    <row r="619" spans="1:14" x14ac:dyDescent="0.35">
      <c r="A619" t="s">
        <v>5098</v>
      </c>
      <c r="B619" t="s">
        <v>490</v>
      </c>
      <c r="C619" t="s">
        <v>1883</v>
      </c>
      <c r="D619" t="s">
        <v>4482</v>
      </c>
      <c r="E619" t="s">
        <v>4456</v>
      </c>
      <c r="F619" s="3">
        <v>45721</v>
      </c>
      <c r="G619" s="3">
        <v>45721</v>
      </c>
      <c r="H619">
        <v>2.7</v>
      </c>
      <c r="I619">
        <v>4</v>
      </c>
      <c r="J619" t="s">
        <v>1945</v>
      </c>
      <c r="K619" t="s">
        <v>4441</v>
      </c>
      <c r="L619" t="s">
        <v>4483</v>
      </c>
      <c r="M619" t="s">
        <v>4450</v>
      </c>
      <c r="N619">
        <v>3</v>
      </c>
    </row>
    <row r="620" spans="1:14" x14ac:dyDescent="0.35">
      <c r="A620" t="s">
        <v>5099</v>
      </c>
      <c r="B620" t="s">
        <v>332</v>
      </c>
      <c r="C620" t="s">
        <v>1915</v>
      </c>
      <c r="D620" t="s">
        <v>4485</v>
      </c>
      <c r="E620" t="s">
        <v>4444</v>
      </c>
      <c r="F620" s="3">
        <v>45001</v>
      </c>
      <c r="G620" s="3">
        <v>45003</v>
      </c>
      <c r="H620">
        <v>53.9</v>
      </c>
      <c r="I620">
        <v>24</v>
      </c>
      <c r="J620" t="s">
        <v>4440</v>
      </c>
      <c r="K620" t="s">
        <v>4441</v>
      </c>
      <c r="L620" t="s">
        <v>4461</v>
      </c>
      <c r="M620" t="s">
        <v>4450</v>
      </c>
      <c r="N620">
        <v>3</v>
      </c>
    </row>
    <row r="621" spans="1:14" x14ac:dyDescent="0.35">
      <c r="A621" t="s">
        <v>5100</v>
      </c>
      <c r="B621" t="s">
        <v>481</v>
      </c>
      <c r="C621" t="s">
        <v>1904</v>
      </c>
      <c r="D621" t="s">
        <v>4482</v>
      </c>
      <c r="E621" t="s">
        <v>4444</v>
      </c>
      <c r="F621" s="3">
        <v>45057</v>
      </c>
      <c r="G621" s="3" t="s">
        <v>537</v>
      </c>
      <c r="I621">
        <v>24</v>
      </c>
      <c r="J621" t="s">
        <v>4448</v>
      </c>
      <c r="K621" t="s">
        <v>4453</v>
      </c>
      <c r="L621" t="s">
        <v>4509</v>
      </c>
      <c r="M621" t="s">
        <v>4450</v>
      </c>
    </row>
    <row r="622" spans="1:14" x14ac:dyDescent="0.35">
      <c r="A622" t="s">
        <v>5101</v>
      </c>
      <c r="B622" t="s">
        <v>451</v>
      </c>
      <c r="C622" t="s">
        <v>1883</v>
      </c>
      <c r="D622" t="s">
        <v>4438</v>
      </c>
      <c r="E622" t="s">
        <v>4444</v>
      </c>
      <c r="F622" s="3">
        <v>45416</v>
      </c>
      <c r="G622" s="3">
        <v>45417</v>
      </c>
      <c r="H622">
        <v>39.6</v>
      </c>
      <c r="I622">
        <v>24</v>
      </c>
      <c r="J622" t="s">
        <v>4440</v>
      </c>
      <c r="K622" t="s">
        <v>4441</v>
      </c>
      <c r="L622" t="s">
        <v>4461</v>
      </c>
      <c r="M622" t="s">
        <v>1625</v>
      </c>
      <c r="N622">
        <v>5</v>
      </c>
    </row>
    <row r="623" spans="1:14" x14ac:dyDescent="0.35">
      <c r="A623" t="s">
        <v>5102</v>
      </c>
      <c r="B623" t="s">
        <v>371</v>
      </c>
      <c r="C623" t="s">
        <v>1904</v>
      </c>
      <c r="D623" t="s">
        <v>4485</v>
      </c>
      <c r="E623" t="s">
        <v>4473</v>
      </c>
      <c r="F623" s="3">
        <v>45472</v>
      </c>
      <c r="G623" s="3" t="s">
        <v>537</v>
      </c>
      <c r="I623">
        <v>8</v>
      </c>
      <c r="J623" t="s">
        <v>4440</v>
      </c>
      <c r="K623" t="s">
        <v>4474</v>
      </c>
      <c r="L623" t="s">
        <v>4488</v>
      </c>
      <c r="M623" t="s">
        <v>4450</v>
      </c>
    </row>
    <row r="624" spans="1:14" x14ac:dyDescent="0.35">
      <c r="A624" t="s">
        <v>5103</v>
      </c>
      <c r="B624" t="s">
        <v>368</v>
      </c>
      <c r="C624" t="s">
        <v>1883</v>
      </c>
      <c r="D624" t="s">
        <v>4476</v>
      </c>
      <c r="E624" t="s">
        <v>4473</v>
      </c>
      <c r="F624" s="3">
        <v>44930</v>
      </c>
      <c r="G624" s="3" t="s">
        <v>537</v>
      </c>
      <c r="I624">
        <v>8</v>
      </c>
      <c r="J624" t="s">
        <v>4448</v>
      </c>
      <c r="K624" t="s">
        <v>4474</v>
      </c>
      <c r="L624" t="s">
        <v>4470</v>
      </c>
      <c r="M624" t="s">
        <v>4446</v>
      </c>
    </row>
    <row r="625" spans="1:14" x14ac:dyDescent="0.35">
      <c r="A625" t="s">
        <v>5104</v>
      </c>
      <c r="B625" t="s">
        <v>178</v>
      </c>
      <c r="C625" t="s">
        <v>1927</v>
      </c>
      <c r="D625" t="s">
        <v>4472</v>
      </c>
      <c r="E625" t="s">
        <v>4444</v>
      </c>
      <c r="F625" s="3">
        <v>45334</v>
      </c>
      <c r="G625" s="3" t="s">
        <v>537</v>
      </c>
      <c r="I625">
        <v>24</v>
      </c>
      <c r="J625" t="s">
        <v>4448</v>
      </c>
      <c r="K625" t="s">
        <v>4457</v>
      </c>
      <c r="L625" t="s">
        <v>4458</v>
      </c>
      <c r="M625" t="s">
        <v>4446</v>
      </c>
    </row>
    <row r="626" spans="1:14" x14ac:dyDescent="0.35">
      <c r="A626" t="s">
        <v>5105</v>
      </c>
      <c r="B626" t="s">
        <v>342</v>
      </c>
      <c r="C626" t="s">
        <v>1890</v>
      </c>
      <c r="D626" t="s">
        <v>4438</v>
      </c>
      <c r="E626" t="s">
        <v>79</v>
      </c>
      <c r="F626" s="3">
        <v>45074</v>
      </c>
      <c r="G626" s="3">
        <v>45077</v>
      </c>
      <c r="H626">
        <v>84.8</v>
      </c>
      <c r="I626">
        <v>48</v>
      </c>
      <c r="J626" t="s">
        <v>4440</v>
      </c>
      <c r="K626" t="s">
        <v>4441</v>
      </c>
      <c r="L626" t="s">
        <v>4514</v>
      </c>
      <c r="M626" t="s">
        <v>1625</v>
      </c>
      <c r="N626">
        <v>5</v>
      </c>
    </row>
    <row r="627" spans="1:14" x14ac:dyDescent="0.35">
      <c r="A627" t="s">
        <v>5106</v>
      </c>
      <c r="B627" t="s">
        <v>328</v>
      </c>
      <c r="C627" t="s">
        <v>1883</v>
      </c>
      <c r="D627" t="s">
        <v>4485</v>
      </c>
      <c r="E627" t="s">
        <v>4473</v>
      </c>
      <c r="F627" s="3">
        <v>45324</v>
      </c>
      <c r="G627" s="3">
        <v>45324</v>
      </c>
      <c r="H627">
        <v>2.7</v>
      </c>
      <c r="I627">
        <v>8</v>
      </c>
      <c r="J627" t="s">
        <v>4448</v>
      </c>
      <c r="K627" t="s">
        <v>4441</v>
      </c>
      <c r="L627" t="s">
        <v>4445</v>
      </c>
      <c r="M627" t="s">
        <v>4446</v>
      </c>
    </row>
    <row r="628" spans="1:14" x14ac:dyDescent="0.35">
      <c r="A628" t="s">
        <v>5107</v>
      </c>
      <c r="B628" t="s">
        <v>175</v>
      </c>
      <c r="C628" t="s">
        <v>1904</v>
      </c>
      <c r="D628" t="s">
        <v>4485</v>
      </c>
      <c r="E628" t="s">
        <v>4444</v>
      </c>
      <c r="F628" s="3">
        <v>45654</v>
      </c>
      <c r="G628" s="3">
        <v>45654</v>
      </c>
      <c r="H628">
        <v>7.8</v>
      </c>
      <c r="I628">
        <v>24</v>
      </c>
      <c r="J628" t="s">
        <v>4448</v>
      </c>
      <c r="K628" t="s">
        <v>4441</v>
      </c>
      <c r="L628" t="s">
        <v>4492</v>
      </c>
      <c r="M628" t="s">
        <v>4446</v>
      </c>
      <c r="N628">
        <v>4</v>
      </c>
    </row>
    <row r="629" spans="1:14" x14ac:dyDescent="0.35">
      <c r="A629" t="s">
        <v>5108</v>
      </c>
      <c r="B629" t="s">
        <v>228</v>
      </c>
      <c r="C629" t="s">
        <v>1883</v>
      </c>
      <c r="D629" t="s">
        <v>4472</v>
      </c>
      <c r="E629" t="s">
        <v>4444</v>
      </c>
      <c r="F629" s="3">
        <v>45121</v>
      </c>
      <c r="G629" s="3" t="s">
        <v>537</v>
      </c>
      <c r="I629">
        <v>24</v>
      </c>
      <c r="J629" t="s">
        <v>4440</v>
      </c>
      <c r="K629" t="s">
        <v>4474</v>
      </c>
      <c r="L629" t="s">
        <v>4492</v>
      </c>
      <c r="M629" t="s">
        <v>4446</v>
      </c>
    </row>
    <row r="630" spans="1:14" x14ac:dyDescent="0.35">
      <c r="A630" t="s">
        <v>5109</v>
      </c>
      <c r="B630" t="s">
        <v>257</v>
      </c>
      <c r="C630" t="s">
        <v>1915</v>
      </c>
      <c r="D630" t="s">
        <v>4460</v>
      </c>
      <c r="E630" t="s">
        <v>4444</v>
      </c>
      <c r="F630" s="3">
        <v>45735</v>
      </c>
      <c r="G630" s="3">
        <v>45737</v>
      </c>
      <c r="H630">
        <v>58.4</v>
      </c>
      <c r="I630">
        <v>24</v>
      </c>
      <c r="J630" t="s">
        <v>4440</v>
      </c>
      <c r="K630" t="s">
        <v>4441</v>
      </c>
      <c r="L630" t="s">
        <v>4480</v>
      </c>
      <c r="M630" t="s">
        <v>1625</v>
      </c>
      <c r="N630">
        <v>5</v>
      </c>
    </row>
    <row r="631" spans="1:14" x14ac:dyDescent="0.35">
      <c r="A631" t="s">
        <v>5110</v>
      </c>
      <c r="B631" t="s">
        <v>243</v>
      </c>
      <c r="C631" t="s">
        <v>1915</v>
      </c>
      <c r="D631" t="s">
        <v>8509</v>
      </c>
      <c r="E631" t="s">
        <v>4444</v>
      </c>
      <c r="F631" s="3">
        <v>45399</v>
      </c>
      <c r="G631" s="3" t="s">
        <v>537</v>
      </c>
      <c r="I631">
        <v>24</v>
      </c>
      <c r="J631" t="s">
        <v>4448</v>
      </c>
      <c r="K631" t="s">
        <v>4453</v>
      </c>
      <c r="L631" t="s">
        <v>4488</v>
      </c>
      <c r="M631" t="s">
        <v>4450</v>
      </c>
    </row>
    <row r="632" spans="1:14" x14ac:dyDescent="0.35">
      <c r="A632" t="s">
        <v>5111</v>
      </c>
      <c r="B632" t="s">
        <v>447</v>
      </c>
      <c r="C632" t="s">
        <v>1904</v>
      </c>
      <c r="D632" t="s">
        <v>4452</v>
      </c>
      <c r="E632" t="s">
        <v>4444</v>
      </c>
      <c r="F632" s="3">
        <v>45061</v>
      </c>
      <c r="G632" s="3">
        <v>45063</v>
      </c>
      <c r="H632">
        <v>58.3</v>
      </c>
      <c r="I632">
        <v>24</v>
      </c>
      <c r="J632" t="s">
        <v>4440</v>
      </c>
      <c r="K632" t="s">
        <v>4441</v>
      </c>
      <c r="L632" t="s">
        <v>4465</v>
      </c>
      <c r="M632" t="s">
        <v>1625</v>
      </c>
    </row>
    <row r="633" spans="1:14" x14ac:dyDescent="0.35">
      <c r="A633" t="s">
        <v>5112</v>
      </c>
      <c r="B633" t="s">
        <v>230</v>
      </c>
      <c r="C633" t="s">
        <v>1915</v>
      </c>
      <c r="D633" t="s">
        <v>4485</v>
      </c>
      <c r="E633" t="s">
        <v>4473</v>
      </c>
      <c r="F633" s="3">
        <v>45414</v>
      </c>
      <c r="G633" s="3">
        <v>45414</v>
      </c>
      <c r="H633">
        <v>7.4</v>
      </c>
      <c r="I633">
        <v>8</v>
      </c>
      <c r="J633" t="s">
        <v>4448</v>
      </c>
      <c r="K633" t="s">
        <v>4441</v>
      </c>
      <c r="L633" t="s">
        <v>4488</v>
      </c>
      <c r="M633" t="s">
        <v>4462</v>
      </c>
      <c r="N633">
        <v>4</v>
      </c>
    </row>
    <row r="634" spans="1:14" x14ac:dyDescent="0.35">
      <c r="A634" t="s">
        <v>5113</v>
      </c>
      <c r="B634" t="s">
        <v>165</v>
      </c>
      <c r="C634" t="s">
        <v>1904</v>
      </c>
      <c r="D634" t="s">
        <v>4476</v>
      </c>
      <c r="E634" t="s">
        <v>4439</v>
      </c>
      <c r="F634" s="3">
        <v>45520</v>
      </c>
      <c r="G634" s="3">
        <v>45523</v>
      </c>
      <c r="H634">
        <v>84.8</v>
      </c>
      <c r="I634">
        <v>48</v>
      </c>
      <c r="J634" t="s">
        <v>4440</v>
      </c>
      <c r="K634" t="s">
        <v>4441</v>
      </c>
      <c r="L634" t="s">
        <v>4527</v>
      </c>
      <c r="M634" t="s">
        <v>1625</v>
      </c>
      <c r="N634">
        <v>4</v>
      </c>
    </row>
    <row r="635" spans="1:14" x14ac:dyDescent="0.35">
      <c r="A635" t="s">
        <v>5114</v>
      </c>
      <c r="B635" t="s">
        <v>475</v>
      </c>
      <c r="C635" t="s">
        <v>1883</v>
      </c>
      <c r="D635" t="s">
        <v>4438</v>
      </c>
      <c r="E635" t="s">
        <v>4444</v>
      </c>
      <c r="F635" s="3">
        <v>45312</v>
      </c>
      <c r="G635" s="3">
        <v>45313</v>
      </c>
      <c r="H635">
        <v>31.1</v>
      </c>
      <c r="I635">
        <v>24</v>
      </c>
      <c r="J635" t="s">
        <v>4440</v>
      </c>
      <c r="K635" t="s">
        <v>4441</v>
      </c>
      <c r="L635" t="s">
        <v>4580</v>
      </c>
      <c r="M635" t="s">
        <v>1625</v>
      </c>
      <c r="N635">
        <v>5</v>
      </c>
    </row>
    <row r="636" spans="1:14" x14ac:dyDescent="0.35">
      <c r="A636" t="s">
        <v>5115</v>
      </c>
      <c r="B636" t="s">
        <v>485</v>
      </c>
      <c r="C636" t="s">
        <v>1883</v>
      </c>
      <c r="D636" t="s">
        <v>4469</v>
      </c>
      <c r="E636" t="s">
        <v>4456</v>
      </c>
      <c r="F636" s="3">
        <v>45062</v>
      </c>
      <c r="G636" s="3">
        <v>45062</v>
      </c>
      <c r="H636">
        <v>8.3000000000000007</v>
      </c>
      <c r="I636">
        <v>4</v>
      </c>
      <c r="J636" t="s">
        <v>4440</v>
      </c>
      <c r="K636" t="s">
        <v>4441</v>
      </c>
      <c r="L636" t="s">
        <v>4527</v>
      </c>
      <c r="M636" t="s">
        <v>4446</v>
      </c>
      <c r="N636">
        <v>5</v>
      </c>
    </row>
    <row r="637" spans="1:14" x14ac:dyDescent="0.35">
      <c r="A637" t="s">
        <v>5116</v>
      </c>
      <c r="B637" t="s">
        <v>135</v>
      </c>
      <c r="C637" t="s">
        <v>1915</v>
      </c>
      <c r="D637" t="s">
        <v>4443</v>
      </c>
      <c r="E637" t="s">
        <v>4444</v>
      </c>
      <c r="F637" s="3">
        <v>44992</v>
      </c>
      <c r="G637" s="3">
        <v>44992</v>
      </c>
      <c r="H637">
        <v>7.5</v>
      </c>
      <c r="I637">
        <v>24</v>
      </c>
      <c r="J637" t="s">
        <v>4448</v>
      </c>
      <c r="K637" t="s">
        <v>4441</v>
      </c>
      <c r="L637" t="s">
        <v>4470</v>
      </c>
      <c r="M637" t="s">
        <v>4446</v>
      </c>
      <c r="N637">
        <v>3</v>
      </c>
    </row>
    <row r="638" spans="1:14" x14ac:dyDescent="0.35">
      <c r="A638" t="s">
        <v>5117</v>
      </c>
      <c r="B638" t="s">
        <v>380</v>
      </c>
      <c r="C638" t="s">
        <v>1890</v>
      </c>
      <c r="D638" t="s">
        <v>4485</v>
      </c>
      <c r="E638" t="s">
        <v>4444</v>
      </c>
      <c r="F638" s="3">
        <v>45026</v>
      </c>
      <c r="G638" s="3" t="s">
        <v>537</v>
      </c>
      <c r="I638">
        <v>24</v>
      </c>
      <c r="J638" t="s">
        <v>4448</v>
      </c>
      <c r="K638" t="s">
        <v>4457</v>
      </c>
      <c r="L638" t="s">
        <v>4454</v>
      </c>
      <c r="M638" t="s">
        <v>4450</v>
      </c>
    </row>
    <row r="639" spans="1:14" x14ac:dyDescent="0.35">
      <c r="A639" t="s">
        <v>5118</v>
      </c>
      <c r="B639" t="s">
        <v>387</v>
      </c>
      <c r="C639" t="s">
        <v>1899</v>
      </c>
      <c r="D639" t="s">
        <v>4443</v>
      </c>
      <c r="E639" t="s">
        <v>4439</v>
      </c>
      <c r="F639" s="3">
        <v>45014</v>
      </c>
      <c r="G639" s="3">
        <v>45014</v>
      </c>
      <c r="H639">
        <v>20.399999999999999</v>
      </c>
      <c r="I639">
        <v>48</v>
      </c>
      <c r="J639" t="s">
        <v>4448</v>
      </c>
      <c r="K639" t="s">
        <v>4441</v>
      </c>
      <c r="L639" t="s">
        <v>4527</v>
      </c>
      <c r="M639" t="s">
        <v>4450</v>
      </c>
      <c r="N639">
        <v>4</v>
      </c>
    </row>
    <row r="640" spans="1:14" x14ac:dyDescent="0.35">
      <c r="A640" t="s">
        <v>5119</v>
      </c>
      <c r="B640" t="s">
        <v>399</v>
      </c>
      <c r="C640" t="s">
        <v>1890</v>
      </c>
      <c r="D640" t="s">
        <v>4485</v>
      </c>
      <c r="E640" t="s">
        <v>4444</v>
      </c>
      <c r="F640" s="3">
        <v>44959</v>
      </c>
      <c r="G640" s="3" t="s">
        <v>537</v>
      </c>
      <c r="I640">
        <v>24</v>
      </c>
      <c r="J640" t="s">
        <v>4440</v>
      </c>
      <c r="K640" t="s">
        <v>4453</v>
      </c>
      <c r="L640" t="s">
        <v>4533</v>
      </c>
      <c r="M640" t="s">
        <v>4446</v>
      </c>
    </row>
    <row r="641" spans="1:14" x14ac:dyDescent="0.35">
      <c r="A641" t="s">
        <v>5120</v>
      </c>
      <c r="B641" t="s">
        <v>106</v>
      </c>
      <c r="C641" t="s">
        <v>1904</v>
      </c>
      <c r="D641" t="s">
        <v>4438</v>
      </c>
      <c r="E641" t="s">
        <v>4444</v>
      </c>
      <c r="F641" s="3">
        <v>45340</v>
      </c>
      <c r="G641" s="3">
        <v>45340</v>
      </c>
      <c r="H641">
        <v>23.7</v>
      </c>
      <c r="I641">
        <v>24</v>
      </c>
      <c r="J641" t="s">
        <v>4448</v>
      </c>
      <c r="K641" t="s">
        <v>4441</v>
      </c>
      <c r="L641" t="s">
        <v>4458</v>
      </c>
      <c r="M641" t="s">
        <v>4446</v>
      </c>
      <c r="N641">
        <v>2</v>
      </c>
    </row>
    <row r="642" spans="1:14" x14ac:dyDescent="0.35">
      <c r="A642" t="s">
        <v>5121</v>
      </c>
      <c r="B642" t="s">
        <v>243</v>
      </c>
      <c r="C642" t="s">
        <v>1927</v>
      </c>
      <c r="D642" t="s">
        <v>4469</v>
      </c>
      <c r="E642" t="s">
        <v>4456</v>
      </c>
      <c r="F642" s="3">
        <v>45446</v>
      </c>
      <c r="G642" s="3">
        <v>45446</v>
      </c>
      <c r="H642">
        <v>2.6</v>
      </c>
      <c r="I642">
        <v>4</v>
      </c>
      <c r="J642" t="s">
        <v>4448</v>
      </c>
      <c r="K642" t="s">
        <v>4441</v>
      </c>
      <c r="L642" t="s">
        <v>4580</v>
      </c>
      <c r="M642" t="s">
        <v>4462</v>
      </c>
      <c r="N642">
        <v>5</v>
      </c>
    </row>
    <row r="643" spans="1:14" x14ac:dyDescent="0.35">
      <c r="A643" t="s">
        <v>5122</v>
      </c>
      <c r="B643" t="s">
        <v>275</v>
      </c>
      <c r="C643" t="s">
        <v>1883</v>
      </c>
      <c r="D643" t="s">
        <v>4476</v>
      </c>
      <c r="E643" t="s">
        <v>4444</v>
      </c>
      <c r="F643" s="3">
        <v>45266</v>
      </c>
      <c r="G643" s="3">
        <v>45267</v>
      </c>
      <c r="H643">
        <v>30.4</v>
      </c>
      <c r="I643">
        <v>24</v>
      </c>
      <c r="J643" t="s">
        <v>4440</v>
      </c>
      <c r="K643" t="s">
        <v>4441</v>
      </c>
      <c r="L643" t="s">
        <v>4480</v>
      </c>
      <c r="M643" t="s">
        <v>4462</v>
      </c>
      <c r="N643">
        <v>3</v>
      </c>
    </row>
    <row r="644" spans="1:14" x14ac:dyDescent="0.35">
      <c r="A644" t="s">
        <v>5123</v>
      </c>
      <c r="B644" t="s">
        <v>275</v>
      </c>
      <c r="C644" t="s">
        <v>1904</v>
      </c>
      <c r="D644" t="s">
        <v>4452</v>
      </c>
      <c r="E644" t="s">
        <v>4473</v>
      </c>
      <c r="F644" s="3">
        <v>45351</v>
      </c>
      <c r="G644" s="3" t="s">
        <v>537</v>
      </c>
      <c r="I644">
        <v>8</v>
      </c>
      <c r="J644" t="s">
        <v>4440</v>
      </c>
      <c r="K644" t="s">
        <v>4457</v>
      </c>
      <c r="L644" t="s">
        <v>4514</v>
      </c>
      <c r="M644" t="s">
        <v>1625</v>
      </c>
    </row>
    <row r="645" spans="1:14" x14ac:dyDescent="0.35">
      <c r="A645" t="s">
        <v>5124</v>
      </c>
      <c r="B645" t="s">
        <v>328</v>
      </c>
      <c r="C645" t="s">
        <v>1904</v>
      </c>
      <c r="D645" t="s">
        <v>4460</v>
      </c>
      <c r="E645" t="s">
        <v>4444</v>
      </c>
      <c r="F645" s="3">
        <v>45318</v>
      </c>
      <c r="G645" s="3" t="s">
        <v>537</v>
      </c>
      <c r="I645">
        <v>24</v>
      </c>
      <c r="J645" t="s">
        <v>4440</v>
      </c>
      <c r="K645" t="s">
        <v>4474</v>
      </c>
      <c r="L645" t="s">
        <v>4483</v>
      </c>
      <c r="M645" t="s">
        <v>4450</v>
      </c>
    </row>
    <row r="646" spans="1:14" x14ac:dyDescent="0.35">
      <c r="A646" t="s">
        <v>5125</v>
      </c>
      <c r="B646" t="s">
        <v>262</v>
      </c>
      <c r="C646" t="s">
        <v>1899</v>
      </c>
      <c r="D646" t="s">
        <v>4438</v>
      </c>
      <c r="E646" t="s">
        <v>4444</v>
      </c>
      <c r="F646" s="3">
        <v>45143</v>
      </c>
      <c r="G646" s="3" t="s">
        <v>537</v>
      </c>
      <c r="I646">
        <v>24</v>
      </c>
      <c r="J646" t="s">
        <v>4440</v>
      </c>
      <c r="K646" t="s">
        <v>4457</v>
      </c>
      <c r="L646" t="s">
        <v>4465</v>
      </c>
      <c r="M646" t="s">
        <v>4446</v>
      </c>
    </row>
    <row r="647" spans="1:14" x14ac:dyDescent="0.35">
      <c r="A647" t="s">
        <v>5126</v>
      </c>
      <c r="B647" t="s">
        <v>220</v>
      </c>
      <c r="C647" t="s">
        <v>1904</v>
      </c>
      <c r="D647" t="s">
        <v>4452</v>
      </c>
      <c r="E647" t="s">
        <v>4473</v>
      </c>
      <c r="F647" s="3">
        <v>45492</v>
      </c>
      <c r="G647" s="3">
        <v>45492</v>
      </c>
      <c r="H647">
        <v>1.7</v>
      </c>
      <c r="I647">
        <v>8</v>
      </c>
      <c r="J647" t="s">
        <v>4448</v>
      </c>
      <c r="K647" t="s">
        <v>4441</v>
      </c>
      <c r="L647" t="s">
        <v>4449</v>
      </c>
      <c r="M647" t="s">
        <v>1625</v>
      </c>
      <c r="N647">
        <v>4</v>
      </c>
    </row>
    <row r="648" spans="1:14" x14ac:dyDescent="0.35">
      <c r="A648" t="s">
        <v>5127</v>
      </c>
      <c r="B648" t="s">
        <v>402</v>
      </c>
      <c r="C648" t="s">
        <v>1899</v>
      </c>
      <c r="D648" t="s">
        <v>4479</v>
      </c>
      <c r="E648" t="s">
        <v>4444</v>
      </c>
      <c r="F648" s="3">
        <v>45500</v>
      </c>
      <c r="G648" s="3">
        <v>45500</v>
      </c>
      <c r="H648">
        <v>18</v>
      </c>
      <c r="I648">
        <v>24</v>
      </c>
      <c r="J648" t="s">
        <v>4448</v>
      </c>
      <c r="K648" t="s">
        <v>4441</v>
      </c>
      <c r="L648" t="s">
        <v>4512</v>
      </c>
      <c r="M648" t="s">
        <v>4446</v>
      </c>
      <c r="N648">
        <v>4</v>
      </c>
    </row>
    <row r="649" spans="1:14" x14ac:dyDescent="0.35">
      <c r="A649" t="s">
        <v>5128</v>
      </c>
      <c r="B649" t="s">
        <v>319</v>
      </c>
      <c r="C649" t="s">
        <v>1927</v>
      </c>
      <c r="D649" t="s">
        <v>4438</v>
      </c>
      <c r="E649" t="s">
        <v>4444</v>
      </c>
      <c r="F649" s="3">
        <v>45032</v>
      </c>
      <c r="G649" s="3" t="s">
        <v>537</v>
      </c>
      <c r="I649">
        <v>24</v>
      </c>
      <c r="J649" t="s">
        <v>4448</v>
      </c>
      <c r="K649" t="s">
        <v>4453</v>
      </c>
      <c r="L649" t="s">
        <v>4458</v>
      </c>
      <c r="M649" t="s">
        <v>4462</v>
      </c>
    </row>
    <row r="650" spans="1:14" x14ac:dyDescent="0.35">
      <c r="A650" t="s">
        <v>5129</v>
      </c>
      <c r="B650" t="s">
        <v>71</v>
      </c>
      <c r="C650" t="s">
        <v>1899</v>
      </c>
      <c r="D650" t="s">
        <v>4476</v>
      </c>
      <c r="E650" t="s">
        <v>4456</v>
      </c>
      <c r="F650" s="3">
        <v>45723</v>
      </c>
      <c r="G650" s="3" t="s">
        <v>537</v>
      </c>
      <c r="I650">
        <v>4</v>
      </c>
      <c r="J650" t="s">
        <v>4448</v>
      </c>
      <c r="K650" t="s">
        <v>4474</v>
      </c>
      <c r="L650" t="s">
        <v>4461</v>
      </c>
      <c r="M650" t="s">
        <v>1625</v>
      </c>
    </row>
    <row r="651" spans="1:14" x14ac:dyDescent="0.35">
      <c r="A651" t="s">
        <v>5130</v>
      </c>
      <c r="B651" t="s">
        <v>266</v>
      </c>
      <c r="C651" t="s">
        <v>1915</v>
      </c>
      <c r="D651" t="s">
        <v>4443</v>
      </c>
      <c r="E651" t="s">
        <v>4444</v>
      </c>
      <c r="F651" s="3">
        <v>45001</v>
      </c>
      <c r="G651" s="3">
        <v>45003</v>
      </c>
      <c r="H651">
        <v>54.9</v>
      </c>
      <c r="I651">
        <v>24</v>
      </c>
      <c r="J651" t="s">
        <v>4440</v>
      </c>
      <c r="K651" t="s">
        <v>4441</v>
      </c>
      <c r="L651" t="s">
        <v>4461</v>
      </c>
      <c r="M651" t="s">
        <v>4462</v>
      </c>
      <c r="N651">
        <v>3</v>
      </c>
    </row>
    <row r="652" spans="1:14" x14ac:dyDescent="0.35">
      <c r="A652" t="s">
        <v>5131</v>
      </c>
      <c r="B652" t="s">
        <v>367</v>
      </c>
      <c r="C652" t="s">
        <v>1927</v>
      </c>
      <c r="D652" t="s">
        <v>4490</v>
      </c>
      <c r="E652" t="s">
        <v>4439</v>
      </c>
      <c r="F652" s="3">
        <v>45553</v>
      </c>
      <c r="G652" s="3" t="s">
        <v>537</v>
      </c>
      <c r="I652">
        <v>48</v>
      </c>
      <c r="J652" t="s">
        <v>4440</v>
      </c>
      <c r="K652" t="s">
        <v>4474</v>
      </c>
      <c r="L652" t="s">
        <v>4509</v>
      </c>
      <c r="M652" t="s">
        <v>4446</v>
      </c>
    </row>
    <row r="653" spans="1:14" x14ac:dyDescent="0.35">
      <c r="A653" t="s">
        <v>5132</v>
      </c>
      <c r="B653" t="s">
        <v>408</v>
      </c>
      <c r="C653" t="s">
        <v>1927</v>
      </c>
      <c r="D653" t="s">
        <v>4490</v>
      </c>
      <c r="E653" t="s">
        <v>4444</v>
      </c>
      <c r="F653" s="3">
        <v>44994</v>
      </c>
      <c r="G653" s="3">
        <v>44994</v>
      </c>
      <c r="H653">
        <v>4.4000000000000004</v>
      </c>
      <c r="I653">
        <v>24</v>
      </c>
      <c r="J653" t="s">
        <v>4448</v>
      </c>
      <c r="K653" t="s">
        <v>4441</v>
      </c>
      <c r="L653" t="s">
        <v>4509</v>
      </c>
      <c r="M653" t="s">
        <v>4450</v>
      </c>
      <c r="N653">
        <v>4</v>
      </c>
    </row>
    <row r="654" spans="1:14" x14ac:dyDescent="0.35">
      <c r="A654" t="s">
        <v>5133</v>
      </c>
      <c r="B654" t="s">
        <v>337</v>
      </c>
      <c r="C654" t="s">
        <v>1927</v>
      </c>
      <c r="D654" t="s">
        <v>4469</v>
      </c>
      <c r="E654" t="s">
        <v>4439</v>
      </c>
      <c r="F654" s="3">
        <v>45301</v>
      </c>
      <c r="G654" s="3">
        <v>45303</v>
      </c>
      <c r="H654">
        <v>68.5</v>
      </c>
      <c r="I654">
        <v>48</v>
      </c>
      <c r="J654" t="s">
        <v>4440</v>
      </c>
      <c r="K654" t="s">
        <v>4441</v>
      </c>
      <c r="L654" t="s">
        <v>4512</v>
      </c>
      <c r="M654" t="s">
        <v>4462</v>
      </c>
      <c r="N654">
        <v>4</v>
      </c>
    </row>
    <row r="655" spans="1:14" x14ac:dyDescent="0.35">
      <c r="A655" t="s">
        <v>5134</v>
      </c>
      <c r="B655" t="s">
        <v>475</v>
      </c>
      <c r="C655" t="s">
        <v>1883</v>
      </c>
      <c r="D655" t="s">
        <v>4479</v>
      </c>
      <c r="E655" t="s">
        <v>4439</v>
      </c>
      <c r="F655" s="3">
        <v>45634</v>
      </c>
      <c r="G655" s="3">
        <v>45635</v>
      </c>
      <c r="H655">
        <v>47</v>
      </c>
      <c r="I655">
        <v>48</v>
      </c>
      <c r="J655" t="s">
        <v>4448</v>
      </c>
      <c r="K655" t="s">
        <v>4441</v>
      </c>
      <c r="L655" t="s">
        <v>4483</v>
      </c>
      <c r="M655" t="s">
        <v>1625</v>
      </c>
      <c r="N655">
        <v>4</v>
      </c>
    </row>
    <row r="656" spans="1:14" x14ac:dyDescent="0.35">
      <c r="A656" t="s">
        <v>5135</v>
      </c>
      <c r="B656" t="s">
        <v>334</v>
      </c>
      <c r="C656" t="s">
        <v>1904</v>
      </c>
      <c r="D656" t="s">
        <v>4438</v>
      </c>
      <c r="E656" t="s">
        <v>79</v>
      </c>
      <c r="F656" s="3">
        <v>45123</v>
      </c>
      <c r="G656" s="3" t="s">
        <v>537</v>
      </c>
      <c r="I656">
        <v>48</v>
      </c>
      <c r="J656" t="s">
        <v>1945</v>
      </c>
      <c r="K656" t="s">
        <v>4457</v>
      </c>
      <c r="L656" t="s">
        <v>4533</v>
      </c>
      <c r="M656" t="s">
        <v>4462</v>
      </c>
    </row>
    <row r="657" spans="1:14" x14ac:dyDescent="0.35">
      <c r="A657" t="s">
        <v>5136</v>
      </c>
      <c r="B657" t="s">
        <v>90</v>
      </c>
      <c r="C657" t="s">
        <v>1883</v>
      </c>
      <c r="D657" t="s">
        <v>4438</v>
      </c>
      <c r="E657" t="s">
        <v>4444</v>
      </c>
      <c r="F657" s="3">
        <v>45164</v>
      </c>
      <c r="G657" s="3">
        <v>45165</v>
      </c>
      <c r="H657">
        <v>26.6</v>
      </c>
      <c r="I657">
        <v>24</v>
      </c>
      <c r="J657" t="s">
        <v>4440</v>
      </c>
      <c r="K657" t="s">
        <v>4441</v>
      </c>
      <c r="L657" t="s">
        <v>4445</v>
      </c>
      <c r="M657" t="s">
        <v>4462</v>
      </c>
      <c r="N657">
        <v>3</v>
      </c>
    </row>
    <row r="658" spans="1:14" x14ac:dyDescent="0.35">
      <c r="A658" t="s">
        <v>5137</v>
      </c>
      <c r="B658" t="s">
        <v>332</v>
      </c>
      <c r="C658" t="s">
        <v>1904</v>
      </c>
      <c r="D658" t="s">
        <v>4443</v>
      </c>
      <c r="E658" t="s">
        <v>4439</v>
      </c>
      <c r="F658" s="3">
        <v>45723</v>
      </c>
      <c r="G658" s="3" t="s">
        <v>537</v>
      </c>
      <c r="I658">
        <v>48</v>
      </c>
      <c r="J658" t="s">
        <v>4448</v>
      </c>
      <c r="K658" t="s">
        <v>4457</v>
      </c>
      <c r="L658" t="s">
        <v>1907</v>
      </c>
      <c r="M658" t="s">
        <v>4450</v>
      </c>
    </row>
    <row r="659" spans="1:14" x14ac:dyDescent="0.35">
      <c r="A659" t="s">
        <v>5138</v>
      </c>
      <c r="B659" t="s">
        <v>447</v>
      </c>
      <c r="C659" t="s">
        <v>1904</v>
      </c>
      <c r="D659" t="s">
        <v>4479</v>
      </c>
      <c r="E659" t="s">
        <v>4473</v>
      </c>
      <c r="F659" s="3">
        <v>45671</v>
      </c>
      <c r="G659" s="3" t="s">
        <v>537</v>
      </c>
      <c r="I659">
        <v>8</v>
      </c>
      <c r="J659" t="s">
        <v>4440</v>
      </c>
      <c r="K659" t="s">
        <v>4457</v>
      </c>
      <c r="L659" t="s">
        <v>4580</v>
      </c>
      <c r="M659" t="s">
        <v>1625</v>
      </c>
    </row>
    <row r="660" spans="1:14" x14ac:dyDescent="0.35">
      <c r="A660" t="s">
        <v>5139</v>
      </c>
      <c r="B660" t="s">
        <v>414</v>
      </c>
      <c r="C660" t="s">
        <v>1927</v>
      </c>
      <c r="D660" t="s">
        <v>4443</v>
      </c>
      <c r="E660" t="s">
        <v>4473</v>
      </c>
      <c r="F660" s="3">
        <v>45726</v>
      </c>
      <c r="G660" s="3">
        <v>45726</v>
      </c>
      <c r="H660">
        <v>18</v>
      </c>
      <c r="I660">
        <v>8</v>
      </c>
      <c r="J660" t="s">
        <v>4440</v>
      </c>
      <c r="K660" t="s">
        <v>4441</v>
      </c>
      <c r="L660" t="s">
        <v>4533</v>
      </c>
      <c r="M660" t="s">
        <v>4446</v>
      </c>
    </row>
    <row r="661" spans="1:14" x14ac:dyDescent="0.35">
      <c r="A661" t="s">
        <v>5140</v>
      </c>
      <c r="B661" t="s">
        <v>410</v>
      </c>
      <c r="C661" t="s">
        <v>1927</v>
      </c>
      <c r="D661" t="s">
        <v>4476</v>
      </c>
      <c r="E661" t="s">
        <v>4439</v>
      </c>
      <c r="F661" s="3">
        <v>44943</v>
      </c>
      <c r="G661" s="3" t="s">
        <v>537</v>
      </c>
      <c r="I661">
        <v>48</v>
      </c>
      <c r="J661" t="s">
        <v>4440</v>
      </c>
      <c r="K661" t="s">
        <v>4453</v>
      </c>
      <c r="L661" t="s">
        <v>1907</v>
      </c>
      <c r="M661" t="s">
        <v>4450</v>
      </c>
    </row>
    <row r="662" spans="1:14" x14ac:dyDescent="0.35">
      <c r="A662" t="s">
        <v>5141</v>
      </c>
      <c r="B662" t="s">
        <v>236</v>
      </c>
      <c r="C662" t="s">
        <v>1915</v>
      </c>
      <c r="D662" t="s">
        <v>4485</v>
      </c>
      <c r="E662" t="s">
        <v>4444</v>
      </c>
      <c r="F662" s="3">
        <v>45672</v>
      </c>
      <c r="G662" s="3">
        <v>45672</v>
      </c>
      <c r="H662">
        <v>14</v>
      </c>
      <c r="I662">
        <v>24</v>
      </c>
      <c r="J662" t="s">
        <v>4448</v>
      </c>
      <c r="K662" t="s">
        <v>4441</v>
      </c>
      <c r="L662" t="s">
        <v>4470</v>
      </c>
      <c r="M662" t="s">
        <v>4450</v>
      </c>
      <c r="N662">
        <v>5</v>
      </c>
    </row>
    <row r="663" spans="1:14" x14ac:dyDescent="0.35">
      <c r="A663" t="s">
        <v>5142</v>
      </c>
      <c r="B663" t="s">
        <v>417</v>
      </c>
      <c r="C663" t="s">
        <v>1890</v>
      </c>
      <c r="D663" t="s">
        <v>4460</v>
      </c>
      <c r="E663" t="s">
        <v>4473</v>
      </c>
      <c r="F663" s="3">
        <v>45156</v>
      </c>
      <c r="G663" s="3" t="s">
        <v>537</v>
      </c>
      <c r="I663">
        <v>8</v>
      </c>
      <c r="J663" t="s">
        <v>4440</v>
      </c>
      <c r="K663" t="s">
        <v>4457</v>
      </c>
      <c r="L663" t="s">
        <v>4580</v>
      </c>
      <c r="M663" t="s">
        <v>4446</v>
      </c>
    </row>
    <row r="664" spans="1:14" x14ac:dyDescent="0.35">
      <c r="A664" t="s">
        <v>5143</v>
      </c>
      <c r="B664" t="s">
        <v>329</v>
      </c>
      <c r="C664" t="s">
        <v>1890</v>
      </c>
      <c r="D664" t="s">
        <v>4490</v>
      </c>
      <c r="E664" t="s">
        <v>4444</v>
      </c>
      <c r="F664" s="3">
        <v>45667</v>
      </c>
      <c r="G664" s="3">
        <v>45667</v>
      </c>
      <c r="H664">
        <v>0.8</v>
      </c>
      <c r="I664">
        <v>24</v>
      </c>
      <c r="J664" t="s">
        <v>4448</v>
      </c>
      <c r="K664" t="s">
        <v>4441</v>
      </c>
      <c r="L664" t="s">
        <v>4470</v>
      </c>
      <c r="M664" t="s">
        <v>4462</v>
      </c>
      <c r="N664">
        <v>5</v>
      </c>
    </row>
    <row r="665" spans="1:14" x14ac:dyDescent="0.35">
      <c r="A665" t="s">
        <v>5144</v>
      </c>
      <c r="B665" t="s">
        <v>288</v>
      </c>
      <c r="C665" t="s">
        <v>1883</v>
      </c>
      <c r="D665" t="s">
        <v>4443</v>
      </c>
      <c r="E665" t="s">
        <v>4456</v>
      </c>
      <c r="F665" s="3">
        <v>45389</v>
      </c>
      <c r="G665" s="3" t="s">
        <v>537</v>
      </c>
      <c r="I665">
        <v>4</v>
      </c>
      <c r="J665" t="s">
        <v>1945</v>
      </c>
      <c r="K665" t="s">
        <v>4453</v>
      </c>
      <c r="L665" t="s">
        <v>4492</v>
      </c>
      <c r="M665" t="s">
        <v>4446</v>
      </c>
    </row>
    <row r="666" spans="1:14" x14ac:dyDescent="0.35">
      <c r="A666" t="s">
        <v>5145</v>
      </c>
      <c r="B666" t="s">
        <v>211</v>
      </c>
      <c r="C666" t="s">
        <v>1883</v>
      </c>
      <c r="D666" t="s">
        <v>4472</v>
      </c>
      <c r="E666" t="s">
        <v>4473</v>
      </c>
      <c r="F666" s="3">
        <v>45536</v>
      </c>
      <c r="G666" s="3">
        <v>45536</v>
      </c>
      <c r="H666">
        <v>2.2000000000000002</v>
      </c>
      <c r="I666">
        <v>8</v>
      </c>
      <c r="J666" t="s">
        <v>4448</v>
      </c>
      <c r="K666" t="s">
        <v>4441</v>
      </c>
      <c r="L666" t="s">
        <v>4501</v>
      </c>
      <c r="M666" t="s">
        <v>4450</v>
      </c>
      <c r="N666">
        <v>4</v>
      </c>
    </row>
    <row r="667" spans="1:14" x14ac:dyDescent="0.35">
      <c r="A667" t="s">
        <v>5146</v>
      </c>
      <c r="B667" t="s">
        <v>383</v>
      </c>
      <c r="C667" t="s">
        <v>1927</v>
      </c>
      <c r="D667" t="s">
        <v>4452</v>
      </c>
      <c r="E667" t="s">
        <v>4444</v>
      </c>
      <c r="F667" s="3">
        <v>45629</v>
      </c>
      <c r="G667" s="3">
        <v>45630</v>
      </c>
      <c r="H667">
        <v>24.4</v>
      </c>
      <c r="I667">
        <v>24</v>
      </c>
      <c r="J667" t="s">
        <v>4440</v>
      </c>
      <c r="K667" t="s">
        <v>4441</v>
      </c>
      <c r="L667" t="s">
        <v>4501</v>
      </c>
      <c r="M667" t="s">
        <v>4450</v>
      </c>
      <c r="N667">
        <v>3</v>
      </c>
    </row>
    <row r="668" spans="1:14" x14ac:dyDescent="0.35">
      <c r="A668" t="s">
        <v>5147</v>
      </c>
      <c r="B668" t="s">
        <v>357</v>
      </c>
      <c r="C668" t="s">
        <v>1890</v>
      </c>
      <c r="D668" t="s">
        <v>4479</v>
      </c>
      <c r="E668" t="s">
        <v>4473</v>
      </c>
      <c r="F668" s="3">
        <v>45499</v>
      </c>
      <c r="G668" s="3">
        <v>45499</v>
      </c>
      <c r="H668">
        <v>6.9</v>
      </c>
      <c r="I668">
        <v>8</v>
      </c>
      <c r="J668" t="s">
        <v>4448</v>
      </c>
      <c r="K668" t="s">
        <v>4441</v>
      </c>
      <c r="L668" t="s">
        <v>4514</v>
      </c>
      <c r="M668" t="s">
        <v>4446</v>
      </c>
      <c r="N668">
        <v>2</v>
      </c>
    </row>
    <row r="669" spans="1:14" x14ac:dyDescent="0.35">
      <c r="A669" t="s">
        <v>5148</v>
      </c>
      <c r="B669" t="s">
        <v>252</v>
      </c>
      <c r="C669" t="s">
        <v>1883</v>
      </c>
      <c r="D669" t="s">
        <v>8510</v>
      </c>
      <c r="E669" t="s">
        <v>4444</v>
      </c>
      <c r="F669" s="3">
        <v>44927</v>
      </c>
      <c r="G669" s="3">
        <v>44927</v>
      </c>
      <c r="H669">
        <v>7.2</v>
      </c>
      <c r="I669">
        <v>24</v>
      </c>
      <c r="J669" t="s">
        <v>4448</v>
      </c>
      <c r="K669" t="s">
        <v>4441</v>
      </c>
      <c r="L669" t="s">
        <v>4533</v>
      </c>
      <c r="M669" t="s">
        <v>4462</v>
      </c>
      <c r="N669">
        <v>2</v>
      </c>
    </row>
    <row r="670" spans="1:14" x14ac:dyDescent="0.35">
      <c r="A670" t="s">
        <v>5149</v>
      </c>
      <c r="B670" t="s">
        <v>158</v>
      </c>
      <c r="C670" t="s">
        <v>1904</v>
      </c>
      <c r="D670" t="s">
        <v>4482</v>
      </c>
      <c r="E670" t="s">
        <v>4439</v>
      </c>
      <c r="F670" s="3">
        <v>45117</v>
      </c>
      <c r="G670" s="3" t="s">
        <v>537</v>
      </c>
      <c r="I670">
        <v>48</v>
      </c>
      <c r="J670" t="s">
        <v>4448</v>
      </c>
      <c r="K670" t="s">
        <v>4474</v>
      </c>
      <c r="L670" t="s">
        <v>4458</v>
      </c>
      <c r="M670" t="s">
        <v>4462</v>
      </c>
    </row>
    <row r="671" spans="1:14" x14ac:dyDescent="0.35">
      <c r="A671" t="s">
        <v>5150</v>
      </c>
      <c r="B671" t="s">
        <v>444</v>
      </c>
      <c r="C671" t="s">
        <v>1904</v>
      </c>
      <c r="D671" t="s">
        <v>4472</v>
      </c>
      <c r="E671" t="s">
        <v>4473</v>
      </c>
      <c r="F671" s="3">
        <v>44940</v>
      </c>
      <c r="G671" s="3">
        <v>44940</v>
      </c>
      <c r="H671">
        <v>15.3</v>
      </c>
      <c r="I671">
        <v>8</v>
      </c>
      <c r="J671" t="s">
        <v>4440</v>
      </c>
      <c r="K671" t="s">
        <v>4441</v>
      </c>
      <c r="L671" t="s">
        <v>4492</v>
      </c>
      <c r="M671" t="s">
        <v>1625</v>
      </c>
      <c r="N671">
        <v>1</v>
      </c>
    </row>
    <row r="672" spans="1:14" x14ac:dyDescent="0.35">
      <c r="A672" t="s">
        <v>5151</v>
      </c>
      <c r="B672" t="s">
        <v>175</v>
      </c>
      <c r="C672" t="s">
        <v>1883</v>
      </c>
      <c r="D672" t="s">
        <v>4472</v>
      </c>
      <c r="E672" t="s">
        <v>4444</v>
      </c>
      <c r="F672" s="3">
        <v>44959</v>
      </c>
      <c r="G672" s="3">
        <v>44959</v>
      </c>
      <c r="H672">
        <v>10</v>
      </c>
      <c r="I672">
        <v>24</v>
      </c>
      <c r="J672" t="s">
        <v>4448</v>
      </c>
      <c r="K672" t="s">
        <v>4441</v>
      </c>
      <c r="L672" t="s">
        <v>4465</v>
      </c>
      <c r="M672" t="s">
        <v>4446</v>
      </c>
      <c r="N672">
        <v>5</v>
      </c>
    </row>
    <row r="673" spans="1:14" x14ac:dyDescent="0.35">
      <c r="A673" t="s">
        <v>5152</v>
      </c>
      <c r="B673" t="s">
        <v>351</v>
      </c>
      <c r="C673" t="s">
        <v>1915</v>
      </c>
      <c r="D673" t="s">
        <v>4472</v>
      </c>
      <c r="E673" t="s">
        <v>4473</v>
      </c>
      <c r="F673" s="3">
        <v>45687</v>
      </c>
      <c r="G673" s="3">
        <v>45687</v>
      </c>
      <c r="H673">
        <v>19.399999999999999</v>
      </c>
      <c r="I673">
        <v>8</v>
      </c>
      <c r="J673" t="s">
        <v>4440</v>
      </c>
      <c r="K673" t="s">
        <v>4441</v>
      </c>
      <c r="L673" t="s">
        <v>4514</v>
      </c>
      <c r="M673" t="s">
        <v>4446</v>
      </c>
      <c r="N673">
        <v>5</v>
      </c>
    </row>
    <row r="674" spans="1:14" x14ac:dyDescent="0.35">
      <c r="A674" t="s">
        <v>5153</v>
      </c>
      <c r="B674" t="s">
        <v>94</v>
      </c>
      <c r="C674" t="s">
        <v>1927</v>
      </c>
      <c r="D674" t="s">
        <v>4476</v>
      </c>
      <c r="E674" t="s">
        <v>4456</v>
      </c>
      <c r="F674" s="3">
        <v>45332</v>
      </c>
      <c r="G674" s="3" t="s">
        <v>537</v>
      </c>
      <c r="I674">
        <v>4</v>
      </c>
      <c r="J674" t="s">
        <v>4440</v>
      </c>
      <c r="K674" t="s">
        <v>4457</v>
      </c>
      <c r="L674" t="s">
        <v>4465</v>
      </c>
      <c r="M674" t="s">
        <v>4450</v>
      </c>
    </row>
    <row r="675" spans="1:14" x14ac:dyDescent="0.35">
      <c r="A675" t="s">
        <v>5154</v>
      </c>
      <c r="B675" t="s">
        <v>57</v>
      </c>
      <c r="C675" t="s">
        <v>1915</v>
      </c>
      <c r="D675" t="s">
        <v>4469</v>
      </c>
      <c r="E675" t="s">
        <v>4444</v>
      </c>
      <c r="F675" s="3">
        <v>45397</v>
      </c>
      <c r="G675" s="3">
        <v>45398</v>
      </c>
      <c r="H675">
        <v>37.799999999999997</v>
      </c>
      <c r="I675">
        <v>24</v>
      </c>
      <c r="J675" t="s">
        <v>4440</v>
      </c>
      <c r="K675" t="s">
        <v>4441</v>
      </c>
      <c r="L675" t="s">
        <v>4514</v>
      </c>
      <c r="M675" t="s">
        <v>4450</v>
      </c>
      <c r="N675">
        <v>4</v>
      </c>
    </row>
    <row r="676" spans="1:14" x14ac:dyDescent="0.35">
      <c r="A676" t="s">
        <v>5155</v>
      </c>
      <c r="B676" t="s">
        <v>297</v>
      </c>
      <c r="C676" t="s">
        <v>1904</v>
      </c>
      <c r="D676" t="s">
        <v>4482</v>
      </c>
      <c r="E676" t="s">
        <v>4473</v>
      </c>
      <c r="F676" s="3">
        <v>45440</v>
      </c>
      <c r="G676" s="3" t="s">
        <v>537</v>
      </c>
      <c r="I676">
        <v>8</v>
      </c>
      <c r="J676" t="s">
        <v>4448</v>
      </c>
      <c r="K676" t="s">
        <v>4453</v>
      </c>
      <c r="L676" t="s">
        <v>4480</v>
      </c>
      <c r="M676" t="s">
        <v>1625</v>
      </c>
    </row>
    <row r="677" spans="1:14" x14ac:dyDescent="0.35">
      <c r="A677" t="s">
        <v>5156</v>
      </c>
      <c r="B677" t="s">
        <v>451</v>
      </c>
      <c r="C677" t="s">
        <v>1890</v>
      </c>
      <c r="D677" t="s">
        <v>4443</v>
      </c>
      <c r="E677" t="s">
        <v>4444</v>
      </c>
      <c r="F677" s="3">
        <v>45264</v>
      </c>
      <c r="G677" s="3">
        <v>45265</v>
      </c>
      <c r="H677">
        <v>27.1</v>
      </c>
      <c r="I677">
        <v>24</v>
      </c>
      <c r="J677" t="s">
        <v>4440</v>
      </c>
      <c r="K677" t="s">
        <v>4441</v>
      </c>
      <c r="L677" t="s">
        <v>4533</v>
      </c>
      <c r="M677" t="s">
        <v>4446</v>
      </c>
      <c r="N677">
        <v>4</v>
      </c>
    </row>
    <row r="678" spans="1:14" x14ac:dyDescent="0.35">
      <c r="A678" t="s">
        <v>5157</v>
      </c>
      <c r="B678" t="s">
        <v>114</v>
      </c>
      <c r="C678" t="s">
        <v>1927</v>
      </c>
      <c r="D678" t="s">
        <v>4490</v>
      </c>
      <c r="E678" t="s">
        <v>4473</v>
      </c>
      <c r="F678" s="3">
        <v>44966</v>
      </c>
      <c r="G678" s="3" t="s">
        <v>537</v>
      </c>
      <c r="I678">
        <v>8</v>
      </c>
      <c r="J678" t="s">
        <v>4448</v>
      </c>
      <c r="K678" t="s">
        <v>4453</v>
      </c>
      <c r="L678" t="s">
        <v>4501</v>
      </c>
      <c r="M678" t="s">
        <v>1625</v>
      </c>
    </row>
    <row r="679" spans="1:14" x14ac:dyDescent="0.35">
      <c r="A679" t="s">
        <v>5158</v>
      </c>
      <c r="B679" t="s">
        <v>465</v>
      </c>
      <c r="C679" t="s">
        <v>1883</v>
      </c>
      <c r="D679" t="s">
        <v>4482</v>
      </c>
      <c r="E679" t="s">
        <v>4444</v>
      </c>
      <c r="F679" s="3">
        <v>45394</v>
      </c>
      <c r="G679" s="3">
        <v>45396</v>
      </c>
      <c r="H679">
        <v>54.5</v>
      </c>
      <c r="I679">
        <v>24</v>
      </c>
      <c r="J679" t="s">
        <v>4440</v>
      </c>
      <c r="K679" t="s">
        <v>4441</v>
      </c>
      <c r="L679" t="s">
        <v>4580</v>
      </c>
      <c r="M679" t="s">
        <v>4446</v>
      </c>
    </row>
    <row r="680" spans="1:14" x14ac:dyDescent="0.35">
      <c r="A680" t="s">
        <v>5159</v>
      </c>
      <c r="B680" t="s">
        <v>301</v>
      </c>
      <c r="C680" t="s">
        <v>1915</v>
      </c>
      <c r="D680" t="s">
        <v>4479</v>
      </c>
      <c r="E680" t="s">
        <v>4439</v>
      </c>
      <c r="F680" s="3">
        <v>45423</v>
      </c>
      <c r="G680" s="3">
        <v>45424</v>
      </c>
      <c r="H680">
        <v>25.8</v>
      </c>
      <c r="I680">
        <v>48</v>
      </c>
      <c r="J680" t="s">
        <v>4448</v>
      </c>
      <c r="K680" t="s">
        <v>4441</v>
      </c>
      <c r="L680" t="s">
        <v>4533</v>
      </c>
      <c r="M680" t="s">
        <v>4462</v>
      </c>
    </row>
    <row r="681" spans="1:14" x14ac:dyDescent="0.35">
      <c r="A681" t="s">
        <v>5160</v>
      </c>
      <c r="B681" t="s">
        <v>152</v>
      </c>
      <c r="C681" t="s">
        <v>1904</v>
      </c>
      <c r="D681" t="s">
        <v>4443</v>
      </c>
      <c r="E681" t="s">
        <v>4456</v>
      </c>
      <c r="F681" s="3">
        <v>45376</v>
      </c>
      <c r="G681" s="3" t="s">
        <v>537</v>
      </c>
      <c r="I681">
        <v>4</v>
      </c>
      <c r="J681" t="s">
        <v>4448</v>
      </c>
      <c r="K681" t="s">
        <v>4457</v>
      </c>
      <c r="L681" t="s">
        <v>1907</v>
      </c>
      <c r="M681" t="s">
        <v>1625</v>
      </c>
    </row>
    <row r="682" spans="1:14" x14ac:dyDescent="0.35">
      <c r="A682" t="s">
        <v>5161</v>
      </c>
      <c r="B682" t="s">
        <v>374</v>
      </c>
      <c r="C682" t="s">
        <v>1890</v>
      </c>
      <c r="D682" t="s">
        <v>4490</v>
      </c>
      <c r="E682" t="s">
        <v>4473</v>
      </c>
      <c r="F682" s="3">
        <v>44957</v>
      </c>
      <c r="G682" s="3">
        <v>44957</v>
      </c>
      <c r="H682">
        <v>17.100000000000001</v>
      </c>
      <c r="I682">
        <v>8</v>
      </c>
      <c r="J682" t="s">
        <v>4440</v>
      </c>
      <c r="K682" t="s">
        <v>4441</v>
      </c>
      <c r="L682" t="s">
        <v>4509</v>
      </c>
      <c r="M682" t="s">
        <v>4450</v>
      </c>
    </row>
    <row r="683" spans="1:14" x14ac:dyDescent="0.35">
      <c r="A683" t="s">
        <v>5162</v>
      </c>
      <c r="B683" t="s">
        <v>471</v>
      </c>
      <c r="C683" t="s">
        <v>1915</v>
      </c>
      <c r="D683" t="s">
        <v>4479</v>
      </c>
      <c r="E683" t="s">
        <v>4439</v>
      </c>
      <c r="F683" s="3">
        <v>45281</v>
      </c>
      <c r="G683" s="3" t="s">
        <v>537</v>
      </c>
      <c r="I683">
        <v>48</v>
      </c>
      <c r="J683" t="s">
        <v>4440</v>
      </c>
      <c r="K683" t="s">
        <v>4457</v>
      </c>
      <c r="L683" t="s">
        <v>4461</v>
      </c>
      <c r="M683" t="s">
        <v>1625</v>
      </c>
    </row>
    <row r="684" spans="1:14" x14ac:dyDescent="0.35">
      <c r="A684" t="s">
        <v>5163</v>
      </c>
      <c r="B684" t="s">
        <v>444</v>
      </c>
      <c r="C684" t="s">
        <v>1890</v>
      </c>
      <c r="D684" t="s">
        <v>4472</v>
      </c>
      <c r="E684" t="s">
        <v>4439</v>
      </c>
      <c r="F684" s="3">
        <v>45224</v>
      </c>
      <c r="G684" s="3" t="s">
        <v>537</v>
      </c>
      <c r="I684">
        <v>48</v>
      </c>
      <c r="J684" t="s">
        <v>4440</v>
      </c>
      <c r="K684" t="s">
        <v>4457</v>
      </c>
      <c r="L684" t="s">
        <v>4480</v>
      </c>
      <c r="M684" t="s">
        <v>4446</v>
      </c>
    </row>
    <row r="685" spans="1:14" x14ac:dyDescent="0.35">
      <c r="A685" t="s">
        <v>5164</v>
      </c>
      <c r="B685" t="s">
        <v>130</v>
      </c>
      <c r="C685" t="s">
        <v>1927</v>
      </c>
      <c r="D685" t="s">
        <v>4476</v>
      </c>
      <c r="E685" t="s">
        <v>4444</v>
      </c>
      <c r="F685" s="3">
        <v>45006</v>
      </c>
      <c r="G685" s="3">
        <v>45008</v>
      </c>
      <c r="H685">
        <v>51</v>
      </c>
      <c r="I685">
        <v>24</v>
      </c>
      <c r="J685" t="s">
        <v>4440</v>
      </c>
      <c r="K685" t="s">
        <v>4441</v>
      </c>
      <c r="L685" t="s">
        <v>4467</v>
      </c>
      <c r="M685" t="s">
        <v>4450</v>
      </c>
      <c r="N685">
        <v>4</v>
      </c>
    </row>
    <row r="686" spans="1:14" x14ac:dyDescent="0.35">
      <c r="A686" t="s">
        <v>5165</v>
      </c>
      <c r="B686" t="s">
        <v>408</v>
      </c>
      <c r="C686" t="s">
        <v>1899</v>
      </c>
      <c r="D686" t="s">
        <v>4438</v>
      </c>
      <c r="E686" t="s">
        <v>4473</v>
      </c>
      <c r="F686" s="3">
        <v>45101</v>
      </c>
      <c r="G686" s="3" t="s">
        <v>537</v>
      </c>
      <c r="I686">
        <v>8</v>
      </c>
      <c r="J686" t="s">
        <v>4448</v>
      </c>
      <c r="K686" t="s">
        <v>4457</v>
      </c>
      <c r="L686" t="s">
        <v>4465</v>
      </c>
      <c r="M686" t="s">
        <v>4450</v>
      </c>
    </row>
    <row r="687" spans="1:14" x14ac:dyDescent="0.35">
      <c r="A687" t="s">
        <v>5166</v>
      </c>
      <c r="B687" t="s">
        <v>234</v>
      </c>
      <c r="C687" t="s">
        <v>1890</v>
      </c>
      <c r="D687" t="s">
        <v>4460</v>
      </c>
      <c r="E687" t="s">
        <v>4444</v>
      </c>
      <c r="F687" s="3">
        <v>44938</v>
      </c>
      <c r="G687" s="3">
        <v>44940</v>
      </c>
      <c r="H687">
        <v>58.5</v>
      </c>
      <c r="I687">
        <v>24</v>
      </c>
      <c r="J687" t="s">
        <v>4440</v>
      </c>
      <c r="K687" t="s">
        <v>4441</v>
      </c>
      <c r="L687" t="s">
        <v>4449</v>
      </c>
      <c r="M687" t="s">
        <v>1625</v>
      </c>
      <c r="N687">
        <v>5</v>
      </c>
    </row>
    <row r="688" spans="1:14" x14ac:dyDescent="0.35">
      <c r="A688" t="s">
        <v>5167</v>
      </c>
      <c r="B688" t="s">
        <v>310</v>
      </c>
      <c r="C688" t="s">
        <v>1899</v>
      </c>
      <c r="D688" t="s">
        <v>4438</v>
      </c>
      <c r="E688" t="s">
        <v>4439</v>
      </c>
      <c r="F688" s="3">
        <v>45394</v>
      </c>
      <c r="G688" s="3" t="s">
        <v>537</v>
      </c>
      <c r="I688">
        <v>48</v>
      </c>
      <c r="J688" t="s">
        <v>4448</v>
      </c>
      <c r="K688" t="s">
        <v>4474</v>
      </c>
      <c r="L688" t="s">
        <v>4501</v>
      </c>
      <c r="M688" t="s">
        <v>4450</v>
      </c>
    </row>
    <row r="689" spans="1:14" x14ac:dyDescent="0.35">
      <c r="A689" t="s">
        <v>5168</v>
      </c>
      <c r="B689" t="s">
        <v>466</v>
      </c>
      <c r="C689" t="s">
        <v>1927</v>
      </c>
      <c r="D689" t="s">
        <v>4464</v>
      </c>
      <c r="E689" t="s">
        <v>4444</v>
      </c>
      <c r="F689" s="3">
        <v>45265</v>
      </c>
      <c r="G689" s="3" t="s">
        <v>537</v>
      </c>
      <c r="I689">
        <v>24</v>
      </c>
      <c r="J689" t="s">
        <v>4440</v>
      </c>
      <c r="K689" t="s">
        <v>4474</v>
      </c>
      <c r="L689" t="s">
        <v>4501</v>
      </c>
      <c r="M689" t="s">
        <v>4450</v>
      </c>
    </row>
    <row r="690" spans="1:14" x14ac:dyDescent="0.35">
      <c r="A690" t="s">
        <v>5169</v>
      </c>
      <c r="B690" t="s">
        <v>484</v>
      </c>
      <c r="C690" t="s">
        <v>1890</v>
      </c>
      <c r="D690" t="s">
        <v>4472</v>
      </c>
      <c r="E690" t="s">
        <v>4473</v>
      </c>
      <c r="F690" s="3">
        <v>44943</v>
      </c>
      <c r="G690" s="3">
        <v>44943</v>
      </c>
      <c r="H690">
        <v>5.2</v>
      </c>
      <c r="I690">
        <v>8</v>
      </c>
      <c r="J690" t="s">
        <v>4448</v>
      </c>
      <c r="K690" t="s">
        <v>4441</v>
      </c>
      <c r="L690" t="s">
        <v>4449</v>
      </c>
      <c r="M690" t="s">
        <v>4450</v>
      </c>
      <c r="N690">
        <v>3</v>
      </c>
    </row>
    <row r="691" spans="1:14" x14ac:dyDescent="0.35">
      <c r="A691" t="s">
        <v>5170</v>
      </c>
      <c r="B691" t="s">
        <v>473</v>
      </c>
      <c r="C691" t="s">
        <v>1915</v>
      </c>
      <c r="D691" t="s">
        <v>4482</v>
      </c>
      <c r="E691" t="s">
        <v>4439</v>
      </c>
      <c r="F691" s="3">
        <v>45009</v>
      </c>
      <c r="G691" s="3">
        <v>45010</v>
      </c>
      <c r="H691">
        <v>28.3</v>
      </c>
      <c r="I691">
        <v>48</v>
      </c>
      <c r="J691" t="s">
        <v>4448</v>
      </c>
      <c r="K691" t="s">
        <v>4441</v>
      </c>
      <c r="L691" t="s">
        <v>4458</v>
      </c>
      <c r="M691" t="s">
        <v>4462</v>
      </c>
      <c r="N691">
        <v>4</v>
      </c>
    </row>
    <row r="692" spans="1:14" x14ac:dyDescent="0.35">
      <c r="A692" t="s">
        <v>5171</v>
      </c>
      <c r="B692" t="s">
        <v>319</v>
      </c>
      <c r="C692" t="s">
        <v>1883</v>
      </c>
      <c r="D692" t="s">
        <v>4452</v>
      </c>
      <c r="E692" t="s">
        <v>4456</v>
      </c>
      <c r="F692" s="3">
        <v>44933</v>
      </c>
      <c r="G692" s="3">
        <v>44933</v>
      </c>
      <c r="H692">
        <v>7.6</v>
      </c>
      <c r="I692">
        <v>4</v>
      </c>
      <c r="J692" t="s">
        <v>4440</v>
      </c>
      <c r="K692" t="s">
        <v>4441</v>
      </c>
      <c r="L692" t="s">
        <v>4445</v>
      </c>
      <c r="M692" t="s">
        <v>4446</v>
      </c>
      <c r="N692">
        <v>1</v>
      </c>
    </row>
    <row r="693" spans="1:14" x14ac:dyDescent="0.35">
      <c r="A693" t="s">
        <v>5172</v>
      </c>
      <c r="B693" t="s">
        <v>479</v>
      </c>
      <c r="C693" t="s">
        <v>1899</v>
      </c>
      <c r="D693" t="s">
        <v>4438</v>
      </c>
      <c r="E693" t="s">
        <v>4439</v>
      </c>
      <c r="F693" s="3">
        <v>45535</v>
      </c>
      <c r="G693" s="3">
        <v>45538</v>
      </c>
      <c r="H693">
        <v>80</v>
      </c>
      <c r="I693">
        <v>48</v>
      </c>
      <c r="J693" t="s">
        <v>4440</v>
      </c>
      <c r="K693" t="s">
        <v>4441</v>
      </c>
      <c r="L693" t="s">
        <v>4512</v>
      </c>
      <c r="M693" t="s">
        <v>4446</v>
      </c>
      <c r="N693">
        <v>2</v>
      </c>
    </row>
    <row r="694" spans="1:14" x14ac:dyDescent="0.35">
      <c r="A694" t="s">
        <v>5173</v>
      </c>
      <c r="B694" t="s">
        <v>158</v>
      </c>
      <c r="C694" t="s">
        <v>1904</v>
      </c>
      <c r="D694" t="s">
        <v>4460</v>
      </c>
      <c r="E694" t="s">
        <v>4473</v>
      </c>
      <c r="F694" s="3">
        <v>45508</v>
      </c>
      <c r="G694" s="3">
        <v>45508</v>
      </c>
      <c r="H694">
        <v>2.8</v>
      </c>
      <c r="I694">
        <v>8</v>
      </c>
      <c r="J694" t="s">
        <v>4448</v>
      </c>
      <c r="K694" t="s">
        <v>4441</v>
      </c>
      <c r="L694" t="s">
        <v>4580</v>
      </c>
      <c r="M694" t="s">
        <v>4450</v>
      </c>
    </row>
    <row r="695" spans="1:14" x14ac:dyDescent="0.35">
      <c r="A695" t="s">
        <v>5174</v>
      </c>
      <c r="B695" t="s">
        <v>193</v>
      </c>
      <c r="C695" t="s">
        <v>1899</v>
      </c>
      <c r="D695" t="s">
        <v>4469</v>
      </c>
      <c r="E695" t="s">
        <v>4444</v>
      </c>
      <c r="F695" s="3">
        <v>45016</v>
      </c>
      <c r="G695" s="3" t="s">
        <v>537</v>
      </c>
      <c r="I695">
        <v>24</v>
      </c>
      <c r="J695" t="s">
        <v>4440</v>
      </c>
      <c r="K695" t="s">
        <v>4474</v>
      </c>
      <c r="L695" t="s">
        <v>4533</v>
      </c>
      <c r="M695" t="s">
        <v>4462</v>
      </c>
    </row>
    <row r="696" spans="1:14" x14ac:dyDescent="0.35">
      <c r="A696" t="s">
        <v>5175</v>
      </c>
      <c r="B696" t="s">
        <v>458</v>
      </c>
      <c r="C696" t="s">
        <v>1883</v>
      </c>
      <c r="D696" t="s">
        <v>4469</v>
      </c>
      <c r="E696" t="s">
        <v>4444</v>
      </c>
      <c r="F696" s="3">
        <v>45632</v>
      </c>
      <c r="G696" s="3">
        <v>45633</v>
      </c>
      <c r="H696">
        <v>42.8</v>
      </c>
      <c r="I696">
        <v>24</v>
      </c>
      <c r="J696" t="s">
        <v>4440</v>
      </c>
      <c r="K696" t="s">
        <v>4441</v>
      </c>
      <c r="L696" t="s">
        <v>4512</v>
      </c>
      <c r="M696" t="s">
        <v>1625</v>
      </c>
      <c r="N696">
        <v>3</v>
      </c>
    </row>
    <row r="697" spans="1:14" x14ac:dyDescent="0.35">
      <c r="A697" t="s">
        <v>5176</v>
      </c>
      <c r="B697" t="s">
        <v>450</v>
      </c>
      <c r="C697" t="s">
        <v>1915</v>
      </c>
      <c r="D697" t="s">
        <v>4438</v>
      </c>
      <c r="E697" t="s">
        <v>4444</v>
      </c>
      <c r="F697" s="3">
        <v>45710</v>
      </c>
      <c r="G697" s="3" t="s">
        <v>537</v>
      </c>
      <c r="I697">
        <v>24</v>
      </c>
      <c r="J697" t="s">
        <v>4448</v>
      </c>
      <c r="K697" t="s">
        <v>4474</v>
      </c>
      <c r="L697" t="s">
        <v>4488</v>
      </c>
      <c r="M697" t="s">
        <v>4450</v>
      </c>
    </row>
    <row r="698" spans="1:14" x14ac:dyDescent="0.35">
      <c r="A698" t="s">
        <v>5177</v>
      </c>
      <c r="B698" t="s">
        <v>66</v>
      </c>
      <c r="C698" t="s">
        <v>1927</v>
      </c>
      <c r="D698" t="s">
        <v>4479</v>
      </c>
      <c r="E698" t="s">
        <v>4444</v>
      </c>
      <c r="F698" s="3">
        <v>45374</v>
      </c>
      <c r="G698" s="3">
        <v>45374</v>
      </c>
      <c r="H698">
        <v>18.2</v>
      </c>
      <c r="I698">
        <v>24</v>
      </c>
      <c r="J698" t="s">
        <v>4448</v>
      </c>
      <c r="K698" t="s">
        <v>4441</v>
      </c>
      <c r="L698" t="s">
        <v>4488</v>
      </c>
      <c r="M698" t="s">
        <v>4446</v>
      </c>
      <c r="N698">
        <v>3</v>
      </c>
    </row>
    <row r="699" spans="1:14" x14ac:dyDescent="0.35">
      <c r="A699" t="s">
        <v>5178</v>
      </c>
      <c r="B699" t="s">
        <v>243</v>
      </c>
      <c r="C699" t="s">
        <v>1904</v>
      </c>
      <c r="D699" t="s">
        <v>4452</v>
      </c>
      <c r="E699" t="s">
        <v>4439</v>
      </c>
      <c r="F699" s="3">
        <v>45172</v>
      </c>
      <c r="G699" s="3">
        <v>45173</v>
      </c>
      <c r="H699">
        <v>30.7</v>
      </c>
      <c r="I699">
        <v>48</v>
      </c>
      <c r="J699" t="s">
        <v>4448</v>
      </c>
      <c r="K699" t="s">
        <v>4441</v>
      </c>
      <c r="L699" t="s">
        <v>4527</v>
      </c>
      <c r="M699" t="s">
        <v>4446</v>
      </c>
    </row>
    <row r="700" spans="1:14" x14ac:dyDescent="0.35">
      <c r="A700" t="s">
        <v>5179</v>
      </c>
      <c r="B700" t="s">
        <v>52</v>
      </c>
      <c r="C700" t="s">
        <v>1915</v>
      </c>
      <c r="D700" t="s">
        <v>4482</v>
      </c>
      <c r="E700" t="s">
        <v>4473</v>
      </c>
      <c r="F700" s="3">
        <v>45694</v>
      </c>
      <c r="G700" s="3">
        <v>45694</v>
      </c>
      <c r="H700">
        <v>6.6</v>
      </c>
      <c r="I700">
        <v>8</v>
      </c>
      <c r="J700" t="s">
        <v>4448</v>
      </c>
      <c r="K700" t="s">
        <v>4441</v>
      </c>
      <c r="L700" t="s">
        <v>4454</v>
      </c>
      <c r="M700" t="s">
        <v>1625</v>
      </c>
      <c r="N700">
        <v>1</v>
      </c>
    </row>
    <row r="701" spans="1:14" x14ac:dyDescent="0.35">
      <c r="A701" t="s">
        <v>5180</v>
      </c>
      <c r="B701" t="s">
        <v>357</v>
      </c>
      <c r="C701" t="s">
        <v>1883</v>
      </c>
      <c r="D701" t="s">
        <v>4490</v>
      </c>
      <c r="E701" t="s">
        <v>4439</v>
      </c>
      <c r="F701" s="3">
        <v>45285</v>
      </c>
      <c r="G701" s="3" t="s">
        <v>537</v>
      </c>
      <c r="I701">
        <v>48</v>
      </c>
      <c r="J701" t="s">
        <v>4440</v>
      </c>
      <c r="K701" t="s">
        <v>4474</v>
      </c>
      <c r="L701" t="s">
        <v>4512</v>
      </c>
      <c r="M701" t="s">
        <v>4446</v>
      </c>
    </row>
    <row r="702" spans="1:14" x14ac:dyDescent="0.35">
      <c r="A702" t="s">
        <v>5181</v>
      </c>
      <c r="B702" t="s">
        <v>355</v>
      </c>
      <c r="C702" t="s">
        <v>1904</v>
      </c>
      <c r="D702" t="s">
        <v>4490</v>
      </c>
      <c r="E702" t="s">
        <v>4444</v>
      </c>
      <c r="F702" s="3">
        <v>45265</v>
      </c>
      <c r="G702" s="3" t="s">
        <v>537</v>
      </c>
      <c r="I702">
        <v>24</v>
      </c>
      <c r="J702" t="s">
        <v>4440</v>
      </c>
      <c r="K702" t="s">
        <v>4457</v>
      </c>
      <c r="L702" t="s">
        <v>4512</v>
      </c>
      <c r="M702" t="s">
        <v>1625</v>
      </c>
    </row>
    <row r="703" spans="1:14" x14ac:dyDescent="0.35">
      <c r="A703" t="s">
        <v>5182</v>
      </c>
      <c r="B703" t="s">
        <v>301</v>
      </c>
      <c r="C703" t="s">
        <v>1899</v>
      </c>
      <c r="D703" t="s">
        <v>4472</v>
      </c>
      <c r="E703" t="s">
        <v>4444</v>
      </c>
      <c r="F703" s="3">
        <v>45739</v>
      </c>
      <c r="G703" s="3" t="s">
        <v>537</v>
      </c>
      <c r="I703">
        <v>24</v>
      </c>
      <c r="J703" t="s">
        <v>4440</v>
      </c>
      <c r="K703" t="s">
        <v>4457</v>
      </c>
      <c r="L703" t="s">
        <v>4461</v>
      </c>
      <c r="M703" t="s">
        <v>4450</v>
      </c>
    </row>
    <row r="704" spans="1:14" x14ac:dyDescent="0.35">
      <c r="A704" t="s">
        <v>5183</v>
      </c>
      <c r="B704" t="s">
        <v>110</v>
      </c>
      <c r="C704" t="s">
        <v>1883</v>
      </c>
      <c r="D704" t="s">
        <v>4485</v>
      </c>
      <c r="E704" t="s">
        <v>4439</v>
      </c>
      <c r="F704" s="3">
        <v>45199</v>
      </c>
      <c r="G704" s="3" t="s">
        <v>537</v>
      </c>
      <c r="I704">
        <v>48</v>
      </c>
      <c r="J704" t="s">
        <v>4440</v>
      </c>
      <c r="K704" t="s">
        <v>4474</v>
      </c>
      <c r="L704" t="s">
        <v>4501</v>
      </c>
      <c r="M704" t="s">
        <v>4462</v>
      </c>
    </row>
    <row r="705" spans="1:14" x14ac:dyDescent="0.35">
      <c r="A705" t="s">
        <v>5184</v>
      </c>
      <c r="B705" t="s">
        <v>144</v>
      </c>
      <c r="C705" t="s">
        <v>1899</v>
      </c>
      <c r="D705" t="s">
        <v>4464</v>
      </c>
      <c r="E705" t="s">
        <v>4439</v>
      </c>
      <c r="F705" s="3">
        <v>45707</v>
      </c>
      <c r="G705" s="3">
        <v>45707</v>
      </c>
      <c r="H705">
        <v>15.5</v>
      </c>
      <c r="I705">
        <v>48</v>
      </c>
      <c r="J705" t="s">
        <v>4448</v>
      </c>
      <c r="K705" t="s">
        <v>4441</v>
      </c>
      <c r="L705" t="s">
        <v>4467</v>
      </c>
      <c r="M705" t="s">
        <v>4462</v>
      </c>
    </row>
    <row r="706" spans="1:14" x14ac:dyDescent="0.35">
      <c r="A706" t="s">
        <v>5185</v>
      </c>
      <c r="B706" t="s">
        <v>226</v>
      </c>
      <c r="C706" t="s">
        <v>1904</v>
      </c>
      <c r="D706" t="s">
        <v>4485</v>
      </c>
      <c r="E706" t="s">
        <v>4444</v>
      </c>
      <c r="F706" s="3">
        <v>45192</v>
      </c>
      <c r="G706" s="3" t="s">
        <v>537</v>
      </c>
      <c r="I706">
        <v>24</v>
      </c>
      <c r="J706" t="s">
        <v>4448</v>
      </c>
      <c r="K706" t="s">
        <v>4453</v>
      </c>
      <c r="L706" t="s">
        <v>4467</v>
      </c>
      <c r="M706" t="s">
        <v>4450</v>
      </c>
    </row>
    <row r="707" spans="1:14" x14ac:dyDescent="0.35">
      <c r="A707" t="s">
        <v>5186</v>
      </c>
      <c r="B707" t="s">
        <v>466</v>
      </c>
      <c r="C707" t="s">
        <v>1883</v>
      </c>
      <c r="D707" t="s">
        <v>4443</v>
      </c>
      <c r="E707" t="s">
        <v>4473</v>
      </c>
      <c r="F707" s="3">
        <v>45472</v>
      </c>
      <c r="G707" s="3">
        <v>45472</v>
      </c>
      <c r="H707">
        <v>1.8</v>
      </c>
      <c r="I707">
        <v>8</v>
      </c>
      <c r="J707" t="s">
        <v>4448</v>
      </c>
      <c r="K707" t="s">
        <v>4441</v>
      </c>
      <c r="L707" t="s">
        <v>4445</v>
      </c>
      <c r="M707" t="s">
        <v>1625</v>
      </c>
      <c r="N707">
        <v>4</v>
      </c>
    </row>
    <row r="708" spans="1:14" x14ac:dyDescent="0.35">
      <c r="A708" t="s">
        <v>5187</v>
      </c>
      <c r="B708" t="s">
        <v>321</v>
      </c>
      <c r="C708" t="s">
        <v>1883</v>
      </c>
      <c r="D708" t="s">
        <v>4476</v>
      </c>
      <c r="E708" t="s">
        <v>4473</v>
      </c>
      <c r="F708" s="3">
        <v>45568</v>
      </c>
      <c r="G708" s="3" t="s">
        <v>537</v>
      </c>
      <c r="I708">
        <v>8</v>
      </c>
      <c r="J708" t="s">
        <v>4440</v>
      </c>
      <c r="K708" t="s">
        <v>4457</v>
      </c>
      <c r="L708" t="s">
        <v>4533</v>
      </c>
      <c r="M708" t="s">
        <v>1625</v>
      </c>
    </row>
    <row r="709" spans="1:14" x14ac:dyDescent="0.35">
      <c r="A709" t="s">
        <v>5188</v>
      </c>
      <c r="B709" t="s">
        <v>90</v>
      </c>
      <c r="C709" t="s">
        <v>1890</v>
      </c>
      <c r="D709" t="s">
        <v>4438</v>
      </c>
      <c r="E709" t="s">
        <v>4444</v>
      </c>
      <c r="F709" s="3">
        <v>45629</v>
      </c>
      <c r="G709" s="3">
        <v>45630</v>
      </c>
      <c r="H709">
        <v>24</v>
      </c>
      <c r="I709">
        <v>24</v>
      </c>
      <c r="J709" t="s">
        <v>4448</v>
      </c>
      <c r="K709" t="s">
        <v>4441</v>
      </c>
      <c r="L709" t="s">
        <v>4533</v>
      </c>
      <c r="M709" t="s">
        <v>1625</v>
      </c>
      <c r="N709">
        <v>4</v>
      </c>
    </row>
    <row r="710" spans="1:14" x14ac:dyDescent="0.35">
      <c r="A710" t="s">
        <v>5189</v>
      </c>
      <c r="B710" t="s">
        <v>440</v>
      </c>
      <c r="C710" t="s">
        <v>1890</v>
      </c>
      <c r="D710" t="s">
        <v>4452</v>
      </c>
      <c r="E710" t="s">
        <v>4444</v>
      </c>
      <c r="F710" s="3">
        <v>45123</v>
      </c>
      <c r="G710" s="3">
        <v>45124</v>
      </c>
      <c r="H710">
        <v>27.1</v>
      </c>
      <c r="I710">
        <v>24</v>
      </c>
      <c r="J710" t="s">
        <v>4440</v>
      </c>
      <c r="K710" t="s">
        <v>4441</v>
      </c>
      <c r="L710" t="s">
        <v>4461</v>
      </c>
      <c r="M710" t="s">
        <v>4446</v>
      </c>
    </row>
    <row r="711" spans="1:14" x14ac:dyDescent="0.35">
      <c r="A711" t="s">
        <v>5190</v>
      </c>
      <c r="B711" t="s">
        <v>429</v>
      </c>
      <c r="C711" t="s">
        <v>1915</v>
      </c>
      <c r="D711" t="s">
        <v>4452</v>
      </c>
      <c r="E711" t="s">
        <v>4473</v>
      </c>
      <c r="F711" s="3">
        <v>45706</v>
      </c>
      <c r="G711" s="3">
        <v>45706</v>
      </c>
      <c r="H711">
        <v>15.5</v>
      </c>
      <c r="I711">
        <v>8</v>
      </c>
      <c r="J711" t="s">
        <v>4440</v>
      </c>
      <c r="K711" t="s">
        <v>4441</v>
      </c>
      <c r="L711" t="s">
        <v>4483</v>
      </c>
      <c r="M711" t="s">
        <v>1625</v>
      </c>
      <c r="N711">
        <v>1</v>
      </c>
    </row>
    <row r="712" spans="1:14" x14ac:dyDescent="0.35">
      <c r="A712" t="s">
        <v>5191</v>
      </c>
      <c r="B712" t="s">
        <v>437</v>
      </c>
      <c r="C712" t="s">
        <v>1915</v>
      </c>
      <c r="D712" t="s">
        <v>4472</v>
      </c>
      <c r="E712" t="s">
        <v>4473</v>
      </c>
      <c r="F712" s="3">
        <v>45249</v>
      </c>
      <c r="G712" s="3" t="s">
        <v>537</v>
      </c>
      <c r="I712">
        <v>8</v>
      </c>
      <c r="J712" t="s">
        <v>4440</v>
      </c>
      <c r="K712" t="s">
        <v>4457</v>
      </c>
      <c r="L712" t="s">
        <v>4512</v>
      </c>
      <c r="M712" t="s">
        <v>4462</v>
      </c>
    </row>
    <row r="713" spans="1:14" x14ac:dyDescent="0.35">
      <c r="A713" t="s">
        <v>5192</v>
      </c>
      <c r="B713" t="s">
        <v>288</v>
      </c>
      <c r="C713" t="s">
        <v>1904</v>
      </c>
      <c r="D713" t="s">
        <v>4472</v>
      </c>
      <c r="E713" t="s">
        <v>4456</v>
      </c>
      <c r="F713" s="3">
        <v>45651</v>
      </c>
      <c r="G713" s="3" t="s">
        <v>537</v>
      </c>
      <c r="I713">
        <v>4</v>
      </c>
      <c r="J713" t="s">
        <v>4440</v>
      </c>
      <c r="K713" t="s">
        <v>4453</v>
      </c>
      <c r="L713" t="s">
        <v>4458</v>
      </c>
      <c r="M713" t="s">
        <v>1625</v>
      </c>
    </row>
    <row r="714" spans="1:14" x14ac:dyDescent="0.35">
      <c r="A714" t="s">
        <v>5193</v>
      </c>
      <c r="B714" t="s">
        <v>156</v>
      </c>
      <c r="C714" t="s">
        <v>1883</v>
      </c>
      <c r="D714" t="s">
        <v>4443</v>
      </c>
      <c r="E714" t="s">
        <v>4439</v>
      </c>
      <c r="F714" s="3">
        <v>45268</v>
      </c>
      <c r="G714" s="3">
        <v>45272</v>
      </c>
      <c r="H714">
        <v>112.1</v>
      </c>
      <c r="I714">
        <v>48</v>
      </c>
      <c r="J714" t="s">
        <v>4440</v>
      </c>
      <c r="K714" t="s">
        <v>4441</v>
      </c>
      <c r="L714" t="s">
        <v>4488</v>
      </c>
      <c r="M714" t="s">
        <v>4446</v>
      </c>
      <c r="N714">
        <v>2</v>
      </c>
    </row>
    <row r="715" spans="1:14" x14ac:dyDescent="0.35">
      <c r="A715" t="s">
        <v>5194</v>
      </c>
      <c r="B715" t="s">
        <v>371</v>
      </c>
      <c r="C715" t="s">
        <v>1899</v>
      </c>
      <c r="D715" t="s">
        <v>4443</v>
      </c>
      <c r="E715" t="s">
        <v>4456</v>
      </c>
      <c r="F715" s="3">
        <v>45254</v>
      </c>
      <c r="G715" s="3">
        <v>45254</v>
      </c>
      <c r="H715">
        <v>9.6999999999999993</v>
      </c>
      <c r="I715">
        <v>4</v>
      </c>
      <c r="J715" t="s">
        <v>4440</v>
      </c>
      <c r="K715" t="s">
        <v>4441</v>
      </c>
      <c r="L715" t="s">
        <v>4580</v>
      </c>
      <c r="M715" t="s">
        <v>4446</v>
      </c>
      <c r="N715">
        <v>4</v>
      </c>
    </row>
    <row r="716" spans="1:14" x14ac:dyDescent="0.35">
      <c r="A716" t="s">
        <v>5195</v>
      </c>
      <c r="B716" t="s">
        <v>472</v>
      </c>
      <c r="C716" t="s">
        <v>1883</v>
      </c>
      <c r="D716" t="s">
        <v>4472</v>
      </c>
      <c r="E716" t="s">
        <v>4473</v>
      </c>
      <c r="F716" s="3">
        <v>45190</v>
      </c>
      <c r="G716" s="3" t="s">
        <v>537</v>
      </c>
      <c r="I716">
        <v>8</v>
      </c>
      <c r="J716" t="s">
        <v>4448</v>
      </c>
      <c r="K716" t="s">
        <v>4457</v>
      </c>
      <c r="L716" t="s">
        <v>4480</v>
      </c>
      <c r="M716" t="s">
        <v>4462</v>
      </c>
    </row>
    <row r="717" spans="1:14" x14ac:dyDescent="0.35">
      <c r="A717" t="s">
        <v>5196</v>
      </c>
      <c r="B717" t="s">
        <v>446</v>
      </c>
      <c r="C717" t="s">
        <v>1899</v>
      </c>
      <c r="D717" t="s">
        <v>8505</v>
      </c>
      <c r="E717" t="s">
        <v>4439</v>
      </c>
      <c r="F717" s="3">
        <v>45190</v>
      </c>
      <c r="G717" s="3" t="s">
        <v>537</v>
      </c>
      <c r="I717">
        <v>48</v>
      </c>
      <c r="J717" t="s">
        <v>4440</v>
      </c>
      <c r="K717" t="s">
        <v>4474</v>
      </c>
      <c r="L717" t="s">
        <v>4467</v>
      </c>
      <c r="M717" t="s">
        <v>1625</v>
      </c>
    </row>
    <row r="718" spans="1:14" x14ac:dyDescent="0.35">
      <c r="A718" t="s">
        <v>5197</v>
      </c>
      <c r="B718" t="s">
        <v>491</v>
      </c>
      <c r="C718" t="s">
        <v>1904</v>
      </c>
      <c r="D718" t="s">
        <v>4438</v>
      </c>
      <c r="E718" t="s">
        <v>4444</v>
      </c>
      <c r="F718" s="3">
        <v>45084</v>
      </c>
      <c r="G718" s="3" t="s">
        <v>537</v>
      </c>
      <c r="I718">
        <v>24</v>
      </c>
      <c r="J718" t="s">
        <v>4440</v>
      </c>
      <c r="K718" t="s">
        <v>4474</v>
      </c>
      <c r="L718" t="s">
        <v>4449</v>
      </c>
      <c r="M718" t="s">
        <v>4450</v>
      </c>
    </row>
    <row r="719" spans="1:14" x14ac:dyDescent="0.35">
      <c r="A719" t="s">
        <v>5198</v>
      </c>
      <c r="B719" t="s">
        <v>424</v>
      </c>
      <c r="C719" t="s">
        <v>1915</v>
      </c>
      <c r="D719" t="s">
        <v>4443</v>
      </c>
      <c r="E719" t="s">
        <v>4444</v>
      </c>
      <c r="F719" s="3">
        <v>45147</v>
      </c>
      <c r="G719" s="3" t="s">
        <v>537</v>
      </c>
      <c r="I719">
        <v>24</v>
      </c>
      <c r="J719" t="s">
        <v>4448</v>
      </c>
      <c r="K719" t="s">
        <v>4474</v>
      </c>
      <c r="L719" t="s">
        <v>4445</v>
      </c>
      <c r="M719" t="s">
        <v>4450</v>
      </c>
    </row>
    <row r="720" spans="1:14" x14ac:dyDescent="0.35">
      <c r="A720" t="s">
        <v>5199</v>
      </c>
      <c r="B720" t="s">
        <v>147</v>
      </c>
      <c r="C720" t="s">
        <v>1890</v>
      </c>
      <c r="D720" t="s">
        <v>4472</v>
      </c>
      <c r="E720" t="s">
        <v>4444</v>
      </c>
      <c r="F720" s="3">
        <v>45095</v>
      </c>
      <c r="G720" s="3" t="s">
        <v>537</v>
      </c>
      <c r="I720">
        <v>24</v>
      </c>
      <c r="J720" t="s">
        <v>4440</v>
      </c>
      <c r="K720" t="s">
        <v>4474</v>
      </c>
      <c r="L720" t="s">
        <v>1907</v>
      </c>
      <c r="M720" t="s">
        <v>4462</v>
      </c>
    </row>
    <row r="721" spans="1:14" x14ac:dyDescent="0.35">
      <c r="A721" t="s">
        <v>5200</v>
      </c>
      <c r="B721" t="s">
        <v>219</v>
      </c>
      <c r="C721" t="s">
        <v>1890</v>
      </c>
      <c r="D721" t="s">
        <v>4438</v>
      </c>
      <c r="E721" t="s">
        <v>4444</v>
      </c>
      <c r="F721" s="3">
        <v>45673</v>
      </c>
      <c r="G721" s="3">
        <v>45674</v>
      </c>
      <c r="H721">
        <v>39.4</v>
      </c>
      <c r="I721">
        <v>24</v>
      </c>
      <c r="J721" t="s">
        <v>4440</v>
      </c>
      <c r="K721" t="s">
        <v>4441</v>
      </c>
      <c r="L721" t="s">
        <v>4458</v>
      </c>
      <c r="M721" t="s">
        <v>1625</v>
      </c>
      <c r="N721">
        <v>3</v>
      </c>
    </row>
    <row r="722" spans="1:14" x14ac:dyDescent="0.35">
      <c r="A722" t="s">
        <v>5201</v>
      </c>
      <c r="B722" t="s">
        <v>390</v>
      </c>
      <c r="C722" t="s">
        <v>1915</v>
      </c>
      <c r="D722" t="s">
        <v>4443</v>
      </c>
      <c r="E722" t="s">
        <v>4456</v>
      </c>
      <c r="F722" s="3">
        <v>45346</v>
      </c>
      <c r="G722" s="3" t="s">
        <v>537</v>
      </c>
      <c r="I722">
        <v>4</v>
      </c>
      <c r="J722" t="s">
        <v>4440</v>
      </c>
      <c r="K722" t="s">
        <v>4457</v>
      </c>
      <c r="L722" t="s">
        <v>4509</v>
      </c>
      <c r="M722" t="s">
        <v>1625</v>
      </c>
    </row>
    <row r="723" spans="1:14" x14ac:dyDescent="0.35">
      <c r="A723" t="s">
        <v>5202</v>
      </c>
      <c r="B723" t="s">
        <v>99</v>
      </c>
      <c r="C723" t="s">
        <v>1904</v>
      </c>
      <c r="D723" t="s">
        <v>4452</v>
      </c>
      <c r="E723" t="s">
        <v>4456</v>
      </c>
      <c r="F723" s="3">
        <v>45634</v>
      </c>
      <c r="G723" s="3">
        <v>45634</v>
      </c>
      <c r="H723">
        <v>2.9</v>
      </c>
      <c r="I723">
        <v>4</v>
      </c>
      <c r="J723" t="s">
        <v>4448</v>
      </c>
      <c r="K723" t="s">
        <v>4441</v>
      </c>
      <c r="L723" t="s">
        <v>4501</v>
      </c>
      <c r="M723" t="s">
        <v>4462</v>
      </c>
      <c r="N723">
        <v>3</v>
      </c>
    </row>
    <row r="724" spans="1:14" x14ac:dyDescent="0.35">
      <c r="A724" t="s">
        <v>5203</v>
      </c>
      <c r="B724" t="s">
        <v>18</v>
      </c>
      <c r="C724" t="s">
        <v>1904</v>
      </c>
      <c r="D724" t="s">
        <v>4485</v>
      </c>
      <c r="E724" t="s">
        <v>4444</v>
      </c>
      <c r="F724" s="3">
        <v>45597</v>
      </c>
      <c r="G724" s="3" t="s">
        <v>537</v>
      </c>
      <c r="I724">
        <v>24</v>
      </c>
      <c r="J724" t="s">
        <v>4440</v>
      </c>
      <c r="K724" t="s">
        <v>4453</v>
      </c>
      <c r="L724" t="s">
        <v>4509</v>
      </c>
      <c r="M724" t="s">
        <v>1625</v>
      </c>
    </row>
    <row r="725" spans="1:14" x14ac:dyDescent="0.35">
      <c r="A725" t="s">
        <v>5204</v>
      </c>
      <c r="B725" t="s">
        <v>133</v>
      </c>
      <c r="C725" t="s">
        <v>1883</v>
      </c>
      <c r="D725" t="s">
        <v>4460</v>
      </c>
      <c r="E725" t="s">
        <v>4473</v>
      </c>
      <c r="F725" s="3">
        <v>45302</v>
      </c>
      <c r="G725" s="3" t="s">
        <v>537</v>
      </c>
      <c r="I725">
        <v>8</v>
      </c>
      <c r="J725" t="s">
        <v>4440</v>
      </c>
      <c r="K725" t="s">
        <v>4474</v>
      </c>
      <c r="L725" t="s">
        <v>4467</v>
      </c>
      <c r="M725" t="s">
        <v>4450</v>
      </c>
    </row>
    <row r="726" spans="1:14" x14ac:dyDescent="0.35">
      <c r="A726" t="s">
        <v>5205</v>
      </c>
      <c r="B726" t="s">
        <v>110</v>
      </c>
      <c r="C726" t="s">
        <v>1890</v>
      </c>
      <c r="D726" t="s">
        <v>4476</v>
      </c>
      <c r="E726" t="s">
        <v>4444</v>
      </c>
      <c r="F726" s="3">
        <v>45682</v>
      </c>
      <c r="G726" s="3" t="s">
        <v>537</v>
      </c>
      <c r="I726">
        <v>24</v>
      </c>
      <c r="J726" t="s">
        <v>4440</v>
      </c>
      <c r="K726" t="s">
        <v>4457</v>
      </c>
      <c r="L726" t="s">
        <v>4461</v>
      </c>
      <c r="M726" t="s">
        <v>4446</v>
      </c>
    </row>
    <row r="727" spans="1:14" x14ac:dyDescent="0.35">
      <c r="A727" t="s">
        <v>5206</v>
      </c>
      <c r="B727" t="s">
        <v>321</v>
      </c>
      <c r="C727" t="s">
        <v>1927</v>
      </c>
      <c r="D727" t="s">
        <v>4476</v>
      </c>
      <c r="E727" t="s">
        <v>4439</v>
      </c>
      <c r="F727" s="3">
        <v>44930</v>
      </c>
      <c r="G727" s="3">
        <v>44932</v>
      </c>
      <c r="H727">
        <v>63.4</v>
      </c>
      <c r="I727">
        <v>48</v>
      </c>
      <c r="J727" t="s">
        <v>4440</v>
      </c>
      <c r="K727" t="s">
        <v>4441</v>
      </c>
      <c r="L727" t="s">
        <v>4527</v>
      </c>
      <c r="M727" t="s">
        <v>4446</v>
      </c>
    </row>
    <row r="728" spans="1:14" x14ac:dyDescent="0.35">
      <c r="A728" t="s">
        <v>5207</v>
      </c>
      <c r="B728" t="s">
        <v>300</v>
      </c>
      <c r="C728" t="s">
        <v>1915</v>
      </c>
      <c r="D728" t="s">
        <v>4485</v>
      </c>
      <c r="E728" t="s">
        <v>4473</v>
      </c>
      <c r="F728" s="3">
        <v>45643</v>
      </c>
      <c r="G728" s="3">
        <v>45643</v>
      </c>
      <c r="H728">
        <v>7.7</v>
      </c>
      <c r="I728">
        <v>8</v>
      </c>
      <c r="J728" t="s">
        <v>4448</v>
      </c>
      <c r="K728" t="s">
        <v>4441</v>
      </c>
      <c r="L728" t="s">
        <v>4483</v>
      </c>
      <c r="M728" t="s">
        <v>4446</v>
      </c>
      <c r="N728">
        <v>5</v>
      </c>
    </row>
    <row r="729" spans="1:14" x14ac:dyDescent="0.35">
      <c r="A729" t="s">
        <v>5208</v>
      </c>
      <c r="B729" t="s">
        <v>437</v>
      </c>
      <c r="C729" t="s">
        <v>1904</v>
      </c>
      <c r="D729" t="s">
        <v>4443</v>
      </c>
      <c r="E729" t="s">
        <v>4473</v>
      </c>
      <c r="F729" s="3">
        <v>45727</v>
      </c>
      <c r="G729" s="3">
        <v>45727</v>
      </c>
      <c r="H729">
        <v>9.3000000000000007</v>
      </c>
      <c r="I729">
        <v>8</v>
      </c>
      <c r="J729" t="s">
        <v>4440</v>
      </c>
      <c r="K729" t="s">
        <v>4441</v>
      </c>
      <c r="L729" t="s">
        <v>4445</v>
      </c>
      <c r="M729" t="s">
        <v>4462</v>
      </c>
      <c r="N729">
        <v>2</v>
      </c>
    </row>
    <row r="730" spans="1:14" x14ac:dyDescent="0.35">
      <c r="A730" t="s">
        <v>5209</v>
      </c>
      <c r="B730" t="s">
        <v>481</v>
      </c>
      <c r="C730" t="s">
        <v>1883</v>
      </c>
      <c r="D730" t="s">
        <v>4479</v>
      </c>
      <c r="E730" t="s">
        <v>4473</v>
      </c>
      <c r="F730" s="3">
        <v>45318</v>
      </c>
      <c r="G730" s="3">
        <v>45318</v>
      </c>
      <c r="H730">
        <v>15.8</v>
      </c>
      <c r="I730">
        <v>8</v>
      </c>
      <c r="J730" t="s">
        <v>4440</v>
      </c>
      <c r="K730" t="s">
        <v>4441</v>
      </c>
      <c r="L730" t="s">
        <v>4467</v>
      </c>
      <c r="M730" t="s">
        <v>4462</v>
      </c>
      <c r="N730">
        <v>5</v>
      </c>
    </row>
    <row r="731" spans="1:14" x14ac:dyDescent="0.35">
      <c r="A731" t="s">
        <v>5210</v>
      </c>
      <c r="B731" t="s">
        <v>481</v>
      </c>
      <c r="C731" t="s">
        <v>1915</v>
      </c>
      <c r="D731" t="s">
        <v>4476</v>
      </c>
      <c r="E731" t="s">
        <v>4439</v>
      </c>
      <c r="F731" s="3">
        <v>45185</v>
      </c>
      <c r="G731" s="3" t="s">
        <v>537</v>
      </c>
      <c r="I731">
        <v>48</v>
      </c>
      <c r="J731" t="s">
        <v>4440</v>
      </c>
      <c r="K731" t="s">
        <v>4457</v>
      </c>
      <c r="L731" t="s">
        <v>4488</v>
      </c>
      <c r="M731" t="s">
        <v>1625</v>
      </c>
    </row>
    <row r="732" spans="1:14" x14ac:dyDescent="0.35">
      <c r="A732" t="s">
        <v>5211</v>
      </c>
      <c r="B732" t="s">
        <v>390</v>
      </c>
      <c r="C732" t="s">
        <v>1890</v>
      </c>
      <c r="D732" t="s">
        <v>4443</v>
      </c>
      <c r="E732" t="s">
        <v>4473</v>
      </c>
      <c r="F732" s="3">
        <v>45294</v>
      </c>
      <c r="G732" s="3">
        <v>45294</v>
      </c>
      <c r="H732">
        <v>11.6</v>
      </c>
      <c r="I732">
        <v>8</v>
      </c>
      <c r="J732" t="s">
        <v>4440</v>
      </c>
      <c r="K732" t="s">
        <v>4441</v>
      </c>
      <c r="L732" t="s">
        <v>4458</v>
      </c>
      <c r="M732" t="s">
        <v>4462</v>
      </c>
      <c r="N732">
        <v>2</v>
      </c>
    </row>
    <row r="733" spans="1:14" x14ac:dyDescent="0.35">
      <c r="A733" t="s">
        <v>5212</v>
      </c>
      <c r="B733" t="s">
        <v>247</v>
      </c>
      <c r="C733" t="s">
        <v>1883</v>
      </c>
      <c r="D733" t="s">
        <v>4479</v>
      </c>
      <c r="E733" t="s">
        <v>4444</v>
      </c>
      <c r="F733" s="3">
        <v>45351</v>
      </c>
      <c r="G733" s="3">
        <v>45353</v>
      </c>
      <c r="H733">
        <v>52.5</v>
      </c>
      <c r="I733">
        <v>24</v>
      </c>
      <c r="J733" t="s">
        <v>4440</v>
      </c>
      <c r="K733" t="s">
        <v>4441</v>
      </c>
      <c r="L733" t="s">
        <v>4467</v>
      </c>
      <c r="M733" t="s">
        <v>1625</v>
      </c>
      <c r="N733">
        <v>1</v>
      </c>
    </row>
    <row r="734" spans="1:14" x14ac:dyDescent="0.35">
      <c r="A734" t="s">
        <v>5213</v>
      </c>
      <c r="B734" t="s">
        <v>297</v>
      </c>
      <c r="C734" t="s">
        <v>1927</v>
      </c>
      <c r="D734" t="s">
        <v>4482</v>
      </c>
      <c r="E734" t="s">
        <v>4444</v>
      </c>
      <c r="F734" s="3">
        <v>45310</v>
      </c>
      <c r="G734" s="3">
        <v>45310</v>
      </c>
      <c r="H734">
        <v>2.2999999999999998</v>
      </c>
      <c r="I734">
        <v>24</v>
      </c>
      <c r="J734" t="s">
        <v>4448</v>
      </c>
      <c r="K734" t="s">
        <v>4441</v>
      </c>
      <c r="L734" t="s">
        <v>4445</v>
      </c>
      <c r="M734" t="s">
        <v>4446</v>
      </c>
      <c r="N734">
        <v>4</v>
      </c>
    </row>
    <row r="735" spans="1:14" x14ac:dyDescent="0.35">
      <c r="A735" t="s">
        <v>5214</v>
      </c>
      <c r="B735" t="s">
        <v>444</v>
      </c>
      <c r="C735" t="s">
        <v>1927</v>
      </c>
      <c r="D735" t="s">
        <v>4452</v>
      </c>
      <c r="E735" t="s">
        <v>4473</v>
      </c>
      <c r="F735" s="3">
        <v>45339</v>
      </c>
      <c r="G735" s="3">
        <v>45339</v>
      </c>
      <c r="H735">
        <v>0.5</v>
      </c>
      <c r="I735">
        <v>8</v>
      </c>
      <c r="J735" t="s">
        <v>4448</v>
      </c>
      <c r="K735" t="s">
        <v>4441</v>
      </c>
      <c r="L735" t="s">
        <v>4533</v>
      </c>
      <c r="M735" t="s">
        <v>4450</v>
      </c>
    </row>
    <row r="736" spans="1:14" x14ac:dyDescent="0.35">
      <c r="A736" t="s">
        <v>5215</v>
      </c>
      <c r="B736" t="s">
        <v>90</v>
      </c>
      <c r="C736" t="s">
        <v>1904</v>
      </c>
      <c r="D736" t="s">
        <v>4469</v>
      </c>
      <c r="E736" t="s">
        <v>4473</v>
      </c>
      <c r="F736" s="3">
        <v>44974</v>
      </c>
      <c r="G736" s="3">
        <v>44974</v>
      </c>
      <c r="H736">
        <v>6.6</v>
      </c>
      <c r="I736">
        <v>8</v>
      </c>
      <c r="J736" t="s">
        <v>4448</v>
      </c>
      <c r="K736" t="s">
        <v>4441</v>
      </c>
      <c r="L736" t="s">
        <v>4488</v>
      </c>
      <c r="M736" t="s">
        <v>4446</v>
      </c>
      <c r="N736">
        <v>5</v>
      </c>
    </row>
    <row r="737" spans="1:14" x14ac:dyDescent="0.35">
      <c r="A737" t="s">
        <v>5216</v>
      </c>
      <c r="B737" t="s">
        <v>365</v>
      </c>
      <c r="C737" t="s">
        <v>1904</v>
      </c>
      <c r="D737" t="s">
        <v>4438</v>
      </c>
      <c r="E737" t="s">
        <v>4444</v>
      </c>
      <c r="F737" s="3">
        <v>45668</v>
      </c>
      <c r="G737" s="3">
        <v>45668</v>
      </c>
      <c r="H737">
        <v>22.5</v>
      </c>
      <c r="I737">
        <v>24</v>
      </c>
      <c r="J737" t="s">
        <v>4448</v>
      </c>
      <c r="K737" t="s">
        <v>4441</v>
      </c>
      <c r="L737" t="s">
        <v>4512</v>
      </c>
      <c r="M737" t="s">
        <v>4462</v>
      </c>
    </row>
    <row r="738" spans="1:14" x14ac:dyDescent="0.35">
      <c r="A738" t="s">
        <v>5217</v>
      </c>
      <c r="B738" t="s">
        <v>439</v>
      </c>
      <c r="C738" t="s">
        <v>1915</v>
      </c>
      <c r="D738" t="s">
        <v>4452</v>
      </c>
      <c r="E738" t="s">
        <v>4439</v>
      </c>
      <c r="F738" s="3">
        <v>45606</v>
      </c>
      <c r="G738" s="3">
        <v>45610</v>
      </c>
      <c r="H738">
        <v>110.8</v>
      </c>
      <c r="I738">
        <v>48</v>
      </c>
      <c r="J738" t="s">
        <v>4440</v>
      </c>
      <c r="K738" t="s">
        <v>4441</v>
      </c>
      <c r="L738" t="s">
        <v>4527</v>
      </c>
      <c r="M738" t="s">
        <v>4462</v>
      </c>
      <c r="N738">
        <v>5</v>
      </c>
    </row>
    <row r="739" spans="1:14" x14ac:dyDescent="0.35">
      <c r="A739" t="s">
        <v>5218</v>
      </c>
      <c r="B739" t="s">
        <v>462</v>
      </c>
      <c r="C739" t="s">
        <v>1904</v>
      </c>
      <c r="D739" t="s">
        <v>4460</v>
      </c>
      <c r="E739" t="s">
        <v>4439</v>
      </c>
      <c r="F739" s="3">
        <v>45216</v>
      </c>
      <c r="G739" s="3" t="s">
        <v>537</v>
      </c>
      <c r="I739">
        <v>48</v>
      </c>
      <c r="J739" t="s">
        <v>4440</v>
      </c>
      <c r="K739" t="s">
        <v>4453</v>
      </c>
      <c r="L739" t="s">
        <v>4514</v>
      </c>
      <c r="M739" t="s">
        <v>1625</v>
      </c>
    </row>
    <row r="740" spans="1:14" x14ac:dyDescent="0.35">
      <c r="A740" t="s">
        <v>5219</v>
      </c>
      <c r="B740" t="s">
        <v>296</v>
      </c>
      <c r="C740" t="s">
        <v>1927</v>
      </c>
      <c r="D740" t="s">
        <v>4476</v>
      </c>
      <c r="E740" t="s">
        <v>4473</v>
      </c>
      <c r="F740" s="3">
        <v>45369</v>
      </c>
      <c r="G740" s="3">
        <v>45369</v>
      </c>
      <c r="H740">
        <v>7</v>
      </c>
      <c r="I740">
        <v>8</v>
      </c>
      <c r="J740" t="s">
        <v>4448</v>
      </c>
      <c r="K740" t="s">
        <v>4441</v>
      </c>
      <c r="L740" t="s">
        <v>4467</v>
      </c>
      <c r="M740" t="s">
        <v>1625</v>
      </c>
    </row>
    <row r="741" spans="1:14" x14ac:dyDescent="0.35">
      <c r="A741" t="s">
        <v>5220</v>
      </c>
      <c r="B741" t="s">
        <v>402</v>
      </c>
      <c r="C741" t="s">
        <v>1927</v>
      </c>
      <c r="D741" t="s">
        <v>4460</v>
      </c>
      <c r="E741" t="s">
        <v>4473</v>
      </c>
      <c r="F741" s="3">
        <v>45405</v>
      </c>
      <c r="G741" s="3" t="s">
        <v>537</v>
      </c>
      <c r="I741">
        <v>8</v>
      </c>
      <c r="J741" t="s">
        <v>4440</v>
      </c>
      <c r="K741" t="s">
        <v>4474</v>
      </c>
      <c r="L741" t="s">
        <v>4512</v>
      </c>
      <c r="M741" t="s">
        <v>4462</v>
      </c>
    </row>
    <row r="742" spans="1:14" x14ac:dyDescent="0.35">
      <c r="A742" t="s">
        <v>5221</v>
      </c>
      <c r="B742" t="s">
        <v>498</v>
      </c>
      <c r="C742" t="s">
        <v>1899</v>
      </c>
      <c r="D742" t="s">
        <v>4472</v>
      </c>
      <c r="E742" t="s">
        <v>4473</v>
      </c>
      <c r="F742" s="3">
        <v>45584</v>
      </c>
      <c r="G742" s="3">
        <v>45584</v>
      </c>
      <c r="H742">
        <v>10.199999999999999</v>
      </c>
      <c r="I742">
        <v>8</v>
      </c>
      <c r="J742" t="s">
        <v>4440</v>
      </c>
      <c r="K742" t="s">
        <v>4441</v>
      </c>
      <c r="L742" t="s">
        <v>4509</v>
      </c>
      <c r="M742" t="s">
        <v>4462</v>
      </c>
      <c r="N742">
        <v>3</v>
      </c>
    </row>
    <row r="743" spans="1:14" x14ac:dyDescent="0.35">
      <c r="A743" t="s">
        <v>5222</v>
      </c>
      <c r="B743" t="s">
        <v>262</v>
      </c>
      <c r="C743" t="s">
        <v>1904</v>
      </c>
      <c r="D743" t="s">
        <v>4438</v>
      </c>
      <c r="E743" t="s">
        <v>4444</v>
      </c>
      <c r="F743" s="3">
        <v>45460</v>
      </c>
      <c r="G743" s="3">
        <v>45461</v>
      </c>
      <c r="H743">
        <v>37.6</v>
      </c>
      <c r="I743">
        <v>24</v>
      </c>
      <c r="J743" t="s">
        <v>4440</v>
      </c>
      <c r="K743" t="s">
        <v>4441</v>
      </c>
      <c r="L743" t="s">
        <v>4465</v>
      </c>
      <c r="M743" t="s">
        <v>4462</v>
      </c>
      <c r="N743">
        <v>3</v>
      </c>
    </row>
    <row r="744" spans="1:14" x14ac:dyDescent="0.35">
      <c r="A744" t="s">
        <v>5223</v>
      </c>
      <c r="B744" t="s">
        <v>473</v>
      </c>
      <c r="C744" t="s">
        <v>1890</v>
      </c>
      <c r="D744" t="s">
        <v>4485</v>
      </c>
      <c r="E744" t="s">
        <v>4473</v>
      </c>
      <c r="F744" s="3">
        <v>45145</v>
      </c>
      <c r="G744" s="3">
        <v>45145</v>
      </c>
      <c r="H744">
        <v>13</v>
      </c>
      <c r="I744">
        <v>8</v>
      </c>
      <c r="J744" t="s">
        <v>4440</v>
      </c>
      <c r="K744" t="s">
        <v>4441</v>
      </c>
      <c r="L744" t="s">
        <v>4454</v>
      </c>
      <c r="M744" t="s">
        <v>4446</v>
      </c>
      <c r="N744">
        <v>3</v>
      </c>
    </row>
    <row r="745" spans="1:14" x14ac:dyDescent="0.35">
      <c r="A745" t="s">
        <v>5224</v>
      </c>
      <c r="B745" t="s">
        <v>291</v>
      </c>
      <c r="C745" t="s">
        <v>1927</v>
      </c>
      <c r="D745" t="s">
        <v>4438</v>
      </c>
      <c r="E745" t="s">
        <v>4456</v>
      </c>
      <c r="F745" s="3">
        <v>45022</v>
      </c>
      <c r="G745" s="3" t="s">
        <v>537</v>
      </c>
      <c r="I745">
        <v>4</v>
      </c>
      <c r="J745" t="s">
        <v>4448</v>
      </c>
      <c r="K745" t="s">
        <v>4457</v>
      </c>
      <c r="L745" t="s">
        <v>4533</v>
      </c>
      <c r="M745" t="s">
        <v>4446</v>
      </c>
    </row>
    <row r="746" spans="1:14" x14ac:dyDescent="0.35">
      <c r="A746" t="s">
        <v>5225</v>
      </c>
      <c r="B746" t="s">
        <v>356</v>
      </c>
      <c r="C746" t="s">
        <v>1890</v>
      </c>
      <c r="D746" t="s">
        <v>4490</v>
      </c>
      <c r="E746" t="s">
        <v>4473</v>
      </c>
      <c r="F746" s="3">
        <v>45388</v>
      </c>
      <c r="G746" s="3">
        <v>45388</v>
      </c>
      <c r="H746">
        <v>14.2</v>
      </c>
      <c r="I746">
        <v>8</v>
      </c>
      <c r="J746" t="s">
        <v>4440</v>
      </c>
      <c r="K746" t="s">
        <v>4441</v>
      </c>
      <c r="L746" t="s">
        <v>4527</v>
      </c>
      <c r="M746" t="s">
        <v>4446</v>
      </c>
      <c r="N746">
        <v>5</v>
      </c>
    </row>
    <row r="747" spans="1:14" x14ac:dyDescent="0.35">
      <c r="A747" t="s">
        <v>5226</v>
      </c>
      <c r="B747" t="s">
        <v>307</v>
      </c>
      <c r="C747" t="s">
        <v>1904</v>
      </c>
      <c r="D747" t="s">
        <v>4472</v>
      </c>
      <c r="E747" t="s">
        <v>4444</v>
      </c>
      <c r="F747" s="3">
        <v>45577</v>
      </c>
      <c r="G747" s="3">
        <v>45578</v>
      </c>
      <c r="H747">
        <v>26.2</v>
      </c>
      <c r="I747">
        <v>24</v>
      </c>
      <c r="J747" t="s">
        <v>4440</v>
      </c>
      <c r="K747" t="s">
        <v>4441</v>
      </c>
      <c r="L747" t="s">
        <v>4527</v>
      </c>
      <c r="M747" t="s">
        <v>4462</v>
      </c>
      <c r="N747">
        <v>3</v>
      </c>
    </row>
    <row r="748" spans="1:14" x14ac:dyDescent="0.35">
      <c r="A748" t="s">
        <v>5227</v>
      </c>
      <c r="B748" t="s">
        <v>417</v>
      </c>
      <c r="C748" t="s">
        <v>1890</v>
      </c>
      <c r="D748" t="s">
        <v>4472</v>
      </c>
      <c r="E748" t="s">
        <v>4444</v>
      </c>
      <c r="F748" s="3">
        <v>45221</v>
      </c>
      <c r="G748" s="3">
        <v>45223</v>
      </c>
      <c r="H748">
        <v>55.6</v>
      </c>
      <c r="I748">
        <v>24</v>
      </c>
      <c r="J748" t="s">
        <v>4440</v>
      </c>
      <c r="K748" t="s">
        <v>4441</v>
      </c>
      <c r="L748" t="s">
        <v>4527</v>
      </c>
      <c r="M748" t="s">
        <v>4446</v>
      </c>
      <c r="N748">
        <v>1</v>
      </c>
    </row>
    <row r="749" spans="1:14" x14ac:dyDescent="0.35">
      <c r="A749" t="s">
        <v>5228</v>
      </c>
      <c r="B749" t="s">
        <v>360</v>
      </c>
      <c r="C749" t="s">
        <v>1915</v>
      </c>
      <c r="D749" t="s">
        <v>4485</v>
      </c>
      <c r="E749" t="s">
        <v>4444</v>
      </c>
      <c r="F749" s="3">
        <v>45658</v>
      </c>
      <c r="G749" s="3" t="s">
        <v>537</v>
      </c>
      <c r="I749">
        <v>24</v>
      </c>
      <c r="J749" t="s">
        <v>4448</v>
      </c>
      <c r="K749" t="s">
        <v>4474</v>
      </c>
      <c r="L749" t="s">
        <v>4527</v>
      </c>
      <c r="M749" t="s">
        <v>4446</v>
      </c>
    </row>
    <row r="750" spans="1:14" x14ac:dyDescent="0.35">
      <c r="A750" t="s">
        <v>5229</v>
      </c>
      <c r="B750" t="s">
        <v>211</v>
      </c>
      <c r="C750" t="s">
        <v>1899</v>
      </c>
      <c r="D750" t="s">
        <v>4482</v>
      </c>
      <c r="E750" t="s">
        <v>4439</v>
      </c>
      <c r="F750" s="3">
        <v>44955</v>
      </c>
      <c r="G750" s="3" t="s">
        <v>537</v>
      </c>
      <c r="I750">
        <v>48</v>
      </c>
      <c r="J750" t="s">
        <v>4448</v>
      </c>
      <c r="K750" t="s">
        <v>4474</v>
      </c>
      <c r="L750" t="s">
        <v>4465</v>
      </c>
      <c r="M750" t="s">
        <v>1625</v>
      </c>
    </row>
    <row r="751" spans="1:14" x14ac:dyDescent="0.35">
      <c r="A751" t="s">
        <v>5230</v>
      </c>
      <c r="B751" t="s">
        <v>257</v>
      </c>
      <c r="C751" t="s">
        <v>1915</v>
      </c>
      <c r="D751" t="s">
        <v>4476</v>
      </c>
      <c r="E751" t="s">
        <v>4444</v>
      </c>
      <c r="F751" s="3">
        <v>45597</v>
      </c>
      <c r="G751" s="3" t="s">
        <v>537</v>
      </c>
      <c r="I751">
        <v>24</v>
      </c>
      <c r="J751" t="s">
        <v>1945</v>
      </c>
      <c r="K751" t="s">
        <v>4453</v>
      </c>
      <c r="L751" t="s">
        <v>4465</v>
      </c>
      <c r="M751" t="s">
        <v>4446</v>
      </c>
    </row>
    <row r="752" spans="1:14" x14ac:dyDescent="0.35">
      <c r="A752" t="s">
        <v>5231</v>
      </c>
      <c r="B752" t="s">
        <v>293</v>
      </c>
      <c r="C752" t="s">
        <v>1915</v>
      </c>
      <c r="D752" t="s">
        <v>4485</v>
      </c>
      <c r="E752" t="s">
        <v>4473</v>
      </c>
      <c r="F752" s="3">
        <v>45492</v>
      </c>
      <c r="G752" s="3" t="s">
        <v>537</v>
      </c>
      <c r="I752">
        <v>8</v>
      </c>
      <c r="J752" t="s">
        <v>4448</v>
      </c>
      <c r="K752" t="s">
        <v>4474</v>
      </c>
      <c r="L752" t="s">
        <v>4449</v>
      </c>
      <c r="M752" t="s">
        <v>4446</v>
      </c>
    </row>
    <row r="753" spans="1:14" x14ac:dyDescent="0.35">
      <c r="A753" t="s">
        <v>5232</v>
      </c>
      <c r="B753" t="s">
        <v>242</v>
      </c>
      <c r="C753" t="s">
        <v>1904</v>
      </c>
      <c r="D753" t="s">
        <v>4464</v>
      </c>
      <c r="E753" t="s">
        <v>4473</v>
      </c>
      <c r="F753" s="3">
        <v>45366</v>
      </c>
      <c r="G753" s="3">
        <v>45366</v>
      </c>
      <c r="H753">
        <v>11.7</v>
      </c>
      <c r="I753">
        <v>8</v>
      </c>
      <c r="J753" t="s">
        <v>4440</v>
      </c>
      <c r="K753" t="s">
        <v>4441</v>
      </c>
      <c r="L753" t="s">
        <v>4527</v>
      </c>
      <c r="M753" t="s">
        <v>1625</v>
      </c>
      <c r="N753">
        <v>3</v>
      </c>
    </row>
    <row r="754" spans="1:14" x14ac:dyDescent="0.35">
      <c r="A754" t="s">
        <v>5233</v>
      </c>
      <c r="B754" t="s">
        <v>38</v>
      </c>
      <c r="C754" t="s">
        <v>1890</v>
      </c>
      <c r="D754" t="s">
        <v>4490</v>
      </c>
      <c r="E754" t="s">
        <v>4444</v>
      </c>
      <c r="F754" s="3">
        <v>45413</v>
      </c>
      <c r="G754" s="3">
        <v>45414</v>
      </c>
      <c r="H754">
        <v>34.9</v>
      </c>
      <c r="I754">
        <v>24</v>
      </c>
      <c r="J754" t="s">
        <v>4440</v>
      </c>
      <c r="K754" t="s">
        <v>4441</v>
      </c>
      <c r="L754" t="s">
        <v>4514</v>
      </c>
      <c r="M754" t="s">
        <v>4462</v>
      </c>
      <c r="N754">
        <v>3</v>
      </c>
    </row>
    <row r="755" spans="1:14" x14ac:dyDescent="0.35">
      <c r="A755" t="s">
        <v>5234</v>
      </c>
      <c r="B755" t="s">
        <v>381</v>
      </c>
      <c r="C755" t="s">
        <v>1927</v>
      </c>
      <c r="D755" t="s">
        <v>4472</v>
      </c>
      <c r="E755" t="s">
        <v>4473</v>
      </c>
      <c r="F755" s="3">
        <v>44930</v>
      </c>
      <c r="G755" s="3">
        <v>44930</v>
      </c>
      <c r="H755">
        <v>10.4</v>
      </c>
      <c r="I755">
        <v>8</v>
      </c>
      <c r="J755" t="s">
        <v>1945</v>
      </c>
      <c r="K755" t="s">
        <v>4441</v>
      </c>
      <c r="L755" t="s">
        <v>4514</v>
      </c>
      <c r="M755" t="s">
        <v>4450</v>
      </c>
      <c r="N755">
        <v>4</v>
      </c>
    </row>
    <row r="756" spans="1:14" x14ac:dyDescent="0.35">
      <c r="A756" t="s">
        <v>5235</v>
      </c>
      <c r="B756" t="s">
        <v>176</v>
      </c>
      <c r="C756" t="s">
        <v>1915</v>
      </c>
      <c r="D756" t="s">
        <v>4485</v>
      </c>
      <c r="E756" t="s">
        <v>4456</v>
      </c>
      <c r="F756" s="3">
        <v>45703</v>
      </c>
      <c r="G756" s="3" t="s">
        <v>537</v>
      </c>
      <c r="I756">
        <v>4</v>
      </c>
      <c r="J756" t="s">
        <v>4440</v>
      </c>
      <c r="K756" t="s">
        <v>4474</v>
      </c>
      <c r="L756" t="s">
        <v>4580</v>
      </c>
      <c r="M756" t="s">
        <v>1625</v>
      </c>
    </row>
    <row r="757" spans="1:14" x14ac:dyDescent="0.35">
      <c r="A757" t="s">
        <v>5236</v>
      </c>
      <c r="B757" t="s">
        <v>425</v>
      </c>
      <c r="C757" t="s">
        <v>1883</v>
      </c>
      <c r="D757" t="s">
        <v>4485</v>
      </c>
      <c r="E757" t="s">
        <v>4456</v>
      </c>
      <c r="F757" s="3">
        <v>45550</v>
      </c>
      <c r="G757" s="3" t="s">
        <v>537</v>
      </c>
      <c r="I757">
        <v>4</v>
      </c>
      <c r="J757" t="s">
        <v>4448</v>
      </c>
      <c r="K757" t="s">
        <v>4457</v>
      </c>
      <c r="L757" t="s">
        <v>4488</v>
      </c>
      <c r="M757" t="s">
        <v>4462</v>
      </c>
    </row>
    <row r="758" spans="1:14" x14ac:dyDescent="0.35">
      <c r="A758" t="s">
        <v>5237</v>
      </c>
      <c r="B758" t="s">
        <v>470</v>
      </c>
      <c r="C758" t="s">
        <v>1904</v>
      </c>
      <c r="D758" t="s">
        <v>4469</v>
      </c>
      <c r="E758" t="s">
        <v>4473</v>
      </c>
      <c r="F758" s="3">
        <v>45083</v>
      </c>
      <c r="G758" s="3">
        <v>45083</v>
      </c>
      <c r="H758">
        <v>8.4</v>
      </c>
      <c r="I758">
        <v>8</v>
      </c>
      <c r="J758" t="s">
        <v>4440</v>
      </c>
      <c r="K758" t="s">
        <v>4441</v>
      </c>
      <c r="L758" t="s">
        <v>4470</v>
      </c>
      <c r="M758" t="s">
        <v>4462</v>
      </c>
      <c r="N758">
        <v>4</v>
      </c>
    </row>
    <row r="759" spans="1:14" x14ac:dyDescent="0.35">
      <c r="A759" t="s">
        <v>5238</v>
      </c>
      <c r="B759" t="s">
        <v>124</v>
      </c>
      <c r="C759" t="s">
        <v>1904</v>
      </c>
      <c r="D759" t="s">
        <v>4464</v>
      </c>
      <c r="E759" t="s">
        <v>4473</v>
      </c>
      <c r="F759" s="3">
        <v>44954</v>
      </c>
      <c r="G759" s="3">
        <v>44954</v>
      </c>
      <c r="H759">
        <v>10</v>
      </c>
      <c r="I759">
        <v>8</v>
      </c>
      <c r="J759" t="s">
        <v>4440</v>
      </c>
      <c r="K759" t="s">
        <v>4441</v>
      </c>
      <c r="L759" t="s">
        <v>4470</v>
      </c>
      <c r="M759" t="s">
        <v>4446</v>
      </c>
      <c r="N759">
        <v>4</v>
      </c>
    </row>
    <row r="760" spans="1:14" x14ac:dyDescent="0.35">
      <c r="A760" t="s">
        <v>5239</v>
      </c>
      <c r="B760" t="s">
        <v>186</v>
      </c>
      <c r="C760" t="s">
        <v>1883</v>
      </c>
      <c r="D760" t="s">
        <v>4438</v>
      </c>
      <c r="E760" t="s">
        <v>4444</v>
      </c>
      <c r="F760" s="3">
        <v>45376</v>
      </c>
      <c r="G760" s="3" t="s">
        <v>537</v>
      </c>
      <c r="I760">
        <v>24</v>
      </c>
      <c r="J760" t="s">
        <v>4448</v>
      </c>
      <c r="K760" t="s">
        <v>4453</v>
      </c>
      <c r="L760" t="s">
        <v>4449</v>
      </c>
      <c r="M760" t="s">
        <v>4450</v>
      </c>
    </row>
    <row r="761" spans="1:14" x14ac:dyDescent="0.35">
      <c r="A761" t="s">
        <v>5240</v>
      </c>
      <c r="B761" t="s">
        <v>429</v>
      </c>
      <c r="C761" t="s">
        <v>1915</v>
      </c>
      <c r="D761" t="s">
        <v>4452</v>
      </c>
      <c r="E761" t="s">
        <v>4473</v>
      </c>
      <c r="F761" s="3">
        <v>45348</v>
      </c>
      <c r="G761" s="3" t="s">
        <v>537</v>
      </c>
      <c r="I761">
        <v>8</v>
      </c>
      <c r="J761" t="s">
        <v>4440</v>
      </c>
      <c r="K761" t="s">
        <v>4474</v>
      </c>
      <c r="L761" t="s">
        <v>1907</v>
      </c>
      <c r="M761" t="s">
        <v>4450</v>
      </c>
    </row>
    <row r="762" spans="1:14" x14ac:dyDescent="0.35">
      <c r="A762" t="s">
        <v>5241</v>
      </c>
      <c r="B762" t="s">
        <v>82</v>
      </c>
      <c r="C762" t="s">
        <v>1883</v>
      </c>
      <c r="D762" t="s">
        <v>4464</v>
      </c>
      <c r="E762" t="s">
        <v>4439</v>
      </c>
      <c r="F762" s="3">
        <v>45527</v>
      </c>
      <c r="G762" s="3" t="s">
        <v>537</v>
      </c>
      <c r="I762">
        <v>48</v>
      </c>
      <c r="J762" t="s">
        <v>4440</v>
      </c>
      <c r="K762" t="s">
        <v>4457</v>
      </c>
      <c r="L762" t="s">
        <v>4467</v>
      </c>
      <c r="M762" t="s">
        <v>4446</v>
      </c>
    </row>
    <row r="763" spans="1:14" x14ac:dyDescent="0.35">
      <c r="A763" t="s">
        <v>5242</v>
      </c>
      <c r="B763" t="s">
        <v>372</v>
      </c>
      <c r="C763" t="s">
        <v>1904</v>
      </c>
      <c r="D763" t="s">
        <v>8511</v>
      </c>
      <c r="E763" t="s">
        <v>4439</v>
      </c>
      <c r="F763" s="3">
        <v>45176</v>
      </c>
      <c r="G763" s="3">
        <v>45177</v>
      </c>
      <c r="H763">
        <v>26.6</v>
      </c>
      <c r="I763">
        <v>48</v>
      </c>
      <c r="J763" t="s">
        <v>4448</v>
      </c>
      <c r="K763" t="s">
        <v>4441</v>
      </c>
      <c r="L763" t="s">
        <v>4492</v>
      </c>
      <c r="M763" t="s">
        <v>4462</v>
      </c>
      <c r="N763">
        <v>3</v>
      </c>
    </row>
    <row r="764" spans="1:14" x14ac:dyDescent="0.35">
      <c r="A764" t="s">
        <v>5243</v>
      </c>
      <c r="B764" t="s">
        <v>390</v>
      </c>
      <c r="C764" t="s">
        <v>1899</v>
      </c>
      <c r="D764" t="s">
        <v>4460</v>
      </c>
      <c r="E764" t="s">
        <v>4439</v>
      </c>
      <c r="F764" s="3">
        <v>44958</v>
      </c>
      <c r="G764" s="3">
        <v>44962</v>
      </c>
      <c r="H764">
        <v>119.7</v>
      </c>
      <c r="I764">
        <v>48</v>
      </c>
      <c r="J764" t="s">
        <v>4440</v>
      </c>
      <c r="K764" t="s">
        <v>4441</v>
      </c>
      <c r="L764" t="s">
        <v>4458</v>
      </c>
      <c r="M764" t="s">
        <v>4446</v>
      </c>
      <c r="N764">
        <v>3</v>
      </c>
    </row>
    <row r="765" spans="1:14" x14ac:dyDescent="0.35">
      <c r="A765" t="s">
        <v>5244</v>
      </c>
      <c r="B765" t="s">
        <v>230</v>
      </c>
      <c r="C765" t="s">
        <v>1927</v>
      </c>
      <c r="D765" t="s">
        <v>4443</v>
      </c>
      <c r="E765" t="s">
        <v>4444</v>
      </c>
      <c r="F765" s="3">
        <v>45023</v>
      </c>
      <c r="G765" s="3" t="s">
        <v>537</v>
      </c>
      <c r="I765">
        <v>24</v>
      </c>
      <c r="J765" t="s">
        <v>4440</v>
      </c>
      <c r="K765" t="s">
        <v>4457</v>
      </c>
      <c r="L765" t="s">
        <v>4514</v>
      </c>
      <c r="M765" t="s">
        <v>1625</v>
      </c>
    </row>
    <row r="766" spans="1:14" x14ac:dyDescent="0.35">
      <c r="A766" t="s">
        <v>5245</v>
      </c>
      <c r="B766" t="s">
        <v>301</v>
      </c>
      <c r="C766" t="s">
        <v>1883</v>
      </c>
      <c r="D766" t="s">
        <v>4469</v>
      </c>
      <c r="E766" t="s">
        <v>4473</v>
      </c>
      <c r="F766" s="3">
        <v>45028</v>
      </c>
      <c r="G766" s="3" t="s">
        <v>537</v>
      </c>
      <c r="I766">
        <v>8</v>
      </c>
      <c r="J766" t="s">
        <v>4440</v>
      </c>
      <c r="K766" t="s">
        <v>4474</v>
      </c>
      <c r="L766" t="s">
        <v>4501</v>
      </c>
      <c r="M766" t="s">
        <v>4446</v>
      </c>
    </row>
    <row r="767" spans="1:14" x14ac:dyDescent="0.35">
      <c r="A767" t="s">
        <v>5246</v>
      </c>
      <c r="B767" t="s">
        <v>314</v>
      </c>
      <c r="C767" t="s">
        <v>1927</v>
      </c>
      <c r="D767" t="s">
        <v>4464</v>
      </c>
      <c r="E767" t="s">
        <v>4444</v>
      </c>
      <c r="F767" s="3">
        <v>45311</v>
      </c>
      <c r="G767" s="3" t="s">
        <v>537</v>
      </c>
      <c r="I767">
        <v>24</v>
      </c>
      <c r="J767" t="s">
        <v>4440</v>
      </c>
      <c r="K767" t="s">
        <v>4453</v>
      </c>
      <c r="L767" t="s">
        <v>4483</v>
      </c>
      <c r="M767" t="s">
        <v>1625</v>
      </c>
    </row>
    <row r="768" spans="1:14" x14ac:dyDescent="0.35">
      <c r="A768" t="s">
        <v>5247</v>
      </c>
      <c r="B768" t="s">
        <v>299</v>
      </c>
      <c r="C768" t="s">
        <v>1890</v>
      </c>
      <c r="D768" t="s">
        <v>4464</v>
      </c>
      <c r="E768" t="s">
        <v>4473</v>
      </c>
      <c r="F768" s="3">
        <v>44992</v>
      </c>
      <c r="G768" s="3" t="s">
        <v>537</v>
      </c>
      <c r="I768">
        <v>8</v>
      </c>
      <c r="J768" t="s">
        <v>4448</v>
      </c>
      <c r="K768" t="s">
        <v>4474</v>
      </c>
      <c r="L768" t="s">
        <v>1907</v>
      </c>
      <c r="M768" t="s">
        <v>4450</v>
      </c>
    </row>
    <row r="769" spans="1:14" x14ac:dyDescent="0.35">
      <c r="A769" t="s">
        <v>5248</v>
      </c>
      <c r="B769" t="s">
        <v>479</v>
      </c>
      <c r="C769" t="s">
        <v>1883</v>
      </c>
      <c r="D769" t="s">
        <v>4485</v>
      </c>
      <c r="E769" t="s">
        <v>4473</v>
      </c>
      <c r="F769" s="3">
        <v>45630</v>
      </c>
      <c r="G769" s="3" t="s">
        <v>537</v>
      </c>
      <c r="I769">
        <v>8</v>
      </c>
      <c r="J769" t="s">
        <v>4440</v>
      </c>
      <c r="K769" t="s">
        <v>4474</v>
      </c>
      <c r="L769" t="s">
        <v>4465</v>
      </c>
      <c r="M769" t="s">
        <v>1625</v>
      </c>
    </row>
    <row r="770" spans="1:14" x14ac:dyDescent="0.35">
      <c r="A770" t="s">
        <v>5249</v>
      </c>
      <c r="B770" t="s">
        <v>211</v>
      </c>
      <c r="C770" t="s">
        <v>1915</v>
      </c>
      <c r="D770" t="s">
        <v>4490</v>
      </c>
      <c r="E770" t="s">
        <v>4444</v>
      </c>
      <c r="F770" s="3">
        <v>45308</v>
      </c>
      <c r="G770" s="3">
        <v>45310</v>
      </c>
      <c r="H770">
        <v>50.6</v>
      </c>
      <c r="I770">
        <v>24</v>
      </c>
      <c r="J770" t="s">
        <v>4440</v>
      </c>
      <c r="K770" t="s">
        <v>4441</v>
      </c>
      <c r="L770" t="s">
        <v>4480</v>
      </c>
      <c r="M770" t="s">
        <v>4446</v>
      </c>
      <c r="N770">
        <v>3</v>
      </c>
    </row>
    <row r="771" spans="1:14" x14ac:dyDescent="0.35">
      <c r="A771" t="s">
        <v>5250</v>
      </c>
      <c r="B771" t="s">
        <v>314</v>
      </c>
      <c r="C771" t="s">
        <v>1899</v>
      </c>
      <c r="D771" t="s">
        <v>4469</v>
      </c>
      <c r="E771" t="s">
        <v>4439</v>
      </c>
      <c r="F771" s="3">
        <v>45211</v>
      </c>
      <c r="G771" s="3">
        <v>45211</v>
      </c>
      <c r="H771">
        <v>3.4</v>
      </c>
      <c r="I771">
        <v>48</v>
      </c>
      <c r="J771" t="s">
        <v>4448</v>
      </c>
      <c r="K771" t="s">
        <v>4441</v>
      </c>
      <c r="L771" t="s">
        <v>4449</v>
      </c>
      <c r="M771" t="s">
        <v>4462</v>
      </c>
      <c r="N771">
        <v>5</v>
      </c>
    </row>
    <row r="772" spans="1:14" x14ac:dyDescent="0.35">
      <c r="A772" t="s">
        <v>5251</v>
      </c>
      <c r="B772" t="s">
        <v>471</v>
      </c>
      <c r="C772" t="s">
        <v>1883</v>
      </c>
      <c r="D772" t="s">
        <v>4472</v>
      </c>
      <c r="E772" t="s">
        <v>4444</v>
      </c>
      <c r="F772" s="3">
        <v>45275</v>
      </c>
      <c r="G772" s="3">
        <v>45276</v>
      </c>
      <c r="H772">
        <v>36.6</v>
      </c>
      <c r="I772">
        <v>24</v>
      </c>
      <c r="J772" t="s">
        <v>4440</v>
      </c>
      <c r="K772" t="s">
        <v>4441</v>
      </c>
      <c r="L772" t="s">
        <v>4514</v>
      </c>
      <c r="M772" t="s">
        <v>4462</v>
      </c>
      <c r="N772">
        <v>2</v>
      </c>
    </row>
    <row r="773" spans="1:14" x14ac:dyDescent="0.35">
      <c r="A773" t="s">
        <v>5252</v>
      </c>
      <c r="B773" t="s">
        <v>295</v>
      </c>
      <c r="C773" t="s">
        <v>1904</v>
      </c>
      <c r="D773" t="s">
        <v>4472</v>
      </c>
      <c r="E773" t="s">
        <v>4456</v>
      </c>
      <c r="F773" s="3">
        <v>45022</v>
      </c>
      <c r="G773" s="3">
        <v>45022</v>
      </c>
      <c r="H773">
        <v>9.6999999999999993</v>
      </c>
      <c r="I773">
        <v>4</v>
      </c>
      <c r="J773" t="s">
        <v>4440</v>
      </c>
      <c r="K773" t="s">
        <v>4441</v>
      </c>
      <c r="L773" t="s">
        <v>4467</v>
      </c>
      <c r="M773" t="s">
        <v>4462</v>
      </c>
      <c r="N773">
        <v>4</v>
      </c>
    </row>
    <row r="774" spans="1:14" x14ac:dyDescent="0.35">
      <c r="A774" t="s">
        <v>5253</v>
      </c>
      <c r="B774" t="s">
        <v>374</v>
      </c>
      <c r="C774" t="s">
        <v>1904</v>
      </c>
      <c r="D774" t="s">
        <v>4485</v>
      </c>
      <c r="E774" t="s">
        <v>4439</v>
      </c>
      <c r="F774" s="3">
        <v>45272</v>
      </c>
      <c r="G774" s="3" t="s">
        <v>537</v>
      </c>
      <c r="I774">
        <v>48</v>
      </c>
      <c r="J774" t="s">
        <v>4448</v>
      </c>
      <c r="K774" t="s">
        <v>4457</v>
      </c>
      <c r="L774" t="s">
        <v>4483</v>
      </c>
      <c r="M774" t="s">
        <v>4462</v>
      </c>
    </row>
    <row r="775" spans="1:14" x14ac:dyDescent="0.35">
      <c r="A775" t="s">
        <v>5254</v>
      </c>
      <c r="B775" t="s">
        <v>289</v>
      </c>
      <c r="C775" t="s">
        <v>1904</v>
      </c>
      <c r="D775" t="s">
        <v>8511</v>
      </c>
      <c r="E775" t="s">
        <v>4456</v>
      </c>
      <c r="F775" s="3">
        <v>45329</v>
      </c>
      <c r="G775" s="3">
        <v>45329</v>
      </c>
      <c r="H775">
        <v>5.4</v>
      </c>
      <c r="I775">
        <v>4</v>
      </c>
      <c r="J775" t="s">
        <v>4440</v>
      </c>
      <c r="K775" t="s">
        <v>4441</v>
      </c>
      <c r="L775" t="s">
        <v>4483</v>
      </c>
      <c r="M775" t="s">
        <v>4462</v>
      </c>
    </row>
    <row r="776" spans="1:14" x14ac:dyDescent="0.35">
      <c r="A776" t="s">
        <v>5255</v>
      </c>
      <c r="B776" t="s">
        <v>307</v>
      </c>
      <c r="C776" t="s">
        <v>1927</v>
      </c>
      <c r="D776" t="s">
        <v>4479</v>
      </c>
      <c r="E776" t="s">
        <v>4444</v>
      </c>
      <c r="F776" s="3">
        <v>45312</v>
      </c>
      <c r="G776" s="3">
        <v>45312</v>
      </c>
      <c r="H776">
        <v>15.5</v>
      </c>
      <c r="I776">
        <v>24</v>
      </c>
      <c r="J776" t="s">
        <v>4448</v>
      </c>
      <c r="K776" t="s">
        <v>4441</v>
      </c>
      <c r="L776" t="s">
        <v>4449</v>
      </c>
      <c r="M776" t="s">
        <v>1625</v>
      </c>
      <c r="N776">
        <v>4</v>
      </c>
    </row>
    <row r="777" spans="1:14" x14ac:dyDescent="0.35">
      <c r="A777" t="s">
        <v>5256</v>
      </c>
      <c r="B777" t="s">
        <v>266</v>
      </c>
      <c r="C777" t="s">
        <v>1904</v>
      </c>
      <c r="D777" t="s">
        <v>4438</v>
      </c>
      <c r="E777" t="s">
        <v>4456</v>
      </c>
      <c r="F777" s="3">
        <v>45672</v>
      </c>
      <c r="G777" s="3" t="s">
        <v>537</v>
      </c>
      <c r="I777">
        <v>4</v>
      </c>
      <c r="J777" t="s">
        <v>4440</v>
      </c>
      <c r="K777" t="s">
        <v>4453</v>
      </c>
      <c r="L777" t="s">
        <v>4445</v>
      </c>
      <c r="M777" t="s">
        <v>4462</v>
      </c>
    </row>
    <row r="778" spans="1:14" x14ac:dyDescent="0.35">
      <c r="A778" t="s">
        <v>5257</v>
      </c>
      <c r="B778" t="s">
        <v>201</v>
      </c>
      <c r="C778" t="s">
        <v>1890</v>
      </c>
      <c r="D778" t="s">
        <v>4476</v>
      </c>
      <c r="E778" t="s">
        <v>4439</v>
      </c>
      <c r="F778" s="3">
        <v>45207</v>
      </c>
      <c r="G778" s="3">
        <v>45210</v>
      </c>
      <c r="H778">
        <v>93.5</v>
      </c>
      <c r="I778">
        <v>48</v>
      </c>
      <c r="J778" t="s">
        <v>4440</v>
      </c>
      <c r="K778" t="s">
        <v>4441</v>
      </c>
      <c r="L778" t="s">
        <v>4483</v>
      </c>
      <c r="M778" t="s">
        <v>1625</v>
      </c>
      <c r="N778">
        <v>5</v>
      </c>
    </row>
    <row r="779" spans="1:14" x14ac:dyDescent="0.35">
      <c r="A779" t="s">
        <v>5258</v>
      </c>
      <c r="B779" t="s">
        <v>309</v>
      </c>
      <c r="C779" t="s">
        <v>1927</v>
      </c>
      <c r="D779" t="s">
        <v>4490</v>
      </c>
      <c r="E779" t="s">
        <v>4444</v>
      </c>
      <c r="F779" s="3">
        <v>45236</v>
      </c>
      <c r="G779" s="3">
        <v>45236</v>
      </c>
      <c r="H779">
        <v>4.5999999999999996</v>
      </c>
      <c r="I779">
        <v>24</v>
      </c>
      <c r="J779" t="s">
        <v>4448</v>
      </c>
      <c r="K779" t="s">
        <v>4441</v>
      </c>
      <c r="L779" t="s">
        <v>4445</v>
      </c>
      <c r="M779" t="s">
        <v>4462</v>
      </c>
    </row>
    <row r="780" spans="1:14" x14ac:dyDescent="0.35">
      <c r="A780" t="s">
        <v>5259</v>
      </c>
      <c r="B780" t="s">
        <v>130</v>
      </c>
      <c r="C780" t="s">
        <v>1904</v>
      </c>
      <c r="D780" t="s">
        <v>4485</v>
      </c>
      <c r="E780" t="s">
        <v>4444</v>
      </c>
      <c r="F780" s="3">
        <v>45427</v>
      </c>
      <c r="G780" s="3">
        <v>45428</v>
      </c>
      <c r="H780">
        <v>33.5</v>
      </c>
      <c r="I780">
        <v>24</v>
      </c>
      <c r="J780" t="s">
        <v>4440</v>
      </c>
      <c r="K780" t="s">
        <v>4441</v>
      </c>
      <c r="L780" t="s">
        <v>4514</v>
      </c>
      <c r="M780" t="s">
        <v>1625</v>
      </c>
    </row>
    <row r="781" spans="1:14" x14ac:dyDescent="0.35">
      <c r="A781" t="s">
        <v>5260</v>
      </c>
      <c r="B781" t="s">
        <v>366</v>
      </c>
      <c r="C781" t="s">
        <v>1890</v>
      </c>
      <c r="D781" t="s">
        <v>4460</v>
      </c>
      <c r="E781" t="s">
        <v>4456</v>
      </c>
      <c r="F781" s="3">
        <v>45291</v>
      </c>
      <c r="G781" s="3">
        <v>45291</v>
      </c>
      <c r="H781">
        <v>7.1</v>
      </c>
      <c r="I781">
        <v>4</v>
      </c>
      <c r="J781" t="s">
        <v>4440</v>
      </c>
      <c r="K781" t="s">
        <v>4441</v>
      </c>
      <c r="L781" t="s">
        <v>4492</v>
      </c>
      <c r="M781" t="s">
        <v>4462</v>
      </c>
      <c r="N781">
        <v>3</v>
      </c>
    </row>
    <row r="782" spans="1:14" x14ac:dyDescent="0.35">
      <c r="A782" t="s">
        <v>5261</v>
      </c>
      <c r="B782" t="s">
        <v>191</v>
      </c>
      <c r="C782" t="s">
        <v>1883</v>
      </c>
      <c r="D782" t="s">
        <v>4479</v>
      </c>
      <c r="E782" t="s">
        <v>4444</v>
      </c>
      <c r="F782" s="3">
        <v>45303</v>
      </c>
      <c r="G782" s="3">
        <v>45304</v>
      </c>
      <c r="H782">
        <v>42</v>
      </c>
      <c r="I782">
        <v>24</v>
      </c>
      <c r="J782" t="s">
        <v>4440</v>
      </c>
      <c r="K782" t="s">
        <v>4441</v>
      </c>
      <c r="L782" t="s">
        <v>4512</v>
      </c>
      <c r="M782" t="s">
        <v>4462</v>
      </c>
      <c r="N782">
        <v>1</v>
      </c>
    </row>
    <row r="783" spans="1:14" x14ac:dyDescent="0.35">
      <c r="A783" t="s">
        <v>5262</v>
      </c>
      <c r="B783" t="s">
        <v>389</v>
      </c>
      <c r="C783" t="s">
        <v>1899</v>
      </c>
      <c r="D783" t="s">
        <v>4476</v>
      </c>
      <c r="E783" t="s">
        <v>4444</v>
      </c>
      <c r="F783" s="3">
        <v>45074</v>
      </c>
      <c r="G783" s="3">
        <v>45074</v>
      </c>
      <c r="H783">
        <v>6</v>
      </c>
      <c r="I783">
        <v>24</v>
      </c>
      <c r="J783" t="s">
        <v>4448</v>
      </c>
      <c r="K783" t="s">
        <v>4441</v>
      </c>
      <c r="L783" t="s">
        <v>4488</v>
      </c>
      <c r="M783" t="s">
        <v>1625</v>
      </c>
    </row>
    <row r="784" spans="1:14" x14ac:dyDescent="0.35">
      <c r="A784" t="s">
        <v>5263</v>
      </c>
      <c r="B784" t="s">
        <v>477</v>
      </c>
      <c r="C784" t="s">
        <v>1890</v>
      </c>
      <c r="D784" t="s">
        <v>4460</v>
      </c>
      <c r="E784" t="s">
        <v>4444</v>
      </c>
      <c r="F784" s="3">
        <v>45271</v>
      </c>
      <c r="G784" s="3">
        <v>45272</v>
      </c>
      <c r="H784">
        <v>31.1</v>
      </c>
      <c r="I784">
        <v>24</v>
      </c>
      <c r="J784" t="s">
        <v>4440</v>
      </c>
      <c r="K784" t="s">
        <v>4441</v>
      </c>
      <c r="L784" t="s">
        <v>4454</v>
      </c>
      <c r="M784" t="s">
        <v>4462</v>
      </c>
      <c r="N784">
        <v>5</v>
      </c>
    </row>
    <row r="785" spans="1:14" x14ac:dyDescent="0.35">
      <c r="A785" t="s">
        <v>5264</v>
      </c>
      <c r="B785" t="s">
        <v>130</v>
      </c>
      <c r="C785" t="s">
        <v>1927</v>
      </c>
      <c r="D785" t="s">
        <v>4485</v>
      </c>
      <c r="E785" t="s">
        <v>4473</v>
      </c>
      <c r="F785" s="3">
        <v>45701</v>
      </c>
      <c r="G785" s="3">
        <v>45701</v>
      </c>
      <c r="H785">
        <v>3.8</v>
      </c>
      <c r="I785">
        <v>8</v>
      </c>
      <c r="J785" t="s">
        <v>4448</v>
      </c>
      <c r="K785" t="s">
        <v>4441</v>
      </c>
      <c r="L785" t="s">
        <v>4512</v>
      </c>
      <c r="M785" t="s">
        <v>4462</v>
      </c>
      <c r="N785">
        <v>5</v>
      </c>
    </row>
    <row r="786" spans="1:14" x14ac:dyDescent="0.35">
      <c r="A786" t="s">
        <v>5265</v>
      </c>
      <c r="B786" t="s">
        <v>326</v>
      </c>
      <c r="C786" t="s">
        <v>1890</v>
      </c>
      <c r="D786" t="s">
        <v>4490</v>
      </c>
      <c r="E786" t="s">
        <v>4456</v>
      </c>
      <c r="F786" s="3">
        <v>45471</v>
      </c>
      <c r="G786" s="3" t="s">
        <v>537</v>
      </c>
      <c r="I786">
        <v>4</v>
      </c>
      <c r="J786" t="s">
        <v>4448</v>
      </c>
      <c r="K786" t="s">
        <v>4457</v>
      </c>
      <c r="L786" t="s">
        <v>4449</v>
      </c>
      <c r="M786" t="s">
        <v>4462</v>
      </c>
    </row>
    <row r="787" spans="1:14" x14ac:dyDescent="0.35">
      <c r="A787" t="s">
        <v>5266</v>
      </c>
      <c r="B787" t="s">
        <v>196</v>
      </c>
      <c r="C787" t="s">
        <v>1883</v>
      </c>
      <c r="D787" t="s">
        <v>4469</v>
      </c>
      <c r="E787" t="s">
        <v>4439</v>
      </c>
      <c r="F787" s="3">
        <v>45468</v>
      </c>
      <c r="G787" s="3">
        <v>45471</v>
      </c>
      <c r="H787">
        <v>93</v>
      </c>
      <c r="I787">
        <v>48</v>
      </c>
      <c r="J787" t="s">
        <v>4440</v>
      </c>
      <c r="K787" t="s">
        <v>4441</v>
      </c>
      <c r="L787" t="s">
        <v>4458</v>
      </c>
      <c r="M787" t="s">
        <v>4462</v>
      </c>
      <c r="N787">
        <v>4</v>
      </c>
    </row>
    <row r="788" spans="1:14" x14ac:dyDescent="0.35">
      <c r="A788" t="s">
        <v>5267</v>
      </c>
      <c r="B788" t="s">
        <v>428</v>
      </c>
      <c r="C788" t="s">
        <v>1904</v>
      </c>
      <c r="D788" t="s">
        <v>4452</v>
      </c>
      <c r="E788" t="s">
        <v>4444</v>
      </c>
      <c r="F788" s="3">
        <v>45522</v>
      </c>
      <c r="G788" s="3" t="s">
        <v>537</v>
      </c>
      <c r="I788">
        <v>24</v>
      </c>
      <c r="J788" t="s">
        <v>4448</v>
      </c>
      <c r="K788" t="s">
        <v>4474</v>
      </c>
      <c r="L788" t="s">
        <v>4467</v>
      </c>
      <c r="M788" t="s">
        <v>1625</v>
      </c>
    </row>
    <row r="789" spans="1:14" x14ac:dyDescent="0.35">
      <c r="A789" t="s">
        <v>5268</v>
      </c>
      <c r="B789" t="s">
        <v>158</v>
      </c>
      <c r="C789" t="s">
        <v>1915</v>
      </c>
      <c r="D789" t="s">
        <v>4464</v>
      </c>
      <c r="E789" t="s">
        <v>4439</v>
      </c>
      <c r="F789" s="3">
        <v>45517</v>
      </c>
      <c r="G789" s="3">
        <v>45521</v>
      </c>
      <c r="H789">
        <v>118.5</v>
      </c>
      <c r="I789">
        <v>48</v>
      </c>
      <c r="J789" t="s">
        <v>4440</v>
      </c>
      <c r="K789" t="s">
        <v>4441</v>
      </c>
      <c r="L789" t="s">
        <v>4483</v>
      </c>
      <c r="M789" t="s">
        <v>4446</v>
      </c>
      <c r="N789">
        <v>4</v>
      </c>
    </row>
    <row r="790" spans="1:14" x14ac:dyDescent="0.35">
      <c r="A790" t="s">
        <v>5269</v>
      </c>
      <c r="B790" t="s">
        <v>351</v>
      </c>
      <c r="C790" t="s">
        <v>1904</v>
      </c>
      <c r="D790" t="s">
        <v>4443</v>
      </c>
      <c r="E790" t="s">
        <v>4473</v>
      </c>
      <c r="F790" s="3">
        <v>45231</v>
      </c>
      <c r="G790" s="3">
        <v>45231</v>
      </c>
      <c r="H790">
        <v>16.5</v>
      </c>
      <c r="I790">
        <v>8</v>
      </c>
      <c r="J790" t="s">
        <v>4440</v>
      </c>
      <c r="K790" t="s">
        <v>4441</v>
      </c>
      <c r="L790" t="s">
        <v>4580</v>
      </c>
      <c r="M790" t="s">
        <v>1625</v>
      </c>
      <c r="N790">
        <v>4</v>
      </c>
    </row>
    <row r="791" spans="1:14" x14ac:dyDescent="0.35">
      <c r="A791" t="s">
        <v>5270</v>
      </c>
      <c r="B791" t="s">
        <v>461</v>
      </c>
      <c r="C791" t="s">
        <v>1899</v>
      </c>
      <c r="D791" t="s">
        <v>4452</v>
      </c>
      <c r="E791" t="s">
        <v>4444</v>
      </c>
      <c r="F791" s="3">
        <v>45217</v>
      </c>
      <c r="G791" s="3">
        <v>45218</v>
      </c>
      <c r="H791">
        <v>28.6</v>
      </c>
      <c r="I791">
        <v>24</v>
      </c>
      <c r="J791" t="s">
        <v>4440</v>
      </c>
      <c r="K791" t="s">
        <v>4441</v>
      </c>
      <c r="L791" t="s">
        <v>4465</v>
      </c>
      <c r="M791" t="s">
        <v>4446</v>
      </c>
      <c r="N791">
        <v>4</v>
      </c>
    </row>
    <row r="792" spans="1:14" x14ac:dyDescent="0.35">
      <c r="A792" t="s">
        <v>5271</v>
      </c>
      <c r="B792" t="s">
        <v>412</v>
      </c>
      <c r="C792" t="s">
        <v>1883</v>
      </c>
      <c r="D792" t="s">
        <v>4476</v>
      </c>
      <c r="E792" t="s">
        <v>4439</v>
      </c>
      <c r="F792" s="3">
        <v>44965</v>
      </c>
      <c r="G792" s="3">
        <v>44967</v>
      </c>
      <c r="H792">
        <v>58.4</v>
      </c>
      <c r="I792">
        <v>48</v>
      </c>
      <c r="J792" t="s">
        <v>4440</v>
      </c>
      <c r="K792" t="s">
        <v>4441</v>
      </c>
      <c r="L792" t="s">
        <v>4527</v>
      </c>
      <c r="M792" t="s">
        <v>4446</v>
      </c>
      <c r="N792">
        <v>1</v>
      </c>
    </row>
    <row r="793" spans="1:14" x14ac:dyDescent="0.35">
      <c r="A793" t="s">
        <v>5272</v>
      </c>
      <c r="B793" t="s">
        <v>219</v>
      </c>
      <c r="C793" t="s">
        <v>1883</v>
      </c>
      <c r="D793" t="s">
        <v>4469</v>
      </c>
      <c r="E793" t="s">
        <v>4473</v>
      </c>
      <c r="F793" s="3">
        <v>45085</v>
      </c>
      <c r="G793" s="3" t="s">
        <v>537</v>
      </c>
      <c r="I793">
        <v>8</v>
      </c>
      <c r="J793" t="s">
        <v>4440</v>
      </c>
      <c r="K793" t="s">
        <v>4453</v>
      </c>
      <c r="L793" t="s">
        <v>4467</v>
      </c>
      <c r="M793" t="s">
        <v>4462</v>
      </c>
    </row>
    <row r="794" spans="1:14" x14ac:dyDescent="0.35">
      <c r="A794" t="s">
        <v>5273</v>
      </c>
      <c r="B794" t="s">
        <v>243</v>
      </c>
      <c r="C794" t="s">
        <v>1883</v>
      </c>
      <c r="D794" t="s">
        <v>4469</v>
      </c>
      <c r="E794" t="s">
        <v>4444</v>
      </c>
      <c r="F794" s="3">
        <v>45168</v>
      </c>
      <c r="G794" s="3" t="s">
        <v>537</v>
      </c>
      <c r="I794">
        <v>24</v>
      </c>
      <c r="J794" t="s">
        <v>4440</v>
      </c>
      <c r="K794" t="s">
        <v>4474</v>
      </c>
      <c r="L794" t="s">
        <v>4533</v>
      </c>
      <c r="M794" t="s">
        <v>1625</v>
      </c>
    </row>
    <row r="795" spans="1:14" x14ac:dyDescent="0.35">
      <c r="A795" t="s">
        <v>5274</v>
      </c>
      <c r="B795" t="s">
        <v>263</v>
      </c>
      <c r="C795" t="s">
        <v>1890</v>
      </c>
      <c r="D795" t="s">
        <v>4479</v>
      </c>
      <c r="E795" t="s">
        <v>4444</v>
      </c>
      <c r="F795" s="3">
        <v>45280</v>
      </c>
      <c r="G795" s="3" t="s">
        <v>537</v>
      </c>
      <c r="I795">
        <v>24</v>
      </c>
      <c r="J795" t="s">
        <v>4440</v>
      </c>
      <c r="K795" t="s">
        <v>4474</v>
      </c>
      <c r="L795" t="s">
        <v>4509</v>
      </c>
      <c r="M795" t="s">
        <v>1625</v>
      </c>
    </row>
    <row r="796" spans="1:14" x14ac:dyDescent="0.35">
      <c r="A796" t="s">
        <v>5275</v>
      </c>
      <c r="B796" t="s">
        <v>439</v>
      </c>
      <c r="C796" t="s">
        <v>1904</v>
      </c>
      <c r="D796" t="s">
        <v>4469</v>
      </c>
      <c r="E796" t="s">
        <v>4439</v>
      </c>
      <c r="F796" s="3">
        <v>45557</v>
      </c>
      <c r="G796" s="3">
        <v>45561</v>
      </c>
      <c r="H796">
        <v>113.5</v>
      </c>
      <c r="I796">
        <v>48</v>
      </c>
      <c r="J796" t="s">
        <v>4440</v>
      </c>
      <c r="K796" t="s">
        <v>4441</v>
      </c>
      <c r="L796" t="s">
        <v>1907</v>
      </c>
      <c r="M796" t="s">
        <v>4462</v>
      </c>
    </row>
    <row r="797" spans="1:14" x14ac:dyDescent="0.35">
      <c r="A797" t="s">
        <v>5276</v>
      </c>
      <c r="B797" t="s">
        <v>224</v>
      </c>
      <c r="C797" t="s">
        <v>1915</v>
      </c>
      <c r="D797" t="s">
        <v>4443</v>
      </c>
      <c r="E797" t="s">
        <v>4444</v>
      </c>
      <c r="F797" s="3">
        <v>45002</v>
      </c>
      <c r="G797" s="3">
        <v>45003</v>
      </c>
      <c r="H797">
        <v>35.4</v>
      </c>
      <c r="I797">
        <v>24</v>
      </c>
      <c r="J797" t="s">
        <v>4440</v>
      </c>
      <c r="K797" t="s">
        <v>4441</v>
      </c>
      <c r="L797" t="s">
        <v>4449</v>
      </c>
      <c r="M797" t="s">
        <v>4446</v>
      </c>
      <c r="N797">
        <v>3</v>
      </c>
    </row>
    <row r="798" spans="1:14" x14ac:dyDescent="0.35">
      <c r="A798" t="s">
        <v>5277</v>
      </c>
      <c r="B798" t="s">
        <v>205</v>
      </c>
      <c r="C798" t="s">
        <v>1899</v>
      </c>
      <c r="D798" t="s">
        <v>4460</v>
      </c>
      <c r="E798" t="s">
        <v>4444</v>
      </c>
      <c r="F798" s="3">
        <v>45444</v>
      </c>
      <c r="G798" s="3">
        <v>45446</v>
      </c>
      <c r="H798">
        <v>56.5</v>
      </c>
      <c r="I798">
        <v>24</v>
      </c>
      <c r="J798" t="s">
        <v>4440</v>
      </c>
      <c r="K798" t="s">
        <v>4441</v>
      </c>
      <c r="L798" t="s">
        <v>4449</v>
      </c>
      <c r="M798" t="s">
        <v>4450</v>
      </c>
      <c r="N798">
        <v>3</v>
      </c>
    </row>
    <row r="799" spans="1:14" x14ac:dyDescent="0.35">
      <c r="A799" t="s">
        <v>5278</v>
      </c>
      <c r="B799" t="s">
        <v>18</v>
      </c>
      <c r="C799" t="s">
        <v>1899</v>
      </c>
      <c r="D799" t="s">
        <v>4485</v>
      </c>
      <c r="E799" t="s">
        <v>4473</v>
      </c>
      <c r="F799" s="3">
        <v>44960</v>
      </c>
      <c r="G799" s="3">
        <v>44960</v>
      </c>
      <c r="H799">
        <v>2</v>
      </c>
      <c r="I799">
        <v>8</v>
      </c>
      <c r="J799" t="s">
        <v>4448</v>
      </c>
      <c r="K799" t="s">
        <v>4441</v>
      </c>
      <c r="L799" t="s">
        <v>4470</v>
      </c>
      <c r="M799" t="s">
        <v>4446</v>
      </c>
    </row>
    <row r="800" spans="1:14" x14ac:dyDescent="0.35">
      <c r="A800" t="s">
        <v>5279</v>
      </c>
      <c r="B800" t="s">
        <v>200</v>
      </c>
      <c r="C800" t="s">
        <v>1927</v>
      </c>
      <c r="D800" t="s">
        <v>4472</v>
      </c>
      <c r="E800" t="s">
        <v>4439</v>
      </c>
      <c r="F800" s="3">
        <v>45485</v>
      </c>
      <c r="G800" s="3" t="s">
        <v>537</v>
      </c>
      <c r="I800">
        <v>48</v>
      </c>
      <c r="J800" t="s">
        <v>4440</v>
      </c>
      <c r="K800" t="s">
        <v>4453</v>
      </c>
      <c r="L800" t="s">
        <v>4509</v>
      </c>
      <c r="M800" t="s">
        <v>4446</v>
      </c>
    </row>
    <row r="801" spans="1:14" x14ac:dyDescent="0.35">
      <c r="A801" t="s">
        <v>5280</v>
      </c>
      <c r="B801" t="s">
        <v>45</v>
      </c>
      <c r="C801" t="s">
        <v>1915</v>
      </c>
      <c r="D801" t="s">
        <v>4485</v>
      </c>
      <c r="E801" t="s">
        <v>4444</v>
      </c>
      <c r="F801" s="3">
        <v>45298</v>
      </c>
      <c r="G801" s="3">
        <v>45299</v>
      </c>
      <c r="H801">
        <v>38.700000000000003</v>
      </c>
      <c r="I801">
        <v>24</v>
      </c>
      <c r="J801" t="s">
        <v>4440</v>
      </c>
      <c r="K801" t="s">
        <v>4441</v>
      </c>
      <c r="L801" t="s">
        <v>4509</v>
      </c>
      <c r="M801" t="s">
        <v>1625</v>
      </c>
      <c r="N801">
        <v>5</v>
      </c>
    </row>
    <row r="802" spans="1:14" x14ac:dyDescent="0.35">
      <c r="A802" t="s">
        <v>5281</v>
      </c>
      <c r="B802" t="s">
        <v>103</v>
      </c>
      <c r="C802" t="s">
        <v>1899</v>
      </c>
      <c r="D802" t="s">
        <v>4472</v>
      </c>
      <c r="E802" t="s">
        <v>4444</v>
      </c>
      <c r="F802" s="3">
        <v>45425</v>
      </c>
      <c r="G802" s="3" t="s">
        <v>537</v>
      </c>
      <c r="I802">
        <v>24</v>
      </c>
      <c r="J802" t="s">
        <v>4440</v>
      </c>
      <c r="K802" t="s">
        <v>4474</v>
      </c>
      <c r="L802" t="s">
        <v>4533</v>
      </c>
      <c r="M802" t="s">
        <v>4446</v>
      </c>
    </row>
    <row r="803" spans="1:14" x14ac:dyDescent="0.35">
      <c r="A803" t="s">
        <v>5282</v>
      </c>
      <c r="B803" t="s">
        <v>341</v>
      </c>
      <c r="C803" t="s">
        <v>1927</v>
      </c>
      <c r="D803" t="s">
        <v>4438</v>
      </c>
      <c r="E803" t="s">
        <v>79</v>
      </c>
      <c r="F803" s="3">
        <v>45015</v>
      </c>
      <c r="G803" s="3">
        <v>45016</v>
      </c>
      <c r="H803">
        <v>34.700000000000003</v>
      </c>
      <c r="I803">
        <v>24</v>
      </c>
      <c r="J803" t="s">
        <v>4440</v>
      </c>
      <c r="K803" t="s">
        <v>4441</v>
      </c>
      <c r="L803" t="s">
        <v>4580</v>
      </c>
      <c r="M803" t="s">
        <v>1625</v>
      </c>
      <c r="N803">
        <v>5</v>
      </c>
    </row>
    <row r="804" spans="1:14" x14ac:dyDescent="0.35">
      <c r="A804" t="s">
        <v>5283</v>
      </c>
      <c r="B804" t="s">
        <v>18</v>
      </c>
      <c r="C804" t="s">
        <v>1904</v>
      </c>
      <c r="D804" t="s">
        <v>4490</v>
      </c>
      <c r="E804" t="s">
        <v>4444</v>
      </c>
      <c r="F804" s="3">
        <v>45659</v>
      </c>
      <c r="G804" s="3">
        <v>45661</v>
      </c>
      <c r="H804">
        <v>57.3</v>
      </c>
      <c r="I804">
        <v>24</v>
      </c>
      <c r="J804" t="s">
        <v>4440</v>
      </c>
      <c r="K804" t="s">
        <v>4441</v>
      </c>
      <c r="L804" t="s">
        <v>4533</v>
      </c>
      <c r="M804" t="s">
        <v>4450</v>
      </c>
      <c r="N804">
        <v>5</v>
      </c>
    </row>
    <row r="805" spans="1:14" x14ac:dyDescent="0.35">
      <c r="A805" t="s">
        <v>5284</v>
      </c>
      <c r="B805" t="s">
        <v>314</v>
      </c>
      <c r="C805" t="s">
        <v>1915</v>
      </c>
      <c r="D805" t="s">
        <v>4476</v>
      </c>
      <c r="E805" t="s">
        <v>4444</v>
      </c>
      <c r="F805" s="3">
        <v>45016</v>
      </c>
      <c r="G805" s="3" t="s">
        <v>537</v>
      </c>
      <c r="I805">
        <v>24</v>
      </c>
      <c r="J805" t="s">
        <v>4440</v>
      </c>
      <c r="K805" t="s">
        <v>4457</v>
      </c>
      <c r="L805" t="s">
        <v>4461</v>
      </c>
      <c r="M805" t="s">
        <v>4450</v>
      </c>
    </row>
    <row r="806" spans="1:14" x14ac:dyDescent="0.35">
      <c r="A806" t="s">
        <v>5285</v>
      </c>
      <c r="B806" t="s">
        <v>415</v>
      </c>
      <c r="C806" t="s">
        <v>1927</v>
      </c>
      <c r="D806" t="s">
        <v>4490</v>
      </c>
      <c r="E806" t="s">
        <v>4473</v>
      </c>
      <c r="F806" s="3">
        <v>45017</v>
      </c>
      <c r="G806" s="3" t="s">
        <v>537</v>
      </c>
      <c r="I806">
        <v>8</v>
      </c>
      <c r="J806" t="s">
        <v>4440</v>
      </c>
      <c r="K806" t="s">
        <v>4474</v>
      </c>
      <c r="L806" t="s">
        <v>4509</v>
      </c>
      <c r="M806" t="s">
        <v>4450</v>
      </c>
    </row>
    <row r="807" spans="1:14" x14ac:dyDescent="0.35">
      <c r="A807" t="s">
        <v>5286</v>
      </c>
      <c r="B807" t="s">
        <v>498</v>
      </c>
      <c r="C807" t="s">
        <v>1890</v>
      </c>
      <c r="D807" t="s">
        <v>4472</v>
      </c>
      <c r="E807" t="s">
        <v>4444</v>
      </c>
      <c r="F807" s="3">
        <v>45422</v>
      </c>
      <c r="G807" s="3" t="s">
        <v>537</v>
      </c>
      <c r="I807">
        <v>24</v>
      </c>
      <c r="J807" t="s">
        <v>4448</v>
      </c>
      <c r="K807" t="s">
        <v>4453</v>
      </c>
      <c r="L807" t="s">
        <v>4449</v>
      </c>
      <c r="M807" t="s">
        <v>1625</v>
      </c>
    </row>
    <row r="808" spans="1:14" x14ac:dyDescent="0.35">
      <c r="A808" t="s">
        <v>5287</v>
      </c>
      <c r="B808" t="s">
        <v>122</v>
      </c>
      <c r="C808" t="s">
        <v>1927</v>
      </c>
      <c r="D808" t="s">
        <v>4443</v>
      </c>
      <c r="E808" t="s">
        <v>4439</v>
      </c>
      <c r="F808" s="3">
        <v>44955</v>
      </c>
      <c r="G808" s="3" t="s">
        <v>537</v>
      </c>
      <c r="I808">
        <v>48</v>
      </c>
      <c r="J808" t="s">
        <v>4440</v>
      </c>
      <c r="K808" t="s">
        <v>4474</v>
      </c>
      <c r="L808" t="s">
        <v>4483</v>
      </c>
      <c r="M808" t="s">
        <v>4446</v>
      </c>
    </row>
    <row r="809" spans="1:14" x14ac:dyDescent="0.35">
      <c r="A809" t="s">
        <v>5288</v>
      </c>
      <c r="B809" t="s">
        <v>497</v>
      </c>
      <c r="C809" t="s">
        <v>1927</v>
      </c>
      <c r="D809" t="s">
        <v>4438</v>
      </c>
      <c r="E809" t="s">
        <v>4439</v>
      </c>
      <c r="F809" s="3">
        <v>45396</v>
      </c>
      <c r="G809" s="3">
        <v>45398</v>
      </c>
      <c r="H809">
        <v>68.400000000000006</v>
      </c>
      <c r="I809">
        <v>48</v>
      </c>
      <c r="J809" t="s">
        <v>4440</v>
      </c>
      <c r="K809" t="s">
        <v>4441</v>
      </c>
      <c r="L809" t="s">
        <v>4480</v>
      </c>
      <c r="M809" t="s">
        <v>1625</v>
      </c>
      <c r="N809">
        <v>5</v>
      </c>
    </row>
    <row r="810" spans="1:14" x14ac:dyDescent="0.35">
      <c r="A810" t="s">
        <v>5289</v>
      </c>
      <c r="B810" t="s">
        <v>94</v>
      </c>
      <c r="C810" t="s">
        <v>1899</v>
      </c>
      <c r="D810" t="s">
        <v>4490</v>
      </c>
      <c r="E810" t="s">
        <v>4456</v>
      </c>
      <c r="F810" s="3">
        <v>45574</v>
      </c>
      <c r="G810" s="3">
        <v>45574</v>
      </c>
      <c r="H810">
        <v>6.1</v>
      </c>
      <c r="I810">
        <v>4</v>
      </c>
      <c r="J810" t="s">
        <v>4440</v>
      </c>
      <c r="K810" t="s">
        <v>4441</v>
      </c>
      <c r="L810" t="s">
        <v>4445</v>
      </c>
      <c r="M810" t="s">
        <v>4450</v>
      </c>
      <c r="N810">
        <v>5</v>
      </c>
    </row>
    <row r="811" spans="1:14" x14ac:dyDescent="0.35">
      <c r="A811" t="s">
        <v>5290</v>
      </c>
      <c r="B811" t="s">
        <v>288</v>
      </c>
      <c r="C811" t="s">
        <v>1890</v>
      </c>
      <c r="D811" t="s">
        <v>4452</v>
      </c>
      <c r="E811" t="s">
        <v>4444</v>
      </c>
      <c r="F811" s="3">
        <v>45528</v>
      </c>
      <c r="G811" s="3">
        <v>45530</v>
      </c>
      <c r="H811">
        <v>57.4</v>
      </c>
      <c r="I811">
        <v>24</v>
      </c>
      <c r="J811" t="s">
        <v>4440</v>
      </c>
      <c r="K811" t="s">
        <v>4441</v>
      </c>
      <c r="L811" t="s">
        <v>4465</v>
      </c>
      <c r="M811" t="s">
        <v>4446</v>
      </c>
      <c r="N811">
        <v>5</v>
      </c>
    </row>
    <row r="812" spans="1:14" x14ac:dyDescent="0.35">
      <c r="A812" t="s">
        <v>5291</v>
      </c>
      <c r="B812" t="s">
        <v>364</v>
      </c>
      <c r="C812" t="s">
        <v>1890</v>
      </c>
      <c r="D812" t="s">
        <v>4464</v>
      </c>
      <c r="E812" t="s">
        <v>4444</v>
      </c>
      <c r="F812" s="3">
        <v>45558</v>
      </c>
      <c r="G812" s="3">
        <v>45559</v>
      </c>
      <c r="H812">
        <v>35</v>
      </c>
      <c r="I812">
        <v>24</v>
      </c>
      <c r="J812" t="s">
        <v>4440</v>
      </c>
      <c r="K812" t="s">
        <v>4441</v>
      </c>
      <c r="L812" t="s">
        <v>4454</v>
      </c>
      <c r="M812" t="s">
        <v>1625</v>
      </c>
      <c r="N812">
        <v>5</v>
      </c>
    </row>
    <row r="813" spans="1:14" x14ac:dyDescent="0.35">
      <c r="A813" t="s">
        <v>5292</v>
      </c>
      <c r="B813" t="s">
        <v>491</v>
      </c>
      <c r="C813" t="s">
        <v>1927</v>
      </c>
      <c r="D813" t="s">
        <v>4464</v>
      </c>
      <c r="E813" t="s">
        <v>4439</v>
      </c>
      <c r="F813" s="3">
        <v>45159</v>
      </c>
      <c r="G813" s="3" t="s">
        <v>537</v>
      </c>
      <c r="I813">
        <v>48</v>
      </c>
      <c r="J813" t="s">
        <v>4440</v>
      </c>
      <c r="K813" t="s">
        <v>4457</v>
      </c>
      <c r="L813" t="s">
        <v>4480</v>
      </c>
      <c r="M813" t="s">
        <v>4462</v>
      </c>
    </row>
    <row r="814" spans="1:14" x14ac:dyDescent="0.35">
      <c r="A814" t="s">
        <v>5293</v>
      </c>
      <c r="B814" t="s">
        <v>451</v>
      </c>
      <c r="C814" t="s">
        <v>1915</v>
      </c>
      <c r="D814" t="s">
        <v>4464</v>
      </c>
      <c r="E814" t="s">
        <v>4439</v>
      </c>
      <c r="F814" s="3">
        <v>45114</v>
      </c>
      <c r="G814" s="3">
        <v>45114</v>
      </c>
      <c r="H814">
        <v>20.3</v>
      </c>
      <c r="I814">
        <v>48</v>
      </c>
      <c r="J814" t="s">
        <v>4448</v>
      </c>
      <c r="K814" t="s">
        <v>4441</v>
      </c>
      <c r="L814" t="s">
        <v>4445</v>
      </c>
      <c r="M814" t="s">
        <v>4446</v>
      </c>
      <c r="N814">
        <v>3</v>
      </c>
    </row>
    <row r="815" spans="1:14" x14ac:dyDescent="0.35">
      <c r="A815" t="s">
        <v>5294</v>
      </c>
      <c r="B815" t="s">
        <v>455</v>
      </c>
      <c r="C815" t="s">
        <v>1927</v>
      </c>
      <c r="D815" t="s">
        <v>4443</v>
      </c>
      <c r="E815" t="s">
        <v>4473</v>
      </c>
      <c r="F815" s="3">
        <v>45131</v>
      </c>
      <c r="G815" s="3">
        <v>45131</v>
      </c>
      <c r="H815">
        <v>5.8</v>
      </c>
      <c r="I815">
        <v>8</v>
      </c>
      <c r="J815" t="s">
        <v>4448</v>
      </c>
      <c r="K815" t="s">
        <v>4441</v>
      </c>
      <c r="L815" t="s">
        <v>4580</v>
      </c>
      <c r="M815" t="s">
        <v>4450</v>
      </c>
      <c r="N815">
        <v>4</v>
      </c>
    </row>
    <row r="816" spans="1:14" x14ac:dyDescent="0.35">
      <c r="A816" t="s">
        <v>5295</v>
      </c>
      <c r="B816" t="s">
        <v>428</v>
      </c>
      <c r="C816" t="s">
        <v>1927</v>
      </c>
      <c r="D816" t="s">
        <v>4472</v>
      </c>
      <c r="E816" t="s">
        <v>4473</v>
      </c>
      <c r="F816" s="3">
        <v>45720</v>
      </c>
      <c r="G816" s="3">
        <v>45720</v>
      </c>
      <c r="H816">
        <v>18.5</v>
      </c>
      <c r="I816">
        <v>8</v>
      </c>
      <c r="J816" t="s">
        <v>4440</v>
      </c>
      <c r="K816" t="s">
        <v>4441</v>
      </c>
      <c r="L816" t="s">
        <v>4509</v>
      </c>
      <c r="M816" t="s">
        <v>4462</v>
      </c>
      <c r="N816">
        <v>4</v>
      </c>
    </row>
    <row r="817" spans="1:14" x14ac:dyDescent="0.35">
      <c r="A817" t="s">
        <v>5296</v>
      </c>
      <c r="B817" t="s">
        <v>86</v>
      </c>
      <c r="C817" t="s">
        <v>1899</v>
      </c>
      <c r="D817" t="s">
        <v>4469</v>
      </c>
      <c r="E817" t="s">
        <v>4473</v>
      </c>
      <c r="F817" s="3">
        <v>45135</v>
      </c>
      <c r="G817" s="3">
        <v>45135</v>
      </c>
      <c r="H817">
        <v>13.9</v>
      </c>
      <c r="I817">
        <v>8</v>
      </c>
      <c r="J817" t="s">
        <v>4440</v>
      </c>
      <c r="K817" t="s">
        <v>4441</v>
      </c>
      <c r="L817" t="s">
        <v>4449</v>
      </c>
      <c r="M817" t="s">
        <v>4446</v>
      </c>
    </row>
    <row r="818" spans="1:14" x14ac:dyDescent="0.35">
      <c r="A818" t="s">
        <v>5297</v>
      </c>
      <c r="B818" t="s">
        <v>370</v>
      </c>
      <c r="C818" t="s">
        <v>1883</v>
      </c>
      <c r="D818" t="s">
        <v>4476</v>
      </c>
      <c r="E818" t="s">
        <v>4473</v>
      </c>
      <c r="F818" s="3">
        <v>45717</v>
      </c>
      <c r="G818" s="3" t="s">
        <v>537</v>
      </c>
      <c r="I818">
        <v>8</v>
      </c>
      <c r="J818" t="s">
        <v>4448</v>
      </c>
      <c r="K818" t="s">
        <v>4457</v>
      </c>
      <c r="L818" t="s">
        <v>4467</v>
      </c>
      <c r="M818" t="s">
        <v>4450</v>
      </c>
    </row>
    <row r="819" spans="1:14" x14ac:dyDescent="0.35">
      <c r="A819" t="s">
        <v>5298</v>
      </c>
      <c r="B819" t="s">
        <v>426</v>
      </c>
      <c r="C819" t="s">
        <v>1915</v>
      </c>
      <c r="D819" t="s">
        <v>4443</v>
      </c>
      <c r="E819" t="s">
        <v>4456</v>
      </c>
      <c r="F819" s="3">
        <v>45651</v>
      </c>
      <c r="G819" s="3">
        <v>45651</v>
      </c>
      <c r="H819">
        <v>9.4</v>
      </c>
      <c r="I819">
        <v>4</v>
      </c>
      <c r="J819" t="s">
        <v>4440</v>
      </c>
      <c r="K819" t="s">
        <v>4441</v>
      </c>
      <c r="L819" t="s">
        <v>4461</v>
      </c>
      <c r="M819" t="s">
        <v>4446</v>
      </c>
      <c r="N819">
        <v>4</v>
      </c>
    </row>
    <row r="820" spans="1:14" x14ac:dyDescent="0.35">
      <c r="A820" t="s">
        <v>5299</v>
      </c>
      <c r="B820" t="s">
        <v>389</v>
      </c>
      <c r="C820" t="s">
        <v>1904</v>
      </c>
      <c r="D820" t="s">
        <v>4464</v>
      </c>
      <c r="E820" t="s">
        <v>4439</v>
      </c>
      <c r="F820" s="3">
        <v>45553</v>
      </c>
      <c r="G820" s="3" t="s">
        <v>537</v>
      </c>
      <c r="I820">
        <v>48</v>
      </c>
      <c r="J820" t="s">
        <v>4440</v>
      </c>
      <c r="K820" t="s">
        <v>4457</v>
      </c>
      <c r="L820" t="s">
        <v>4465</v>
      </c>
      <c r="M820" t="s">
        <v>1625</v>
      </c>
    </row>
    <row r="821" spans="1:14" x14ac:dyDescent="0.35">
      <c r="A821" t="s">
        <v>5300</v>
      </c>
      <c r="B821" t="s">
        <v>349</v>
      </c>
      <c r="C821" t="s">
        <v>1904</v>
      </c>
      <c r="D821" t="s">
        <v>4452</v>
      </c>
      <c r="E821" t="s">
        <v>4439</v>
      </c>
      <c r="F821" s="3">
        <v>45084</v>
      </c>
      <c r="G821" s="3" t="s">
        <v>537</v>
      </c>
      <c r="I821">
        <v>48</v>
      </c>
      <c r="J821" t="s">
        <v>4448</v>
      </c>
      <c r="K821" t="s">
        <v>4457</v>
      </c>
      <c r="L821" t="s">
        <v>4445</v>
      </c>
      <c r="M821" t="s">
        <v>4446</v>
      </c>
    </row>
    <row r="822" spans="1:14" x14ac:dyDescent="0.35">
      <c r="A822" t="s">
        <v>5301</v>
      </c>
      <c r="B822" t="s">
        <v>415</v>
      </c>
      <c r="C822" t="s">
        <v>1915</v>
      </c>
      <c r="D822" t="s">
        <v>4482</v>
      </c>
      <c r="E822" t="s">
        <v>4456</v>
      </c>
      <c r="F822" s="3">
        <v>45731</v>
      </c>
      <c r="G822" s="3" t="s">
        <v>537</v>
      </c>
      <c r="I822">
        <v>4</v>
      </c>
      <c r="J822" t="s">
        <v>4448</v>
      </c>
      <c r="K822" t="s">
        <v>4474</v>
      </c>
      <c r="L822" t="s">
        <v>4533</v>
      </c>
      <c r="M822" t="s">
        <v>4462</v>
      </c>
    </row>
    <row r="823" spans="1:14" x14ac:dyDescent="0.35">
      <c r="A823" t="s">
        <v>5302</v>
      </c>
      <c r="B823" t="s">
        <v>57</v>
      </c>
      <c r="C823" t="s">
        <v>1883</v>
      </c>
      <c r="D823" t="s">
        <v>4479</v>
      </c>
      <c r="E823" t="s">
        <v>4444</v>
      </c>
      <c r="F823" s="3">
        <v>45640</v>
      </c>
      <c r="G823" s="3" t="s">
        <v>537</v>
      </c>
      <c r="I823">
        <v>24</v>
      </c>
      <c r="J823" t="s">
        <v>4440</v>
      </c>
      <c r="K823" t="s">
        <v>4474</v>
      </c>
      <c r="L823" t="s">
        <v>4480</v>
      </c>
      <c r="M823" t="s">
        <v>4446</v>
      </c>
    </row>
    <row r="824" spans="1:14" x14ac:dyDescent="0.35">
      <c r="A824" t="s">
        <v>5303</v>
      </c>
      <c r="B824" t="s">
        <v>343</v>
      </c>
      <c r="C824" t="s">
        <v>1883</v>
      </c>
      <c r="D824" t="s">
        <v>8507</v>
      </c>
      <c r="E824" t="s">
        <v>4473</v>
      </c>
      <c r="F824" s="3">
        <v>45299</v>
      </c>
      <c r="G824" s="3">
        <v>45299</v>
      </c>
      <c r="H824">
        <v>1.5</v>
      </c>
      <c r="I824">
        <v>8</v>
      </c>
      <c r="J824" t="s">
        <v>4448</v>
      </c>
      <c r="K824" t="s">
        <v>4441</v>
      </c>
      <c r="L824" t="s">
        <v>4465</v>
      </c>
      <c r="M824" t="s">
        <v>4450</v>
      </c>
      <c r="N824">
        <v>4</v>
      </c>
    </row>
    <row r="825" spans="1:14" x14ac:dyDescent="0.35">
      <c r="A825" t="s">
        <v>5304</v>
      </c>
      <c r="B825" t="s">
        <v>495</v>
      </c>
      <c r="C825" t="s">
        <v>1899</v>
      </c>
      <c r="D825" t="s">
        <v>4482</v>
      </c>
      <c r="E825" t="s">
        <v>4439</v>
      </c>
      <c r="F825" s="3">
        <v>45422</v>
      </c>
      <c r="G825" s="3">
        <v>45425</v>
      </c>
      <c r="H825">
        <v>94.3</v>
      </c>
      <c r="I825">
        <v>48</v>
      </c>
      <c r="J825" t="s">
        <v>1945</v>
      </c>
      <c r="K825" t="s">
        <v>4441</v>
      </c>
      <c r="L825" t="s">
        <v>4501</v>
      </c>
      <c r="M825" t="s">
        <v>4462</v>
      </c>
      <c r="N825">
        <v>3</v>
      </c>
    </row>
    <row r="826" spans="1:14" x14ac:dyDescent="0.35">
      <c r="A826" t="s">
        <v>5305</v>
      </c>
      <c r="B826" t="s">
        <v>271</v>
      </c>
      <c r="C826" t="s">
        <v>1927</v>
      </c>
      <c r="D826" t="s">
        <v>4469</v>
      </c>
      <c r="E826" t="s">
        <v>4473</v>
      </c>
      <c r="F826" s="3">
        <v>45456</v>
      </c>
      <c r="G826" s="3" t="s">
        <v>537</v>
      </c>
      <c r="I826">
        <v>8</v>
      </c>
      <c r="J826" t="s">
        <v>4440</v>
      </c>
      <c r="K826" t="s">
        <v>4474</v>
      </c>
      <c r="L826" t="s">
        <v>4470</v>
      </c>
      <c r="M826" t="s">
        <v>1625</v>
      </c>
    </row>
    <row r="827" spans="1:14" x14ac:dyDescent="0.35">
      <c r="A827" t="s">
        <v>5306</v>
      </c>
      <c r="B827" t="s">
        <v>458</v>
      </c>
      <c r="C827" t="s">
        <v>1904</v>
      </c>
      <c r="D827" t="s">
        <v>4443</v>
      </c>
      <c r="E827" t="s">
        <v>4444</v>
      </c>
      <c r="F827" s="3">
        <v>45095</v>
      </c>
      <c r="G827" s="3">
        <v>45095</v>
      </c>
      <c r="H827">
        <v>9.3000000000000007</v>
      </c>
      <c r="I827">
        <v>24</v>
      </c>
      <c r="J827" t="s">
        <v>4448</v>
      </c>
      <c r="K827" t="s">
        <v>4441</v>
      </c>
      <c r="L827" t="s">
        <v>4509</v>
      </c>
      <c r="M827" t="s">
        <v>4450</v>
      </c>
      <c r="N827">
        <v>5</v>
      </c>
    </row>
    <row r="828" spans="1:14" x14ac:dyDescent="0.35">
      <c r="A828" t="s">
        <v>5307</v>
      </c>
      <c r="B828" t="s">
        <v>417</v>
      </c>
      <c r="C828" t="s">
        <v>1890</v>
      </c>
      <c r="D828" t="s">
        <v>4438</v>
      </c>
      <c r="E828" t="s">
        <v>4439</v>
      </c>
      <c r="F828" s="3">
        <v>44989</v>
      </c>
      <c r="G828" s="3">
        <v>44992</v>
      </c>
      <c r="H828">
        <v>84.6</v>
      </c>
      <c r="I828">
        <v>48</v>
      </c>
      <c r="J828" t="s">
        <v>4440</v>
      </c>
      <c r="K828" t="s">
        <v>4441</v>
      </c>
      <c r="L828" t="s">
        <v>4501</v>
      </c>
      <c r="M828" t="s">
        <v>4446</v>
      </c>
      <c r="N828">
        <v>4</v>
      </c>
    </row>
    <row r="829" spans="1:14" x14ac:dyDescent="0.35">
      <c r="A829" t="s">
        <v>5308</v>
      </c>
      <c r="B829" t="s">
        <v>309</v>
      </c>
      <c r="C829" t="s">
        <v>1883</v>
      </c>
      <c r="D829" t="s">
        <v>4460</v>
      </c>
      <c r="E829" t="s">
        <v>4439</v>
      </c>
      <c r="F829" s="3">
        <v>45433</v>
      </c>
      <c r="G829" s="3">
        <v>45437</v>
      </c>
      <c r="H829">
        <v>118.3</v>
      </c>
      <c r="I829">
        <v>48</v>
      </c>
      <c r="J829" t="s">
        <v>4440</v>
      </c>
      <c r="K829" t="s">
        <v>4441</v>
      </c>
      <c r="L829" t="s">
        <v>4533</v>
      </c>
      <c r="M829" t="s">
        <v>4450</v>
      </c>
      <c r="N829">
        <v>4</v>
      </c>
    </row>
    <row r="830" spans="1:14" x14ac:dyDescent="0.35">
      <c r="A830" t="s">
        <v>5309</v>
      </c>
      <c r="B830" t="s">
        <v>289</v>
      </c>
      <c r="C830" t="s">
        <v>1915</v>
      </c>
      <c r="D830" t="s">
        <v>4460</v>
      </c>
      <c r="E830" t="s">
        <v>4444</v>
      </c>
      <c r="F830" s="3">
        <v>44984</v>
      </c>
      <c r="G830" s="3">
        <v>44986</v>
      </c>
      <c r="H830">
        <v>58</v>
      </c>
      <c r="I830">
        <v>24</v>
      </c>
      <c r="J830" t="s">
        <v>4440</v>
      </c>
      <c r="K830" t="s">
        <v>4441</v>
      </c>
      <c r="L830" t="s">
        <v>4488</v>
      </c>
      <c r="M830" t="s">
        <v>4446</v>
      </c>
    </row>
    <row r="831" spans="1:14" x14ac:dyDescent="0.35">
      <c r="A831" t="s">
        <v>5310</v>
      </c>
      <c r="B831" t="s">
        <v>360</v>
      </c>
      <c r="C831" t="s">
        <v>1883</v>
      </c>
      <c r="D831" t="s">
        <v>4476</v>
      </c>
      <c r="E831" t="s">
        <v>4439</v>
      </c>
      <c r="F831" s="3">
        <v>45188</v>
      </c>
      <c r="G831" s="3" t="s">
        <v>537</v>
      </c>
      <c r="I831">
        <v>48</v>
      </c>
      <c r="J831" t="s">
        <v>4448</v>
      </c>
      <c r="K831" t="s">
        <v>4457</v>
      </c>
      <c r="L831" t="s">
        <v>4533</v>
      </c>
      <c r="M831" t="s">
        <v>4446</v>
      </c>
    </row>
    <row r="832" spans="1:14" x14ac:dyDescent="0.35">
      <c r="A832" t="s">
        <v>5311</v>
      </c>
      <c r="B832" t="s">
        <v>400</v>
      </c>
      <c r="C832" t="s">
        <v>1890</v>
      </c>
      <c r="D832" t="s">
        <v>4443</v>
      </c>
      <c r="E832" t="s">
        <v>4444</v>
      </c>
      <c r="F832" s="3">
        <v>45721</v>
      </c>
      <c r="G832" s="3">
        <v>45722</v>
      </c>
      <c r="H832">
        <v>47.5</v>
      </c>
      <c r="I832">
        <v>24</v>
      </c>
      <c r="J832" t="s">
        <v>4440</v>
      </c>
      <c r="K832" t="s">
        <v>4441</v>
      </c>
      <c r="L832" t="s">
        <v>4527</v>
      </c>
      <c r="M832" t="s">
        <v>4450</v>
      </c>
      <c r="N832">
        <v>4</v>
      </c>
    </row>
    <row r="833" spans="1:14" x14ac:dyDescent="0.35">
      <c r="A833" t="s">
        <v>5312</v>
      </c>
      <c r="B833" t="s">
        <v>349</v>
      </c>
      <c r="C833" t="s">
        <v>1927</v>
      </c>
      <c r="D833" t="s">
        <v>4438</v>
      </c>
      <c r="E833" t="s">
        <v>4444</v>
      </c>
      <c r="F833" s="3">
        <v>45462</v>
      </c>
      <c r="G833" s="3">
        <v>45463</v>
      </c>
      <c r="H833">
        <v>40.9</v>
      </c>
      <c r="I833">
        <v>24</v>
      </c>
      <c r="J833" t="s">
        <v>4440</v>
      </c>
      <c r="K833" t="s">
        <v>4441</v>
      </c>
      <c r="L833" t="s">
        <v>4480</v>
      </c>
      <c r="M833" t="s">
        <v>4450</v>
      </c>
    </row>
    <row r="834" spans="1:14" x14ac:dyDescent="0.35">
      <c r="A834" t="s">
        <v>5313</v>
      </c>
      <c r="B834" t="s">
        <v>494</v>
      </c>
      <c r="C834" t="s">
        <v>1904</v>
      </c>
      <c r="D834" t="s">
        <v>4482</v>
      </c>
      <c r="E834" t="s">
        <v>4439</v>
      </c>
      <c r="F834" s="3">
        <v>45681</v>
      </c>
      <c r="G834" s="3" t="s">
        <v>537</v>
      </c>
      <c r="I834">
        <v>48</v>
      </c>
      <c r="J834" t="s">
        <v>4440</v>
      </c>
      <c r="K834" t="s">
        <v>4453</v>
      </c>
      <c r="L834" t="s">
        <v>4492</v>
      </c>
      <c r="M834" t="s">
        <v>4462</v>
      </c>
    </row>
    <row r="835" spans="1:14" x14ac:dyDescent="0.35">
      <c r="A835" t="s">
        <v>5314</v>
      </c>
      <c r="B835" t="s">
        <v>156</v>
      </c>
      <c r="C835" t="s">
        <v>1883</v>
      </c>
      <c r="D835" t="s">
        <v>4438</v>
      </c>
      <c r="E835" t="s">
        <v>4444</v>
      </c>
      <c r="F835" s="3">
        <v>45368</v>
      </c>
      <c r="G835" s="3">
        <v>45369</v>
      </c>
      <c r="H835">
        <v>47.3</v>
      </c>
      <c r="I835">
        <v>24</v>
      </c>
      <c r="J835" t="s">
        <v>4440</v>
      </c>
      <c r="K835" t="s">
        <v>4441</v>
      </c>
      <c r="L835" t="s">
        <v>4461</v>
      </c>
      <c r="M835" t="s">
        <v>1625</v>
      </c>
      <c r="N835">
        <v>4</v>
      </c>
    </row>
    <row r="836" spans="1:14" x14ac:dyDescent="0.35">
      <c r="A836" t="s">
        <v>5315</v>
      </c>
      <c r="B836" t="s">
        <v>373</v>
      </c>
      <c r="C836" t="s">
        <v>1899</v>
      </c>
      <c r="D836" t="s">
        <v>4438</v>
      </c>
      <c r="E836" t="s">
        <v>4444</v>
      </c>
      <c r="F836" s="3">
        <v>45464</v>
      </c>
      <c r="G836" s="3" t="s">
        <v>537</v>
      </c>
      <c r="I836">
        <v>24</v>
      </c>
      <c r="J836" t="s">
        <v>4440</v>
      </c>
      <c r="K836" t="s">
        <v>4474</v>
      </c>
      <c r="L836" t="s">
        <v>4512</v>
      </c>
      <c r="M836" t="s">
        <v>4462</v>
      </c>
    </row>
    <row r="837" spans="1:14" x14ac:dyDescent="0.35">
      <c r="A837" t="s">
        <v>5316</v>
      </c>
      <c r="B837" t="s">
        <v>484</v>
      </c>
      <c r="C837" t="s">
        <v>1899</v>
      </c>
      <c r="D837" t="s">
        <v>4482</v>
      </c>
      <c r="E837" t="s">
        <v>4439</v>
      </c>
      <c r="F837" s="3">
        <v>45490</v>
      </c>
      <c r="G837" s="3" t="s">
        <v>537</v>
      </c>
      <c r="I837">
        <v>48</v>
      </c>
      <c r="J837" t="s">
        <v>4448</v>
      </c>
      <c r="K837" t="s">
        <v>4474</v>
      </c>
      <c r="L837" t="s">
        <v>4483</v>
      </c>
      <c r="M837" t="s">
        <v>4446</v>
      </c>
    </row>
    <row r="838" spans="1:14" x14ac:dyDescent="0.35">
      <c r="A838" t="s">
        <v>5317</v>
      </c>
      <c r="B838" t="s">
        <v>382</v>
      </c>
      <c r="C838" t="s">
        <v>1915</v>
      </c>
      <c r="D838" t="s">
        <v>4464</v>
      </c>
      <c r="E838" t="s">
        <v>4473</v>
      </c>
      <c r="F838" s="3">
        <v>45021</v>
      </c>
      <c r="G838" s="3" t="s">
        <v>537</v>
      </c>
      <c r="I838">
        <v>8</v>
      </c>
      <c r="J838" t="s">
        <v>4440</v>
      </c>
      <c r="K838" t="s">
        <v>4457</v>
      </c>
      <c r="L838" t="s">
        <v>4467</v>
      </c>
      <c r="M838" t="s">
        <v>4446</v>
      </c>
    </row>
    <row r="839" spans="1:14" x14ac:dyDescent="0.35">
      <c r="A839" t="s">
        <v>5318</v>
      </c>
      <c r="B839" t="s">
        <v>302</v>
      </c>
      <c r="C839" t="s">
        <v>1915</v>
      </c>
      <c r="D839" t="s">
        <v>4472</v>
      </c>
      <c r="E839" t="s">
        <v>4444</v>
      </c>
      <c r="F839" s="3">
        <v>44931</v>
      </c>
      <c r="G839" s="3" t="s">
        <v>537</v>
      </c>
      <c r="I839">
        <v>24</v>
      </c>
      <c r="J839" t="s">
        <v>4448</v>
      </c>
      <c r="K839" t="s">
        <v>4453</v>
      </c>
      <c r="L839" t="s">
        <v>4445</v>
      </c>
      <c r="M839" t="s">
        <v>4462</v>
      </c>
    </row>
    <row r="840" spans="1:14" x14ac:dyDescent="0.35">
      <c r="A840" t="s">
        <v>5319</v>
      </c>
      <c r="B840" t="s">
        <v>152</v>
      </c>
      <c r="C840" t="s">
        <v>1899</v>
      </c>
      <c r="D840" t="s">
        <v>4464</v>
      </c>
      <c r="E840" t="s">
        <v>4444</v>
      </c>
      <c r="F840" s="3">
        <v>45562</v>
      </c>
      <c r="G840" s="3" t="s">
        <v>537</v>
      </c>
      <c r="I840">
        <v>24</v>
      </c>
      <c r="J840" t="s">
        <v>4440</v>
      </c>
      <c r="K840" t="s">
        <v>4453</v>
      </c>
      <c r="L840" t="s">
        <v>4467</v>
      </c>
      <c r="M840" t="s">
        <v>4450</v>
      </c>
    </row>
    <row r="841" spans="1:14" x14ac:dyDescent="0.35">
      <c r="A841" t="s">
        <v>5320</v>
      </c>
      <c r="B841" t="s">
        <v>335</v>
      </c>
      <c r="C841" t="s">
        <v>1915</v>
      </c>
      <c r="D841" t="s">
        <v>4476</v>
      </c>
      <c r="E841" t="s">
        <v>4444</v>
      </c>
      <c r="F841" s="3">
        <v>45340</v>
      </c>
      <c r="G841" s="3" t="s">
        <v>537</v>
      </c>
      <c r="I841">
        <v>24</v>
      </c>
      <c r="J841" t="s">
        <v>4440</v>
      </c>
      <c r="K841" t="s">
        <v>4453</v>
      </c>
      <c r="L841" t="s">
        <v>4449</v>
      </c>
      <c r="M841" t="s">
        <v>4446</v>
      </c>
    </row>
    <row r="842" spans="1:14" x14ac:dyDescent="0.35">
      <c r="A842" t="s">
        <v>5321</v>
      </c>
      <c r="B842" t="s">
        <v>214</v>
      </c>
      <c r="C842" t="s">
        <v>1890</v>
      </c>
      <c r="D842" t="s">
        <v>4472</v>
      </c>
      <c r="E842" t="s">
        <v>4439</v>
      </c>
      <c r="F842" s="3">
        <v>45706</v>
      </c>
      <c r="G842" s="3" t="s">
        <v>537</v>
      </c>
      <c r="I842">
        <v>48</v>
      </c>
      <c r="J842" t="s">
        <v>4440</v>
      </c>
      <c r="K842" t="s">
        <v>4457</v>
      </c>
      <c r="L842" t="s">
        <v>4514</v>
      </c>
      <c r="M842" t="s">
        <v>4450</v>
      </c>
    </row>
    <row r="843" spans="1:14" x14ac:dyDescent="0.35">
      <c r="A843" t="s">
        <v>5322</v>
      </c>
      <c r="B843" t="s">
        <v>224</v>
      </c>
      <c r="C843" t="s">
        <v>1890</v>
      </c>
      <c r="D843" t="s">
        <v>4464</v>
      </c>
      <c r="E843" t="s">
        <v>4439</v>
      </c>
      <c r="F843" s="3">
        <v>45214</v>
      </c>
      <c r="G843" s="3" t="s">
        <v>537</v>
      </c>
      <c r="I843">
        <v>48</v>
      </c>
      <c r="J843" t="s">
        <v>4448</v>
      </c>
      <c r="K843" t="s">
        <v>4474</v>
      </c>
      <c r="L843" t="s">
        <v>4492</v>
      </c>
      <c r="M843" t="s">
        <v>4450</v>
      </c>
    </row>
    <row r="844" spans="1:14" x14ac:dyDescent="0.35">
      <c r="A844" t="s">
        <v>5323</v>
      </c>
      <c r="B844" t="s">
        <v>376</v>
      </c>
      <c r="C844" t="s">
        <v>1890</v>
      </c>
      <c r="D844" t="s">
        <v>4482</v>
      </c>
      <c r="E844" t="s">
        <v>4444</v>
      </c>
      <c r="F844" s="3">
        <v>45166</v>
      </c>
      <c r="G844" s="3">
        <v>45167</v>
      </c>
      <c r="H844">
        <v>26.6</v>
      </c>
      <c r="I844">
        <v>24</v>
      </c>
      <c r="J844" t="s">
        <v>4440</v>
      </c>
      <c r="K844" t="s">
        <v>4441</v>
      </c>
      <c r="L844" t="s">
        <v>4580</v>
      </c>
      <c r="M844" t="s">
        <v>1625</v>
      </c>
      <c r="N844">
        <v>1</v>
      </c>
    </row>
    <row r="845" spans="1:14" x14ac:dyDescent="0.35">
      <c r="A845" t="s">
        <v>5324</v>
      </c>
      <c r="B845" t="s">
        <v>103</v>
      </c>
      <c r="C845" t="s">
        <v>1899</v>
      </c>
      <c r="D845" t="s">
        <v>4464</v>
      </c>
      <c r="E845" t="s">
        <v>4444</v>
      </c>
      <c r="F845" s="3">
        <v>45287</v>
      </c>
      <c r="G845" s="3" t="s">
        <v>537</v>
      </c>
      <c r="I845">
        <v>24</v>
      </c>
      <c r="J845" t="s">
        <v>4440</v>
      </c>
      <c r="K845" t="s">
        <v>4457</v>
      </c>
      <c r="L845" t="s">
        <v>4470</v>
      </c>
      <c r="M845" t="s">
        <v>1625</v>
      </c>
    </row>
    <row r="846" spans="1:14" x14ac:dyDescent="0.35">
      <c r="A846" t="s">
        <v>5325</v>
      </c>
      <c r="B846" t="s">
        <v>250</v>
      </c>
      <c r="C846" t="s">
        <v>1883</v>
      </c>
      <c r="D846" t="s">
        <v>4443</v>
      </c>
      <c r="E846" t="s">
        <v>4473</v>
      </c>
      <c r="F846" s="3">
        <v>45006</v>
      </c>
      <c r="G846" s="3">
        <v>45006</v>
      </c>
      <c r="H846">
        <v>7.1</v>
      </c>
      <c r="I846">
        <v>8</v>
      </c>
      <c r="J846" t="s">
        <v>4448</v>
      </c>
      <c r="K846" t="s">
        <v>4441</v>
      </c>
      <c r="L846" t="s">
        <v>4458</v>
      </c>
      <c r="M846" t="s">
        <v>4450</v>
      </c>
      <c r="N846">
        <v>4</v>
      </c>
    </row>
    <row r="847" spans="1:14" x14ac:dyDescent="0.35">
      <c r="A847" t="s">
        <v>5326</v>
      </c>
      <c r="B847" t="s">
        <v>335</v>
      </c>
      <c r="C847" t="s">
        <v>1904</v>
      </c>
      <c r="D847" t="s">
        <v>4479</v>
      </c>
      <c r="E847" t="s">
        <v>4444</v>
      </c>
      <c r="F847" s="3">
        <v>45254</v>
      </c>
      <c r="G847" s="3">
        <v>45254</v>
      </c>
      <c r="H847">
        <v>17.8</v>
      </c>
      <c r="I847">
        <v>24</v>
      </c>
      <c r="J847" t="s">
        <v>4448</v>
      </c>
      <c r="K847" t="s">
        <v>4441</v>
      </c>
      <c r="L847" t="s">
        <v>4465</v>
      </c>
      <c r="M847" t="s">
        <v>4462</v>
      </c>
    </row>
    <row r="848" spans="1:14" x14ac:dyDescent="0.35">
      <c r="A848" t="s">
        <v>5327</v>
      </c>
      <c r="B848" t="s">
        <v>372</v>
      </c>
      <c r="C848" t="s">
        <v>1915</v>
      </c>
      <c r="D848" t="s">
        <v>4469</v>
      </c>
      <c r="E848" t="s">
        <v>4473</v>
      </c>
      <c r="F848" s="3">
        <v>45442</v>
      </c>
      <c r="G848" s="3" t="s">
        <v>537</v>
      </c>
      <c r="I848">
        <v>8</v>
      </c>
      <c r="J848" t="s">
        <v>4448</v>
      </c>
      <c r="K848" t="s">
        <v>4457</v>
      </c>
      <c r="L848" t="s">
        <v>4509</v>
      </c>
      <c r="M848" t="s">
        <v>4450</v>
      </c>
    </row>
    <row r="849" spans="1:14" x14ac:dyDescent="0.35">
      <c r="A849" t="s">
        <v>5328</v>
      </c>
      <c r="B849" t="s">
        <v>328</v>
      </c>
      <c r="C849" t="s">
        <v>1915</v>
      </c>
      <c r="D849" t="s">
        <v>4482</v>
      </c>
      <c r="E849" t="s">
        <v>4473</v>
      </c>
      <c r="F849" s="3">
        <v>45514</v>
      </c>
      <c r="G849" s="3">
        <v>45514</v>
      </c>
      <c r="H849">
        <v>12.4</v>
      </c>
      <c r="I849">
        <v>8</v>
      </c>
      <c r="J849" t="s">
        <v>4440</v>
      </c>
      <c r="K849" t="s">
        <v>4441</v>
      </c>
      <c r="L849" t="s">
        <v>4488</v>
      </c>
      <c r="M849" t="s">
        <v>1625</v>
      </c>
      <c r="N849">
        <v>5</v>
      </c>
    </row>
    <row r="850" spans="1:14" x14ac:dyDescent="0.35">
      <c r="A850" t="s">
        <v>5329</v>
      </c>
      <c r="B850" t="s">
        <v>419</v>
      </c>
      <c r="C850" t="s">
        <v>1904</v>
      </c>
      <c r="D850" t="s">
        <v>4479</v>
      </c>
      <c r="E850" t="s">
        <v>4439</v>
      </c>
      <c r="F850" s="3">
        <v>45018</v>
      </c>
      <c r="G850" s="3" t="s">
        <v>537</v>
      </c>
      <c r="I850">
        <v>48</v>
      </c>
      <c r="J850" t="s">
        <v>4440</v>
      </c>
      <c r="K850" t="s">
        <v>4457</v>
      </c>
      <c r="L850" t="s">
        <v>4527</v>
      </c>
      <c r="M850" t="s">
        <v>4450</v>
      </c>
    </row>
    <row r="851" spans="1:14" x14ac:dyDescent="0.35">
      <c r="A851" t="s">
        <v>5330</v>
      </c>
      <c r="B851" t="s">
        <v>411</v>
      </c>
      <c r="C851" t="s">
        <v>1899</v>
      </c>
      <c r="D851" t="s">
        <v>4460</v>
      </c>
      <c r="E851" t="s">
        <v>4473</v>
      </c>
      <c r="F851" s="3">
        <v>45523</v>
      </c>
      <c r="G851" s="3" t="s">
        <v>537</v>
      </c>
      <c r="I851">
        <v>8</v>
      </c>
      <c r="J851" t="s">
        <v>4440</v>
      </c>
      <c r="K851" t="s">
        <v>4457</v>
      </c>
      <c r="L851" t="s">
        <v>4449</v>
      </c>
      <c r="M851" t="s">
        <v>4462</v>
      </c>
    </row>
    <row r="852" spans="1:14" x14ac:dyDescent="0.35">
      <c r="A852" t="s">
        <v>5331</v>
      </c>
      <c r="B852" t="s">
        <v>128</v>
      </c>
      <c r="C852" t="s">
        <v>1915</v>
      </c>
      <c r="D852" t="s">
        <v>4438</v>
      </c>
      <c r="E852" t="s">
        <v>4439</v>
      </c>
      <c r="F852" s="3">
        <v>45103</v>
      </c>
      <c r="G852" s="3">
        <v>45107</v>
      </c>
      <c r="H852">
        <v>114.2</v>
      </c>
      <c r="I852">
        <v>48</v>
      </c>
      <c r="J852" t="s">
        <v>4440</v>
      </c>
      <c r="K852" t="s">
        <v>4441</v>
      </c>
      <c r="L852" t="s">
        <v>4483</v>
      </c>
      <c r="M852" t="s">
        <v>1625</v>
      </c>
    </row>
    <row r="853" spans="1:14" x14ac:dyDescent="0.35">
      <c r="A853" t="s">
        <v>5332</v>
      </c>
      <c r="B853" t="s">
        <v>49</v>
      </c>
      <c r="C853" t="s">
        <v>1915</v>
      </c>
      <c r="D853" t="s">
        <v>4476</v>
      </c>
      <c r="E853" t="s">
        <v>4444</v>
      </c>
      <c r="F853" s="3">
        <v>45745</v>
      </c>
      <c r="G853" s="3">
        <v>45746</v>
      </c>
      <c r="H853">
        <v>34.200000000000003</v>
      </c>
      <c r="I853">
        <v>24</v>
      </c>
      <c r="J853" t="s">
        <v>4440</v>
      </c>
      <c r="K853" t="s">
        <v>4441</v>
      </c>
      <c r="L853" t="s">
        <v>4488</v>
      </c>
      <c r="M853" t="s">
        <v>4446</v>
      </c>
      <c r="N853">
        <v>4</v>
      </c>
    </row>
    <row r="854" spans="1:14" x14ac:dyDescent="0.35">
      <c r="A854" t="s">
        <v>5333</v>
      </c>
      <c r="B854" t="s">
        <v>360</v>
      </c>
      <c r="C854" t="s">
        <v>1927</v>
      </c>
      <c r="D854" t="s">
        <v>4472</v>
      </c>
      <c r="E854" t="s">
        <v>4439</v>
      </c>
      <c r="F854" s="3">
        <v>45447</v>
      </c>
      <c r="G854" s="3" t="s">
        <v>537</v>
      </c>
      <c r="I854">
        <v>48</v>
      </c>
      <c r="J854" t="s">
        <v>4440</v>
      </c>
      <c r="K854" t="s">
        <v>4457</v>
      </c>
      <c r="L854" t="s">
        <v>4580</v>
      </c>
      <c r="M854" t="s">
        <v>4462</v>
      </c>
    </row>
    <row r="855" spans="1:14" x14ac:dyDescent="0.35">
      <c r="A855" t="s">
        <v>5334</v>
      </c>
      <c r="B855" t="s">
        <v>216</v>
      </c>
      <c r="C855" t="s">
        <v>1904</v>
      </c>
      <c r="D855" t="s">
        <v>4443</v>
      </c>
      <c r="E855" t="s">
        <v>79</v>
      </c>
      <c r="F855" s="3">
        <v>45565</v>
      </c>
      <c r="G855" s="3">
        <v>45565</v>
      </c>
      <c r="H855">
        <v>2.6</v>
      </c>
      <c r="I855">
        <v>8</v>
      </c>
      <c r="J855" t="s">
        <v>4448</v>
      </c>
      <c r="K855" t="s">
        <v>4441</v>
      </c>
      <c r="L855" t="s">
        <v>4445</v>
      </c>
      <c r="M855" t="s">
        <v>4446</v>
      </c>
    </row>
    <row r="856" spans="1:14" x14ac:dyDescent="0.35">
      <c r="A856" t="s">
        <v>5335</v>
      </c>
      <c r="B856" t="s">
        <v>353</v>
      </c>
      <c r="C856" t="s">
        <v>1915</v>
      </c>
      <c r="D856" t="s">
        <v>4443</v>
      </c>
      <c r="E856" t="s">
        <v>4439</v>
      </c>
      <c r="F856" s="3">
        <v>45576</v>
      </c>
      <c r="G856" s="3">
        <v>45578</v>
      </c>
      <c r="H856">
        <v>69.8</v>
      </c>
      <c r="I856">
        <v>48</v>
      </c>
      <c r="J856" t="s">
        <v>4440</v>
      </c>
      <c r="K856" t="s">
        <v>4441</v>
      </c>
      <c r="L856" t="s">
        <v>4483</v>
      </c>
      <c r="M856" t="s">
        <v>4462</v>
      </c>
      <c r="N856">
        <v>5</v>
      </c>
    </row>
    <row r="857" spans="1:14" x14ac:dyDescent="0.35">
      <c r="A857" t="s">
        <v>5336</v>
      </c>
      <c r="B857" t="s">
        <v>450</v>
      </c>
      <c r="C857" t="s">
        <v>1904</v>
      </c>
      <c r="D857" t="s">
        <v>4472</v>
      </c>
      <c r="E857" t="s">
        <v>4439</v>
      </c>
      <c r="F857" s="3">
        <v>44985</v>
      </c>
      <c r="G857" s="3" t="s">
        <v>537</v>
      </c>
      <c r="I857">
        <v>48</v>
      </c>
      <c r="J857" t="s">
        <v>4440</v>
      </c>
      <c r="K857" t="s">
        <v>4474</v>
      </c>
      <c r="L857" t="s">
        <v>4461</v>
      </c>
      <c r="M857" t="s">
        <v>4450</v>
      </c>
    </row>
    <row r="858" spans="1:14" x14ac:dyDescent="0.35">
      <c r="A858" t="s">
        <v>5337</v>
      </c>
      <c r="B858" t="s">
        <v>138</v>
      </c>
      <c r="C858" t="s">
        <v>1899</v>
      </c>
      <c r="D858" t="s">
        <v>4438</v>
      </c>
      <c r="E858" t="s">
        <v>4444</v>
      </c>
      <c r="F858" s="3">
        <v>45046</v>
      </c>
      <c r="G858" s="3">
        <v>45048</v>
      </c>
      <c r="H858">
        <v>49.6</v>
      </c>
      <c r="I858">
        <v>24</v>
      </c>
      <c r="J858" t="s">
        <v>4440</v>
      </c>
      <c r="K858" t="s">
        <v>4441</v>
      </c>
      <c r="L858" t="s">
        <v>4480</v>
      </c>
      <c r="M858" t="s">
        <v>4446</v>
      </c>
      <c r="N858">
        <v>3</v>
      </c>
    </row>
    <row r="859" spans="1:14" x14ac:dyDescent="0.35">
      <c r="A859" t="s">
        <v>5338</v>
      </c>
      <c r="B859" t="s">
        <v>470</v>
      </c>
      <c r="C859" t="s">
        <v>1890</v>
      </c>
      <c r="D859" t="s">
        <v>4482</v>
      </c>
      <c r="E859" t="s">
        <v>4439</v>
      </c>
      <c r="F859" s="3">
        <v>45044</v>
      </c>
      <c r="G859" s="3" t="s">
        <v>537</v>
      </c>
      <c r="I859">
        <v>48</v>
      </c>
      <c r="J859" t="s">
        <v>4440</v>
      </c>
      <c r="K859" t="s">
        <v>4474</v>
      </c>
      <c r="L859" t="s">
        <v>4454</v>
      </c>
      <c r="M859" t="s">
        <v>1625</v>
      </c>
    </row>
    <row r="860" spans="1:14" x14ac:dyDescent="0.35">
      <c r="A860" t="s">
        <v>5339</v>
      </c>
      <c r="B860" t="s">
        <v>470</v>
      </c>
      <c r="C860" t="s">
        <v>1904</v>
      </c>
      <c r="D860" t="s">
        <v>4464</v>
      </c>
      <c r="E860" t="s">
        <v>4439</v>
      </c>
      <c r="F860" s="3">
        <v>45023</v>
      </c>
      <c r="G860" s="3" t="s">
        <v>537</v>
      </c>
      <c r="I860">
        <v>48</v>
      </c>
      <c r="J860" t="s">
        <v>1945</v>
      </c>
      <c r="K860" t="s">
        <v>4457</v>
      </c>
      <c r="L860" t="s">
        <v>4480</v>
      </c>
      <c r="M860" t="s">
        <v>1625</v>
      </c>
    </row>
    <row r="861" spans="1:14" x14ac:dyDescent="0.35">
      <c r="A861" t="s">
        <v>5340</v>
      </c>
      <c r="B861" t="s">
        <v>467</v>
      </c>
      <c r="C861" t="s">
        <v>1890</v>
      </c>
      <c r="D861" t="s">
        <v>4460</v>
      </c>
      <c r="E861" t="s">
        <v>4473</v>
      </c>
      <c r="F861" s="3">
        <v>45404</v>
      </c>
      <c r="G861" s="3">
        <v>45404</v>
      </c>
      <c r="H861">
        <v>2.4</v>
      </c>
      <c r="I861">
        <v>8</v>
      </c>
      <c r="J861" t="s">
        <v>4448</v>
      </c>
      <c r="K861" t="s">
        <v>4441</v>
      </c>
      <c r="L861" t="s">
        <v>4501</v>
      </c>
      <c r="M861" t="s">
        <v>1625</v>
      </c>
      <c r="N861">
        <v>5</v>
      </c>
    </row>
    <row r="862" spans="1:14" x14ac:dyDescent="0.35">
      <c r="A862" t="s">
        <v>5341</v>
      </c>
      <c r="B862" t="s">
        <v>130</v>
      </c>
      <c r="C862" t="s">
        <v>1899</v>
      </c>
      <c r="D862" t="s">
        <v>4490</v>
      </c>
      <c r="E862" t="s">
        <v>4473</v>
      </c>
      <c r="F862" s="3">
        <v>45322</v>
      </c>
      <c r="G862" s="3">
        <v>45322</v>
      </c>
      <c r="H862">
        <v>3</v>
      </c>
      <c r="I862">
        <v>8</v>
      </c>
      <c r="J862" t="s">
        <v>4448</v>
      </c>
      <c r="K862" t="s">
        <v>4441</v>
      </c>
      <c r="L862" t="s">
        <v>4501</v>
      </c>
      <c r="M862" t="s">
        <v>4462</v>
      </c>
      <c r="N862">
        <v>4</v>
      </c>
    </row>
    <row r="863" spans="1:14" x14ac:dyDescent="0.35">
      <c r="A863" t="s">
        <v>5342</v>
      </c>
      <c r="B863" t="s">
        <v>68</v>
      </c>
      <c r="C863" t="s">
        <v>1927</v>
      </c>
      <c r="D863" t="s">
        <v>4479</v>
      </c>
      <c r="E863" t="s">
        <v>4439</v>
      </c>
      <c r="F863" s="3">
        <v>45499</v>
      </c>
      <c r="G863" s="3" t="s">
        <v>537</v>
      </c>
      <c r="I863">
        <v>48</v>
      </c>
      <c r="J863" t="s">
        <v>4448</v>
      </c>
      <c r="K863" t="s">
        <v>4457</v>
      </c>
      <c r="L863" t="s">
        <v>4449</v>
      </c>
      <c r="M863" t="s">
        <v>4450</v>
      </c>
    </row>
    <row r="864" spans="1:14" x14ac:dyDescent="0.35">
      <c r="A864" t="s">
        <v>5343</v>
      </c>
      <c r="B864" t="s">
        <v>293</v>
      </c>
      <c r="C864" t="s">
        <v>1927</v>
      </c>
      <c r="D864" t="s">
        <v>4452</v>
      </c>
      <c r="E864" t="s">
        <v>4473</v>
      </c>
      <c r="F864" s="3">
        <v>45404</v>
      </c>
      <c r="G864" s="3">
        <v>45404</v>
      </c>
      <c r="H864">
        <v>3</v>
      </c>
      <c r="I864">
        <v>8</v>
      </c>
      <c r="J864" t="s">
        <v>4448</v>
      </c>
      <c r="K864" t="s">
        <v>4441</v>
      </c>
      <c r="L864" t="s">
        <v>4527</v>
      </c>
      <c r="M864" t="s">
        <v>4446</v>
      </c>
      <c r="N864">
        <v>4</v>
      </c>
    </row>
    <row r="865" spans="1:14" x14ac:dyDescent="0.35">
      <c r="A865" t="s">
        <v>5344</v>
      </c>
      <c r="B865" t="s">
        <v>198</v>
      </c>
      <c r="C865" t="s">
        <v>1899</v>
      </c>
      <c r="D865" t="s">
        <v>4485</v>
      </c>
      <c r="E865" t="s">
        <v>4439</v>
      </c>
      <c r="F865" s="3">
        <v>45588</v>
      </c>
      <c r="G865" s="3">
        <v>45592</v>
      </c>
      <c r="H865">
        <v>114.6</v>
      </c>
      <c r="I865">
        <v>48</v>
      </c>
      <c r="J865" t="s">
        <v>4440</v>
      </c>
      <c r="K865" t="s">
        <v>4441</v>
      </c>
      <c r="L865" t="s">
        <v>4449</v>
      </c>
      <c r="M865" t="s">
        <v>4450</v>
      </c>
      <c r="N865">
        <v>4</v>
      </c>
    </row>
    <row r="866" spans="1:14" x14ac:dyDescent="0.35">
      <c r="A866" t="s">
        <v>5345</v>
      </c>
      <c r="B866" t="s">
        <v>433</v>
      </c>
      <c r="C866" t="s">
        <v>1883</v>
      </c>
      <c r="D866" t="s">
        <v>4482</v>
      </c>
      <c r="E866" t="s">
        <v>79</v>
      </c>
      <c r="F866" s="3">
        <v>45426</v>
      </c>
      <c r="G866" s="3">
        <v>45427</v>
      </c>
      <c r="H866">
        <v>37.9</v>
      </c>
      <c r="I866">
        <v>24</v>
      </c>
      <c r="J866" t="s">
        <v>4440</v>
      </c>
      <c r="K866" t="s">
        <v>4441</v>
      </c>
      <c r="L866" t="s">
        <v>4509</v>
      </c>
      <c r="M866" t="s">
        <v>4450</v>
      </c>
      <c r="N866">
        <v>2</v>
      </c>
    </row>
    <row r="867" spans="1:14" x14ac:dyDescent="0.35">
      <c r="A867" t="s">
        <v>5346</v>
      </c>
      <c r="B867" t="s">
        <v>389</v>
      </c>
      <c r="C867" t="s">
        <v>1915</v>
      </c>
      <c r="D867" t="s">
        <v>4460</v>
      </c>
      <c r="E867" t="s">
        <v>4444</v>
      </c>
      <c r="F867" s="3">
        <v>45086</v>
      </c>
      <c r="G867" s="3">
        <v>45086</v>
      </c>
      <c r="H867">
        <v>13.3</v>
      </c>
      <c r="I867">
        <v>24</v>
      </c>
      <c r="J867" t="s">
        <v>4448</v>
      </c>
      <c r="K867" t="s">
        <v>4441</v>
      </c>
      <c r="L867" t="s">
        <v>4492</v>
      </c>
      <c r="M867" t="s">
        <v>1625</v>
      </c>
      <c r="N867">
        <v>2</v>
      </c>
    </row>
    <row r="868" spans="1:14" x14ac:dyDescent="0.35">
      <c r="A868" t="s">
        <v>5347</v>
      </c>
      <c r="B868" t="s">
        <v>122</v>
      </c>
      <c r="C868" t="s">
        <v>1883</v>
      </c>
      <c r="D868" t="s">
        <v>4482</v>
      </c>
      <c r="E868" t="s">
        <v>4439</v>
      </c>
      <c r="F868" s="3">
        <v>45222</v>
      </c>
      <c r="G868" s="3" t="s">
        <v>537</v>
      </c>
      <c r="I868">
        <v>48</v>
      </c>
      <c r="J868" t="s">
        <v>4448</v>
      </c>
      <c r="K868" t="s">
        <v>4457</v>
      </c>
      <c r="L868" t="s">
        <v>4501</v>
      </c>
      <c r="M868" t="s">
        <v>1625</v>
      </c>
    </row>
    <row r="869" spans="1:14" x14ac:dyDescent="0.35">
      <c r="A869" t="s">
        <v>5348</v>
      </c>
      <c r="B869" t="s">
        <v>412</v>
      </c>
      <c r="C869" t="s">
        <v>1890</v>
      </c>
      <c r="D869" t="s">
        <v>4464</v>
      </c>
      <c r="E869" t="s">
        <v>4444</v>
      </c>
      <c r="F869" s="3">
        <v>45479</v>
      </c>
      <c r="G869" s="3" t="s">
        <v>537</v>
      </c>
      <c r="I869">
        <v>24</v>
      </c>
      <c r="J869" t="s">
        <v>4440</v>
      </c>
      <c r="K869" t="s">
        <v>4474</v>
      </c>
      <c r="L869" t="s">
        <v>4509</v>
      </c>
      <c r="M869" t="s">
        <v>4446</v>
      </c>
    </row>
    <row r="870" spans="1:14" x14ac:dyDescent="0.35">
      <c r="A870" t="s">
        <v>5349</v>
      </c>
      <c r="B870" t="s">
        <v>453</v>
      </c>
      <c r="C870" t="s">
        <v>1899</v>
      </c>
      <c r="D870" t="s">
        <v>4472</v>
      </c>
      <c r="E870" t="s">
        <v>4444</v>
      </c>
      <c r="F870" s="3">
        <v>44972</v>
      </c>
      <c r="G870" s="3">
        <v>44973</v>
      </c>
      <c r="H870">
        <v>28.2</v>
      </c>
      <c r="I870">
        <v>24</v>
      </c>
      <c r="J870" t="s">
        <v>4440</v>
      </c>
      <c r="K870" t="s">
        <v>4441</v>
      </c>
      <c r="L870" t="s">
        <v>4449</v>
      </c>
      <c r="M870" t="s">
        <v>4450</v>
      </c>
      <c r="N870">
        <v>2</v>
      </c>
    </row>
    <row r="871" spans="1:14" x14ac:dyDescent="0.35">
      <c r="A871" t="s">
        <v>5350</v>
      </c>
      <c r="B871" t="s">
        <v>465</v>
      </c>
      <c r="C871" t="s">
        <v>1899</v>
      </c>
      <c r="D871" t="s">
        <v>4482</v>
      </c>
      <c r="E871" t="s">
        <v>4444</v>
      </c>
      <c r="F871" s="3">
        <v>45084</v>
      </c>
      <c r="G871" s="3" t="s">
        <v>537</v>
      </c>
      <c r="I871">
        <v>24</v>
      </c>
      <c r="J871" t="s">
        <v>4448</v>
      </c>
      <c r="K871" t="s">
        <v>4453</v>
      </c>
      <c r="L871" t="s">
        <v>4467</v>
      </c>
      <c r="M871" t="s">
        <v>4462</v>
      </c>
    </row>
    <row r="872" spans="1:14" x14ac:dyDescent="0.35">
      <c r="A872" t="s">
        <v>5351</v>
      </c>
      <c r="B872" t="s">
        <v>108</v>
      </c>
      <c r="C872" t="s">
        <v>1915</v>
      </c>
      <c r="D872" t="s">
        <v>4469</v>
      </c>
      <c r="E872" t="s">
        <v>4473</v>
      </c>
      <c r="F872" s="3">
        <v>45293</v>
      </c>
      <c r="G872" s="3" t="s">
        <v>537</v>
      </c>
      <c r="I872">
        <v>8</v>
      </c>
      <c r="J872" t="s">
        <v>4440</v>
      </c>
      <c r="K872" t="s">
        <v>4457</v>
      </c>
      <c r="L872" t="s">
        <v>4467</v>
      </c>
      <c r="M872" t="s">
        <v>4450</v>
      </c>
    </row>
    <row r="873" spans="1:14" x14ac:dyDescent="0.35">
      <c r="A873" t="s">
        <v>5352</v>
      </c>
      <c r="B873" t="s">
        <v>439</v>
      </c>
      <c r="C873" t="s">
        <v>1927</v>
      </c>
      <c r="D873" t="s">
        <v>4452</v>
      </c>
      <c r="E873" t="s">
        <v>4444</v>
      </c>
      <c r="F873" s="3">
        <v>45408</v>
      </c>
      <c r="G873" s="3">
        <v>45408</v>
      </c>
      <c r="H873">
        <v>14.6</v>
      </c>
      <c r="I873">
        <v>24</v>
      </c>
      <c r="J873" t="s">
        <v>4448</v>
      </c>
      <c r="K873" t="s">
        <v>4441</v>
      </c>
      <c r="L873" t="s">
        <v>4492</v>
      </c>
      <c r="M873" t="s">
        <v>4462</v>
      </c>
    </row>
    <row r="874" spans="1:14" x14ac:dyDescent="0.35">
      <c r="A874" t="s">
        <v>5353</v>
      </c>
      <c r="B874" t="s">
        <v>301</v>
      </c>
      <c r="C874" t="s">
        <v>1915</v>
      </c>
      <c r="D874" t="s">
        <v>4464</v>
      </c>
      <c r="E874" t="s">
        <v>4444</v>
      </c>
      <c r="F874" s="3">
        <v>45133</v>
      </c>
      <c r="G874" s="3">
        <v>45133</v>
      </c>
      <c r="H874">
        <v>5.9</v>
      </c>
      <c r="I874">
        <v>24</v>
      </c>
      <c r="J874" t="s">
        <v>4448</v>
      </c>
      <c r="K874" t="s">
        <v>4441</v>
      </c>
      <c r="L874" t="s">
        <v>4488</v>
      </c>
      <c r="M874" t="s">
        <v>4462</v>
      </c>
      <c r="N874">
        <v>5</v>
      </c>
    </row>
    <row r="875" spans="1:14" x14ac:dyDescent="0.35">
      <c r="A875" t="s">
        <v>5354</v>
      </c>
      <c r="B875" t="s">
        <v>461</v>
      </c>
      <c r="C875" t="s">
        <v>1915</v>
      </c>
      <c r="D875" t="s">
        <v>4479</v>
      </c>
      <c r="E875" t="s">
        <v>4444</v>
      </c>
      <c r="F875" s="3">
        <v>45321</v>
      </c>
      <c r="G875" s="3" t="s">
        <v>537</v>
      </c>
      <c r="I875">
        <v>24</v>
      </c>
      <c r="J875" t="s">
        <v>4440</v>
      </c>
      <c r="K875" t="s">
        <v>4453</v>
      </c>
      <c r="L875" t="s">
        <v>4488</v>
      </c>
      <c r="M875" t="s">
        <v>4450</v>
      </c>
    </row>
    <row r="876" spans="1:14" x14ac:dyDescent="0.35">
      <c r="A876" t="s">
        <v>5355</v>
      </c>
      <c r="B876" t="s">
        <v>437</v>
      </c>
      <c r="C876" t="s">
        <v>1915</v>
      </c>
      <c r="D876" t="s">
        <v>4443</v>
      </c>
      <c r="E876" t="s">
        <v>4439</v>
      </c>
      <c r="F876" s="3">
        <v>45501</v>
      </c>
      <c r="G876" s="3">
        <v>45502</v>
      </c>
      <c r="H876">
        <v>43.3</v>
      </c>
      <c r="I876">
        <v>48</v>
      </c>
      <c r="J876" t="s">
        <v>4448</v>
      </c>
      <c r="K876" t="s">
        <v>4441</v>
      </c>
      <c r="L876" t="s">
        <v>4512</v>
      </c>
      <c r="M876" t="s">
        <v>4446</v>
      </c>
      <c r="N876">
        <v>4</v>
      </c>
    </row>
    <row r="877" spans="1:14" x14ac:dyDescent="0.35">
      <c r="A877" t="s">
        <v>5356</v>
      </c>
      <c r="B877" t="s">
        <v>191</v>
      </c>
      <c r="C877" t="s">
        <v>1915</v>
      </c>
      <c r="D877" t="s">
        <v>4479</v>
      </c>
      <c r="E877" t="s">
        <v>4473</v>
      </c>
      <c r="F877" s="3">
        <v>45123</v>
      </c>
      <c r="G877" s="3">
        <v>45123</v>
      </c>
      <c r="H877">
        <v>2.2000000000000002</v>
      </c>
      <c r="I877">
        <v>8</v>
      </c>
      <c r="J877" t="s">
        <v>4448</v>
      </c>
      <c r="K877" t="s">
        <v>4441</v>
      </c>
      <c r="L877" t="s">
        <v>4580</v>
      </c>
      <c r="M877" t="s">
        <v>4462</v>
      </c>
    </row>
    <row r="878" spans="1:14" x14ac:dyDescent="0.35">
      <c r="A878" t="s">
        <v>5357</v>
      </c>
      <c r="B878" t="s">
        <v>332</v>
      </c>
      <c r="C878" t="s">
        <v>1899</v>
      </c>
      <c r="D878" t="s">
        <v>4479</v>
      </c>
      <c r="E878" t="s">
        <v>4444</v>
      </c>
      <c r="F878" s="3">
        <v>45029</v>
      </c>
      <c r="G878" s="3">
        <v>45030</v>
      </c>
      <c r="H878">
        <v>32.9</v>
      </c>
      <c r="I878">
        <v>24</v>
      </c>
      <c r="J878" t="s">
        <v>4440</v>
      </c>
      <c r="K878" t="s">
        <v>4441</v>
      </c>
      <c r="L878" t="s">
        <v>4454</v>
      </c>
      <c r="M878" t="s">
        <v>4462</v>
      </c>
      <c r="N878">
        <v>1</v>
      </c>
    </row>
    <row r="879" spans="1:14" x14ac:dyDescent="0.35">
      <c r="A879" t="s">
        <v>5358</v>
      </c>
      <c r="B879" t="s">
        <v>496</v>
      </c>
      <c r="C879" t="s">
        <v>1904</v>
      </c>
      <c r="D879" t="s">
        <v>4469</v>
      </c>
      <c r="E879" t="s">
        <v>4473</v>
      </c>
      <c r="F879" s="3">
        <v>45380</v>
      </c>
      <c r="G879" s="3" t="s">
        <v>537</v>
      </c>
      <c r="I879">
        <v>8</v>
      </c>
      <c r="J879" t="s">
        <v>4440</v>
      </c>
      <c r="K879" t="s">
        <v>4453</v>
      </c>
      <c r="L879" t="s">
        <v>4449</v>
      </c>
      <c r="M879" t="s">
        <v>4462</v>
      </c>
    </row>
    <row r="880" spans="1:14" x14ac:dyDescent="0.35">
      <c r="A880" t="s">
        <v>5359</v>
      </c>
      <c r="B880" t="s">
        <v>434</v>
      </c>
      <c r="C880" t="s">
        <v>1915</v>
      </c>
      <c r="D880" t="s">
        <v>4472</v>
      </c>
      <c r="E880" t="s">
        <v>4444</v>
      </c>
      <c r="F880" s="3">
        <v>45197</v>
      </c>
      <c r="G880" s="3" t="s">
        <v>537</v>
      </c>
      <c r="I880">
        <v>24</v>
      </c>
      <c r="J880" t="s">
        <v>4448</v>
      </c>
      <c r="K880" t="s">
        <v>4453</v>
      </c>
      <c r="L880" t="s">
        <v>4465</v>
      </c>
      <c r="M880" t="s">
        <v>4462</v>
      </c>
    </row>
    <row r="881" spans="1:14" x14ac:dyDescent="0.35">
      <c r="A881" t="s">
        <v>5360</v>
      </c>
      <c r="B881" t="s">
        <v>188</v>
      </c>
      <c r="C881" t="s">
        <v>1883</v>
      </c>
      <c r="D881" t="s">
        <v>4476</v>
      </c>
      <c r="E881" t="s">
        <v>4473</v>
      </c>
      <c r="F881" s="3">
        <v>45465</v>
      </c>
      <c r="G881" s="3" t="s">
        <v>537</v>
      </c>
      <c r="I881">
        <v>8</v>
      </c>
      <c r="J881" t="s">
        <v>4440</v>
      </c>
      <c r="K881" t="s">
        <v>4474</v>
      </c>
      <c r="L881" t="s">
        <v>4458</v>
      </c>
      <c r="M881" t="s">
        <v>4462</v>
      </c>
    </row>
    <row r="882" spans="1:14" x14ac:dyDescent="0.35">
      <c r="A882" t="s">
        <v>5361</v>
      </c>
      <c r="B882" t="s">
        <v>57</v>
      </c>
      <c r="C882" t="s">
        <v>1927</v>
      </c>
      <c r="D882" t="s">
        <v>4469</v>
      </c>
      <c r="E882" t="s">
        <v>4439</v>
      </c>
      <c r="F882" s="3">
        <v>45377</v>
      </c>
      <c r="G882" s="3">
        <v>45378</v>
      </c>
      <c r="H882">
        <v>31.5</v>
      </c>
      <c r="I882">
        <v>48</v>
      </c>
      <c r="J882" t="s">
        <v>4448</v>
      </c>
      <c r="K882" t="s">
        <v>4441</v>
      </c>
      <c r="L882" t="s">
        <v>4465</v>
      </c>
      <c r="M882" t="s">
        <v>4462</v>
      </c>
    </row>
    <row r="883" spans="1:14" x14ac:dyDescent="0.35">
      <c r="A883" t="s">
        <v>5362</v>
      </c>
      <c r="B883" t="s">
        <v>477</v>
      </c>
      <c r="C883" t="s">
        <v>1904</v>
      </c>
      <c r="D883" t="s">
        <v>4479</v>
      </c>
      <c r="E883" t="s">
        <v>4473</v>
      </c>
      <c r="F883" s="3">
        <v>45491</v>
      </c>
      <c r="G883" s="3">
        <v>45491</v>
      </c>
      <c r="H883">
        <v>7.9</v>
      </c>
      <c r="I883">
        <v>8</v>
      </c>
      <c r="J883" t="s">
        <v>4448</v>
      </c>
      <c r="K883" t="s">
        <v>4441</v>
      </c>
      <c r="L883" t="s">
        <v>4488</v>
      </c>
      <c r="M883" t="s">
        <v>1625</v>
      </c>
      <c r="N883">
        <v>5</v>
      </c>
    </row>
    <row r="884" spans="1:14" x14ac:dyDescent="0.35">
      <c r="A884" t="s">
        <v>5363</v>
      </c>
      <c r="B884" t="s">
        <v>94</v>
      </c>
      <c r="C884" t="s">
        <v>1904</v>
      </c>
      <c r="D884" t="s">
        <v>4476</v>
      </c>
      <c r="E884" t="s">
        <v>4473</v>
      </c>
      <c r="F884" s="3">
        <v>45028</v>
      </c>
      <c r="G884" s="3">
        <v>45028</v>
      </c>
      <c r="H884">
        <v>16.399999999999999</v>
      </c>
      <c r="I884">
        <v>8</v>
      </c>
      <c r="J884" t="s">
        <v>4440</v>
      </c>
      <c r="K884" t="s">
        <v>4441</v>
      </c>
      <c r="L884" t="s">
        <v>4465</v>
      </c>
      <c r="M884" t="s">
        <v>1625</v>
      </c>
      <c r="N884">
        <v>2</v>
      </c>
    </row>
    <row r="885" spans="1:14" x14ac:dyDescent="0.35">
      <c r="A885" t="s">
        <v>5364</v>
      </c>
      <c r="B885" t="s">
        <v>88</v>
      </c>
      <c r="C885" t="s">
        <v>1927</v>
      </c>
      <c r="D885" t="s">
        <v>4472</v>
      </c>
      <c r="E885" t="s">
        <v>4444</v>
      </c>
      <c r="F885" s="3">
        <v>45736</v>
      </c>
      <c r="G885" s="3" t="s">
        <v>537</v>
      </c>
      <c r="I885">
        <v>24</v>
      </c>
      <c r="J885" t="s">
        <v>1945</v>
      </c>
      <c r="K885" t="s">
        <v>4474</v>
      </c>
      <c r="L885" t="s">
        <v>4501</v>
      </c>
      <c r="M885" t="s">
        <v>4446</v>
      </c>
    </row>
    <row r="886" spans="1:14" x14ac:dyDescent="0.35">
      <c r="A886" t="s">
        <v>5365</v>
      </c>
      <c r="B886" t="s">
        <v>364</v>
      </c>
      <c r="C886" t="s">
        <v>1927</v>
      </c>
      <c r="D886" t="s">
        <v>4490</v>
      </c>
      <c r="E886" t="s">
        <v>79</v>
      </c>
      <c r="F886" s="3">
        <v>44961</v>
      </c>
      <c r="G886" s="3">
        <v>44963</v>
      </c>
      <c r="H886">
        <v>52.4</v>
      </c>
      <c r="I886">
        <v>24</v>
      </c>
      <c r="J886" t="s">
        <v>4440</v>
      </c>
      <c r="K886" t="s">
        <v>4441</v>
      </c>
      <c r="L886" t="s">
        <v>4449</v>
      </c>
      <c r="M886" t="s">
        <v>4450</v>
      </c>
    </row>
    <row r="887" spans="1:14" x14ac:dyDescent="0.35">
      <c r="A887" t="s">
        <v>5366</v>
      </c>
      <c r="B887" t="s">
        <v>372</v>
      </c>
      <c r="C887" t="s">
        <v>1890</v>
      </c>
      <c r="D887" t="s">
        <v>4438</v>
      </c>
      <c r="E887" t="s">
        <v>4473</v>
      </c>
      <c r="F887" s="3">
        <v>45303</v>
      </c>
      <c r="G887" s="3">
        <v>45303</v>
      </c>
      <c r="H887">
        <v>11.6</v>
      </c>
      <c r="I887">
        <v>8</v>
      </c>
      <c r="J887" t="s">
        <v>4440</v>
      </c>
      <c r="K887" t="s">
        <v>4441</v>
      </c>
      <c r="L887" t="s">
        <v>4465</v>
      </c>
      <c r="M887" t="s">
        <v>4446</v>
      </c>
      <c r="N887">
        <v>5</v>
      </c>
    </row>
    <row r="888" spans="1:14" x14ac:dyDescent="0.35">
      <c r="A888" t="s">
        <v>5367</v>
      </c>
      <c r="B888" t="s">
        <v>191</v>
      </c>
      <c r="C888" t="s">
        <v>1890</v>
      </c>
      <c r="D888" t="s">
        <v>4476</v>
      </c>
      <c r="E888" t="s">
        <v>4439</v>
      </c>
      <c r="F888" s="3">
        <v>45582</v>
      </c>
      <c r="G888" s="3">
        <v>45586</v>
      </c>
      <c r="H888">
        <v>119.2</v>
      </c>
      <c r="I888">
        <v>48</v>
      </c>
      <c r="J888" t="s">
        <v>4440</v>
      </c>
      <c r="K888" t="s">
        <v>4441</v>
      </c>
      <c r="L888" t="s">
        <v>4501</v>
      </c>
      <c r="M888" t="s">
        <v>4462</v>
      </c>
    </row>
    <row r="889" spans="1:14" x14ac:dyDescent="0.35">
      <c r="A889" t="s">
        <v>5368</v>
      </c>
      <c r="B889" t="s">
        <v>152</v>
      </c>
      <c r="C889" t="s">
        <v>1927</v>
      </c>
      <c r="D889" t="s">
        <v>4460</v>
      </c>
      <c r="E889" t="s">
        <v>4444</v>
      </c>
      <c r="F889" s="3">
        <v>44965</v>
      </c>
      <c r="G889" s="3" t="s">
        <v>537</v>
      </c>
      <c r="I889">
        <v>24</v>
      </c>
      <c r="J889" t="s">
        <v>4440</v>
      </c>
      <c r="K889" t="s">
        <v>4474</v>
      </c>
      <c r="L889" t="s">
        <v>4527</v>
      </c>
      <c r="M889" t="s">
        <v>4462</v>
      </c>
    </row>
    <row r="890" spans="1:14" x14ac:dyDescent="0.35">
      <c r="A890" t="s">
        <v>5369</v>
      </c>
      <c r="B890" t="s">
        <v>499</v>
      </c>
      <c r="C890" t="s">
        <v>1915</v>
      </c>
      <c r="D890" t="s">
        <v>4438</v>
      </c>
      <c r="E890" t="s">
        <v>4444</v>
      </c>
      <c r="F890" s="3">
        <v>45730</v>
      </c>
      <c r="G890" s="3">
        <v>45731</v>
      </c>
      <c r="H890">
        <v>33.200000000000003</v>
      </c>
      <c r="I890">
        <v>24</v>
      </c>
      <c r="J890" t="s">
        <v>4440</v>
      </c>
      <c r="K890" t="s">
        <v>4441</v>
      </c>
      <c r="L890" t="s">
        <v>4445</v>
      </c>
      <c r="M890" t="s">
        <v>1625</v>
      </c>
      <c r="N890">
        <v>4</v>
      </c>
    </row>
    <row r="891" spans="1:14" x14ac:dyDescent="0.35">
      <c r="A891" t="s">
        <v>5370</v>
      </c>
      <c r="B891" t="s">
        <v>331</v>
      </c>
      <c r="C891" t="s">
        <v>1899</v>
      </c>
      <c r="D891" t="s">
        <v>4469</v>
      </c>
      <c r="E891" t="s">
        <v>4456</v>
      </c>
      <c r="F891" s="3">
        <v>45376</v>
      </c>
      <c r="G891" s="3">
        <v>45376</v>
      </c>
      <c r="H891">
        <v>3.3</v>
      </c>
      <c r="I891">
        <v>4</v>
      </c>
      <c r="J891" t="s">
        <v>4448</v>
      </c>
      <c r="K891" t="s">
        <v>4441</v>
      </c>
      <c r="L891" t="s">
        <v>4527</v>
      </c>
      <c r="M891" t="s">
        <v>4450</v>
      </c>
      <c r="N891">
        <v>3</v>
      </c>
    </row>
    <row r="892" spans="1:14" x14ac:dyDescent="0.35">
      <c r="A892" t="s">
        <v>5371</v>
      </c>
      <c r="B892" t="s">
        <v>296</v>
      </c>
      <c r="C892" t="s">
        <v>1890</v>
      </c>
      <c r="D892" t="s">
        <v>4472</v>
      </c>
      <c r="E892" t="s">
        <v>4439</v>
      </c>
      <c r="F892" s="3">
        <v>45079</v>
      </c>
      <c r="G892" s="3" t="s">
        <v>537</v>
      </c>
      <c r="I892">
        <v>48</v>
      </c>
      <c r="J892" t="s">
        <v>4440</v>
      </c>
      <c r="K892" t="s">
        <v>4474</v>
      </c>
      <c r="L892" t="s">
        <v>4512</v>
      </c>
      <c r="M892" t="s">
        <v>1625</v>
      </c>
    </row>
    <row r="893" spans="1:14" x14ac:dyDescent="0.35">
      <c r="A893" t="s">
        <v>5372</v>
      </c>
      <c r="B893" t="s">
        <v>152</v>
      </c>
      <c r="C893" t="s">
        <v>1904</v>
      </c>
      <c r="D893" t="s">
        <v>4485</v>
      </c>
      <c r="E893" t="s">
        <v>4473</v>
      </c>
      <c r="F893" s="3">
        <v>45192</v>
      </c>
      <c r="G893" s="3" t="s">
        <v>537</v>
      </c>
      <c r="I893">
        <v>8</v>
      </c>
      <c r="J893" t="s">
        <v>4448</v>
      </c>
      <c r="K893" t="s">
        <v>4457</v>
      </c>
      <c r="L893" t="s">
        <v>4533</v>
      </c>
      <c r="M893" t="s">
        <v>4446</v>
      </c>
    </row>
    <row r="894" spans="1:14" x14ac:dyDescent="0.35">
      <c r="A894" t="s">
        <v>5373</v>
      </c>
      <c r="B894" t="s">
        <v>147</v>
      </c>
      <c r="C894" t="s">
        <v>1904</v>
      </c>
      <c r="D894" t="s">
        <v>4472</v>
      </c>
      <c r="E894" t="s">
        <v>4456</v>
      </c>
      <c r="F894" s="3">
        <v>45711</v>
      </c>
      <c r="G894" s="3">
        <v>45711</v>
      </c>
      <c r="H894">
        <v>7.5</v>
      </c>
      <c r="I894">
        <v>4</v>
      </c>
      <c r="J894" t="s">
        <v>4440</v>
      </c>
      <c r="K894" t="s">
        <v>4441</v>
      </c>
      <c r="L894" t="s">
        <v>4501</v>
      </c>
      <c r="M894" t="s">
        <v>4450</v>
      </c>
      <c r="N894">
        <v>2</v>
      </c>
    </row>
    <row r="895" spans="1:14" x14ac:dyDescent="0.35">
      <c r="A895" t="s">
        <v>5374</v>
      </c>
      <c r="B895" t="s">
        <v>42</v>
      </c>
      <c r="C895" t="s">
        <v>1890</v>
      </c>
      <c r="D895" t="s">
        <v>4443</v>
      </c>
      <c r="E895" t="s">
        <v>4444</v>
      </c>
      <c r="F895" s="3">
        <v>45128</v>
      </c>
      <c r="G895" s="3">
        <v>45129</v>
      </c>
      <c r="H895">
        <v>25.5</v>
      </c>
      <c r="I895">
        <v>24</v>
      </c>
      <c r="J895" t="s">
        <v>4440</v>
      </c>
      <c r="K895" t="s">
        <v>4441</v>
      </c>
      <c r="L895" t="s">
        <v>4454</v>
      </c>
      <c r="M895" t="s">
        <v>4446</v>
      </c>
    </row>
    <row r="896" spans="1:14" x14ac:dyDescent="0.35">
      <c r="A896" t="s">
        <v>5375</v>
      </c>
      <c r="B896" t="s">
        <v>131</v>
      </c>
      <c r="C896" t="s">
        <v>1890</v>
      </c>
      <c r="D896" t="s">
        <v>4464</v>
      </c>
      <c r="E896" t="s">
        <v>4444</v>
      </c>
      <c r="F896" s="3">
        <v>44970</v>
      </c>
      <c r="G896" s="3">
        <v>44970</v>
      </c>
      <c r="H896">
        <v>12.3</v>
      </c>
      <c r="I896">
        <v>24</v>
      </c>
      <c r="J896" t="s">
        <v>4448</v>
      </c>
      <c r="K896" t="s">
        <v>4441</v>
      </c>
      <c r="L896" t="s">
        <v>4470</v>
      </c>
      <c r="M896" t="s">
        <v>4446</v>
      </c>
      <c r="N896">
        <v>2</v>
      </c>
    </row>
    <row r="897" spans="1:14" x14ac:dyDescent="0.35">
      <c r="A897" t="s">
        <v>5376</v>
      </c>
      <c r="B897" t="s">
        <v>351</v>
      </c>
      <c r="C897" t="s">
        <v>1899</v>
      </c>
      <c r="D897" t="s">
        <v>4469</v>
      </c>
      <c r="E897" t="s">
        <v>4444</v>
      </c>
      <c r="F897" s="3">
        <v>45120</v>
      </c>
      <c r="G897" s="3" t="s">
        <v>537</v>
      </c>
      <c r="I897">
        <v>24</v>
      </c>
      <c r="J897" t="s">
        <v>4440</v>
      </c>
      <c r="K897" t="s">
        <v>4457</v>
      </c>
      <c r="L897" t="s">
        <v>4470</v>
      </c>
      <c r="M897" t="s">
        <v>4450</v>
      </c>
    </row>
    <row r="898" spans="1:14" x14ac:dyDescent="0.35">
      <c r="A898" t="s">
        <v>5377</v>
      </c>
      <c r="B898" t="s">
        <v>220</v>
      </c>
      <c r="C898" t="s">
        <v>1915</v>
      </c>
      <c r="D898" t="s">
        <v>4472</v>
      </c>
      <c r="E898" t="s">
        <v>4444</v>
      </c>
      <c r="F898" s="3">
        <v>45254</v>
      </c>
      <c r="G898" s="3" t="s">
        <v>537</v>
      </c>
      <c r="I898">
        <v>24</v>
      </c>
      <c r="J898" t="s">
        <v>4440</v>
      </c>
      <c r="K898" t="s">
        <v>4453</v>
      </c>
      <c r="L898" t="s">
        <v>4514</v>
      </c>
      <c r="M898" t="s">
        <v>4450</v>
      </c>
    </row>
    <row r="899" spans="1:14" x14ac:dyDescent="0.35">
      <c r="A899" t="s">
        <v>5378</v>
      </c>
      <c r="B899" t="s">
        <v>66</v>
      </c>
      <c r="C899" t="s">
        <v>1890</v>
      </c>
      <c r="D899" t="s">
        <v>4452</v>
      </c>
      <c r="E899" t="s">
        <v>4456</v>
      </c>
      <c r="F899" s="3">
        <v>45103</v>
      </c>
      <c r="G899" s="3">
        <v>45103</v>
      </c>
      <c r="H899">
        <v>5.6</v>
      </c>
      <c r="I899">
        <v>4</v>
      </c>
      <c r="J899" t="s">
        <v>4440</v>
      </c>
      <c r="K899" t="s">
        <v>4441</v>
      </c>
      <c r="L899" t="s">
        <v>4492</v>
      </c>
      <c r="M899" t="s">
        <v>4446</v>
      </c>
      <c r="N899">
        <v>3</v>
      </c>
    </row>
    <row r="900" spans="1:14" x14ac:dyDescent="0.35">
      <c r="A900" t="s">
        <v>5379</v>
      </c>
      <c r="B900" t="s">
        <v>291</v>
      </c>
      <c r="C900" t="s">
        <v>1899</v>
      </c>
      <c r="D900" t="s">
        <v>4485</v>
      </c>
      <c r="E900" t="s">
        <v>4439</v>
      </c>
      <c r="F900" s="3">
        <v>45259</v>
      </c>
      <c r="G900" s="3" t="s">
        <v>537</v>
      </c>
      <c r="I900">
        <v>48</v>
      </c>
      <c r="J900" t="s">
        <v>4448</v>
      </c>
      <c r="K900" t="s">
        <v>4474</v>
      </c>
      <c r="L900" t="s">
        <v>4488</v>
      </c>
      <c r="M900" t="s">
        <v>4446</v>
      </c>
    </row>
    <row r="901" spans="1:14" x14ac:dyDescent="0.35">
      <c r="A901" t="s">
        <v>5380</v>
      </c>
      <c r="B901" t="s">
        <v>423</v>
      </c>
      <c r="C901" t="s">
        <v>1915</v>
      </c>
      <c r="D901" t="s">
        <v>4490</v>
      </c>
      <c r="E901" t="s">
        <v>4473</v>
      </c>
      <c r="F901" s="3">
        <v>45451</v>
      </c>
      <c r="G901" s="3">
        <v>45451</v>
      </c>
      <c r="H901">
        <v>17.2</v>
      </c>
      <c r="I901">
        <v>8</v>
      </c>
      <c r="J901" t="s">
        <v>4440</v>
      </c>
      <c r="K901" t="s">
        <v>4441</v>
      </c>
      <c r="L901" t="s">
        <v>4467</v>
      </c>
      <c r="M901" t="s">
        <v>1625</v>
      </c>
      <c r="N901">
        <v>3</v>
      </c>
    </row>
    <row r="902" spans="1:14" x14ac:dyDescent="0.35">
      <c r="A902" t="s">
        <v>5381</v>
      </c>
      <c r="B902" t="s">
        <v>201</v>
      </c>
      <c r="C902" t="s">
        <v>1890</v>
      </c>
      <c r="D902" t="s">
        <v>4460</v>
      </c>
      <c r="E902" t="s">
        <v>4473</v>
      </c>
      <c r="F902" s="3">
        <v>45679</v>
      </c>
      <c r="G902" s="3">
        <v>45679</v>
      </c>
      <c r="H902">
        <v>7.7</v>
      </c>
      <c r="I902">
        <v>8</v>
      </c>
      <c r="J902" t="s">
        <v>4448</v>
      </c>
      <c r="K902" t="s">
        <v>4441</v>
      </c>
      <c r="L902" t="s">
        <v>4501</v>
      </c>
      <c r="M902" t="s">
        <v>1625</v>
      </c>
      <c r="N902">
        <v>3</v>
      </c>
    </row>
    <row r="903" spans="1:14" x14ac:dyDescent="0.35">
      <c r="A903" t="s">
        <v>5382</v>
      </c>
      <c r="B903" t="s">
        <v>263</v>
      </c>
      <c r="C903" t="s">
        <v>1899</v>
      </c>
      <c r="D903" t="s">
        <v>4485</v>
      </c>
      <c r="E903" t="s">
        <v>4444</v>
      </c>
      <c r="F903" s="3">
        <v>45100</v>
      </c>
      <c r="G903" s="3" t="s">
        <v>537</v>
      </c>
      <c r="I903">
        <v>24</v>
      </c>
      <c r="J903" t="s">
        <v>4440</v>
      </c>
      <c r="K903" t="s">
        <v>4457</v>
      </c>
      <c r="L903" t="s">
        <v>4470</v>
      </c>
      <c r="M903" t="s">
        <v>1625</v>
      </c>
    </row>
    <row r="904" spans="1:14" x14ac:dyDescent="0.35">
      <c r="A904" t="s">
        <v>5383</v>
      </c>
      <c r="B904" t="s">
        <v>135</v>
      </c>
      <c r="C904" t="s">
        <v>1927</v>
      </c>
      <c r="D904" t="s">
        <v>4460</v>
      </c>
      <c r="E904" t="s">
        <v>4456</v>
      </c>
      <c r="F904" s="3">
        <v>44964</v>
      </c>
      <c r="G904" s="3">
        <v>44964</v>
      </c>
      <c r="H904">
        <v>5.8</v>
      </c>
      <c r="I904">
        <v>4</v>
      </c>
      <c r="J904" t="s">
        <v>4440</v>
      </c>
      <c r="K904" t="s">
        <v>4441</v>
      </c>
      <c r="L904" t="s">
        <v>4580</v>
      </c>
      <c r="M904" t="s">
        <v>4446</v>
      </c>
    </row>
    <row r="905" spans="1:14" x14ac:dyDescent="0.35">
      <c r="A905" t="s">
        <v>5384</v>
      </c>
      <c r="B905" t="s">
        <v>474</v>
      </c>
      <c r="C905" t="s">
        <v>1915</v>
      </c>
      <c r="D905" t="s">
        <v>4469</v>
      </c>
      <c r="E905" t="s">
        <v>4439</v>
      </c>
      <c r="F905" s="3">
        <v>45566</v>
      </c>
      <c r="G905" s="3" t="s">
        <v>537</v>
      </c>
      <c r="I905">
        <v>48</v>
      </c>
      <c r="J905" t="s">
        <v>4448</v>
      </c>
      <c r="K905" t="s">
        <v>4453</v>
      </c>
      <c r="L905" t="s">
        <v>4449</v>
      </c>
      <c r="M905" t="s">
        <v>4450</v>
      </c>
    </row>
    <row r="906" spans="1:14" x14ac:dyDescent="0.35">
      <c r="A906" t="s">
        <v>5385</v>
      </c>
      <c r="B906" t="s">
        <v>255</v>
      </c>
      <c r="C906" t="s">
        <v>1899</v>
      </c>
      <c r="D906" t="s">
        <v>4472</v>
      </c>
      <c r="E906" t="s">
        <v>4444</v>
      </c>
      <c r="F906" s="3">
        <v>45323</v>
      </c>
      <c r="G906" s="3" t="s">
        <v>537</v>
      </c>
      <c r="I906">
        <v>24</v>
      </c>
      <c r="J906" t="s">
        <v>4440</v>
      </c>
      <c r="K906" t="s">
        <v>4453</v>
      </c>
      <c r="L906" t="s">
        <v>4533</v>
      </c>
      <c r="M906" t="s">
        <v>4450</v>
      </c>
    </row>
    <row r="907" spans="1:14" x14ac:dyDescent="0.35">
      <c r="A907" t="s">
        <v>5386</v>
      </c>
      <c r="B907" t="s">
        <v>147</v>
      </c>
      <c r="C907" t="s">
        <v>1890</v>
      </c>
      <c r="D907" t="s">
        <v>4469</v>
      </c>
      <c r="E907" t="s">
        <v>4473</v>
      </c>
      <c r="F907" s="3">
        <v>45672</v>
      </c>
      <c r="G907" s="3" t="s">
        <v>537</v>
      </c>
      <c r="I907">
        <v>8</v>
      </c>
      <c r="J907" t="s">
        <v>4440</v>
      </c>
      <c r="K907" t="s">
        <v>4453</v>
      </c>
      <c r="L907" t="s">
        <v>4449</v>
      </c>
      <c r="M907" t="s">
        <v>1625</v>
      </c>
    </row>
    <row r="908" spans="1:14" x14ac:dyDescent="0.35">
      <c r="A908" t="s">
        <v>5387</v>
      </c>
      <c r="B908" t="s">
        <v>405</v>
      </c>
      <c r="C908" t="s">
        <v>1904</v>
      </c>
      <c r="D908" t="s">
        <v>4452</v>
      </c>
      <c r="E908" t="s">
        <v>4439</v>
      </c>
      <c r="F908" s="3">
        <v>45232</v>
      </c>
      <c r="G908" s="3">
        <v>45235</v>
      </c>
      <c r="H908">
        <v>90</v>
      </c>
      <c r="I908">
        <v>48</v>
      </c>
      <c r="J908" t="s">
        <v>4440</v>
      </c>
      <c r="K908" t="s">
        <v>4441</v>
      </c>
      <c r="L908" t="s">
        <v>4580</v>
      </c>
      <c r="M908" t="s">
        <v>1625</v>
      </c>
      <c r="N908">
        <v>5</v>
      </c>
    </row>
    <row r="909" spans="1:14" x14ac:dyDescent="0.35">
      <c r="A909" t="s">
        <v>5388</v>
      </c>
      <c r="B909" t="s">
        <v>413</v>
      </c>
      <c r="C909" t="s">
        <v>1883</v>
      </c>
      <c r="D909" t="s">
        <v>4452</v>
      </c>
      <c r="E909" t="s">
        <v>4439</v>
      </c>
      <c r="F909" s="3">
        <v>45407</v>
      </c>
      <c r="G909" s="3">
        <v>45408</v>
      </c>
      <c r="H909">
        <v>43.3</v>
      </c>
      <c r="I909">
        <v>48</v>
      </c>
      <c r="J909" t="s">
        <v>4448</v>
      </c>
      <c r="K909" t="s">
        <v>4441</v>
      </c>
      <c r="L909" t="s">
        <v>4533</v>
      </c>
      <c r="M909" t="s">
        <v>4462</v>
      </c>
      <c r="N909">
        <v>3</v>
      </c>
    </row>
    <row r="910" spans="1:14" x14ac:dyDescent="0.35">
      <c r="A910" t="s">
        <v>5389</v>
      </c>
      <c r="B910" t="s">
        <v>99</v>
      </c>
      <c r="C910" t="s">
        <v>1927</v>
      </c>
      <c r="D910" t="s">
        <v>4460</v>
      </c>
      <c r="E910" t="s">
        <v>4473</v>
      </c>
      <c r="F910" s="3">
        <v>45082</v>
      </c>
      <c r="G910" s="3">
        <v>45082</v>
      </c>
      <c r="H910">
        <v>6</v>
      </c>
      <c r="I910">
        <v>8</v>
      </c>
      <c r="J910" t="s">
        <v>4448</v>
      </c>
      <c r="K910" t="s">
        <v>4441</v>
      </c>
      <c r="L910" t="s">
        <v>4580</v>
      </c>
      <c r="M910" t="s">
        <v>1625</v>
      </c>
      <c r="N910">
        <v>3</v>
      </c>
    </row>
    <row r="911" spans="1:14" x14ac:dyDescent="0.35">
      <c r="A911" t="s">
        <v>5390</v>
      </c>
      <c r="B911" t="s">
        <v>230</v>
      </c>
      <c r="C911" t="s">
        <v>1883</v>
      </c>
      <c r="D911" t="s">
        <v>4452</v>
      </c>
      <c r="E911" t="s">
        <v>4473</v>
      </c>
      <c r="F911" s="3">
        <v>45532</v>
      </c>
      <c r="G911" s="3">
        <v>45532</v>
      </c>
      <c r="H911">
        <v>3.6</v>
      </c>
      <c r="I911">
        <v>8</v>
      </c>
      <c r="J911" t="s">
        <v>4448</v>
      </c>
      <c r="K911" t="s">
        <v>4441</v>
      </c>
      <c r="L911" t="s">
        <v>4509</v>
      </c>
      <c r="M911" t="s">
        <v>4446</v>
      </c>
      <c r="N911">
        <v>3</v>
      </c>
    </row>
    <row r="912" spans="1:14" x14ac:dyDescent="0.35">
      <c r="A912" t="s">
        <v>5391</v>
      </c>
      <c r="B912" t="s">
        <v>293</v>
      </c>
      <c r="C912" t="s">
        <v>1927</v>
      </c>
      <c r="D912" t="s">
        <v>4460</v>
      </c>
      <c r="E912" t="s">
        <v>4456</v>
      </c>
      <c r="F912" s="3">
        <v>45434</v>
      </c>
      <c r="G912" s="3">
        <v>45434</v>
      </c>
      <c r="H912">
        <v>4.2</v>
      </c>
      <c r="I912">
        <v>4</v>
      </c>
      <c r="J912" t="s">
        <v>4440</v>
      </c>
      <c r="K912" t="s">
        <v>4441</v>
      </c>
      <c r="L912" t="s">
        <v>4509</v>
      </c>
      <c r="M912" t="s">
        <v>4446</v>
      </c>
      <c r="N912">
        <v>3</v>
      </c>
    </row>
    <row r="913" spans="1:14" x14ac:dyDescent="0.35">
      <c r="A913" t="s">
        <v>5392</v>
      </c>
      <c r="B913" t="s">
        <v>82</v>
      </c>
      <c r="C913" t="s">
        <v>1899</v>
      </c>
      <c r="D913" t="s">
        <v>4476</v>
      </c>
      <c r="E913" t="s">
        <v>4473</v>
      </c>
      <c r="F913" s="3">
        <v>45432</v>
      </c>
      <c r="G913" s="3" t="s">
        <v>537</v>
      </c>
      <c r="I913">
        <v>8</v>
      </c>
      <c r="J913" t="s">
        <v>4448</v>
      </c>
      <c r="K913" t="s">
        <v>4457</v>
      </c>
      <c r="L913" t="s">
        <v>4445</v>
      </c>
      <c r="M913" t="s">
        <v>4446</v>
      </c>
    </row>
    <row r="914" spans="1:14" x14ac:dyDescent="0.35">
      <c r="A914" t="s">
        <v>5393</v>
      </c>
      <c r="B914" t="s">
        <v>412</v>
      </c>
      <c r="C914" t="s">
        <v>1883</v>
      </c>
      <c r="D914" t="s">
        <v>4490</v>
      </c>
      <c r="E914" t="s">
        <v>4439</v>
      </c>
      <c r="F914" s="3">
        <v>45270</v>
      </c>
      <c r="G914" s="3">
        <v>45271</v>
      </c>
      <c r="H914">
        <v>26.7</v>
      </c>
      <c r="I914">
        <v>48</v>
      </c>
      <c r="J914" t="s">
        <v>4448</v>
      </c>
      <c r="K914" t="s">
        <v>4441</v>
      </c>
      <c r="L914" t="s">
        <v>4449</v>
      </c>
      <c r="M914" t="s">
        <v>4450</v>
      </c>
      <c r="N914">
        <v>4</v>
      </c>
    </row>
    <row r="915" spans="1:14" x14ac:dyDescent="0.35">
      <c r="A915" t="s">
        <v>5394</v>
      </c>
      <c r="B915" t="s">
        <v>482</v>
      </c>
      <c r="C915" t="s">
        <v>1899</v>
      </c>
      <c r="D915" t="s">
        <v>4460</v>
      </c>
      <c r="E915" t="s">
        <v>4444</v>
      </c>
      <c r="F915" s="3">
        <v>45536</v>
      </c>
      <c r="G915" s="3">
        <v>45536</v>
      </c>
      <c r="H915">
        <v>7.2</v>
      </c>
      <c r="I915">
        <v>24</v>
      </c>
      <c r="J915" t="s">
        <v>4448</v>
      </c>
      <c r="K915" t="s">
        <v>4441</v>
      </c>
      <c r="L915" t="s">
        <v>4492</v>
      </c>
      <c r="M915" t="s">
        <v>4462</v>
      </c>
      <c r="N915">
        <v>4</v>
      </c>
    </row>
    <row r="916" spans="1:14" x14ac:dyDescent="0.35">
      <c r="A916" t="s">
        <v>5395</v>
      </c>
      <c r="B916" t="s">
        <v>57</v>
      </c>
      <c r="C916" t="s">
        <v>1890</v>
      </c>
      <c r="D916" t="s">
        <v>4443</v>
      </c>
      <c r="E916" t="s">
        <v>4439</v>
      </c>
      <c r="F916" s="3">
        <v>45631</v>
      </c>
      <c r="G916" s="3" t="s">
        <v>537</v>
      </c>
      <c r="I916">
        <v>48</v>
      </c>
      <c r="J916" t="s">
        <v>4440</v>
      </c>
      <c r="K916" t="s">
        <v>4453</v>
      </c>
      <c r="L916" t="s">
        <v>4488</v>
      </c>
      <c r="M916" t="s">
        <v>4446</v>
      </c>
    </row>
    <row r="917" spans="1:14" x14ac:dyDescent="0.35">
      <c r="A917" t="s">
        <v>5396</v>
      </c>
      <c r="B917" t="s">
        <v>401</v>
      </c>
      <c r="C917" t="s">
        <v>1915</v>
      </c>
      <c r="D917" t="s">
        <v>4472</v>
      </c>
      <c r="E917" t="s">
        <v>4456</v>
      </c>
      <c r="F917" s="3">
        <v>44997</v>
      </c>
      <c r="G917" s="3">
        <v>44997</v>
      </c>
      <c r="H917">
        <v>3.5</v>
      </c>
      <c r="I917">
        <v>4</v>
      </c>
      <c r="J917" t="s">
        <v>4448</v>
      </c>
      <c r="K917" t="s">
        <v>4441</v>
      </c>
      <c r="L917" t="s">
        <v>4514</v>
      </c>
      <c r="M917" t="s">
        <v>4450</v>
      </c>
      <c r="N917">
        <v>5</v>
      </c>
    </row>
    <row r="918" spans="1:14" x14ac:dyDescent="0.35">
      <c r="A918" t="s">
        <v>5397</v>
      </c>
      <c r="B918" t="s">
        <v>349</v>
      </c>
      <c r="C918" t="s">
        <v>1899</v>
      </c>
      <c r="D918" t="s">
        <v>4464</v>
      </c>
      <c r="E918" t="s">
        <v>4444</v>
      </c>
      <c r="F918" s="3">
        <v>45693</v>
      </c>
      <c r="G918" s="3" t="s">
        <v>537</v>
      </c>
      <c r="I918">
        <v>24</v>
      </c>
      <c r="J918" t="s">
        <v>1945</v>
      </c>
      <c r="K918" t="s">
        <v>4474</v>
      </c>
      <c r="L918" t="s">
        <v>4449</v>
      </c>
      <c r="M918" t="s">
        <v>4446</v>
      </c>
    </row>
    <row r="919" spans="1:14" x14ac:dyDescent="0.35">
      <c r="A919" t="s">
        <v>5398</v>
      </c>
      <c r="B919" t="s">
        <v>395</v>
      </c>
      <c r="C919" t="s">
        <v>1927</v>
      </c>
      <c r="D919" t="s">
        <v>4482</v>
      </c>
      <c r="E919" t="s">
        <v>4439</v>
      </c>
      <c r="F919" s="3">
        <v>45381</v>
      </c>
      <c r="G919" s="3">
        <v>45385</v>
      </c>
      <c r="H919">
        <v>107.7</v>
      </c>
      <c r="I919">
        <v>48</v>
      </c>
      <c r="J919" t="s">
        <v>4440</v>
      </c>
      <c r="K919" t="s">
        <v>4441</v>
      </c>
      <c r="L919" t="s">
        <v>4454</v>
      </c>
      <c r="M919" t="s">
        <v>4450</v>
      </c>
      <c r="N919">
        <v>3</v>
      </c>
    </row>
    <row r="920" spans="1:14" x14ac:dyDescent="0.35">
      <c r="A920" t="s">
        <v>5399</v>
      </c>
      <c r="B920" t="s">
        <v>349</v>
      </c>
      <c r="C920" t="s">
        <v>1927</v>
      </c>
      <c r="D920" t="s">
        <v>4452</v>
      </c>
      <c r="E920" t="s">
        <v>4444</v>
      </c>
      <c r="F920" s="3">
        <v>45257</v>
      </c>
      <c r="G920" s="3">
        <v>45257</v>
      </c>
      <c r="H920">
        <v>18.7</v>
      </c>
      <c r="I920">
        <v>24</v>
      </c>
      <c r="J920" t="s">
        <v>4448</v>
      </c>
      <c r="K920" t="s">
        <v>4441</v>
      </c>
      <c r="L920" t="s">
        <v>4488</v>
      </c>
      <c r="M920" t="s">
        <v>4462</v>
      </c>
      <c r="N920">
        <v>5</v>
      </c>
    </row>
    <row r="921" spans="1:14" x14ac:dyDescent="0.35">
      <c r="A921" t="s">
        <v>5400</v>
      </c>
      <c r="B921" t="s">
        <v>101</v>
      </c>
      <c r="C921" t="s">
        <v>1927</v>
      </c>
      <c r="D921" t="s">
        <v>4479</v>
      </c>
      <c r="E921" t="s">
        <v>4439</v>
      </c>
      <c r="F921" s="3">
        <v>44937</v>
      </c>
      <c r="G921" s="3">
        <v>44939</v>
      </c>
      <c r="H921">
        <v>67.400000000000006</v>
      </c>
      <c r="I921">
        <v>48</v>
      </c>
      <c r="J921" t="s">
        <v>4440</v>
      </c>
      <c r="K921" t="s">
        <v>4441</v>
      </c>
      <c r="L921" t="s">
        <v>4514</v>
      </c>
      <c r="M921" t="s">
        <v>1625</v>
      </c>
      <c r="N921">
        <v>2</v>
      </c>
    </row>
    <row r="922" spans="1:14" x14ac:dyDescent="0.35">
      <c r="A922" t="s">
        <v>5401</v>
      </c>
      <c r="B922" t="s">
        <v>453</v>
      </c>
      <c r="C922" t="s">
        <v>1915</v>
      </c>
      <c r="D922" t="s">
        <v>4464</v>
      </c>
      <c r="E922" t="s">
        <v>4473</v>
      </c>
      <c r="F922" s="3">
        <v>45482</v>
      </c>
      <c r="G922" s="3" t="s">
        <v>537</v>
      </c>
      <c r="I922">
        <v>8</v>
      </c>
      <c r="J922" t="s">
        <v>4448</v>
      </c>
      <c r="K922" t="s">
        <v>4453</v>
      </c>
      <c r="L922" t="s">
        <v>4580</v>
      </c>
      <c r="M922" t="s">
        <v>4446</v>
      </c>
    </row>
    <row r="923" spans="1:14" x14ac:dyDescent="0.35">
      <c r="A923" t="s">
        <v>5402</v>
      </c>
      <c r="B923" t="s">
        <v>242</v>
      </c>
      <c r="C923" t="s">
        <v>1915</v>
      </c>
      <c r="D923" t="s">
        <v>4472</v>
      </c>
      <c r="E923" t="s">
        <v>4444</v>
      </c>
      <c r="F923" s="3">
        <v>45425</v>
      </c>
      <c r="G923" s="3" t="s">
        <v>537</v>
      </c>
      <c r="I923">
        <v>24</v>
      </c>
      <c r="J923" t="s">
        <v>4448</v>
      </c>
      <c r="K923" t="s">
        <v>4474</v>
      </c>
      <c r="L923" t="s">
        <v>4501</v>
      </c>
      <c r="M923" t="s">
        <v>4446</v>
      </c>
    </row>
    <row r="924" spans="1:14" x14ac:dyDescent="0.35">
      <c r="A924" t="s">
        <v>5403</v>
      </c>
      <c r="B924" t="s">
        <v>68</v>
      </c>
      <c r="C924" t="s">
        <v>1899</v>
      </c>
      <c r="D924" t="s">
        <v>4476</v>
      </c>
      <c r="E924" t="s">
        <v>4439</v>
      </c>
      <c r="F924" s="3">
        <v>45082</v>
      </c>
      <c r="G924" s="3">
        <v>45082</v>
      </c>
      <c r="H924">
        <v>5.7</v>
      </c>
      <c r="I924">
        <v>48</v>
      </c>
      <c r="J924" t="s">
        <v>4448</v>
      </c>
      <c r="K924" t="s">
        <v>4441</v>
      </c>
      <c r="L924" t="s">
        <v>4461</v>
      </c>
      <c r="M924" t="s">
        <v>4450</v>
      </c>
      <c r="N924">
        <v>4</v>
      </c>
    </row>
    <row r="925" spans="1:14" x14ac:dyDescent="0.35">
      <c r="A925" t="s">
        <v>5404</v>
      </c>
      <c r="B925" t="s">
        <v>144</v>
      </c>
      <c r="C925" t="s">
        <v>1883</v>
      </c>
      <c r="D925" t="s">
        <v>4485</v>
      </c>
      <c r="E925" t="s">
        <v>4473</v>
      </c>
      <c r="F925" s="3">
        <v>44963</v>
      </c>
      <c r="G925" s="3" t="s">
        <v>537</v>
      </c>
      <c r="I925">
        <v>8</v>
      </c>
      <c r="J925" t="s">
        <v>4440</v>
      </c>
      <c r="K925" t="s">
        <v>4474</v>
      </c>
      <c r="L925" t="s">
        <v>4514</v>
      </c>
      <c r="M925" t="s">
        <v>4446</v>
      </c>
    </row>
    <row r="926" spans="1:14" x14ac:dyDescent="0.35">
      <c r="A926" t="s">
        <v>5405</v>
      </c>
      <c r="B926" t="s">
        <v>193</v>
      </c>
      <c r="C926" t="s">
        <v>1899</v>
      </c>
      <c r="D926" t="s">
        <v>4464</v>
      </c>
      <c r="E926" t="s">
        <v>4439</v>
      </c>
      <c r="F926" s="3">
        <v>45619</v>
      </c>
      <c r="G926" s="3" t="s">
        <v>537</v>
      </c>
      <c r="I926">
        <v>48</v>
      </c>
      <c r="J926" t="s">
        <v>4440</v>
      </c>
      <c r="K926" t="s">
        <v>4474</v>
      </c>
      <c r="L926" t="s">
        <v>4449</v>
      </c>
      <c r="M926" t="s">
        <v>4462</v>
      </c>
    </row>
    <row r="927" spans="1:14" x14ac:dyDescent="0.35">
      <c r="A927" t="s">
        <v>5406</v>
      </c>
      <c r="B927" t="s">
        <v>165</v>
      </c>
      <c r="C927" t="s">
        <v>1915</v>
      </c>
      <c r="D927" t="s">
        <v>4476</v>
      </c>
      <c r="E927" t="s">
        <v>4473</v>
      </c>
      <c r="F927" s="3">
        <v>45612</v>
      </c>
      <c r="G927" s="3">
        <v>45612</v>
      </c>
      <c r="H927">
        <v>14.5</v>
      </c>
      <c r="I927">
        <v>8</v>
      </c>
      <c r="J927" t="s">
        <v>4440</v>
      </c>
      <c r="K927" t="s">
        <v>4441</v>
      </c>
      <c r="L927" t="s">
        <v>4483</v>
      </c>
      <c r="M927" t="s">
        <v>4446</v>
      </c>
      <c r="N927">
        <v>4</v>
      </c>
    </row>
    <row r="928" spans="1:14" x14ac:dyDescent="0.35">
      <c r="A928" t="s">
        <v>5407</v>
      </c>
      <c r="B928" t="s">
        <v>451</v>
      </c>
      <c r="C928" t="s">
        <v>1927</v>
      </c>
      <c r="D928" t="s">
        <v>4443</v>
      </c>
      <c r="E928" t="s">
        <v>4473</v>
      </c>
      <c r="F928" s="3">
        <v>45169</v>
      </c>
      <c r="G928" s="3">
        <v>45169</v>
      </c>
      <c r="H928">
        <v>4.0999999999999996</v>
      </c>
      <c r="I928">
        <v>8</v>
      </c>
      <c r="J928" t="s">
        <v>4448</v>
      </c>
      <c r="K928" t="s">
        <v>4441</v>
      </c>
      <c r="L928" t="s">
        <v>4527</v>
      </c>
      <c r="M928" t="s">
        <v>4462</v>
      </c>
    </row>
    <row r="929" spans="1:14" x14ac:dyDescent="0.35">
      <c r="A929" t="s">
        <v>5408</v>
      </c>
      <c r="B929" t="s">
        <v>114</v>
      </c>
      <c r="C929" t="s">
        <v>1890</v>
      </c>
      <c r="D929" t="s">
        <v>4476</v>
      </c>
      <c r="E929" t="s">
        <v>4473</v>
      </c>
      <c r="F929" s="3">
        <v>45294</v>
      </c>
      <c r="G929" s="3">
        <v>45294</v>
      </c>
      <c r="H929">
        <v>17.5</v>
      </c>
      <c r="I929">
        <v>8</v>
      </c>
      <c r="J929" t="s">
        <v>4440</v>
      </c>
      <c r="K929" t="s">
        <v>4441</v>
      </c>
      <c r="L929" t="s">
        <v>4461</v>
      </c>
      <c r="M929" t="s">
        <v>1625</v>
      </c>
    </row>
    <row r="930" spans="1:14" x14ac:dyDescent="0.35">
      <c r="A930" t="s">
        <v>5409</v>
      </c>
      <c r="B930" t="s">
        <v>203</v>
      </c>
      <c r="C930" t="s">
        <v>1904</v>
      </c>
      <c r="D930" t="s">
        <v>4460</v>
      </c>
      <c r="E930" t="s">
        <v>4456</v>
      </c>
      <c r="F930" s="3">
        <v>45052</v>
      </c>
      <c r="G930" s="3">
        <v>45052</v>
      </c>
      <c r="H930">
        <v>3</v>
      </c>
      <c r="I930">
        <v>4</v>
      </c>
      <c r="J930" t="s">
        <v>4448</v>
      </c>
      <c r="K930" t="s">
        <v>4441</v>
      </c>
      <c r="L930" t="s">
        <v>4445</v>
      </c>
      <c r="M930" t="s">
        <v>4450</v>
      </c>
      <c r="N930">
        <v>5</v>
      </c>
    </row>
    <row r="931" spans="1:14" x14ac:dyDescent="0.35">
      <c r="A931" t="s">
        <v>5410</v>
      </c>
      <c r="B931" t="s">
        <v>205</v>
      </c>
      <c r="C931" t="s">
        <v>1915</v>
      </c>
      <c r="D931" t="s">
        <v>4469</v>
      </c>
      <c r="E931" t="s">
        <v>4456</v>
      </c>
      <c r="F931" s="3">
        <v>45252</v>
      </c>
      <c r="G931" s="3" t="s">
        <v>537</v>
      </c>
      <c r="I931">
        <v>4</v>
      </c>
      <c r="J931" t="s">
        <v>4440</v>
      </c>
      <c r="K931" t="s">
        <v>4457</v>
      </c>
      <c r="L931" t="s">
        <v>4449</v>
      </c>
      <c r="M931" t="s">
        <v>4446</v>
      </c>
    </row>
    <row r="932" spans="1:14" x14ac:dyDescent="0.35">
      <c r="A932" t="s">
        <v>5411</v>
      </c>
      <c r="B932" t="s">
        <v>465</v>
      </c>
      <c r="C932" t="s">
        <v>1883</v>
      </c>
      <c r="D932" t="s">
        <v>4452</v>
      </c>
      <c r="E932" t="s">
        <v>4473</v>
      </c>
      <c r="F932" s="3">
        <v>45330</v>
      </c>
      <c r="G932" s="3">
        <v>45330</v>
      </c>
      <c r="H932">
        <v>8.5</v>
      </c>
      <c r="I932">
        <v>8</v>
      </c>
      <c r="J932" t="s">
        <v>4440</v>
      </c>
      <c r="K932" t="s">
        <v>4441</v>
      </c>
      <c r="L932" t="s">
        <v>4488</v>
      </c>
      <c r="M932" t="s">
        <v>4462</v>
      </c>
      <c r="N932">
        <v>3</v>
      </c>
    </row>
    <row r="933" spans="1:14" x14ac:dyDescent="0.35">
      <c r="A933" t="s">
        <v>5412</v>
      </c>
      <c r="B933" t="s">
        <v>387</v>
      </c>
      <c r="C933" t="s">
        <v>1904</v>
      </c>
      <c r="D933" t="s">
        <v>4490</v>
      </c>
      <c r="E933" t="s">
        <v>4473</v>
      </c>
      <c r="F933" s="3">
        <v>45423</v>
      </c>
      <c r="G933" s="3" t="s">
        <v>537</v>
      </c>
      <c r="I933">
        <v>8</v>
      </c>
      <c r="J933" t="s">
        <v>4440</v>
      </c>
      <c r="K933" t="s">
        <v>4453</v>
      </c>
      <c r="L933" t="s">
        <v>4458</v>
      </c>
      <c r="M933" t="s">
        <v>4450</v>
      </c>
    </row>
    <row r="934" spans="1:14" x14ac:dyDescent="0.35">
      <c r="A934" t="s">
        <v>5413</v>
      </c>
      <c r="B934" t="s">
        <v>483</v>
      </c>
      <c r="C934" t="s">
        <v>1899</v>
      </c>
      <c r="D934" t="s">
        <v>4485</v>
      </c>
      <c r="E934" t="s">
        <v>4473</v>
      </c>
      <c r="F934" s="3">
        <v>45656</v>
      </c>
      <c r="G934" s="3" t="s">
        <v>537</v>
      </c>
      <c r="I934">
        <v>8</v>
      </c>
      <c r="J934" t="s">
        <v>4440</v>
      </c>
      <c r="K934" t="s">
        <v>4453</v>
      </c>
      <c r="L934" t="s">
        <v>4449</v>
      </c>
      <c r="M934" t="s">
        <v>4450</v>
      </c>
    </row>
    <row r="935" spans="1:14" x14ac:dyDescent="0.35">
      <c r="A935" t="s">
        <v>5414</v>
      </c>
      <c r="B935" t="s">
        <v>459</v>
      </c>
      <c r="C935" t="s">
        <v>1890</v>
      </c>
      <c r="D935" t="s">
        <v>4485</v>
      </c>
      <c r="E935" t="s">
        <v>4456</v>
      </c>
      <c r="F935" s="3">
        <v>45691</v>
      </c>
      <c r="G935" s="3">
        <v>45691</v>
      </c>
      <c r="H935">
        <v>8.3000000000000007</v>
      </c>
      <c r="I935">
        <v>4</v>
      </c>
      <c r="J935" t="s">
        <v>4440</v>
      </c>
      <c r="K935" t="s">
        <v>4441</v>
      </c>
      <c r="L935" t="s">
        <v>4465</v>
      </c>
      <c r="M935" t="s">
        <v>4462</v>
      </c>
      <c r="N935">
        <v>2</v>
      </c>
    </row>
    <row r="936" spans="1:14" x14ac:dyDescent="0.35">
      <c r="A936" t="s">
        <v>5415</v>
      </c>
      <c r="B936" t="s">
        <v>381</v>
      </c>
      <c r="C936" t="s">
        <v>1927</v>
      </c>
      <c r="D936" t="s">
        <v>4464</v>
      </c>
      <c r="E936" t="s">
        <v>4444</v>
      </c>
      <c r="F936" s="3">
        <v>45210</v>
      </c>
      <c r="G936" s="3">
        <v>45211</v>
      </c>
      <c r="H936">
        <v>34.200000000000003</v>
      </c>
      <c r="I936">
        <v>24</v>
      </c>
      <c r="J936" t="s">
        <v>4440</v>
      </c>
      <c r="K936" t="s">
        <v>4441</v>
      </c>
      <c r="L936" t="s">
        <v>4449</v>
      </c>
      <c r="M936" t="s">
        <v>4446</v>
      </c>
      <c r="N936">
        <v>3</v>
      </c>
    </row>
    <row r="937" spans="1:14" x14ac:dyDescent="0.35">
      <c r="A937" t="s">
        <v>5416</v>
      </c>
      <c r="B937" t="s">
        <v>97</v>
      </c>
      <c r="C937" t="s">
        <v>1883</v>
      </c>
      <c r="D937" t="s">
        <v>4490</v>
      </c>
      <c r="E937" t="s">
        <v>4444</v>
      </c>
      <c r="F937" s="3">
        <v>45175</v>
      </c>
      <c r="G937" s="3" t="s">
        <v>537</v>
      </c>
      <c r="I937">
        <v>24</v>
      </c>
      <c r="J937" t="s">
        <v>4440</v>
      </c>
      <c r="K937" t="s">
        <v>4474</v>
      </c>
      <c r="L937" t="s">
        <v>4465</v>
      </c>
      <c r="M937" t="s">
        <v>1625</v>
      </c>
    </row>
    <row r="938" spans="1:14" x14ac:dyDescent="0.35">
      <c r="A938" t="s">
        <v>5417</v>
      </c>
      <c r="B938" t="s">
        <v>335</v>
      </c>
      <c r="C938" t="s">
        <v>1927</v>
      </c>
      <c r="D938" t="s">
        <v>4438</v>
      </c>
      <c r="E938" t="s">
        <v>4439</v>
      </c>
      <c r="F938" s="3">
        <v>45525</v>
      </c>
      <c r="G938" s="3">
        <v>45527</v>
      </c>
      <c r="H938">
        <v>51.6</v>
      </c>
      <c r="I938">
        <v>48</v>
      </c>
      <c r="J938" t="s">
        <v>1945</v>
      </c>
      <c r="K938" t="s">
        <v>4441</v>
      </c>
      <c r="L938" t="s">
        <v>4580</v>
      </c>
      <c r="M938" t="s">
        <v>4450</v>
      </c>
      <c r="N938">
        <v>4</v>
      </c>
    </row>
    <row r="939" spans="1:14" x14ac:dyDescent="0.35">
      <c r="A939" t="s">
        <v>5418</v>
      </c>
      <c r="B939" t="s">
        <v>398</v>
      </c>
      <c r="C939" t="s">
        <v>1904</v>
      </c>
      <c r="D939" t="s">
        <v>4479</v>
      </c>
      <c r="E939" t="s">
        <v>4473</v>
      </c>
      <c r="F939" s="3">
        <v>45121</v>
      </c>
      <c r="G939" s="3">
        <v>45121</v>
      </c>
      <c r="H939">
        <v>3</v>
      </c>
      <c r="I939">
        <v>8</v>
      </c>
      <c r="J939" t="s">
        <v>4448</v>
      </c>
      <c r="K939" t="s">
        <v>4441</v>
      </c>
      <c r="L939" t="s">
        <v>4445</v>
      </c>
      <c r="M939" t="s">
        <v>1625</v>
      </c>
      <c r="N939">
        <v>2</v>
      </c>
    </row>
    <row r="940" spans="1:14" x14ac:dyDescent="0.35">
      <c r="A940" t="s">
        <v>5419</v>
      </c>
      <c r="B940" t="s">
        <v>364</v>
      </c>
      <c r="C940" t="s">
        <v>1899</v>
      </c>
      <c r="D940" t="s">
        <v>4482</v>
      </c>
      <c r="E940" t="s">
        <v>4444</v>
      </c>
      <c r="F940" s="3">
        <v>45285</v>
      </c>
      <c r="G940" s="3" t="s">
        <v>537</v>
      </c>
      <c r="I940">
        <v>24</v>
      </c>
      <c r="J940" t="s">
        <v>4448</v>
      </c>
      <c r="K940" t="s">
        <v>4474</v>
      </c>
      <c r="L940" t="s">
        <v>4467</v>
      </c>
      <c r="M940" t="s">
        <v>4462</v>
      </c>
    </row>
    <row r="941" spans="1:14" x14ac:dyDescent="0.35">
      <c r="A941" t="s">
        <v>5420</v>
      </c>
      <c r="B941" t="s">
        <v>108</v>
      </c>
      <c r="C941" t="s">
        <v>1883</v>
      </c>
      <c r="D941" t="s">
        <v>4460</v>
      </c>
      <c r="E941" t="s">
        <v>4444</v>
      </c>
      <c r="F941" s="3">
        <v>45469</v>
      </c>
      <c r="G941" s="3">
        <v>45471</v>
      </c>
      <c r="H941">
        <v>54.9</v>
      </c>
      <c r="I941">
        <v>24</v>
      </c>
      <c r="J941" t="s">
        <v>4440</v>
      </c>
      <c r="K941" t="s">
        <v>4441</v>
      </c>
      <c r="L941" t="s">
        <v>4480</v>
      </c>
      <c r="M941" t="s">
        <v>4462</v>
      </c>
      <c r="N941">
        <v>3</v>
      </c>
    </row>
    <row r="942" spans="1:14" x14ac:dyDescent="0.35">
      <c r="A942" t="s">
        <v>5421</v>
      </c>
      <c r="B942" t="s">
        <v>389</v>
      </c>
      <c r="C942" t="s">
        <v>1883</v>
      </c>
      <c r="D942" t="s">
        <v>4460</v>
      </c>
      <c r="E942" t="s">
        <v>4456</v>
      </c>
      <c r="F942" s="3">
        <v>45619</v>
      </c>
      <c r="G942" s="3">
        <v>45619</v>
      </c>
      <c r="H942">
        <v>3.6</v>
      </c>
      <c r="I942">
        <v>4</v>
      </c>
      <c r="J942" t="s">
        <v>4448</v>
      </c>
      <c r="K942" t="s">
        <v>4441</v>
      </c>
      <c r="L942" t="s">
        <v>4492</v>
      </c>
      <c r="M942" t="s">
        <v>1625</v>
      </c>
      <c r="N942">
        <v>3</v>
      </c>
    </row>
    <row r="943" spans="1:14" x14ac:dyDescent="0.35">
      <c r="A943" t="s">
        <v>5422</v>
      </c>
      <c r="B943" t="s">
        <v>299</v>
      </c>
      <c r="C943" t="s">
        <v>1915</v>
      </c>
      <c r="D943" t="s">
        <v>4479</v>
      </c>
      <c r="E943" t="s">
        <v>4444</v>
      </c>
      <c r="F943" s="3">
        <v>45135</v>
      </c>
      <c r="G943" s="3" t="s">
        <v>537</v>
      </c>
      <c r="I943">
        <v>24</v>
      </c>
      <c r="J943" t="s">
        <v>4448</v>
      </c>
      <c r="K943" t="s">
        <v>4474</v>
      </c>
      <c r="L943" t="s">
        <v>4465</v>
      </c>
      <c r="M943" t="s">
        <v>1625</v>
      </c>
    </row>
    <row r="944" spans="1:14" x14ac:dyDescent="0.35">
      <c r="A944" t="s">
        <v>5423</v>
      </c>
      <c r="B944" t="s">
        <v>23</v>
      </c>
      <c r="C944" t="s">
        <v>1890</v>
      </c>
      <c r="D944" t="s">
        <v>4469</v>
      </c>
      <c r="E944" t="s">
        <v>4439</v>
      </c>
      <c r="F944" s="3">
        <v>45489</v>
      </c>
      <c r="G944" s="3">
        <v>45489</v>
      </c>
      <c r="H944">
        <v>16.5</v>
      </c>
      <c r="I944">
        <v>48</v>
      </c>
      <c r="J944" t="s">
        <v>4448</v>
      </c>
      <c r="K944" t="s">
        <v>4441</v>
      </c>
      <c r="L944" t="s">
        <v>4509</v>
      </c>
      <c r="M944" t="s">
        <v>1625</v>
      </c>
      <c r="N944">
        <v>4</v>
      </c>
    </row>
    <row r="945" spans="1:14" x14ac:dyDescent="0.35">
      <c r="A945" t="s">
        <v>5424</v>
      </c>
      <c r="B945" t="s">
        <v>411</v>
      </c>
      <c r="C945" t="s">
        <v>1915</v>
      </c>
      <c r="D945" t="s">
        <v>4452</v>
      </c>
      <c r="E945" t="s">
        <v>4456</v>
      </c>
      <c r="F945" s="3">
        <v>45617</v>
      </c>
      <c r="G945" s="3">
        <v>45617</v>
      </c>
      <c r="H945">
        <v>0.7</v>
      </c>
      <c r="I945">
        <v>4</v>
      </c>
      <c r="J945" t="s">
        <v>4448</v>
      </c>
      <c r="K945" t="s">
        <v>4441</v>
      </c>
      <c r="L945" t="s">
        <v>4527</v>
      </c>
      <c r="M945" t="s">
        <v>4450</v>
      </c>
      <c r="N945">
        <v>4</v>
      </c>
    </row>
    <row r="946" spans="1:14" x14ac:dyDescent="0.35">
      <c r="A946" t="s">
        <v>5425</v>
      </c>
      <c r="B946" t="s">
        <v>264</v>
      </c>
      <c r="C946" t="s">
        <v>1899</v>
      </c>
      <c r="D946" t="s">
        <v>4464</v>
      </c>
      <c r="E946" t="s">
        <v>4439</v>
      </c>
      <c r="F946" s="3">
        <v>45697</v>
      </c>
      <c r="G946" s="3" t="s">
        <v>537</v>
      </c>
      <c r="I946">
        <v>48</v>
      </c>
      <c r="J946" t="s">
        <v>4448</v>
      </c>
      <c r="K946" t="s">
        <v>4457</v>
      </c>
      <c r="L946" t="s">
        <v>4509</v>
      </c>
      <c r="M946" t="s">
        <v>4450</v>
      </c>
    </row>
    <row r="947" spans="1:14" x14ac:dyDescent="0.35">
      <c r="A947" t="s">
        <v>5426</v>
      </c>
      <c r="B947" t="s">
        <v>481</v>
      </c>
      <c r="C947" t="s">
        <v>1927</v>
      </c>
      <c r="D947" t="s">
        <v>4464</v>
      </c>
      <c r="E947" t="s">
        <v>4444</v>
      </c>
      <c r="F947" s="3">
        <v>45602</v>
      </c>
      <c r="G947" s="3" t="s">
        <v>537</v>
      </c>
      <c r="I947">
        <v>24</v>
      </c>
      <c r="J947" t="s">
        <v>4440</v>
      </c>
      <c r="K947" t="s">
        <v>4474</v>
      </c>
      <c r="L947" t="s">
        <v>4527</v>
      </c>
      <c r="M947" t="s">
        <v>4450</v>
      </c>
    </row>
    <row r="948" spans="1:14" x14ac:dyDescent="0.35">
      <c r="A948" t="s">
        <v>5427</v>
      </c>
      <c r="B948" t="s">
        <v>349</v>
      </c>
      <c r="C948" t="s">
        <v>1904</v>
      </c>
      <c r="D948" t="s">
        <v>4460</v>
      </c>
      <c r="E948" t="s">
        <v>4444</v>
      </c>
      <c r="F948" s="3">
        <v>45524</v>
      </c>
      <c r="G948" s="3" t="s">
        <v>537</v>
      </c>
      <c r="I948">
        <v>24</v>
      </c>
      <c r="J948" t="s">
        <v>4448</v>
      </c>
      <c r="K948" t="s">
        <v>4457</v>
      </c>
      <c r="L948" t="s">
        <v>4467</v>
      </c>
      <c r="M948" t="s">
        <v>4450</v>
      </c>
    </row>
    <row r="949" spans="1:14" x14ac:dyDescent="0.35">
      <c r="A949" t="s">
        <v>5428</v>
      </c>
      <c r="B949" t="s">
        <v>191</v>
      </c>
      <c r="C949" t="s">
        <v>1883</v>
      </c>
      <c r="D949" t="s">
        <v>4460</v>
      </c>
      <c r="E949" t="s">
        <v>4473</v>
      </c>
      <c r="F949" s="3">
        <v>45066</v>
      </c>
      <c r="G949" s="3">
        <v>45066</v>
      </c>
      <c r="H949">
        <v>15.7</v>
      </c>
      <c r="I949">
        <v>8</v>
      </c>
      <c r="J949" t="s">
        <v>4440</v>
      </c>
      <c r="K949" t="s">
        <v>4441</v>
      </c>
      <c r="L949" t="s">
        <v>4580</v>
      </c>
      <c r="M949" t="s">
        <v>1625</v>
      </c>
      <c r="N949">
        <v>3</v>
      </c>
    </row>
    <row r="950" spans="1:14" x14ac:dyDescent="0.35">
      <c r="A950" t="s">
        <v>5429</v>
      </c>
      <c r="B950" t="s">
        <v>152</v>
      </c>
      <c r="C950" t="s">
        <v>1915</v>
      </c>
      <c r="D950" t="s">
        <v>4469</v>
      </c>
      <c r="E950" t="s">
        <v>4473</v>
      </c>
      <c r="F950" s="3">
        <v>44971</v>
      </c>
      <c r="G950" s="3">
        <v>44971</v>
      </c>
      <c r="H950">
        <v>18.8</v>
      </c>
      <c r="I950">
        <v>8</v>
      </c>
      <c r="J950" t="s">
        <v>4440</v>
      </c>
      <c r="K950" t="s">
        <v>4441</v>
      </c>
      <c r="L950" t="s">
        <v>4449</v>
      </c>
      <c r="M950" t="s">
        <v>4450</v>
      </c>
      <c r="N950">
        <v>3</v>
      </c>
    </row>
    <row r="951" spans="1:14" x14ac:dyDescent="0.35">
      <c r="A951" t="s">
        <v>5430</v>
      </c>
      <c r="B951" t="s">
        <v>128</v>
      </c>
      <c r="C951" t="s">
        <v>1883</v>
      </c>
      <c r="D951" t="s">
        <v>4452</v>
      </c>
      <c r="E951" t="s">
        <v>4444</v>
      </c>
      <c r="F951" s="3">
        <v>45358</v>
      </c>
      <c r="G951" s="3">
        <v>45358</v>
      </c>
      <c r="H951">
        <v>22.6</v>
      </c>
      <c r="I951">
        <v>24</v>
      </c>
      <c r="J951" t="s">
        <v>4448</v>
      </c>
      <c r="K951" t="s">
        <v>4441</v>
      </c>
      <c r="L951" t="s">
        <v>4492</v>
      </c>
      <c r="M951" t="s">
        <v>1625</v>
      </c>
    </row>
    <row r="952" spans="1:14" x14ac:dyDescent="0.35">
      <c r="A952" t="s">
        <v>5431</v>
      </c>
      <c r="B952" t="s">
        <v>469</v>
      </c>
      <c r="C952" t="s">
        <v>1904</v>
      </c>
      <c r="D952" t="s">
        <v>4472</v>
      </c>
      <c r="E952" t="s">
        <v>4444</v>
      </c>
      <c r="F952" s="3">
        <v>45005</v>
      </c>
      <c r="G952" s="3">
        <v>45005</v>
      </c>
      <c r="H952">
        <v>4.5</v>
      </c>
      <c r="I952">
        <v>24</v>
      </c>
      <c r="J952" t="s">
        <v>4448</v>
      </c>
      <c r="K952" t="s">
        <v>4441</v>
      </c>
      <c r="L952" t="s">
        <v>4454</v>
      </c>
      <c r="M952" t="s">
        <v>1625</v>
      </c>
      <c r="N952">
        <v>4</v>
      </c>
    </row>
    <row r="953" spans="1:14" x14ac:dyDescent="0.35">
      <c r="A953" t="s">
        <v>5432</v>
      </c>
      <c r="B953" t="s">
        <v>494</v>
      </c>
      <c r="C953" t="s">
        <v>1899</v>
      </c>
      <c r="D953" t="s">
        <v>4476</v>
      </c>
      <c r="E953" t="s">
        <v>4473</v>
      </c>
      <c r="F953" s="3">
        <v>45388</v>
      </c>
      <c r="G953" s="3">
        <v>45388</v>
      </c>
      <c r="H953">
        <v>6</v>
      </c>
      <c r="I953">
        <v>8</v>
      </c>
      <c r="J953" t="s">
        <v>4448</v>
      </c>
      <c r="K953" t="s">
        <v>4441</v>
      </c>
      <c r="L953" t="s">
        <v>4449</v>
      </c>
      <c r="M953" t="s">
        <v>4462</v>
      </c>
      <c r="N953">
        <v>4</v>
      </c>
    </row>
    <row r="954" spans="1:14" x14ac:dyDescent="0.35">
      <c r="A954" t="s">
        <v>5433</v>
      </c>
      <c r="B954" t="s">
        <v>449</v>
      </c>
      <c r="C954" t="s">
        <v>1883</v>
      </c>
      <c r="D954" t="s">
        <v>4476</v>
      </c>
      <c r="E954" t="s">
        <v>4439</v>
      </c>
      <c r="F954" s="3">
        <v>45513</v>
      </c>
      <c r="G954" s="3">
        <v>45516</v>
      </c>
      <c r="H954">
        <v>78.8</v>
      </c>
      <c r="I954">
        <v>48</v>
      </c>
      <c r="J954" t="s">
        <v>4440</v>
      </c>
      <c r="K954" t="s">
        <v>4441</v>
      </c>
      <c r="L954" t="s">
        <v>4483</v>
      </c>
      <c r="M954" t="s">
        <v>4450</v>
      </c>
      <c r="N954">
        <v>4</v>
      </c>
    </row>
    <row r="955" spans="1:14" x14ac:dyDescent="0.35">
      <c r="A955" t="s">
        <v>5434</v>
      </c>
      <c r="B955" t="s">
        <v>466</v>
      </c>
      <c r="C955" t="s">
        <v>1890</v>
      </c>
      <c r="D955" t="s">
        <v>4485</v>
      </c>
      <c r="E955" t="s">
        <v>4444</v>
      </c>
      <c r="F955" s="3">
        <v>45143</v>
      </c>
      <c r="G955" s="3">
        <v>45145</v>
      </c>
      <c r="H955">
        <v>51.7</v>
      </c>
      <c r="I955">
        <v>24</v>
      </c>
      <c r="J955" t="s">
        <v>4440</v>
      </c>
      <c r="K955" t="s">
        <v>4441</v>
      </c>
      <c r="L955" t="s">
        <v>4467</v>
      </c>
      <c r="M955" t="s">
        <v>1625</v>
      </c>
      <c r="N955">
        <v>2</v>
      </c>
    </row>
    <row r="956" spans="1:14" x14ac:dyDescent="0.35">
      <c r="A956" t="s">
        <v>5435</v>
      </c>
      <c r="B956" t="s">
        <v>355</v>
      </c>
      <c r="C956" t="s">
        <v>1883</v>
      </c>
      <c r="D956" t="s">
        <v>4485</v>
      </c>
      <c r="E956" t="s">
        <v>4444</v>
      </c>
      <c r="F956" s="3">
        <v>45420</v>
      </c>
      <c r="G956" s="3" t="s">
        <v>537</v>
      </c>
      <c r="I956">
        <v>24</v>
      </c>
      <c r="J956" t="s">
        <v>4440</v>
      </c>
      <c r="K956" t="s">
        <v>4457</v>
      </c>
      <c r="L956" t="s">
        <v>4512</v>
      </c>
      <c r="M956" t="s">
        <v>4462</v>
      </c>
    </row>
    <row r="957" spans="1:14" x14ac:dyDescent="0.35">
      <c r="A957" t="s">
        <v>5436</v>
      </c>
      <c r="B957" t="s">
        <v>328</v>
      </c>
      <c r="C957" t="s">
        <v>1883</v>
      </c>
      <c r="D957" t="s">
        <v>4469</v>
      </c>
      <c r="E957" t="s">
        <v>4444</v>
      </c>
      <c r="F957" s="3">
        <v>45526</v>
      </c>
      <c r="G957" s="3" t="s">
        <v>537</v>
      </c>
      <c r="I957">
        <v>24</v>
      </c>
      <c r="J957" t="s">
        <v>4448</v>
      </c>
      <c r="K957" t="s">
        <v>4474</v>
      </c>
      <c r="L957" t="s">
        <v>4580</v>
      </c>
      <c r="M957" t="s">
        <v>4450</v>
      </c>
    </row>
    <row r="958" spans="1:14" x14ac:dyDescent="0.35">
      <c r="A958" t="s">
        <v>5437</v>
      </c>
      <c r="B958" t="s">
        <v>80</v>
      </c>
      <c r="C958" t="s">
        <v>1904</v>
      </c>
      <c r="D958" t="s">
        <v>4460</v>
      </c>
      <c r="E958" t="s">
        <v>4473</v>
      </c>
      <c r="F958" s="3">
        <v>45111</v>
      </c>
      <c r="G958" s="3" t="s">
        <v>537</v>
      </c>
      <c r="I958">
        <v>8</v>
      </c>
      <c r="J958" t="s">
        <v>4448</v>
      </c>
      <c r="K958" t="s">
        <v>4457</v>
      </c>
      <c r="L958" t="s">
        <v>4580</v>
      </c>
      <c r="M958" t="s">
        <v>4462</v>
      </c>
    </row>
    <row r="959" spans="1:14" x14ac:dyDescent="0.35">
      <c r="A959" t="s">
        <v>5438</v>
      </c>
      <c r="B959" t="s">
        <v>362</v>
      </c>
      <c r="C959" t="s">
        <v>1899</v>
      </c>
      <c r="D959" t="s">
        <v>4464</v>
      </c>
      <c r="E959" t="s">
        <v>4444</v>
      </c>
      <c r="F959" s="3">
        <v>45646</v>
      </c>
      <c r="G959" s="3">
        <v>45647</v>
      </c>
      <c r="H959">
        <v>35.6</v>
      </c>
      <c r="I959">
        <v>24</v>
      </c>
      <c r="J959" t="s">
        <v>1945</v>
      </c>
      <c r="K959" t="s">
        <v>4441</v>
      </c>
      <c r="L959" t="s">
        <v>4470</v>
      </c>
      <c r="M959" t="s">
        <v>4446</v>
      </c>
      <c r="N959">
        <v>4</v>
      </c>
    </row>
    <row r="960" spans="1:14" x14ac:dyDescent="0.35">
      <c r="A960" t="s">
        <v>5439</v>
      </c>
      <c r="B960" t="s">
        <v>473</v>
      </c>
      <c r="C960" t="s">
        <v>1883</v>
      </c>
      <c r="D960" t="s">
        <v>4460</v>
      </c>
      <c r="E960" t="s">
        <v>4444</v>
      </c>
      <c r="F960" s="3">
        <v>45331</v>
      </c>
      <c r="G960" s="3">
        <v>45331</v>
      </c>
      <c r="H960">
        <v>16.7</v>
      </c>
      <c r="I960">
        <v>24</v>
      </c>
      <c r="J960" t="s">
        <v>4448</v>
      </c>
      <c r="K960" t="s">
        <v>4441</v>
      </c>
      <c r="L960" t="s">
        <v>4512</v>
      </c>
      <c r="M960" t="s">
        <v>4450</v>
      </c>
      <c r="N960">
        <v>4</v>
      </c>
    </row>
    <row r="961" spans="1:14" x14ac:dyDescent="0.35">
      <c r="A961" t="s">
        <v>5440</v>
      </c>
      <c r="B961" t="s">
        <v>483</v>
      </c>
      <c r="C961" t="s">
        <v>1927</v>
      </c>
      <c r="D961" t="s">
        <v>4443</v>
      </c>
      <c r="E961" t="s">
        <v>4444</v>
      </c>
      <c r="F961" s="3">
        <v>45157</v>
      </c>
      <c r="G961" s="3">
        <v>45157</v>
      </c>
      <c r="H961">
        <v>18.3</v>
      </c>
      <c r="I961">
        <v>24</v>
      </c>
      <c r="J961" t="s">
        <v>1945</v>
      </c>
      <c r="K961" t="s">
        <v>4441</v>
      </c>
      <c r="L961" t="s">
        <v>4488</v>
      </c>
      <c r="M961" t="s">
        <v>1625</v>
      </c>
    </row>
    <row r="962" spans="1:14" x14ac:dyDescent="0.35">
      <c r="A962" t="s">
        <v>5441</v>
      </c>
      <c r="B962" t="s">
        <v>421</v>
      </c>
      <c r="C962" t="s">
        <v>1899</v>
      </c>
      <c r="D962" t="s">
        <v>4452</v>
      </c>
      <c r="E962" t="s">
        <v>4473</v>
      </c>
      <c r="F962" s="3">
        <v>45275</v>
      </c>
      <c r="G962" s="3" t="s">
        <v>537</v>
      </c>
      <c r="I962">
        <v>8</v>
      </c>
      <c r="J962" t="s">
        <v>4448</v>
      </c>
      <c r="K962" t="s">
        <v>4457</v>
      </c>
      <c r="L962" t="s">
        <v>4465</v>
      </c>
      <c r="M962" t="s">
        <v>4446</v>
      </c>
    </row>
    <row r="963" spans="1:14" x14ac:dyDescent="0.35">
      <c r="A963" t="s">
        <v>5442</v>
      </c>
      <c r="B963" t="s">
        <v>165</v>
      </c>
      <c r="C963" t="s">
        <v>1927</v>
      </c>
      <c r="D963" t="s">
        <v>4443</v>
      </c>
      <c r="E963" t="s">
        <v>4444</v>
      </c>
      <c r="F963" s="3">
        <v>45579</v>
      </c>
      <c r="G963" s="3" t="s">
        <v>537</v>
      </c>
      <c r="I963">
        <v>24</v>
      </c>
      <c r="J963" t="s">
        <v>4440</v>
      </c>
      <c r="K963" t="s">
        <v>4453</v>
      </c>
      <c r="L963" t="s">
        <v>4458</v>
      </c>
      <c r="M963" t="s">
        <v>1625</v>
      </c>
    </row>
    <row r="964" spans="1:14" x14ac:dyDescent="0.35">
      <c r="A964" t="s">
        <v>5443</v>
      </c>
      <c r="B964" t="s">
        <v>257</v>
      </c>
      <c r="C964" t="s">
        <v>1890</v>
      </c>
      <c r="D964" t="s">
        <v>4476</v>
      </c>
      <c r="E964" t="s">
        <v>4473</v>
      </c>
      <c r="F964" s="3">
        <v>45328</v>
      </c>
      <c r="G964" s="3">
        <v>45328</v>
      </c>
      <c r="H964">
        <v>6.8</v>
      </c>
      <c r="I964">
        <v>8</v>
      </c>
      <c r="J964" t="s">
        <v>4448</v>
      </c>
      <c r="K964" t="s">
        <v>4441</v>
      </c>
      <c r="L964" t="s">
        <v>4470</v>
      </c>
      <c r="M964" t="s">
        <v>4450</v>
      </c>
      <c r="N964">
        <v>3</v>
      </c>
    </row>
    <row r="965" spans="1:14" x14ac:dyDescent="0.35">
      <c r="A965" t="s">
        <v>5444</v>
      </c>
      <c r="B965" t="s">
        <v>226</v>
      </c>
      <c r="C965" t="s">
        <v>1915</v>
      </c>
      <c r="D965" t="s">
        <v>4438</v>
      </c>
      <c r="E965" t="s">
        <v>4473</v>
      </c>
      <c r="F965" s="3">
        <v>45192</v>
      </c>
      <c r="G965" s="3">
        <v>45192</v>
      </c>
      <c r="H965">
        <v>3.6</v>
      </c>
      <c r="I965">
        <v>8</v>
      </c>
      <c r="J965" t="s">
        <v>1945</v>
      </c>
      <c r="K965" t="s">
        <v>4441</v>
      </c>
      <c r="L965" t="s">
        <v>4458</v>
      </c>
      <c r="M965" t="s">
        <v>4446</v>
      </c>
      <c r="N965">
        <v>5</v>
      </c>
    </row>
    <row r="966" spans="1:14" x14ac:dyDescent="0.35">
      <c r="A966" t="s">
        <v>5445</v>
      </c>
      <c r="B966" t="s">
        <v>423</v>
      </c>
      <c r="C966" t="s">
        <v>1927</v>
      </c>
      <c r="D966" t="s">
        <v>4482</v>
      </c>
      <c r="E966" t="s">
        <v>4439</v>
      </c>
      <c r="F966" s="3">
        <v>45458</v>
      </c>
      <c r="G966" s="3">
        <v>45460</v>
      </c>
      <c r="H966">
        <v>55.4</v>
      </c>
      <c r="I966">
        <v>48</v>
      </c>
      <c r="J966" t="s">
        <v>4440</v>
      </c>
      <c r="K966" t="s">
        <v>4441</v>
      </c>
      <c r="L966" t="s">
        <v>4458</v>
      </c>
      <c r="M966" t="s">
        <v>4450</v>
      </c>
    </row>
    <row r="967" spans="1:14" x14ac:dyDescent="0.35">
      <c r="A967" t="s">
        <v>5446</v>
      </c>
      <c r="B967" t="s">
        <v>330</v>
      </c>
      <c r="C967" t="s">
        <v>1883</v>
      </c>
      <c r="D967" t="s">
        <v>4452</v>
      </c>
      <c r="E967" t="s">
        <v>4473</v>
      </c>
      <c r="F967" s="3">
        <v>45326</v>
      </c>
      <c r="G967" s="3" t="s">
        <v>537</v>
      </c>
      <c r="I967">
        <v>8</v>
      </c>
      <c r="J967" t="s">
        <v>4448</v>
      </c>
      <c r="K967" t="s">
        <v>4453</v>
      </c>
      <c r="L967" t="s">
        <v>4512</v>
      </c>
      <c r="M967" t="s">
        <v>4446</v>
      </c>
    </row>
    <row r="968" spans="1:14" x14ac:dyDescent="0.35">
      <c r="A968" t="s">
        <v>5447</v>
      </c>
      <c r="B968" t="s">
        <v>156</v>
      </c>
      <c r="C968" t="s">
        <v>1899</v>
      </c>
      <c r="D968" t="s">
        <v>4482</v>
      </c>
      <c r="E968" t="s">
        <v>4439</v>
      </c>
      <c r="F968" s="3">
        <v>45376</v>
      </c>
      <c r="G968" s="3">
        <v>45380</v>
      </c>
      <c r="H968">
        <v>105.3</v>
      </c>
      <c r="I968">
        <v>48</v>
      </c>
      <c r="J968" t="s">
        <v>4440</v>
      </c>
      <c r="K968" t="s">
        <v>4441</v>
      </c>
      <c r="L968" t="s">
        <v>4445</v>
      </c>
      <c r="M968" t="s">
        <v>4446</v>
      </c>
      <c r="N968">
        <v>3</v>
      </c>
    </row>
    <row r="969" spans="1:14" x14ac:dyDescent="0.35">
      <c r="A969" t="s">
        <v>5448</v>
      </c>
      <c r="B969" t="s">
        <v>299</v>
      </c>
      <c r="C969" t="s">
        <v>1890</v>
      </c>
      <c r="D969" t="s">
        <v>4460</v>
      </c>
      <c r="E969" t="s">
        <v>4439</v>
      </c>
      <c r="F969" s="3">
        <v>45465</v>
      </c>
      <c r="G969" s="3">
        <v>45466</v>
      </c>
      <c r="H969">
        <v>26.4</v>
      </c>
      <c r="I969">
        <v>48</v>
      </c>
      <c r="J969" t="s">
        <v>4448</v>
      </c>
      <c r="K969" t="s">
        <v>4441</v>
      </c>
      <c r="L969" t="s">
        <v>4514</v>
      </c>
      <c r="M969" t="s">
        <v>4446</v>
      </c>
      <c r="N969">
        <v>4</v>
      </c>
    </row>
    <row r="970" spans="1:14" x14ac:dyDescent="0.35">
      <c r="A970" t="s">
        <v>5449</v>
      </c>
      <c r="B970" t="s">
        <v>250</v>
      </c>
      <c r="C970" t="s">
        <v>1890</v>
      </c>
      <c r="D970" t="s">
        <v>4485</v>
      </c>
      <c r="E970" t="s">
        <v>4439</v>
      </c>
      <c r="F970" s="3">
        <v>45365</v>
      </c>
      <c r="G970" s="3" t="s">
        <v>537</v>
      </c>
      <c r="I970">
        <v>48</v>
      </c>
      <c r="J970" t="s">
        <v>4448</v>
      </c>
      <c r="K970" t="s">
        <v>4474</v>
      </c>
      <c r="L970" t="s">
        <v>4445</v>
      </c>
      <c r="M970" t="s">
        <v>4450</v>
      </c>
    </row>
    <row r="971" spans="1:14" x14ac:dyDescent="0.35">
      <c r="A971" t="s">
        <v>5450</v>
      </c>
      <c r="B971" t="s">
        <v>219</v>
      </c>
      <c r="C971" t="s">
        <v>1915</v>
      </c>
      <c r="D971" t="s">
        <v>4479</v>
      </c>
      <c r="E971" t="s">
        <v>4444</v>
      </c>
      <c r="F971" s="3">
        <v>45167</v>
      </c>
      <c r="G971" s="3">
        <v>45169</v>
      </c>
      <c r="H971">
        <v>49.2</v>
      </c>
      <c r="I971">
        <v>24</v>
      </c>
      <c r="J971" t="s">
        <v>4440</v>
      </c>
      <c r="K971" t="s">
        <v>4441</v>
      </c>
      <c r="L971" t="s">
        <v>4488</v>
      </c>
      <c r="M971" t="s">
        <v>4446</v>
      </c>
      <c r="N971">
        <v>5</v>
      </c>
    </row>
    <row r="972" spans="1:14" x14ac:dyDescent="0.35">
      <c r="A972" t="s">
        <v>5451</v>
      </c>
      <c r="B972" t="s">
        <v>131</v>
      </c>
      <c r="C972" t="s">
        <v>1890</v>
      </c>
      <c r="D972" t="s">
        <v>4452</v>
      </c>
      <c r="E972" t="s">
        <v>4444</v>
      </c>
      <c r="F972" s="3">
        <v>44948</v>
      </c>
      <c r="G972" s="3">
        <v>44948</v>
      </c>
      <c r="H972">
        <v>9.5</v>
      </c>
      <c r="I972">
        <v>24</v>
      </c>
      <c r="J972" t="s">
        <v>4448</v>
      </c>
      <c r="K972" t="s">
        <v>4441</v>
      </c>
      <c r="L972" t="s">
        <v>4483</v>
      </c>
      <c r="M972" t="s">
        <v>4462</v>
      </c>
    </row>
    <row r="973" spans="1:14" x14ac:dyDescent="0.35">
      <c r="A973" t="s">
        <v>5452</v>
      </c>
      <c r="B973" t="s">
        <v>396</v>
      </c>
      <c r="C973" t="s">
        <v>1927</v>
      </c>
      <c r="D973" t="s">
        <v>4476</v>
      </c>
      <c r="E973" t="s">
        <v>4444</v>
      </c>
      <c r="F973" s="3">
        <v>45328</v>
      </c>
      <c r="G973" s="3">
        <v>45329</v>
      </c>
      <c r="H973">
        <v>36.1</v>
      </c>
      <c r="I973">
        <v>24</v>
      </c>
      <c r="J973" t="s">
        <v>4440</v>
      </c>
      <c r="K973" t="s">
        <v>4441</v>
      </c>
      <c r="L973" t="s">
        <v>4470</v>
      </c>
      <c r="M973" t="s">
        <v>4446</v>
      </c>
      <c r="N973">
        <v>2</v>
      </c>
    </row>
    <row r="974" spans="1:14" x14ac:dyDescent="0.35">
      <c r="A974" t="s">
        <v>5453</v>
      </c>
      <c r="B974" t="s">
        <v>299</v>
      </c>
      <c r="C974" t="s">
        <v>1899</v>
      </c>
      <c r="D974" t="s">
        <v>4452</v>
      </c>
      <c r="E974" t="s">
        <v>4473</v>
      </c>
      <c r="F974" s="3">
        <v>45714</v>
      </c>
      <c r="G974" s="3" t="s">
        <v>537</v>
      </c>
      <c r="I974">
        <v>8</v>
      </c>
      <c r="J974" t="s">
        <v>4448</v>
      </c>
      <c r="K974" t="s">
        <v>4457</v>
      </c>
      <c r="L974" t="s">
        <v>4509</v>
      </c>
      <c r="M974" t="s">
        <v>4462</v>
      </c>
    </row>
    <row r="975" spans="1:14" x14ac:dyDescent="0.35">
      <c r="A975" t="s">
        <v>5454</v>
      </c>
      <c r="B975" t="s">
        <v>176</v>
      </c>
      <c r="C975" t="s">
        <v>1899</v>
      </c>
      <c r="D975" t="s">
        <v>4452</v>
      </c>
      <c r="E975" t="s">
        <v>4456</v>
      </c>
      <c r="F975" s="3">
        <v>45583</v>
      </c>
      <c r="G975" s="3">
        <v>45583</v>
      </c>
      <c r="H975">
        <v>5.7</v>
      </c>
      <c r="I975">
        <v>4</v>
      </c>
      <c r="J975" t="s">
        <v>4440</v>
      </c>
      <c r="K975" t="s">
        <v>4441</v>
      </c>
      <c r="L975" t="s">
        <v>4480</v>
      </c>
      <c r="M975" t="s">
        <v>4446</v>
      </c>
      <c r="N975">
        <v>5</v>
      </c>
    </row>
    <row r="976" spans="1:14" x14ac:dyDescent="0.35">
      <c r="A976" t="s">
        <v>5455</v>
      </c>
      <c r="B976" t="s">
        <v>401</v>
      </c>
      <c r="C976" t="s">
        <v>1890</v>
      </c>
      <c r="D976" t="s">
        <v>4443</v>
      </c>
      <c r="E976" t="s">
        <v>4473</v>
      </c>
      <c r="F976" s="3">
        <v>45231</v>
      </c>
      <c r="G976" s="3" t="s">
        <v>537</v>
      </c>
      <c r="I976">
        <v>8</v>
      </c>
      <c r="J976" t="s">
        <v>4448</v>
      </c>
      <c r="K976" t="s">
        <v>4474</v>
      </c>
      <c r="L976" t="s">
        <v>4470</v>
      </c>
      <c r="M976" t="s">
        <v>4462</v>
      </c>
    </row>
    <row r="977" spans="1:14" x14ac:dyDescent="0.35">
      <c r="A977" t="s">
        <v>5456</v>
      </c>
      <c r="B977" t="s">
        <v>250</v>
      </c>
      <c r="C977" t="s">
        <v>1890</v>
      </c>
      <c r="D977" t="s">
        <v>4452</v>
      </c>
      <c r="E977" t="s">
        <v>4473</v>
      </c>
      <c r="F977" s="3">
        <v>45018</v>
      </c>
      <c r="G977" s="3">
        <v>45018</v>
      </c>
      <c r="H977">
        <v>8.5</v>
      </c>
      <c r="I977">
        <v>8</v>
      </c>
      <c r="J977" t="s">
        <v>4440</v>
      </c>
      <c r="K977" t="s">
        <v>4441</v>
      </c>
      <c r="L977" t="s">
        <v>4454</v>
      </c>
      <c r="M977" t="s">
        <v>4462</v>
      </c>
    </row>
    <row r="978" spans="1:14" x14ac:dyDescent="0.35">
      <c r="A978" t="s">
        <v>5457</v>
      </c>
      <c r="B978" t="s">
        <v>432</v>
      </c>
      <c r="C978" t="s">
        <v>1899</v>
      </c>
      <c r="D978" t="s">
        <v>4469</v>
      </c>
      <c r="E978" t="s">
        <v>4439</v>
      </c>
      <c r="F978" s="3">
        <v>45688</v>
      </c>
      <c r="G978" s="3">
        <v>45691</v>
      </c>
      <c r="H978">
        <v>85.7</v>
      </c>
      <c r="I978">
        <v>48</v>
      </c>
      <c r="J978" t="s">
        <v>4440</v>
      </c>
      <c r="K978" t="s">
        <v>4441</v>
      </c>
      <c r="L978" t="s">
        <v>4533</v>
      </c>
      <c r="M978" t="s">
        <v>1625</v>
      </c>
      <c r="N978">
        <v>3</v>
      </c>
    </row>
    <row r="979" spans="1:14" x14ac:dyDescent="0.35">
      <c r="A979" t="s">
        <v>5458</v>
      </c>
      <c r="B979" t="s">
        <v>380</v>
      </c>
      <c r="C979" t="s">
        <v>1899</v>
      </c>
      <c r="D979" t="s">
        <v>4438</v>
      </c>
      <c r="E979" t="s">
        <v>4444</v>
      </c>
      <c r="F979" s="3">
        <v>45091</v>
      </c>
      <c r="G979" s="3">
        <v>45091</v>
      </c>
      <c r="H979">
        <v>8.5</v>
      </c>
      <c r="I979">
        <v>24</v>
      </c>
      <c r="J979" t="s">
        <v>4448</v>
      </c>
      <c r="K979" t="s">
        <v>4441</v>
      </c>
      <c r="L979" t="s">
        <v>4449</v>
      </c>
      <c r="M979" t="s">
        <v>4446</v>
      </c>
      <c r="N979">
        <v>5</v>
      </c>
    </row>
    <row r="980" spans="1:14" x14ac:dyDescent="0.35">
      <c r="A980" t="s">
        <v>5459</v>
      </c>
      <c r="B980" t="s">
        <v>332</v>
      </c>
      <c r="C980" t="s">
        <v>1927</v>
      </c>
      <c r="D980" t="s">
        <v>4452</v>
      </c>
      <c r="E980" t="s">
        <v>4439</v>
      </c>
      <c r="F980" s="3">
        <v>45028</v>
      </c>
      <c r="G980" s="3">
        <v>45028</v>
      </c>
      <c r="H980">
        <v>2.5</v>
      </c>
      <c r="I980">
        <v>48</v>
      </c>
      <c r="J980" t="s">
        <v>4448</v>
      </c>
      <c r="K980" t="s">
        <v>4441</v>
      </c>
      <c r="L980" t="s">
        <v>4467</v>
      </c>
      <c r="M980" t="s">
        <v>4462</v>
      </c>
    </row>
    <row r="981" spans="1:14" x14ac:dyDescent="0.35">
      <c r="A981" t="s">
        <v>5460</v>
      </c>
      <c r="B981" t="s">
        <v>261</v>
      </c>
      <c r="C981" t="s">
        <v>1883</v>
      </c>
      <c r="D981" t="s">
        <v>4443</v>
      </c>
      <c r="E981" t="s">
        <v>4439</v>
      </c>
      <c r="F981" s="3">
        <v>44960</v>
      </c>
      <c r="G981" s="3">
        <v>44962</v>
      </c>
      <c r="H981">
        <v>50.7</v>
      </c>
      <c r="I981">
        <v>48</v>
      </c>
      <c r="J981" t="s">
        <v>4440</v>
      </c>
      <c r="K981" t="s">
        <v>4441</v>
      </c>
      <c r="L981" t="s">
        <v>4488</v>
      </c>
      <c r="M981" t="s">
        <v>4450</v>
      </c>
      <c r="N981">
        <v>1</v>
      </c>
    </row>
    <row r="982" spans="1:14" x14ac:dyDescent="0.35">
      <c r="A982" t="s">
        <v>5461</v>
      </c>
      <c r="B982" t="s">
        <v>156</v>
      </c>
      <c r="C982" t="s">
        <v>1927</v>
      </c>
      <c r="D982" t="s">
        <v>4485</v>
      </c>
      <c r="E982" t="s">
        <v>4444</v>
      </c>
      <c r="F982" s="3">
        <v>45006</v>
      </c>
      <c r="G982" s="3">
        <v>45007</v>
      </c>
      <c r="H982">
        <v>24.5</v>
      </c>
      <c r="I982">
        <v>24</v>
      </c>
      <c r="J982" t="s">
        <v>4440</v>
      </c>
      <c r="K982" t="s">
        <v>4441</v>
      </c>
      <c r="L982" t="s">
        <v>4465</v>
      </c>
      <c r="M982" t="s">
        <v>4450</v>
      </c>
      <c r="N982">
        <v>4</v>
      </c>
    </row>
    <row r="983" spans="1:14" x14ac:dyDescent="0.35">
      <c r="A983" t="s">
        <v>5462</v>
      </c>
      <c r="B983" t="s">
        <v>381</v>
      </c>
      <c r="C983" t="s">
        <v>1915</v>
      </c>
      <c r="D983" t="s">
        <v>4472</v>
      </c>
      <c r="E983" t="s">
        <v>4444</v>
      </c>
      <c r="F983" s="3">
        <v>45197</v>
      </c>
      <c r="G983" s="3">
        <v>45199</v>
      </c>
      <c r="H983">
        <v>49.1</v>
      </c>
      <c r="I983">
        <v>24</v>
      </c>
      <c r="J983" t="s">
        <v>4440</v>
      </c>
      <c r="K983" t="s">
        <v>4441</v>
      </c>
      <c r="L983" t="s">
        <v>4480</v>
      </c>
      <c r="M983" t="s">
        <v>4450</v>
      </c>
      <c r="N983">
        <v>5</v>
      </c>
    </row>
    <row r="984" spans="1:14" x14ac:dyDescent="0.35">
      <c r="A984" t="s">
        <v>5463</v>
      </c>
      <c r="B984" t="s">
        <v>133</v>
      </c>
      <c r="C984" t="s">
        <v>1890</v>
      </c>
      <c r="D984" t="s">
        <v>4443</v>
      </c>
      <c r="E984" t="s">
        <v>4473</v>
      </c>
      <c r="F984" s="3">
        <v>45571</v>
      </c>
      <c r="G984" s="3">
        <v>45571</v>
      </c>
      <c r="H984">
        <v>10.1</v>
      </c>
      <c r="I984">
        <v>8</v>
      </c>
      <c r="J984" t="s">
        <v>4440</v>
      </c>
      <c r="K984" t="s">
        <v>4441</v>
      </c>
      <c r="L984" t="s">
        <v>4461</v>
      </c>
      <c r="M984" t="s">
        <v>4446</v>
      </c>
      <c r="N984">
        <v>4</v>
      </c>
    </row>
    <row r="985" spans="1:14" x14ac:dyDescent="0.35">
      <c r="A985" t="s">
        <v>5464</v>
      </c>
      <c r="B985" t="s">
        <v>184</v>
      </c>
      <c r="C985" t="s">
        <v>1890</v>
      </c>
      <c r="D985" t="s">
        <v>4460</v>
      </c>
      <c r="E985" t="s">
        <v>4473</v>
      </c>
      <c r="F985" s="3">
        <v>45228</v>
      </c>
      <c r="G985" s="3">
        <v>45228</v>
      </c>
      <c r="H985">
        <v>13.1</v>
      </c>
      <c r="I985">
        <v>8</v>
      </c>
      <c r="J985" t="s">
        <v>4440</v>
      </c>
      <c r="K985" t="s">
        <v>4441</v>
      </c>
      <c r="L985" t="s">
        <v>4492</v>
      </c>
      <c r="M985" t="s">
        <v>4446</v>
      </c>
      <c r="N985">
        <v>5</v>
      </c>
    </row>
    <row r="986" spans="1:14" x14ac:dyDescent="0.35">
      <c r="A986" t="s">
        <v>5465</v>
      </c>
      <c r="B986" t="s">
        <v>142</v>
      </c>
      <c r="C986" t="s">
        <v>1904</v>
      </c>
      <c r="D986" t="s">
        <v>4460</v>
      </c>
      <c r="E986" t="s">
        <v>4473</v>
      </c>
      <c r="F986" s="3">
        <v>45279</v>
      </c>
      <c r="G986" s="3" t="s">
        <v>537</v>
      </c>
      <c r="I986">
        <v>8</v>
      </c>
      <c r="J986" t="s">
        <v>4440</v>
      </c>
      <c r="K986" t="s">
        <v>4453</v>
      </c>
      <c r="L986" t="s">
        <v>4467</v>
      </c>
      <c r="M986" t="s">
        <v>4446</v>
      </c>
    </row>
    <row r="987" spans="1:14" x14ac:dyDescent="0.35">
      <c r="A987" t="s">
        <v>5466</v>
      </c>
      <c r="B987" t="s">
        <v>128</v>
      </c>
      <c r="C987" t="s">
        <v>1927</v>
      </c>
      <c r="D987" t="s">
        <v>4485</v>
      </c>
      <c r="E987" t="s">
        <v>4439</v>
      </c>
      <c r="F987" s="3">
        <v>44998</v>
      </c>
      <c r="G987" s="3" t="s">
        <v>537</v>
      </c>
      <c r="I987">
        <v>48</v>
      </c>
      <c r="J987" t="s">
        <v>4448</v>
      </c>
      <c r="K987" t="s">
        <v>4474</v>
      </c>
      <c r="L987" t="s">
        <v>4509</v>
      </c>
      <c r="M987" t="s">
        <v>1625</v>
      </c>
    </row>
    <row r="988" spans="1:14" x14ac:dyDescent="0.35">
      <c r="A988" t="s">
        <v>5467</v>
      </c>
      <c r="B988" t="s">
        <v>146</v>
      </c>
      <c r="C988" t="s">
        <v>1915</v>
      </c>
      <c r="D988" t="s">
        <v>4485</v>
      </c>
      <c r="E988" t="s">
        <v>4473</v>
      </c>
      <c r="F988" s="3">
        <v>45086</v>
      </c>
      <c r="G988" s="3" t="s">
        <v>537</v>
      </c>
      <c r="I988">
        <v>8</v>
      </c>
      <c r="J988" t="s">
        <v>4440</v>
      </c>
      <c r="K988" t="s">
        <v>4474</v>
      </c>
      <c r="L988" t="s">
        <v>4509</v>
      </c>
      <c r="M988" t="s">
        <v>4450</v>
      </c>
    </row>
    <row r="989" spans="1:14" x14ac:dyDescent="0.35">
      <c r="A989" t="s">
        <v>5468</v>
      </c>
      <c r="B989" t="s">
        <v>280</v>
      </c>
      <c r="C989" t="s">
        <v>1890</v>
      </c>
      <c r="D989" t="s">
        <v>4438</v>
      </c>
      <c r="E989" t="s">
        <v>4473</v>
      </c>
      <c r="F989" s="3">
        <v>44931</v>
      </c>
      <c r="G989" s="3" t="s">
        <v>537</v>
      </c>
      <c r="I989">
        <v>8</v>
      </c>
      <c r="J989" t="s">
        <v>4440</v>
      </c>
      <c r="K989" t="s">
        <v>4474</v>
      </c>
      <c r="L989" t="s">
        <v>4580</v>
      </c>
      <c r="M989" t="s">
        <v>4462</v>
      </c>
    </row>
    <row r="990" spans="1:14" x14ac:dyDescent="0.35">
      <c r="A990" t="s">
        <v>5469</v>
      </c>
      <c r="B990" t="s">
        <v>368</v>
      </c>
      <c r="C990" t="s">
        <v>1899</v>
      </c>
      <c r="D990" t="s">
        <v>4464</v>
      </c>
      <c r="E990" t="s">
        <v>4439</v>
      </c>
      <c r="F990" s="3">
        <v>45166</v>
      </c>
      <c r="G990" s="3">
        <v>45168</v>
      </c>
      <c r="H990">
        <v>65.3</v>
      </c>
      <c r="I990">
        <v>48</v>
      </c>
      <c r="J990" t="s">
        <v>4440</v>
      </c>
      <c r="K990" t="s">
        <v>4441</v>
      </c>
      <c r="L990" t="s">
        <v>4512</v>
      </c>
      <c r="M990" t="s">
        <v>1625</v>
      </c>
      <c r="N990">
        <v>4</v>
      </c>
    </row>
    <row r="991" spans="1:14" x14ac:dyDescent="0.35">
      <c r="A991" t="s">
        <v>5470</v>
      </c>
      <c r="B991" t="s">
        <v>285</v>
      </c>
      <c r="C991" t="s">
        <v>1915</v>
      </c>
      <c r="D991" t="s">
        <v>4479</v>
      </c>
      <c r="E991" t="s">
        <v>4444</v>
      </c>
      <c r="F991" s="3">
        <v>45626</v>
      </c>
      <c r="G991" s="3" t="s">
        <v>537</v>
      </c>
      <c r="I991">
        <v>24</v>
      </c>
      <c r="J991" t="s">
        <v>4440</v>
      </c>
      <c r="K991" t="s">
        <v>4474</v>
      </c>
      <c r="L991" t="s">
        <v>4445</v>
      </c>
      <c r="M991" t="s">
        <v>4450</v>
      </c>
    </row>
    <row r="992" spans="1:14" x14ac:dyDescent="0.35">
      <c r="A992" t="s">
        <v>5471</v>
      </c>
      <c r="B992" t="s">
        <v>346</v>
      </c>
      <c r="C992" t="s">
        <v>1883</v>
      </c>
      <c r="D992" t="s">
        <v>4460</v>
      </c>
      <c r="E992" t="s">
        <v>4439</v>
      </c>
      <c r="F992" s="3">
        <v>45714</v>
      </c>
      <c r="G992" s="3">
        <v>45715</v>
      </c>
      <c r="H992">
        <v>34.299999999999997</v>
      </c>
      <c r="I992">
        <v>48</v>
      </c>
      <c r="J992" t="s">
        <v>4448</v>
      </c>
      <c r="K992" t="s">
        <v>4441</v>
      </c>
      <c r="L992" t="s">
        <v>4533</v>
      </c>
      <c r="M992" t="s">
        <v>4446</v>
      </c>
      <c r="N992">
        <v>4</v>
      </c>
    </row>
    <row r="993" spans="1:14" x14ac:dyDescent="0.35">
      <c r="A993" t="s">
        <v>5472</v>
      </c>
      <c r="B993" t="s">
        <v>372</v>
      </c>
      <c r="C993" t="s">
        <v>1915</v>
      </c>
      <c r="D993" t="s">
        <v>4464</v>
      </c>
      <c r="E993" t="s">
        <v>4473</v>
      </c>
      <c r="F993" s="3">
        <v>45574</v>
      </c>
      <c r="G993" s="3" t="s">
        <v>537</v>
      </c>
      <c r="I993">
        <v>8</v>
      </c>
      <c r="J993" t="s">
        <v>4440</v>
      </c>
      <c r="K993" t="s">
        <v>4474</v>
      </c>
      <c r="L993" t="s">
        <v>4454</v>
      </c>
      <c r="M993" t="s">
        <v>4446</v>
      </c>
    </row>
    <row r="994" spans="1:14" x14ac:dyDescent="0.35">
      <c r="A994" t="s">
        <v>5473</v>
      </c>
      <c r="B994" t="s">
        <v>424</v>
      </c>
      <c r="C994" t="s">
        <v>1915</v>
      </c>
      <c r="D994" t="s">
        <v>4490</v>
      </c>
      <c r="E994" t="s">
        <v>4444</v>
      </c>
      <c r="F994" s="3">
        <v>44971</v>
      </c>
      <c r="G994" s="3">
        <v>44971</v>
      </c>
      <c r="H994">
        <v>6.3</v>
      </c>
      <c r="I994">
        <v>24</v>
      </c>
      <c r="J994" t="s">
        <v>4448</v>
      </c>
      <c r="K994" t="s">
        <v>4441</v>
      </c>
      <c r="L994" t="s">
        <v>4480</v>
      </c>
      <c r="M994" t="s">
        <v>1625</v>
      </c>
      <c r="N994">
        <v>4</v>
      </c>
    </row>
    <row r="995" spans="1:14" x14ac:dyDescent="0.35">
      <c r="A995" t="s">
        <v>5474</v>
      </c>
      <c r="B995" t="s">
        <v>182</v>
      </c>
      <c r="C995" t="s">
        <v>1904</v>
      </c>
      <c r="D995" t="s">
        <v>4479</v>
      </c>
      <c r="E995" t="s">
        <v>4439</v>
      </c>
      <c r="F995" s="3">
        <v>45348</v>
      </c>
      <c r="G995" s="3">
        <v>45348</v>
      </c>
      <c r="H995">
        <v>23.9</v>
      </c>
      <c r="I995">
        <v>48</v>
      </c>
      <c r="J995" t="s">
        <v>4448</v>
      </c>
      <c r="K995" t="s">
        <v>4441</v>
      </c>
      <c r="L995" t="s">
        <v>4454</v>
      </c>
      <c r="M995" t="s">
        <v>4446</v>
      </c>
      <c r="N995">
        <v>2</v>
      </c>
    </row>
    <row r="996" spans="1:14" x14ac:dyDescent="0.35">
      <c r="A996" t="s">
        <v>5475</v>
      </c>
      <c r="B996" t="s">
        <v>188</v>
      </c>
      <c r="C996" t="s">
        <v>1927</v>
      </c>
      <c r="D996" t="s">
        <v>4490</v>
      </c>
      <c r="E996" t="s">
        <v>4456</v>
      </c>
      <c r="F996" s="3">
        <v>45253</v>
      </c>
      <c r="G996" s="3">
        <v>45253</v>
      </c>
      <c r="H996">
        <v>8.6</v>
      </c>
      <c r="I996">
        <v>4</v>
      </c>
      <c r="J996" t="s">
        <v>4440</v>
      </c>
      <c r="K996" t="s">
        <v>4441</v>
      </c>
      <c r="L996" t="s">
        <v>4514</v>
      </c>
      <c r="M996" t="s">
        <v>1625</v>
      </c>
    </row>
    <row r="997" spans="1:14" x14ac:dyDescent="0.35">
      <c r="A997" t="s">
        <v>5476</v>
      </c>
      <c r="B997" t="s">
        <v>477</v>
      </c>
      <c r="C997" t="s">
        <v>1899</v>
      </c>
      <c r="D997" t="s">
        <v>4490</v>
      </c>
      <c r="E997" t="s">
        <v>4444</v>
      </c>
      <c r="F997" s="3">
        <v>45642</v>
      </c>
      <c r="G997" s="3">
        <v>45644</v>
      </c>
      <c r="H997">
        <v>52.7</v>
      </c>
      <c r="I997">
        <v>24</v>
      </c>
      <c r="J997" t="s">
        <v>1945</v>
      </c>
      <c r="K997" t="s">
        <v>4441</v>
      </c>
      <c r="L997" t="s">
        <v>4465</v>
      </c>
      <c r="M997" t="s">
        <v>4450</v>
      </c>
    </row>
    <row r="998" spans="1:14" x14ac:dyDescent="0.35">
      <c r="A998" t="s">
        <v>5477</v>
      </c>
      <c r="B998" t="s">
        <v>406</v>
      </c>
      <c r="C998" t="s">
        <v>1883</v>
      </c>
      <c r="D998" t="s">
        <v>4490</v>
      </c>
      <c r="E998" t="s">
        <v>4444</v>
      </c>
      <c r="F998" s="3">
        <v>45014</v>
      </c>
      <c r="G998" s="3" t="s">
        <v>537</v>
      </c>
      <c r="I998">
        <v>24</v>
      </c>
      <c r="J998" t="s">
        <v>4448</v>
      </c>
      <c r="K998" t="s">
        <v>4474</v>
      </c>
      <c r="L998" t="s">
        <v>4492</v>
      </c>
      <c r="M998" t="s">
        <v>4446</v>
      </c>
    </row>
    <row r="999" spans="1:14" x14ac:dyDescent="0.35">
      <c r="A999" t="s">
        <v>5478</v>
      </c>
      <c r="B999" t="s">
        <v>378</v>
      </c>
      <c r="C999" t="s">
        <v>1883</v>
      </c>
      <c r="D999" t="s">
        <v>8504</v>
      </c>
      <c r="E999" t="s">
        <v>4456</v>
      </c>
      <c r="F999" s="3">
        <v>45346</v>
      </c>
      <c r="G999" s="3" t="s">
        <v>537</v>
      </c>
      <c r="I999">
        <v>4</v>
      </c>
      <c r="J999" t="s">
        <v>4440</v>
      </c>
      <c r="K999" t="s">
        <v>4457</v>
      </c>
      <c r="L999" t="s">
        <v>4512</v>
      </c>
      <c r="M999" t="s">
        <v>4446</v>
      </c>
    </row>
    <row r="1000" spans="1:14" x14ac:dyDescent="0.35">
      <c r="A1000" t="s">
        <v>5479</v>
      </c>
      <c r="B1000" t="s">
        <v>122</v>
      </c>
      <c r="C1000" t="s">
        <v>1899</v>
      </c>
      <c r="D1000" t="s">
        <v>4490</v>
      </c>
      <c r="E1000" t="s">
        <v>4473</v>
      </c>
      <c r="F1000" s="3">
        <v>45565</v>
      </c>
      <c r="G1000" s="3">
        <v>45565</v>
      </c>
      <c r="H1000">
        <v>15.4</v>
      </c>
      <c r="I1000">
        <v>8</v>
      </c>
      <c r="J1000" t="s">
        <v>4440</v>
      </c>
      <c r="K1000" t="s">
        <v>4441</v>
      </c>
      <c r="L1000" t="s">
        <v>4445</v>
      </c>
      <c r="M1000" t="s">
        <v>4450</v>
      </c>
      <c r="N1000">
        <v>3</v>
      </c>
    </row>
    <row r="1001" spans="1:14" x14ac:dyDescent="0.35">
      <c r="A1001" t="s">
        <v>5480</v>
      </c>
      <c r="B1001" t="s">
        <v>496</v>
      </c>
      <c r="C1001" t="s">
        <v>1927</v>
      </c>
      <c r="D1001" t="s">
        <v>8512</v>
      </c>
      <c r="E1001" t="s">
        <v>4473</v>
      </c>
      <c r="F1001" s="3">
        <v>45464</v>
      </c>
      <c r="G1001" s="3">
        <v>45464</v>
      </c>
      <c r="H1001">
        <v>5.4</v>
      </c>
      <c r="I1001">
        <v>8</v>
      </c>
      <c r="J1001" t="s">
        <v>4448</v>
      </c>
      <c r="K1001" t="s">
        <v>4441</v>
      </c>
      <c r="L1001" t="s">
        <v>4480</v>
      </c>
      <c r="M1001" t="s">
        <v>1625</v>
      </c>
      <c r="N1001">
        <v>2</v>
      </c>
    </row>
    <row r="1002" spans="1:14" x14ac:dyDescent="0.35">
      <c r="A1002" t="s">
        <v>5481</v>
      </c>
      <c r="B1002" t="s">
        <v>440</v>
      </c>
      <c r="C1002" t="s">
        <v>1899</v>
      </c>
      <c r="D1002" t="s">
        <v>4490</v>
      </c>
      <c r="E1002" t="s">
        <v>4439</v>
      </c>
      <c r="F1002" s="3">
        <v>45565</v>
      </c>
      <c r="G1002" s="3" t="s">
        <v>537</v>
      </c>
      <c r="I1002">
        <v>48</v>
      </c>
      <c r="J1002" t="s">
        <v>4448</v>
      </c>
      <c r="K1002" t="s">
        <v>4474</v>
      </c>
      <c r="L1002" t="s">
        <v>4465</v>
      </c>
      <c r="M1002" t="s">
        <v>4446</v>
      </c>
    </row>
    <row r="1003" spans="1:14" x14ac:dyDescent="0.35">
      <c r="A1003" t="s">
        <v>5482</v>
      </c>
      <c r="B1003" t="s">
        <v>350</v>
      </c>
      <c r="C1003" t="s">
        <v>1899</v>
      </c>
      <c r="D1003" t="s">
        <v>4485</v>
      </c>
      <c r="E1003" t="s">
        <v>4456</v>
      </c>
      <c r="F1003" s="3">
        <v>45197</v>
      </c>
      <c r="G1003" s="3" t="s">
        <v>537</v>
      </c>
      <c r="I1003">
        <v>4</v>
      </c>
      <c r="J1003" t="s">
        <v>4448</v>
      </c>
      <c r="K1003" t="s">
        <v>4457</v>
      </c>
      <c r="L1003" t="s">
        <v>4465</v>
      </c>
      <c r="M1003" t="s">
        <v>4462</v>
      </c>
    </row>
    <row r="1004" spans="1:14" x14ac:dyDescent="0.35">
      <c r="A1004" t="s">
        <v>5483</v>
      </c>
      <c r="B1004" t="s">
        <v>426</v>
      </c>
      <c r="C1004" t="s">
        <v>1904</v>
      </c>
      <c r="D1004" t="s">
        <v>4469</v>
      </c>
      <c r="E1004" t="s">
        <v>4444</v>
      </c>
      <c r="F1004" s="3">
        <v>45578</v>
      </c>
      <c r="G1004" s="3">
        <v>45578</v>
      </c>
      <c r="H1004">
        <v>15.1</v>
      </c>
      <c r="I1004">
        <v>24</v>
      </c>
      <c r="J1004" t="s">
        <v>4448</v>
      </c>
      <c r="K1004" t="s">
        <v>4441</v>
      </c>
      <c r="L1004" t="s">
        <v>4470</v>
      </c>
      <c r="M1004" t="s">
        <v>4450</v>
      </c>
      <c r="N1004">
        <v>4</v>
      </c>
    </row>
    <row r="1005" spans="1:14" x14ac:dyDescent="0.35">
      <c r="A1005" t="s">
        <v>5484</v>
      </c>
      <c r="B1005" t="s">
        <v>230</v>
      </c>
      <c r="C1005" t="s">
        <v>1927</v>
      </c>
      <c r="D1005" t="s">
        <v>4443</v>
      </c>
      <c r="E1005" t="s">
        <v>4439</v>
      </c>
      <c r="F1005" s="3">
        <v>45191</v>
      </c>
      <c r="G1005" s="3">
        <v>45195</v>
      </c>
      <c r="H1005">
        <v>115.1</v>
      </c>
      <c r="I1005">
        <v>48</v>
      </c>
      <c r="J1005" t="s">
        <v>4440</v>
      </c>
      <c r="K1005" t="s">
        <v>4441</v>
      </c>
      <c r="L1005" t="s">
        <v>4492</v>
      </c>
      <c r="M1005" t="s">
        <v>4462</v>
      </c>
      <c r="N1005">
        <v>4</v>
      </c>
    </row>
    <row r="1006" spans="1:14" x14ac:dyDescent="0.35">
      <c r="A1006" t="s">
        <v>5485</v>
      </c>
      <c r="B1006" t="s">
        <v>499</v>
      </c>
      <c r="C1006" t="s">
        <v>1904</v>
      </c>
      <c r="D1006" t="s">
        <v>4460</v>
      </c>
      <c r="E1006" t="s">
        <v>4444</v>
      </c>
      <c r="F1006" s="3">
        <v>45442</v>
      </c>
      <c r="G1006" s="3">
        <v>45442</v>
      </c>
      <c r="H1006">
        <v>9</v>
      </c>
      <c r="I1006">
        <v>24</v>
      </c>
      <c r="J1006" t="s">
        <v>4448</v>
      </c>
      <c r="K1006" t="s">
        <v>4441</v>
      </c>
      <c r="L1006" t="s">
        <v>4514</v>
      </c>
      <c r="M1006" t="s">
        <v>4450</v>
      </c>
      <c r="N1006">
        <v>3</v>
      </c>
    </row>
    <row r="1007" spans="1:14" x14ac:dyDescent="0.35">
      <c r="A1007" t="s">
        <v>5486</v>
      </c>
      <c r="B1007" t="s">
        <v>433</v>
      </c>
      <c r="C1007" t="s">
        <v>1904</v>
      </c>
      <c r="D1007" t="s">
        <v>4460</v>
      </c>
      <c r="E1007" t="s">
        <v>4444</v>
      </c>
      <c r="F1007" s="3">
        <v>45025</v>
      </c>
      <c r="G1007" s="3" t="s">
        <v>537</v>
      </c>
      <c r="I1007">
        <v>24</v>
      </c>
      <c r="J1007" t="s">
        <v>4440</v>
      </c>
      <c r="K1007" t="s">
        <v>4453</v>
      </c>
      <c r="L1007" t="s">
        <v>4458</v>
      </c>
      <c r="M1007" t="s">
        <v>4450</v>
      </c>
    </row>
    <row r="1008" spans="1:14" x14ac:dyDescent="0.35">
      <c r="A1008" t="s">
        <v>5487</v>
      </c>
      <c r="B1008" t="s">
        <v>404</v>
      </c>
      <c r="C1008" t="s">
        <v>1904</v>
      </c>
      <c r="D1008" t="s">
        <v>4438</v>
      </c>
      <c r="E1008" t="s">
        <v>4439</v>
      </c>
      <c r="F1008" s="3">
        <v>45477</v>
      </c>
      <c r="G1008" s="3">
        <v>45480</v>
      </c>
      <c r="H1008">
        <v>85.2</v>
      </c>
      <c r="I1008">
        <v>48</v>
      </c>
      <c r="J1008" t="s">
        <v>4440</v>
      </c>
      <c r="K1008" t="s">
        <v>4441</v>
      </c>
      <c r="L1008" t="s">
        <v>4449</v>
      </c>
      <c r="M1008" t="s">
        <v>4462</v>
      </c>
      <c r="N1008">
        <v>1</v>
      </c>
    </row>
    <row r="1009" spans="1:14" x14ac:dyDescent="0.35">
      <c r="A1009" t="s">
        <v>5488</v>
      </c>
      <c r="B1009" t="s">
        <v>255</v>
      </c>
      <c r="C1009" t="s">
        <v>1890</v>
      </c>
      <c r="D1009" t="s">
        <v>4460</v>
      </c>
      <c r="E1009" t="s">
        <v>4444</v>
      </c>
      <c r="F1009" s="3">
        <v>45066</v>
      </c>
      <c r="G1009" s="3">
        <v>45068</v>
      </c>
      <c r="H1009">
        <v>56.3</v>
      </c>
      <c r="I1009">
        <v>24</v>
      </c>
      <c r="J1009" t="s">
        <v>4440</v>
      </c>
      <c r="K1009" t="s">
        <v>4441</v>
      </c>
      <c r="L1009" t="s">
        <v>4470</v>
      </c>
      <c r="M1009" t="s">
        <v>4446</v>
      </c>
      <c r="N1009">
        <v>3</v>
      </c>
    </row>
    <row r="1010" spans="1:14" x14ac:dyDescent="0.35">
      <c r="A1010" t="s">
        <v>5489</v>
      </c>
      <c r="B1010" t="s">
        <v>330</v>
      </c>
      <c r="C1010" t="s">
        <v>1915</v>
      </c>
      <c r="D1010" t="s">
        <v>4482</v>
      </c>
      <c r="E1010" t="s">
        <v>4444</v>
      </c>
      <c r="F1010" s="3">
        <v>45212</v>
      </c>
      <c r="G1010" s="3">
        <v>45214</v>
      </c>
      <c r="H1010">
        <v>52.1</v>
      </c>
      <c r="I1010">
        <v>24</v>
      </c>
      <c r="J1010" t="s">
        <v>4440</v>
      </c>
      <c r="K1010" t="s">
        <v>4441</v>
      </c>
      <c r="L1010" t="s">
        <v>4470</v>
      </c>
      <c r="M1010" t="s">
        <v>4450</v>
      </c>
      <c r="N1010">
        <v>4</v>
      </c>
    </row>
    <row r="1011" spans="1:14" x14ac:dyDescent="0.35">
      <c r="A1011" t="s">
        <v>5490</v>
      </c>
      <c r="B1011" t="s">
        <v>365</v>
      </c>
      <c r="C1011" t="s">
        <v>1904</v>
      </c>
      <c r="D1011" t="s">
        <v>4479</v>
      </c>
      <c r="E1011" t="s">
        <v>4456</v>
      </c>
      <c r="F1011" s="3">
        <v>44961</v>
      </c>
      <c r="G1011" s="3" t="s">
        <v>537</v>
      </c>
      <c r="I1011">
        <v>4</v>
      </c>
      <c r="J1011" t="s">
        <v>4440</v>
      </c>
      <c r="K1011" t="s">
        <v>4457</v>
      </c>
      <c r="L1011" t="s">
        <v>4509</v>
      </c>
      <c r="M1011" t="s">
        <v>1625</v>
      </c>
    </row>
    <row r="1012" spans="1:14" x14ac:dyDescent="0.35">
      <c r="A1012" t="s">
        <v>5491</v>
      </c>
      <c r="B1012" t="s">
        <v>162</v>
      </c>
      <c r="C1012" t="s">
        <v>1890</v>
      </c>
      <c r="D1012" t="s">
        <v>4476</v>
      </c>
      <c r="E1012" t="s">
        <v>4444</v>
      </c>
      <c r="F1012" s="3">
        <v>44936</v>
      </c>
      <c r="G1012" s="3" t="s">
        <v>537</v>
      </c>
      <c r="I1012">
        <v>24</v>
      </c>
      <c r="J1012" t="s">
        <v>4448</v>
      </c>
      <c r="K1012" t="s">
        <v>4474</v>
      </c>
      <c r="L1012" t="s">
        <v>4514</v>
      </c>
      <c r="M1012" t="s">
        <v>4450</v>
      </c>
    </row>
    <row r="1013" spans="1:14" x14ac:dyDescent="0.35">
      <c r="A1013" t="s">
        <v>5492</v>
      </c>
      <c r="B1013" t="s">
        <v>316</v>
      </c>
      <c r="C1013" t="s">
        <v>1904</v>
      </c>
      <c r="D1013" t="s">
        <v>4452</v>
      </c>
      <c r="E1013" t="s">
        <v>4439</v>
      </c>
      <c r="F1013" s="3">
        <v>44954</v>
      </c>
      <c r="G1013" s="3">
        <v>44957</v>
      </c>
      <c r="H1013">
        <v>74.3</v>
      </c>
      <c r="I1013">
        <v>48</v>
      </c>
      <c r="J1013" t="s">
        <v>4440</v>
      </c>
      <c r="K1013" t="s">
        <v>4441</v>
      </c>
      <c r="L1013" t="s">
        <v>4454</v>
      </c>
      <c r="M1013" t="s">
        <v>4446</v>
      </c>
    </row>
    <row r="1014" spans="1:14" x14ac:dyDescent="0.35">
      <c r="A1014" t="s">
        <v>5493</v>
      </c>
      <c r="B1014" t="s">
        <v>188</v>
      </c>
      <c r="C1014" t="s">
        <v>1890</v>
      </c>
      <c r="D1014" t="s">
        <v>4443</v>
      </c>
      <c r="E1014" t="s">
        <v>4439</v>
      </c>
      <c r="F1014" s="3">
        <v>45528</v>
      </c>
      <c r="G1014" s="3">
        <v>45532</v>
      </c>
      <c r="H1014">
        <v>119</v>
      </c>
      <c r="I1014">
        <v>48</v>
      </c>
      <c r="J1014" t="s">
        <v>4440</v>
      </c>
      <c r="K1014" t="s">
        <v>4441</v>
      </c>
      <c r="L1014" t="s">
        <v>4527</v>
      </c>
      <c r="M1014" t="s">
        <v>4450</v>
      </c>
      <c r="N1014">
        <v>5</v>
      </c>
    </row>
    <row r="1015" spans="1:14" x14ac:dyDescent="0.35">
      <c r="A1015" t="s">
        <v>5494</v>
      </c>
      <c r="B1015" t="s">
        <v>220</v>
      </c>
      <c r="C1015" t="s">
        <v>1890</v>
      </c>
      <c r="D1015" t="s">
        <v>4464</v>
      </c>
      <c r="E1015" t="s">
        <v>4444</v>
      </c>
      <c r="F1015" s="3">
        <v>45609</v>
      </c>
      <c r="G1015" s="3">
        <v>45610</v>
      </c>
      <c r="H1015">
        <v>42.5</v>
      </c>
      <c r="I1015">
        <v>24</v>
      </c>
      <c r="J1015" t="s">
        <v>4440</v>
      </c>
      <c r="K1015" t="s">
        <v>4441</v>
      </c>
      <c r="L1015" t="s">
        <v>4454</v>
      </c>
      <c r="M1015" t="s">
        <v>4450</v>
      </c>
      <c r="N1015">
        <v>4</v>
      </c>
    </row>
    <row r="1016" spans="1:14" x14ac:dyDescent="0.35">
      <c r="A1016" t="s">
        <v>5495</v>
      </c>
      <c r="B1016" t="s">
        <v>462</v>
      </c>
      <c r="C1016" t="s">
        <v>1883</v>
      </c>
      <c r="D1016" t="s">
        <v>4443</v>
      </c>
      <c r="E1016" t="s">
        <v>4439</v>
      </c>
      <c r="F1016" s="3">
        <v>45330</v>
      </c>
      <c r="G1016" s="3">
        <v>45330</v>
      </c>
      <c r="H1016">
        <v>4.8</v>
      </c>
      <c r="I1016">
        <v>48</v>
      </c>
      <c r="J1016" t="s">
        <v>4448</v>
      </c>
      <c r="K1016" t="s">
        <v>4441</v>
      </c>
      <c r="L1016" t="s">
        <v>4458</v>
      </c>
      <c r="M1016" t="s">
        <v>4462</v>
      </c>
      <c r="N1016">
        <v>4</v>
      </c>
    </row>
    <row r="1017" spans="1:14" x14ac:dyDescent="0.35">
      <c r="A1017" t="s">
        <v>5496</v>
      </c>
      <c r="B1017" t="s">
        <v>247</v>
      </c>
      <c r="C1017" t="s">
        <v>1899</v>
      </c>
      <c r="D1017" t="s">
        <v>4469</v>
      </c>
      <c r="E1017" t="s">
        <v>4439</v>
      </c>
      <c r="F1017" s="3">
        <v>45520</v>
      </c>
      <c r="G1017" s="3">
        <v>45521</v>
      </c>
      <c r="H1017">
        <v>46.4</v>
      </c>
      <c r="I1017">
        <v>48</v>
      </c>
      <c r="J1017" t="s">
        <v>4448</v>
      </c>
      <c r="K1017" t="s">
        <v>4441</v>
      </c>
      <c r="L1017" t="s">
        <v>4454</v>
      </c>
      <c r="M1017" t="s">
        <v>4446</v>
      </c>
      <c r="N1017">
        <v>4</v>
      </c>
    </row>
    <row r="1018" spans="1:14" x14ac:dyDescent="0.35">
      <c r="A1018" t="s">
        <v>5497</v>
      </c>
      <c r="B1018" t="s">
        <v>142</v>
      </c>
      <c r="C1018" t="s">
        <v>1915</v>
      </c>
      <c r="D1018" t="s">
        <v>4438</v>
      </c>
      <c r="E1018" t="s">
        <v>4439</v>
      </c>
      <c r="F1018" s="3">
        <v>45521</v>
      </c>
      <c r="G1018" s="3">
        <v>45524</v>
      </c>
      <c r="H1018">
        <v>91.7</v>
      </c>
      <c r="I1018">
        <v>48</v>
      </c>
      <c r="J1018" t="s">
        <v>4440</v>
      </c>
      <c r="K1018" t="s">
        <v>4441</v>
      </c>
      <c r="L1018" t="s">
        <v>4445</v>
      </c>
      <c r="M1018" t="s">
        <v>4446</v>
      </c>
      <c r="N1018">
        <v>1</v>
      </c>
    </row>
    <row r="1019" spans="1:14" x14ac:dyDescent="0.35">
      <c r="A1019" t="s">
        <v>5498</v>
      </c>
      <c r="B1019" t="s">
        <v>417</v>
      </c>
      <c r="C1019" t="s">
        <v>1904</v>
      </c>
      <c r="D1019" t="s">
        <v>4476</v>
      </c>
      <c r="E1019" t="s">
        <v>4444</v>
      </c>
      <c r="F1019" s="3">
        <v>45006</v>
      </c>
      <c r="G1019" s="3" t="s">
        <v>537</v>
      </c>
      <c r="I1019">
        <v>24</v>
      </c>
      <c r="J1019" t="s">
        <v>4440</v>
      </c>
      <c r="K1019" t="s">
        <v>4474</v>
      </c>
      <c r="L1019" t="s">
        <v>4514</v>
      </c>
      <c r="M1019" t="s">
        <v>4450</v>
      </c>
    </row>
    <row r="1020" spans="1:14" x14ac:dyDescent="0.35">
      <c r="A1020" t="s">
        <v>5499</v>
      </c>
      <c r="B1020" t="s">
        <v>387</v>
      </c>
      <c r="C1020" t="s">
        <v>1915</v>
      </c>
      <c r="D1020" t="s">
        <v>4476</v>
      </c>
      <c r="E1020" t="s">
        <v>4439</v>
      </c>
      <c r="F1020" s="3">
        <v>45295</v>
      </c>
      <c r="G1020" s="3" t="s">
        <v>537</v>
      </c>
      <c r="I1020">
        <v>48</v>
      </c>
      <c r="J1020" t="s">
        <v>4440</v>
      </c>
      <c r="K1020" t="s">
        <v>4457</v>
      </c>
      <c r="L1020" t="s">
        <v>4467</v>
      </c>
      <c r="M1020" t="s">
        <v>4450</v>
      </c>
    </row>
    <row r="1021" spans="1:14" x14ac:dyDescent="0.35">
      <c r="A1021" t="s">
        <v>5500</v>
      </c>
      <c r="B1021" t="s">
        <v>316</v>
      </c>
      <c r="C1021" t="s">
        <v>1899</v>
      </c>
      <c r="D1021" t="s">
        <v>4469</v>
      </c>
      <c r="E1021" t="s">
        <v>4444</v>
      </c>
      <c r="F1021" s="3">
        <v>45469</v>
      </c>
      <c r="G1021" s="3">
        <v>45470</v>
      </c>
      <c r="H1021">
        <v>36.9</v>
      </c>
      <c r="I1021">
        <v>24</v>
      </c>
      <c r="J1021" t="s">
        <v>4440</v>
      </c>
      <c r="K1021" t="s">
        <v>4441</v>
      </c>
      <c r="L1021" t="s">
        <v>4467</v>
      </c>
      <c r="M1021" t="s">
        <v>4446</v>
      </c>
      <c r="N1021">
        <v>4</v>
      </c>
    </row>
    <row r="1022" spans="1:14" x14ac:dyDescent="0.35">
      <c r="A1022" t="s">
        <v>5501</v>
      </c>
      <c r="B1022" t="s">
        <v>262</v>
      </c>
      <c r="C1022" t="s">
        <v>1927</v>
      </c>
      <c r="D1022" t="s">
        <v>4482</v>
      </c>
      <c r="E1022" t="s">
        <v>4444</v>
      </c>
      <c r="F1022" s="3">
        <v>45313</v>
      </c>
      <c r="G1022" s="3" t="s">
        <v>537</v>
      </c>
      <c r="I1022">
        <v>24</v>
      </c>
      <c r="J1022" t="s">
        <v>4448</v>
      </c>
      <c r="K1022" t="s">
        <v>4453</v>
      </c>
      <c r="L1022" t="s">
        <v>4514</v>
      </c>
      <c r="M1022" t="s">
        <v>1625</v>
      </c>
    </row>
    <row r="1023" spans="1:14" x14ac:dyDescent="0.35">
      <c r="A1023" t="s">
        <v>5502</v>
      </c>
      <c r="B1023" t="s">
        <v>319</v>
      </c>
      <c r="C1023" t="s">
        <v>1927</v>
      </c>
      <c r="D1023" t="s">
        <v>4469</v>
      </c>
      <c r="E1023" t="s">
        <v>4456</v>
      </c>
      <c r="F1023" s="3">
        <v>45746</v>
      </c>
      <c r="G1023" s="3">
        <v>45746</v>
      </c>
      <c r="H1023">
        <v>4.2</v>
      </c>
      <c r="I1023">
        <v>4</v>
      </c>
      <c r="J1023" t="s">
        <v>4440</v>
      </c>
      <c r="K1023" t="s">
        <v>4441</v>
      </c>
      <c r="L1023" t="s">
        <v>4580</v>
      </c>
      <c r="M1023" t="s">
        <v>4450</v>
      </c>
      <c r="N1023">
        <v>5</v>
      </c>
    </row>
    <row r="1024" spans="1:14" x14ac:dyDescent="0.35">
      <c r="A1024" t="s">
        <v>5503</v>
      </c>
      <c r="B1024" t="s">
        <v>86</v>
      </c>
      <c r="C1024" t="s">
        <v>1883</v>
      </c>
      <c r="D1024" t="s">
        <v>4464</v>
      </c>
      <c r="E1024" t="s">
        <v>4473</v>
      </c>
      <c r="F1024" s="3">
        <v>45289</v>
      </c>
      <c r="G1024" s="3">
        <v>45289</v>
      </c>
      <c r="H1024">
        <v>18.7</v>
      </c>
      <c r="I1024">
        <v>8</v>
      </c>
      <c r="J1024" t="s">
        <v>4440</v>
      </c>
      <c r="K1024" t="s">
        <v>4441</v>
      </c>
      <c r="L1024" t="s">
        <v>4480</v>
      </c>
      <c r="M1024" t="s">
        <v>4462</v>
      </c>
      <c r="N1024">
        <v>4</v>
      </c>
    </row>
    <row r="1025" spans="1:14" x14ac:dyDescent="0.35">
      <c r="A1025" t="s">
        <v>5504</v>
      </c>
      <c r="B1025" t="s">
        <v>140</v>
      </c>
      <c r="C1025" t="s">
        <v>1899</v>
      </c>
      <c r="D1025" t="s">
        <v>4472</v>
      </c>
      <c r="E1025" t="s">
        <v>4456</v>
      </c>
      <c r="F1025" s="3">
        <v>45280</v>
      </c>
      <c r="G1025" s="3">
        <v>45280</v>
      </c>
      <c r="H1025">
        <v>7.8</v>
      </c>
      <c r="I1025">
        <v>4</v>
      </c>
      <c r="J1025" t="s">
        <v>4440</v>
      </c>
      <c r="K1025" t="s">
        <v>4441</v>
      </c>
      <c r="L1025" t="s">
        <v>4458</v>
      </c>
      <c r="M1025" t="s">
        <v>4446</v>
      </c>
      <c r="N1025">
        <v>4</v>
      </c>
    </row>
    <row r="1026" spans="1:14" x14ac:dyDescent="0.35">
      <c r="A1026" t="s">
        <v>5505</v>
      </c>
      <c r="B1026" t="s">
        <v>472</v>
      </c>
      <c r="C1026" t="s">
        <v>1927</v>
      </c>
      <c r="D1026" t="s">
        <v>4443</v>
      </c>
      <c r="E1026" t="s">
        <v>4473</v>
      </c>
      <c r="F1026" s="3">
        <v>45111</v>
      </c>
      <c r="G1026" s="3">
        <v>45111</v>
      </c>
      <c r="H1026">
        <v>8.6</v>
      </c>
      <c r="I1026">
        <v>8</v>
      </c>
      <c r="J1026" t="s">
        <v>4440</v>
      </c>
      <c r="K1026" t="s">
        <v>4441</v>
      </c>
      <c r="L1026" t="s">
        <v>4514</v>
      </c>
      <c r="M1026" t="s">
        <v>4462</v>
      </c>
      <c r="N1026">
        <v>3</v>
      </c>
    </row>
    <row r="1027" spans="1:14" x14ac:dyDescent="0.35">
      <c r="A1027" t="s">
        <v>5506</v>
      </c>
      <c r="B1027" t="s">
        <v>434</v>
      </c>
      <c r="C1027" t="s">
        <v>1890</v>
      </c>
      <c r="D1027" t="s">
        <v>4443</v>
      </c>
      <c r="E1027" t="s">
        <v>4473</v>
      </c>
      <c r="F1027" s="3">
        <v>45453</v>
      </c>
      <c r="G1027" s="3">
        <v>45453</v>
      </c>
      <c r="H1027">
        <v>0.6</v>
      </c>
      <c r="I1027">
        <v>8</v>
      </c>
      <c r="J1027" t="s">
        <v>4448</v>
      </c>
      <c r="K1027" t="s">
        <v>4441</v>
      </c>
      <c r="L1027" t="s">
        <v>4483</v>
      </c>
      <c r="M1027" t="s">
        <v>4462</v>
      </c>
      <c r="N1027">
        <v>5</v>
      </c>
    </row>
    <row r="1028" spans="1:14" x14ac:dyDescent="0.35">
      <c r="A1028" t="s">
        <v>5507</v>
      </c>
      <c r="B1028" t="s">
        <v>242</v>
      </c>
      <c r="C1028" t="s">
        <v>1883</v>
      </c>
      <c r="D1028" t="s">
        <v>4469</v>
      </c>
      <c r="E1028" t="s">
        <v>4444</v>
      </c>
      <c r="F1028" s="3">
        <v>45195</v>
      </c>
      <c r="G1028" s="3" t="s">
        <v>537</v>
      </c>
      <c r="I1028">
        <v>24</v>
      </c>
      <c r="J1028" t="s">
        <v>4440</v>
      </c>
      <c r="K1028" t="s">
        <v>4474</v>
      </c>
      <c r="L1028" t="s">
        <v>1907</v>
      </c>
      <c r="M1028" t="s">
        <v>4446</v>
      </c>
    </row>
    <row r="1029" spans="1:14" x14ac:dyDescent="0.35">
      <c r="A1029" t="s">
        <v>5508</v>
      </c>
      <c r="B1029" t="s">
        <v>264</v>
      </c>
      <c r="C1029" t="s">
        <v>1899</v>
      </c>
      <c r="D1029" t="s">
        <v>4476</v>
      </c>
      <c r="E1029" t="s">
        <v>4444</v>
      </c>
      <c r="F1029" s="3">
        <v>45522</v>
      </c>
      <c r="G1029" s="3" t="s">
        <v>537</v>
      </c>
      <c r="I1029">
        <v>24</v>
      </c>
      <c r="J1029" t="s">
        <v>4440</v>
      </c>
      <c r="K1029" t="s">
        <v>4453</v>
      </c>
      <c r="L1029" t="s">
        <v>4492</v>
      </c>
      <c r="M1029" t="s">
        <v>1625</v>
      </c>
    </row>
    <row r="1030" spans="1:14" x14ac:dyDescent="0.35">
      <c r="A1030" t="s">
        <v>5509</v>
      </c>
      <c r="B1030" t="s">
        <v>85</v>
      </c>
      <c r="C1030" t="s">
        <v>1883</v>
      </c>
      <c r="D1030" t="s">
        <v>4460</v>
      </c>
      <c r="E1030" t="s">
        <v>4444</v>
      </c>
      <c r="F1030" s="3">
        <v>45211</v>
      </c>
      <c r="G1030" s="3">
        <v>45211</v>
      </c>
      <c r="H1030">
        <v>18.3</v>
      </c>
      <c r="I1030">
        <v>24</v>
      </c>
      <c r="J1030" t="s">
        <v>4448</v>
      </c>
      <c r="K1030" t="s">
        <v>4441</v>
      </c>
      <c r="L1030" t="s">
        <v>4512</v>
      </c>
      <c r="M1030" t="s">
        <v>4462</v>
      </c>
      <c r="N1030">
        <v>4</v>
      </c>
    </row>
    <row r="1031" spans="1:14" x14ac:dyDescent="0.35">
      <c r="A1031" t="s">
        <v>5510</v>
      </c>
      <c r="B1031" t="s">
        <v>344</v>
      </c>
      <c r="C1031" t="s">
        <v>1927</v>
      </c>
      <c r="D1031" t="s">
        <v>4476</v>
      </c>
      <c r="E1031" t="s">
        <v>4456</v>
      </c>
      <c r="F1031" s="3">
        <v>45374</v>
      </c>
      <c r="G1031" s="3">
        <v>45374</v>
      </c>
      <c r="H1031">
        <v>2</v>
      </c>
      <c r="I1031">
        <v>4</v>
      </c>
      <c r="J1031" t="s">
        <v>4448</v>
      </c>
      <c r="K1031" t="s">
        <v>4441</v>
      </c>
      <c r="L1031" t="s">
        <v>4580</v>
      </c>
      <c r="M1031" t="s">
        <v>1625</v>
      </c>
      <c r="N1031">
        <v>5</v>
      </c>
    </row>
    <row r="1032" spans="1:14" x14ac:dyDescent="0.35">
      <c r="A1032" t="s">
        <v>5511</v>
      </c>
      <c r="B1032" t="s">
        <v>108</v>
      </c>
      <c r="C1032" t="s">
        <v>1899</v>
      </c>
      <c r="D1032" t="s">
        <v>4460</v>
      </c>
      <c r="E1032" t="s">
        <v>4473</v>
      </c>
      <c r="F1032" s="3">
        <v>45203</v>
      </c>
      <c r="G1032" s="3">
        <v>45203</v>
      </c>
      <c r="H1032">
        <v>5.4</v>
      </c>
      <c r="I1032">
        <v>8</v>
      </c>
      <c r="J1032" t="s">
        <v>4448</v>
      </c>
      <c r="K1032" t="s">
        <v>4441</v>
      </c>
      <c r="L1032" t="s">
        <v>4501</v>
      </c>
      <c r="M1032" t="s">
        <v>1625</v>
      </c>
      <c r="N1032">
        <v>5</v>
      </c>
    </row>
    <row r="1033" spans="1:14" x14ac:dyDescent="0.35">
      <c r="A1033" t="s">
        <v>5512</v>
      </c>
      <c r="B1033" t="s">
        <v>108</v>
      </c>
      <c r="C1033" t="s">
        <v>1927</v>
      </c>
      <c r="D1033" t="s">
        <v>4472</v>
      </c>
      <c r="E1033" t="s">
        <v>4439</v>
      </c>
      <c r="F1033" s="3">
        <v>45310</v>
      </c>
      <c r="G1033" s="3" t="s">
        <v>537</v>
      </c>
      <c r="I1033">
        <v>48</v>
      </c>
      <c r="J1033" t="s">
        <v>1945</v>
      </c>
      <c r="K1033" t="s">
        <v>4457</v>
      </c>
      <c r="L1033" t="s">
        <v>4465</v>
      </c>
      <c r="M1033" t="s">
        <v>4462</v>
      </c>
    </row>
    <row r="1034" spans="1:14" x14ac:dyDescent="0.35">
      <c r="A1034" t="s">
        <v>5513</v>
      </c>
      <c r="B1034" t="s">
        <v>85</v>
      </c>
      <c r="C1034" t="s">
        <v>1890</v>
      </c>
      <c r="D1034" t="s">
        <v>4460</v>
      </c>
      <c r="E1034" t="s">
        <v>4444</v>
      </c>
      <c r="F1034" s="3">
        <v>45514</v>
      </c>
      <c r="G1034" s="3">
        <v>45515</v>
      </c>
      <c r="H1034">
        <v>37.799999999999997</v>
      </c>
      <c r="I1034">
        <v>24</v>
      </c>
      <c r="J1034" t="s">
        <v>4440</v>
      </c>
      <c r="K1034" t="s">
        <v>4441</v>
      </c>
      <c r="L1034" t="s">
        <v>4480</v>
      </c>
      <c r="M1034" t="s">
        <v>4462</v>
      </c>
      <c r="N1034">
        <v>5</v>
      </c>
    </row>
    <row r="1035" spans="1:14" x14ac:dyDescent="0.35">
      <c r="A1035" t="s">
        <v>5514</v>
      </c>
      <c r="B1035" t="s">
        <v>92</v>
      </c>
      <c r="C1035" t="s">
        <v>1927</v>
      </c>
      <c r="D1035" t="s">
        <v>4482</v>
      </c>
      <c r="E1035" t="s">
        <v>4439</v>
      </c>
      <c r="F1035" s="3">
        <v>45514</v>
      </c>
      <c r="G1035" s="3" t="s">
        <v>537</v>
      </c>
      <c r="I1035">
        <v>48</v>
      </c>
      <c r="J1035" t="s">
        <v>4448</v>
      </c>
      <c r="K1035" t="s">
        <v>4453</v>
      </c>
      <c r="L1035" t="s">
        <v>4461</v>
      </c>
      <c r="M1035" t="s">
        <v>4462</v>
      </c>
    </row>
    <row r="1036" spans="1:14" x14ac:dyDescent="0.35">
      <c r="A1036" t="s">
        <v>5515</v>
      </c>
      <c r="B1036" t="s">
        <v>411</v>
      </c>
      <c r="C1036" t="s">
        <v>1899</v>
      </c>
      <c r="D1036" t="s">
        <v>4469</v>
      </c>
      <c r="E1036" t="s">
        <v>4473</v>
      </c>
      <c r="F1036" s="3">
        <v>45263</v>
      </c>
      <c r="G1036" s="3">
        <v>45263</v>
      </c>
      <c r="H1036">
        <v>16.8</v>
      </c>
      <c r="I1036">
        <v>8</v>
      </c>
      <c r="J1036" t="s">
        <v>4440</v>
      </c>
      <c r="K1036" t="s">
        <v>4441</v>
      </c>
      <c r="L1036" t="s">
        <v>4580</v>
      </c>
      <c r="M1036" t="s">
        <v>4462</v>
      </c>
    </row>
    <row r="1037" spans="1:14" x14ac:dyDescent="0.35">
      <c r="A1037" t="s">
        <v>5516</v>
      </c>
      <c r="B1037" t="s">
        <v>110</v>
      </c>
      <c r="C1037" t="s">
        <v>1927</v>
      </c>
      <c r="D1037" t="s">
        <v>4482</v>
      </c>
      <c r="E1037" t="s">
        <v>4473</v>
      </c>
      <c r="F1037" s="3">
        <v>45549</v>
      </c>
      <c r="G1037" s="3">
        <v>45549</v>
      </c>
      <c r="H1037">
        <v>11.7</v>
      </c>
      <c r="I1037">
        <v>8</v>
      </c>
      <c r="J1037" t="s">
        <v>4440</v>
      </c>
      <c r="K1037" t="s">
        <v>4441</v>
      </c>
      <c r="L1037" t="s">
        <v>4509</v>
      </c>
      <c r="M1037" t="s">
        <v>4462</v>
      </c>
      <c r="N1037">
        <v>3</v>
      </c>
    </row>
    <row r="1038" spans="1:14" x14ac:dyDescent="0.35">
      <c r="A1038" t="s">
        <v>5517</v>
      </c>
      <c r="B1038" t="s">
        <v>388</v>
      </c>
      <c r="C1038" t="s">
        <v>1890</v>
      </c>
      <c r="D1038" t="s">
        <v>4482</v>
      </c>
      <c r="E1038" t="s">
        <v>4439</v>
      </c>
      <c r="F1038" s="3">
        <v>45504</v>
      </c>
      <c r="G1038" s="3">
        <v>45504</v>
      </c>
      <c r="H1038">
        <v>9.1</v>
      </c>
      <c r="I1038">
        <v>48</v>
      </c>
      <c r="J1038" t="s">
        <v>4448</v>
      </c>
      <c r="K1038" t="s">
        <v>4441</v>
      </c>
      <c r="L1038" t="s">
        <v>1907</v>
      </c>
      <c r="M1038" t="s">
        <v>1625</v>
      </c>
      <c r="N1038">
        <v>4</v>
      </c>
    </row>
    <row r="1039" spans="1:14" x14ac:dyDescent="0.35">
      <c r="A1039" t="s">
        <v>5518</v>
      </c>
      <c r="B1039" t="s">
        <v>473</v>
      </c>
      <c r="C1039" t="s">
        <v>1890</v>
      </c>
      <c r="D1039" t="s">
        <v>4438</v>
      </c>
      <c r="E1039" t="s">
        <v>4439</v>
      </c>
      <c r="F1039" s="3">
        <v>45573</v>
      </c>
      <c r="G1039" s="3" t="s">
        <v>537</v>
      </c>
      <c r="I1039">
        <v>48</v>
      </c>
      <c r="J1039" t="s">
        <v>4448</v>
      </c>
      <c r="K1039" t="s">
        <v>4457</v>
      </c>
      <c r="L1039" t="s">
        <v>4488</v>
      </c>
      <c r="M1039" t="s">
        <v>1625</v>
      </c>
    </row>
    <row r="1040" spans="1:14" x14ac:dyDescent="0.35">
      <c r="A1040" t="s">
        <v>5519</v>
      </c>
      <c r="B1040" t="s">
        <v>380</v>
      </c>
      <c r="C1040" t="s">
        <v>1883</v>
      </c>
      <c r="D1040" t="s">
        <v>4460</v>
      </c>
      <c r="E1040" t="s">
        <v>4439</v>
      </c>
      <c r="F1040" s="3">
        <v>45303</v>
      </c>
      <c r="G1040" s="3">
        <v>45305</v>
      </c>
      <c r="H1040">
        <v>49.2</v>
      </c>
      <c r="I1040">
        <v>48</v>
      </c>
      <c r="J1040" t="s">
        <v>4440</v>
      </c>
      <c r="K1040" t="s">
        <v>4441</v>
      </c>
      <c r="L1040" t="s">
        <v>4470</v>
      </c>
      <c r="M1040" t="s">
        <v>1625</v>
      </c>
      <c r="N1040">
        <v>5</v>
      </c>
    </row>
    <row r="1041" spans="1:14" x14ac:dyDescent="0.35">
      <c r="A1041" t="s">
        <v>5520</v>
      </c>
      <c r="B1041" t="s">
        <v>302</v>
      </c>
      <c r="C1041" t="s">
        <v>1904</v>
      </c>
      <c r="D1041" t="s">
        <v>4482</v>
      </c>
      <c r="E1041" t="s">
        <v>4444</v>
      </c>
      <c r="F1041" s="3">
        <v>44937</v>
      </c>
      <c r="G1041" s="3">
        <v>44937</v>
      </c>
      <c r="H1041">
        <v>15.5</v>
      </c>
      <c r="I1041">
        <v>24</v>
      </c>
      <c r="J1041" t="s">
        <v>1945</v>
      </c>
      <c r="K1041" t="s">
        <v>4441</v>
      </c>
      <c r="L1041" t="s">
        <v>4512</v>
      </c>
      <c r="M1041" t="s">
        <v>4446</v>
      </c>
      <c r="N1041">
        <v>4</v>
      </c>
    </row>
    <row r="1042" spans="1:14" x14ac:dyDescent="0.35">
      <c r="A1042" t="s">
        <v>5521</v>
      </c>
      <c r="B1042" t="s">
        <v>133</v>
      </c>
      <c r="C1042" t="s">
        <v>1883</v>
      </c>
      <c r="D1042" t="s">
        <v>4452</v>
      </c>
      <c r="E1042" t="s">
        <v>4444</v>
      </c>
      <c r="F1042" s="3">
        <v>45630</v>
      </c>
      <c r="G1042" s="3" t="s">
        <v>537</v>
      </c>
      <c r="I1042">
        <v>24</v>
      </c>
      <c r="J1042" t="s">
        <v>4440</v>
      </c>
      <c r="K1042" t="s">
        <v>4474</v>
      </c>
      <c r="L1042" t="s">
        <v>4488</v>
      </c>
      <c r="M1042" t="s">
        <v>1625</v>
      </c>
    </row>
    <row r="1043" spans="1:14" x14ac:dyDescent="0.35">
      <c r="A1043" t="s">
        <v>5522</v>
      </c>
      <c r="B1043" t="s">
        <v>302</v>
      </c>
      <c r="C1043" t="s">
        <v>1927</v>
      </c>
      <c r="D1043" t="s">
        <v>4460</v>
      </c>
      <c r="E1043" t="s">
        <v>4444</v>
      </c>
      <c r="F1043" s="3">
        <v>45361</v>
      </c>
      <c r="G1043" s="3">
        <v>45361</v>
      </c>
      <c r="H1043">
        <v>4.4000000000000004</v>
      </c>
      <c r="I1043">
        <v>24</v>
      </c>
      <c r="J1043" t="s">
        <v>4448</v>
      </c>
      <c r="K1043" t="s">
        <v>4441</v>
      </c>
      <c r="L1043" t="s">
        <v>4454</v>
      </c>
      <c r="M1043" t="s">
        <v>4462</v>
      </c>
      <c r="N1043">
        <v>3</v>
      </c>
    </row>
    <row r="1044" spans="1:14" x14ac:dyDescent="0.35">
      <c r="A1044" t="s">
        <v>5523</v>
      </c>
      <c r="B1044" t="s">
        <v>370</v>
      </c>
      <c r="C1044" t="s">
        <v>1899</v>
      </c>
      <c r="D1044" t="s">
        <v>4485</v>
      </c>
      <c r="E1044" t="s">
        <v>4473</v>
      </c>
      <c r="F1044" s="3">
        <v>45371</v>
      </c>
      <c r="G1044" s="3">
        <v>45371</v>
      </c>
      <c r="H1044">
        <v>9.9</v>
      </c>
      <c r="I1044">
        <v>8</v>
      </c>
      <c r="J1044" t="s">
        <v>4440</v>
      </c>
      <c r="K1044" t="s">
        <v>4441</v>
      </c>
      <c r="L1044" t="s">
        <v>4449</v>
      </c>
      <c r="M1044" t="s">
        <v>4446</v>
      </c>
      <c r="N1044">
        <v>3</v>
      </c>
    </row>
    <row r="1045" spans="1:14" x14ac:dyDescent="0.35">
      <c r="A1045" t="s">
        <v>5524</v>
      </c>
      <c r="B1045" t="s">
        <v>275</v>
      </c>
      <c r="C1045" t="s">
        <v>1899</v>
      </c>
      <c r="D1045" t="s">
        <v>4460</v>
      </c>
      <c r="E1045" t="s">
        <v>4473</v>
      </c>
      <c r="F1045" s="3">
        <v>45651</v>
      </c>
      <c r="G1045" s="3" t="s">
        <v>537</v>
      </c>
      <c r="I1045">
        <v>8</v>
      </c>
      <c r="J1045" t="s">
        <v>4440</v>
      </c>
      <c r="K1045" t="s">
        <v>4474</v>
      </c>
      <c r="L1045" t="s">
        <v>4470</v>
      </c>
      <c r="M1045" t="s">
        <v>4462</v>
      </c>
    </row>
    <row r="1046" spans="1:14" x14ac:dyDescent="0.35">
      <c r="A1046" t="s">
        <v>5525</v>
      </c>
      <c r="B1046" t="s">
        <v>446</v>
      </c>
      <c r="C1046" t="s">
        <v>1904</v>
      </c>
      <c r="D1046" t="s">
        <v>4490</v>
      </c>
      <c r="E1046" t="s">
        <v>4444</v>
      </c>
      <c r="F1046" s="3">
        <v>45650</v>
      </c>
      <c r="G1046" s="3" t="s">
        <v>537</v>
      </c>
      <c r="I1046">
        <v>24</v>
      </c>
      <c r="J1046" t="s">
        <v>4440</v>
      </c>
      <c r="K1046" t="s">
        <v>4453</v>
      </c>
      <c r="L1046" t="s">
        <v>4580</v>
      </c>
      <c r="M1046" t="s">
        <v>4446</v>
      </c>
    </row>
    <row r="1047" spans="1:14" x14ac:dyDescent="0.35">
      <c r="A1047" t="s">
        <v>5526</v>
      </c>
      <c r="B1047" t="s">
        <v>395</v>
      </c>
      <c r="C1047" t="s">
        <v>1904</v>
      </c>
      <c r="D1047" t="s">
        <v>4469</v>
      </c>
      <c r="E1047" t="s">
        <v>4473</v>
      </c>
      <c r="F1047" s="3">
        <v>45204</v>
      </c>
      <c r="G1047" s="3">
        <v>45204</v>
      </c>
      <c r="H1047">
        <v>13.7</v>
      </c>
      <c r="I1047">
        <v>8</v>
      </c>
      <c r="J1047" t="s">
        <v>4440</v>
      </c>
      <c r="K1047" t="s">
        <v>4441</v>
      </c>
      <c r="L1047" t="s">
        <v>4449</v>
      </c>
      <c r="M1047" t="s">
        <v>1625</v>
      </c>
      <c r="N1047">
        <v>4</v>
      </c>
    </row>
    <row r="1048" spans="1:14" x14ac:dyDescent="0.35">
      <c r="A1048" t="s">
        <v>5527</v>
      </c>
      <c r="B1048" t="s">
        <v>488</v>
      </c>
      <c r="C1048" t="s">
        <v>1915</v>
      </c>
      <c r="D1048" t="s">
        <v>4479</v>
      </c>
      <c r="E1048" t="s">
        <v>4444</v>
      </c>
      <c r="F1048" s="3">
        <v>45516</v>
      </c>
      <c r="G1048" s="3">
        <v>45516</v>
      </c>
      <c r="H1048">
        <v>4.4000000000000004</v>
      </c>
      <c r="I1048">
        <v>24</v>
      </c>
      <c r="J1048" t="s">
        <v>4448</v>
      </c>
      <c r="K1048" t="s">
        <v>4441</v>
      </c>
      <c r="L1048" t="s">
        <v>4470</v>
      </c>
      <c r="M1048" t="s">
        <v>1625</v>
      </c>
      <c r="N1048">
        <v>3</v>
      </c>
    </row>
    <row r="1049" spans="1:14" x14ac:dyDescent="0.35">
      <c r="A1049" t="s">
        <v>5528</v>
      </c>
      <c r="B1049" t="s">
        <v>321</v>
      </c>
      <c r="C1049" t="s">
        <v>1904</v>
      </c>
      <c r="D1049" t="s">
        <v>4479</v>
      </c>
      <c r="E1049" t="s">
        <v>4444</v>
      </c>
      <c r="F1049" s="3">
        <v>45207</v>
      </c>
      <c r="G1049" s="3" t="s">
        <v>537</v>
      </c>
      <c r="I1049">
        <v>24</v>
      </c>
      <c r="J1049" t="s">
        <v>4448</v>
      </c>
      <c r="K1049" t="s">
        <v>4457</v>
      </c>
      <c r="L1049" t="s">
        <v>4514</v>
      </c>
      <c r="M1049" t="s">
        <v>1625</v>
      </c>
    </row>
    <row r="1050" spans="1:14" x14ac:dyDescent="0.35">
      <c r="A1050" t="s">
        <v>5529</v>
      </c>
      <c r="B1050" t="s">
        <v>207</v>
      </c>
      <c r="C1050" t="s">
        <v>1904</v>
      </c>
      <c r="D1050" t="s">
        <v>4479</v>
      </c>
      <c r="E1050" t="s">
        <v>4473</v>
      </c>
      <c r="F1050" s="3">
        <v>45152</v>
      </c>
      <c r="G1050" s="3">
        <v>45152</v>
      </c>
      <c r="H1050">
        <v>1.7</v>
      </c>
      <c r="I1050">
        <v>8</v>
      </c>
      <c r="J1050" t="s">
        <v>4448</v>
      </c>
      <c r="K1050" t="s">
        <v>4441</v>
      </c>
      <c r="L1050" t="s">
        <v>4527</v>
      </c>
      <c r="M1050" t="s">
        <v>4450</v>
      </c>
      <c r="N1050">
        <v>3</v>
      </c>
    </row>
    <row r="1051" spans="1:14" x14ac:dyDescent="0.35">
      <c r="A1051" t="s">
        <v>5530</v>
      </c>
      <c r="B1051" t="s">
        <v>398</v>
      </c>
      <c r="C1051" t="s">
        <v>1890</v>
      </c>
      <c r="D1051" t="s">
        <v>4485</v>
      </c>
      <c r="E1051" t="s">
        <v>4444</v>
      </c>
      <c r="F1051" s="3">
        <v>44984</v>
      </c>
      <c r="G1051" s="3">
        <v>44985</v>
      </c>
      <c r="H1051">
        <v>27.2</v>
      </c>
      <c r="I1051">
        <v>24</v>
      </c>
      <c r="J1051" t="s">
        <v>4440</v>
      </c>
      <c r="K1051" t="s">
        <v>4441</v>
      </c>
      <c r="L1051" t="s">
        <v>4465</v>
      </c>
      <c r="M1051" t="s">
        <v>4450</v>
      </c>
      <c r="N1051">
        <v>5</v>
      </c>
    </row>
    <row r="1052" spans="1:14" x14ac:dyDescent="0.35">
      <c r="A1052" t="s">
        <v>5531</v>
      </c>
      <c r="B1052" t="s">
        <v>205</v>
      </c>
      <c r="C1052" t="s">
        <v>1883</v>
      </c>
      <c r="D1052" t="s">
        <v>4443</v>
      </c>
      <c r="E1052" t="s">
        <v>4444</v>
      </c>
      <c r="F1052" s="3">
        <v>45713</v>
      </c>
      <c r="G1052" s="3">
        <v>45714</v>
      </c>
      <c r="H1052">
        <v>47.8</v>
      </c>
      <c r="I1052">
        <v>24</v>
      </c>
      <c r="J1052" t="s">
        <v>4440</v>
      </c>
      <c r="K1052" t="s">
        <v>4441</v>
      </c>
      <c r="L1052" t="s">
        <v>4467</v>
      </c>
      <c r="M1052" t="s">
        <v>4450</v>
      </c>
      <c r="N1052">
        <v>4</v>
      </c>
    </row>
    <row r="1053" spans="1:14" x14ac:dyDescent="0.35">
      <c r="A1053" t="s">
        <v>5532</v>
      </c>
      <c r="B1053" t="s">
        <v>332</v>
      </c>
      <c r="C1053" t="s">
        <v>1883</v>
      </c>
      <c r="D1053" t="s">
        <v>4469</v>
      </c>
      <c r="E1053" t="s">
        <v>4444</v>
      </c>
      <c r="F1053" s="3">
        <v>45392</v>
      </c>
      <c r="G1053" s="3">
        <v>45393</v>
      </c>
      <c r="H1053">
        <v>27.8</v>
      </c>
      <c r="I1053">
        <v>24</v>
      </c>
      <c r="J1053" t="s">
        <v>4440</v>
      </c>
      <c r="K1053" t="s">
        <v>4441</v>
      </c>
      <c r="L1053" t="s">
        <v>4465</v>
      </c>
      <c r="M1053" t="s">
        <v>4446</v>
      </c>
    </row>
    <row r="1054" spans="1:14" x14ac:dyDescent="0.35">
      <c r="A1054" t="s">
        <v>5533</v>
      </c>
      <c r="B1054" t="s">
        <v>367</v>
      </c>
      <c r="C1054" t="s">
        <v>1927</v>
      </c>
      <c r="D1054" t="s">
        <v>4464</v>
      </c>
      <c r="E1054" t="s">
        <v>4444</v>
      </c>
      <c r="F1054" s="3">
        <v>45021</v>
      </c>
      <c r="G1054" s="3">
        <v>45021</v>
      </c>
      <c r="H1054">
        <v>5.9</v>
      </c>
      <c r="I1054">
        <v>24</v>
      </c>
      <c r="J1054" t="s">
        <v>4448</v>
      </c>
      <c r="K1054" t="s">
        <v>4441</v>
      </c>
      <c r="L1054" t="s">
        <v>4533</v>
      </c>
      <c r="M1054" t="s">
        <v>4462</v>
      </c>
      <c r="N1054">
        <v>2</v>
      </c>
    </row>
    <row r="1055" spans="1:14" x14ac:dyDescent="0.35">
      <c r="A1055" t="s">
        <v>5534</v>
      </c>
      <c r="B1055" t="s">
        <v>264</v>
      </c>
      <c r="C1055" t="s">
        <v>1904</v>
      </c>
      <c r="D1055" t="s">
        <v>8508</v>
      </c>
      <c r="E1055" t="s">
        <v>4456</v>
      </c>
      <c r="F1055" s="3">
        <v>45615</v>
      </c>
      <c r="G1055" s="3">
        <v>45615</v>
      </c>
      <c r="H1055">
        <v>2.6</v>
      </c>
      <c r="I1055">
        <v>4</v>
      </c>
      <c r="J1055" t="s">
        <v>4448</v>
      </c>
      <c r="K1055" t="s">
        <v>4441</v>
      </c>
      <c r="L1055" t="s">
        <v>4514</v>
      </c>
      <c r="M1055" t="s">
        <v>1625</v>
      </c>
      <c r="N1055">
        <v>3</v>
      </c>
    </row>
    <row r="1056" spans="1:14" x14ac:dyDescent="0.35">
      <c r="A1056" t="s">
        <v>5535</v>
      </c>
      <c r="B1056" t="s">
        <v>191</v>
      </c>
      <c r="C1056" t="s">
        <v>1927</v>
      </c>
      <c r="D1056" t="s">
        <v>4460</v>
      </c>
      <c r="E1056" t="s">
        <v>4444</v>
      </c>
      <c r="F1056" s="3">
        <v>45236</v>
      </c>
      <c r="G1056" s="3">
        <v>45238</v>
      </c>
      <c r="H1056">
        <v>54.2</v>
      </c>
      <c r="I1056">
        <v>24</v>
      </c>
      <c r="J1056" t="s">
        <v>4440</v>
      </c>
      <c r="K1056" t="s">
        <v>4441</v>
      </c>
      <c r="L1056" t="s">
        <v>4501</v>
      </c>
      <c r="M1056" t="s">
        <v>4446</v>
      </c>
      <c r="N1056">
        <v>2</v>
      </c>
    </row>
    <row r="1057" spans="1:14" x14ac:dyDescent="0.35">
      <c r="A1057" t="s">
        <v>5536</v>
      </c>
      <c r="B1057" t="s">
        <v>484</v>
      </c>
      <c r="C1057" t="s">
        <v>1915</v>
      </c>
      <c r="D1057" t="s">
        <v>4464</v>
      </c>
      <c r="E1057" t="s">
        <v>4473</v>
      </c>
      <c r="F1057" s="3">
        <v>45203</v>
      </c>
      <c r="G1057" s="3">
        <v>45203</v>
      </c>
      <c r="H1057">
        <v>18.100000000000001</v>
      </c>
      <c r="I1057">
        <v>8</v>
      </c>
      <c r="J1057" t="s">
        <v>4440</v>
      </c>
      <c r="K1057" t="s">
        <v>4441</v>
      </c>
      <c r="L1057" t="s">
        <v>4527</v>
      </c>
      <c r="M1057" t="s">
        <v>4450</v>
      </c>
      <c r="N1057">
        <v>4</v>
      </c>
    </row>
    <row r="1058" spans="1:14" x14ac:dyDescent="0.35">
      <c r="A1058" t="s">
        <v>5537</v>
      </c>
      <c r="B1058" t="s">
        <v>18</v>
      </c>
      <c r="C1058" t="s">
        <v>1927</v>
      </c>
      <c r="D1058" t="s">
        <v>4469</v>
      </c>
      <c r="E1058" t="s">
        <v>4439</v>
      </c>
      <c r="F1058" s="3">
        <v>44928</v>
      </c>
      <c r="G1058" s="3">
        <v>44930</v>
      </c>
      <c r="H1058">
        <v>50.2</v>
      </c>
      <c r="I1058">
        <v>48</v>
      </c>
      <c r="J1058" t="s">
        <v>1945</v>
      </c>
      <c r="K1058" t="s">
        <v>4441</v>
      </c>
      <c r="L1058" t="s">
        <v>4488</v>
      </c>
      <c r="M1058" t="s">
        <v>4462</v>
      </c>
      <c r="N1058">
        <v>5</v>
      </c>
    </row>
    <row r="1059" spans="1:14" x14ac:dyDescent="0.35">
      <c r="A1059" t="s">
        <v>5538</v>
      </c>
      <c r="B1059" t="s">
        <v>146</v>
      </c>
      <c r="C1059" t="s">
        <v>1899</v>
      </c>
      <c r="D1059" t="s">
        <v>4464</v>
      </c>
      <c r="E1059" t="s">
        <v>4473</v>
      </c>
      <c r="F1059" s="3">
        <v>45237</v>
      </c>
      <c r="G1059" s="3" t="s">
        <v>537</v>
      </c>
      <c r="I1059">
        <v>8</v>
      </c>
      <c r="J1059" t="s">
        <v>4440</v>
      </c>
      <c r="K1059" t="s">
        <v>4457</v>
      </c>
      <c r="L1059" t="s">
        <v>4480</v>
      </c>
      <c r="M1059" t="s">
        <v>4462</v>
      </c>
    </row>
    <row r="1060" spans="1:14" x14ac:dyDescent="0.35">
      <c r="A1060" t="s">
        <v>5539</v>
      </c>
      <c r="B1060" t="s">
        <v>406</v>
      </c>
      <c r="C1060" t="s">
        <v>1927</v>
      </c>
      <c r="D1060" t="s">
        <v>4460</v>
      </c>
      <c r="E1060" t="s">
        <v>4456</v>
      </c>
      <c r="F1060" s="3">
        <v>45437</v>
      </c>
      <c r="G1060" s="3">
        <v>45437</v>
      </c>
      <c r="H1060">
        <v>3.9</v>
      </c>
      <c r="I1060">
        <v>4</v>
      </c>
      <c r="J1060" t="s">
        <v>4448</v>
      </c>
      <c r="K1060" t="s">
        <v>4441</v>
      </c>
      <c r="L1060" t="s">
        <v>4449</v>
      </c>
      <c r="M1060" t="s">
        <v>4450</v>
      </c>
      <c r="N1060">
        <v>5</v>
      </c>
    </row>
    <row r="1061" spans="1:14" x14ac:dyDescent="0.35">
      <c r="A1061" t="s">
        <v>5540</v>
      </c>
      <c r="B1061" t="s">
        <v>243</v>
      </c>
      <c r="C1061" t="s">
        <v>1915</v>
      </c>
      <c r="D1061" t="s">
        <v>4490</v>
      </c>
      <c r="E1061" t="s">
        <v>4444</v>
      </c>
      <c r="F1061" s="3">
        <v>45145</v>
      </c>
      <c r="G1061" s="3">
        <v>45147</v>
      </c>
      <c r="H1061">
        <v>59.4</v>
      </c>
      <c r="I1061">
        <v>24</v>
      </c>
      <c r="J1061" t="s">
        <v>4440</v>
      </c>
      <c r="K1061" t="s">
        <v>4441</v>
      </c>
      <c r="L1061" t="s">
        <v>4461</v>
      </c>
      <c r="M1061" t="s">
        <v>4446</v>
      </c>
      <c r="N1061">
        <v>2</v>
      </c>
    </row>
    <row r="1062" spans="1:14" x14ac:dyDescent="0.35">
      <c r="A1062" t="s">
        <v>5541</v>
      </c>
      <c r="B1062" t="s">
        <v>461</v>
      </c>
      <c r="C1062" t="s">
        <v>1927</v>
      </c>
      <c r="D1062" t="s">
        <v>4485</v>
      </c>
      <c r="E1062" t="s">
        <v>4439</v>
      </c>
      <c r="F1062" s="3">
        <v>45599</v>
      </c>
      <c r="G1062" s="3">
        <v>45601</v>
      </c>
      <c r="H1062">
        <v>58.2</v>
      </c>
      <c r="I1062">
        <v>48</v>
      </c>
      <c r="J1062" t="s">
        <v>4440</v>
      </c>
      <c r="K1062" t="s">
        <v>4441</v>
      </c>
      <c r="L1062" t="s">
        <v>4492</v>
      </c>
      <c r="M1062" t="s">
        <v>1625</v>
      </c>
      <c r="N1062">
        <v>5</v>
      </c>
    </row>
    <row r="1063" spans="1:14" x14ac:dyDescent="0.35">
      <c r="A1063" t="s">
        <v>5542</v>
      </c>
      <c r="B1063" t="s">
        <v>411</v>
      </c>
      <c r="C1063" t="s">
        <v>1927</v>
      </c>
      <c r="D1063" t="s">
        <v>4469</v>
      </c>
      <c r="E1063" t="s">
        <v>4456</v>
      </c>
      <c r="F1063" s="3">
        <v>45392</v>
      </c>
      <c r="G1063" s="3">
        <v>45392</v>
      </c>
      <c r="H1063">
        <v>8.1999999999999993</v>
      </c>
      <c r="I1063">
        <v>4</v>
      </c>
      <c r="J1063" t="s">
        <v>4440</v>
      </c>
      <c r="K1063" t="s">
        <v>4441</v>
      </c>
      <c r="L1063" t="s">
        <v>4501</v>
      </c>
      <c r="M1063" t="s">
        <v>1625</v>
      </c>
      <c r="N1063">
        <v>3</v>
      </c>
    </row>
    <row r="1064" spans="1:14" x14ac:dyDescent="0.35">
      <c r="A1064" t="s">
        <v>5543</v>
      </c>
      <c r="B1064" t="s">
        <v>106</v>
      </c>
      <c r="C1064" t="s">
        <v>1904</v>
      </c>
      <c r="D1064" t="s">
        <v>4472</v>
      </c>
      <c r="E1064" t="s">
        <v>79</v>
      </c>
      <c r="F1064" s="3">
        <v>45123</v>
      </c>
      <c r="G1064" s="3" t="s">
        <v>537</v>
      </c>
      <c r="I1064">
        <v>8</v>
      </c>
      <c r="J1064" t="s">
        <v>4440</v>
      </c>
      <c r="K1064" t="s">
        <v>4474</v>
      </c>
      <c r="L1064" t="s">
        <v>4514</v>
      </c>
      <c r="M1064" t="s">
        <v>1625</v>
      </c>
    </row>
    <row r="1065" spans="1:14" x14ac:dyDescent="0.35">
      <c r="A1065" t="s">
        <v>5544</v>
      </c>
      <c r="B1065" t="s">
        <v>380</v>
      </c>
      <c r="C1065" t="s">
        <v>1883</v>
      </c>
      <c r="D1065" t="s">
        <v>4464</v>
      </c>
      <c r="E1065" t="s">
        <v>4439</v>
      </c>
      <c r="F1065" s="3">
        <v>44972</v>
      </c>
      <c r="G1065" s="3" t="s">
        <v>537</v>
      </c>
      <c r="I1065">
        <v>48</v>
      </c>
      <c r="J1065" t="s">
        <v>4440</v>
      </c>
      <c r="K1065" t="s">
        <v>4474</v>
      </c>
      <c r="L1065" t="s">
        <v>4461</v>
      </c>
      <c r="M1065" t="s">
        <v>4446</v>
      </c>
    </row>
    <row r="1066" spans="1:14" x14ac:dyDescent="0.35">
      <c r="A1066" t="s">
        <v>5545</v>
      </c>
      <c r="B1066" t="s">
        <v>482</v>
      </c>
      <c r="C1066" t="s">
        <v>1899</v>
      </c>
      <c r="D1066" t="s">
        <v>4482</v>
      </c>
      <c r="E1066" t="s">
        <v>4439</v>
      </c>
      <c r="F1066" s="3">
        <v>45730</v>
      </c>
      <c r="G1066" s="3" t="s">
        <v>537</v>
      </c>
      <c r="I1066">
        <v>48</v>
      </c>
      <c r="J1066" t="s">
        <v>4440</v>
      </c>
      <c r="K1066" t="s">
        <v>4474</v>
      </c>
      <c r="L1066" t="s">
        <v>4533</v>
      </c>
      <c r="M1066" t="s">
        <v>4446</v>
      </c>
    </row>
    <row r="1067" spans="1:14" x14ac:dyDescent="0.35">
      <c r="A1067" t="s">
        <v>5546</v>
      </c>
      <c r="B1067" t="s">
        <v>426</v>
      </c>
      <c r="C1067" t="s">
        <v>1915</v>
      </c>
      <c r="D1067" t="s">
        <v>8511</v>
      </c>
      <c r="E1067" t="s">
        <v>4444</v>
      </c>
      <c r="F1067" s="3">
        <v>45599</v>
      </c>
      <c r="G1067" s="3">
        <v>45601</v>
      </c>
      <c r="H1067">
        <v>49.2</v>
      </c>
      <c r="I1067">
        <v>24</v>
      </c>
      <c r="J1067" t="s">
        <v>4440</v>
      </c>
      <c r="K1067" t="s">
        <v>4441</v>
      </c>
      <c r="L1067" t="s">
        <v>4483</v>
      </c>
      <c r="M1067" t="s">
        <v>4450</v>
      </c>
      <c r="N1067">
        <v>3</v>
      </c>
    </row>
    <row r="1068" spans="1:14" x14ac:dyDescent="0.35">
      <c r="A1068" t="s">
        <v>5547</v>
      </c>
      <c r="B1068" t="s">
        <v>462</v>
      </c>
      <c r="C1068" t="s">
        <v>1904</v>
      </c>
      <c r="D1068" t="s">
        <v>4485</v>
      </c>
      <c r="E1068" t="s">
        <v>4439</v>
      </c>
      <c r="F1068" s="3">
        <v>45010</v>
      </c>
      <c r="G1068" s="3">
        <v>45010</v>
      </c>
      <c r="H1068">
        <v>17.600000000000001</v>
      </c>
      <c r="I1068">
        <v>48</v>
      </c>
      <c r="J1068" t="s">
        <v>4448</v>
      </c>
      <c r="K1068" t="s">
        <v>4441</v>
      </c>
      <c r="L1068" t="s">
        <v>4512</v>
      </c>
      <c r="M1068" t="s">
        <v>1625</v>
      </c>
      <c r="N1068">
        <v>5</v>
      </c>
    </row>
    <row r="1069" spans="1:14" x14ac:dyDescent="0.35">
      <c r="A1069" t="s">
        <v>5548</v>
      </c>
      <c r="B1069" t="s">
        <v>310</v>
      </c>
      <c r="C1069" t="s">
        <v>1904</v>
      </c>
      <c r="D1069" t="s">
        <v>4460</v>
      </c>
      <c r="E1069" t="s">
        <v>4473</v>
      </c>
      <c r="F1069" s="3">
        <v>45678</v>
      </c>
      <c r="G1069" s="3">
        <v>45678</v>
      </c>
      <c r="H1069">
        <v>14.5</v>
      </c>
      <c r="I1069">
        <v>8</v>
      </c>
      <c r="J1069" t="s">
        <v>4440</v>
      </c>
      <c r="K1069" t="s">
        <v>4441</v>
      </c>
      <c r="L1069" t="s">
        <v>4465</v>
      </c>
      <c r="M1069" t="s">
        <v>4462</v>
      </c>
      <c r="N1069">
        <v>4</v>
      </c>
    </row>
    <row r="1070" spans="1:14" x14ac:dyDescent="0.35">
      <c r="A1070" t="s">
        <v>5549</v>
      </c>
      <c r="B1070" t="s">
        <v>363</v>
      </c>
      <c r="C1070" t="s">
        <v>1904</v>
      </c>
      <c r="D1070" t="s">
        <v>4479</v>
      </c>
      <c r="E1070" t="s">
        <v>4473</v>
      </c>
      <c r="F1070" s="3">
        <v>45677</v>
      </c>
      <c r="G1070" s="3">
        <v>45677</v>
      </c>
      <c r="H1070">
        <v>19.2</v>
      </c>
      <c r="I1070">
        <v>8</v>
      </c>
      <c r="J1070" t="s">
        <v>4440</v>
      </c>
      <c r="K1070" t="s">
        <v>4441</v>
      </c>
      <c r="L1070" t="s">
        <v>4580</v>
      </c>
      <c r="M1070" t="s">
        <v>4462</v>
      </c>
      <c r="N1070">
        <v>5</v>
      </c>
    </row>
    <row r="1071" spans="1:14" x14ac:dyDescent="0.35">
      <c r="A1071" t="s">
        <v>5550</v>
      </c>
      <c r="B1071" t="s">
        <v>309</v>
      </c>
      <c r="C1071" t="s">
        <v>1899</v>
      </c>
      <c r="D1071" t="s">
        <v>4438</v>
      </c>
      <c r="E1071" t="s">
        <v>4473</v>
      </c>
      <c r="F1071" s="3">
        <v>45639</v>
      </c>
      <c r="G1071" s="3" t="s">
        <v>537</v>
      </c>
      <c r="I1071">
        <v>8</v>
      </c>
      <c r="J1071" t="s">
        <v>4440</v>
      </c>
      <c r="K1071" t="s">
        <v>4474</v>
      </c>
      <c r="L1071" t="s">
        <v>4461</v>
      </c>
      <c r="M1071" t="s">
        <v>4462</v>
      </c>
    </row>
    <row r="1072" spans="1:14" x14ac:dyDescent="0.35">
      <c r="A1072" t="s">
        <v>5551</v>
      </c>
      <c r="B1072" t="s">
        <v>112</v>
      </c>
      <c r="C1072" t="s">
        <v>1904</v>
      </c>
      <c r="D1072" t="s">
        <v>4464</v>
      </c>
      <c r="E1072" t="s">
        <v>4444</v>
      </c>
      <c r="F1072" s="3">
        <v>45155</v>
      </c>
      <c r="G1072" s="3" t="s">
        <v>537</v>
      </c>
      <c r="I1072">
        <v>24</v>
      </c>
      <c r="J1072" t="s">
        <v>4440</v>
      </c>
      <c r="K1072" t="s">
        <v>4453</v>
      </c>
      <c r="L1072" t="s">
        <v>4533</v>
      </c>
      <c r="M1072" t="s">
        <v>4450</v>
      </c>
    </row>
    <row r="1073" spans="1:14" x14ac:dyDescent="0.35">
      <c r="A1073" t="s">
        <v>5552</v>
      </c>
      <c r="B1073" t="s">
        <v>446</v>
      </c>
      <c r="C1073" t="s">
        <v>1890</v>
      </c>
      <c r="D1073" t="s">
        <v>4438</v>
      </c>
      <c r="E1073" t="s">
        <v>4439</v>
      </c>
      <c r="F1073" s="3">
        <v>45444</v>
      </c>
      <c r="G1073" s="3" t="s">
        <v>537</v>
      </c>
      <c r="I1073">
        <v>48</v>
      </c>
      <c r="J1073" t="s">
        <v>4440</v>
      </c>
      <c r="K1073" t="s">
        <v>4453</v>
      </c>
      <c r="L1073" t="s">
        <v>4488</v>
      </c>
      <c r="M1073" t="s">
        <v>4446</v>
      </c>
    </row>
    <row r="1074" spans="1:14" x14ac:dyDescent="0.35">
      <c r="A1074" t="s">
        <v>5553</v>
      </c>
      <c r="B1074" t="s">
        <v>126</v>
      </c>
      <c r="C1074" t="s">
        <v>1904</v>
      </c>
      <c r="D1074" t="s">
        <v>4479</v>
      </c>
      <c r="E1074" t="s">
        <v>4444</v>
      </c>
      <c r="F1074" s="3">
        <v>45585</v>
      </c>
      <c r="G1074" s="3" t="s">
        <v>537</v>
      </c>
      <c r="I1074">
        <v>24</v>
      </c>
      <c r="J1074" t="s">
        <v>4440</v>
      </c>
      <c r="K1074" t="s">
        <v>4453</v>
      </c>
      <c r="L1074" t="s">
        <v>4461</v>
      </c>
      <c r="M1074" t="s">
        <v>4462</v>
      </c>
    </row>
    <row r="1075" spans="1:14" x14ac:dyDescent="0.35">
      <c r="A1075" t="s">
        <v>5554</v>
      </c>
      <c r="B1075" t="s">
        <v>289</v>
      </c>
      <c r="C1075" t="s">
        <v>1890</v>
      </c>
      <c r="D1075" t="s">
        <v>4479</v>
      </c>
      <c r="E1075" t="s">
        <v>4439</v>
      </c>
      <c r="F1075" s="3">
        <v>45170</v>
      </c>
      <c r="G1075" s="3" t="s">
        <v>537</v>
      </c>
      <c r="I1075">
        <v>48</v>
      </c>
      <c r="J1075" t="s">
        <v>4440</v>
      </c>
      <c r="K1075" t="s">
        <v>4457</v>
      </c>
      <c r="L1075" t="s">
        <v>4512</v>
      </c>
      <c r="M1075" t="s">
        <v>4446</v>
      </c>
    </row>
    <row r="1076" spans="1:14" x14ac:dyDescent="0.35">
      <c r="A1076" t="s">
        <v>5555</v>
      </c>
      <c r="B1076" t="s">
        <v>362</v>
      </c>
      <c r="C1076" t="s">
        <v>1915</v>
      </c>
      <c r="D1076" t="s">
        <v>4452</v>
      </c>
      <c r="E1076" t="s">
        <v>4473</v>
      </c>
      <c r="F1076" s="3">
        <v>45618</v>
      </c>
      <c r="G1076" s="3">
        <v>45618</v>
      </c>
      <c r="H1076">
        <v>19</v>
      </c>
      <c r="I1076">
        <v>8</v>
      </c>
      <c r="J1076" t="s">
        <v>4440</v>
      </c>
      <c r="K1076" t="s">
        <v>4441</v>
      </c>
      <c r="L1076" t="s">
        <v>4483</v>
      </c>
      <c r="M1076" t="s">
        <v>4462</v>
      </c>
    </row>
    <row r="1077" spans="1:14" x14ac:dyDescent="0.35">
      <c r="A1077" t="s">
        <v>5556</v>
      </c>
      <c r="B1077" t="s">
        <v>82</v>
      </c>
      <c r="C1077" t="s">
        <v>1927</v>
      </c>
      <c r="D1077" t="s">
        <v>4438</v>
      </c>
      <c r="E1077" t="s">
        <v>4456</v>
      </c>
      <c r="F1077" s="3">
        <v>45105</v>
      </c>
      <c r="G1077" s="3">
        <v>45105</v>
      </c>
      <c r="H1077">
        <v>10</v>
      </c>
      <c r="I1077">
        <v>4</v>
      </c>
      <c r="J1077" t="s">
        <v>4440</v>
      </c>
      <c r="K1077" t="s">
        <v>4441</v>
      </c>
      <c r="L1077" t="s">
        <v>4470</v>
      </c>
      <c r="M1077" t="s">
        <v>1625</v>
      </c>
      <c r="N1077">
        <v>4</v>
      </c>
    </row>
    <row r="1078" spans="1:14" x14ac:dyDescent="0.35">
      <c r="A1078" t="s">
        <v>5557</v>
      </c>
      <c r="B1078" t="s">
        <v>389</v>
      </c>
      <c r="C1078" t="s">
        <v>1890</v>
      </c>
      <c r="D1078" t="s">
        <v>4479</v>
      </c>
      <c r="E1078" t="s">
        <v>4456</v>
      </c>
      <c r="F1078" s="3">
        <v>45631</v>
      </c>
      <c r="G1078" s="3">
        <v>45631</v>
      </c>
      <c r="H1078">
        <v>5.7</v>
      </c>
      <c r="I1078">
        <v>4</v>
      </c>
      <c r="J1078" t="s">
        <v>4440</v>
      </c>
      <c r="K1078" t="s">
        <v>4441</v>
      </c>
      <c r="L1078" t="s">
        <v>4445</v>
      </c>
      <c r="M1078" t="s">
        <v>1625</v>
      </c>
    </row>
    <row r="1079" spans="1:14" x14ac:dyDescent="0.35">
      <c r="A1079" t="s">
        <v>5558</v>
      </c>
      <c r="B1079" t="s">
        <v>178</v>
      </c>
      <c r="C1079" t="s">
        <v>1915</v>
      </c>
      <c r="D1079" t="s">
        <v>4476</v>
      </c>
      <c r="E1079" t="s">
        <v>4439</v>
      </c>
      <c r="F1079" s="3">
        <v>45442</v>
      </c>
      <c r="G1079" s="3">
        <v>45445</v>
      </c>
      <c r="H1079">
        <v>73.400000000000006</v>
      </c>
      <c r="I1079">
        <v>48</v>
      </c>
      <c r="J1079" t="s">
        <v>4440</v>
      </c>
      <c r="K1079" t="s">
        <v>4441</v>
      </c>
      <c r="L1079" t="s">
        <v>4449</v>
      </c>
      <c r="M1079" t="s">
        <v>4446</v>
      </c>
      <c r="N1079">
        <v>5</v>
      </c>
    </row>
    <row r="1080" spans="1:14" x14ac:dyDescent="0.35">
      <c r="A1080" t="s">
        <v>5559</v>
      </c>
      <c r="B1080" t="s">
        <v>165</v>
      </c>
      <c r="C1080" t="s">
        <v>1915</v>
      </c>
      <c r="D1080" t="s">
        <v>4460</v>
      </c>
      <c r="E1080" t="s">
        <v>4444</v>
      </c>
      <c r="F1080" s="3">
        <v>45395</v>
      </c>
      <c r="G1080" s="3" t="s">
        <v>537</v>
      </c>
      <c r="I1080">
        <v>24</v>
      </c>
      <c r="J1080" t="s">
        <v>4440</v>
      </c>
      <c r="K1080" t="s">
        <v>4453</v>
      </c>
      <c r="L1080" t="s">
        <v>4488</v>
      </c>
      <c r="M1080" t="s">
        <v>4446</v>
      </c>
    </row>
    <row r="1081" spans="1:14" x14ac:dyDescent="0.35">
      <c r="A1081" t="s">
        <v>5560</v>
      </c>
      <c r="B1081" t="s">
        <v>460</v>
      </c>
      <c r="C1081" t="s">
        <v>1890</v>
      </c>
      <c r="D1081" t="s">
        <v>4490</v>
      </c>
      <c r="E1081" t="s">
        <v>4473</v>
      </c>
      <c r="F1081" s="3">
        <v>45438</v>
      </c>
      <c r="G1081" s="3" t="s">
        <v>537</v>
      </c>
      <c r="I1081">
        <v>8</v>
      </c>
      <c r="J1081" t="s">
        <v>4440</v>
      </c>
      <c r="K1081" t="s">
        <v>4457</v>
      </c>
      <c r="L1081" t="s">
        <v>4514</v>
      </c>
      <c r="M1081" t="s">
        <v>4446</v>
      </c>
    </row>
    <row r="1082" spans="1:14" x14ac:dyDescent="0.35">
      <c r="A1082" t="s">
        <v>5561</v>
      </c>
      <c r="B1082" t="s">
        <v>455</v>
      </c>
      <c r="C1082" t="s">
        <v>1927</v>
      </c>
      <c r="D1082" t="s">
        <v>4460</v>
      </c>
      <c r="E1082" t="s">
        <v>4444</v>
      </c>
      <c r="F1082" s="3">
        <v>45253</v>
      </c>
      <c r="G1082" s="3">
        <v>45255</v>
      </c>
      <c r="H1082">
        <v>50.2</v>
      </c>
      <c r="I1082">
        <v>24</v>
      </c>
      <c r="J1082" t="s">
        <v>4440</v>
      </c>
      <c r="K1082" t="s">
        <v>4441</v>
      </c>
      <c r="L1082" t="s">
        <v>4470</v>
      </c>
      <c r="M1082" t="s">
        <v>4462</v>
      </c>
      <c r="N1082">
        <v>4</v>
      </c>
    </row>
    <row r="1083" spans="1:14" x14ac:dyDescent="0.35">
      <c r="A1083" t="s">
        <v>5562</v>
      </c>
      <c r="B1083" t="s">
        <v>271</v>
      </c>
      <c r="C1083" t="s">
        <v>1883</v>
      </c>
      <c r="D1083" t="s">
        <v>4476</v>
      </c>
      <c r="E1083" t="s">
        <v>4444</v>
      </c>
      <c r="F1083" s="3">
        <v>45405</v>
      </c>
      <c r="G1083" s="3">
        <v>45405</v>
      </c>
      <c r="H1083">
        <v>15.8</v>
      </c>
      <c r="I1083">
        <v>24</v>
      </c>
      <c r="J1083" t="s">
        <v>4448</v>
      </c>
      <c r="K1083" t="s">
        <v>4441</v>
      </c>
      <c r="L1083" t="s">
        <v>4483</v>
      </c>
      <c r="M1083" t="s">
        <v>1625</v>
      </c>
      <c r="N1083">
        <v>5</v>
      </c>
    </row>
    <row r="1084" spans="1:14" x14ac:dyDescent="0.35">
      <c r="A1084" t="s">
        <v>5563</v>
      </c>
      <c r="B1084" t="s">
        <v>390</v>
      </c>
      <c r="C1084" t="s">
        <v>1890</v>
      </c>
      <c r="D1084" t="s">
        <v>4464</v>
      </c>
      <c r="E1084" t="s">
        <v>4439</v>
      </c>
      <c r="F1084" s="3">
        <v>45663</v>
      </c>
      <c r="G1084" s="3" t="s">
        <v>537</v>
      </c>
      <c r="I1084">
        <v>48</v>
      </c>
      <c r="J1084" t="s">
        <v>4440</v>
      </c>
      <c r="K1084" t="s">
        <v>4457</v>
      </c>
      <c r="L1084" t="s">
        <v>4488</v>
      </c>
      <c r="M1084" t="s">
        <v>1625</v>
      </c>
    </row>
    <row r="1085" spans="1:14" x14ac:dyDescent="0.35">
      <c r="A1085" t="s">
        <v>5564</v>
      </c>
      <c r="B1085" t="s">
        <v>398</v>
      </c>
      <c r="C1085" t="s">
        <v>1899</v>
      </c>
      <c r="D1085" t="s">
        <v>4472</v>
      </c>
      <c r="E1085" t="s">
        <v>4439</v>
      </c>
      <c r="F1085" s="3">
        <v>45686</v>
      </c>
      <c r="G1085" s="3">
        <v>45688</v>
      </c>
      <c r="H1085">
        <v>62.4</v>
      </c>
      <c r="I1085">
        <v>48</v>
      </c>
      <c r="J1085" t="s">
        <v>4440</v>
      </c>
      <c r="K1085" t="s">
        <v>4441</v>
      </c>
      <c r="L1085" t="s">
        <v>4512</v>
      </c>
      <c r="M1085" t="s">
        <v>4450</v>
      </c>
    </row>
    <row r="1086" spans="1:14" x14ac:dyDescent="0.35">
      <c r="A1086" t="s">
        <v>5565</v>
      </c>
      <c r="B1086" t="s">
        <v>240</v>
      </c>
      <c r="C1086" t="s">
        <v>1927</v>
      </c>
      <c r="D1086" t="s">
        <v>4469</v>
      </c>
      <c r="E1086" t="s">
        <v>4456</v>
      </c>
      <c r="F1086" s="3">
        <v>45135</v>
      </c>
      <c r="G1086" s="3" t="s">
        <v>537</v>
      </c>
      <c r="I1086">
        <v>4</v>
      </c>
      <c r="J1086" t="s">
        <v>4448</v>
      </c>
      <c r="K1086" t="s">
        <v>4453</v>
      </c>
      <c r="L1086" t="s">
        <v>4449</v>
      </c>
      <c r="M1086" t="s">
        <v>4450</v>
      </c>
    </row>
    <row r="1087" spans="1:14" x14ac:dyDescent="0.35">
      <c r="A1087" t="s">
        <v>5566</v>
      </c>
      <c r="B1087" t="s">
        <v>387</v>
      </c>
      <c r="C1087" t="s">
        <v>1927</v>
      </c>
      <c r="D1087" t="s">
        <v>4460</v>
      </c>
      <c r="E1087" t="s">
        <v>4444</v>
      </c>
      <c r="F1087" s="3">
        <v>45061</v>
      </c>
      <c r="G1087" s="3" t="s">
        <v>537</v>
      </c>
      <c r="I1087">
        <v>24</v>
      </c>
      <c r="J1087" t="s">
        <v>4448</v>
      </c>
      <c r="K1087" t="s">
        <v>4474</v>
      </c>
      <c r="L1087" t="s">
        <v>4465</v>
      </c>
      <c r="M1087" t="s">
        <v>4446</v>
      </c>
    </row>
    <row r="1088" spans="1:14" x14ac:dyDescent="0.35">
      <c r="A1088" t="s">
        <v>5567</v>
      </c>
      <c r="B1088" t="s">
        <v>77</v>
      </c>
      <c r="C1088" t="s">
        <v>1899</v>
      </c>
      <c r="D1088" t="s">
        <v>4443</v>
      </c>
      <c r="E1088" t="s">
        <v>4439</v>
      </c>
      <c r="F1088" s="3">
        <v>45390</v>
      </c>
      <c r="G1088" s="3">
        <v>45394</v>
      </c>
      <c r="H1088">
        <v>96.3</v>
      </c>
      <c r="I1088">
        <v>48</v>
      </c>
      <c r="J1088" t="s">
        <v>4440</v>
      </c>
      <c r="K1088" t="s">
        <v>4441</v>
      </c>
      <c r="L1088" t="s">
        <v>4454</v>
      </c>
      <c r="M1088" t="s">
        <v>4450</v>
      </c>
      <c r="N1088">
        <v>4</v>
      </c>
    </row>
    <row r="1089" spans="1:14" x14ac:dyDescent="0.35">
      <c r="A1089" t="s">
        <v>5568</v>
      </c>
      <c r="B1089" t="s">
        <v>415</v>
      </c>
      <c r="C1089" t="s">
        <v>1904</v>
      </c>
      <c r="D1089" t="s">
        <v>4472</v>
      </c>
      <c r="E1089" t="s">
        <v>4444</v>
      </c>
      <c r="F1089" s="3">
        <v>45580</v>
      </c>
      <c r="G1089" s="3">
        <v>45581</v>
      </c>
      <c r="H1089">
        <v>24.5</v>
      </c>
      <c r="I1089">
        <v>24</v>
      </c>
      <c r="J1089" t="s">
        <v>4440</v>
      </c>
      <c r="K1089" t="s">
        <v>4441</v>
      </c>
      <c r="L1089" t="s">
        <v>4461</v>
      </c>
      <c r="M1089" t="s">
        <v>4446</v>
      </c>
      <c r="N1089">
        <v>5</v>
      </c>
    </row>
    <row r="1090" spans="1:14" x14ac:dyDescent="0.35">
      <c r="A1090" t="s">
        <v>5569</v>
      </c>
      <c r="B1090" t="s">
        <v>234</v>
      </c>
      <c r="C1090" t="s">
        <v>1927</v>
      </c>
      <c r="D1090" t="s">
        <v>4443</v>
      </c>
      <c r="E1090" t="s">
        <v>4439</v>
      </c>
      <c r="F1090" s="3">
        <v>45093</v>
      </c>
      <c r="G1090" s="3">
        <v>45093</v>
      </c>
      <c r="H1090">
        <v>4.8</v>
      </c>
      <c r="I1090">
        <v>48</v>
      </c>
      <c r="J1090" t="s">
        <v>4448</v>
      </c>
      <c r="K1090" t="s">
        <v>4441</v>
      </c>
      <c r="L1090" t="s">
        <v>4449</v>
      </c>
      <c r="M1090" t="s">
        <v>4462</v>
      </c>
      <c r="N1090">
        <v>2</v>
      </c>
    </row>
    <row r="1091" spans="1:14" x14ac:dyDescent="0.35">
      <c r="A1091" t="s">
        <v>5570</v>
      </c>
      <c r="B1091" t="s">
        <v>264</v>
      </c>
      <c r="C1091" t="s">
        <v>1904</v>
      </c>
      <c r="D1091" t="s">
        <v>4438</v>
      </c>
      <c r="E1091" t="s">
        <v>4473</v>
      </c>
      <c r="F1091" s="3">
        <v>45108</v>
      </c>
      <c r="G1091" s="3">
        <v>45108</v>
      </c>
      <c r="H1091">
        <v>4</v>
      </c>
      <c r="I1091">
        <v>8</v>
      </c>
      <c r="J1091" t="s">
        <v>4448</v>
      </c>
      <c r="K1091" t="s">
        <v>4441</v>
      </c>
      <c r="L1091" t="s">
        <v>4488</v>
      </c>
      <c r="M1091" t="s">
        <v>4446</v>
      </c>
      <c r="N1091">
        <v>2</v>
      </c>
    </row>
    <row r="1092" spans="1:14" x14ac:dyDescent="0.35">
      <c r="A1092" t="s">
        <v>5571</v>
      </c>
      <c r="B1092" t="s">
        <v>252</v>
      </c>
      <c r="C1092" t="s">
        <v>1890</v>
      </c>
      <c r="D1092" t="s">
        <v>4472</v>
      </c>
      <c r="E1092" t="s">
        <v>4439</v>
      </c>
      <c r="F1092" s="3">
        <v>45332</v>
      </c>
      <c r="G1092" s="3" t="s">
        <v>537</v>
      </c>
      <c r="I1092">
        <v>48</v>
      </c>
      <c r="J1092" t="s">
        <v>4448</v>
      </c>
      <c r="K1092" t="s">
        <v>4453</v>
      </c>
      <c r="L1092" t="s">
        <v>4480</v>
      </c>
      <c r="M1092" t="s">
        <v>1625</v>
      </c>
    </row>
    <row r="1093" spans="1:14" x14ac:dyDescent="0.35">
      <c r="A1093" t="s">
        <v>5572</v>
      </c>
      <c r="B1093" t="s">
        <v>228</v>
      </c>
      <c r="C1093" t="s">
        <v>1915</v>
      </c>
      <c r="D1093" t="s">
        <v>4464</v>
      </c>
      <c r="E1093" t="s">
        <v>4439</v>
      </c>
      <c r="F1093" s="3">
        <v>45160</v>
      </c>
      <c r="G1093" s="3" t="s">
        <v>537</v>
      </c>
      <c r="I1093">
        <v>48</v>
      </c>
      <c r="J1093" t="s">
        <v>1945</v>
      </c>
      <c r="K1093" t="s">
        <v>4474</v>
      </c>
      <c r="L1093" t="s">
        <v>4509</v>
      </c>
      <c r="M1093" t="s">
        <v>1625</v>
      </c>
    </row>
    <row r="1094" spans="1:14" x14ac:dyDescent="0.35">
      <c r="A1094" t="s">
        <v>5573</v>
      </c>
      <c r="B1094" t="s">
        <v>303</v>
      </c>
      <c r="C1094" t="s">
        <v>1927</v>
      </c>
      <c r="D1094" t="s">
        <v>4469</v>
      </c>
      <c r="E1094" t="s">
        <v>4444</v>
      </c>
      <c r="F1094" s="3">
        <v>45457</v>
      </c>
      <c r="G1094" s="3" t="s">
        <v>537</v>
      </c>
      <c r="I1094">
        <v>24</v>
      </c>
      <c r="J1094" t="s">
        <v>4440</v>
      </c>
      <c r="K1094" t="s">
        <v>4474</v>
      </c>
      <c r="L1094" t="s">
        <v>4514</v>
      </c>
      <c r="M1094" t="s">
        <v>1625</v>
      </c>
    </row>
    <row r="1095" spans="1:14" x14ac:dyDescent="0.35">
      <c r="A1095" t="s">
        <v>5574</v>
      </c>
      <c r="B1095" t="s">
        <v>283</v>
      </c>
      <c r="C1095" t="s">
        <v>1915</v>
      </c>
      <c r="D1095" t="s">
        <v>4464</v>
      </c>
      <c r="E1095" t="s">
        <v>4456</v>
      </c>
      <c r="F1095" s="3">
        <v>44982</v>
      </c>
      <c r="G1095" s="3">
        <v>44982</v>
      </c>
      <c r="H1095">
        <v>10</v>
      </c>
      <c r="I1095">
        <v>4</v>
      </c>
      <c r="J1095" t="s">
        <v>4440</v>
      </c>
      <c r="K1095" t="s">
        <v>4441</v>
      </c>
      <c r="L1095" t="s">
        <v>4580</v>
      </c>
      <c r="M1095" t="s">
        <v>4450</v>
      </c>
      <c r="N1095">
        <v>5</v>
      </c>
    </row>
    <row r="1096" spans="1:14" x14ac:dyDescent="0.35">
      <c r="A1096" t="s">
        <v>5575</v>
      </c>
      <c r="B1096" t="s">
        <v>399</v>
      </c>
      <c r="C1096" t="s">
        <v>1904</v>
      </c>
      <c r="D1096" t="s">
        <v>4482</v>
      </c>
      <c r="E1096" t="s">
        <v>4444</v>
      </c>
      <c r="F1096" s="3">
        <v>45527</v>
      </c>
      <c r="G1096" s="3">
        <v>45527</v>
      </c>
      <c r="H1096">
        <v>6.1</v>
      </c>
      <c r="I1096">
        <v>24</v>
      </c>
      <c r="J1096" t="s">
        <v>4448</v>
      </c>
      <c r="K1096" t="s">
        <v>4441</v>
      </c>
      <c r="L1096" t="s">
        <v>4465</v>
      </c>
      <c r="M1096" t="s">
        <v>4462</v>
      </c>
      <c r="N1096">
        <v>5</v>
      </c>
    </row>
    <row r="1097" spans="1:14" x14ac:dyDescent="0.35">
      <c r="A1097" t="s">
        <v>5576</v>
      </c>
      <c r="B1097" t="s">
        <v>77</v>
      </c>
      <c r="C1097" t="s">
        <v>1904</v>
      </c>
      <c r="D1097" t="s">
        <v>4452</v>
      </c>
      <c r="E1097" t="s">
        <v>79</v>
      </c>
      <c r="F1097" s="3">
        <v>45249</v>
      </c>
      <c r="G1097" s="3" t="s">
        <v>537</v>
      </c>
      <c r="I1097">
        <v>24</v>
      </c>
      <c r="J1097" t="s">
        <v>4448</v>
      </c>
      <c r="K1097" t="s">
        <v>4474</v>
      </c>
      <c r="L1097" t="s">
        <v>4527</v>
      </c>
      <c r="M1097" t="s">
        <v>4450</v>
      </c>
    </row>
    <row r="1098" spans="1:14" x14ac:dyDescent="0.35">
      <c r="A1098" t="s">
        <v>5577</v>
      </c>
      <c r="B1098" t="s">
        <v>57</v>
      </c>
      <c r="C1098" t="s">
        <v>1904</v>
      </c>
      <c r="D1098" t="s">
        <v>4479</v>
      </c>
      <c r="E1098" t="s">
        <v>4444</v>
      </c>
      <c r="F1098" s="3">
        <v>45203</v>
      </c>
      <c r="G1098" s="3">
        <v>45204</v>
      </c>
      <c r="H1098">
        <v>44.6</v>
      </c>
      <c r="I1098">
        <v>24</v>
      </c>
      <c r="J1098" t="s">
        <v>1945</v>
      </c>
      <c r="K1098" t="s">
        <v>4441</v>
      </c>
      <c r="L1098" t="s">
        <v>1907</v>
      </c>
      <c r="M1098" t="s">
        <v>4462</v>
      </c>
      <c r="N1098">
        <v>4</v>
      </c>
    </row>
    <row r="1099" spans="1:14" x14ac:dyDescent="0.35">
      <c r="A1099" t="s">
        <v>5578</v>
      </c>
      <c r="B1099" t="s">
        <v>90</v>
      </c>
      <c r="C1099" t="s">
        <v>1890</v>
      </c>
      <c r="D1099" t="s">
        <v>4482</v>
      </c>
      <c r="E1099" t="s">
        <v>4439</v>
      </c>
      <c r="F1099" s="3">
        <v>45128</v>
      </c>
      <c r="G1099" s="3" t="s">
        <v>537</v>
      </c>
      <c r="I1099">
        <v>48</v>
      </c>
      <c r="J1099" t="s">
        <v>4440</v>
      </c>
      <c r="K1099" t="s">
        <v>4474</v>
      </c>
      <c r="L1099" t="s">
        <v>4470</v>
      </c>
      <c r="M1099" t="s">
        <v>4462</v>
      </c>
    </row>
    <row r="1100" spans="1:14" x14ac:dyDescent="0.35">
      <c r="A1100" t="s">
        <v>5579</v>
      </c>
      <c r="B1100" t="s">
        <v>431</v>
      </c>
      <c r="C1100" t="s">
        <v>1899</v>
      </c>
      <c r="D1100" t="s">
        <v>4443</v>
      </c>
      <c r="E1100" t="s">
        <v>4444</v>
      </c>
      <c r="F1100" s="3">
        <v>45580</v>
      </c>
      <c r="G1100" s="3" t="s">
        <v>537</v>
      </c>
      <c r="I1100">
        <v>24</v>
      </c>
      <c r="J1100" t="s">
        <v>4440</v>
      </c>
      <c r="K1100" t="s">
        <v>4457</v>
      </c>
      <c r="L1100" t="s">
        <v>4483</v>
      </c>
      <c r="M1100" t="s">
        <v>4446</v>
      </c>
    </row>
    <row r="1101" spans="1:14" x14ac:dyDescent="0.35">
      <c r="A1101" t="s">
        <v>5580</v>
      </c>
      <c r="B1101" t="s">
        <v>80</v>
      </c>
      <c r="C1101" t="s">
        <v>1927</v>
      </c>
      <c r="D1101" t="s">
        <v>4479</v>
      </c>
      <c r="E1101" t="s">
        <v>4444</v>
      </c>
      <c r="F1101" s="3">
        <v>45389</v>
      </c>
      <c r="G1101" s="3">
        <v>45391</v>
      </c>
      <c r="H1101">
        <v>56.4</v>
      </c>
      <c r="I1101">
        <v>24</v>
      </c>
      <c r="J1101" t="s">
        <v>4440</v>
      </c>
      <c r="K1101" t="s">
        <v>4441</v>
      </c>
      <c r="L1101" t="s">
        <v>4501</v>
      </c>
      <c r="M1101" t="s">
        <v>4446</v>
      </c>
    </row>
    <row r="1102" spans="1:14" x14ac:dyDescent="0.35">
      <c r="A1102" t="s">
        <v>5581</v>
      </c>
      <c r="B1102" t="s">
        <v>277</v>
      </c>
      <c r="C1102" t="s">
        <v>1890</v>
      </c>
      <c r="D1102" t="s">
        <v>4469</v>
      </c>
      <c r="E1102" t="s">
        <v>4473</v>
      </c>
      <c r="F1102" s="3">
        <v>45016</v>
      </c>
      <c r="G1102" s="3">
        <v>45016</v>
      </c>
      <c r="H1102">
        <v>10.4</v>
      </c>
      <c r="I1102">
        <v>8</v>
      </c>
      <c r="J1102" t="s">
        <v>4440</v>
      </c>
      <c r="K1102" t="s">
        <v>4441</v>
      </c>
      <c r="L1102" t="s">
        <v>4461</v>
      </c>
      <c r="M1102" t="s">
        <v>4446</v>
      </c>
      <c r="N1102">
        <v>3</v>
      </c>
    </row>
    <row r="1103" spans="1:14" x14ac:dyDescent="0.35">
      <c r="A1103" t="s">
        <v>5582</v>
      </c>
      <c r="B1103" t="s">
        <v>372</v>
      </c>
      <c r="C1103" t="s">
        <v>1915</v>
      </c>
      <c r="D1103" t="s">
        <v>4482</v>
      </c>
      <c r="E1103" t="s">
        <v>4444</v>
      </c>
      <c r="F1103" s="3">
        <v>45118</v>
      </c>
      <c r="G1103" s="3" t="s">
        <v>537</v>
      </c>
      <c r="I1103">
        <v>24</v>
      </c>
      <c r="J1103" t="s">
        <v>4440</v>
      </c>
      <c r="K1103" t="s">
        <v>4453</v>
      </c>
      <c r="L1103" t="s">
        <v>4509</v>
      </c>
      <c r="M1103" t="s">
        <v>4450</v>
      </c>
    </row>
    <row r="1104" spans="1:14" x14ac:dyDescent="0.35">
      <c r="A1104" t="s">
        <v>5583</v>
      </c>
      <c r="B1104" t="s">
        <v>208</v>
      </c>
      <c r="C1104" t="s">
        <v>1915</v>
      </c>
      <c r="D1104" t="s">
        <v>4482</v>
      </c>
      <c r="E1104" t="s">
        <v>4439</v>
      </c>
      <c r="F1104" s="3">
        <v>44930</v>
      </c>
      <c r="G1104" s="3" t="s">
        <v>537</v>
      </c>
      <c r="I1104">
        <v>48</v>
      </c>
      <c r="J1104" t="s">
        <v>4448</v>
      </c>
      <c r="K1104" t="s">
        <v>4453</v>
      </c>
      <c r="L1104" t="s">
        <v>4580</v>
      </c>
      <c r="M1104" t="s">
        <v>4446</v>
      </c>
    </row>
    <row r="1105" spans="1:14" x14ac:dyDescent="0.35">
      <c r="A1105" t="s">
        <v>5584</v>
      </c>
      <c r="B1105" t="s">
        <v>424</v>
      </c>
      <c r="C1105" t="s">
        <v>1904</v>
      </c>
      <c r="D1105" t="s">
        <v>4485</v>
      </c>
      <c r="E1105" t="s">
        <v>4439</v>
      </c>
      <c r="F1105" s="3">
        <v>44996</v>
      </c>
      <c r="G1105" s="3">
        <v>44999</v>
      </c>
      <c r="H1105">
        <v>92.7</v>
      </c>
      <c r="I1105">
        <v>48</v>
      </c>
      <c r="J1105" t="s">
        <v>4440</v>
      </c>
      <c r="K1105" t="s">
        <v>4441</v>
      </c>
      <c r="L1105" t="s">
        <v>4492</v>
      </c>
      <c r="M1105" t="s">
        <v>4446</v>
      </c>
      <c r="N1105">
        <v>3</v>
      </c>
    </row>
    <row r="1106" spans="1:14" x14ac:dyDescent="0.35">
      <c r="A1106" t="s">
        <v>5585</v>
      </c>
      <c r="B1106" t="s">
        <v>299</v>
      </c>
      <c r="C1106" t="s">
        <v>1890</v>
      </c>
      <c r="D1106" t="s">
        <v>4443</v>
      </c>
      <c r="E1106" t="s">
        <v>4439</v>
      </c>
      <c r="F1106" s="3">
        <v>45238</v>
      </c>
      <c r="G1106" s="3">
        <v>45240</v>
      </c>
      <c r="H1106">
        <v>70.400000000000006</v>
      </c>
      <c r="I1106">
        <v>48</v>
      </c>
      <c r="J1106" t="s">
        <v>4440</v>
      </c>
      <c r="K1106" t="s">
        <v>4441</v>
      </c>
      <c r="L1106" t="s">
        <v>4514</v>
      </c>
      <c r="M1106" t="s">
        <v>4446</v>
      </c>
      <c r="N1106">
        <v>4</v>
      </c>
    </row>
    <row r="1107" spans="1:14" x14ac:dyDescent="0.35">
      <c r="A1107" t="s">
        <v>5586</v>
      </c>
      <c r="B1107" t="s">
        <v>235</v>
      </c>
      <c r="C1107" t="s">
        <v>1904</v>
      </c>
      <c r="D1107" t="s">
        <v>4443</v>
      </c>
      <c r="E1107" t="s">
        <v>4444</v>
      </c>
      <c r="F1107" s="3">
        <v>45318</v>
      </c>
      <c r="G1107" s="3" t="s">
        <v>537</v>
      </c>
      <c r="I1107">
        <v>24</v>
      </c>
      <c r="J1107" t="s">
        <v>4440</v>
      </c>
      <c r="K1107" t="s">
        <v>4457</v>
      </c>
      <c r="L1107" t="s">
        <v>4454</v>
      </c>
      <c r="M1107" t="s">
        <v>4450</v>
      </c>
    </row>
    <row r="1108" spans="1:14" x14ac:dyDescent="0.35">
      <c r="A1108" t="s">
        <v>5587</v>
      </c>
      <c r="B1108" t="s">
        <v>210</v>
      </c>
      <c r="C1108" t="s">
        <v>1927</v>
      </c>
      <c r="D1108" t="s">
        <v>4460</v>
      </c>
      <c r="E1108" t="s">
        <v>4473</v>
      </c>
      <c r="F1108" s="3">
        <v>45209</v>
      </c>
      <c r="G1108" s="3">
        <v>45209</v>
      </c>
      <c r="H1108">
        <v>2.5</v>
      </c>
      <c r="I1108">
        <v>8</v>
      </c>
      <c r="J1108" t="s">
        <v>4448</v>
      </c>
      <c r="K1108" t="s">
        <v>4441</v>
      </c>
      <c r="L1108" t="s">
        <v>4533</v>
      </c>
      <c r="M1108" t="s">
        <v>4450</v>
      </c>
      <c r="N1108">
        <v>3</v>
      </c>
    </row>
    <row r="1109" spans="1:14" x14ac:dyDescent="0.35">
      <c r="A1109" t="s">
        <v>5588</v>
      </c>
      <c r="B1109" t="s">
        <v>330</v>
      </c>
      <c r="C1109" t="s">
        <v>1927</v>
      </c>
      <c r="D1109" t="s">
        <v>4472</v>
      </c>
      <c r="E1109" t="s">
        <v>4444</v>
      </c>
      <c r="F1109" s="3">
        <v>45238</v>
      </c>
      <c r="G1109" s="3">
        <v>45238</v>
      </c>
      <c r="H1109">
        <v>21.4</v>
      </c>
      <c r="I1109">
        <v>24</v>
      </c>
      <c r="J1109" t="s">
        <v>4448</v>
      </c>
      <c r="K1109" t="s">
        <v>4441</v>
      </c>
      <c r="L1109" t="s">
        <v>4445</v>
      </c>
      <c r="M1109" t="s">
        <v>4462</v>
      </c>
      <c r="N1109">
        <v>5</v>
      </c>
    </row>
    <row r="1110" spans="1:14" x14ac:dyDescent="0.35">
      <c r="A1110" t="s">
        <v>5589</v>
      </c>
      <c r="B1110" t="s">
        <v>90</v>
      </c>
      <c r="C1110" t="s">
        <v>1890</v>
      </c>
      <c r="D1110" t="s">
        <v>4452</v>
      </c>
      <c r="E1110" t="s">
        <v>4439</v>
      </c>
      <c r="F1110" s="3">
        <v>45543</v>
      </c>
      <c r="G1110" s="3" t="s">
        <v>537</v>
      </c>
      <c r="I1110">
        <v>48</v>
      </c>
      <c r="J1110" t="s">
        <v>4440</v>
      </c>
      <c r="K1110" t="s">
        <v>4474</v>
      </c>
      <c r="L1110" t="s">
        <v>4527</v>
      </c>
      <c r="M1110" t="s">
        <v>1625</v>
      </c>
    </row>
    <row r="1111" spans="1:14" x14ac:dyDescent="0.35">
      <c r="A1111" t="s">
        <v>5590</v>
      </c>
      <c r="B1111" t="s">
        <v>349</v>
      </c>
      <c r="C1111" t="s">
        <v>1883</v>
      </c>
      <c r="D1111" t="s">
        <v>4452</v>
      </c>
      <c r="E1111" t="s">
        <v>4439</v>
      </c>
      <c r="F1111" s="3">
        <v>45358</v>
      </c>
      <c r="G1111" s="3">
        <v>45362</v>
      </c>
      <c r="H1111">
        <v>111.4</v>
      </c>
      <c r="I1111">
        <v>48</v>
      </c>
      <c r="J1111" t="s">
        <v>4440</v>
      </c>
      <c r="K1111" t="s">
        <v>4441</v>
      </c>
      <c r="L1111" t="s">
        <v>4465</v>
      </c>
      <c r="M1111" t="s">
        <v>4450</v>
      </c>
      <c r="N1111">
        <v>4</v>
      </c>
    </row>
    <row r="1112" spans="1:14" x14ac:dyDescent="0.35">
      <c r="A1112" t="s">
        <v>5591</v>
      </c>
      <c r="B1112" t="s">
        <v>302</v>
      </c>
      <c r="C1112" t="s">
        <v>1904</v>
      </c>
      <c r="D1112" t="s">
        <v>4464</v>
      </c>
      <c r="E1112" t="s">
        <v>4473</v>
      </c>
      <c r="F1112" s="3">
        <v>45609</v>
      </c>
      <c r="G1112" s="3">
        <v>45609</v>
      </c>
      <c r="H1112">
        <v>12.4</v>
      </c>
      <c r="I1112">
        <v>8</v>
      </c>
      <c r="J1112" t="s">
        <v>4440</v>
      </c>
      <c r="K1112" t="s">
        <v>4441</v>
      </c>
      <c r="L1112" t="s">
        <v>4449</v>
      </c>
      <c r="M1112" t="s">
        <v>4462</v>
      </c>
      <c r="N1112">
        <v>3</v>
      </c>
    </row>
    <row r="1113" spans="1:14" x14ac:dyDescent="0.35">
      <c r="A1113" t="s">
        <v>5592</v>
      </c>
      <c r="B1113" t="s">
        <v>66</v>
      </c>
      <c r="C1113" t="s">
        <v>1904</v>
      </c>
      <c r="D1113" t="s">
        <v>4482</v>
      </c>
      <c r="E1113" t="s">
        <v>4444</v>
      </c>
      <c r="F1113" s="3">
        <v>45584</v>
      </c>
      <c r="G1113" s="3">
        <v>45585</v>
      </c>
      <c r="H1113">
        <v>28.9</v>
      </c>
      <c r="I1113">
        <v>24</v>
      </c>
      <c r="J1113" t="s">
        <v>4440</v>
      </c>
      <c r="K1113" t="s">
        <v>4441</v>
      </c>
      <c r="L1113" t="s">
        <v>1907</v>
      </c>
      <c r="M1113" t="s">
        <v>4450</v>
      </c>
      <c r="N1113">
        <v>4</v>
      </c>
    </row>
    <row r="1114" spans="1:14" x14ac:dyDescent="0.35">
      <c r="A1114" t="s">
        <v>5593</v>
      </c>
      <c r="B1114" t="s">
        <v>440</v>
      </c>
      <c r="C1114" t="s">
        <v>1899</v>
      </c>
      <c r="D1114" t="s">
        <v>4485</v>
      </c>
      <c r="E1114" t="s">
        <v>4473</v>
      </c>
      <c r="F1114" s="3">
        <v>44977</v>
      </c>
      <c r="G1114" s="3">
        <v>44977</v>
      </c>
      <c r="H1114">
        <v>9</v>
      </c>
      <c r="I1114">
        <v>8</v>
      </c>
      <c r="J1114" t="s">
        <v>4440</v>
      </c>
      <c r="K1114" t="s">
        <v>4441</v>
      </c>
      <c r="L1114" t="s">
        <v>4449</v>
      </c>
      <c r="M1114" t="s">
        <v>4450</v>
      </c>
      <c r="N1114">
        <v>2</v>
      </c>
    </row>
    <row r="1115" spans="1:14" x14ac:dyDescent="0.35">
      <c r="A1115" t="s">
        <v>5594</v>
      </c>
      <c r="B1115" t="s">
        <v>162</v>
      </c>
      <c r="C1115" t="s">
        <v>1927</v>
      </c>
      <c r="D1115" t="s">
        <v>4479</v>
      </c>
      <c r="E1115" t="s">
        <v>4444</v>
      </c>
      <c r="F1115" s="3">
        <v>45254</v>
      </c>
      <c r="G1115" s="3">
        <v>45255</v>
      </c>
      <c r="H1115">
        <v>31.3</v>
      </c>
      <c r="I1115">
        <v>24</v>
      </c>
      <c r="J1115" t="s">
        <v>4440</v>
      </c>
      <c r="K1115" t="s">
        <v>4441</v>
      </c>
      <c r="L1115" t="s">
        <v>4449</v>
      </c>
      <c r="M1115" t="s">
        <v>4462</v>
      </c>
      <c r="N1115">
        <v>3</v>
      </c>
    </row>
    <row r="1116" spans="1:14" x14ac:dyDescent="0.35">
      <c r="A1116" t="s">
        <v>5595</v>
      </c>
      <c r="B1116" t="s">
        <v>184</v>
      </c>
      <c r="C1116" t="s">
        <v>1915</v>
      </c>
      <c r="D1116" t="s">
        <v>4460</v>
      </c>
      <c r="E1116" t="s">
        <v>4444</v>
      </c>
      <c r="F1116" s="3">
        <v>45705</v>
      </c>
      <c r="G1116" s="3">
        <v>45707</v>
      </c>
      <c r="H1116">
        <v>48.3</v>
      </c>
      <c r="I1116">
        <v>24</v>
      </c>
      <c r="J1116" t="s">
        <v>4440</v>
      </c>
      <c r="K1116" t="s">
        <v>4441</v>
      </c>
      <c r="L1116" t="s">
        <v>4514</v>
      </c>
      <c r="M1116" t="s">
        <v>4450</v>
      </c>
      <c r="N1116">
        <v>4</v>
      </c>
    </row>
    <row r="1117" spans="1:14" x14ac:dyDescent="0.35">
      <c r="A1117" t="s">
        <v>5596</v>
      </c>
      <c r="B1117" t="s">
        <v>345</v>
      </c>
      <c r="C1117" t="s">
        <v>1890</v>
      </c>
      <c r="D1117" t="s">
        <v>4464</v>
      </c>
      <c r="E1117" t="s">
        <v>4444</v>
      </c>
      <c r="F1117" s="3">
        <v>45250</v>
      </c>
      <c r="G1117" s="3" t="s">
        <v>537</v>
      </c>
      <c r="I1117">
        <v>24</v>
      </c>
      <c r="J1117" t="s">
        <v>4448</v>
      </c>
      <c r="K1117" t="s">
        <v>4474</v>
      </c>
      <c r="L1117" t="s">
        <v>4512</v>
      </c>
      <c r="M1117" t="s">
        <v>4446</v>
      </c>
    </row>
    <row r="1118" spans="1:14" x14ac:dyDescent="0.35">
      <c r="A1118" t="s">
        <v>5597</v>
      </c>
      <c r="B1118" t="s">
        <v>440</v>
      </c>
      <c r="C1118" t="s">
        <v>1904</v>
      </c>
      <c r="D1118" t="s">
        <v>4482</v>
      </c>
      <c r="E1118" t="s">
        <v>4439</v>
      </c>
      <c r="F1118" s="3">
        <v>45252</v>
      </c>
      <c r="G1118" s="3">
        <v>45255</v>
      </c>
      <c r="H1118">
        <v>90.3</v>
      </c>
      <c r="I1118">
        <v>48</v>
      </c>
      <c r="J1118" t="s">
        <v>4440</v>
      </c>
      <c r="K1118" t="s">
        <v>4441</v>
      </c>
      <c r="L1118" t="s">
        <v>4514</v>
      </c>
      <c r="M1118" t="s">
        <v>4446</v>
      </c>
      <c r="N1118">
        <v>5</v>
      </c>
    </row>
    <row r="1119" spans="1:14" x14ac:dyDescent="0.35">
      <c r="A1119" t="s">
        <v>5598</v>
      </c>
      <c r="B1119" t="s">
        <v>261</v>
      </c>
      <c r="C1119" t="s">
        <v>1899</v>
      </c>
      <c r="D1119" t="s">
        <v>4485</v>
      </c>
      <c r="E1119" t="s">
        <v>4439</v>
      </c>
      <c r="F1119" s="3">
        <v>45593</v>
      </c>
      <c r="G1119" s="3">
        <v>45597</v>
      </c>
      <c r="H1119">
        <v>119</v>
      </c>
      <c r="I1119">
        <v>48</v>
      </c>
      <c r="J1119" t="s">
        <v>4440</v>
      </c>
      <c r="K1119" t="s">
        <v>4441</v>
      </c>
      <c r="L1119" t="s">
        <v>4467</v>
      </c>
      <c r="M1119" t="s">
        <v>4450</v>
      </c>
      <c r="N1119">
        <v>5</v>
      </c>
    </row>
    <row r="1120" spans="1:14" x14ac:dyDescent="0.35">
      <c r="A1120" t="s">
        <v>5599</v>
      </c>
      <c r="B1120" t="s">
        <v>68</v>
      </c>
      <c r="C1120" t="s">
        <v>1927</v>
      </c>
      <c r="D1120" t="s">
        <v>4485</v>
      </c>
      <c r="E1120" t="s">
        <v>4456</v>
      </c>
      <c r="F1120" s="3">
        <v>45251</v>
      </c>
      <c r="G1120" s="3">
        <v>45251</v>
      </c>
      <c r="H1120">
        <v>2.1</v>
      </c>
      <c r="I1120">
        <v>4</v>
      </c>
      <c r="J1120" t="s">
        <v>4448</v>
      </c>
      <c r="K1120" t="s">
        <v>4441</v>
      </c>
      <c r="L1120" t="s">
        <v>4480</v>
      </c>
      <c r="M1120" t="s">
        <v>1625</v>
      </c>
      <c r="N1120">
        <v>2</v>
      </c>
    </row>
    <row r="1121" spans="1:14" x14ac:dyDescent="0.35">
      <c r="A1121" t="s">
        <v>5600</v>
      </c>
      <c r="B1121" t="s">
        <v>133</v>
      </c>
      <c r="C1121" t="s">
        <v>1915</v>
      </c>
      <c r="D1121" t="s">
        <v>8504</v>
      </c>
      <c r="E1121" t="s">
        <v>4456</v>
      </c>
      <c r="F1121" s="3">
        <v>45299</v>
      </c>
      <c r="G1121" s="3">
        <v>45299</v>
      </c>
      <c r="H1121">
        <v>3.7</v>
      </c>
      <c r="I1121">
        <v>4</v>
      </c>
      <c r="J1121" t="s">
        <v>4448</v>
      </c>
      <c r="K1121" t="s">
        <v>4441</v>
      </c>
      <c r="L1121" t="s">
        <v>4454</v>
      </c>
      <c r="M1121" t="s">
        <v>1625</v>
      </c>
      <c r="N1121">
        <v>4</v>
      </c>
    </row>
    <row r="1122" spans="1:14" x14ac:dyDescent="0.35">
      <c r="A1122" t="s">
        <v>5601</v>
      </c>
      <c r="B1122" t="s">
        <v>57</v>
      </c>
      <c r="C1122" t="s">
        <v>1890</v>
      </c>
      <c r="D1122" t="s">
        <v>4472</v>
      </c>
      <c r="E1122" t="s">
        <v>4456</v>
      </c>
      <c r="F1122" s="3">
        <v>45137</v>
      </c>
      <c r="G1122" s="3">
        <v>45137</v>
      </c>
      <c r="H1122">
        <v>8.6</v>
      </c>
      <c r="I1122">
        <v>4</v>
      </c>
      <c r="J1122" t="s">
        <v>4440</v>
      </c>
      <c r="K1122" t="s">
        <v>4441</v>
      </c>
      <c r="L1122" t="s">
        <v>4458</v>
      </c>
      <c r="M1122" t="s">
        <v>1625</v>
      </c>
      <c r="N1122">
        <v>5</v>
      </c>
    </row>
    <row r="1123" spans="1:14" x14ac:dyDescent="0.35">
      <c r="A1123" t="s">
        <v>5602</v>
      </c>
      <c r="B1123" t="s">
        <v>349</v>
      </c>
      <c r="C1123" t="s">
        <v>1899</v>
      </c>
      <c r="D1123" t="s">
        <v>4438</v>
      </c>
      <c r="E1123" t="s">
        <v>4473</v>
      </c>
      <c r="F1123" s="3">
        <v>45404</v>
      </c>
      <c r="G1123" s="3">
        <v>45404</v>
      </c>
      <c r="H1123">
        <v>4.3</v>
      </c>
      <c r="I1123">
        <v>8</v>
      </c>
      <c r="J1123" t="s">
        <v>4448</v>
      </c>
      <c r="K1123" t="s">
        <v>4441</v>
      </c>
      <c r="L1123" t="s">
        <v>4533</v>
      </c>
      <c r="M1123" t="s">
        <v>1625</v>
      </c>
    </row>
    <row r="1124" spans="1:14" x14ac:dyDescent="0.35">
      <c r="A1124" t="s">
        <v>5603</v>
      </c>
      <c r="B1124" t="s">
        <v>205</v>
      </c>
      <c r="C1124" t="s">
        <v>1890</v>
      </c>
      <c r="D1124" t="s">
        <v>4452</v>
      </c>
      <c r="E1124" t="s">
        <v>4444</v>
      </c>
      <c r="F1124" s="3">
        <v>45088</v>
      </c>
      <c r="G1124" s="3">
        <v>45088</v>
      </c>
      <c r="H1124">
        <v>11.2</v>
      </c>
      <c r="I1124">
        <v>24</v>
      </c>
      <c r="J1124" t="s">
        <v>4448</v>
      </c>
      <c r="K1124" t="s">
        <v>4441</v>
      </c>
      <c r="L1124" t="s">
        <v>4509</v>
      </c>
      <c r="M1124" t="s">
        <v>4446</v>
      </c>
      <c r="N1124">
        <v>3</v>
      </c>
    </row>
    <row r="1125" spans="1:14" x14ac:dyDescent="0.35">
      <c r="A1125" t="s">
        <v>5604</v>
      </c>
      <c r="B1125" t="s">
        <v>432</v>
      </c>
      <c r="C1125" t="s">
        <v>1904</v>
      </c>
      <c r="D1125" t="s">
        <v>4469</v>
      </c>
      <c r="E1125" t="s">
        <v>4444</v>
      </c>
      <c r="F1125" s="3">
        <v>45401</v>
      </c>
      <c r="G1125" s="3" t="s">
        <v>537</v>
      </c>
      <c r="I1125">
        <v>24</v>
      </c>
      <c r="J1125" t="s">
        <v>4440</v>
      </c>
      <c r="K1125" t="s">
        <v>4457</v>
      </c>
      <c r="L1125" t="s">
        <v>4492</v>
      </c>
      <c r="M1125" t="s">
        <v>1625</v>
      </c>
    </row>
    <row r="1126" spans="1:14" x14ac:dyDescent="0.35">
      <c r="A1126" t="s">
        <v>5605</v>
      </c>
      <c r="B1126" t="s">
        <v>367</v>
      </c>
      <c r="C1126" t="s">
        <v>1927</v>
      </c>
      <c r="D1126" t="s">
        <v>4490</v>
      </c>
      <c r="E1126" t="s">
        <v>4444</v>
      </c>
      <c r="F1126" s="3">
        <v>45255</v>
      </c>
      <c r="G1126" s="3" t="s">
        <v>537</v>
      </c>
      <c r="I1126">
        <v>24</v>
      </c>
      <c r="J1126" t="s">
        <v>4440</v>
      </c>
      <c r="K1126" t="s">
        <v>4453</v>
      </c>
      <c r="L1126" t="s">
        <v>4509</v>
      </c>
      <c r="M1126" t="s">
        <v>4446</v>
      </c>
    </row>
    <row r="1127" spans="1:14" x14ac:dyDescent="0.35">
      <c r="A1127" t="s">
        <v>5606</v>
      </c>
      <c r="B1127" t="s">
        <v>182</v>
      </c>
      <c r="C1127" t="s">
        <v>1890</v>
      </c>
      <c r="D1127" t="s">
        <v>4479</v>
      </c>
      <c r="E1127" t="s">
        <v>4444</v>
      </c>
      <c r="F1127" s="3">
        <v>45473</v>
      </c>
      <c r="G1127" s="3">
        <v>45474</v>
      </c>
      <c r="H1127">
        <v>36.700000000000003</v>
      </c>
      <c r="I1127">
        <v>24</v>
      </c>
      <c r="J1127" t="s">
        <v>4440</v>
      </c>
      <c r="K1127" t="s">
        <v>4441</v>
      </c>
      <c r="L1127" t="s">
        <v>4465</v>
      </c>
      <c r="M1127" t="s">
        <v>4446</v>
      </c>
      <c r="N1127">
        <v>4</v>
      </c>
    </row>
    <row r="1128" spans="1:14" x14ac:dyDescent="0.35">
      <c r="A1128" t="s">
        <v>5607</v>
      </c>
      <c r="B1128" t="s">
        <v>413</v>
      </c>
      <c r="C1128" t="s">
        <v>1890</v>
      </c>
      <c r="D1128" t="s">
        <v>4443</v>
      </c>
      <c r="E1128" t="s">
        <v>4473</v>
      </c>
      <c r="F1128" s="3">
        <v>45181</v>
      </c>
      <c r="G1128" s="3" t="s">
        <v>537</v>
      </c>
      <c r="I1128">
        <v>8</v>
      </c>
      <c r="J1128" t="s">
        <v>4448</v>
      </c>
      <c r="K1128" t="s">
        <v>4474</v>
      </c>
      <c r="L1128" t="s">
        <v>4580</v>
      </c>
      <c r="M1128" t="s">
        <v>4450</v>
      </c>
    </row>
    <row r="1129" spans="1:14" x14ac:dyDescent="0.35">
      <c r="A1129" t="s">
        <v>5608</v>
      </c>
      <c r="B1129" t="s">
        <v>405</v>
      </c>
      <c r="C1129" t="s">
        <v>1899</v>
      </c>
      <c r="D1129" t="s">
        <v>4482</v>
      </c>
      <c r="E1129" t="s">
        <v>4444</v>
      </c>
      <c r="F1129" s="3">
        <v>45569</v>
      </c>
      <c r="G1129" s="3">
        <v>45569</v>
      </c>
      <c r="H1129">
        <v>6</v>
      </c>
      <c r="I1129">
        <v>24</v>
      </c>
      <c r="J1129" t="s">
        <v>4448</v>
      </c>
      <c r="K1129" t="s">
        <v>4441</v>
      </c>
      <c r="L1129" t="s">
        <v>4465</v>
      </c>
      <c r="M1129" t="s">
        <v>4446</v>
      </c>
      <c r="N1129">
        <v>5</v>
      </c>
    </row>
    <row r="1130" spans="1:14" x14ac:dyDescent="0.35">
      <c r="A1130" t="s">
        <v>5609</v>
      </c>
      <c r="B1130" t="s">
        <v>156</v>
      </c>
      <c r="C1130" t="s">
        <v>1904</v>
      </c>
      <c r="D1130" t="s">
        <v>4472</v>
      </c>
      <c r="E1130" t="s">
        <v>4439</v>
      </c>
      <c r="F1130" s="3">
        <v>45004</v>
      </c>
      <c r="G1130" s="3" t="s">
        <v>537</v>
      </c>
      <c r="I1130">
        <v>48</v>
      </c>
      <c r="J1130" t="s">
        <v>4440</v>
      </c>
      <c r="K1130" t="s">
        <v>4453</v>
      </c>
      <c r="L1130" t="s">
        <v>4465</v>
      </c>
      <c r="M1130" t="s">
        <v>4446</v>
      </c>
    </row>
    <row r="1131" spans="1:14" x14ac:dyDescent="0.35">
      <c r="A1131" t="s">
        <v>5610</v>
      </c>
      <c r="B1131" t="s">
        <v>85</v>
      </c>
      <c r="C1131" t="s">
        <v>1899</v>
      </c>
      <c r="D1131" t="s">
        <v>4464</v>
      </c>
      <c r="E1131" t="s">
        <v>4444</v>
      </c>
      <c r="F1131" s="3">
        <v>45740</v>
      </c>
      <c r="G1131" s="3">
        <v>45742</v>
      </c>
      <c r="H1131">
        <v>51.2</v>
      </c>
      <c r="I1131">
        <v>24</v>
      </c>
      <c r="J1131" t="s">
        <v>4440</v>
      </c>
      <c r="K1131" t="s">
        <v>4441</v>
      </c>
      <c r="L1131" t="s">
        <v>4501</v>
      </c>
      <c r="M1131" t="s">
        <v>4450</v>
      </c>
    </row>
    <row r="1132" spans="1:14" x14ac:dyDescent="0.35">
      <c r="A1132" t="s">
        <v>5611</v>
      </c>
      <c r="B1132" t="s">
        <v>175</v>
      </c>
      <c r="C1132" t="s">
        <v>1890</v>
      </c>
      <c r="D1132" t="s">
        <v>4438</v>
      </c>
      <c r="E1132" t="s">
        <v>4473</v>
      </c>
      <c r="F1132" s="3">
        <v>44951</v>
      </c>
      <c r="G1132" s="3">
        <v>44951</v>
      </c>
      <c r="H1132">
        <v>1.8</v>
      </c>
      <c r="I1132">
        <v>8</v>
      </c>
      <c r="J1132" t="s">
        <v>4448</v>
      </c>
      <c r="K1132" t="s">
        <v>4441</v>
      </c>
      <c r="L1132" t="s">
        <v>4480</v>
      </c>
      <c r="M1132" t="s">
        <v>4446</v>
      </c>
      <c r="N1132">
        <v>5</v>
      </c>
    </row>
    <row r="1133" spans="1:14" x14ac:dyDescent="0.35">
      <c r="A1133" t="s">
        <v>5612</v>
      </c>
      <c r="B1133" t="s">
        <v>205</v>
      </c>
      <c r="C1133" t="s">
        <v>1890</v>
      </c>
      <c r="D1133" t="s">
        <v>4469</v>
      </c>
      <c r="E1133" t="s">
        <v>4456</v>
      </c>
      <c r="F1133" s="3">
        <v>44927</v>
      </c>
      <c r="G1133" s="3">
        <v>44927</v>
      </c>
      <c r="H1133">
        <v>9.6</v>
      </c>
      <c r="I1133">
        <v>4</v>
      </c>
      <c r="J1133" t="s">
        <v>4440</v>
      </c>
      <c r="K1133" t="s">
        <v>4441</v>
      </c>
      <c r="L1133" t="s">
        <v>4470</v>
      </c>
      <c r="M1133" t="s">
        <v>1625</v>
      </c>
      <c r="N1133">
        <v>3</v>
      </c>
    </row>
    <row r="1134" spans="1:14" x14ac:dyDescent="0.35">
      <c r="A1134" t="s">
        <v>5613</v>
      </c>
      <c r="B1134" t="s">
        <v>122</v>
      </c>
      <c r="C1134" t="s">
        <v>1890</v>
      </c>
      <c r="D1134" t="s">
        <v>4469</v>
      </c>
      <c r="E1134" t="s">
        <v>4444</v>
      </c>
      <c r="F1134" s="3">
        <v>45274</v>
      </c>
      <c r="G1134" s="3" t="s">
        <v>537</v>
      </c>
      <c r="I1134">
        <v>24</v>
      </c>
      <c r="J1134" t="s">
        <v>4440</v>
      </c>
      <c r="K1134" t="s">
        <v>4457</v>
      </c>
      <c r="L1134" t="s">
        <v>4445</v>
      </c>
      <c r="M1134" t="s">
        <v>4446</v>
      </c>
    </row>
    <row r="1135" spans="1:14" x14ac:dyDescent="0.35">
      <c r="A1135" t="s">
        <v>5614</v>
      </c>
      <c r="B1135" t="s">
        <v>260</v>
      </c>
      <c r="C1135" t="s">
        <v>1915</v>
      </c>
      <c r="D1135" t="s">
        <v>4476</v>
      </c>
      <c r="E1135" t="s">
        <v>4444</v>
      </c>
      <c r="F1135" s="3">
        <v>45381</v>
      </c>
      <c r="G1135" s="3">
        <v>45382</v>
      </c>
      <c r="H1135">
        <v>45</v>
      </c>
      <c r="I1135">
        <v>24</v>
      </c>
      <c r="J1135" t="s">
        <v>4440</v>
      </c>
      <c r="K1135" t="s">
        <v>4441</v>
      </c>
      <c r="L1135" t="s">
        <v>4480</v>
      </c>
      <c r="M1135" t="s">
        <v>1625</v>
      </c>
      <c r="N1135">
        <v>5</v>
      </c>
    </row>
    <row r="1136" spans="1:14" x14ac:dyDescent="0.35">
      <c r="A1136" t="s">
        <v>5615</v>
      </c>
      <c r="B1136" t="s">
        <v>449</v>
      </c>
      <c r="C1136" t="s">
        <v>1890</v>
      </c>
      <c r="D1136" t="s">
        <v>4443</v>
      </c>
      <c r="E1136" t="s">
        <v>79</v>
      </c>
      <c r="F1136" s="3">
        <v>45546</v>
      </c>
      <c r="G1136" s="3" t="s">
        <v>537</v>
      </c>
      <c r="I1136">
        <v>24</v>
      </c>
      <c r="J1136" t="s">
        <v>4440</v>
      </c>
      <c r="K1136" t="s">
        <v>4474</v>
      </c>
      <c r="L1136" t="s">
        <v>4512</v>
      </c>
      <c r="M1136" t="s">
        <v>4462</v>
      </c>
    </row>
    <row r="1137" spans="1:14" x14ac:dyDescent="0.35">
      <c r="A1137" t="s">
        <v>5616</v>
      </c>
      <c r="B1137" t="s">
        <v>396</v>
      </c>
      <c r="C1137" t="s">
        <v>1927</v>
      </c>
      <c r="D1137" t="s">
        <v>4443</v>
      </c>
      <c r="E1137" t="s">
        <v>4456</v>
      </c>
      <c r="F1137" s="3">
        <v>45050</v>
      </c>
      <c r="G1137" s="3" t="s">
        <v>537</v>
      </c>
      <c r="I1137">
        <v>4</v>
      </c>
      <c r="J1137" t="s">
        <v>4448</v>
      </c>
      <c r="K1137" t="s">
        <v>4474</v>
      </c>
      <c r="L1137" t="s">
        <v>4445</v>
      </c>
      <c r="M1137" t="s">
        <v>4462</v>
      </c>
    </row>
    <row r="1138" spans="1:14" x14ac:dyDescent="0.35">
      <c r="A1138" t="s">
        <v>5617</v>
      </c>
      <c r="B1138" t="s">
        <v>490</v>
      </c>
      <c r="C1138" t="s">
        <v>1899</v>
      </c>
      <c r="D1138" t="s">
        <v>4479</v>
      </c>
      <c r="E1138" t="s">
        <v>4473</v>
      </c>
      <c r="F1138" s="3">
        <v>45035</v>
      </c>
      <c r="G1138" s="3" t="s">
        <v>537</v>
      </c>
      <c r="I1138">
        <v>8</v>
      </c>
      <c r="J1138" t="s">
        <v>4440</v>
      </c>
      <c r="K1138" t="s">
        <v>4474</v>
      </c>
      <c r="L1138" t="s">
        <v>4492</v>
      </c>
      <c r="M1138" t="s">
        <v>4462</v>
      </c>
    </row>
    <row r="1139" spans="1:14" x14ac:dyDescent="0.35">
      <c r="A1139" t="s">
        <v>5618</v>
      </c>
      <c r="B1139" t="s">
        <v>11</v>
      </c>
      <c r="C1139" t="s">
        <v>1883</v>
      </c>
      <c r="D1139" t="s">
        <v>4438</v>
      </c>
      <c r="E1139" t="s">
        <v>4473</v>
      </c>
      <c r="F1139" s="3">
        <v>44938</v>
      </c>
      <c r="G1139" s="3">
        <v>44938</v>
      </c>
      <c r="H1139">
        <v>9.9</v>
      </c>
      <c r="I1139">
        <v>8</v>
      </c>
      <c r="J1139" t="s">
        <v>4440</v>
      </c>
      <c r="K1139" t="s">
        <v>4441</v>
      </c>
      <c r="L1139" t="s">
        <v>4465</v>
      </c>
      <c r="M1139" t="s">
        <v>1625</v>
      </c>
      <c r="N1139">
        <v>5</v>
      </c>
    </row>
    <row r="1140" spans="1:14" x14ac:dyDescent="0.35">
      <c r="A1140" t="s">
        <v>5619</v>
      </c>
      <c r="B1140" t="s">
        <v>90</v>
      </c>
      <c r="C1140" t="s">
        <v>1890</v>
      </c>
      <c r="D1140" t="s">
        <v>4479</v>
      </c>
      <c r="E1140" t="s">
        <v>4473</v>
      </c>
      <c r="F1140" s="3">
        <v>45649</v>
      </c>
      <c r="G1140" s="3">
        <v>45649</v>
      </c>
      <c r="H1140">
        <v>15.1</v>
      </c>
      <c r="I1140">
        <v>8</v>
      </c>
      <c r="J1140" t="s">
        <v>4440</v>
      </c>
      <c r="K1140" t="s">
        <v>4441</v>
      </c>
      <c r="L1140" t="s">
        <v>4454</v>
      </c>
      <c r="M1140" t="s">
        <v>4450</v>
      </c>
    </row>
    <row r="1141" spans="1:14" x14ac:dyDescent="0.35">
      <c r="A1141" t="s">
        <v>5620</v>
      </c>
      <c r="B1141" t="s">
        <v>455</v>
      </c>
      <c r="C1141" t="s">
        <v>1915</v>
      </c>
      <c r="D1141" t="s">
        <v>4452</v>
      </c>
      <c r="E1141" t="s">
        <v>4439</v>
      </c>
      <c r="F1141" s="3">
        <v>45164</v>
      </c>
      <c r="G1141" s="3">
        <v>45165</v>
      </c>
      <c r="H1141">
        <v>37.9</v>
      </c>
      <c r="I1141">
        <v>48</v>
      </c>
      <c r="J1141" t="s">
        <v>4448</v>
      </c>
      <c r="K1141" t="s">
        <v>4441</v>
      </c>
      <c r="L1141" t="s">
        <v>4501</v>
      </c>
      <c r="M1141" t="s">
        <v>4450</v>
      </c>
    </row>
    <row r="1142" spans="1:14" x14ac:dyDescent="0.35">
      <c r="A1142" t="s">
        <v>5621</v>
      </c>
      <c r="B1142" t="s">
        <v>472</v>
      </c>
      <c r="C1142" t="s">
        <v>1899</v>
      </c>
      <c r="D1142" t="s">
        <v>4482</v>
      </c>
      <c r="E1142" t="s">
        <v>4444</v>
      </c>
      <c r="F1142" s="3">
        <v>45084</v>
      </c>
      <c r="G1142" s="3" t="s">
        <v>537</v>
      </c>
      <c r="I1142">
        <v>24</v>
      </c>
      <c r="J1142" t="s">
        <v>4440</v>
      </c>
      <c r="K1142" t="s">
        <v>4457</v>
      </c>
      <c r="L1142" t="s">
        <v>4533</v>
      </c>
      <c r="M1142" t="s">
        <v>4446</v>
      </c>
    </row>
    <row r="1143" spans="1:14" x14ac:dyDescent="0.35">
      <c r="A1143" t="s">
        <v>5622</v>
      </c>
      <c r="B1143" t="s">
        <v>191</v>
      </c>
      <c r="C1143" t="s">
        <v>1883</v>
      </c>
      <c r="D1143" t="s">
        <v>4464</v>
      </c>
      <c r="E1143" t="s">
        <v>4439</v>
      </c>
      <c r="F1143" s="3">
        <v>45034</v>
      </c>
      <c r="G1143" s="3">
        <v>45035</v>
      </c>
      <c r="H1143">
        <v>34.4</v>
      </c>
      <c r="I1143">
        <v>48</v>
      </c>
      <c r="J1143" t="s">
        <v>4448</v>
      </c>
      <c r="K1143" t="s">
        <v>4441</v>
      </c>
      <c r="L1143" t="s">
        <v>4512</v>
      </c>
      <c r="M1143" t="s">
        <v>4450</v>
      </c>
    </row>
    <row r="1144" spans="1:14" x14ac:dyDescent="0.35">
      <c r="A1144" t="s">
        <v>5623</v>
      </c>
      <c r="B1144" t="s">
        <v>330</v>
      </c>
      <c r="C1144" t="s">
        <v>1927</v>
      </c>
      <c r="D1144" t="s">
        <v>4490</v>
      </c>
      <c r="E1144" t="s">
        <v>4473</v>
      </c>
      <c r="F1144" s="3">
        <v>45058</v>
      </c>
      <c r="G1144" s="3" t="s">
        <v>537</v>
      </c>
      <c r="I1144">
        <v>8</v>
      </c>
      <c r="J1144" t="s">
        <v>4448</v>
      </c>
      <c r="K1144" t="s">
        <v>4474</v>
      </c>
      <c r="L1144" t="s">
        <v>4461</v>
      </c>
      <c r="M1144" t="s">
        <v>1625</v>
      </c>
    </row>
    <row r="1145" spans="1:14" x14ac:dyDescent="0.35">
      <c r="A1145" t="s">
        <v>5624</v>
      </c>
      <c r="B1145" t="s">
        <v>234</v>
      </c>
      <c r="C1145" t="s">
        <v>1883</v>
      </c>
      <c r="D1145" t="s">
        <v>4460</v>
      </c>
      <c r="E1145" t="s">
        <v>4439</v>
      </c>
      <c r="F1145" s="3">
        <v>45254</v>
      </c>
      <c r="G1145" s="3">
        <v>45256</v>
      </c>
      <c r="H1145">
        <v>68</v>
      </c>
      <c r="I1145">
        <v>48</v>
      </c>
      <c r="J1145" t="s">
        <v>4440</v>
      </c>
      <c r="K1145" t="s">
        <v>4441</v>
      </c>
      <c r="L1145" t="s">
        <v>4509</v>
      </c>
      <c r="M1145" t="s">
        <v>4446</v>
      </c>
      <c r="N1145">
        <v>4</v>
      </c>
    </row>
    <row r="1146" spans="1:14" x14ac:dyDescent="0.35">
      <c r="A1146" t="s">
        <v>5625</v>
      </c>
      <c r="B1146" t="s">
        <v>208</v>
      </c>
      <c r="C1146" t="s">
        <v>1883</v>
      </c>
      <c r="D1146" t="s">
        <v>4452</v>
      </c>
      <c r="E1146" t="s">
        <v>4444</v>
      </c>
      <c r="F1146" s="3">
        <v>45152</v>
      </c>
      <c r="G1146" s="3">
        <v>45154</v>
      </c>
      <c r="H1146">
        <v>53.8</v>
      </c>
      <c r="I1146">
        <v>24</v>
      </c>
      <c r="J1146" t="s">
        <v>4440</v>
      </c>
      <c r="K1146" t="s">
        <v>4441</v>
      </c>
      <c r="L1146" t="s">
        <v>4580</v>
      </c>
      <c r="M1146" t="s">
        <v>1625</v>
      </c>
      <c r="N1146">
        <v>5</v>
      </c>
    </row>
    <row r="1147" spans="1:14" x14ac:dyDescent="0.35">
      <c r="A1147" t="s">
        <v>5626</v>
      </c>
      <c r="B1147" t="s">
        <v>493</v>
      </c>
      <c r="C1147" t="s">
        <v>1904</v>
      </c>
      <c r="D1147" t="s">
        <v>4490</v>
      </c>
      <c r="E1147" t="s">
        <v>4473</v>
      </c>
      <c r="F1147" s="3">
        <v>45077</v>
      </c>
      <c r="G1147" s="3" t="s">
        <v>537</v>
      </c>
      <c r="I1147">
        <v>8</v>
      </c>
      <c r="J1147" t="s">
        <v>1945</v>
      </c>
      <c r="K1147" t="s">
        <v>4457</v>
      </c>
      <c r="L1147" t="s">
        <v>4512</v>
      </c>
      <c r="M1147" t="s">
        <v>1625</v>
      </c>
    </row>
    <row r="1148" spans="1:14" x14ac:dyDescent="0.35">
      <c r="A1148" t="s">
        <v>5627</v>
      </c>
      <c r="B1148" t="s">
        <v>390</v>
      </c>
      <c r="C1148" t="s">
        <v>1927</v>
      </c>
      <c r="D1148" t="s">
        <v>4464</v>
      </c>
      <c r="E1148" t="s">
        <v>4456</v>
      </c>
      <c r="F1148" s="3">
        <v>45274</v>
      </c>
      <c r="G1148" s="3">
        <v>45274</v>
      </c>
      <c r="H1148">
        <v>7.9</v>
      </c>
      <c r="I1148">
        <v>4</v>
      </c>
      <c r="J1148" t="s">
        <v>4440</v>
      </c>
      <c r="K1148" t="s">
        <v>4441</v>
      </c>
      <c r="L1148" t="s">
        <v>4527</v>
      </c>
      <c r="M1148" t="s">
        <v>4450</v>
      </c>
      <c r="N1148">
        <v>5</v>
      </c>
    </row>
    <row r="1149" spans="1:14" x14ac:dyDescent="0.35">
      <c r="A1149" t="s">
        <v>5628</v>
      </c>
      <c r="B1149" t="s">
        <v>360</v>
      </c>
      <c r="C1149" t="s">
        <v>1890</v>
      </c>
      <c r="D1149" t="s">
        <v>4490</v>
      </c>
      <c r="E1149" t="s">
        <v>4473</v>
      </c>
      <c r="F1149" s="3">
        <v>45353</v>
      </c>
      <c r="G1149" s="3">
        <v>45353</v>
      </c>
      <c r="H1149">
        <v>14.1</v>
      </c>
      <c r="I1149">
        <v>8</v>
      </c>
      <c r="J1149" t="s">
        <v>4440</v>
      </c>
      <c r="K1149" t="s">
        <v>4441</v>
      </c>
      <c r="L1149" t="s">
        <v>4465</v>
      </c>
      <c r="M1149" t="s">
        <v>4446</v>
      </c>
      <c r="N1149">
        <v>4</v>
      </c>
    </row>
    <row r="1150" spans="1:14" x14ac:dyDescent="0.35">
      <c r="A1150" t="s">
        <v>5629</v>
      </c>
      <c r="B1150" t="s">
        <v>400</v>
      </c>
      <c r="C1150" t="s">
        <v>1927</v>
      </c>
      <c r="D1150" t="s">
        <v>4469</v>
      </c>
      <c r="E1150" t="s">
        <v>4439</v>
      </c>
      <c r="F1150" s="3">
        <v>45737</v>
      </c>
      <c r="G1150" s="3" t="s">
        <v>537</v>
      </c>
      <c r="I1150">
        <v>48</v>
      </c>
      <c r="J1150" t="s">
        <v>4440</v>
      </c>
      <c r="K1150" t="s">
        <v>4474</v>
      </c>
      <c r="L1150" t="s">
        <v>4454</v>
      </c>
      <c r="M1150" t="s">
        <v>4450</v>
      </c>
    </row>
    <row r="1151" spans="1:14" x14ac:dyDescent="0.35">
      <c r="A1151" t="s">
        <v>5630</v>
      </c>
      <c r="B1151" t="s">
        <v>446</v>
      </c>
      <c r="C1151" t="s">
        <v>1927</v>
      </c>
      <c r="D1151" t="s">
        <v>4460</v>
      </c>
      <c r="E1151" t="s">
        <v>4439</v>
      </c>
      <c r="F1151" s="3">
        <v>45276</v>
      </c>
      <c r="G1151" s="3" t="s">
        <v>537</v>
      </c>
      <c r="I1151">
        <v>48</v>
      </c>
      <c r="J1151" t="s">
        <v>4448</v>
      </c>
      <c r="K1151" t="s">
        <v>4457</v>
      </c>
      <c r="L1151" t="s">
        <v>4467</v>
      </c>
      <c r="M1151" t="s">
        <v>4462</v>
      </c>
    </row>
    <row r="1152" spans="1:14" x14ac:dyDescent="0.35">
      <c r="A1152" t="s">
        <v>5631</v>
      </c>
      <c r="B1152" t="s">
        <v>318</v>
      </c>
      <c r="C1152" t="s">
        <v>1904</v>
      </c>
      <c r="D1152" t="s">
        <v>4490</v>
      </c>
      <c r="E1152" t="s">
        <v>4444</v>
      </c>
      <c r="F1152" s="3">
        <v>45276</v>
      </c>
      <c r="G1152" s="3">
        <v>45277</v>
      </c>
      <c r="H1152">
        <v>34</v>
      </c>
      <c r="I1152">
        <v>24</v>
      </c>
      <c r="J1152" t="s">
        <v>4440</v>
      </c>
      <c r="K1152" t="s">
        <v>4441</v>
      </c>
      <c r="L1152" t="s">
        <v>4480</v>
      </c>
      <c r="M1152" t="s">
        <v>4446</v>
      </c>
      <c r="N1152">
        <v>4</v>
      </c>
    </row>
    <row r="1153" spans="1:14" x14ac:dyDescent="0.35">
      <c r="A1153" t="s">
        <v>5632</v>
      </c>
      <c r="B1153" t="s">
        <v>437</v>
      </c>
      <c r="C1153" t="s">
        <v>1904</v>
      </c>
      <c r="D1153" t="s">
        <v>4476</v>
      </c>
      <c r="E1153" t="s">
        <v>4439</v>
      </c>
      <c r="F1153" s="3">
        <v>45707</v>
      </c>
      <c r="G1153" s="3" t="s">
        <v>537</v>
      </c>
      <c r="I1153">
        <v>48</v>
      </c>
      <c r="J1153" t="s">
        <v>4440</v>
      </c>
      <c r="K1153" t="s">
        <v>4453</v>
      </c>
      <c r="L1153" t="s">
        <v>4454</v>
      </c>
      <c r="M1153" t="s">
        <v>4450</v>
      </c>
    </row>
    <row r="1154" spans="1:14" x14ac:dyDescent="0.35">
      <c r="A1154" t="s">
        <v>5633</v>
      </c>
      <c r="B1154" t="s">
        <v>485</v>
      </c>
      <c r="C1154" t="s">
        <v>1904</v>
      </c>
      <c r="D1154" t="s">
        <v>4479</v>
      </c>
      <c r="E1154" t="s">
        <v>4456</v>
      </c>
      <c r="F1154" s="3">
        <v>44929</v>
      </c>
      <c r="G1154" s="3" t="s">
        <v>537</v>
      </c>
      <c r="I1154">
        <v>4</v>
      </c>
      <c r="J1154" t="s">
        <v>4440</v>
      </c>
      <c r="K1154" t="s">
        <v>4474</v>
      </c>
      <c r="L1154" t="s">
        <v>4512</v>
      </c>
      <c r="M1154" t="s">
        <v>4450</v>
      </c>
    </row>
    <row r="1155" spans="1:14" x14ac:dyDescent="0.35">
      <c r="A1155" t="s">
        <v>5634</v>
      </c>
      <c r="B1155" t="s">
        <v>180</v>
      </c>
      <c r="C1155" t="s">
        <v>1915</v>
      </c>
      <c r="D1155" t="s">
        <v>4464</v>
      </c>
      <c r="E1155" t="s">
        <v>4444</v>
      </c>
      <c r="F1155" s="3">
        <v>45032</v>
      </c>
      <c r="G1155" s="3">
        <v>45033</v>
      </c>
      <c r="H1155">
        <v>36.299999999999997</v>
      </c>
      <c r="I1155">
        <v>24</v>
      </c>
      <c r="J1155" t="s">
        <v>4440</v>
      </c>
      <c r="K1155" t="s">
        <v>4441</v>
      </c>
      <c r="L1155" t="s">
        <v>4467</v>
      </c>
      <c r="M1155" t="s">
        <v>4446</v>
      </c>
      <c r="N1155">
        <v>3</v>
      </c>
    </row>
    <row r="1156" spans="1:14" x14ac:dyDescent="0.35">
      <c r="A1156" t="s">
        <v>5635</v>
      </c>
      <c r="B1156" t="s">
        <v>447</v>
      </c>
      <c r="C1156" t="s">
        <v>1915</v>
      </c>
      <c r="D1156" t="s">
        <v>4469</v>
      </c>
      <c r="E1156" t="s">
        <v>4439</v>
      </c>
      <c r="F1156" s="3">
        <v>45487</v>
      </c>
      <c r="G1156" s="3" t="s">
        <v>537</v>
      </c>
      <c r="I1156">
        <v>48</v>
      </c>
      <c r="J1156" t="s">
        <v>4440</v>
      </c>
      <c r="K1156" t="s">
        <v>4453</v>
      </c>
      <c r="L1156" t="s">
        <v>4580</v>
      </c>
      <c r="M1156" t="s">
        <v>4446</v>
      </c>
    </row>
    <row r="1157" spans="1:14" x14ac:dyDescent="0.35">
      <c r="A1157" t="s">
        <v>5636</v>
      </c>
      <c r="B1157" t="s">
        <v>355</v>
      </c>
      <c r="C1157" t="s">
        <v>1915</v>
      </c>
      <c r="D1157" t="s">
        <v>4464</v>
      </c>
      <c r="E1157" t="s">
        <v>4444</v>
      </c>
      <c r="F1157" s="3">
        <v>44960</v>
      </c>
      <c r="G1157" s="3">
        <v>44961</v>
      </c>
      <c r="H1157">
        <v>44</v>
      </c>
      <c r="I1157">
        <v>24</v>
      </c>
      <c r="J1157" t="s">
        <v>4440</v>
      </c>
      <c r="K1157" t="s">
        <v>4441</v>
      </c>
      <c r="L1157" t="s">
        <v>4465</v>
      </c>
      <c r="M1157" t="s">
        <v>4462</v>
      </c>
      <c r="N1157">
        <v>5</v>
      </c>
    </row>
    <row r="1158" spans="1:14" x14ac:dyDescent="0.35">
      <c r="A1158" t="s">
        <v>5637</v>
      </c>
      <c r="B1158" t="s">
        <v>406</v>
      </c>
      <c r="C1158" t="s">
        <v>1904</v>
      </c>
      <c r="D1158" t="s">
        <v>4472</v>
      </c>
      <c r="E1158" t="s">
        <v>4444</v>
      </c>
      <c r="F1158" s="3">
        <v>45095</v>
      </c>
      <c r="G1158" s="3">
        <v>45095</v>
      </c>
      <c r="H1158">
        <v>12.3</v>
      </c>
      <c r="I1158">
        <v>24</v>
      </c>
      <c r="J1158" t="s">
        <v>4448</v>
      </c>
      <c r="K1158" t="s">
        <v>4441</v>
      </c>
      <c r="L1158" t="s">
        <v>4527</v>
      </c>
      <c r="M1158" t="s">
        <v>4446</v>
      </c>
      <c r="N1158">
        <v>1</v>
      </c>
    </row>
    <row r="1159" spans="1:14" x14ac:dyDescent="0.35">
      <c r="A1159" t="s">
        <v>5638</v>
      </c>
      <c r="B1159" t="s">
        <v>198</v>
      </c>
      <c r="C1159" t="s">
        <v>1890</v>
      </c>
      <c r="D1159" t="s">
        <v>4469</v>
      </c>
      <c r="E1159" t="s">
        <v>4444</v>
      </c>
      <c r="F1159" s="3">
        <v>45089</v>
      </c>
      <c r="G1159" s="3" t="s">
        <v>537</v>
      </c>
      <c r="I1159">
        <v>24</v>
      </c>
      <c r="J1159" t="s">
        <v>4448</v>
      </c>
      <c r="K1159" t="s">
        <v>4457</v>
      </c>
      <c r="L1159" t="s">
        <v>4533</v>
      </c>
      <c r="M1159" t="s">
        <v>4450</v>
      </c>
    </row>
    <row r="1160" spans="1:14" x14ac:dyDescent="0.35">
      <c r="A1160" t="s">
        <v>5639</v>
      </c>
      <c r="B1160" t="s">
        <v>23</v>
      </c>
      <c r="C1160" t="s">
        <v>1899</v>
      </c>
      <c r="D1160" t="s">
        <v>4472</v>
      </c>
      <c r="E1160" t="s">
        <v>4444</v>
      </c>
      <c r="F1160" s="3">
        <v>45265</v>
      </c>
      <c r="G1160" s="3" t="s">
        <v>537</v>
      </c>
      <c r="I1160">
        <v>24</v>
      </c>
      <c r="J1160" t="s">
        <v>4448</v>
      </c>
      <c r="K1160" t="s">
        <v>4457</v>
      </c>
      <c r="L1160" t="s">
        <v>4445</v>
      </c>
      <c r="M1160" t="s">
        <v>4462</v>
      </c>
    </row>
    <row r="1161" spans="1:14" x14ac:dyDescent="0.35">
      <c r="A1161" t="s">
        <v>5640</v>
      </c>
      <c r="B1161" t="s">
        <v>297</v>
      </c>
      <c r="C1161" t="s">
        <v>1904</v>
      </c>
      <c r="D1161" t="s">
        <v>4482</v>
      </c>
      <c r="E1161" t="s">
        <v>4439</v>
      </c>
      <c r="F1161" s="3">
        <v>45657</v>
      </c>
      <c r="G1161" s="3">
        <v>45657</v>
      </c>
      <c r="H1161">
        <v>20.7</v>
      </c>
      <c r="I1161">
        <v>48</v>
      </c>
      <c r="J1161" t="s">
        <v>4448</v>
      </c>
      <c r="K1161" t="s">
        <v>4441</v>
      </c>
      <c r="L1161" t="s">
        <v>4512</v>
      </c>
      <c r="M1161" t="s">
        <v>4450</v>
      </c>
      <c r="N1161">
        <v>4</v>
      </c>
    </row>
    <row r="1162" spans="1:14" x14ac:dyDescent="0.35">
      <c r="A1162" t="s">
        <v>5641</v>
      </c>
      <c r="B1162" t="s">
        <v>323</v>
      </c>
      <c r="C1162" t="s">
        <v>1927</v>
      </c>
      <c r="D1162" t="s">
        <v>4438</v>
      </c>
      <c r="E1162" t="s">
        <v>4473</v>
      </c>
      <c r="F1162" s="3">
        <v>45418</v>
      </c>
      <c r="G1162" s="3" t="s">
        <v>537</v>
      </c>
      <c r="I1162">
        <v>8</v>
      </c>
      <c r="J1162" t="s">
        <v>4440</v>
      </c>
      <c r="K1162" t="s">
        <v>4474</v>
      </c>
      <c r="L1162" t="s">
        <v>4527</v>
      </c>
      <c r="M1162" t="s">
        <v>1625</v>
      </c>
    </row>
    <row r="1163" spans="1:14" x14ac:dyDescent="0.35">
      <c r="A1163" t="s">
        <v>5642</v>
      </c>
      <c r="B1163" t="s">
        <v>461</v>
      </c>
      <c r="C1163" t="s">
        <v>1927</v>
      </c>
      <c r="D1163" t="s">
        <v>4479</v>
      </c>
      <c r="E1163" t="s">
        <v>4473</v>
      </c>
      <c r="F1163" s="3">
        <v>45212</v>
      </c>
      <c r="G1163" s="3" t="s">
        <v>537</v>
      </c>
      <c r="I1163">
        <v>8</v>
      </c>
      <c r="J1163" t="s">
        <v>4440</v>
      </c>
      <c r="K1163" t="s">
        <v>4453</v>
      </c>
      <c r="L1163" t="s">
        <v>4445</v>
      </c>
      <c r="M1163" t="s">
        <v>4450</v>
      </c>
    </row>
    <row r="1164" spans="1:14" x14ac:dyDescent="0.35">
      <c r="A1164" t="s">
        <v>5643</v>
      </c>
      <c r="B1164" t="s">
        <v>124</v>
      </c>
      <c r="C1164" t="s">
        <v>1904</v>
      </c>
      <c r="D1164" t="s">
        <v>4464</v>
      </c>
      <c r="E1164" t="s">
        <v>4439</v>
      </c>
      <c r="F1164" s="3">
        <v>45236</v>
      </c>
      <c r="G1164" s="3">
        <v>45237</v>
      </c>
      <c r="H1164">
        <v>43</v>
      </c>
      <c r="I1164">
        <v>48</v>
      </c>
      <c r="J1164" t="s">
        <v>4448</v>
      </c>
      <c r="K1164" t="s">
        <v>4441</v>
      </c>
      <c r="L1164" t="s">
        <v>4449</v>
      </c>
      <c r="M1164" t="s">
        <v>4462</v>
      </c>
      <c r="N1164">
        <v>4</v>
      </c>
    </row>
    <row r="1165" spans="1:14" x14ac:dyDescent="0.35">
      <c r="A1165" t="s">
        <v>5644</v>
      </c>
      <c r="B1165" t="s">
        <v>101</v>
      </c>
      <c r="C1165" t="s">
        <v>1890</v>
      </c>
      <c r="D1165" t="s">
        <v>4460</v>
      </c>
      <c r="E1165" t="s">
        <v>4473</v>
      </c>
      <c r="F1165" s="3">
        <v>45665</v>
      </c>
      <c r="G1165" s="3" t="s">
        <v>537</v>
      </c>
      <c r="I1165">
        <v>8</v>
      </c>
      <c r="J1165" t="s">
        <v>4440</v>
      </c>
      <c r="K1165" t="s">
        <v>4474</v>
      </c>
      <c r="L1165" t="s">
        <v>4580</v>
      </c>
      <c r="M1165" t="s">
        <v>4446</v>
      </c>
    </row>
    <row r="1166" spans="1:14" x14ac:dyDescent="0.35">
      <c r="A1166" t="s">
        <v>5645</v>
      </c>
      <c r="B1166" t="s">
        <v>86</v>
      </c>
      <c r="C1166" t="s">
        <v>1927</v>
      </c>
      <c r="D1166" t="s">
        <v>4490</v>
      </c>
      <c r="E1166" t="s">
        <v>4444</v>
      </c>
      <c r="F1166" s="3">
        <v>45267</v>
      </c>
      <c r="G1166" s="3">
        <v>45268</v>
      </c>
      <c r="H1166">
        <v>35.299999999999997</v>
      </c>
      <c r="I1166">
        <v>24</v>
      </c>
      <c r="J1166" t="s">
        <v>4440</v>
      </c>
      <c r="K1166" t="s">
        <v>4441</v>
      </c>
      <c r="L1166" t="s">
        <v>4445</v>
      </c>
      <c r="M1166" t="s">
        <v>4446</v>
      </c>
      <c r="N1166">
        <v>2</v>
      </c>
    </row>
    <row r="1167" spans="1:14" x14ac:dyDescent="0.35">
      <c r="A1167" t="s">
        <v>5646</v>
      </c>
      <c r="B1167" t="s">
        <v>355</v>
      </c>
      <c r="C1167" t="s">
        <v>1899</v>
      </c>
      <c r="D1167" t="s">
        <v>4479</v>
      </c>
      <c r="E1167" t="s">
        <v>4439</v>
      </c>
      <c r="F1167" s="3">
        <v>45445</v>
      </c>
      <c r="G1167" s="3" t="s">
        <v>537</v>
      </c>
      <c r="I1167">
        <v>48</v>
      </c>
      <c r="J1167" t="s">
        <v>4440</v>
      </c>
      <c r="K1167" t="s">
        <v>4474</v>
      </c>
      <c r="L1167" t="s">
        <v>4514</v>
      </c>
      <c r="M1167" t="s">
        <v>1625</v>
      </c>
    </row>
    <row r="1168" spans="1:14" x14ac:dyDescent="0.35">
      <c r="A1168" t="s">
        <v>5647</v>
      </c>
      <c r="B1168" t="s">
        <v>331</v>
      </c>
      <c r="C1168" t="s">
        <v>1927</v>
      </c>
      <c r="D1168" t="s">
        <v>4469</v>
      </c>
      <c r="E1168" t="s">
        <v>4439</v>
      </c>
      <c r="F1168" s="3">
        <v>45468</v>
      </c>
      <c r="G1168" s="3" t="s">
        <v>537</v>
      </c>
      <c r="I1168">
        <v>48</v>
      </c>
      <c r="J1168" t="s">
        <v>4440</v>
      </c>
      <c r="K1168" t="s">
        <v>4457</v>
      </c>
      <c r="L1168" t="s">
        <v>4483</v>
      </c>
      <c r="M1168" t="s">
        <v>4446</v>
      </c>
    </row>
    <row r="1169" spans="1:14" x14ac:dyDescent="0.35">
      <c r="A1169" t="s">
        <v>5648</v>
      </c>
      <c r="B1169" t="s">
        <v>498</v>
      </c>
      <c r="C1169" t="s">
        <v>1890</v>
      </c>
      <c r="D1169" t="s">
        <v>4472</v>
      </c>
      <c r="E1169" t="s">
        <v>4456</v>
      </c>
      <c r="F1169" s="3">
        <v>45163</v>
      </c>
      <c r="G1169" s="3">
        <v>45163</v>
      </c>
      <c r="H1169">
        <v>8.5</v>
      </c>
      <c r="I1169">
        <v>4</v>
      </c>
      <c r="J1169" t="s">
        <v>4440</v>
      </c>
      <c r="K1169" t="s">
        <v>4441</v>
      </c>
      <c r="L1169" t="s">
        <v>4461</v>
      </c>
      <c r="M1169" t="s">
        <v>1625</v>
      </c>
      <c r="N1169">
        <v>5</v>
      </c>
    </row>
    <row r="1170" spans="1:14" x14ac:dyDescent="0.35">
      <c r="A1170" t="s">
        <v>5649</v>
      </c>
      <c r="B1170" t="s">
        <v>480</v>
      </c>
      <c r="C1170" t="s">
        <v>1915</v>
      </c>
      <c r="D1170" t="s">
        <v>4460</v>
      </c>
      <c r="E1170" t="s">
        <v>4473</v>
      </c>
      <c r="F1170" s="3">
        <v>45182</v>
      </c>
      <c r="G1170" s="3" t="s">
        <v>537</v>
      </c>
      <c r="I1170">
        <v>8</v>
      </c>
      <c r="J1170" t="s">
        <v>4440</v>
      </c>
      <c r="K1170" t="s">
        <v>4457</v>
      </c>
      <c r="L1170" t="s">
        <v>4470</v>
      </c>
      <c r="M1170" t="s">
        <v>1625</v>
      </c>
    </row>
    <row r="1171" spans="1:14" x14ac:dyDescent="0.35">
      <c r="A1171" t="s">
        <v>5650</v>
      </c>
      <c r="B1171" t="s">
        <v>110</v>
      </c>
      <c r="C1171" t="s">
        <v>1883</v>
      </c>
      <c r="D1171" t="s">
        <v>4438</v>
      </c>
      <c r="E1171" t="s">
        <v>4444</v>
      </c>
      <c r="F1171" s="3">
        <v>44988</v>
      </c>
      <c r="G1171" s="3" t="s">
        <v>537</v>
      </c>
      <c r="I1171">
        <v>24</v>
      </c>
      <c r="J1171" t="s">
        <v>4440</v>
      </c>
      <c r="K1171" t="s">
        <v>4457</v>
      </c>
      <c r="L1171" t="s">
        <v>4580</v>
      </c>
      <c r="M1171" t="s">
        <v>4446</v>
      </c>
    </row>
    <row r="1172" spans="1:14" x14ac:dyDescent="0.35">
      <c r="A1172" t="s">
        <v>5651</v>
      </c>
      <c r="B1172" t="s">
        <v>362</v>
      </c>
      <c r="C1172" t="s">
        <v>1904</v>
      </c>
      <c r="D1172" t="s">
        <v>4469</v>
      </c>
      <c r="E1172" t="s">
        <v>4473</v>
      </c>
      <c r="F1172" s="3">
        <v>45600</v>
      </c>
      <c r="G1172" s="3" t="s">
        <v>537</v>
      </c>
      <c r="I1172">
        <v>8</v>
      </c>
      <c r="J1172" t="s">
        <v>4440</v>
      </c>
      <c r="K1172" t="s">
        <v>4474</v>
      </c>
      <c r="L1172" t="s">
        <v>4461</v>
      </c>
      <c r="M1172" t="s">
        <v>4446</v>
      </c>
    </row>
    <row r="1173" spans="1:14" x14ac:dyDescent="0.35">
      <c r="A1173" t="s">
        <v>5652</v>
      </c>
      <c r="B1173" t="s">
        <v>318</v>
      </c>
      <c r="C1173" t="s">
        <v>1904</v>
      </c>
      <c r="D1173" t="s">
        <v>4476</v>
      </c>
      <c r="E1173" t="s">
        <v>4439</v>
      </c>
      <c r="F1173" s="3">
        <v>45009</v>
      </c>
      <c r="G1173" s="3">
        <v>45012</v>
      </c>
      <c r="H1173">
        <v>84.1</v>
      </c>
      <c r="I1173">
        <v>48</v>
      </c>
      <c r="J1173" t="s">
        <v>4440</v>
      </c>
      <c r="K1173" t="s">
        <v>4441</v>
      </c>
      <c r="L1173" t="s">
        <v>4527</v>
      </c>
      <c r="M1173" t="s">
        <v>4462</v>
      </c>
      <c r="N1173">
        <v>4</v>
      </c>
    </row>
    <row r="1174" spans="1:14" x14ac:dyDescent="0.35">
      <c r="A1174" t="s">
        <v>5653</v>
      </c>
      <c r="B1174" t="s">
        <v>466</v>
      </c>
      <c r="C1174" t="s">
        <v>1890</v>
      </c>
      <c r="D1174" t="s">
        <v>4479</v>
      </c>
      <c r="E1174" t="s">
        <v>4439</v>
      </c>
      <c r="F1174" s="3">
        <v>45244</v>
      </c>
      <c r="G1174" s="3" t="s">
        <v>537</v>
      </c>
      <c r="I1174">
        <v>48</v>
      </c>
      <c r="J1174" t="s">
        <v>4448</v>
      </c>
      <c r="K1174" t="s">
        <v>4457</v>
      </c>
      <c r="L1174" t="s">
        <v>4480</v>
      </c>
      <c r="M1174" t="s">
        <v>1625</v>
      </c>
    </row>
    <row r="1175" spans="1:14" x14ac:dyDescent="0.35">
      <c r="A1175" t="s">
        <v>5654</v>
      </c>
      <c r="B1175" t="s">
        <v>344</v>
      </c>
      <c r="C1175" t="s">
        <v>1904</v>
      </c>
      <c r="D1175" t="s">
        <v>4482</v>
      </c>
      <c r="E1175" t="s">
        <v>4444</v>
      </c>
      <c r="F1175" s="3">
        <v>45026</v>
      </c>
      <c r="G1175" s="3">
        <v>45027</v>
      </c>
      <c r="H1175">
        <v>24.4</v>
      </c>
      <c r="I1175">
        <v>24</v>
      </c>
      <c r="J1175" t="s">
        <v>4440</v>
      </c>
      <c r="K1175" t="s">
        <v>4441</v>
      </c>
      <c r="L1175" t="s">
        <v>4449</v>
      </c>
      <c r="M1175" t="s">
        <v>1625</v>
      </c>
      <c r="N1175">
        <v>5</v>
      </c>
    </row>
    <row r="1176" spans="1:14" x14ac:dyDescent="0.35">
      <c r="A1176" t="s">
        <v>5655</v>
      </c>
      <c r="B1176" t="s">
        <v>394</v>
      </c>
      <c r="C1176" t="s">
        <v>1904</v>
      </c>
      <c r="D1176" t="s">
        <v>4490</v>
      </c>
      <c r="E1176" t="s">
        <v>4444</v>
      </c>
      <c r="F1176" s="3">
        <v>45318</v>
      </c>
      <c r="G1176" s="3" t="s">
        <v>537</v>
      </c>
      <c r="I1176">
        <v>24</v>
      </c>
      <c r="J1176" t="s">
        <v>4440</v>
      </c>
      <c r="K1176" t="s">
        <v>4474</v>
      </c>
      <c r="L1176" t="s">
        <v>4514</v>
      </c>
      <c r="M1176" t="s">
        <v>4450</v>
      </c>
    </row>
    <row r="1177" spans="1:14" x14ac:dyDescent="0.35">
      <c r="A1177" t="s">
        <v>5656</v>
      </c>
      <c r="B1177" t="s">
        <v>90</v>
      </c>
      <c r="C1177" t="s">
        <v>1899</v>
      </c>
      <c r="D1177" t="s">
        <v>4464</v>
      </c>
      <c r="E1177" t="s">
        <v>4444</v>
      </c>
      <c r="F1177" s="3">
        <v>45161</v>
      </c>
      <c r="G1177" s="3">
        <v>45163</v>
      </c>
      <c r="H1177">
        <v>56.6</v>
      </c>
      <c r="I1177">
        <v>24</v>
      </c>
      <c r="J1177" t="s">
        <v>4440</v>
      </c>
      <c r="K1177" t="s">
        <v>4441</v>
      </c>
      <c r="L1177" t="s">
        <v>1907</v>
      </c>
      <c r="M1177" t="s">
        <v>4462</v>
      </c>
      <c r="N1177">
        <v>5</v>
      </c>
    </row>
    <row r="1178" spans="1:14" x14ac:dyDescent="0.35">
      <c r="A1178" t="s">
        <v>5657</v>
      </c>
      <c r="B1178" t="s">
        <v>292</v>
      </c>
      <c r="C1178" t="s">
        <v>1899</v>
      </c>
      <c r="D1178" t="s">
        <v>4464</v>
      </c>
      <c r="E1178" t="s">
        <v>4444</v>
      </c>
      <c r="F1178" s="3">
        <v>45537</v>
      </c>
      <c r="G1178" s="3">
        <v>45538</v>
      </c>
      <c r="H1178">
        <v>39.6</v>
      </c>
      <c r="I1178">
        <v>24</v>
      </c>
      <c r="J1178" t="s">
        <v>4440</v>
      </c>
      <c r="K1178" t="s">
        <v>4441</v>
      </c>
      <c r="L1178" t="s">
        <v>4509</v>
      </c>
      <c r="M1178" t="s">
        <v>4446</v>
      </c>
    </row>
    <row r="1179" spans="1:14" x14ac:dyDescent="0.35">
      <c r="A1179" t="s">
        <v>5658</v>
      </c>
      <c r="B1179" t="s">
        <v>57</v>
      </c>
      <c r="C1179" t="s">
        <v>1883</v>
      </c>
      <c r="D1179" t="s">
        <v>4485</v>
      </c>
      <c r="E1179" t="s">
        <v>4473</v>
      </c>
      <c r="F1179" s="3">
        <v>44958</v>
      </c>
      <c r="G1179" s="3">
        <v>44958</v>
      </c>
      <c r="H1179">
        <v>19.2</v>
      </c>
      <c r="I1179">
        <v>8</v>
      </c>
      <c r="J1179" t="s">
        <v>4440</v>
      </c>
      <c r="K1179" t="s">
        <v>4441</v>
      </c>
      <c r="L1179" t="s">
        <v>4449</v>
      </c>
      <c r="M1179" t="s">
        <v>4450</v>
      </c>
      <c r="N1179">
        <v>3</v>
      </c>
    </row>
    <row r="1180" spans="1:14" x14ac:dyDescent="0.35">
      <c r="A1180" t="s">
        <v>5659</v>
      </c>
      <c r="B1180" t="s">
        <v>130</v>
      </c>
      <c r="C1180" t="s">
        <v>1890</v>
      </c>
      <c r="D1180" t="s">
        <v>4443</v>
      </c>
      <c r="E1180" t="s">
        <v>4439</v>
      </c>
      <c r="F1180" s="3">
        <v>45552</v>
      </c>
      <c r="G1180" s="3" t="s">
        <v>537</v>
      </c>
      <c r="I1180">
        <v>48</v>
      </c>
      <c r="J1180" t="s">
        <v>1945</v>
      </c>
      <c r="K1180" t="s">
        <v>4457</v>
      </c>
      <c r="L1180" t="s">
        <v>4488</v>
      </c>
      <c r="M1180" t="s">
        <v>4462</v>
      </c>
    </row>
    <row r="1181" spans="1:14" x14ac:dyDescent="0.35">
      <c r="A1181" t="s">
        <v>5660</v>
      </c>
      <c r="B1181" t="s">
        <v>432</v>
      </c>
      <c r="C1181" t="s">
        <v>1883</v>
      </c>
      <c r="D1181" t="s">
        <v>4464</v>
      </c>
      <c r="E1181" t="s">
        <v>4439</v>
      </c>
      <c r="F1181" s="3">
        <v>45718</v>
      </c>
      <c r="G1181" s="3">
        <v>45721</v>
      </c>
      <c r="H1181">
        <v>76.3</v>
      </c>
      <c r="I1181">
        <v>48</v>
      </c>
      <c r="J1181" t="s">
        <v>4440</v>
      </c>
      <c r="K1181" t="s">
        <v>4441</v>
      </c>
      <c r="L1181" t="s">
        <v>4470</v>
      </c>
      <c r="M1181" t="s">
        <v>1625</v>
      </c>
      <c r="N1181">
        <v>4</v>
      </c>
    </row>
    <row r="1182" spans="1:14" x14ac:dyDescent="0.35">
      <c r="A1182" t="s">
        <v>5661</v>
      </c>
      <c r="B1182" t="s">
        <v>446</v>
      </c>
      <c r="C1182" t="s">
        <v>1915</v>
      </c>
      <c r="D1182" t="s">
        <v>4485</v>
      </c>
      <c r="E1182" t="s">
        <v>4473</v>
      </c>
      <c r="F1182" s="3">
        <v>45097</v>
      </c>
      <c r="G1182" s="3" t="s">
        <v>537</v>
      </c>
      <c r="I1182">
        <v>8</v>
      </c>
      <c r="J1182" t="s">
        <v>4440</v>
      </c>
      <c r="K1182" t="s">
        <v>4457</v>
      </c>
      <c r="L1182" t="s">
        <v>4488</v>
      </c>
      <c r="M1182" t="s">
        <v>1625</v>
      </c>
    </row>
    <row r="1183" spans="1:14" x14ac:dyDescent="0.35">
      <c r="A1183" t="s">
        <v>5662</v>
      </c>
      <c r="B1183" t="s">
        <v>351</v>
      </c>
      <c r="C1183" t="s">
        <v>1904</v>
      </c>
      <c r="D1183" t="s">
        <v>4460</v>
      </c>
      <c r="E1183" t="s">
        <v>4473</v>
      </c>
      <c r="F1183" s="3">
        <v>45464</v>
      </c>
      <c r="G1183" s="3">
        <v>45464</v>
      </c>
      <c r="H1183">
        <v>17.3</v>
      </c>
      <c r="I1183">
        <v>8</v>
      </c>
      <c r="J1183" t="s">
        <v>4440</v>
      </c>
      <c r="K1183" t="s">
        <v>4441</v>
      </c>
      <c r="L1183" t="s">
        <v>4449</v>
      </c>
      <c r="M1183" t="s">
        <v>4450</v>
      </c>
      <c r="N1183">
        <v>5</v>
      </c>
    </row>
    <row r="1184" spans="1:14" x14ac:dyDescent="0.35">
      <c r="A1184" t="s">
        <v>5663</v>
      </c>
      <c r="B1184" t="s">
        <v>376</v>
      </c>
      <c r="C1184" t="s">
        <v>1890</v>
      </c>
      <c r="D1184" t="s">
        <v>4452</v>
      </c>
      <c r="E1184" t="s">
        <v>4444</v>
      </c>
      <c r="F1184" s="3">
        <v>45580</v>
      </c>
      <c r="G1184" s="3" t="s">
        <v>537</v>
      </c>
      <c r="I1184">
        <v>24</v>
      </c>
      <c r="J1184" t="s">
        <v>4440</v>
      </c>
      <c r="K1184" t="s">
        <v>4474</v>
      </c>
      <c r="L1184" t="s">
        <v>4458</v>
      </c>
      <c r="M1184" t="s">
        <v>4450</v>
      </c>
    </row>
    <row r="1185" spans="1:14" x14ac:dyDescent="0.35">
      <c r="A1185" t="s">
        <v>5664</v>
      </c>
      <c r="B1185" t="s">
        <v>415</v>
      </c>
      <c r="C1185" t="s">
        <v>1915</v>
      </c>
      <c r="D1185" t="s">
        <v>4482</v>
      </c>
      <c r="E1185" t="s">
        <v>4444</v>
      </c>
      <c r="F1185" s="3">
        <v>45415</v>
      </c>
      <c r="G1185" s="3" t="s">
        <v>537</v>
      </c>
      <c r="I1185">
        <v>24</v>
      </c>
      <c r="J1185" t="s">
        <v>4448</v>
      </c>
      <c r="K1185" t="s">
        <v>4457</v>
      </c>
      <c r="L1185" t="s">
        <v>4467</v>
      </c>
      <c r="M1185" t="s">
        <v>1625</v>
      </c>
    </row>
    <row r="1186" spans="1:14" x14ac:dyDescent="0.35">
      <c r="A1186" t="s">
        <v>5665</v>
      </c>
      <c r="B1186" t="s">
        <v>450</v>
      </c>
      <c r="C1186" t="s">
        <v>1883</v>
      </c>
      <c r="D1186" t="s">
        <v>4438</v>
      </c>
      <c r="E1186" t="s">
        <v>4439</v>
      </c>
      <c r="F1186" s="3">
        <v>45027</v>
      </c>
      <c r="G1186" s="3">
        <v>45031</v>
      </c>
      <c r="H1186">
        <v>113.6</v>
      </c>
      <c r="I1186">
        <v>48</v>
      </c>
      <c r="J1186" t="s">
        <v>4440</v>
      </c>
      <c r="K1186" t="s">
        <v>4441</v>
      </c>
      <c r="L1186" t="s">
        <v>4470</v>
      </c>
      <c r="M1186" t="s">
        <v>4446</v>
      </c>
      <c r="N1186">
        <v>5</v>
      </c>
    </row>
    <row r="1187" spans="1:14" x14ac:dyDescent="0.35">
      <c r="A1187" t="s">
        <v>5666</v>
      </c>
      <c r="B1187" t="s">
        <v>424</v>
      </c>
      <c r="C1187" t="s">
        <v>1899</v>
      </c>
      <c r="D1187" t="s">
        <v>4490</v>
      </c>
      <c r="E1187" t="s">
        <v>4439</v>
      </c>
      <c r="F1187" s="3">
        <v>45059</v>
      </c>
      <c r="G1187" s="3" t="s">
        <v>537</v>
      </c>
      <c r="I1187">
        <v>48</v>
      </c>
      <c r="J1187" t="s">
        <v>4440</v>
      </c>
      <c r="K1187" t="s">
        <v>4474</v>
      </c>
      <c r="L1187" t="s">
        <v>4449</v>
      </c>
      <c r="M1187" t="s">
        <v>1625</v>
      </c>
    </row>
    <row r="1188" spans="1:14" x14ac:dyDescent="0.35">
      <c r="A1188" t="s">
        <v>5667</v>
      </c>
      <c r="B1188" t="s">
        <v>116</v>
      </c>
      <c r="C1188" t="s">
        <v>1904</v>
      </c>
      <c r="D1188" t="s">
        <v>4479</v>
      </c>
      <c r="E1188" t="s">
        <v>4444</v>
      </c>
      <c r="F1188" s="3">
        <v>45707</v>
      </c>
      <c r="G1188" s="3">
        <v>45709</v>
      </c>
      <c r="H1188">
        <v>53.4</v>
      </c>
      <c r="I1188">
        <v>24</v>
      </c>
      <c r="J1188" t="s">
        <v>4440</v>
      </c>
      <c r="K1188" t="s">
        <v>4441</v>
      </c>
      <c r="L1188" t="s">
        <v>4458</v>
      </c>
      <c r="M1188" t="s">
        <v>4446</v>
      </c>
    </row>
    <row r="1189" spans="1:14" x14ac:dyDescent="0.35">
      <c r="A1189" t="s">
        <v>5668</v>
      </c>
      <c r="B1189" t="s">
        <v>283</v>
      </c>
      <c r="C1189" t="s">
        <v>1883</v>
      </c>
      <c r="D1189" t="s">
        <v>4469</v>
      </c>
      <c r="E1189" t="s">
        <v>4444</v>
      </c>
      <c r="F1189" s="3">
        <v>45363</v>
      </c>
      <c r="G1189" s="3">
        <v>45363</v>
      </c>
      <c r="H1189">
        <v>17.8</v>
      </c>
      <c r="I1189">
        <v>24</v>
      </c>
      <c r="J1189" t="s">
        <v>4448</v>
      </c>
      <c r="K1189" t="s">
        <v>4441</v>
      </c>
      <c r="L1189" t="s">
        <v>4492</v>
      </c>
      <c r="M1189" t="s">
        <v>4462</v>
      </c>
      <c r="N1189">
        <v>4</v>
      </c>
    </row>
    <row r="1190" spans="1:14" x14ac:dyDescent="0.35">
      <c r="A1190" t="s">
        <v>5669</v>
      </c>
      <c r="B1190" t="s">
        <v>493</v>
      </c>
      <c r="C1190" t="s">
        <v>1883</v>
      </c>
      <c r="D1190" t="s">
        <v>4443</v>
      </c>
      <c r="E1190" t="s">
        <v>4456</v>
      </c>
      <c r="F1190" s="3">
        <v>45312</v>
      </c>
      <c r="G1190" s="3" t="s">
        <v>537</v>
      </c>
      <c r="I1190">
        <v>4</v>
      </c>
      <c r="J1190" t="s">
        <v>4440</v>
      </c>
      <c r="K1190" t="s">
        <v>4457</v>
      </c>
      <c r="L1190" t="s">
        <v>4470</v>
      </c>
      <c r="M1190" t="s">
        <v>4450</v>
      </c>
    </row>
    <row r="1191" spans="1:14" x14ac:dyDescent="0.35">
      <c r="A1191" t="s">
        <v>5670</v>
      </c>
      <c r="B1191" t="s">
        <v>130</v>
      </c>
      <c r="C1191" t="s">
        <v>1883</v>
      </c>
      <c r="D1191" t="s">
        <v>4464</v>
      </c>
      <c r="E1191" t="s">
        <v>4473</v>
      </c>
      <c r="F1191" s="3">
        <v>45465</v>
      </c>
      <c r="G1191" s="3">
        <v>45465</v>
      </c>
      <c r="H1191">
        <v>18.7</v>
      </c>
      <c r="I1191">
        <v>8</v>
      </c>
      <c r="J1191" t="s">
        <v>4440</v>
      </c>
      <c r="K1191" t="s">
        <v>4441</v>
      </c>
      <c r="L1191" t="s">
        <v>4449</v>
      </c>
      <c r="M1191" t="s">
        <v>1625</v>
      </c>
      <c r="N1191">
        <v>5</v>
      </c>
    </row>
    <row r="1192" spans="1:14" x14ac:dyDescent="0.35">
      <c r="A1192" t="s">
        <v>5671</v>
      </c>
      <c r="B1192" t="s">
        <v>453</v>
      </c>
      <c r="C1192" t="s">
        <v>1883</v>
      </c>
      <c r="D1192" t="s">
        <v>4469</v>
      </c>
      <c r="E1192" t="s">
        <v>4444</v>
      </c>
      <c r="F1192" s="3">
        <v>45276</v>
      </c>
      <c r="G1192" s="3" t="s">
        <v>537</v>
      </c>
      <c r="I1192">
        <v>24</v>
      </c>
      <c r="J1192" t="s">
        <v>4440</v>
      </c>
      <c r="K1192" t="s">
        <v>4453</v>
      </c>
      <c r="L1192" t="s">
        <v>1907</v>
      </c>
      <c r="M1192" t="s">
        <v>4462</v>
      </c>
    </row>
    <row r="1193" spans="1:14" x14ac:dyDescent="0.35">
      <c r="A1193" t="s">
        <v>5672</v>
      </c>
      <c r="B1193" t="s">
        <v>247</v>
      </c>
      <c r="C1193" t="s">
        <v>1915</v>
      </c>
      <c r="D1193" t="s">
        <v>4485</v>
      </c>
      <c r="E1193" t="s">
        <v>4444</v>
      </c>
      <c r="F1193" s="3">
        <v>45618</v>
      </c>
      <c r="G1193" s="3">
        <v>45619</v>
      </c>
      <c r="H1193">
        <v>41.5</v>
      </c>
      <c r="I1193">
        <v>24</v>
      </c>
      <c r="J1193" t="s">
        <v>4440</v>
      </c>
      <c r="K1193" t="s">
        <v>4441</v>
      </c>
      <c r="L1193" t="s">
        <v>4509</v>
      </c>
      <c r="M1193" t="s">
        <v>4446</v>
      </c>
    </row>
    <row r="1194" spans="1:14" x14ac:dyDescent="0.35">
      <c r="A1194" t="s">
        <v>5673</v>
      </c>
      <c r="B1194" t="s">
        <v>460</v>
      </c>
      <c r="C1194" t="s">
        <v>1883</v>
      </c>
      <c r="D1194" t="s">
        <v>4482</v>
      </c>
      <c r="E1194" t="s">
        <v>4473</v>
      </c>
      <c r="F1194" s="3">
        <v>45543</v>
      </c>
      <c r="G1194" s="3">
        <v>45543</v>
      </c>
      <c r="H1194">
        <v>4.8</v>
      </c>
      <c r="I1194">
        <v>8</v>
      </c>
      <c r="J1194" t="s">
        <v>4448</v>
      </c>
      <c r="K1194" t="s">
        <v>4441</v>
      </c>
      <c r="L1194" t="s">
        <v>4483</v>
      </c>
      <c r="M1194" t="s">
        <v>4462</v>
      </c>
    </row>
    <row r="1195" spans="1:14" x14ac:dyDescent="0.35">
      <c r="A1195" t="s">
        <v>5674</v>
      </c>
      <c r="B1195" t="s">
        <v>160</v>
      </c>
      <c r="C1195" t="s">
        <v>1904</v>
      </c>
      <c r="D1195" t="s">
        <v>4485</v>
      </c>
      <c r="E1195" t="s">
        <v>4473</v>
      </c>
      <c r="F1195" s="3">
        <v>45655</v>
      </c>
      <c r="G1195" s="3">
        <v>45655</v>
      </c>
      <c r="H1195">
        <v>3.8</v>
      </c>
      <c r="I1195">
        <v>8</v>
      </c>
      <c r="J1195" t="s">
        <v>4448</v>
      </c>
      <c r="K1195" t="s">
        <v>4441</v>
      </c>
      <c r="L1195" t="s">
        <v>4514</v>
      </c>
      <c r="M1195" t="s">
        <v>4450</v>
      </c>
      <c r="N1195">
        <v>4</v>
      </c>
    </row>
    <row r="1196" spans="1:14" x14ac:dyDescent="0.35">
      <c r="A1196" t="s">
        <v>5675</v>
      </c>
      <c r="B1196" t="s">
        <v>498</v>
      </c>
      <c r="C1196" t="s">
        <v>1883</v>
      </c>
      <c r="D1196" t="s">
        <v>4479</v>
      </c>
      <c r="E1196" t="s">
        <v>4439</v>
      </c>
      <c r="F1196" s="3">
        <v>45713</v>
      </c>
      <c r="G1196" s="3">
        <v>45713</v>
      </c>
      <c r="H1196">
        <v>19.8</v>
      </c>
      <c r="I1196">
        <v>48</v>
      </c>
      <c r="J1196" t="s">
        <v>4448</v>
      </c>
      <c r="K1196" t="s">
        <v>4441</v>
      </c>
      <c r="L1196" t="s">
        <v>4492</v>
      </c>
      <c r="M1196" t="s">
        <v>4446</v>
      </c>
      <c r="N1196">
        <v>5</v>
      </c>
    </row>
    <row r="1197" spans="1:14" x14ac:dyDescent="0.35">
      <c r="A1197" t="s">
        <v>5676</v>
      </c>
      <c r="B1197" t="s">
        <v>152</v>
      </c>
      <c r="C1197" t="s">
        <v>1915</v>
      </c>
      <c r="D1197" t="s">
        <v>4485</v>
      </c>
      <c r="E1197" t="s">
        <v>4473</v>
      </c>
      <c r="F1197" s="3">
        <v>45156</v>
      </c>
      <c r="G1197" s="3" t="s">
        <v>537</v>
      </c>
      <c r="I1197">
        <v>8</v>
      </c>
      <c r="J1197" t="s">
        <v>4440</v>
      </c>
      <c r="K1197" t="s">
        <v>4457</v>
      </c>
      <c r="L1197" t="s">
        <v>4527</v>
      </c>
      <c r="M1197" t="s">
        <v>1625</v>
      </c>
    </row>
    <row r="1198" spans="1:14" x14ac:dyDescent="0.35">
      <c r="A1198" t="s">
        <v>5677</v>
      </c>
      <c r="B1198" t="s">
        <v>335</v>
      </c>
      <c r="C1198" t="s">
        <v>1927</v>
      </c>
      <c r="D1198" t="s">
        <v>4476</v>
      </c>
      <c r="E1198" t="s">
        <v>4444</v>
      </c>
      <c r="F1198" s="3">
        <v>45465</v>
      </c>
      <c r="G1198" s="3">
        <v>45467</v>
      </c>
      <c r="H1198">
        <v>52.7</v>
      </c>
      <c r="I1198">
        <v>24</v>
      </c>
      <c r="J1198" t="s">
        <v>4440</v>
      </c>
      <c r="K1198" t="s">
        <v>4441</v>
      </c>
      <c r="L1198" t="s">
        <v>4483</v>
      </c>
      <c r="M1198" t="s">
        <v>1625</v>
      </c>
      <c r="N1198">
        <v>4</v>
      </c>
    </row>
    <row r="1199" spans="1:14" x14ac:dyDescent="0.35">
      <c r="A1199" t="s">
        <v>5678</v>
      </c>
      <c r="B1199" t="s">
        <v>99</v>
      </c>
      <c r="C1199" t="s">
        <v>1883</v>
      </c>
      <c r="D1199" t="s">
        <v>4476</v>
      </c>
      <c r="E1199" t="s">
        <v>79</v>
      </c>
      <c r="F1199" s="3">
        <v>45732</v>
      </c>
      <c r="G1199" s="3" t="s">
        <v>537</v>
      </c>
      <c r="I1199">
        <v>24</v>
      </c>
      <c r="J1199" t="s">
        <v>4440</v>
      </c>
      <c r="K1199" t="s">
        <v>4453</v>
      </c>
      <c r="L1199" t="s">
        <v>4445</v>
      </c>
      <c r="M1199" t="s">
        <v>4462</v>
      </c>
    </row>
    <row r="1200" spans="1:14" x14ac:dyDescent="0.35">
      <c r="A1200" t="s">
        <v>5679</v>
      </c>
      <c r="B1200" t="s">
        <v>146</v>
      </c>
      <c r="C1200" t="s">
        <v>1899</v>
      </c>
      <c r="D1200" t="s">
        <v>4476</v>
      </c>
      <c r="E1200" t="s">
        <v>4444</v>
      </c>
      <c r="F1200" s="3">
        <v>45308</v>
      </c>
      <c r="G1200" s="3">
        <v>45308</v>
      </c>
      <c r="H1200">
        <v>7.6</v>
      </c>
      <c r="I1200">
        <v>24</v>
      </c>
      <c r="J1200" t="s">
        <v>4448</v>
      </c>
      <c r="K1200" t="s">
        <v>4441</v>
      </c>
      <c r="L1200" t="s">
        <v>4467</v>
      </c>
      <c r="M1200" t="s">
        <v>4462</v>
      </c>
      <c r="N1200">
        <v>5</v>
      </c>
    </row>
    <row r="1201" spans="1:14" x14ac:dyDescent="0.35">
      <c r="A1201" t="s">
        <v>5680</v>
      </c>
      <c r="B1201" t="s">
        <v>236</v>
      </c>
      <c r="C1201" t="s">
        <v>1883</v>
      </c>
      <c r="D1201" t="s">
        <v>4443</v>
      </c>
      <c r="E1201" t="s">
        <v>4473</v>
      </c>
      <c r="F1201" s="3">
        <v>44993</v>
      </c>
      <c r="G1201" s="3">
        <v>44993</v>
      </c>
      <c r="H1201">
        <v>7.9</v>
      </c>
      <c r="I1201">
        <v>8</v>
      </c>
      <c r="J1201" t="s">
        <v>4448</v>
      </c>
      <c r="K1201" t="s">
        <v>4441</v>
      </c>
      <c r="L1201" t="s">
        <v>4461</v>
      </c>
      <c r="M1201" t="s">
        <v>1625</v>
      </c>
      <c r="N1201">
        <v>2</v>
      </c>
    </row>
    <row r="1202" spans="1:14" x14ac:dyDescent="0.35">
      <c r="A1202" t="s">
        <v>5681</v>
      </c>
      <c r="B1202" t="s">
        <v>18</v>
      </c>
      <c r="C1202" t="s">
        <v>1904</v>
      </c>
      <c r="D1202" t="s">
        <v>4460</v>
      </c>
      <c r="E1202" t="s">
        <v>4444</v>
      </c>
      <c r="F1202" s="3">
        <v>45152</v>
      </c>
      <c r="G1202" s="3">
        <v>45154</v>
      </c>
      <c r="H1202">
        <v>54.3</v>
      </c>
      <c r="I1202">
        <v>24</v>
      </c>
      <c r="J1202" t="s">
        <v>4440</v>
      </c>
      <c r="K1202" t="s">
        <v>4441</v>
      </c>
      <c r="L1202" t="s">
        <v>4580</v>
      </c>
      <c r="M1202" t="s">
        <v>4446</v>
      </c>
      <c r="N1202">
        <v>4</v>
      </c>
    </row>
    <row r="1203" spans="1:14" x14ac:dyDescent="0.35">
      <c r="A1203" t="s">
        <v>5682</v>
      </c>
      <c r="B1203" t="s">
        <v>184</v>
      </c>
      <c r="C1203" t="s">
        <v>1915</v>
      </c>
      <c r="D1203" t="s">
        <v>4438</v>
      </c>
      <c r="E1203" t="s">
        <v>4444</v>
      </c>
      <c r="F1203" s="3">
        <v>45361</v>
      </c>
      <c r="G1203" s="3">
        <v>45362</v>
      </c>
      <c r="H1203">
        <v>24.5</v>
      </c>
      <c r="I1203">
        <v>24</v>
      </c>
      <c r="J1203" t="s">
        <v>4440</v>
      </c>
      <c r="K1203" t="s">
        <v>4441</v>
      </c>
      <c r="L1203" t="s">
        <v>4449</v>
      </c>
      <c r="M1203" t="s">
        <v>4462</v>
      </c>
      <c r="N1203">
        <v>3</v>
      </c>
    </row>
    <row r="1204" spans="1:14" x14ac:dyDescent="0.35">
      <c r="A1204" t="s">
        <v>5683</v>
      </c>
      <c r="B1204" t="s">
        <v>80</v>
      </c>
      <c r="C1204" t="s">
        <v>1904</v>
      </c>
      <c r="D1204" t="s">
        <v>4464</v>
      </c>
      <c r="E1204" t="s">
        <v>4444</v>
      </c>
      <c r="F1204" s="3">
        <v>45231</v>
      </c>
      <c r="G1204" s="3">
        <v>45232</v>
      </c>
      <c r="H1204">
        <v>38.6</v>
      </c>
      <c r="I1204">
        <v>24</v>
      </c>
      <c r="J1204" t="s">
        <v>4440</v>
      </c>
      <c r="K1204" t="s">
        <v>4441</v>
      </c>
      <c r="L1204" t="s">
        <v>1907</v>
      </c>
      <c r="M1204" t="s">
        <v>4446</v>
      </c>
      <c r="N1204">
        <v>5</v>
      </c>
    </row>
    <row r="1205" spans="1:14" x14ac:dyDescent="0.35">
      <c r="A1205" t="s">
        <v>5684</v>
      </c>
      <c r="B1205" t="s">
        <v>250</v>
      </c>
      <c r="C1205" t="s">
        <v>1890</v>
      </c>
      <c r="D1205" t="s">
        <v>4464</v>
      </c>
      <c r="E1205" t="s">
        <v>4444</v>
      </c>
      <c r="F1205" s="3">
        <v>45348</v>
      </c>
      <c r="G1205" s="3">
        <v>45348</v>
      </c>
      <c r="H1205">
        <v>11</v>
      </c>
      <c r="I1205">
        <v>24</v>
      </c>
      <c r="J1205" t="s">
        <v>4448</v>
      </c>
      <c r="K1205" t="s">
        <v>4441</v>
      </c>
      <c r="L1205" t="s">
        <v>4512</v>
      </c>
      <c r="M1205" t="s">
        <v>4450</v>
      </c>
      <c r="N1205">
        <v>4</v>
      </c>
    </row>
    <row r="1206" spans="1:14" x14ac:dyDescent="0.35">
      <c r="A1206" t="s">
        <v>5685</v>
      </c>
      <c r="B1206" t="s">
        <v>140</v>
      </c>
      <c r="C1206" t="s">
        <v>1927</v>
      </c>
      <c r="D1206" t="s">
        <v>4482</v>
      </c>
      <c r="E1206" t="s">
        <v>4473</v>
      </c>
      <c r="F1206" s="3">
        <v>45696</v>
      </c>
      <c r="G1206" s="3">
        <v>45696</v>
      </c>
      <c r="H1206">
        <v>14.3</v>
      </c>
      <c r="I1206">
        <v>8</v>
      </c>
      <c r="J1206" t="s">
        <v>4440</v>
      </c>
      <c r="K1206" t="s">
        <v>4441</v>
      </c>
      <c r="L1206" t="s">
        <v>4480</v>
      </c>
      <c r="M1206" t="s">
        <v>4462</v>
      </c>
      <c r="N1206">
        <v>4</v>
      </c>
    </row>
    <row r="1207" spans="1:14" x14ac:dyDescent="0.35">
      <c r="A1207" t="s">
        <v>5686</v>
      </c>
      <c r="B1207" t="s">
        <v>365</v>
      </c>
      <c r="C1207" t="s">
        <v>1899</v>
      </c>
      <c r="D1207" t="s">
        <v>4460</v>
      </c>
      <c r="E1207" t="s">
        <v>4444</v>
      </c>
      <c r="F1207" s="3">
        <v>45240</v>
      </c>
      <c r="G1207" s="3">
        <v>45240</v>
      </c>
      <c r="H1207">
        <v>16.899999999999999</v>
      </c>
      <c r="I1207">
        <v>24</v>
      </c>
      <c r="J1207" t="s">
        <v>4448</v>
      </c>
      <c r="K1207" t="s">
        <v>4441</v>
      </c>
      <c r="L1207" t="s">
        <v>4445</v>
      </c>
      <c r="M1207" t="s">
        <v>4462</v>
      </c>
      <c r="N1207">
        <v>5</v>
      </c>
    </row>
    <row r="1208" spans="1:14" x14ac:dyDescent="0.35">
      <c r="A1208" t="s">
        <v>5687</v>
      </c>
      <c r="B1208" t="s">
        <v>378</v>
      </c>
      <c r="C1208" t="s">
        <v>1890</v>
      </c>
      <c r="D1208" t="s">
        <v>4460</v>
      </c>
      <c r="E1208" t="s">
        <v>4444</v>
      </c>
      <c r="F1208" s="3">
        <v>45579</v>
      </c>
      <c r="G1208" s="3">
        <v>45579</v>
      </c>
      <c r="H1208">
        <v>13.8</v>
      </c>
      <c r="I1208">
        <v>24</v>
      </c>
      <c r="J1208" t="s">
        <v>4448</v>
      </c>
      <c r="K1208" t="s">
        <v>4441</v>
      </c>
      <c r="L1208" t="s">
        <v>4449</v>
      </c>
      <c r="M1208" t="s">
        <v>4446</v>
      </c>
      <c r="N1208">
        <v>2</v>
      </c>
    </row>
    <row r="1209" spans="1:14" x14ac:dyDescent="0.35">
      <c r="A1209" t="s">
        <v>5688</v>
      </c>
      <c r="B1209" t="s">
        <v>261</v>
      </c>
      <c r="C1209" t="s">
        <v>1915</v>
      </c>
      <c r="D1209" t="s">
        <v>4452</v>
      </c>
      <c r="E1209" t="s">
        <v>4439</v>
      </c>
      <c r="F1209" s="3">
        <v>45021</v>
      </c>
      <c r="G1209" s="3" t="s">
        <v>537</v>
      </c>
      <c r="I1209">
        <v>48</v>
      </c>
      <c r="J1209" t="s">
        <v>4440</v>
      </c>
      <c r="K1209" t="s">
        <v>4457</v>
      </c>
      <c r="L1209" t="s">
        <v>4488</v>
      </c>
      <c r="M1209" t="s">
        <v>1625</v>
      </c>
    </row>
    <row r="1210" spans="1:14" x14ac:dyDescent="0.35">
      <c r="A1210" t="s">
        <v>5689</v>
      </c>
      <c r="B1210" t="s">
        <v>133</v>
      </c>
      <c r="C1210" t="s">
        <v>1890</v>
      </c>
      <c r="D1210" t="s">
        <v>4476</v>
      </c>
      <c r="E1210" t="s">
        <v>4473</v>
      </c>
      <c r="F1210" s="3">
        <v>45152</v>
      </c>
      <c r="G1210" s="3">
        <v>45152</v>
      </c>
      <c r="H1210">
        <v>14.1</v>
      </c>
      <c r="I1210">
        <v>8</v>
      </c>
      <c r="J1210" t="s">
        <v>4440</v>
      </c>
      <c r="K1210" t="s">
        <v>4441</v>
      </c>
      <c r="L1210" t="s">
        <v>4514</v>
      </c>
      <c r="M1210" t="s">
        <v>4450</v>
      </c>
      <c r="N1210">
        <v>1</v>
      </c>
    </row>
    <row r="1211" spans="1:14" x14ac:dyDescent="0.35">
      <c r="A1211" t="s">
        <v>5690</v>
      </c>
      <c r="B1211" t="s">
        <v>450</v>
      </c>
      <c r="C1211" t="s">
        <v>1890</v>
      </c>
      <c r="D1211" t="s">
        <v>4464</v>
      </c>
      <c r="E1211" t="s">
        <v>4473</v>
      </c>
      <c r="F1211" s="3">
        <v>45434</v>
      </c>
      <c r="G1211" s="3">
        <v>45434</v>
      </c>
      <c r="H1211">
        <v>14.2</v>
      </c>
      <c r="I1211">
        <v>8</v>
      </c>
      <c r="J1211" t="s">
        <v>4440</v>
      </c>
      <c r="K1211" t="s">
        <v>4441</v>
      </c>
      <c r="L1211" t="s">
        <v>4449</v>
      </c>
      <c r="M1211" t="s">
        <v>1625</v>
      </c>
      <c r="N1211">
        <v>5</v>
      </c>
    </row>
    <row r="1212" spans="1:14" x14ac:dyDescent="0.35">
      <c r="A1212" t="s">
        <v>5691</v>
      </c>
      <c r="B1212" t="s">
        <v>169</v>
      </c>
      <c r="C1212" t="s">
        <v>1915</v>
      </c>
      <c r="D1212" t="s">
        <v>4452</v>
      </c>
      <c r="E1212" t="s">
        <v>4444</v>
      </c>
      <c r="F1212" s="3">
        <v>45215</v>
      </c>
      <c r="G1212" s="3">
        <v>45215</v>
      </c>
      <c r="H1212">
        <v>18.7</v>
      </c>
      <c r="I1212">
        <v>24</v>
      </c>
      <c r="J1212" t="s">
        <v>4448</v>
      </c>
      <c r="K1212" t="s">
        <v>4441</v>
      </c>
      <c r="L1212" t="s">
        <v>4445</v>
      </c>
      <c r="M1212" t="s">
        <v>1625</v>
      </c>
      <c r="N1212">
        <v>1</v>
      </c>
    </row>
    <row r="1213" spans="1:14" x14ac:dyDescent="0.35">
      <c r="A1213" t="s">
        <v>5692</v>
      </c>
      <c r="B1213" t="s">
        <v>220</v>
      </c>
      <c r="C1213" t="s">
        <v>1890</v>
      </c>
      <c r="D1213" t="s">
        <v>4482</v>
      </c>
      <c r="E1213" t="s">
        <v>4473</v>
      </c>
      <c r="F1213" s="3">
        <v>45391</v>
      </c>
      <c r="G1213" s="3" t="s">
        <v>537</v>
      </c>
      <c r="I1213">
        <v>8</v>
      </c>
      <c r="J1213" t="s">
        <v>4440</v>
      </c>
      <c r="K1213" t="s">
        <v>4457</v>
      </c>
      <c r="L1213" t="s">
        <v>4470</v>
      </c>
      <c r="M1213" t="s">
        <v>4462</v>
      </c>
    </row>
    <row r="1214" spans="1:14" x14ac:dyDescent="0.35">
      <c r="A1214" t="s">
        <v>5693</v>
      </c>
      <c r="B1214" t="s">
        <v>473</v>
      </c>
      <c r="C1214" t="s">
        <v>1927</v>
      </c>
      <c r="D1214" t="s">
        <v>4485</v>
      </c>
      <c r="E1214" t="s">
        <v>4439</v>
      </c>
      <c r="F1214" s="3">
        <v>45514</v>
      </c>
      <c r="G1214" s="3">
        <v>45514</v>
      </c>
      <c r="H1214">
        <v>8.8000000000000007</v>
      </c>
      <c r="I1214">
        <v>48</v>
      </c>
      <c r="J1214" t="s">
        <v>4448</v>
      </c>
      <c r="K1214" t="s">
        <v>4441</v>
      </c>
      <c r="L1214" t="s">
        <v>4512</v>
      </c>
      <c r="M1214" t="s">
        <v>1625</v>
      </c>
    </row>
    <row r="1215" spans="1:14" x14ac:dyDescent="0.35">
      <c r="A1215" t="s">
        <v>5694</v>
      </c>
      <c r="B1215" t="s">
        <v>130</v>
      </c>
      <c r="C1215" t="s">
        <v>1927</v>
      </c>
      <c r="D1215" t="s">
        <v>4469</v>
      </c>
      <c r="E1215" t="s">
        <v>4444</v>
      </c>
      <c r="F1215" s="3">
        <v>45742</v>
      </c>
      <c r="G1215" s="3" t="s">
        <v>537</v>
      </c>
      <c r="I1215">
        <v>24</v>
      </c>
      <c r="J1215" t="s">
        <v>4440</v>
      </c>
      <c r="K1215" t="s">
        <v>4453</v>
      </c>
      <c r="L1215" t="s">
        <v>4467</v>
      </c>
      <c r="M1215" t="s">
        <v>4446</v>
      </c>
    </row>
    <row r="1216" spans="1:14" x14ac:dyDescent="0.35">
      <c r="A1216" t="s">
        <v>5695</v>
      </c>
      <c r="B1216" t="s">
        <v>455</v>
      </c>
      <c r="C1216" t="s">
        <v>1883</v>
      </c>
      <c r="D1216" t="s">
        <v>4464</v>
      </c>
      <c r="E1216" t="s">
        <v>4444</v>
      </c>
      <c r="F1216" s="3">
        <v>45448</v>
      </c>
      <c r="G1216" s="3" t="s">
        <v>537</v>
      </c>
      <c r="I1216">
        <v>24</v>
      </c>
      <c r="J1216" t="s">
        <v>4440</v>
      </c>
      <c r="K1216" t="s">
        <v>4474</v>
      </c>
      <c r="L1216" t="s">
        <v>4483</v>
      </c>
      <c r="M1216" t="s">
        <v>4450</v>
      </c>
    </row>
    <row r="1217" spans="1:14" x14ac:dyDescent="0.35">
      <c r="A1217" t="s">
        <v>5696</v>
      </c>
      <c r="B1217" t="s">
        <v>255</v>
      </c>
      <c r="C1217" t="s">
        <v>1904</v>
      </c>
      <c r="D1217" t="s">
        <v>4452</v>
      </c>
      <c r="E1217" t="s">
        <v>4439</v>
      </c>
      <c r="F1217" s="3">
        <v>45366</v>
      </c>
      <c r="G1217" s="3">
        <v>45368</v>
      </c>
      <c r="H1217">
        <v>50.8</v>
      </c>
      <c r="I1217">
        <v>48</v>
      </c>
      <c r="J1217" t="s">
        <v>4440</v>
      </c>
      <c r="K1217" t="s">
        <v>4441</v>
      </c>
      <c r="L1217" t="s">
        <v>4458</v>
      </c>
      <c r="M1217" t="s">
        <v>4450</v>
      </c>
      <c r="N1217">
        <v>4</v>
      </c>
    </row>
    <row r="1218" spans="1:14" x14ac:dyDescent="0.35">
      <c r="A1218" t="s">
        <v>5697</v>
      </c>
      <c r="B1218" t="s">
        <v>71</v>
      </c>
      <c r="C1218" t="s">
        <v>1883</v>
      </c>
      <c r="D1218" t="s">
        <v>4476</v>
      </c>
      <c r="E1218" t="s">
        <v>4473</v>
      </c>
      <c r="F1218" s="3">
        <v>45024</v>
      </c>
      <c r="G1218" s="3">
        <v>45024</v>
      </c>
      <c r="H1218">
        <v>9.8000000000000007</v>
      </c>
      <c r="I1218">
        <v>8</v>
      </c>
      <c r="J1218" t="s">
        <v>4440</v>
      </c>
      <c r="K1218" t="s">
        <v>4441</v>
      </c>
      <c r="L1218" t="s">
        <v>4488</v>
      </c>
      <c r="M1218" t="s">
        <v>1625</v>
      </c>
      <c r="N1218">
        <v>4</v>
      </c>
    </row>
    <row r="1219" spans="1:14" x14ac:dyDescent="0.35">
      <c r="A1219" t="s">
        <v>5698</v>
      </c>
      <c r="B1219" t="s">
        <v>426</v>
      </c>
      <c r="C1219" t="s">
        <v>1883</v>
      </c>
      <c r="D1219" t="s">
        <v>4476</v>
      </c>
      <c r="E1219" t="s">
        <v>4444</v>
      </c>
      <c r="F1219" s="3">
        <v>45133</v>
      </c>
      <c r="G1219" s="3">
        <v>45135</v>
      </c>
      <c r="H1219">
        <v>51.1</v>
      </c>
      <c r="I1219">
        <v>24</v>
      </c>
      <c r="J1219" t="s">
        <v>4440</v>
      </c>
      <c r="K1219" t="s">
        <v>4441</v>
      </c>
      <c r="L1219" t="s">
        <v>4465</v>
      </c>
      <c r="M1219" t="s">
        <v>1625</v>
      </c>
      <c r="N1219">
        <v>3</v>
      </c>
    </row>
    <row r="1220" spans="1:14" x14ac:dyDescent="0.35">
      <c r="A1220" t="s">
        <v>5699</v>
      </c>
      <c r="B1220" t="s">
        <v>71</v>
      </c>
      <c r="C1220" t="s">
        <v>1915</v>
      </c>
      <c r="D1220" t="s">
        <v>4479</v>
      </c>
      <c r="E1220" t="s">
        <v>4456</v>
      </c>
      <c r="F1220" s="3">
        <v>45486</v>
      </c>
      <c r="G1220" s="3">
        <v>45486</v>
      </c>
      <c r="H1220">
        <v>7.3</v>
      </c>
      <c r="I1220">
        <v>4</v>
      </c>
      <c r="J1220" t="s">
        <v>4440</v>
      </c>
      <c r="K1220" t="s">
        <v>4441</v>
      </c>
      <c r="L1220" t="s">
        <v>4449</v>
      </c>
      <c r="M1220" t="s">
        <v>4446</v>
      </c>
      <c r="N1220">
        <v>4</v>
      </c>
    </row>
    <row r="1221" spans="1:14" x14ac:dyDescent="0.35">
      <c r="A1221" t="s">
        <v>5700</v>
      </c>
      <c r="B1221" t="s">
        <v>372</v>
      </c>
      <c r="C1221" t="s">
        <v>1883</v>
      </c>
      <c r="D1221" t="s">
        <v>4490</v>
      </c>
      <c r="E1221" t="s">
        <v>4456</v>
      </c>
      <c r="F1221" s="3">
        <v>45515</v>
      </c>
      <c r="G1221" s="3">
        <v>45515</v>
      </c>
      <c r="H1221">
        <v>2.9</v>
      </c>
      <c r="I1221">
        <v>4</v>
      </c>
      <c r="J1221" t="s">
        <v>4448</v>
      </c>
      <c r="K1221" t="s">
        <v>4441</v>
      </c>
      <c r="L1221" t="s">
        <v>4461</v>
      </c>
      <c r="M1221" t="s">
        <v>4462</v>
      </c>
      <c r="N1221">
        <v>2</v>
      </c>
    </row>
    <row r="1222" spans="1:14" x14ac:dyDescent="0.35">
      <c r="A1222" t="s">
        <v>5701</v>
      </c>
      <c r="B1222" t="s">
        <v>433</v>
      </c>
      <c r="C1222" t="s">
        <v>1883</v>
      </c>
      <c r="D1222" t="s">
        <v>4443</v>
      </c>
      <c r="E1222" t="s">
        <v>79</v>
      </c>
      <c r="F1222" s="3">
        <v>45036</v>
      </c>
      <c r="G1222" s="3" t="s">
        <v>537</v>
      </c>
      <c r="I1222">
        <v>24</v>
      </c>
      <c r="J1222" t="s">
        <v>4440</v>
      </c>
      <c r="K1222" t="s">
        <v>4457</v>
      </c>
      <c r="L1222" t="s">
        <v>4580</v>
      </c>
      <c r="M1222" t="s">
        <v>4450</v>
      </c>
    </row>
    <row r="1223" spans="1:14" x14ac:dyDescent="0.35">
      <c r="A1223" t="s">
        <v>5702</v>
      </c>
      <c r="B1223" t="s">
        <v>399</v>
      </c>
      <c r="C1223" t="s">
        <v>1915</v>
      </c>
      <c r="D1223" t="s">
        <v>4479</v>
      </c>
      <c r="E1223" t="s">
        <v>4439</v>
      </c>
      <c r="F1223" s="3">
        <v>45131</v>
      </c>
      <c r="G1223" s="3">
        <v>45131</v>
      </c>
      <c r="H1223">
        <v>16.2</v>
      </c>
      <c r="I1223">
        <v>48</v>
      </c>
      <c r="J1223" t="s">
        <v>4448</v>
      </c>
      <c r="K1223" t="s">
        <v>4441</v>
      </c>
      <c r="L1223" t="s">
        <v>4480</v>
      </c>
      <c r="M1223" t="s">
        <v>4450</v>
      </c>
      <c r="N1223">
        <v>4</v>
      </c>
    </row>
    <row r="1224" spans="1:14" x14ac:dyDescent="0.35">
      <c r="A1224" t="s">
        <v>5703</v>
      </c>
      <c r="B1224" t="s">
        <v>193</v>
      </c>
      <c r="C1224" t="s">
        <v>1927</v>
      </c>
      <c r="D1224" t="s">
        <v>4469</v>
      </c>
      <c r="E1224" t="s">
        <v>4439</v>
      </c>
      <c r="F1224" s="3">
        <v>45301</v>
      </c>
      <c r="G1224" s="3">
        <v>45305</v>
      </c>
      <c r="H1224">
        <v>113.1</v>
      </c>
      <c r="I1224">
        <v>48</v>
      </c>
      <c r="J1224" t="s">
        <v>1945</v>
      </c>
      <c r="K1224" t="s">
        <v>4441</v>
      </c>
      <c r="L1224" t="s">
        <v>1907</v>
      </c>
      <c r="M1224" t="s">
        <v>1625</v>
      </c>
      <c r="N1224">
        <v>3</v>
      </c>
    </row>
    <row r="1225" spans="1:14" x14ac:dyDescent="0.35">
      <c r="A1225" t="s">
        <v>5704</v>
      </c>
      <c r="B1225" t="s">
        <v>471</v>
      </c>
      <c r="C1225" t="s">
        <v>1927</v>
      </c>
      <c r="D1225" t="s">
        <v>4460</v>
      </c>
      <c r="E1225" t="s">
        <v>4444</v>
      </c>
      <c r="F1225" s="3">
        <v>45460</v>
      </c>
      <c r="G1225" s="3" t="s">
        <v>537</v>
      </c>
      <c r="I1225">
        <v>24</v>
      </c>
      <c r="J1225" t="s">
        <v>4440</v>
      </c>
      <c r="K1225" t="s">
        <v>4457</v>
      </c>
      <c r="L1225" t="s">
        <v>4512</v>
      </c>
      <c r="M1225" t="s">
        <v>1625</v>
      </c>
    </row>
    <row r="1226" spans="1:14" x14ac:dyDescent="0.35">
      <c r="A1226" t="s">
        <v>5705</v>
      </c>
      <c r="B1226" t="s">
        <v>243</v>
      </c>
      <c r="C1226" t="s">
        <v>1883</v>
      </c>
      <c r="D1226" t="s">
        <v>4485</v>
      </c>
      <c r="E1226" t="s">
        <v>4473</v>
      </c>
      <c r="F1226" s="3">
        <v>45393</v>
      </c>
      <c r="G1226" s="3">
        <v>45393</v>
      </c>
      <c r="H1226">
        <v>13.2</v>
      </c>
      <c r="I1226">
        <v>8</v>
      </c>
      <c r="J1226" t="s">
        <v>4440</v>
      </c>
      <c r="K1226" t="s">
        <v>4441</v>
      </c>
      <c r="L1226" t="s">
        <v>4488</v>
      </c>
      <c r="M1226" t="s">
        <v>4446</v>
      </c>
      <c r="N1226">
        <v>4</v>
      </c>
    </row>
    <row r="1227" spans="1:14" x14ac:dyDescent="0.35">
      <c r="A1227" t="s">
        <v>5706</v>
      </c>
      <c r="B1227" t="s">
        <v>176</v>
      </c>
      <c r="C1227" t="s">
        <v>1904</v>
      </c>
      <c r="D1227" t="s">
        <v>4460</v>
      </c>
      <c r="E1227" t="s">
        <v>4439</v>
      </c>
      <c r="F1227" s="3">
        <v>45117</v>
      </c>
      <c r="G1227" s="3" t="s">
        <v>537</v>
      </c>
      <c r="I1227">
        <v>48</v>
      </c>
      <c r="J1227" t="s">
        <v>4440</v>
      </c>
      <c r="K1227" t="s">
        <v>4453</v>
      </c>
      <c r="L1227" t="s">
        <v>4467</v>
      </c>
      <c r="M1227" t="s">
        <v>4450</v>
      </c>
    </row>
    <row r="1228" spans="1:14" x14ac:dyDescent="0.35">
      <c r="A1228" t="s">
        <v>5707</v>
      </c>
      <c r="B1228" t="s">
        <v>279</v>
      </c>
      <c r="C1228" t="s">
        <v>1904</v>
      </c>
      <c r="D1228" t="s">
        <v>4479</v>
      </c>
      <c r="E1228" t="s">
        <v>4473</v>
      </c>
      <c r="F1228" s="3">
        <v>45356</v>
      </c>
      <c r="G1228" s="3">
        <v>45356</v>
      </c>
      <c r="H1228">
        <v>8.5</v>
      </c>
      <c r="I1228">
        <v>8</v>
      </c>
      <c r="J1228" t="s">
        <v>4440</v>
      </c>
      <c r="K1228" t="s">
        <v>4441</v>
      </c>
      <c r="L1228" t="s">
        <v>4492</v>
      </c>
      <c r="M1228" t="s">
        <v>4450</v>
      </c>
      <c r="N1228">
        <v>3</v>
      </c>
    </row>
    <row r="1229" spans="1:14" x14ac:dyDescent="0.35">
      <c r="A1229" t="s">
        <v>5708</v>
      </c>
      <c r="B1229" t="s">
        <v>495</v>
      </c>
      <c r="C1229" t="s">
        <v>1927</v>
      </c>
      <c r="D1229" t="s">
        <v>4482</v>
      </c>
      <c r="E1229" t="s">
        <v>4456</v>
      </c>
      <c r="F1229" s="3">
        <v>45293</v>
      </c>
      <c r="G1229" s="3">
        <v>45293</v>
      </c>
      <c r="H1229">
        <v>2.5</v>
      </c>
      <c r="I1229">
        <v>4</v>
      </c>
      <c r="J1229" t="s">
        <v>4448</v>
      </c>
      <c r="K1229" t="s">
        <v>4441</v>
      </c>
      <c r="L1229" t="s">
        <v>4514</v>
      </c>
      <c r="M1229" t="s">
        <v>4462</v>
      </c>
      <c r="N1229">
        <v>2</v>
      </c>
    </row>
    <row r="1230" spans="1:14" x14ac:dyDescent="0.35">
      <c r="A1230" t="s">
        <v>5709</v>
      </c>
      <c r="B1230" t="s">
        <v>309</v>
      </c>
      <c r="C1230" t="s">
        <v>1890</v>
      </c>
      <c r="D1230" t="s">
        <v>4452</v>
      </c>
      <c r="E1230" t="s">
        <v>4444</v>
      </c>
      <c r="F1230" s="3">
        <v>45745</v>
      </c>
      <c r="G1230" s="3">
        <v>45747</v>
      </c>
      <c r="H1230">
        <v>59.9</v>
      </c>
      <c r="I1230">
        <v>24</v>
      </c>
      <c r="J1230" t="s">
        <v>4440</v>
      </c>
      <c r="K1230" t="s">
        <v>4441</v>
      </c>
      <c r="L1230" t="s">
        <v>4470</v>
      </c>
      <c r="M1230" t="s">
        <v>4450</v>
      </c>
      <c r="N1230">
        <v>4</v>
      </c>
    </row>
    <row r="1231" spans="1:14" x14ac:dyDescent="0.35">
      <c r="A1231" t="s">
        <v>5710</v>
      </c>
      <c r="B1231" t="s">
        <v>200</v>
      </c>
      <c r="C1231" t="s">
        <v>1915</v>
      </c>
      <c r="D1231" t="s">
        <v>4485</v>
      </c>
      <c r="E1231" t="s">
        <v>4444</v>
      </c>
      <c r="F1231" s="3">
        <v>45199</v>
      </c>
      <c r="G1231" s="3">
        <v>45200</v>
      </c>
      <c r="H1231">
        <v>41.5</v>
      </c>
      <c r="I1231">
        <v>24</v>
      </c>
      <c r="J1231" t="s">
        <v>4440</v>
      </c>
      <c r="K1231" t="s">
        <v>4441</v>
      </c>
      <c r="L1231" t="s">
        <v>4470</v>
      </c>
      <c r="M1231" t="s">
        <v>1625</v>
      </c>
      <c r="N1231">
        <v>4</v>
      </c>
    </row>
    <row r="1232" spans="1:14" x14ac:dyDescent="0.35">
      <c r="A1232" t="s">
        <v>5711</v>
      </c>
      <c r="B1232" t="s">
        <v>433</v>
      </c>
      <c r="C1232" t="s">
        <v>1904</v>
      </c>
      <c r="D1232" t="s">
        <v>4443</v>
      </c>
      <c r="E1232" t="s">
        <v>4439</v>
      </c>
      <c r="F1232" s="3">
        <v>45085</v>
      </c>
      <c r="G1232" s="3">
        <v>45089</v>
      </c>
      <c r="H1232">
        <v>112.9</v>
      </c>
      <c r="I1232">
        <v>48</v>
      </c>
      <c r="J1232" t="s">
        <v>4440</v>
      </c>
      <c r="K1232" t="s">
        <v>4441</v>
      </c>
      <c r="L1232" t="s">
        <v>4470</v>
      </c>
      <c r="M1232" t="s">
        <v>4462</v>
      </c>
      <c r="N1232">
        <v>5</v>
      </c>
    </row>
    <row r="1233" spans="1:14" x14ac:dyDescent="0.35">
      <c r="A1233" t="s">
        <v>5712</v>
      </c>
      <c r="B1233" t="s">
        <v>442</v>
      </c>
      <c r="C1233" t="s">
        <v>1883</v>
      </c>
      <c r="D1233" t="s">
        <v>4490</v>
      </c>
      <c r="E1233" t="s">
        <v>4473</v>
      </c>
      <c r="F1233" s="3">
        <v>45196</v>
      </c>
      <c r="G1233" s="3">
        <v>45196</v>
      </c>
      <c r="H1233">
        <v>11</v>
      </c>
      <c r="I1233">
        <v>8</v>
      </c>
      <c r="J1233" t="s">
        <v>4440</v>
      </c>
      <c r="K1233" t="s">
        <v>4441</v>
      </c>
      <c r="L1233" t="s">
        <v>4512</v>
      </c>
      <c r="M1233" t="s">
        <v>4446</v>
      </c>
      <c r="N1233">
        <v>4</v>
      </c>
    </row>
    <row r="1234" spans="1:14" x14ac:dyDescent="0.35">
      <c r="A1234" t="s">
        <v>5713</v>
      </c>
      <c r="B1234" t="s">
        <v>423</v>
      </c>
      <c r="C1234" t="s">
        <v>1927</v>
      </c>
      <c r="D1234" t="s">
        <v>4472</v>
      </c>
      <c r="E1234" t="s">
        <v>4473</v>
      </c>
      <c r="F1234" s="3">
        <v>45198</v>
      </c>
      <c r="G1234" s="3" t="s">
        <v>537</v>
      </c>
      <c r="I1234">
        <v>8</v>
      </c>
      <c r="J1234" t="s">
        <v>4440</v>
      </c>
      <c r="K1234" t="s">
        <v>4474</v>
      </c>
      <c r="L1234" t="s">
        <v>4465</v>
      </c>
      <c r="M1234" t="s">
        <v>1625</v>
      </c>
    </row>
    <row r="1235" spans="1:14" x14ac:dyDescent="0.35">
      <c r="A1235" t="s">
        <v>5714</v>
      </c>
      <c r="B1235" t="s">
        <v>193</v>
      </c>
      <c r="C1235" t="s">
        <v>1899</v>
      </c>
      <c r="D1235" t="s">
        <v>4464</v>
      </c>
      <c r="E1235" t="s">
        <v>4444</v>
      </c>
      <c r="F1235" s="3">
        <v>45675</v>
      </c>
      <c r="G1235" s="3">
        <v>45676</v>
      </c>
      <c r="H1235">
        <v>33.5</v>
      </c>
      <c r="I1235">
        <v>24</v>
      </c>
      <c r="J1235" t="s">
        <v>4440</v>
      </c>
      <c r="K1235" t="s">
        <v>4441</v>
      </c>
      <c r="L1235" t="s">
        <v>4445</v>
      </c>
      <c r="M1235" t="s">
        <v>4462</v>
      </c>
    </row>
    <row r="1236" spans="1:14" x14ac:dyDescent="0.35">
      <c r="A1236" t="s">
        <v>5715</v>
      </c>
      <c r="B1236" t="s">
        <v>103</v>
      </c>
      <c r="C1236" t="s">
        <v>1915</v>
      </c>
      <c r="D1236" t="s">
        <v>4479</v>
      </c>
      <c r="E1236" t="s">
        <v>4444</v>
      </c>
      <c r="F1236" s="3">
        <v>45747</v>
      </c>
      <c r="G1236" s="3">
        <v>45749</v>
      </c>
      <c r="H1236">
        <v>55.6</v>
      </c>
      <c r="I1236">
        <v>24</v>
      </c>
      <c r="J1236" t="s">
        <v>4440</v>
      </c>
      <c r="K1236" t="s">
        <v>4441</v>
      </c>
      <c r="L1236" t="s">
        <v>4445</v>
      </c>
      <c r="M1236" t="s">
        <v>4450</v>
      </c>
      <c r="N1236">
        <v>3</v>
      </c>
    </row>
    <row r="1237" spans="1:14" x14ac:dyDescent="0.35">
      <c r="A1237" t="s">
        <v>5716</v>
      </c>
      <c r="B1237" t="s">
        <v>321</v>
      </c>
      <c r="C1237" t="s">
        <v>1927</v>
      </c>
      <c r="D1237" t="s">
        <v>4438</v>
      </c>
      <c r="E1237" t="s">
        <v>4444</v>
      </c>
      <c r="F1237" s="3">
        <v>45453</v>
      </c>
      <c r="G1237" s="3" t="s">
        <v>537</v>
      </c>
      <c r="I1237">
        <v>24</v>
      </c>
      <c r="J1237" t="s">
        <v>4440</v>
      </c>
      <c r="K1237" t="s">
        <v>4457</v>
      </c>
      <c r="L1237" t="s">
        <v>4454</v>
      </c>
      <c r="M1237" t="s">
        <v>4446</v>
      </c>
    </row>
    <row r="1238" spans="1:14" x14ac:dyDescent="0.35">
      <c r="A1238" t="s">
        <v>5717</v>
      </c>
      <c r="B1238" t="s">
        <v>23</v>
      </c>
      <c r="C1238" t="s">
        <v>1883</v>
      </c>
      <c r="D1238" t="s">
        <v>4490</v>
      </c>
      <c r="E1238" t="s">
        <v>4444</v>
      </c>
      <c r="F1238" s="3">
        <v>44999</v>
      </c>
      <c r="G1238" s="3">
        <v>45000</v>
      </c>
      <c r="H1238">
        <v>33.9</v>
      </c>
      <c r="I1238">
        <v>24</v>
      </c>
      <c r="J1238" t="s">
        <v>1945</v>
      </c>
      <c r="K1238" t="s">
        <v>4441</v>
      </c>
      <c r="L1238" t="s">
        <v>4514</v>
      </c>
      <c r="M1238" t="s">
        <v>4462</v>
      </c>
      <c r="N1238">
        <v>3</v>
      </c>
    </row>
    <row r="1239" spans="1:14" x14ac:dyDescent="0.35">
      <c r="A1239" t="s">
        <v>5718</v>
      </c>
      <c r="B1239" t="s">
        <v>140</v>
      </c>
      <c r="C1239" t="s">
        <v>1915</v>
      </c>
      <c r="D1239" t="s">
        <v>4464</v>
      </c>
      <c r="E1239" t="s">
        <v>4444</v>
      </c>
      <c r="F1239" s="3">
        <v>45290</v>
      </c>
      <c r="G1239" s="3" t="s">
        <v>537</v>
      </c>
      <c r="I1239">
        <v>24</v>
      </c>
      <c r="J1239" t="s">
        <v>4448</v>
      </c>
      <c r="K1239" t="s">
        <v>4457</v>
      </c>
      <c r="L1239" t="s">
        <v>4527</v>
      </c>
      <c r="M1239" t="s">
        <v>4462</v>
      </c>
    </row>
    <row r="1240" spans="1:14" x14ac:dyDescent="0.35">
      <c r="A1240" t="s">
        <v>5719</v>
      </c>
      <c r="B1240" t="s">
        <v>446</v>
      </c>
      <c r="C1240" t="s">
        <v>1883</v>
      </c>
      <c r="D1240" t="s">
        <v>4476</v>
      </c>
      <c r="E1240" t="s">
        <v>4444</v>
      </c>
      <c r="F1240" s="3">
        <v>45433</v>
      </c>
      <c r="G1240" s="3">
        <v>45433</v>
      </c>
      <c r="H1240">
        <v>3.8</v>
      </c>
      <c r="I1240">
        <v>24</v>
      </c>
      <c r="J1240" t="s">
        <v>1945</v>
      </c>
      <c r="K1240" t="s">
        <v>4441</v>
      </c>
      <c r="L1240" t="s">
        <v>4461</v>
      </c>
      <c r="M1240" t="s">
        <v>1625</v>
      </c>
      <c r="N1240">
        <v>5</v>
      </c>
    </row>
    <row r="1241" spans="1:14" x14ac:dyDescent="0.35">
      <c r="A1241" t="s">
        <v>5720</v>
      </c>
      <c r="B1241" t="s">
        <v>495</v>
      </c>
      <c r="C1241" t="s">
        <v>1890</v>
      </c>
      <c r="D1241" t="s">
        <v>4464</v>
      </c>
      <c r="E1241" t="s">
        <v>4444</v>
      </c>
      <c r="F1241" s="3">
        <v>45427</v>
      </c>
      <c r="G1241" s="3" t="s">
        <v>537</v>
      </c>
      <c r="I1241">
        <v>24</v>
      </c>
      <c r="J1241" t="s">
        <v>4448</v>
      </c>
      <c r="K1241" t="s">
        <v>4457</v>
      </c>
      <c r="L1241" t="s">
        <v>4488</v>
      </c>
      <c r="M1241" t="s">
        <v>4450</v>
      </c>
    </row>
    <row r="1242" spans="1:14" x14ac:dyDescent="0.35">
      <c r="A1242" t="s">
        <v>5721</v>
      </c>
      <c r="B1242" t="s">
        <v>389</v>
      </c>
      <c r="C1242" t="s">
        <v>1915</v>
      </c>
      <c r="D1242" t="s">
        <v>4469</v>
      </c>
      <c r="E1242" t="s">
        <v>4439</v>
      </c>
      <c r="F1242" s="3">
        <v>45458</v>
      </c>
      <c r="G1242" s="3">
        <v>45460</v>
      </c>
      <c r="H1242">
        <v>61.7</v>
      </c>
      <c r="I1242">
        <v>48</v>
      </c>
      <c r="J1242" t="s">
        <v>4440</v>
      </c>
      <c r="K1242" t="s">
        <v>4441</v>
      </c>
      <c r="L1242" t="s">
        <v>4527</v>
      </c>
      <c r="M1242" t="s">
        <v>4462</v>
      </c>
      <c r="N1242">
        <v>4</v>
      </c>
    </row>
    <row r="1243" spans="1:14" x14ac:dyDescent="0.35">
      <c r="A1243" t="s">
        <v>5722</v>
      </c>
      <c r="B1243" t="s">
        <v>474</v>
      </c>
      <c r="C1243" t="s">
        <v>1883</v>
      </c>
      <c r="D1243" t="s">
        <v>4464</v>
      </c>
      <c r="E1243" t="s">
        <v>4439</v>
      </c>
      <c r="F1243" s="3">
        <v>44998</v>
      </c>
      <c r="G1243" s="3" t="s">
        <v>537</v>
      </c>
      <c r="I1243">
        <v>48</v>
      </c>
      <c r="J1243" t="s">
        <v>4440</v>
      </c>
      <c r="K1243" t="s">
        <v>4474</v>
      </c>
      <c r="L1243" t="s">
        <v>4514</v>
      </c>
      <c r="M1243" t="s">
        <v>4462</v>
      </c>
    </row>
    <row r="1244" spans="1:14" x14ac:dyDescent="0.35">
      <c r="A1244" t="s">
        <v>5723</v>
      </c>
      <c r="B1244" t="s">
        <v>303</v>
      </c>
      <c r="C1244" t="s">
        <v>1890</v>
      </c>
      <c r="D1244" t="s">
        <v>4452</v>
      </c>
      <c r="E1244" t="s">
        <v>4444</v>
      </c>
      <c r="F1244" s="3">
        <v>44939</v>
      </c>
      <c r="G1244" s="3">
        <v>44939</v>
      </c>
      <c r="H1244">
        <v>16.8</v>
      </c>
      <c r="I1244">
        <v>24</v>
      </c>
      <c r="J1244" t="s">
        <v>4448</v>
      </c>
      <c r="K1244" t="s">
        <v>4441</v>
      </c>
      <c r="L1244" t="s">
        <v>4467</v>
      </c>
      <c r="M1244" t="s">
        <v>4450</v>
      </c>
      <c r="N1244">
        <v>5</v>
      </c>
    </row>
    <row r="1245" spans="1:14" x14ac:dyDescent="0.35">
      <c r="A1245" t="s">
        <v>5724</v>
      </c>
      <c r="B1245" t="s">
        <v>372</v>
      </c>
      <c r="C1245" t="s">
        <v>1915</v>
      </c>
      <c r="D1245" t="s">
        <v>4472</v>
      </c>
      <c r="E1245" t="s">
        <v>4439</v>
      </c>
      <c r="F1245" s="3">
        <v>45494</v>
      </c>
      <c r="G1245" s="3">
        <v>45496</v>
      </c>
      <c r="H1245">
        <v>61.7</v>
      </c>
      <c r="I1245">
        <v>48</v>
      </c>
      <c r="J1245" t="s">
        <v>4440</v>
      </c>
      <c r="K1245" t="s">
        <v>4441</v>
      </c>
      <c r="L1245" t="s">
        <v>4512</v>
      </c>
      <c r="M1245" t="s">
        <v>4462</v>
      </c>
      <c r="N1245">
        <v>5</v>
      </c>
    </row>
    <row r="1246" spans="1:14" x14ac:dyDescent="0.35">
      <c r="A1246" t="s">
        <v>5725</v>
      </c>
      <c r="B1246" t="s">
        <v>490</v>
      </c>
      <c r="C1246" t="s">
        <v>1890</v>
      </c>
      <c r="D1246" t="s">
        <v>4452</v>
      </c>
      <c r="E1246" t="s">
        <v>79</v>
      </c>
      <c r="F1246" s="3">
        <v>45399</v>
      </c>
      <c r="G1246" s="3">
        <v>45400</v>
      </c>
      <c r="H1246">
        <v>35.299999999999997</v>
      </c>
      <c r="I1246">
        <v>24</v>
      </c>
      <c r="J1246" t="s">
        <v>4440</v>
      </c>
      <c r="K1246" t="s">
        <v>4441</v>
      </c>
      <c r="L1246" t="s">
        <v>4509</v>
      </c>
      <c r="M1246" t="s">
        <v>4450</v>
      </c>
      <c r="N1246">
        <v>5</v>
      </c>
    </row>
    <row r="1247" spans="1:14" x14ac:dyDescent="0.35">
      <c r="A1247" t="s">
        <v>5726</v>
      </c>
      <c r="B1247" t="s">
        <v>324</v>
      </c>
      <c r="C1247" t="s">
        <v>1890</v>
      </c>
      <c r="D1247" t="s">
        <v>4485</v>
      </c>
      <c r="E1247" t="s">
        <v>4444</v>
      </c>
      <c r="F1247" s="3">
        <v>45168</v>
      </c>
      <c r="G1247" s="3">
        <v>45169</v>
      </c>
      <c r="H1247">
        <v>45</v>
      </c>
      <c r="I1247">
        <v>24</v>
      </c>
      <c r="J1247" t="s">
        <v>4440</v>
      </c>
      <c r="K1247" t="s">
        <v>4441</v>
      </c>
      <c r="L1247" t="s">
        <v>4509</v>
      </c>
      <c r="M1247" t="s">
        <v>1625</v>
      </c>
      <c r="N1247">
        <v>4</v>
      </c>
    </row>
    <row r="1248" spans="1:14" x14ac:dyDescent="0.35">
      <c r="A1248" t="s">
        <v>5727</v>
      </c>
      <c r="B1248" t="s">
        <v>216</v>
      </c>
      <c r="C1248" t="s">
        <v>1904</v>
      </c>
      <c r="D1248" t="s">
        <v>4476</v>
      </c>
      <c r="E1248" t="s">
        <v>4439</v>
      </c>
      <c r="F1248" s="3">
        <v>44953</v>
      </c>
      <c r="G1248" s="3">
        <v>44954</v>
      </c>
      <c r="H1248">
        <v>41</v>
      </c>
      <c r="I1248">
        <v>48</v>
      </c>
      <c r="J1248" t="s">
        <v>4448</v>
      </c>
      <c r="K1248" t="s">
        <v>4441</v>
      </c>
      <c r="L1248" t="s">
        <v>4461</v>
      </c>
      <c r="M1248" t="s">
        <v>4462</v>
      </c>
      <c r="N1248">
        <v>3</v>
      </c>
    </row>
    <row r="1249" spans="1:14" x14ac:dyDescent="0.35">
      <c r="A1249" t="s">
        <v>5728</v>
      </c>
      <c r="B1249" t="s">
        <v>383</v>
      </c>
      <c r="C1249" t="s">
        <v>1904</v>
      </c>
      <c r="D1249" t="s">
        <v>4485</v>
      </c>
      <c r="E1249" t="s">
        <v>4444</v>
      </c>
      <c r="F1249" s="3">
        <v>45212</v>
      </c>
      <c r="G1249" s="3">
        <v>45212</v>
      </c>
      <c r="H1249">
        <v>5.8</v>
      </c>
      <c r="I1249">
        <v>24</v>
      </c>
      <c r="J1249" t="s">
        <v>4448</v>
      </c>
      <c r="K1249" t="s">
        <v>4441</v>
      </c>
      <c r="L1249" t="s">
        <v>4445</v>
      </c>
      <c r="M1249" t="s">
        <v>1625</v>
      </c>
      <c r="N1249">
        <v>4</v>
      </c>
    </row>
    <row r="1250" spans="1:14" x14ac:dyDescent="0.35">
      <c r="A1250" t="s">
        <v>5729</v>
      </c>
      <c r="B1250" t="s">
        <v>411</v>
      </c>
      <c r="C1250" t="s">
        <v>1927</v>
      </c>
      <c r="D1250" t="s">
        <v>4469</v>
      </c>
      <c r="E1250" t="s">
        <v>4439</v>
      </c>
      <c r="F1250" s="3">
        <v>45191</v>
      </c>
      <c r="G1250" s="3">
        <v>45195</v>
      </c>
      <c r="H1250">
        <v>109</v>
      </c>
      <c r="I1250">
        <v>48</v>
      </c>
      <c r="J1250" t="s">
        <v>4440</v>
      </c>
      <c r="K1250" t="s">
        <v>4441</v>
      </c>
      <c r="L1250" t="s">
        <v>4458</v>
      </c>
      <c r="M1250" t="s">
        <v>4446</v>
      </c>
      <c r="N1250">
        <v>4</v>
      </c>
    </row>
    <row r="1251" spans="1:14" x14ac:dyDescent="0.35">
      <c r="A1251" t="s">
        <v>5730</v>
      </c>
      <c r="B1251" t="s">
        <v>271</v>
      </c>
      <c r="C1251" t="s">
        <v>1899</v>
      </c>
      <c r="D1251" t="s">
        <v>4443</v>
      </c>
      <c r="E1251" t="s">
        <v>4473</v>
      </c>
      <c r="F1251" s="3">
        <v>45354</v>
      </c>
      <c r="G1251" s="3">
        <v>45354</v>
      </c>
      <c r="H1251">
        <v>10.5</v>
      </c>
      <c r="I1251">
        <v>8</v>
      </c>
      <c r="J1251" t="s">
        <v>4440</v>
      </c>
      <c r="K1251" t="s">
        <v>4441</v>
      </c>
      <c r="L1251" t="s">
        <v>4465</v>
      </c>
      <c r="M1251" t="s">
        <v>4446</v>
      </c>
      <c r="N1251">
        <v>4</v>
      </c>
    </row>
    <row r="1252" spans="1:14" x14ac:dyDescent="0.35">
      <c r="A1252" t="s">
        <v>5731</v>
      </c>
      <c r="B1252" t="s">
        <v>101</v>
      </c>
      <c r="C1252" t="s">
        <v>1890</v>
      </c>
      <c r="D1252" t="s">
        <v>4490</v>
      </c>
      <c r="E1252" t="s">
        <v>4473</v>
      </c>
      <c r="F1252" s="3">
        <v>45276</v>
      </c>
      <c r="G1252" s="3">
        <v>45276</v>
      </c>
      <c r="H1252">
        <v>16.899999999999999</v>
      </c>
      <c r="I1252">
        <v>8</v>
      </c>
      <c r="J1252" t="s">
        <v>4440</v>
      </c>
      <c r="K1252" t="s">
        <v>4441</v>
      </c>
      <c r="L1252" t="s">
        <v>4470</v>
      </c>
      <c r="M1252" t="s">
        <v>4446</v>
      </c>
      <c r="N1252">
        <v>4</v>
      </c>
    </row>
    <row r="1253" spans="1:14" x14ac:dyDescent="0.35">
      <c r="A1253" t="s">
        <v>5732</v>
      </c>
      <c r="B1253" t="s">
        <v>378</v>
      </c>
      <c r="C1253" t="s">
        <v>1927</v>
      </c>
      <c r="D1253" t="s">
        <v>4490</v>
      </c>
      <c r="E1253" t="s">
        <v>4473</v>
      </c>
      <c r="F1253" s="3">
        <v>45601</v>
      </c>
      <c r="G1253" s="3" t="s">
        <v>537</v>
      </c>
      <c r="I1253">
        <v>8</v>
      </c>
      <c r="J1253" t="s">
        <v>4440</v>
      </c>
      <c r="K1253" t="s">
        <v>4457</v>
      </c>
      <c r="L1253" t="s">
        <v>4454</v>
      </c>
      <c r="M1253" t="s">
        <v>4446</v>
      </c>
    </row>
    <row r="1254" spans="1:14" x14ac:dyDescent="0.35">
      <c r="A1254" t="s">
        <v>5733</v>
      </c>
      <c r="B1254" t="s">
        <v>126</v>
      </c>
      <c r="C1254" t="s">
        <v>1927</v>
      </c>
      <c r="D1254" t="s">
        <v>4476</v>
      </c>
      <c r="E1254" t="s">
        <v>4473</v>
      </c>
      <c r="F1254" s="3">
        <v>45076</v>
      </c>
      <c r="G1254" s="3" t="s">
        <v>537</v>
      </c>
      <c r="I1254">
        <v>8</v>
      </c>
      <c r="J1254" t="s">
        <v>4448</v>
      </c>
      <c r="K1254" t="s">
        <v>4453</v>
      </c>
      <c r="L1254" t="s">
        <v>4514</v>
      </c>
      <c r="M1254" t="s">
        <v>4450</v>
      </c>
    </row>
    <row r="1255" spans="1:14" x14ac:dyDescent="0.35">
      <c r="A1255" t="s">
        <v>5734</v>
      </c>
      <c r="B1255" t="s">
        <v>444</v>
      </c>
      <c r="C1255" t="s">
        <v>1899</v>
      </c>
      <c r="D1255" t="s">
        <v>4452</v>
      </c>
      <c r="E1255" t="s">
        <v>4439</v>
      </c>
      <c r="F1255" s="3">
        <v>44933</v>
      </c>
      <c r="G1255" s="3">
        <v>44933</v>
      </c>
      <c r="H1255">
        <v>22.1</v>
      </c>
      <c r="I1255">
        <v>48</v>
      </c>
      <c r="J1255" t="s">
        <v>4448</v>
      </c>
      <c r="K1255" t="s">
        <v>4441</v>
      </c>
      <c r="L1255" t="s">
        <v>1907</v>
      </c>
      <c r="M1255" t="s">
        <v>1625</v>
      </c>
      <c r="N1255">
        <v>3</v>
      </c>
    </row>
    <row r="1256" spans="1:14" x14ac:dyDescent="0.35">
      <c r="A1256" t="s">
        <v>5735</v>
      </c>
      <c r="B1256" t="s">
        <v>472</v>
      </c>
      <c r="C1256" t="s">
        <v>1927</v>
      </c>
      <c r="D1256" t="s">
        <v>4472</v>
      </c>
      <c r="E1256" t="s">
        <v>4473</v>
      </c>
      <c r="F1256" s="3">
        <v>45080</v>
      </c>
      <c r="G1256" s="3" t="s">
        <v>537</v>
      </c>
      <c r="I1256">
        <v>8</v>
      </c>
      <c r="J1256" t="s">
        <v>4440</v>
      </c>
      <c r="K1256" t="s">
        <v>4474</v>
      </c>
      <c r="L1256" t="s">
        <v>4470</v>
      </c>
      <c r="M1256" t="s">
        <v>4450</v>
      </c>
    </row>
    <row r="1257" spans="1:14" x14ac:dyDescent="0.35">
      <c r="A1257" t="s">
        <v>5736</v>
      </c>
      <c r="B1257" t="s">
        <v>74</v>
      </c>
      <c r="C1257" t="s">
        <v>1927</v>
      </c>
      <c r="D1257" t="s">
        <v>4476</v>
      </c>
      <c r="E1257" t="s">
        <v>4473</v>
      </c>
      <c r="F1257" s="3">
        <v>45024</v>
      </c>
      <c r="G1257" s="3">
        <v>45024</v>
      </c>
      <c r="H1257">
        <v>8.4</v>
      </c>
      <c r="I1257">
        <v>8</v>
      </c>
      <c r="J1257" t="s">
        <v>4440</v>
      </c>
      <c r="K1257" t="s">
        <v>4441</v>
      </c>
      <c r="L1257" t="s">
        <v>4461</v>
      </c>
      <c r="M1257" t="s">
        <v>4462</v>
      </c>
      <c r="N1257">
        <v>4</v>
      </c>
    </row>
    <row r="1258" spans="1:14" x14ac:dyDescent="0.35">
      <c r="A1258" t="s">
        <v>5737</v>
      </c>
      <c r="B1258" t="s">
        <v>335</v>
      </c>
      <c r="C1258" t="s">
        <v>1904</v>
      </c>
      <c r="D1258" t="s">
        <v>4479</v>
      </c>
      <c r="E1258" t="s">
        <v>4444</v>
      </c>
      <c r="F1258" s="3">
        <v>45165</v>
      </c>
      <c r="G1258" s="3">
        <v>45165</v>
      </c>
      <c r="H1258">
        <v>5.5</v>
      </c>
      <c r="I1258">
        <v>24</v>
      </c>
      <c r="J1258" t="s">
        <v>4448</v>
      </c>
      <c r="K1258" t="s">
        <v>4441</v>
      </c>
      <c r="L1258" t="s">
        <v>4445</v>
      </c>
      <c r="M1258" t="s">
        <v>4446</v>
      </c>
      <c r="N1258">
        <v>4</v>
      </c>
    </row>
    <row r="1259" spans="1:14" x14ac:dyDescent="0.35">
      <c r="A1259" t="s">
        <v>5738</v>
      </c>
      <c r="B1259" t="s">
        <v>394</v>
      </c>
      <c r="C1259" t="s">
        <v>1899</v>
      </c>
      <c r="D1259" t="s">
        <v>4476</v>
      </c>
      <c r="E1259" t="s">
        <v>4439</v>
      </c>
      <c r="F1259" s="3">
        <v>45327</v>
      </c>
      <c r="G1259" s="3">
        <v>45329</v>
      </c>
      <c r="H1259">
        <v>66.8</v>
      </c>
      <c r="I1259">
        <v>48</v>
      </c>
      <c r="J1259" t="s">
        <v>4440</v>
      </c>
      <c r="K1259" t="s">
        <v>4441</v>
      </c>
      <c r="L1259" t="s">
        <v>4488</v>
      </c>
      <c r="M1259" t="s">
        <v>4446</v>
      </c>
    </row>
    <row r="1260" spans="1:14" x14ac:dyDescent="0.35">
      <c r="A1260" t="s">
        <v>5739</v>
      </c>
      <c r="B1260" t="s">
        <v>400</v>
      </c>
      <c r="C1260" t="s">
        <v>1927</v>
      </c>
      <c r="D1260" t="s">
        <v>4464</v>
      </c>
      <c r="E1260" t="s">
        <v>4456</v>
      </c>
      <c r="F1260" s="3">
        <v>45392</v>
      </c>
      <c r="G1260" s="3" t="s">
        <v>537</v>
      </c>
      <c r="I1260">
        <v>4</v>
      </c>
      <c r="J1260" t="s">
        <v>4440</v>
      </c>
      <c r="K1260" t="s">
        <v>4457</v>
      </c>
      <c r="L1260" t="s">
        <v>4454</v>
      </c>
      <c r="M1260" t="s">
        <v>4462</v>
      </c>
    </row>
    <row r="1261" spans="1:14" x14ac:dyDescent="0.35">
      <c r="A1261" t="s">
        <v>5740</v>
      </c>
      <c r="B1261" t="s">
        <v>334</v>
      </c>
      <c r="C1261" t="s">
        <v>1883</v>
      </c>
      <c r="D1261" t="s">
        <v>4443</v>
      </c>
      <c r="E1261" t="s">
        <v>4439</v>
      </c>
      <c r="F1261" s="3">
        <v>45543</v>
      </c>
      <c r="G1261" s="3" t="s">
        <v>537</v>
      </c>
      <c r="I1261">
        <v>48</v>
      </c>
      <c r="J1261" t="s">
        <v>4440</v>
      </c>
      <c r="K1261" t="s">
        <v>4474</v>
      </c>
      <c r="L1261" t="s">
        <v>4467</v>
      </c>
      <c r="M1261" t="s">
        <v>4462</v>
      </c>
    </row>
    <row r="1262" spans="1:14" x14ac:dyDescent="0.35">
      <c r="A1262" t="s">
        <v>5741</v>
      </c>
      <c r="B1262" t="s">
        <v>305</v>
      </c>
      <c r="C1262" t="s">
        <v>1904</v>
      </c>
      <c r="D1262" t="s">
        <v>4482</v>
      </c>
      <c r="E1262" t="s">
        <v>4444</v>
      </c>
      <c r="F1262" s="3">
        <v>45355</v>
      </c>
      <c r="G1262" s="3">
        <v>45357</v>
      </c>
      <c r="H1262">
        <v>59.8</v>
      </c>
      <c r="I1262">
        <v>24</v>
      </c>
      <c r="J1262" t="s">
        <v>4440</v>
      </c>
      <c r="K1262" t="s">
        <v>4441</v>
      </c>
      <c r="L1262" t="s">
        <v>4483</v>
      </c>
      <c r="M1262" t="s">
        <v>4446</v>
      </c>
      <c r="N1262">
        <v>5</v>
      </c>
    </row>
    <row r="1263" spans="1:14" x14ac:dyDescent="0.35">
      <c r="A1263" t="s">
        <v>5742</v>
      </c>
      <c r="B1263" t="s">
        <v>404</v>
      </c>
      <c r="C1263" t="s">
        <v>1915</v>
      </c>
      <c r="D1263" t="s">
        <v>4490</v>
      </c>
      <c r="E1263" t="s">
        <v>4444</v>
      </c>
      <c r="F1263" s="3">
        <v>45179</v>
      </c>
      <c r="G1263" s="3" t="s">
        <v>537</v>
      </c>
      <c r="I1263">
        <v>24</v>
      </c>
      <c r="J1263" t="s">
        <v>4440</v>
      </c>
      <c r="K1263" t="s">
        <v>4474</v>
      </c>
      <c r="L1263" t="s">
        <v>4488</v>
      </c>
      <c r="M1263" t="s">
        <v>4462</v>
      </c>
    </row>
    <row r="1264" spans="1:14" x14ac:dyDescent="0.35">
      <c r="A1264" t="s">
        <v>5743</v>
      </c>
      <c r="B1264" t="s">
        <v>74</v>
      </c>
      <c r="C1264" t="s">
        <v>1915</v>
      </c>
      <c r="D1264" t="s">
        <v>4472</v>
      </c>
      <c r="E1264" t="s">
        <v>4444</v>
      </c>
      <c r="F1264" s="3">
        <v>45360</v>
      </c>
      <c r="G1264" s="3" t="s">
        <v>537</v>
      </c>
      <c r="I1264">
        <v>24</v>
      </c>
      <c r="J1264" t="s">
        <v>4440</v>
      </c>
      <c r="K1264" t="s">
        <v>4453</v>
      </c>
      <c r="L1264" t="s">
        <v>4483</v>
      </c>
      <c r="M1264" t="s">
        <v>4462</v>
      </c>
    </row>
    <row r="1265" spans="1:14" x14ac:dyDescent="0.35">
      <c r="A1265" t="s">
        <v>5744</v>
      </c>
      <c r="B1265" t="s">
        <v>34</v>
      </c>
      <c r="C1265" t="s">
        <v>1927</v>
      </c>
      <c r="D1265" t="s">
        <v>8513</v>
      </c>
      <c r="E1265" t="s">
        <v>4444</v>
      </c>
      <c r="F1265" s="3">
        <v>45670</v>
      </c>
      <c r="G1265" s="3" t="s">
        <v>537</v>
      </c>
      <c r="I1265">
        <v>24</v>
      </c>
      <c r="J1265" t="s">
        <v>4448</v>
      </c>
      <c r="K1265" t="s">
        <v>4474</v>
      </c>
      <c r="L1265" t="s">
        <v>4509</v>
      </c>
      <c r="M1265" t="s">
        <v>4446</v>
      </c>
    </row>
    <row r="1266" spans="1:14" x14ac:dyDescent="0.35">
      <c r="A1266" t="s">
        <v>5745</v>
      </c>
      <c r="B1266" t="s">
        <v>481</v>
      </c>
      <c r="C1266" t="s">
        <v>1890</v>
      </c>
      <c r="D1266" t="s">
        <v>4490</v>
      </c>
      <c r="E1266" t="s">
        <v>4473</v>
      </c>
      <c r="F1266" s="3">
        <v>45744</v>
      </c>
      <c r="G1266" s="3">
        <v>45744</v>
      </c>
      <c r="H1266">
        <v>3.4</v>
      </c>
      <c r="I1266">
        <v>8</v>
      </c>
      <c r="J1266" t="s">
        <v>4448</v>
      </c>
      <c r="K1266" t="s">
        <v>4441</v>
      </c>
      <c r="L1266" t="s">
        <v>4470</v>
      </c>
      <c r="M1266" t="s">
        <v>4462</v>
      </c>
      <c r="N1266">
        <v>4</v>
      </c>
    </row>
    <row r="1267" spans="1:14" x14ac:dyDescent="0.35">
      <c r="A1267" t="s">
        <v>5746</v>
      </c>
      <c r="B1267" t="s">
        <v>273</v>
      </c>
      <c r="C1267" t="s">
        <v>1899</v>
      </c>
      <c r="D1267" t="s">
        <v>4479</v>
      </c>
      <c r="E1267" t="s">
        <v>4444</v>
      </c>
      <c r="F1267" s="3">
        <v>44990</v>
      </c>
      <c r="G1267" s="3" t="s">
        <v>537</v>
      </c>
      <c r="I1267">
        <v>24</v>
      </c>
      <c r="J1267" t="s">
        <v>4440</v>
      </c>
      <c r="K1267" t="s">
        <v>4474</v>
      </c>
      <c r="L1267" t="s">
        <v>4488</v>
      </c>
      <c r="M1267" t="s">
        <v>4450</v>
      </c>
    </row>
    <row r="1268" spans="1:14" x14ac:dyDescent="0.35">
      <c r="A1268" t="s">
        <v>5747</v>
      </c>
      <c r="B1268" t="s">
        <v>490</v>
      </c>
      <c r="C1268" t="s">
        <v>1927</v>
      </c>
      <c r="D1268" t="s">
        <v>4460</v>
      </c>
      <c r="E1268" t="s">
        <v>4444</v>
      </c>
      <c r="F1268" s="3">
        <v>45066</v>
      </c>
      <c r="G1268" s="3" t="s">
        <v>537</v>
      </c>
      <c r="I1268">
        <v>24</v>
      </c>
      <c r="J1268" t="s">
        <v>4440</v>
      </c>
      <c r="K1268" t="s">
        <v>4457</v>
      </c>
      <c r="L1268" t="s">
        <v>4449</v>
      </c>
      <c r="M1268" t="s">
        <v>4446</v>
      </c>
    </row>
    <row r="1269" spans="1:14" x14ac:dyDescent="0.35">
      <c r="A1269" t="s">
        <v>5748</v>
      </c>
      <c r="B1269" t="s">
        <v>494</v>
      </c>
      <c r="C1269" t="s">
        <v>1883</v>
      </c>
      <c r="D1269" t="s">
        <v>4490</v>
      </c>
      <c r="E1269" t="s">
        <v>4473</v>
      </c>
      <c r="F1269" s="3">
        <v>44970</v>
      </c>
      <c r="G1269" s="3">
        <v>44970</v>
      </c>
      <c r="H1269">
        <v>17.8</v>
      </c>
      <c r="I1269">
        <v>8</v>
      </c>
      <c r="J1269" t="s">
        <v>4440</v>
      </c>
      <c r="K1269" t="s">
        <v>4441</v>
      </c>
      <c r="L1269" t="s">
        <v>4445</v>
      </c>
      <c r="M1269" t="s">
        <v>4450</v>
      </c>
      <c r="N1269">
        <v>3</v>
      </c>
    </row>
    <row r="1270" spans="1:14" x14ac:dyDescent="0.35">
      <c r="A1270" t="s">
        <v>5749</v>
      </c>
      <c r="B1270" t="s">
        <v>158</v>
      </c>
      <c r="C1270" t="s">
        <v>1899</v>
      </c>
      <c r="D1270" t="s">
        <v>4464</v>
      </c>
      <c r="E1270" t="s">
        <v>4473</v>
      </c>
      <c r="F1270" s="3">
        <v>45671</v>
      </c>
      <c r="G1270" s="3">
        <v>45671</v>
      </c>
      <c r="H1270">
        <v>13.4</v>
      </c>
      <c r="I1270">
        <v>8</v>
      </c>
      <c r="J1270" t="s">
        <v>1945</v>
      </c>
      <c r="K1270" t="s">
        <v>4441</v>
      </c>
      <c r="L1270" t="s">
        <v>4488</v>
      </c>
      <c r="M1270" t="s">
        <v>4450</v>
      </c>
      <c r="N1270">
        <v>5</v>
      </c>
    </row>
    <row r="1271" spans="1:14" x14ac:dyDescent="0.35">
      <c r="A1271" t="s">
        <v>5750</v>
      </c>
      <c r="B1271" t="s">
        <v>101</v>
      </c>
      <c r="C1271" t="s">
        <v>1890</v>
      </c>
      <c r="D1271" t="s">
        <v>4490</v>
      </c>
      <c r="E1271" t="s">
        <v>4439</v>
      </c>
      <c r="F1271" s="3">
        <v>45221</v>
      </c>
      <c r="G1271" s="3" t="s">
        <v>537</v>
      </c>
      <c r="I1271">
        <v>48</v>
      </c>
      <c r="J1271" t="s">
        <v>4448</v>
      </c>
      <c r="K1271" t="s">
        <v>4457</v>
      </c>
      <c r="L1271" t="s">
        <v>4501</v>
      </c>
      <c r="M1271" t="s">
        <v>4446</v>
      </c>
    </row>
    <row r="1272" spans="1:14" x14ac:dyDescent="0.35">
      <c r="A1272" t="s">
        <v>5751</v>
      </c>
      <c r="B1272" t="s">
        <v>353</v>
      </c>
      <c r="C1272" t="s">
        <v>1883</v>
      </c>
      <c r="D1272" t="s">
        <v>4464</v>
      </c>
      <c r="E1272" t="s">
        <v>4444</v>
      </c>
      <c r="F1272" s="3">
        <v>45657</v>
      </c>
      <c r="G1272" s="3" t="s">
        <v>537</v>
      </c>
      <c r="I1272">
        <v>24</v>
      </c>
      <c r="J1272" t="s">
        <v>4448</v>
      </c>
      <c r="K1272" t="s">
        <v>4453</v>
      </c>
      <c r="L1272" t="s">
        <v>4470</v>
      </c>
      <c r="M1272" t="s">
        <v>4446</v>
      </c>
    </row>
    <row r="1273" spans="1:14" x14ac:dyDescent="0.35">
      <c r="A1273" t="s">
        <v>5752</v>
      </c>
      <c r="B1273" t="s">
        <v>293</v>
      </c>
      <c r="C1273" t="s">
        <v>1899</v>
      </c>
      <c r="D1273" t="s">
        <v>4438</v>
      </c>
      <c r="E1273" t="s">
        <v>4444</v>
      </c>
      <c r="F1273" s="3">
        <v>45228</v>
      </c>
      <c r="G1273" s="3">
        <v>45230</v>
      </c>
      <c r="H1273">
        <v>57.2</v>
      </c>
      <c r="I1273">
        <v>24</v>
      </c>
      <c r="J1273" t="s">
        <v>4440</v>
      </c>
      <c r="K1273" t="s">
        <v>4441</v>
      </c>
      <c r="L1273" t="s">
        <v>1907</v>
      </c>
      <c r="M1273" t="s">
        <v>1625</v>
      </c>
      <c r="N1273">
        <v>2</v>
      </c>
    </row>
    <row r="1274" spans="1:14" x14ac:dyDescent="0.35">
      <c r="A1274" t="s">
        <v>5753</v>
      </c>
      <c r="B1274" t="s">
        <v>194</v>
      </c>
      <c r="C1274" t="s">
        <v>1915</v>
      </c>
      <c r="D1274" t="s">
        <v>4443</v>
      </c>
      <c r="E1274" t="s">
        <v>4444</v>
      </c>
      <c r="F1274" s="3">
        <v>45706</v>
      </c>
      <c r="G1274" s="3">
        <v>45707</v>
      </c>
      <c r="H1274">
        <v>39.6</v>
      </c>
      <c r="I1274">
        <v>24</v>
      </c>
      <c r="J1274" t="s">
        <v>4440</v>
      </c>
      <c r="K1274" t="s">
        <v>4441</v>
      </c>
      <c r="L1274" t="s">
        <v>4454</v>
      </c>
      <c r="M1274" t="s">
        <v>4450</v>
      </c>
      <c r="N1274">
        <v>4</v>
      </c>
    </row>
    <row r="1275" spans="1:14" x14ac:dyDescent="0.35">
      <c r="A1275" t="s">
        <v>5754</v>
      </c>
      <c r="B1275" t="s">
        <v>456</v>
      </c>
      <c r="C1275" t="s">
        <v>1904</v>
      </c>
      <c r="D1275" t="s">
        <v>4452</v>
      </c>
      <c r="E1275" t="s">
        <v>4473</v>
      </c>
      <c r="F1275" s="3">
        <v>45522</v>
      </c>
      <c r="G1275" s="3">
        <v>45522</v>
      </c>
      <c r="H1275">
        <v>18.899999999999999</v>
      </c>
      <c r="I1275">
        <v>8</v>
      </c>
      <c r="J1275" t="s">
        <v>4440</v>
      </c>
      <c r="K1275" t="s">
        <v>4441</v>
      </c>
      <c r="L1275" t="s">
        <v>4470</v>
      </c>
      <c r="M1275" t="s">
        <v>4446</v>
      </c>
      <c r="N1275">
        <v>5</v>
      </c>
    </row>
    <row r="1276" spans="1:14" x14ac:dyDescent="0.35">
      <c r="A1276" t="s">
        <v>5755</v>
      </c>
      <c r="B1276" t="s">
        <v>356</v>
      </c>
      <c r="C1276" t="s">
        <v>1890</v>
      </c>
      <c r="D1276" t="s">
        <v>4476</v>
      </c>
      <c r="E1276" t="s">
        <v>4473</v>
      </c>
      <c r="F1276" s="3">
        <v>45238</v>
      </c>
      <c r="G1276" s="3" t="s">
        <v>537</v>
      </c>
      <c r="I1276">
        <v>8</v>
      </c>
      <c r="J1276" t="s">
        <v>4448</v>
      </c>
      <c r="K1276" t="s">
        <v>4457</v>
      </c>
      <c r="L1276" t="s">
        <v>4465</v>
      </c>
      <c r="M1276" t="s">
        <v>4446</v>
      </c>
    </row>
    <row r="1277" spans="1:14" x14ac:dyDescent="0.35">
      <c r="A1277" t="s">
        <v>5756</v>
      </c>
      <c r="B1277" t="s">
        <v>149</v>
      </c>
      <c r="C1277" t="s">
        <v>1883</v>
      </c>
      <c r="D1277" t="s">
        <v>4438</v>
      </c>
      <c r="E1277" t="s">
        <v>4439</v>
      </c>
      <c r="F1277" s="3">
        <v>45007</v>
      </c>
      <c r="G1277" s="3">
        <v>45007</v>
      </c>
      <c r="H1277">
        <v>9.9</v>
      </c>
      <c r="I1277">
        <v>48</v>
      </c>
      <c r="J1277" t="s">
        <v>4448</v>
      </c>
      <c r="K1277" t="s">
        <v>4441</v>
      </c>
      <c r="L1277" t="s">
        <v>4483</v>
      </c>
      <c r="M1277" t="s">
        <v>4450</v>
      </c>
      <c r="N1277">
        <v>5</v>
      </c>
    </row>
    <row r="1278" spans="1:14" x14ac:dyDescent="0.35">
      <c r="A1278" t="s">
        <v>5757</v>
      </c>
      <c r="B1278" t="s">
        <v>373</v>
      </c>
      <c r="C1278" t="s">
        <v>1899</v>
      </c>
      <c r="D1278" t="s">
        <v>4469</v>
      </c>
      <c r="E1278" t="s">
        <v>4456</v>
      </c>
      <c r="F1278" s="3">
        <v>45161</v>
      </c>
      <c r="G1278" s="3" t="s">
        <v>537</v>
      </c>
      <c r="I1278">
        <v>4</v>
      </c>
      <c r="J1278" t="s">
        <v>4440</v>
      </c>
      <c r="K1278" t="s">
        <v>4457</v>
      </c>
      <c r="L1278" t="s">
        <v>4458</v>
      </c>
      <c r="M1278" t="s">
        <v>1625</v>
      </c>
    </row>
    <row r="1279" spans="1:14" x14ac:dyDescent="0.35">
      <c r="A1279" t="s">
        <v>5758</v>
      </c>
      <c r="B1279" t="s">
        <v>126</v>
      </c>
      <c r="C1279" t="s">
        <v>1904</v>
      </c>
      <c r="D1279" t="s">
        <v>4472</v>
      </c>
      <c r="E1279" t="s">
        <v>4439</v>
      </c>
      <c r="F1279" s="3">
        <v>45132</v>
      </c>
      <c r="G1279" s="3">
        <v>45132</v>
      </c>
      <c r="H1279">
        <v>9.8000000000000007</v>
      </c>
      <c r="I1279">
        <v>48</v>
      </c>
      <c r="J1279" t="s">
        <v>4448</v>
      </c>
      <c r="K1279" t="s">
        <v>4441</v>
      </c>
      <c r="L1279" t="s">
        <v>4527</v>
      </c>
      <c r="M1279" t="s">
        <v>4446</v>
      </c>
      <c r="N1279">
        <v>5</v>
      </c>
    </row>
    <row r="1280" spans="1:14" x14ac:dyDescent="0.35">
      <c r="A1280" t="s">
        <v>5759</v>
      </c>
      <c r="B1280" t="s">
        <v>357</v>
      </c>
      <c r="C1280" t="s">
        <v>1927</v>
      </c>
      <c r="D1280" t="s">
        <v>4485</v>
      </c>
      <c r="E1280" t="s">
        <v>4444</v>
      </c>
      <c r="F1280" s="3">
        <v>45135</v>
      </c>
      <c r="G1280" s="3" t="s">
        <v>537</v>
      </c>
      <c r="I1280">
        <v>24</v>
      </c>
      <c r="J1280" t="s">
        <v>4440</v>
      </c>
      <c r="K1280" t="s">
        <v>4453</v>
      </c>
      <c r="L1280" t="s">
        <v>4467</v>
      </c>
      <c r="M1280" t="s">
        <v>4450</v>
      </c>
    </row>
    <row r="1281" spans="1:14" x14ac:dyDescent="0.35">
      <c r="A1281" t="s">
        <v>5760</v>
      </c>
      <c r="B1281" t="s">
        <v>222</v>
      </c>
      <c r="C1281" t="s">
        <v>1927</v>
      </c>
      <c r="D1281" t="s">
        <v>4469</v>
      </c>
      <c r="E1281" t="s">
        <v>4444</v>
      </c>
      <c r="F1281" s="3">
        <v>45208</v>
      </c>
      <c r="G1281" s="3" t="s">
        <v>537</v>
      </c>
      <c r="I1281">
        <v>24</v>
      </c>
      <c r="J1281" t="s">
        <v>4448</v>
      </c>
      <c r="K1281" t="s">
        <v>4457</v>
      </c>
      <c r="L1281" t="s">
        <v>4465</v>
      </c>
      <c r="M1281" t="s">
        <v>4450</v>
      </c>
    </row>
    <row r="1282" spans="1:14" x14ac:dyDescent="0.35">
      <c r="A1282" t="s">
        <v>5761</v>
      </c>
      <c r="B1282" t="s">
        <v>158</v>
      </c>
      <c r="C1282" t="s">
        <v>1927</v>
      </c>
      <c r="D1282" t="s">
        <v>4490</v>
      </c>
      <c r="E1282" t="s">
        <v>4439</v>
      </c>
      <c r="F1282" s="3">
        <v>45304</v>
      </c>
      <c r="G1282" s="3" t="s">
        <v>537</v>
      </c>
      <c r="I1282">
        <v>48</v>
      </c>
      <c r="J1282" t="s">
        <v>4448</v>
      </c>
      <c r="K1282" t="s">
        <v>4457</v>
      </c>
      <c r="L1282" t="s">
        <v>4492</v>
      </c>
      <c r="M1282" t="s">
        <v>4462</v>
      </c>
    </row>
    <row r="1283" spans="1:14" x14ac:dyDescent="0.35">
      <c r="A1283" t="s">
        <v>5762</v>
      </c>
      <c r="B1283" t="s">
        <v>218</v>
      </c>
      <c r="C1283" t="s">
        <v>1890</v>
      </c>
      <c r="D1283" t="s">
        <v>4452</v>
      </c>
      <c r="E1283" t="s">
        <v>4439</v>
      </c>
      <c r="F1283" s="3">
        <v>45305</v>
      </c>
      <c r="G1283" s="3">
        <v>45309</v>
      </c>
      <c r="H1283">
        <v>115.1</v>
      </c>
      <c r="I1283">
        <v>48</v>
      </c>
      <c r="J1283" t="s">
        <v>4440</v>
      </c>
      <c r="K1283" t="s">
        <v>4441</v>
      </c>
      <c r="L1283" t="s">
        <v>4527</v>
      </c>
      <c r="M1283" t="s">
        <v>4450</v>
      </c>
      <c r="N1283">
        <v>3</v>
      </c>
    </row>
    <row r="1284" spans="1:14" x14ac:dyDescent="0.35">
      <c r="A1284" t="s">
        <v>5763</v>
      </c>
      <c r="B1284" t="s">
        <v>238</v>
      </c>
      <c r="C1284" t="s">
        <v>1915</v>
      </c>
      <c r="D1284" t="s">
        <v>4490</v>
      </c>
      <c r="E1284" t="s">
        <v>4456</v>
      </c>
      <c r="F1284" s="3">
        <v>45057</v>
      </c>
      <c r="G1284" s="3">
        <v>45057</v>
      </c>
      <c r="H1284">
        <v>6.4</v>
      </c>
      <c r="I1284">
        <v>4</v>
      </c>
      <c r="J1284" t="s">
        <v>4440</v>
      </c>
      <c r="K1284" t="s">
        <v>4441</v>
      </c>
      <c r="L1284" t="s">
        <v>4467</v>
      </c>
      <c r="M1284" t="s">
        <v>1625</v>
      </c>
      <c r="N1284">
        <v>4</v>
      </c>
    </row>
    <row r="1285" spans="1:14" x14ac:dyDescent="0.35">
      <c r="A1285" t="s">
        <v>5764</v>
      </c>
      <c r="B1285" t="s">
        <v>34</v>
      </c>
      <c r="C1285" t="s">
        <v>1904</v>
      </c>
      <c r="D1285" t="s">
        <v>4476</v>
      </c>
      <c r="E1285" t="s">
        <v>4473</v>
      </c>
      <c r="F1285" s="3">
        <v>45075</v>
      </c>
      <c r="G1285" s="3" t="s">
        <v>537</v>
      </c>
      <c r="I1285">
        <v>8</v>
      </c>
      <c r="J1285" t="s">
        <v>4448</v>
      </c>
      <c r="K1285" t="s">
        <v>4474</v>
      </c>
      <c r="L1285" t="s">
        <v>4461</v>
      </c>
      <c r="M1285" t="s">
        <v>4450</v>
      </c>
    </row>
    <row r="1286" spans="1:14" x14ac:dyDescent="0.35">
      <c r="A1286" t="s">
        <v>5765</v>
      </c>
      <c r="B1286" t="s">
        <v>236</v>
      </c>
      <c r="C1286" t="s">
        <v>1883</v>
      </c>
      <c r="D1286" t="s">
        <v>4460</v>
      </c>
      <c r="E1286" t="s">
        <v>4444</v>
      </c>
      <c r="F1286" s="3">
        <v>44937</v>
      </c>
      <c r="G1286" s="3" t="s">
        <v>537</v>
      </c>
      <c r="I1286">
        <v>24</v>
      </c>
      <c r="J1286" t="s">
        <v>4448</v>
      </c>
      <c r="K1286" t="s">
        <v>4457</v>
      </c>
      <c r="L1286" t="s">
        <v>4501</v>
      </c>
      <c r="M1286" t="s">
        <v>4446</v>
      </c>
    </row>
    <row r="1287" spans="1:14" x14ac:dyDescent="0.35">
      <c r="A1287" t="s">
        <v>5766</v>
      </c>
      <c r="B1287" t="s">
        <v>27</v>
      </c>
      <c r="C1287" t="s">
        <v>1883</v>
      </c>
      <c r="D1287" t="s">
        <v>4469</v>
      </c>
      <c r="E1287" t="s">
        <v>4444</v>
      </c>
      <c r="F1287" s="3">
        <v>45640</v>
      </c>
      <c r="G1287" s="3">
        <v>45640</v>
      </c>
      <c r="H1287">
        <v>16.600000000000001</v>
      </c>
      <c r="I1287">
        <v>24</v>
      </c>
      <c r="J1287" t="s">
        <v>4448</v>
      </c>
      <c r="K1287" t="s">
        <v>4441</v>
      </c>
      <c r="L1287" t="s">
        <v>4445</v>
      </c>
      <c r="M1287" t="s">
        <v>4450</v>
      </c>
      <c r="N1287">
        <v>5</v>
      </c>
    </row>
    <row r="1288" spans="1:14" x14ac:dyDescent="0.35">
      <c r="A1288" t="s">
        <v>5767</v>
      </c>
      <c r="B1288" t="s">
        <v>255</v>
      </c>
      <c r="C1288" t="s">
        <v>1890</v>
      </c>
      <c r="D1288" t="s">
        <v>4479</v>
      </c>
      <c r="E1288" t="s">
        <v>4456</v>
      </c>
      <c r="F1288" s="3">
        <v>45714</v>
      </c>
      <c r="G1288" s="3">
        <v>45714</v>
      </c>
      <c r="H1288">
        <v>7.3</v>
      </c>
      <c r="I1288">
        <v>4</v>
      </c>
      <c r="J1288" t="s">
        <v>4440</v>
      </c>
      <c r="K1288" t="s">
        <v>4441</v>
      </c>
      <c r="L1288" t="s">
        <v>4492</v>
      </c>
      <c r="M1288" t="s">
        <v>4446</v>
      </c>
      <c r="N1288">
        <v>4</v>
      </c>
    </row>
    <row r="1289" spans="1:14" x14ac:dyDescent="0.35">
      <c r="A1289" t="s">
        <v>5768</v>
      </c>
      <c r="B1289" t="s">
        <v>242</v>
      </c>
      <c r="C1289" t="s">
        <v>1904</v>
      </c>
      <c r="D1289" t="s">
        <v>4472</v>
      </c>
      <c r="E1289" t="s">
        <v>4444</v>
      </c>
      <c r="F1289" s="3">
        <v>45660</v>
      </c>
      <c r="G1289" s="3">
        <v>45660</v>
      </c>
      <c r="H1289">
        <v>1.4</v>
      </c>
      <c r="I1289">
        <v>24</v>
      </c>
      <c r="J1289" t="s">
        <v>4448</v>
      </c>
      <c r="K1289" t="s">
        <v>4441</v>
      </c>
      <c r="L1289" t="s">
        <v>4483</v>
      </c>
      <c r="M1289" t="s">
        <v>4450</v>
      </c>
      <c r="N1289">
        <v>2</v>
      </c>
    </row>
    <row r="1290" spans="1:14" x14ac:dyDescent="0.35">
      <c r="A1290" t="s">
        <v>5769</v>
      </c>
      <c r="B1290" t="s">
        <v>260</v>
      </c>
      <c r="C1290" t="s">
        <v>1915</v>
      </c>
      <c r="D1290" t="s">
        <v>4452</v>
      </c>
      <c r="E1290" t="s">
        <v>4439</v>
      </c>
      <c r="F1290" s="3">
        <v>45165</v>
      </c>
      <c r="G1290" s="3">
        <v>45168</v>
      </c>
      <c r="H1290">
        <v>85.2</v>
      </c>
      <c r="I1290">
        <v>48</v>
      </c>
      <c r="J1290" t="s">
        <v>4440</v>
      </c>
      <c r="K1290" t="s">
        <v>4441</v>
      </c>
      <c r="L1290" t="s">
        <v>4454</v>
      </c>
      <c r="M1290" t="s">
        <v>4446</v>
      </c>
      <c r="N1290">
        <v>5</v>
      </c>
    </row>
    <row r="1291" spans="1:14" x14ac:dyDescent="0.35">
      <c r="A1291" t="s">
        <v>5770</v>
      </c>
      <c r="B1291" t="s">
        <v>318</v>
      </c>
      <c r="C1291" t="s">
        <v>1915</v>
      </c>
      <c r="D1291" t="s">
        <v>4469</v>
      </c>
      <c r="E1291" t="s">
        <v>4473</v>
      </c>
      <c r="F1291" s="3">
        <v>45021</v>
      </c>
      <c r="G1291" s="3" t="s">
        <v>537</v>
      </c>
      <c r="I1291">
        <v>8</v>
      </c>
      <c r="J1291" t="s">
        <v>4448</v>
      </c>
      <c r="K1291" t="s">
        <v>4453</v>
      </c>
      <c r="L1291" t="s">
        <v>4454</v>
      </c>
      <c r="M1291" t="s">
        <v>4450</v>
      </c>
    </row>
    <row r="1292" spans="1:14" x14ac:dyDescent="0.35">
      <c r="A1292" t="s">
        <v>5771</v>
      </c>
      <c r="B1292" t="s">
        <v>218</v>
      </c>
      <c r="C1292" t="s">
        <v>1904</v>
      </c>
      <c r="D1292" t="s">
        <v>4490</v>
      </c>
      <c r="E1292" t="s">
        <v>4444</v>
      </c>
      <c r="F1292" s="3">
        <v>44959</v>
      </c>
      <c r="G1292" s="3">
        <v>44959</v>
      </c>
      <c r="H1292">
        <v>3.8</v>
      </c>
      <c r="I1292">
        <v>24</v>
      </c>
      <c r="J1292" t="s">
        <v>4448</v>
      </c>
      <c r="K1292" t="s">
        <v>4441</v>
      </c>
      <c r="L1292" t="s">
        <v>4533</v>
      </c>
      <c r="M1292" t="s">
        <v>4450</v>
      </c>
      <c r="N1292">
        <v>2</v>
      </c>
    </row>
    <row r="1293" spans="1:14" x14ac:dyDescent="0.35">
      <c r="A1293" t="s">
        <v>5772</v>
      </c>
      <c r="B1293" t="s">
        <v>228</v>
      </c>
      <c r="C1293" t="s">
        <v>1904</v>
      </c>
      <c r="D1293" t="s">
        <v>4460</v>
      </c>
      <c r="E1293" t="s">
        <v>4444</v>
      </c>
      <c r="F1293" s="3">
        <v>45238</v>
      </c>
      <c r="G1293" s="3" t="s">
        <v>537</v>
      </c>
      <c r="I1293">
        <v>24</v>
      </c>
      <c r="J1293" t="s">
        <v>4448</v>
      </c>
      <c r="K1293" t="s">
        <v>4474</v>
      </c>
      <c r="L1293" t="s">
        <v>4467</v>
      </c>
      <c r="M1293" t="s">
        <v>4446</v>
      </c>
    </row>
    <row r="1294" spans="1:14" x14ac:dyDescent="0.35">
      <c r="A1294" t="s">
        <v>5773</v>
      </c>
      <c r="B1294" t="s">
        <v>219</v>
      </c>
      <c r="C1294" t="s">
        <v>1890</v>
      </c>
      <c r="D1294" t="s">
        <v>4443</v>
      </c>
      <c r="E1294" t="s">
        <v>4473</v>
      </c>
      <c r="F1294" s="3">
        <v>44966</v>
      </c>
      <c r="G1294" s="3">
        <v>44966</v>
      </c>
      <c r="H1294">
        <v>19.600000000000001</v>
      </c>
      <c r="I1294">
        <v>8</v>
      </c>
      <c r="J1294" t="s">
        <v>4440</v>
      </c>
      <c r="K1294" t="s">
        <v>4441</v>
      </c>
      <c r="L1294" t="s">
        <v>4501</v>
      </c>
      <c r="M1294" t="s">
        <v>4450</v>
      </c>
      <c r="N1294">
        <v>2</v>
      </c>
    </row>
    <row r="1295" spans="1:14" x14ac:dyDescent="0.35">
      <c r="A1295" t="s">
        <v>5774</v>
      </c>
      <c r="B1295" t="s">
        <v>173</v>
      </c>
      <c r="C1295" t="s">
        <v>1915</v>
      </c>
      <c r="D1295" t="s">
        <v>4460</v>
      </c>
      <c r="E1295" t="s">
        <v>4444</v>
      </c>
      <c r="F1295" s="3">
        <v>45682</v>
      </c>
      <c r="G1295" s="3">
        <v>45683</v>
      </c>
      <c r="H1295">
        <v>24</v>
      </c>
      <c r="I1295">
        <v>24</v>
      </c>
      <c r="J1295" t="s">
        <v>4448</v>
      </c>
      <c r="K1295" t="s">
        <v>4441</v>
      </c>
      <c r="L1295" t="s">
        <v>4527</v>
      </c>
      <c r="M1295" t="s">
        <v>1625</v>
      </c>
      <c r="N1295">
        <v>4</v>
      </c>
    </row>
    <row r="1296" spans="1:14" x14ac:dyDescent="0.35">
      <c r="A1296" t="s">
        <v>5775</v>
      </c>
      <c r="B1296" t="s">
        <v>114</v>
      </c>
      <c r="C1296" t="s">
        <v>1915</v>
      </c>
      <c r="D1296" t="s">
        <v>4452</v>
      </c>
      <c r="E1296" t="s">
        <v>4456</v>
      </c>
      <c r="F1296" s="3">
        <v>45543</v>
      </c>
      <c r="G1296" s="3">
        <v>45543</v>
      </c>
      <c r="H1296">
        <v>8.3000000000000007</v>
      </c>
      <c r="I1296">
        <v>4</v>
      </c>
      <c r="J1296" t="s">
        <v>4440</v>
      </c>
      <c r="K1296" t="s">
        <v>4441</v>
      </c>
      <c r="L1296" t="s">
        <v>4467</v>
      </c>
      <c r="M1296" t="s">
        <v>4462</v>
      </c>
      <c r="N1296">
        <v>5</v>
      </c>
    </row>
    <row r="1297" spans="1:14" x14ac:dyDescent="0.35">
      <c r="A1297" t="s">
        <v>5776</v>
      </c>
      <c r="B1297" t="s">
        <v>216</v>
      </c>
      <c r="C1297" t="s">
        <v>1927</v>
      </c>
      <c r="D1297" t="s">
        <v>4472</v>
      </c>
      <c r="E1297" t="s">
        <v>4444</v>
      </c>
      <c r="F1297" s="3">
        <v>45326</v>
      </c>
      <c r="G1297" s="3">
        <v>45327</v>
      </c>
      <c r="H1297">
        <v>38</v>
      </c>
      <c r="I1297">
        <v>24</v>
      </c>
      <c r="J1297" t="s">
        <v>4440</v>
      </c>
      <c r="K1297" t="s">
        <v>4441</v>
      </c>
      <c r="L1297" t="s">
        <v>4449</v>
      </c>
      <c r="M1297" t="s">
        <v>4446</v>
      </c>
      <c r="N1297">
        <v>3</v>
      </c>
    </row>
    <row r="1298" spans="1:14" x14ac:dyDescent="0.35">
      <c r="A1298" t="s">
        <v>5777</v>
      </c>
      <c r="B1298" t="s">
        <v>196</v>
      </c>
      <c r="C1298" t="s">
        <v>1927</v>
      </c>
      <c r="D1298" t="s">
        <v>4479</v>
      </c>
      <c r="E1298" t="s">
        <v>4444</v>
      </c>
      <c r="F1298" s="3">
        <v>45183</v>
      </c>
      <c r="G1298" s="3">
        <v>45184</v>
      </c>
      <c r="H1298">
        <v>44</v>
      </c>
      <c r="I1298">
        <v>24</v>
      </c>
      <c r="J1298" t="s">
        <v>4440</v>
      </c>
      <c r="K1298" t="s">
        <v>4441</v>
      </c>
      <c r="L1298" t="s">
        <v>4527</v>
      </c>
      <c r="M1298" t="s">
        <v>4446</v>
      </c>
      <c r="N1298">
        <v>5</v>
      </c>
    </row>
    <row r="1299" spans="1:14" x14ac:dyDescent="0.35">
      <c r="A1299" t="s">
        <v>5778</v>
      </c>
      <c r="B1299" t="s">
        <v>293</v>
      </c>
      <c r="C1299" t="s">
        <v>1883</v>
      </c>
      <c r="D1299" t="s">
        <v>4438</v>
      </c>
      <c r="E1299" t="s">
        <v>4439</v>
      </c>
      <c r="F1299" s="3">
        <v>45313</v>
      </c>
      <c r="G1299" s="3" t="s">
        <v>537</v>
      </c>
      <c r="I1299">
        <v>48</v>
      </c>
      <c r="J1299" t="s">
        <v>1945</v>
      </c>
      <c r="K1299" t="s">
        <v>4453</v>
      </c>
      <c r="L1299" t="s">
        <v>4454</v>
      </c>
      <c r="M1299" t="s">
        <v>4446</v>
      </c>
    </row>
    <row r="1300" spans="1:14" x14ac:dyDescent="0.35">
      <c r="A1300" t="s">
        <v>5779</v>
      </c>
      <c r="B1300" t="s">
        <v>262</v>
      </c>
      <c r="C1300" t="s">
        <v>1890</v>
      </c>
      <c r="D1300" t="s">
        <v>4452</v>
      </c>
      <c r="E1300" t="s">
        <v>4439</v>
      </c>
      <c r="F1300" s="3">
        <v>45018</v>
      </c>
      <c r="G1300" s="3">
        <v>45021</v>
      </c>
      <c r="H1300">
        <v>94.6</v>
      </c>
      <c r="I1300">
        <v>48</v>
      </c>
      <c r="J1300" t="s">
        <v>4440</v>
      </c>
      <c r="K1300" t="s">
        <v>4441</v>
      </c>
      <c r="L1300" t="s">
        <v>4480</v>
      </c>
      <c r="M1300" t="s">
        <v>4446</v>
      </c>
    </row>
    <row r="1301" spans="1:14" x14ac:dyDescent="0.35">
      <c r="A1301" t="s">
        <v>5780</v>
      </c>
      <c r="B1301" t="s">
        <v>188</v>
      </c>
      <c r="C1301" t="s">
        <v>1890</v>
      </c>
      <c r="D1301" t="s">
        <v>4490</v>
      </c>
      <c r="E1301" t="s">
        <v>4444</v>
      </c>
      <c r="F1301" s="3">
        <v>45031</v>
      </c>
      <c r="G1301" s="3">
        <v>45032</v>
      </c>
      <c r="H1301">
        <v>41.2</v>
      </c>
      <c r="I1301">
        <v>24</v>
      </c>
      <c r="J1301" t="s">
        <v>4440</v>
      </c>
      <c r="K1301" t="s">
        <v>4441</v>
      </c>
      <c r="L1301" t="s">
        <v>4480</v>
      </c>
      <c r="M1301" t="s">
        <v>4450</v>
      </c>
      <c r="N1301">
        <v>4</v>
      </c>
    </row>
    <row r="1302" spans="1:14" x14ac:dyDescent="0.35">
      <c r="A1302" t="s">
        <v>5781</v>
      </c>
      <c r="B1302" t="s">
        <v>388</v>
      </c>
      <c r="C1302" t="s">
        <v>1915</v>
      </c>
      <c r="D1302" t="s">
        <v>4438</v>
      </c>
      <c r="E1302" t="s">
        <v>4444</v>
      </c>
      <c r="F1302" s="3">
        <v>45040</v>
      </c>
      <c r="G1302" s="3" t="s">
        <v>537</v>
      </c>
      <c r="I1302">
        <v>24</v>
      </c>
      <c r="J1302" t="s">
        <v>4440</v>
      </c>
      <c r="K1302" t="s">
        <v>4457</v>
      </c>
      <c r="L1302" t="s">
        <v>4509</v>
      </c>
      <c r="M1302" t="s">
        <v>4450</v>
      </c>
    </row>
    <row r="1303" spans="1:14" x14ac:dyDescent="0.35">
      <c r="A1303" t="s">
        <v>5782</v>
      </c>
      <c r="B1303" t="s">
        <v>493</v>
      </c>
      <c r="C1303" t="s">
        <v>1904</v>
      </c>
      <c r="D1303" t="s">
        <v>4469</v>
      </c>
      <c r="E1303" t="s">
        <v>4473</v>
      </c>
      <c r="F1303" s="3">
        <v>45626</v>
      </c>
      <c r="G1303" s="3" t="s">
        <v>537</v>
      </c>
      <c r="I1303">
        <v>8</v>
      </c>
      <c r="J1303" t="s">
        <v>4448</v>
      </c>
      <c r="K1303" t="s">
        <v>4453</v>
      </c>
      <c r="L1303" t="s">
        <v>4501</v>
      </c>
      <c r="M1303" t="s">
        <v>4446</v>
      </c>
    </row>
    <row r="1304" spans="1:14" x14ac:dyDescent="0.35">
      <c r="A1304" t="s">
        <v>5783</v>
      </c>
      <c r="B1304" t="s">
        <v>357</v>
      </c>
      <c r="C1304" t="s">
        <v>1927</v>
      </c>
      <c r="D1304" t="s">
        <v>4476</v>
      </c>
      <c r="E1304" t="s">
        <v>4473</v>
      </c>
      <c r="F1304" s="3">
        <v>45483</v>
      </c>
      <c r="G1304" s="3">
        <v>45483</v>
      </c>
      <c r="H1304">
        <v>1.5</v>
      </c>
      <c r="I1304">
        <v>8</v>
      </c>
      <c r="J1304" t="s">
        <v>4448</v>
      </c>
      <c r="K1304" t="s">
        <v>4441</v>
      </c>
      <c r="L1304" t="s">
        <v>4465</v>
      </c>
      <c r="M1304" t="s">
        <v>1625</v>
      </c>
      <c r="N1304">
        <v>4</v>
      </c>
    </row>
    <row r="1305" spans="1:14" x14ac:dyDescent="0.35">
      <c r="A1305" t="s">
        <v>5784</v>
      </c>
      <c r="B1305" t="s">
        <v>80</v>
      </c>
      <c r="C1305" t="s">
        <v>1899</v>
      </c>
      <c r="D1305" t="s">
        <v>4479</v>
      </c>
      <c r="E1305" t="s">
        <v>4444</v>
      </c>
      <c r="F1305" s="3">
        <v>45133</v>
      </c>
      <c r="G1305" s="3">
        <v>45134</v>
      </c>
      <c r="H1305">
        <v>41.7</v>
      </c>
      <c r="I1305">
        <v>24</v>
      </c>
      <c r="J1305" t="s">
        <v>4440</v>
      </c>
      <c r="K1305" t="s">
        <v>4441</v>
      </c>
      <c r="L1305" t="s">
        <v>4454</v>
      </c>
      <c r="M1305" t="s">
        <v>4446</v>
      </c>
    </row>
    <row r="1306" spans="1:14" x14ac:dyDescent="0.35">
      <c r="A1306" t="s">
        <v>5785</v>
      </c>
      <c r="B1306" t="s">
        <v>176</v>
      </c>
      <c r="C1306" t="s">
        <v>1915</v>
      </c>
      <c r="D1306" t="s">
        <v>4472</v>
      </c>
      <c r="E1306" t="s">
        <v>4444</v>
      </c>
      <c r="F1306" s="3">
        <v>45628</v>
      </c>
      <c r="G1306" s="3">
        <v>45628</v>
      </c>
      <c r="H1306">
        <v>9.8000000000000007</v>
      </c>
      <c r="I1306">
        <v>24</v>
      </c>
      <c r="J1306" t="s">
        <v>4448</v>
      </c>
      <c r="K1306" t="s">
        <v>4441</v>
      </c>
      <c r="L1306" t="s">
        <v>4501</v>
      </c>
      <c r="M1306" t="s">
        <v>4462</v>
      </c>
      <c r="N1306">
        <v>2</v>
      </c>
    </row>
    <row r="1307" spans="1:14" x14ac:dyDescent="0.35">
      <c r="A1307" t="s">
        <v>5786</v>
      </c>
      <c r="B1307" t="s">
        <v>283</v>
      </c>
      <c r="C1307" t="s">
        <v>1927</v>
      </c>
      <c r="D1307" t="s">
        <v>4485</v>
      </c>
      <c r="E1307" t="s">
        <v>4444</v>
      </c>
      <c r="F1307" s="3">
        <v>45052</v>
      </c>
      <c r="G1307" s="3">
        <v>45053</v>
      </c>
      <c r="H1307">
        <v>37.200000000000003</v>
      </c>
      <c r="I1307">
        <v>24</v>
      </c>
      <c r="J1307" t="s">
        <v>4440</v>
      </c>
      <c r="K1307" t="s">
        <v>4441</v>
      </c>
      <c r="L1307" t="s">
        <v>4509</v>
      </c>
      <c r="M1307" t="s">
        <v>4462</v>
      </c>
      <c r="N1307">
        <v>4</v>
      </c>
    </row>
    <row r="1308" spans="1:14" x14ac:dyDescent="0.35">
      <c r="A1308" t="s">
        <v>5787</v>
      </c>
      <c r="B1308" t="s">
        <v>456</v>
      </c>
      <c r="C1308" t="s">
        <v>1890</v>
      </c>
      <c r="D1308" t="s">
        <v>4452</v>
      </c>
      <c r="E1308" t="s">
        <v>4456</v>
      </c>
      <c r="F1308" s="3">
        <v>45212</v>
      </c>
      <c r="G1308" s="3">
        <v>45212</v>
      </c>
      <c r="H1308">
        <v>2.4</v>
      </c>
      <c r="I1308">
        <v>4</v>
      </c>
      <c r="J1308" t="s">
        <v>4448</v>
      </c>
      <c r="K1308" t="s">
        <v>4441</v>
      </c>
      <c r="L1308" t="s">
        <v>4492</v>
      </c>
      <c r="M1308" t="s">
        <v>4462</v>
      </c>
      <c r="N1308">
        <v>4</v>
      </c>
    </row>
    <row r="1309" spans="1:14" x14ac:dyDescent="0.35">
      <c r="A1309" t="s">
        <v>5788</v>
      </c>
      <c r="B1309" t="s">
        <v>138</v>
      </c>
      <c r="C1309" t="s">
        <v>1904</v>
      </c>
      <c r="D1309" t="s">
        <v>4482</v>
      </c>
      <c r="E1309" t="s">
        <v>4444</v>
      </c>
      <c r="F1309" s="3">
        <v>45468</v>
      </c>
      <c r="G1309" s="3">
        <v>45469</v>
      </c>
      <c r="H1309">
        <v>27.5</v>
      </c>
      <c r="I1309">
        <v>24</v>
      </c>
      <c r="J1309" t="s">
        <v>4440</v>
      </c>
      <c r="K1309" t="s">
        <v>4441</v>
      </c>
      <c r="L1309" t="s">
        <v>4445</v>
      </c>
      <c r="M1309" t="s">
        <v>4450</v>
      </c>
      <c r="N1309">
        <v>3</v>
      </c>
    </row>
    <row r="1310" spans="1:14" x14ac:dyDescent="0.35">
      <c r="A1310" t="s">
        <v>5789</v>
      </c>
      <c r="B1310" t="s">
        <v>250</v>
      </c>
      <c r="C1310" t="s">
        <v>1899</v>
      </c>
      <c r="D1310" t="s">
        <v>4482</v>
      </c>
      <c r="E1310" t="s">
        <v>4473</v>
      </c>
      <c r="F1310" s="3">
        <v>45506</v>
      </c>
      <c r="G1310" s="3">
        <v>45506</v>
      </c>
      <c r="H1310">
        <v>14.2</v>
      </c>
      <c r="I1310">
        <v>8</v>
      </c>
      <c r="J1310" t="s">
        <v>4440</v>
      </c>
      <c r="K1310" t="s">
        <v>4441</v>
      </c>
      <c r="L1310" t="s">
        <v>4449</v>
      </c>
      <c r="M1310" t="s">
        <v>4462</v>
      </c>
      <c r="N1310">
        <v>3</v>
      </c>
    </row>
    <row r="1311" spans="1:14" x14ac:dyDescent="0.35">
      <c r="A1311" t="s">
        <v>5790</v>
      </c>
      <c r="B1311" t="s">
        <v>52</v>
      </c>
      <c r="C1311" t="s">
        <v>1883</v>
      </c>
      <c r="D1311" t="s">
        <v>4460</v>
      </c>
      <c r="E1311" t="s">
        <v>4444</v>
      </c>
      <c r="F1311" s="3">
        <v>44952</v>
      </c>
      <c r="G1311" s="3" t="s">
        <v>537</v>
      </c>
      <c r="I1311">
        <v>24</v>
      </c>
      <c r="J1311" t="s">
        <v>4440</v>
      </c>
      <c r="K1311" t="s">
        <v>4453</v>
      </c>
      <c r="L1311" t="s">
        <v>4449</v>
      </c>
      <c r="M1311" t="s">
        <v>4462</v>
      </c>
    </row>
    <row r="1312" spans="1:14" x14ac:dyDescent="0.35">
      <c r="A1312" t="s">
        <v>5791</v>
      </c>
      <c r="B1312" t="s">
        <v>361</v>
      </c>
      <c r="C1312" t="s">
        <v>1899</v>
      </c>
      <c r="D1312" t="s">
        <v>4482</v>
      </c>
      <c r="E1312" t="s">
        <v>4444</v>
      </c>
      <c r="F1312" s="3">
        <v>45695</v>
      </c>
      <c r="G1312" s="3">
        <v>45695</v>
      </c>
      <c r="H1312">
        <v>3.3</v>
      </c>
      <c r="I1312">
        <v>24</v>
      </c>
      <c r="J1312" t="s">
        <v>4448</v>
      </c>
      <c r="K1312" t="s">
        <v>4441</v>
      </c>
      <c r="L1312" t="s">
        <v>4514</v>
      </c>
      <c r="M1312" t="s">
        <v>4446</v>
      </c>
      <c r="N1312">
        <v>4</v>
      </c>
    </row>
    <row r="1313" spans="1:14" x14ac:dyDescent="0.35">
      <c r="A1313" t="s">
        <v>5792</v>
      </c>
      <c r="B1313" t="s">
        <v>307</v>
      </c>
      <c r="C1313" t="s">
        <v>1890</v>
      </c>
      <c r="D1313" t="s">
        <v>4469</v>
      </c>
      <c r="E1313" t="s">
        <v>4444</v>
      </c>
      <c r="F1313" s="3">
        <v>45484</v>
      </c>
      <c r="G1313" s="3">
        <v>45484</v>
      </c>
      <c r="H1313">
        <v>17.399999999999999</v>
      </c>
      <c r="I1313">
        <v>24</v>
      </c>
      <c r="J1313" t="s">
        <v>4448</v>
      </c>
      <c r="K1313" t="s">
        <v>4441</v>
      </c>
      <c r="L1313" t="s">
        <v>4449</v>
      </c>
      <c r="M1313" t="s">
        <v>4446</v>
      </c>
      <c r="N1313">
        <v>5</v>
      </c>
    </row>
    <row r="1314" spans="1:14" x14ac:dyDescent="0.35">
      <c r="A1314" t="s">
        <v>5793</v>
      </c>
      <c r="B1314" t="s">
        <v>99</v>
      </c>
      <c r="C1314" t="s">
        <v>1890</v>
      </c>
      <c r="D1314" t="s">
        <v>4482</v>
      </c>
      <c r="E1314" t="s">
        <v>4473</v>
      </c>
      <c r="F1314" s="3">
        <v>45272</v>
      </c>
      <c r="G1314" s="3" t="s">
        <v>537</v>
      </c>
      <c r="I1314">
        <v>8</v>
      </c>
      <c r="J1314" t="s">
        <v>4448</v>
      </c>
      <c r="K1314" t="s">
        <v>4474</v>
      </c>
      <c r="L1314" t="s">
        <v>4461</v>
      </c>
      <c r="M1314" t="s">
        <v>4450</v>
      </c>
    </row>
    <row r="1315" spans="1:14" x14ac:dyDescent="0.35">
      <c r="A1315" t="s">
        <v>5794</v>
      </c>
      <c r="B1315" t="s">
        <v>378</v>
      </c>
      <c r="C1315" t="s">
        <v>1915</v>
      </c>
      <c r="D1315" t="s">
        <v>4482</v>
      </c>
      <c r="E1315" t="s">
        <v>4444</v>
      </c>
      <c r="F1315" s="3">
        <v>44976</v>
      </c>
      <c r="G1315" s="3" t="s">
        <v>537</v>
      </c>
      <c r="I1315">
        <v>24</v>
      </c>
      <c r="J1315" t="s">
        <v>4448</v>
      </c>
      <c r="K1315" t="s">
        <v>4474</v>
      </c>
      <c r="L1315" t="s">
        <v>4483</v>
      </c>
      <c r="M1315" t="s">
        <v>4446</v>
      </c>
    </row>
    <row r="1316" spans="1:14" x14ac:dyDescent="0.35">
      <c r="A1316" t="s">
        <v>5795</v>
      </c>
      <c r="B1316" t="s">
        <v>200</v>
      </c>
      <c r="C1316" t="s">
        <v>1904</v>
      </c>
      <c r="D1316" t="s">
        <v>4438</v>
      </c>
      <c r="E1316" t="s">
        <v>4444</v>
      </c>
      <c r="F1316" s="3">
        <v>45281</v>
      </c>
      <c r="G1316" s="3" t="s">
        <v>537</v>
      </c>
      <c r="I1316">
        <v>24</v>
      </c>
      <c r="J1316" t="s">
        <v>4448</v>
      </c>
      <c r="K1316" t="s">
        <v>4457</v>
      </c>
      <c r="L1316" t="s">
        <v>4461</v>
      </c>
      <c r="M1316" t="s">
        <v>1625</v>
      </c>
    </row>
    <row r="1317" spans="1:14" x14ac:dyDescent="0.35">
      <c r="A1317" t="s">
        <v>5796</v>
      </c>
      <c r="B1317" t="s">
        <v>173</v>
      </c>
      <c r="C1317" t="s">
        <v>1890</v>
      </c>
      <c r="D1317" t="s">
        <v>4479</v>
      </c>
      <c r="E1317" t="s">
        <v>4444</v>
      </c>
      <c r="F1317" s="3">
        <v>45094</v>
      </c>
      <c r="G1317" s="3">
        <v>45095</v>
      </c>
      <c r="H1317">
        <v>25.4</v>
      </c>
      <c r="I1317">
        <v>24</v>
      </c>
      <c r="J1317" t="s">
        <v>4440</v>
      </c>
      <c r="K1317" t="s">
        <v>4441</v>
      </c>
      <c r="L1317" t="s">
        <v>4467</v>
      </c>
      <c r="M1317" t="s">
        <v>4462</v>
      </c>
      <c r="N1317">
        <v>5</v>
      </c>
    </row>
    <row r="1318" spans="1:14" x14ac:dyDescent="0.35">
      <c r="A1318" t="s">
        <v>5797</v>
      </c>
      <c r="B1318" t="s">
        <v>473</v>
      </c>
      <c r="C1318" t="s">
        <v>1890</v>
      </c>
      <c r="D1318" t="s">
        <v>8509</v>
      </c>
      <c r="E1318" t="s">
        <v>4439</v>
      </c>
      <c r="F1318" s="3">
        <v>45376</v>
      </c>
      <c r="G1318" s="3" t="s">
        <v>537</v>
      </c>
      <c r="I1318">
        <v>48</v>
      </c>
      <c r="J1318" t="s">
        <v>4440</v>
      </c>
      <c r="K1318" t="s">
        <v>4457</v>
      </c>
      <c r="L1318" t="s">
        <v>4512</v>
      </c>
      <c r="M1318" t="s">
        <v>1625</v>
      </c>
    </row>
    <row r="1319" spans="1:14" x14ac:dyDescent="0.35">
      <c r="A1319" t="s">
        <v>5798</v>
      </c>
      <c r="B1319" t="s">
        <v>103</v>
      </c>
      <c r="C1319" t="s">
        <v>1883</v>
      </c>
      <c r="D1319" t="s">
        <v>4438</v>
      </c>
      <c r="E1319" t="s">
        <v>4444</v>
      </c>
      <c r="F1319" s="3">
        <v>45540</v>
      </c>
      <c r="G1319" s="3" t="s">
        <v>537</v>
      </c>
      <c r="I1319">
        <v>24</v>
      </c>
      <c r="J1319" t="s">
        <v>4440</v>
      </c>
      <c r="K1319" t="s">
        <v>4453</v>
      </c>
      <c r="L1319" t="s">
        <v>4527</v>
      </c>
      <c r="M1319" t="s">
        <v>4446</v>
      </c>
    </row>
    <row r="1320" spans="1:14" x14ac:dyDescent="0.35">
      <c r="A1320" t="s">
        <v>5799</v>
      </c>
      <c r="B1320" t="s">
        <v>173</v>
      </c>
      <c r="C1320" t="s">
        <v>1904</v>
      </c>
      <c r="D1320" t="s">
        <v>4482</v>
      </c>
      <c r="E1320" t="s">
        <v>4456</v>
      </c>
      <c r="F1320" s="3">
        <v>45697</v>
      </c>
      <c r="G1320" s="3">
        <v>45697</v>
      </c>
      <c r="H1320">
        <v>5.5</v>
      </c>
      <c r="I1320">
        <v>4</v>
      </c>
      <c r="J1320" t="s">
        <v>4440</v>
      </c>
      <c r="K1320" t="s">
        <v>4441</v>
      </c>
      <c r="L1320" t="s">
        <v>4514</v>
      </c>
      <c r="M1320" t="s">
        <v>4446</v>
      </c>
      <c r="N1320">
        <v>5</v>
      </c>
    </row>
    <row r="1321" spans="1:14" x14ac:dyDescent="0.35">
      <c r="A1321" t="s">
        <v>5800</v>
      </c>
      <c r="B1321" t="s">
        <v>222</v>
      </c>
      <c r="C1321" t="s">
        <v>1927</v>
      </c>
      <c r="D1321" t="s">
        <v>4464</v>
      </c>
      <c r="E1321" t="s">
        <v>4473</v>
      </c>
      <c r="F1321" s="3">
        <v>44945</v>
      </c>
      <c r="G1321" s="3" t="s">
        <v>537</v>
      </c>
      <c r="I1321">
        <v>8</v>
      </c>
      <c r="J1321" t="s">
        <v>4448</v>
      </c>
      <c r="K1321" t="s">
        <v>4474</v>
      </c>
      <c r="L1321" t="s">
        <v>4458</v>
      </c>
      <c r="M1321" t="s">
        <v>4446</v>
      </c>
    </row>
    <row r="1322" spans="1:14" x14ac:dyDescent="0.35">
      <c r="A1322" t="s">
        <v>5801</v>
      </c>
      <c r="B1322" t="s">
        <v>138</v>
      </c>
      <c r="C1322" t="s">
        <v>1927</v>
      </c>
      <c r="D1322" t="s">
        <v>4485</v>
      </c>
      <c r="E1322" t="s">
        <v>4444</v>
      </c>
      <c r="F1322" s="3">
        <v>45449</v>
      </c>
      <c r="G1322" s="3">
        <v>45449</v>
      </c>
      <c r="H1322">
        <v>22</v>
      </c>
      <c r="I1322">
        <v>24</v>
      </c>
      <c r="J1322" t="s">
        <v>4448</v>
      </c>
      <c r="K1322" t="s">
        <v>4441</v>
      </c>
      <c r="L1322" t="s">
        <v>4533</v>
      </c>
      <c r="M1322" t="s">
        <v>4462</v>
      </c>
      <c r="N1322">
        <v>4</v>
      </c>
    </row>
    <row r="1323" spans="1:14" x14ac:dyDescent="0.35">
      <c r="A1323" t="s">
        <v>5802</v>
      </c>
      <c r="B1323" t="s">
        <v>263</v>
      </c>
      <c r="C1323" t="s">
        <v>1927</v>
      </c>
      <c r="D1323" t="s">
        <v>4452</v>
      </c>
      <c r="E1323" t="s">
        <v>4444</v>
      </c>
      <c r="F1323" s="3">
        <v>45007</v>
      </c>
      <c r="G1323" s="3">
        <v>45009</v>
      </c>
      <c r="H1323">
        <v>51.8</v>
      </c>
      <c r="I1323">
        <v>24</v>
      </c>
      <c r="J1323" t="s">
        <v>4440</v>
      </c>
      <c r="K1323" t="s">
        <v>4441</v>
      </c>
      <c r="L1323" t="s">
        <v>4501</v>
      </c>
      <c r="M1323" t="s">
        <v>4446</v>
      </c>
    </row>
    <row r="1324" spans="1:14" x14ac:dyDescent="0.35">
      <c r="A1324" t="s">
        <v>5803</v>
      </c>
      <c r="B1324" t="s">
        <v>106</v>
      </c>
      <c r="C1324" t="s">
        <v>1915</v>
      </c>
      <c r="D1324" t="s">
        <v>4464</v>
      </c>
      <c r="E1324" t="s">
        <v>4439</v>
      </c>
      <c r="F1324" s="3">
        <v>45247</v>
      </c>
      <c r="G1324" s="3" t="s">
        <v>537</v>
      </c>
      <c r="I1324">
        <v>48</v>
      </c>
      <c r="J1324" t="s">
        <v>4440</v>
      </c>
      <c r="K1324" t="s">
        <v>4474</v>
      </c>
      <c r="L1324" t="s">
        <v>4480</v>
      </c>
      <c r="M1324" t="s">
        <v>4450</v>
      </c>
    </row>
    <row r="1325" spans="1:14" x14ac:dyDescent="0.35">
      <c r="A1325" t="s">
        <v>5804</v>
      </c>
      <c r="B1325" t="s">
        <v>201</v>
      </c>
      <c r="C1325" t="s">
        <v>1915</v>
      </c>
      <c r="D1325" t="s">
        <v>4464</v>
      </c>
      <c r="E1325" t="s">
        <v>4439</v>
      </c>
      <c r="F1325" s="3">
        <v>45249</v>
      </c>
      <c r="G1325" s="3">
        <v>45253</v>
      </c>
      <c r="H1325">
        <v>112.3</v>
      </c>
      <c r="I1325">
        <v>48</v>
      </c>
      <c r="J1325" t="s">
        <v>4440</v>
      </c>
      <c r="K1325" t="s">
        <v>4441</v>
      </c>
      <c r="L1325" t="s">
        <v>4467</v>
      </c>
      <c r="M1325" t="s">
        <v>1625</v>
      </c>
      <c r="N1325">
        <v>4</v>
      </c>
    </row>
    <row r="1326" spans="1:14" x14ac:dyDescent="0.35">
      <c r="A1326" t="s">
        <v>5805</v>
      </c>
      <c r="B1326" t="s">
        <v>218</v>
      </c>
      <c r="C1326" t="s">
        <v>1915</v>
      </c>
      <c r="D1326" t="s">
        <v>4469</v>
      </c>
      <c r="E1326" t="s">
        <v>4444</v>
      </c>
      <c r="F1326" s="3">
        <v>45072</v>
      </c>
      <c r="G1326" s="3">
        <v>45073</v>
      </c>
      <c r="H1326">
        <v>42.9</v>
      </c>
      <c r="I1326">
        <v>24</v>
      </c>
      <c r="J1326" t="s">
        <v>4440</v>
      </c>
      <c r="K1326" t="s">
        <v>4441</v>
      </c>
      <c r="L1326" t="s">
        <v>4467</v>
      </c>
      <c r="M1326" t="s">
        <v>4446</v>
      </c>
    </row>
    <row r="1327" spans="1:14" x14ac:dyDescent="0.35">
      <c r="A1327" t="s">
        <v>5806</v>
      </c>
      <c r="B1327" t="s">
        <v>205</v>
      </c>
      <c r="C1327" t="s">
        <v>1915</v>
      </c>
      <c r="D1327" t="s">
        <v>4482</v>
      </c>
      <c r="E1327" t="s">
        <v>4439</v>
      </c>
      <c r="F1327" s="3">
        <v>45236</v>
      </c>
      <c r="G1327" s="3" t="s">
        <v>537</v>
      </c>
      <c r="I1327">
        <v>48</v>
      </c>
      <c r="J1327" t="s">
        <v>4448</v>
      </c>
      <c r="K1327" t="s">
        <v>4453</v>
      </c>
      <c r="L1327" t="s">
        <v>4467</v>
      </c>
      <c r="M1327" t="s">
        <v>4462</v>
      </c>
    </row>
    <row r="1328" spans="1:14" x14ac:dyDescent="0.35">
      <c r="A1328" t="s">
        <v>5807</v>
      </c>
      <c r="B1328" t="s">
        <v>392</v>
      </c>
      <c r="C1328" t="s">
        <v>1915</v>
      </c>
      <c r="D1328" t="s">
        <v>4482</v>
      </c>
      <c r="E1328" t="s">
        <v>4444</v>
      </c>
      <c r="F1328" s="3">
        <v>44976</v>
      </c>
      <c r="G1328" s="3" t="s">
        <v>537</v>
      </c>
      <c r="I1328">
        <v>24</v>
      </c>
      <c r="J1328" t="s">
        <v>4440</v>
      </c>
      <c r="K1328" t="s">
        <v>4474</v>
      </c>
      <c r="L1328" t="s">
        <v>4470</v>
      </c>
      <c r="M1328" t="s">
        <v>4446</v>
      </c>
    </row>
    <row r="1329" spans="1:14" x14ac:dyDescent="0.35">
      <c r="A1329" t="s">
        <v>5808</v>
      </c>
      <c r="B1329" t="s">
        <v>425</v>
      </c>
      <c r="C1329" t="s">
        <v>1927</v>
      </c>
      <c r="D1329" t="s">
        <v>4464</v>
      </c>
      <c r="E1329" t="s">
        <v>4439</v>
      </c>
      <c r="F1329" s="3">
        <v>45148</v>
      </c>
      <c r="G1329" s="3">
        <v>45151</v>
      </c>
      <c r="H1329">
        <v>91</v>
      </c>
      <c r="I1329">
        <v>48</v>
      </c>
      <c r="J1329" t="s">
        <v>4440</v>
      </c>
      <c r="K1329" t="s">
        <v>4441</v>
      </c>
      <c r="L1329" t="s">
        <v>4483</v>
      </c>
      <c r="M1329" t="s">
        <v>4446</v>
      </c>
      <c r="N1329">
        <v>5</v>
      </c>
    </row>
    <row r="1330" spans="1:14" x14ac:dyDescent="0.35">
      <c r="A1330" t="s">
        <v>5809</v>
      </c>
      <c r="B1330" t="s">
        <v>434</v>
      </c>
      <c r="C1330" t="s">
        <v>1927</v>
      </c>
      <c r="D1330" t="s">
        <v>4490</v>
      </c>
      <c r="E1330" t="s">
        <v>4444</v>
      </c>
      <c r="F1330" s="3">
        <v>45540</v>
      </c>
      <c r="G1330" s="3" t="s">
        <v>537</v>
      </c>
      <c r="I1330">
        <v>24</v>
      </c>
      <c r="J1330" t="s">
        <v>4440</v>
      </c>
      <c r="K1330" t="s">
        <v>4474</v>
      </c>
      <c r="L1330" t="s">
        <v>4580</v>
      </c>
      <c r="M1330" t="s">
        <v>1625</v>
      </c>
    </row>
    <row r="1331" spans="1:14" x14ac:dyDescent="0.35">
      <c r="A1331" t="s">
        <v>5810</v>
      </c>
      <c r="B1331" t="s">
        <v>203</v>
      </c>
      <c r="C1331" t="s">
        <v>1915</v>
      </c>
      <c r="D1331" t="s">
        <v>8504</v>
      </c>
      <c r="E1331" t="s">
        <v>4444</v>
      </c>
      <c r="F1331" s="3">
        <v>45241</v>
      </c>
      <c r="G1331" s="3">
        <v>45243</v>
      </c>
      <c r="H1331">
        <v>52.3</v>
      </c>
      <c r="I1331">
        <v>24</v>
      </c>
      <c r="J1331" t="s">
        <v>4440</v>
      </c>
      <c r="K1331" t="s">
        <v>4441</v>
      </c>
      <c r="L1331" t="s">
        <v>4449</v>
      </c>
      <c r="M1331" t="s">
        <v>1625</v>
      </c>
      <c r="N1331">
        <v>3</v>
      </c>
    </row>
    <row r="1332" spans="1:14" x14ac:dyDescent="0.35">
      <c r="A1332" t="s">
        <v>5811</v>
      </c>
      <c r="B1332" t="s">
        <v>371</v>
      </c>
      <c r="C1332" t="s">
        <v>1927</v>
      </c>
      <c r="D1332" t="s">
        <v>4490</v>
      </c>
      <c r="E1332" t="s">
        <v>4473</v>
      </c>
      <c r="F1332" s="3">
        <v>44951</v>
      </c>
      <c r="G1332" s="3">
        <v>44951</v>
      </c>
      <c r="H1332">
        <v>1.1000000000000001</v>
      </c>
      <c r="I1332">
        <v>8</v>
      </c>
      <c r="J1332" t="s">
        <v>4448</v>
      </c>
      <c r="K1332" t="s">
        <v>4441</v>
      </c>
      <c r="L1332" t="s">
        <v>4509</v>
      </c>
      <c r="M1332" t="s">
        <v>4462</v>
      </c>
      <c r="N1332">
        <v>3</v>
      </c>
    </row>
    <row r="1333" spans="1:14" x14ac:dyDescent="0.35">
      <c r="A1333" t="s">
        <v>5812</v>
      </c>
      <c r="B1333" t="s">
        <v>103</v>
      </c>
      <c r="C1333" t="s">
        <v>1927</v>
      </c>
      <c r="D1333" t="s">
        <v>4464</v>
      </c>
      <c r="E1333" t="s">
        <v>4439</v>
      </c>
      <c r="F1333" s="3">
        <v>45011</v>
      </c>
      <c r="G1333" s="3">
        <v>45012</v>
      </c>
      <c r="H1333">
        <v>30.3</v>
      </c>
      <c r="I1333">
        <v>48</v>
      </c>
      <c r="J1333" t="s">
        <v>4448</v>
      </c>
      <c r="K1333" t="s">
        <v>4441</v>
      </c>
      <c r="L1333" t="s">
        <v>4467</v>
      </c>
      <c r="M1333" t="s">
        <v>4446</v>
      </c>
    </row>
    <row r="1334" spans="1:14" x14ac:dyDescent="0.35">
      <c r="A1334" t="s">
        <v>5813</v>
      </c>
      <c r="B1334" t="s">
        <v>279</v>
      </c>
      <c r="C1334" t="s">
        <v>1899</v>
      </c>
      <c r="D1334" t="s">
        <v>4490</v>
      </c>
      <c r="E1334" t="s">
        <v>4444</v>
      </c>
      <c r="F1334" s="3">
        <v>44943</v>
      </c>
      <c r="G1334" s="3">
        <v>44943</v>
      </c>
      <c r="H1334">
        <v>14.4</v>
      </c>
      <c r="I1334">
        <v>24</v>
      </c>
      <c r="J1334" t="s">
        <v>4448</v>
      </c>
      <c r="K1334" t="s">
        <v>4441</v>
      </c>
      <c r="L1334" t="s">
        <v>4445</v>
      </c>
      <c r="M1334" t="s">
        <v>1625</v>
      </c>
      <c r="N1334">
        <v>2</v>
      </c>
    </row>
    <row r="1335" spans="1:14" x14ac:dyDescent="0.35">
      <c r="A1335" t="s">
        <v>5814</v>
      </c>
      <c r="B1335" t="s">
        <v>323</v>
      </c>
      <c r="C1335" t="s">
        <v>1883</v>
      </c>
      <c r="D1335" t="s">
        <v>4438</v>
      </c>
      <c r="E1335" t="s">
        <v>4473</v>
      </c>
      <c r="F1335" s="3">
        <v>45072</v>
      </c>
      <c r="G1335" s="3" t="s">
        <v>537</v>
      </c>
      <c r="I1335">
        <v>8</v>
      </c>
      <c r="J1335" t="s">
        <v>4440</v>
      </c>
      <c r="K1335" t="s">
        <v>4457</v>
      </c>
      <c r="L1335" t="s">
        <v>4470</v>
      </c>
      <c r="M1335" t="s">
        <v>4450</v>
      </c>
    </row>
    <row r="1336" spans="1:14" x14ac:dyDescent="0.35">
      <c r="A1336" t="s">
        <v>5815</v>
      </c>
      <c r="B1336" t="s">
        <v>453</v>
      </c>
      <c r="C1336" t="s">
        <v>1927</v>
      </c>
      <c r="D1336" t="s">
        <v>4472</v>
      </c>
      <c r="E1336" t="s">
        <v>4456</v>
      </c>
      <c r="F1336" s="3">
        <v>45288</v>
      </c>
      <c r="G1336" s="3">
        <v>45288</v>
      </c>
      <c r="H1336">
        <v>7.8</v>
      </c>
      <c r="I1336">
        <v>4</v>
      </c>
      <c r="J1336" t="s">
        <v>4440</v>
      </c>
      <c r="K1336" t="s">
        <v>4441</v>
      </c>
      <c r="L1336" t="s">
        <v>1907</v>
      </c>
      <c r="M1336" t="s">
        <v>4462</v>
      </c>
      <c r="N1336">
        <v>5</v>
      </c>
    </row>
    <row r="1337" spans="1:14" x14ac:dyDescent="0.35">
      <c r="A1337" t="s">
        <v>5816</v>
      </c>
      <c r="B1337" t="s">
        <v>71</v>
      </c>
      <c r="C1337" t="s">
        <v>1890</v>
      </c>
      <c r="D1337" t="s">
        <v>4438</v>
      </c>
      <c r="E1337" t="s">
        <v>4473</v>
      </c>
      <c r="F1337" s="3">
        <v>45093</v>
      </c>
      <c r="G1337" s="3">
        <v>45093</v>
      </c>
      <c r="H1337">
        <v>15</v>
      </c>
      <c r="I1337">
        <v>8</v>
      </c>
      <c r="J1337" t="s">
        <v>4440</v>
      </c>
      <c r="K1337" t="s">
        <v>4441</v>
      </c>
      <c r="L1337" t="s">
        <v>4449</v>
      </c>
      <c r="M1337" t="s">
        <v>4450</v>
      </c>
      <c r="N1337">
        <v>3</v>
      </c>
    </row>
    <row r="1338" spans="1:14" x14ac:dyDescent="0.35">
      <c r="A1338" t="s">
        <v>5817</v>
      </c>
      <c r="B1338" t="s">
        <v>18</v>
      </c>
      <c r="C1338" t="s">
        <v>1883</v>
      </c>
      <c r="D1338" t="s">
        <v>4482</v>
      </c>
      <c r="E1338" t="s">
        <v>4473</v>
      </c>
      <c r="F1338" s="3">
        <v>44995</v>
      </c>
      <c r="G1338" s="3">
        <v>44995</v>
      </c>
      <c r="H1338">
        <v>12.7</v>
      </c>
      <c r="I1338">
        <v>8</v>
      </c>
      <c r="J1338" t="s">
        <v>4440</v>
      </c>
      <c r="K1338" t="s">
        <v>4441</v>
      </c>
      <c r="L1338" t="s">
        <v>4492</v>
      </c>
      <c r="M1338" t="s">
        <v>4450</v>
      </c>
      <c r="N1338">
        <v>2</v>
      </c>
    </row>
    <row r="1339" spans="1:14" x14ac:dyDescent="0.35">
      <c r="A1339" t="s">
        <v>5818</v>
      </c>
      <c r="B1339" t="s">
        <v>408</v>
      </c>
      <c r="C1339" t="s">
        <v>1890</v>
      </c>
      <c r="D1339" t="s">
        <v>4482</v>
      </c>
      <c r="E1339" t="s">
        <v>4456</v>
      </c>
      <c r="F1339" s="3">
        <v>45389</v>
      </c>
      <c r="G1339" s="3" t="s">
        <v>537</v>
      </c>
      <c r="I1339">
        <v>4</v>
      </c>
      <c r="J1339" t="s">
        <v>4440</v>
      </c>
      <c r="K1339" t="s">
        <v>4453</v>
      </c>
      <c r="L1339" t="s">
        <v>4458</v>
      </c>
      <c r="M1339" t="s">
        <v>4462</v>
      </c>
    </row>
    <row r="1340" spans="1:14" x14ac:dyDescent="0.35">
      <c r="A1340" t="s">
        <v>5819</v>
      </c>
      <c r="B1340" t="s">
        <v>116</v>
      </c>
      <c r="C1340" t="s">
        <v>1927</v>
      </c>
      <c r="D1340" t="s">
        <v>4482</v>
      </c>
      <c r="E1340" t="s">
        <v>4439</v>
      </c>
      <c r="F1340" s="3">
        <v>44954</v>
      </c>
      <c r="G1340" s="3" t="s">
        <v>537</v>
      </c>
      <c r="I1340">
        <v>48</v>
      </c>
      <c r="J1340" t="s">
        <v>4440</v>
      </c>
      <c r="K1340" t="s">
        <v>4457</v>
      </c>
      <c r="L1340" t="s">
        <v>4467</v>
      </c>
      <c r="M1340" t="s">
        <v>4462</v>
      </c>
    </row>
    <row r="1341" spans="1:14" x14ac:dyDescent="0.35">
      <c r="A1341" t="s">
        <v>5820</v>
      </c>
      <c r="B1341" t="s">
        <v>312</v>
      </c>
      <c r="C1341" t="s">
        <v>1927</v>
      </c>
      <c r="D1341" t="s">
        <v>4464</v>
      </c>
      <c r="E1341" t="s">
        <v>4439</v>
      </c>
      <c r="F1341" s="3">
        <v>45161</v>
      </c>
      <c r="G1341" s="3">
        <v>45165</v>
      </c>
      <c r="H1341">
        <v>98.8</v>
      </c>
      <c r="I1341">
        <v>48</v>
      </c>
      <c r="J1341" t="s">
        <v>1945</v>
      </c>
      <c r="K1341" t="s">
        <v>4441</v>
      </c>
      <c r="L1341" t="s">
        <v>4527</v>
      </c>
      <c r="M1341" t="s">
        <v>4450</v>
      </c>
      <c r="N1341">
        <v>4</v>
      </c>
    </row>
    <row r="1342" spans="1:14" x14ac:dyDescent="0.35">
      <c r="A1342" t="s">
        <v>5821</v>
      </c>
      <c r="B1342" t="s">
        <v>460</v>
      </c>
      <c r="C1342" t="s">
        <v>1904</v>
      </c>
      <c r="D1342" t="s">
        <v>4479</v>
      </c>
      <c r="E1342" t="s">
        <v>4473</v>
      </c>
      <c r="F1342" s="3">
        <v>45080</v>
      </c>
      <c r="G1342" s="3" t="s">
        <v>537</v>
      </c>
      <c r="I1342">
        <v>8</v>
      </c>
      <c r="J1342" t="s">
        <v>4448</v>
      </c>
      <c r="K1342" t="s">
        <v>4474</v>
      </c>
      <c r="L1342" t="s">
        <v>4461</v>
      </c>
      <c r="M1342" t="s">
        <v>4450</v>
      </c>
    </row>
    <row r="1343" spans="1:14" x14ac:dyDescent="0.35">
      <c r="A1343" t="s">
        <v>5822</v>
      </c>
      <c r="B1343" t="s">
        <v>389</v>
      </c>
      <c r="C1343" t="s">
        <v>1927</v>
      </c>
      <c r="D1343" t="s">
        <v>4482</v>
      </c>
      <c r="E1343" t="s">
        <v>79</v>
      </c>
      <c r="F1343" s="3">
        <v>45380</v>
      </c>
      <c r="G1343" s="3" t="s">
        <v>537</v>
      </c>
      <c r="I1343">
        <v>8</v>
      </c>
      <c r="J1343" t="s">
        <v>4440</v>
      </c>
      <c r="K1343" t="s">
        <v>4474</v>
      </c>
      <c r="L1343" t="s">
        <v>4501</v>
      </c>
      <c r="M1343" t="s">
        <v>4446</v>
      </c>
    </row>
    <row r="1344" spans="1:14" x14ac:dyDescent="0.35">
      <c r="A1344" t="s">
        <v>5823</v>
      </c>
      <c r="B1344" t="s">
        <v>283</v>
      </c>
      <c r="C1344" t="s">
        <v>1883</v>
      </c>
      <c r="D1344" t="s">
        <v>4490</v>
      </c>
      <c r="E1344" t="s">
        <v>4444</v>
      </c>
      <c r="F1344" s="3">
        <v>45546</v>
      </c>
      <c r="G1344" s="3">
        <v>45547</v>
      </c>
      <c r="H1344">
        <v>36.700000000000003</v>
      </c>
      <c r="I1344">
        <v>24</v>
      </c>
      <c r="J1344" t="s">
        <v>4440</v>
      </c>
      <c r="K1344" t="s">
        <v>4441</v>
      </c>
      <c r="L1344" t="s">
        <v>4467</v>
      </c>
      <c r="M1344" t="s">
        <v>4450</v>
      </c>
    </row>
    <row r="1345" spans="1:14" x14ac:dyDescent="0.35">
      <c r="A1345" t="s">
        <v>5824</v>
      </c>
      <c r="B1345" t="s">
        <v>471</v>
      </c>
      <c r="C1345" t="s">
        <v>1915</v>
      </c>
      <c r="D1345" t="s">
        <v>4438</v>
      </c>
      <c r="E1345" t="s">
        <v>4473</v>
      </c>
      <c r="F1345" s="3">
        <v>45607</v>
      </c>
      <c r="G1345" s="3">
        <v>45607</v>
      </c>
      <c r="H1345">
        <v>8.6</v>
      </c>
      <c r="I1345">
        <v>8</v>
      </c>
      <c r="J1345" t="s">
        <v>4440</v>
      </c>
      <c r="K1345" t="s">
        <v>4441</v>
      </c>
      <c r="L1345" t="s">
        <v>4467</v>
      </c>
      <c r="M1345" t="s">
        <v>1625</v>
      </c>
      <c r="N1345">
        <v>5</v>
      </c>
    </row>
    <row r="1346" spans="1:14" x14ac:dyDescent="0.35">
      <c r="A1346" t="s">
        <v>5825</v>
      </c>
      <c r="B1346" t="s">
        <v>284</v>
      </c>
      <c r="C1346" t="s">
        <v>1899</v>
      </c>
      <c r="D1346" t="s">
        <v>4452</v>
      </c>
      <c r="E1346" t="s">
        <v>4473</v>
      </c>
      <c r="F1346" s="3">
        <v>45239</v>
      </c>
      <c r="G1346" s="3" t="s">
        <v>537</v>
      </c>
      <c r="I1346">
        <v>8</v>
      </c>
      <c r="J1346" t="s">
        <v>4440</v>
      </c>
      <c r="K1346" t="s">
        <v>4453</v>
      </c>
      <c r="L1346" t="s">
        <v>4527</v>
      </c>
      <c r="M1346" t="s">
        <v>4446</v>
      </c>
    </row>
    <row r="1347" spans="1:14" x14ac:dyDescent="0.35">
      <c r="A1347" t="s">
        <v>5826</v>
      </c>
      <c r="B1347" t="s">
        <v>386</v>
      </c>
      <c r="C1347" t="s">
        <v>1883</v>
      </c>
      <c r="D1347" t="s">
        <v>4479</v>
      </c>
      <c r="E1347" t="s">
        <v>4473</v>
      </c>
      <c r="F1347" s="3">
        <v>45544</v>
      </c>
      <c r="G1347" s="3" t="s">
        <v>537</v>
      </c>
      <c r="I1347">
        <v>8</v>
      </c>
      <c r="J1347" t="s">
        <v>4448</v>
      </c>
      <c r="K1347" t="s">
        <v>4474</v>
      </c>
      <c r="L1347" t="s">
        <v>4488</v>
      </c>
      <c r="M1347" t="s">
        <v>4446</v>
      </c>
    </row>
    <row r="1348" spans="1:14" x14ac:dyDescent="0.35">
      <c r="A1348" t="s">
        <v>5827</v>
      </c>
      <c r="B1348" t="s">
        <v>186</v>
      </c>
      <c r="C1348" t="s">
        <v>1890</v>
      </c>
      <c r="D1348" t="s">
        <v>4443</v>
      </c>
      <c r="E1348" t="s">
        <v>4444</v>
      </c>
      <c r="F1348" s="3">
        <v>45287</v>
      </c>
      <c r="G1348" s="3">
        <v>45289</v>
      </c>
      <c r="H1348">
        <v>53</v>
      </c>
      <c r="I1348">
        <v>24</v>
      </c>
      <c r="J1348" t="s">
        <v>4440</v>
      </c>
      <c r="K1348" t="s">
        <v>4441</v>
      </c>
      <c r="L1348" t="s">
        <v>4470</v>
      </c>
      <c r="M1348" t="s">
        <v>1625</v>
      </c>
      <c r="N1348">
        <v>3</v>
      </c>
    </row>
    <row r="1349" spans="1:14" x14ac:dyDescent="0.35">
      <c r="A1349" t="s">
        <v>5828</v>
      </c>
      <c r="B1349" t="s">
        <v>260</v>
      </c>
      <c r="C1349" t="s">
        <v>1899</v>
      </c>
      <c r="D1349" t="s">
        <v>4476</v>
      </c>
      <c r="E1349" t="s">
        <v>4473</v>
      </c>
      <c r="F1349" s="3">
        <v>45719</v>
      </c>
      <c r="G1349" s="3">
        <v>45719</v>
      </c>
      <c r="H1349">
        <v>16.100000000000001</v>
      </c>
      <c r="I1349">
        <v>8</v>
      </c>
      <c r="J1349" t="s">
        <v>4440</v>
      </c>
      <c r="K1349" t="s">
        <v>4441</v>
      </c>
      <c r="L1349" t="s">
        <v>4465</v>
      </c>
      <c r="M1349" t="s">
        <v>4462</v>
      </c>
    </row>
    <row r="1350" spans="1:14" x14ac:dyDescent="0.35">
      <c r="A1350" t="s">
        <v>5829</v>
      </c>
      <c r="B1350" t="s">
        <v>473</v>
      </c>
      <c r="C1350" t="s">
        <v>1904</v>
      </c>
      <c r="D1350" t="s">
        <v>4472</v>
      </c>
      <c r="E1350" t="s">
        <v>4444</v>
      </c>
      <c r="F1350" s="3">
        <v>45010</v>
      </c>
      <c r="G1350" s="3">
        <v>45012</v>
      </c>
      <c r="H1350">
        <v>50.3</v>
      </c>
      <c r="I1350">
        <v>24</v>
      </c>
      <c r="J1350" t="s">
        <v>4440</v>
      </c>
      <c r="K1350" t="s">
        <v>4441</v>
      </c>
      <c r="L1350" t="s">
        <v>4533</v>
      </c>
      <c r="M1350" t="s">
        <v>4450</v>
      </c>
      <c r="N1350">
        <v>3</v>
      </c>
    </row>
    <row r="1351" spans="1:14" x14ac:dyDescent="0.35">
      <c r="A1351" t="s">
        <v>5830</v>
      </c>
      <c r="B1351" t="s">
        <v>432</v>
      </c>
      <c r="C1351" t="s">
        <v>1899</v>
      </c>
      <c r="D1351" t="s">
        <v>4452</v>
      </c>
      <c r="E1351" t="s">
        <v>4473</v>
      </c>
      <c r="F1351" s="3">
        <v>45733</v>
      </c>
      <c r="G1351" s="3">
        <v>45733</v>
      </c>
      <c r="H1351">
        <v>10.8</v>
      </c>
      <c r="I1351">
        <v>8</v>
      </c>
      <c r="J1351" t="s">
        <v>4440</v>
      </c>
      <c r="K1351" t="s">
        <v>4441</v>
      </c>
      <c r="L1351" t="s">
        <v>4449</v>
      </c>
      <c r="M1351" t="s">
        <v>1625</v>
      </c>
      <c r="N1351">
        <v>5</v>
      </c>
    </row>
    <row r="1352" spans="1:14" x14ac:dyDescent="0.35">
      <c r="A1352" t="s">
        <v>5831</v>
      </c>
      <c r="B1352" t="s">
        <v>203</v>
      </c>
      <c r="C1352" t="s">
        <v>1927</v>
      </c>
      <c r="D1352" t="s">
        <v>4460</v>
      </c>
      <c r="E1352" t="s">
        <v>4439</v>
      </c>
      <c r="F1352" s="3">
        <v>45444</v>
      </c>
      <c r="G1352" s="3" t="s">
        <v>537</v>
      </c>
      <c r="I1352">
        <v>48</v>
      </c>
      <c r="J1352" t="s">
        <v>4440</v>
      </c>
      <c r="K1352" t="s">
        <v>4474</v>
      </c>
      <c r="L1352" t="s">
        <v>4480</v>
      </c>
      <c r="M1352" t="s">
        <v>4462</v>
      </c>
    </row>
    <row r="1353" spans="1:14" x14ac:dyDescent="0.35">
      <c r="A1353" t="s">
        <v>5832</v>
      </c>
      <c r="B1353" t="s">
        <v>210</v>
      </c>
      <c r="C1353" t="s">
        <v>1883</v>
      </c>
      <c r="D1353" t="s">
        <v>4464</v>
      </c>
      <c r="E1353" t="s">
        <v>4473</v>
      </c>
      <c r="F1353" s="3">
        <v>45486</v>
      </c>
      <c r="G1353" s="3" t="s">
        <v>537</v>
      </c>
      <c r="I1353">
        <v>8</v>
      </c>
      <c r="J1353" t="s">
        <v>4448</v>
      </c>
      <c r="K1353" t="s">
        <v>4474</v>
      </c>
      <c r="L1353" t="s">
        <v>4512</v>
      </c>
      <c r="M1353" t="s">
        <v>4450</v>
      </c>
    </row>
    <row r="1354" spans="1:14" x14ac:dyDescent="0.35">
      <c r="A1354" t="s">
        <v>5833</v>
      </c>
      <c r="B1354" t="s">
        <v>360</v>
      </c>
      <c r="C1354" t="s">
        <v>1890</v>
      </c>
      <c r="D1354" t="s">
        <v>4472</v>
      </c>
      <c r="E1354" t="s">
        <v>4439</v>
      </c>
      <c r="F1354" s="3">
        <v>44929</v>
      </c>
      <c r="G1354" s="3" t="s">
        <v>537</v>
      </c>
      <c r="I1354">
        <v>48</v>
      </c>
      <c r="J1354" t="s">
        <v>4440</v>
      </c>
      <c r="K1354" t="s">
        <v>4457</v>
      </c>
      <c r="L1354" t="s">
        <v>4527</v>
      </c>
      <c r="M1354" t="s">
        <v>1625</v>
      </c>
    </row>
    <row r="1355" spans="1:14" x14ac:dyDescent="0.35">
      <c r="A1355" t="s">
        <v>5834</v>
      </c>
      <c r="B1355" t="s">
        <v>198</v>
      </c>
      <c r="C1355" t="s">
        <v>1883</v>
      </c>
      <c r="D1355" t="s">
        <v>4438</v>
      </c>
      <c r="E1355" t="s">
        <v>4456</v>
      </c>
      <c r="F1355" s="3">
        <v>45396</v>
      </c>
      <c r="G1355" s="3">
        <v>45396</v>
      </c>
      <c r="H1355">
        <v>9.9</v>
      </c>
      <c r="I1355">
        <v>4</v>
      </c>
      <c r="J1355" t="s">
        <v>4440</v>
      </c>
      <c r="K1355" t="s">
        <v>4441</v>
      </c>
      <c r="L1355" t="s">
        <v>4480</v>
      </c>
      <c r="M1355" t="s">
        <v>4446</v>
      </c>
      <c r="N1355">
        <v>3</v>
      </c>
    </row>
    <row r="1356" spans="1:14" x14ac:dyDescent="0.35">
      <c r="A1356" t="s">
        <v>5835</v>
      </c>
      <c r="B1356" t="s">
        <v>389</v>
      </c>
      <c r="C1356" t="s">
        <v>1883</v>
      </c>
      <c r="D1356" t="s">
        <v>4490</v>
      </c>
      <c r="E1356" t="s">
        <v>4439</v>
      </c>
      <c r="F1356" s="3">
        <v>45419</v>
      </c>
      <c r="G1356" s="3">
        <v>45422</v>
      </c>
      <c r="H1356">
        <v>82.4</v>
      </c>
      <c r="I1356">
        <v>48</v>
      </c>
      <c r="J1356" t="s">
        <v>4440</v>
      </c>
      <c r="K1356" t="s">
        <v>4441</v>
      </c>
      <c r="L1356" t="s">
        <v>4527</v>
      </c>
      <c r="M1356" t="s">
        <v>1625</v>
      </c>
      <c r="N1356">
        <v>5</v>
      </c>
    </row>
    <row r="1357" spans="1:14" x14ac:dyDescent="0.35">
      <c r="A1357" t="s">
        <v>5836</v>
      </c>
      <c r="B1357" t="s">
        <v>90</v>
      </c>
      <c r="C1357" t="s">
        <v>1883</v>
      </c>
      <c r="D1357" t="s">
        <v>4485</v>
      </c>
      <c r="E1357" t="s">
        <v>4473</v>
      </c>
      <c r="F1357" s="3">
        <v>45585</v>
      </c>
      <c r="G1357" s="3" t="s">
        <v>537</v>
      </c>
      <c r="I1357">
        <v>8</v>
      </c>
      <c r="J1357" t="s">
        <v>4440</v>
      </c>
      <c r="K1357" t="s">
        <v>4474</v>
      </c>
      <c r="L1357" t="s">
        <v>4580</v>
      </c>
      <c r="M1357" t="s">
        <v>1625</v>
      </c>
    </row>
    <row r="1358" spans="1:14" x14ac:dyDescent="0.35">
      <c r="A1358" t="s">
        <v>5837</v>
      </c>
      <c r="B1358" t="s">
        <v>355</v>
      </c>
      <c r="C1358" t="s">
        <v>1883</v>
      </c>
      <c r="D1358" t="s">
        <v>4452</v>
      </c>
      <c r="E1358" t="s">
        <v>79</v>
      </c>
      <c r="F1358" s="3">
        <v>45501</v>
      </c>
      <c r="G1358" s="3" t="s">
        <v>537</v>
      </c>
      <c r="I1358">
        <v>8</v>
      </c>
      <c r="J1358" t="s">
        <v>4448</v>
      </c>
      <c r="K1358" t="s">
        <v>4474</v>
      </c>
      <c r="L1358" t="s">
        <v>4461</v>
      </c>
      <c r="M1358" t="s">
        <v>4450</v>
      </c>
    </row>
    <row r="1359" spans="1:14" x14ac:dyDescent="0.35">
      <c r="A1359" t="s">
        <v>5838</v>
      </c>
      <c r="B1359" t="s">
        <v>249</v>
      </c>
      <c r="C1359" t="s">
        <v>1927</v>
      </c>
      <c r="D1359" t="s">
        <v>8506</v>
      </c>
      <c r="E1359" t="s">
        <v>4439</v>
      </c>
      <c r="F1359" s="3">
        <v>45712</v>
      </c>
      <c r="G1359" s="3" t="s">
        <v>537</v>
      </c>
      <c r="I1359">
        <v>48</v>
      </c>
      <c r="J1359" t="s">
        <v>4448</v>
      </c>
      <c r="K1359" t="s">
        <v>4457</v>
      </c>
      <c r="L1359" t="s">
        <v>4509</v>
      </c>
      <c r="M1359" t="s">
        <v>1625</v>
      </c>
    </row>
    <row r="1360" spans="1:14" x14ac:dyDescent="0.35">
      <c r="A1360" t="s">
        <v>5839</v>
      </c>
      <c r="B1360" t="s">
        <v>158</v>
      </c>
      <c r="C1360" t="s">
        <v>1883</v>
      </c>
      <c r="D1360" t="s">
        <v>4460</v>
      </c>
      <c r="E1360" t="s">
        <v>4444</v>
      </c>
      <c r="F1360" s="3">
        <v>45201</v>
      </c>
      <c r="G1360" s="3" t="s">
        <v>537</v>
      </c>
      <c r="I1360">
        <v>24</v>
      </c>
      <c r="J1360" t="s">
        <v>4440</v>
      </c>
      <c r="K1360" t="s">
        <v>4457</v>
      </c>
      <c r="L1360" t="s">
        <v>4470</v>
      </c>
      <c r="M1360" t="s">
        <v>1625</v>
      </c>
    </row>
    <row r="1361" spans="1:14" x14ac:dyDescent="0.35">
      <c r="A1361" t="s">
        <v>5840</v>
      </c>
      <c r="B1361" t="s">
        <v>461</v>
      </c>
      <c r="C1361" t="s">
        <v>1890</v>
      </c>
      <c r="D1361" t="s">
        <v>4490</v>
      </c>
      <c r="E1361" t="s">
        <v>4444</v>
      </c>
      <c r="F1361" s="3">
        <v>45638</v>
      </c>
      <c r="G1361" s="3">
        <v>45638</v>
      </c>
      <c r="H1361">
        <v>10.4</v>
      </c>
      <c r="I1361">
        <v>24</v>
      </c>
      <c r="J1361" t="s">
        <v>4448</v>
      </c>
      <c r="K1361" t="s">
        <v>4441</v>
      </c>
      <c r="L1361" t="s">
        <v>4483</v>
      </c>
      <c r="M1361" t="s">
        <v>4450</v>
      </c>
      <c r="N1361">
        <v>5</v>
      </c>
    </row>
    <row r="1362" spans="1:14" x14ac:dyDescent="0.35">
      <c r="A1362" t="s">
        <v>5841</v>
      </c>
      <c r="B1362" t="s">
        <v>376</v>
      </c>
      <c r="C1362" t="s">
        <v>1899</v>
      </c>
      <c r="D1362" t="s">
        <v>4460</v>
      </c>
      <c r="E1362" t="s">
        <v>4444</v>
      </c>
      <c r="F1362" s="3">
        <v>45074</v>
      </c>
      <c r="G1362" s="3" t="s">
        <v>537</v>
      </c>
      <c r="I1362">
        <v>24</v>
      </c>
      <c r="J1362" t="s">
        <v>4440</v>
      </c>
      <c r="K1362" t="s">
        <v>4453</v>
      </c>
      <c r="L1362" t="s">
        <v>4514</v>
      </c>
      <c r="M1362" t="s">
        <v>4450</v>
      </c>
    </row>
    <row r="1363" spans="1:14" x14ac:dyDescent="0.35">
      <c r="A1363" t="s">
        <v>5842</v>
      </c>
      <c r="B1363" t="s">
        <v>481</v>
      </c>
      <c r="C1363" t="s">
        <v>1927</v>
      </c>
      <c r="D1363" t="s">
        <v>4452</v>
      </c>
      <c r="E1363" t="s">
        <v>4439</v>
      </c>
      <c r="F1363" s="3">
        <v>45124</v>
      </c>
      <c r="G1363" s="3" t="s">
        <v>537</v>
      </c>
      <c r="I1363">
        <v>48</v>
      </c>
      <c r="J1363" t="s">
        <v>4440</v>
      </c>
      <c r="K1363" t="s">
        <v>4453</v>
      </c>
      <c r="L1363" t="s">
        <v>4445</v>
      </c>
      <c r="M1363" t="s">
        <v>4450</v>
      </c>
    </row>
    <row r="1364" spans="1:14" x14ac:dyDescent="0.35">
      <c r="A1364" t="s">
        <v>5843</v>
      </c>
      <c r="B1364" t="s">
        <v>412</v>
      </c>
      <c r="C1364" t="s">
        <v>1915</v>
      </c>
      <c r="D1364" t="s">
        <v>4485</v>
      </c>
      <c r="E1364" t="s">
        <v>4444</v>
      </c>
      <c r="F1364" s="3">
        <v>45160</v>
      </c>
      <c r="G1364" s="3">
        <v>45160</v>
      </c>
      <c r="H1364">
        <v>6.5</v>
      </c>
      <c r="I1364">
        <v>24</v>
      </c>
      <c r="J1364" t="s">
        <v>4448</v>
      </c>
      <c r="K1364" t="s">
        <v>4441</v>
      </c>
      <c r="L1364" t="s">
        <v>4465</v>
      </c>
      <c r="M1364" t="s">
        <v>4446</v>
      </c>
    </row>
    <row r="1365" spans="1:14" x14ac:dyDescent="0.35">
      <c r="A1365" t="s">
        <v>5844</v>
      </c>
      <c r="B1365" t="s">
        <v>68</v>
      </c>
      <c r="C1365" t="s">
        <v>1927</v>
      </c>
      <c r="D1365" t="s">
        <v>4482</v>
      </c>
      <c r="E1365" t="s">
        <v>4439</v>
      </c>
      <c r="F1365" s="3">
        <v>45406</v>
      </c>
      <c r="G1365" s="3" t="s">
        <v>537</v>
      </c>
      <c r="I1365">
        <v>48</v>
      </c>
      <c r="J1365" t="s">
        <v>4440</v>
      </c>
      <c r="K1365" t="s">
        <v>4474</v>
      </c>
      <c r="L1365" t="s">
        <v>4488</v>
      </c>
      <c r="M1365" t="s">
        <v>4446</v>
      </c>
    </row>
    <row r="1366" spans="1:14" x14ac:dyDescent="0.35">
      <c r="A1366" t="s">
        <v>5845</v>
      </c>
      <c r="B1366" t="s">
        <v>300</v>
      </c>
      <c r="C1366" t="s">
        <v>1883</v>
      </c>
      <c r="D1366" t="s">
        <v>4479</v>
      </c>
      <c r="E1366" t="s">
        <v>4444</v>
      </c>
      <c r="F1366" s="3">
        <v>45724</v>
      </c>
      <c r="G1366" s="3">
        <v>45725</v>
      </c>
      <c r="H1366">
        <v>28.4</v>
      </c>
      <c r="I1366">
        <v>24</v>
      </c>
      <c r="J1366" t="s">
        <v>4440</v>
      </c>
      <c r="K1366" t="s">
        <v>4441</v>
      </c>
      <c r="L1366" t="s">
        <v>4480</v>
      </c>
      <c r="M1366" t="s">
        <v>4446</v>
      </c>
      <c r="N1366">
        <v>5</v>
      </c>
    </row>
    <row r="1367" spans="1:14" x14ac:dyDescent="0.35">
      <c r="A1367" t="s">
        <v>5846</v>
      </c>
      <c r="B1367" t="s">
        <v>88</v>
      </c>
      <c r="C1367" t="s">
        <v>1890</v>
      </c>
      <c r="D1367" t="s">
        <v>4452</v>
      </c>
      <c r="E1367" t="s">
        <v>4439</v>
      </c>
      <c r="F1367" s="3">
        <v>45385</v>
      </c>
      <c r="G1367" s="3">
        <v>45387</v>
      </c>
      <c r="H1367">
        <v>68.5</v>
      </c>
      <c r="I1367">
        <v>48</v>
      </c>
      <c r="J1367" t="s">
        <v>4440</v>
      </c>
      <c r="K1367" t="s">
        <v>4441</v>
      </c>
      <c r="L1367" t="s">
        <v>1907</v>
      </c>
      <c r="M1367" t="s">
        <v>4450</v>
      </c>
      <c r="N1367">
        <v>2</v>
      </c>
    </row>
    <row r="1368" spans="1:14" x14ac:dyDescent="0.35">
      <c r="A1368" t="s">
        <v>5847</v>
      </c>
      <c r="B1368" t="s">
        <v>466</v>
      </c>
      <c r="C1368" t="s">
        <v>1899</v>
      </c>
      <c r="D1368" t="s">
        <v>4482</v>
      </c>
      <c r="E1368" t="s">
        <v>4439</v>
      </c>
      <c r="F1368" s="3">
        <v>45361</v>
      </c>
      <c r="G1368" s="3">
        <v>45363</v>
      </c>
      <c r="H1368">
        <v>68.7</v>
      </c>
      <c r="I1368">
        <v>48</v>
      </c>
      <c r="J1368" t="s">
        <v>4440</v>
      </c>
      <c r="K1368" t="s">
        <v>4441</v>
      </c>
      <c r="L1368" t="s">
        <v>4470</v>
      </c>
      <c r="M1368" t="s">
        <v>4450</v>
      </c>
      <c r="N1368">
        <v>4</v>
      </c>
    </row>
    <row r="1369" spans="1:14" x14ac:dyDescent="0.35">
      <c r="A1369" t="s">
        <v>5848</v>
      </c>
      <c r="B1369" t="s">
        <v>164</v>
      </c>
      <c r="C1369" t="s">
        <v>1927</v>
      </c>
      <c r="D1369" t="s">
        <v>4485</v>
      </c>
      <c r="E1369" t="s">
        <v>4444</v>
      </c>
      <c r="F1369" s="3">
        <v>45148</v>
      </c>
      <c r="G1369" s="3">
        <v>45149</v>
      </c>
      <c r="H1369">
        <v>34.5</v>
      </c>
      <c r="I1369">
        <v>24</v>
      </c>
      <c r="J1369" t="s">
        <v>4440</v>
      </c>
      <c r="K1369" t="s">
        <v>4441</v>
      </c>
      <c r="L1369" t="s">
        <v>4461</v>
      </c>
      <c r="M1369" t="s">
        <v>4446</v>
      </c>
      <c r="N1369">
        <v>2</v>
      </c>
    </row>
    <row r="1370" spans="1:14" x14ac:dyDescent="0.35">
      <c r="A1370" t="s">
        <v>5849</v>
      </c>
      <c r="B1370" t="s">
        <v>469</v>
      </c>
      <c r="C1370" t="s">
        <v>1883</v>
      </c>
      <c r="D1370" t="s">
        <v>4452</v>
      </c>
      <c r="E1370" t="s">
        <v>4444</v>
      </c>
      <c r="F1370" s="3">
        <v>45005</v>
      </c>
      <c r="G1370" s="3">
        <v>45005</v>
      </c>
      <c r="H1370">
        <v>2.8</v>
      </c>
      <c r="I1370">
        <v>24</v>
      </c>
      <c r="J1370" t="s">
        <v>4448</v>
      </c>
      <c r="K1370" t="s">
        <v>4441</v>
      </c>
      <c r="L1370" t="s">
        <v>4512</v>
      </c>
      <c r="M1370" t="s">
        <v>4446</v>
      </c>
      <c r="N1370">
        <v>2</v>
      </c>
    </row>
    <row r="1371" spans="1:14" x14ac:dyDescent="0.35">
      <c r="A1371" t="s">
        <v>5850</v>
      </c>
      <c r="B1371" t="s">
        <v>292</v>
      </c>
      <c r="C1371" t="s">
        <v>1915</v>
      </c>
      <c r="D1371" t="s">
        <v>4485</v>
      </c>
      <c r="E1371" t="s">
        <v>79</v>
      </c>
      <c r="F1371" s="3">
        <v>45415</v>
      </c>
      <c r="G1371" s="3" t="s">
        <v>537</v>
      </c>
      <c r="I1371">
        <v>48</v>
      </c>
      <c r="J1371" t="s">
        <v>4440</v>
      </c>
      <c r="K1371" t="s">
        <v>4474</v>
      </c>
      <c r="L1371" t="s">
        <v>4454</v>
      </c>
      <c r="M1371" t="s">
        <v>1625</v>
      </c>
    </row>
    <row r="1372" spans="1:14" x14ac:dyDescent="0.35">
      <c r="A1372" t="s">
        <v>5851</v>
      </c>
      <c r="B1372" t="s">
        <v>167</v>
      </c>
      <c r="C1372" t="s">
        <v>1899</v>
      </c>
      <c r="D1372" t="s">
        <v>4460</v>
      </c>
      <c r="E1372" t="s">
        <v>4444</v>
      </c>
      <c r="F1372" s="3">
        <v>45420</v>
      </c>
      <c r="G1372" s="3">
        <v>45421</v>
      </c>
      <c r="H1372">
        <v>30.3</v>
      </c>
      <c r="I1372">
        <v>24</v>
      </c>
      <c r="J1372" t="s">
        <v>4440</v>
      </c>
      <c r="K1372" t="s">
        <v>4441</v>
      </c>
      <c r="L1372" t="s">
        <v>4488</v>
      </c>
      <c r="M1372" t="s">
        <v>4446</v>
      </c>
      <c r="N1372">
        <v>2</v>
      </c>
    </row>
    <row r="1373" spans="1:14" x14ac:dyDescent="0.35">
      <c r="A1373" t="s">
        <v>5852</v>
      </c>
      <c r="B1373" t="s">
        <v>458</v>
      </c>
      <c r="C1373" t="s">
        <v>1890</v>
      </c>
      <c r="D1373" t="s">
        <v>4490</v>
      </c>
      <c r="E1373" t="s">
        <v>4444</v>
      </c>
      <c r="F1373" s="3">
        <v>45429</v>
      </c>
      <c r="G1373" s="3">
        <v>45429</v>
      </c>
      <c r="H1373">
        <v>10.199999999999999</v>
      </c>
      <c r="I1373">
        <v>24</v>
      </c>
      <c r="J1373" t="s">
        <v>4448</v>
      </c>
      <c r="K1373" t="s">
        <v>4441</v>
      </c>
      <c r="L1373" t="s">
        <v>4449</v>
      </c>
      <c r="M1373" t="s">
        <v>4450</v>
      </c>
      <c r="N1373">
        <v>5</v>
      </c>
    </row>
    <row r="1374" spans="1:14" x14ac:dyDescent="0.35">
      <c r="A1374" t="s">
        <v>5853</v>
      </c>
      <c r="B1374" t="s">
        <v>268</v>
      </c>
      <c r="C1374" t="s">
        <v>1915</v>
      </c>
      <c r="D1374" t="s">
        <v>4443</v>
      </c>
      <c r="E1374" t="s">
        <v>79</v>
      </c>
      <c r="F1374" s="3">
        <v>44947</v>
      </c>
      <c r="G1374" s="3" t="s">
        <v>537</v>
      </c>
      <c r="I1374">
        <v>24</v>
      </c>
      <c r="J1374" t="s">
        <v>4440</v>
      </c>
      <c r="K1374" t="s">
        <v>4474</v>
      </c>
      <c r="L1374" t="s">
        <v>4449</v>
      </c>
      <c r="M1374" t="s">
        <v>4450</v>
      </c>
    </row>
    <row r="1375" spans="1:14" x14ac:dyDescent="0.35">
      <c r="A1375" t="s">
        <v>5854</v>
      </c>
      <c r="B1375" t="s">
        <v>331</v>
      </c>
      <c r="C1375" t="s">
        <v>1890</v>
      </c>
      <c r="D1375" t="s">
        <v>4482</v>
      </c>
      <c r="E1375" t="s">
        <v>4444</v>
      </c>
      <c r="F1375" s="3">
        <v>45222</v>
      </c>
      <c r="G1375" s="3">
        <v>45223</v>
      </c>
      <c r="H1375">
        <v>38.299999999999997</v>
      </c>
      <c r="I1375">
        <v>24</v>
      </c>
      <c r="J1375" t="s">
        <v>4440</v>
      </c>
      <c r="K1375" t="s">
        <v>4441</v>
      </c>
      <c r="L1375" t="s">
        <v>4512</v>
      </c>
      <c r="M1375" t="s">
        <v>4446</v>
      </c>
      <c r="N1375">
        <v>4</v>
      </c>
    </row>
    <row r="1376" spans="1:14" x14ac:dyDescent="0.35">
      <c r="A1376" t="s">
        <v>5855</v>
      </c>
      <c r="B1376" t="s">
        <v>152</v>
      </c>
      <c r="C1376" t="s">
        <v>1915</v>
      </c>
      <c r="D1376" t="s">
        <v>4490</v>
      </c>
      <c r="E1376" t="s">
        <v>4439</v>
      </c>
      <c r="F1376" s="3">
        <v>45707</v>
      </c>
      <c r="G1376" s="3">
        <v>45710</v>
      </c>
      <c r="H1376">
        <v>90.3</v>
      </c>
      <c r="I1376">
        <v>48</v>
      </c>
      <c r="J1376" t="s">
        <v>4440</v>
      </c>
      <c r="K1376" t="s">
        <v>4441</v>
      </c>
      <c r="L1376" t="s">
        <v>4580</v>
      </c>
      <c r="M1376" t="s">
        <v>4446</v>
      </c>
      <c r="N1376">
        <v>2</v>
      </c>
    </row>
    <row r="1377" spans="1:14" x14ac:dyDescent="0.35">
      <c r="A1377" t="s">
        <v>5856</v>
      </c>
      <c r="B1377" t="s">
        <v>342</v>
      </c>
      <c r="C1377" t="s">
        <v>1899</v>
      </c>
      <c r="D1377" t="s">
        <v>4490</v>
      </c>
      <c r="E1377" t="s">
        <v>4439</v>
      </c>
      <c r="F1377" s="3">
        <v>45413</v>
      </c>
      <c r="G1377" s="3">
        <v>45417</v>
      </c>
      <c r="H1377">
        <v>111.5</v>
      </c>
      <c r="I1377">
        <v>48</v>
      </c>
      <c r="J1377" t="s">
        <v>4440</v>
      </c>
      <c r="K1377" t="s">
        <v>4441</v>
      </c>
      <c r="L1377" t="s">
        <v>4580</v>
      </c>
      <c r="M1377" t="s">
        <v>1625</v>
      </c>
      <c r="N1377">
        <v>3</v>
      </c>
    </row>
    <row r="1378" spans="1:14" x14ac:dyDescent="0.35">
      <c r="A1378" t="s">
        <v>5857</v>
      </c>
      <c r="B1378" t="s">
        <v>490</v>
      </c>
      <c r="C1378" t="s">
        <v>1927</v>
      </c>
      <c r="D1378" t="s">
        <v>4485</v>
      </c>
      <c r="E1378" t="s">
        <v>4444</v>
      </c>
      <c r="F1378" s="3">
        <v>45117</v>
      </c>
      <c r="G1378" s="3">
        <v>45119</v>
      </c>
      <c r="H1378">
        <v>56.7</v>
      </c>
      <c r="I1378">
        <v>24</v>
      </c>
      <c r="J1378" t="s">
        <v>4440</v>
      </c>
      <c r="K1378" t="s">
        <v>4441</v>
      </c>
      <c r="L1378" t="s">
        <v>4454</v>
      </c>
      <c r="M1378" t="s">
        <v>4450</v>
      </c>
    </row>
    <row r="1379" spans="1:14" x14ac:dyDescent="0.35">
      <c r="A1379" t="s">
        <v>5858</v>
      </c>
      <c r="B1379" t="s">
        <v>152</v>
      </c>
      <c r="C1379" t="s">
        <v>1927</v>
      </c>
      <c r="D1379" t="s">
        <v>4472</v>
      </c>
      <c r="E1379" t="s">
        <v>4444</v>
      </c>
      <c r="F1379" s="3">
        <v>45108</v>
      </c>
      <c r="G1379" s="3" t="s">
        <v>537</v>
      </c>
      <c r="I1379">
        <v>24</v>
      </c>
      <c r="J1379" t="s">
        <v>4440</v>
      </c>
      <c r="K1379" t="s">
        <v>4457</v>
      </c>
      <c r="L1379" t="s">
        <v>4501</v>
      </c>
      <c r="M1379" t="s">
        <v>1625</v>
      </c>
    </row>
    <row r="1380" spans="1:14" x14ac:dyDescent="0.35">
      <c r="A1380" t="s">
        <v>5859</v>
      </c>
      <c r="B1380" t="s">
        <v>211</v>
      </c>
      <c r="C1380" t="s">
        <v>1915</v>
      </c>
      <c r="D1380" t="s">
        <v>4479</v>
      </c>
      <c r="E1380" t="s">
        <v>4439</v>
      </c>
      <c r="F1380" s="3">
        <v>45016</v>
      </c>
      <c r="G1380" s="3">
        <v>45019</v>
      </c>
      <c r="H1380">
        <v>93.3</v>
      </c>
      <c r="I1380">
        <v>48</v>
      </c>
      <c r="J1380" t="s">
        <v>4440</v>
      </c>
      <c r="K1380" t="s">
        <v>4441</v>
      </c>
      <c r="L1380" t="s">
        <v>4467</v>
      </c>
      <c r="M1380" t="s">
        <v>4462</v>
      </c>
      <c r="N1380">
        <v>3</v>
      </c>
    </row>
    <row r="1381" spans="1:14" x14ac:dyDescent="0.35">
      <c r="A1381" t="s">
        <v>5860</v>
      </c>
      <c r="B1381" t="s">
        <v>220</v>
      </c>
      <c r="C1381" t="s">
        <v>1883</v>
      </c>
      <c r="D1381" t="s">
        <v>8506</v>
      </c>
      <c r="E1381" t="s">
        <v>4473</v>
      </c>
      <c r="F1381" s="3">
        <v>45202</v>
      </c>
      <c r="G1381" s="3" t="s">
        <v>537</v>
      </c>
      <c r="I1381">
        <v>8</v>
      </c>
      <c r="J1381" t="s">
        <v>4440</v>
      </c>
      <c r="K1381" t="s">
        <v>4474</v>
      </c>
      <c r="L1381" t="s">
        <v>4527</v>
      </c>
      <c r="M1381" t="s">
        <v>1625</v>
      </c>
    </row>
    <row r="1382" spans="1:14" x14ac:dyDescent="0.35">
      <c r="A1382" t="s">
        <v>5861</v>
      </c>
      <c r="B1382" t="s">
        <v>497</v>
      </c>
      <c r="C1382" t="s">
        <v>1927</v>
      </c>
      <c r="D1382" t="s">
        <v>4485</v>
      </c>
      <c r="E1382" t="s">
        <v>4444</v>
      </c>
      <c r="F1382" s="3">
        <v>45734</v>
      </c>
      <c r="G1382" s="3" t="s">
        <v>537</v>
      </c>
      <c r="I1382">
        <v>24</v>
      </c>
      <c r="J1382" t="s">
        <v>4448</v>
      </c>
      <c r="K1382" t="s">
        <v>4474</v>
      </c>
      <c r="L1382" t="s">
        <v>4458</v>
      </c>
      <c r="M1382" t="s">
        <v>4450</v>
      </c>
    </row>
    <row r="1383" spans="1:14" x14ac:dyDescent="0.35">
      <c r="A1383" t="s">
        <v>5862</v>
      </c>
      <c r="B1383" t="s">
        <v>171</v>
      </c>
      <c r="C1383" t="s">
        <v>1899</v>
      </c>
      <c r="D1383" t="s">
        <v>4472</v>
      </c>
      <c r="E1383" t="s">
        <v>4444</v>
      </c>
      <c r="F1383" s="3">
        <v>45567</v>
      </c>
      <c r="G1383" s="3">
        <v>45569</v>
      </c>
      <c r="H1383">
        <v>48.5</v>
      </c>
      <c r="I1383">
        <v>24</v>
      </c>
      <c r="J1383" t="s">
        <v>4440</v>
      </c>
      <c r="K1383" t="s">
        <v>4441</v>
      </c>
      <c r="L1383" t="s">
        <v>4512</v>
      </c>
      <c r="M1383" t="s">
        <v>1625</v>
      </c>
      <c r="N1383">
        <v>3</v>
      </c>
    </row>
    <row r="1384" spans="1:14" x14ac:dyDescent="0.35">
      <c r="A1384" t="s">
        <v>5863</v>
      </c>
      <c r="B1384" t="s">
        <v>234</v>
      </c>
      <c r="C1384" t="s">
        <v>1899</v>
      </c>
      <c r="D1384" t="s">
        <v>4472</v>
      </c>
      <c r="E1384" t="s">
        <v>4444</v>
      </c>
      <c r="F1384" s="3">
        <v>44938</v>
      </c>
      <c r="G1384" s="3">
        <v>44940</v>
      </c>
      <c r="H1384">
        <v>55</v>
      </c>
      <c r="I1384">
        <v>24</v>
      </c>
      <c r="J1384" t="s">
        <v>4440</v>
      </c>
      <c r="K1384" t="s">
        <v>4441</v>
      </c>
      <c r="L1384" t="s">
        <v>4461</v>
      </c>
      <c r="M1384" t="s">
        <v>1625</v>
      </c>
    </row>
    <row r="1385" spans="1:14" x14ac:dyDescent="0.35">
      <c r="A1385" t="s">
        <v>5864</v>
      </c>
      <c r="B1385" t="s">
        <v>176</v>
      </c>
      <c r="C1385" t="s">
        <v>1915</v>
      </c>
      <c r="D1385" t="s">
        <v>4485</v>
      </c>
      <c r="E1385" t="s">
        <v>79</v>
      </c>
      <c r="F1385" s="3">
        <v>45599</v>
      </c>
      <c r="G1385" s="3">
        <v>45599</v>
      </c>
      <c r="H1385">
        <v>7.1</v>
      </c>
      <c r="I1385">
        <v>24</v>
      </c>
      <c r="J1385" t="s">
        <v>4448</v>
      </c>
      <c r="K1385" t="s">
        <v>4441</v>
      </c>
      <c r="L1385" t="s">
        <v>4509</v>
      </c>
      <c r="M1385" t="s">
        <v>4450</v>
      </c>
      <c r="N1385">
        <v>3</v>
      </c>
    </row>
    <row r="1386" spans="1:14" x14ac:dyDescent="0.35">
      <c r="A1386" t="s">
        <v>5865</v>
      </c>
      <c r="B1386" t="s">
        <v>149</v>
      </c>
      <c r="C1386" t="s">
        <v>1899</v>
      </c>
      <c r="D1386" t="s">
        <v>4485</v>
      </c>
      <c r="E1386" t="s">
        <v>4439</v>
      </c>
      <c r="F1386" s="3">
        <v>45180</v>
      </c>
      <c r="G1386" s="3" t="s">
        <v>537</v>
      </c>
      <c r="I1386">
        <v>48</v>
      </c>
      <c r="J1386" t="s">
        <v>4440</v>
      </c>
      <c r="K1386" t="s">
        <v>4457</v>
      </c>
      <c r="L1386" t="s">
        <v>4445</v>
      </c>
      <c r="M1386" t="s">
        <v>4450</v>
      </c>
    </row>
    <row r="1387" spans="1:14" x14ac:dyDescent="0.35">
      <c r="A1387" t="s">
        <v>5866</v>
      </c>
      <c r="B1387" t="s">
        <v>339</v>
      </c>
      <c r="C1387" t="s">
        <v>1904</v>
      </c>
      <c r="D1387" t="s">
        <v>4443</v>
      </c>
      <c r="E1387" t="s">
        <v>4439</v>
      </c>
      <c r="F1387" s="3">
        <v>45542</v>
      </c>
      <c r="G1387" s="3">
        <v>45543</v>
      </c>
      <c r="H1387">
        <v>27.1</v>
      </c>
      <c r="I1387">
        <v>48</v>
      </c>
      <c r="J1387" t="s">
        <v>4448</v>
      </c>
      <c r="K1387" t="s">
        <v>4441</v>
      </c>
      <c r="L1387" t="s">
        <v>4580</v>
      </c>
      <c r="M1387" t="s">
        <v>4450</v>
      </c>
      <c r="N1387">
        <v>5</v>
      </c>
    </row>
    <row r="1388" spans="1:14" x14ac:dyDescent="0.35">
      <c r="A1388" t="s">
        <v>5867</v>
      </c>
      <c r="B1388" t="s">
        <v>42</v>
      </c>
      <c r="C1388" t="s">
        <v>1883</v>
      </c>
      <c r="D1388" t="s">
        <v>4464</v>
      </c>
      <c r="E1388" t="s">
        <v>4456</v>
      </c>
      <c r="F1388" s="3">
        <v>45225</v>
      </c>
      <c r="G1388" s="3">
        <v>45225</v>
      </c>
      <c r="H1388">
        <v>4.5</v>
      </c>
      <c r="I1388">
        <v>4</v>
      </c>
      <c r="J1388" t="s">
        <v>4440</v>
      </c>
      <c r="K1388" t="s">
        <v>4441</v>
      </c>
      <c r="L1388" t="s">
        <v>4480</v>
      </c>
      <c r="M1388" t="s">
        <v>4446</v>
      </c>
      <c r="N1388">
        <v>5</v>
      </c>
    </row>
    <row r="1389" spans="1:14" x14ac:dyDescent="0.35">
      <c r="A1389" t="s">
        <v>5868</v>
      </c>
      <c r="B1389" t="s">
        <v>283</v>
      </c>
      <c r="C1389" t="s">
        <v>1899</v>
      </c>
      <c r="D1389" t="s">
        <v>4485</v>
      </c>
      <c r="E1389" t="s">
        <v>4473</v>
      </c>
      <c r="F1389" s="3">
        <v>45671</v>
      </c>
      <c r="G1389" s="3" t="s">
        <v>537</v>
      </c>
      <c r="I1389">
        <v>8</v>
      </c>
      <c r="J1389" t="s">
        <v>4440</v>
      </c>
      <c r="K1389" t="s">
        <v>4453</v>
      </c>
      <c r="L1389" t="s">
        <v>4467</v>
      </c>
      <c r="M1389" t="s">
        <v>4450</v>
      </c>
    </row>
    <row r="1390" spans="1:14" x14ac:dyDescent="0.35">
      <c r="A1390" t="s">
        <v>5869</v>
      </c>
      <c r="B1390" t="s">
        <v>376</v>
      </c>
      <c r="C1390" t="s">
        <v>1915</v>
      </c>
      <c r="D1390" t="s">
        <v>4485</v>
      </c>
      <c r="E1390" t="s">
        <v>4439</v>
      </c>
      <c r="F1390" s="3">
        <v>45302</v>
      </c>
      <c r="G1390" s="3" t="s">
        <v>537</v>
      </c>
      <c r="I1390">
        <v>48</v>
      </c>
      <c r="J1390" t="s">
        <v>4440</v>
      </c>
      <c r="K1390" t="s">
        <v>4474</v>
      </c>
      <c r="L1390" t="s">
        <v>4470</v>
      </c>
      <c r="M1390" t="s">
        <v>4446</v>
      </c>
    </row>
    <row r="1391" spans="1:14" x14ac:dyDescent="0.35">
      <c r="A1391" t="s">
        <v>5870</v>
      </c>
      <c r="B1391" t="s">
        <v>459</v>
      </c>
      <c r="C1391" t="s">
        <v>1899</v>
      </c>
      <c r="D1391" t="s">
        <v>4464</v>
      </c>
      <c r="E1391" t="s">
        <v>4473</v>
      </c>
      <c r="F1391" s="3">
        <v>45515</v>
      </c>
      <c r="G1391" s="3">
        <v>45515</v>
      </c>
      <c r="H1391">
        <v>15.4</v>
      </c>
      <c r="I1391">
        <v>8</v>
      </c>
      <c r="J1391" t="s">
        <v>4440</v>
      </c>
      <c r="K1391" t="s">
        <v>4441</v>
      </c>
      <c r="L1391" t="s">
        <v>4501</v>
      </c>
      <c r="M1391" t="s">
        <v>4462</v>
      </c>
      <c r="N1391">
        <v>4</v>
      </c>
    </row>
    <row r="1392" spans="1:14" x14ac:dyDescent="0.35">
      <c r="A1392" t="s">
        <v>5871</v>
      </c>
      <c r="B1392" t="s">
        <v>454</v>
      </c>
      <c r="C1392" t="s">
        <v>1899</v>
      </c>
      <c r="D1392" t="s">
        <v>4482</v>
      </c>
      <c r="E1392" t="s">
        <v>4444</v>
      </c>
      <c r="F1392" s="3">
        <v>45233</v>
      </c>
      <c r="G1392" s="3">
        <v>45233</v>
      </c>
      <c r="H1392">
        <v>19</v>
      </c>
      <c r="I1392">
        <v>24</v>
      </c>
      <c r="J1392" t="s">
        <v>4448</v>
      </c>
      <c r="K1392" t="s">
        <v>4441</v>
      </c>
      <c r="L1392" t="s">
        <v>4580</v>
      </c>
      <c r="M1392" t="s">
        <v>4450</v>
      </c>
      <c r="N1392">
        <v>2</v>
      </c>
    </row>
    <row r="1393" spans="1:14" x14ac:dyDescent="0.35">
      <c r="A1393" t="s">
        <v>5872</v>
      </c>
      <c r="B1393" t="s">
        <v>349</v>
      </c>
      <c r="C1393" t="s">
        <v>1915</v>
      </c>
      <c r="D1393" t="s">
        <v>4464</v>
      </c>
      <c r="E1393" t="s">
        <v>4444</v>
      </c>
      <c r="F1393" s="3">
        <v>45332</v>
      </c>
      <c r="G1393" s="3" t="s">
        <v>537</v>
      </c>
      <c r="I1393">
        <v>24</v>
      </c>
      <c r="J1393" t="s">
        <v>4448</v>
      </c>
      <c r="K1393" t="s">
        <v>4474</v>
      </c>
      <c r="L1393" t="s">
        <v>4465</v>
      </c>
      <c r="M1393" t="s">
        <v>4462</v>
      </c>
    </row>
    <row r="1394" spans="1:14" x14ac:dyDescent="0.35">
      <c r="A1394" t="s">
        <v>5873</v>
      </c>
      <c r="B1394" t="s">
        <v>140</v>
      </c>
      <c r="C1394" t="s">
        <v>1890</v>
      </c>
      <c r="D1394" t="s">
        <v>4469</v>
      </c>
      <c r="E1394" t="s">
        <v>4444</v>
      </c>
      <c r="F1394" s="3">
        <v>44973</v>
      </c>
      <c r="G1394" s="3" t="s">
        <v>537</v>
      </c>
      <c r="I1394">
        <v>24</v>
      </c>
      <c r="J1394" t="s">
        <v>4440</v>
      </c>
      <c r="K1394" t="s">
        <v>4457</v>
      </c>
      <c r="L1394" t="s">
        <v>1907</v>
      </c>
      <c r="M1394" t="s">
        <v>1625</v>
      </c>
    </row>
    <row r="1395" spans="1:14" x14ac:dyDescent="0.35">
      <c r="A1395" t="s">
        <v>5874</v>
      </c>
      <c r="B1395" t="s">
        <v>277</v>
      </c>
      <c r="C1395" t="s">
        <v>1915</v>
      </c>
      <c r="D1395" t="s">
        <v>4485</v>
      </c>
      <c r="E1395" t="s">
        <v>4473</v>
      </c>
      <c r="F1395" s="3">
        <v>45203</v>
      </c>
      <c r="G1395" s="3" t="s">
        <v>537</v>
      </c>
      <c r="I1395">
        <v>8</v>
      </c>
      <c r="J1395" t="s">
        <v>4440</v>
      </c>
      <c r="K1395" t="s">
        <v>4457</v>
      </c>
      <c r="L1395" t="s">
        <v>4580</v>
      </c>
      <c r="M1395" t="s">
        <v>4462</v>
      </c>
    </row>
    <row r="1396" spans="1:14" x14ac:dyDescent="0.35">
      <c r="A1396" t="s">
        <v>5875</v>
      </c>
      <c r="B1396" t="s">
        <v>399</v>
      </c>
      <c r="C1396" t="s">
        <v>1915</v>
      </c>
      <c r="D1396" t="s">
        <v>4443</v>
      </c>
      <c r="E1396" t="s">
        <v>4444</v>
      </c>
      <c r="F1396" s="3">
        <v>45365</v>
      </c>
      <c r="G1396" s="3">
        <v>45366</v>
      </c>
      <c r="H1396">
        <v>29.7</v>
      </c>
      <c r="I1396">
        <v>24</v>
      </c>
      <c r="J1396" t="s">
        <v>4440</v>
      </c>
      <c r="K1396" t="s">
        <v>4441</v>
      </c>
      <c r="L1396" t="s">
        <v>4492</v>
      </c>
      <c r="M1396" t="s">
        <v>4450</v>
      </c>
    </row>
    <row r="1397" spans="1:14" x14ac:dyDescent="0.35">
      <c r="A1397" t="s">
        <v>5876</v>
      </c>
      <c r="B1397" t="s">
        <v>230</v>
      </c>
      <c r="C1397" t="s">
        <v>1927</v>
      </c>
      <c r="D1397" t="s">
        <v>4469</v>
      </c>
      <c r="E1397" t="s">
        <v>4439</v>
      </c>
      <c r="F1397" s="3">
        <v>45403</v>
      </c>
      <c r="G1397" s="3" t="s">
        <v>537</v>
      </c>
      <c r="I1397">
        <v>48</v>
      </c>
      <c r="J1397" t="s">
        <v>4448</v>
      </c>
      <c r="K1397" t="s">
        <v>4474</v>
      </c>
      <c r="L1397" t="s">
        <v>4509</v>
      </c>
      <c r="M1397" t="s">
        <v>1625</v>
      </c>
    </row>
    <row r="1398" spans="1:14" x14ac:dyDescent="0.35">
      <c r="A1398" t="s">
        <v>5877</v>
      </c>
      <c r="B1398" t="s">
        <v>388</v>
      </c>
      <c r="C1398" t="s">
        <v>1899</v>
      </c>
      <c r="D1398" t="s">
        <v>4469</v>
      </c>
      <c r="E1398" t="s">
        <v>4456</v>
      </c>
      <c r="F1398" s="3">
        <v>45162</v>
      </c>
      <c r="G1398" s="3">
        <v>45162</v>
      </c>
      <c r="H1398">
        <v>9.6999999999999993</v>
      </c>
      <c r="I1398">
        <v>4</v>
      </c>
      <c r="J1398" t="s">
        <v>4440</v>
      </c>
      <c r="K1398" t="s">
        <v>4441</v>
      </c>
      <c r="L1398" t="s">
        <v>4514</v>
      </c>
      <c r="M1398" t="s">
        <v>1625</v>
      </c>
      <c r="N1398">
        <v>5</v>
      </c>
    </row>
    <row r="1399" spans="1:14" x14ac:dyDescent="0.35">
      <c r="A1399" t="s">
        <v>5878</v>
      </c>
      <c r="B1399" t="s">
        <v>247</v>
      </c>
      <c r="C1399" t="s">
        <v>1883</v>
      </c>
      <c r="D1399" t="s">
        <v>4464</v>
      </c>
      <c r="E1399" t="s">
        <v>4473</v>
      </c>
      <c r="F1399" s="3">
        <v>45115</v>
      </c>
      <c r="G1399" s="3" t="s">
        <v>537</v>
      </c>
      <c r="I1399">
        <v>8</v>
      </c>
      <c r="J1399" t="s">
        <v>4440</v>
      </c>
      <c r="K1399" t="s">
        <v>4474</v>
      </c>
      <c r="L1399" t="s">
        <v>4527</v>
      </c>
      <c r="M1399" t="s">
        <v>4446</v>
      </c>
    </row>
    <row r="1400" spans="1:14" x14ac:dyDescent="0.35">
      <c r="A1400" t="s">
        <v>5879</v>
      </c>
      <c r="B1400" t="s">
        <v>173</v>
      </c>
      <c r="C1400" t="s">
        <v>1927</v>
      </c>
      <c r="D1400" t="s">
        <v>4485</v>
      </c>
      <c r="E1400" t="s">
        <v>4444</v>
      </c>
      <c r="F1400" s="3">
        <v>45358</v>
      </c>
      <c r="G1400" s="3" t="s">
        <v>537</v>
      </c>
      <c r="I1400">
        <v>24</v>
      </c>
      <c r="J1400" t="s">
        <v>4440</v>
      </c>
      <c r="K1400" t="s">
        <v>4457</v>
      </c>
      <c r="L1400" t="s">
        <v>4449</v>
      </c>
      <c r="M1400" t="s">
        <v>1625</v>
      </c>
    </row>
    <row r="1401" spans="1:14" x14ac:dyDescent="0.35">
      <c r="A1401" t="s">
        <v>5880</v>
      </c>
      <c r="B1401" t="s">
        <v>310</v>
      </c>
      <c r="C1401" t="s">
        <v>1927</v>
      </c>
      <c r="D1401" t="s">
        <v>4479</v>
      </c>
      <c r="E1401" t="s">
        <v>4473</v>
      </c>
      <c r="F1401" s="3">
        <v>45571</v>
      </c>
      <c r="G1401" s="3">
        <v>45571</v>
      </c>
      <c r="H1401">
        <v>17.8</v>
      </c>
      <c r="I1401">
        <v>8</v>
      </c>
      <c r="J1401" t="s">
        <v>4440</v>
      </c>
      <c r="K1401" t="s">
        <v>4441</v>
      </c>
      <c r="L1401" t="s">
        <v>4514</v>
      </c>
      <c r="M1401" t="s">
        <v>4462</v>
      </c>
      <c r="N1401">
        <v>1</v>
      </c>
    </row>
    <row r="1402" spans="1:14" x14ac:dyDescent="0.35">
      <c r="A1402" t="s">
        <v>5881</v>
      </c>
      <c r="B1402" t="s">
        <v>131</v>
      </c>
      <c r="C1402" t="s">
        <v>1915</v>
      </c>
      <c r="D1402" t="s">
        <v>4482</v>
      </c>
      <c r="E1402" t="s">
        <v>4444</v>
      </c>
      <c r="F1402" s="3">
        <v>45166</v>
      </c>
      <c r="G1402" s="3" t="s">
        <v>537</v>
      </c>
      <c r="I1402">
        <v>24</v>
      </c>
      <c r="J1402" t="s">
        <v>4440</v>
      </c>
      <c r="K1402" t="s">
        <v>4474</v>
      </c>
      <c r="L1402" t="s">
        <v>4467</v>
      </c>
      <c r="M1402" t="s">
        <v>4446</v>
      </c>
    </row>
    <row r="1403" spans="1:14" x14ac:dyDescent="0.35">
      <c r="A1403" t="s">
        <v>5882</v>
      </c>
      <c r="B1403" t="s">
        <v>292</v>
      </c>
      <c r="C1403" t="s">
        <v>1927</v>
      </c>
      <c r="D1403" t="s">
        <v>4482</v>
      </c>
      <c r="E1403" t="s">
        <v>4473</v>
      </c>
      <c r="F1403" s="3">
        <v>45313</v>
      </c>
      <c r="G1403" s="3">
        <v>45313</v>
      </c>
      <c r="H1403">
        <v>5.7</v>
      </c>
      <c r="I1403">
        <v>8</v>
      </c>
      <c r="J1403" t="s">
        <v>4448</v>
      </c>
      <c r="K1403" t="s">
        <v>4441</v>
      </c>
      <c r="L1403" t="s">
        <v>4449</v>
      </c>
      <c r="M1403" t="s">
        <v>4462</v>
      </c>
      <c r="N1403">
        <v>2</v>
      </c>
    </row>
    <row r="1404" spans="1:14" x14ac:dyDescent="0.35">
      <c r="A1404" t="s">
        <v>5883</v>
      </c>
      <c r="B1404" t="s">
        <v>262</v>
      </c>
      <c r="C1404" t="s">
        <v>1899</v>
      </c>
      <c r="D1404" t="s">
        <v>4490</v>
      </c>
      <c r="E1404" t="s">
        <v>4444</v>
      </c>
      <c r="F1404" s="3">
        <v>45139</v>
      </c>
      <c r="G1404" s="3" t="s">
        <v>537</v>
      </c>
      <c r="I1404">
        <v>24</v>
      </c>
      <c r="J1404" t="s">
        <v>4440</v>
      </c>
      <c r="K1404" t="s">
        <v>4457</v>
      </c>
      <c r="L1404" t="s">
        <v>1907</v>
      </c>
      <c r="M1404" t="s">
        <v>4446</v>
      </c>
    </row>
    <row r="1405" spans="1:14" x14ac:dyDescent="0.35">
      <c r="A1405" t="s">
        <v>5884</v>
      </c>
      <c r="B1405" t="s">
        <v>287</v>
      </c>
      <c r="C1405" t="s">
        <v>1890</v>
      </c>
      <c r="D1405" t="s">
        <v>4472</v>
      </c>
      <c r="E1405" t="s">
        <v>4473</v>
      </c>
      <c r="F1405" s="3">
        <v>44959</v>
      </c>
      <c r="G1405" s="3">
        <v>44959</v>
      </c>
      <c r="H1405">
        <v>12.8</v>
      </c>
      <c r="I1405">
        <v>8</v>
      </c>
      <c r="J1405" t="s">
        <v>4440</v>
      </c>
      <c r="K1405" t="s">
        <v>4441</v>
      </c>
      <c r="L1405" t="s">
        <v>4470</v>
      </c>
      <c r="M1405" t="s">
        <v>4446</v>
      </c>
      <c r="N1405">
        <v>3</v>
      </c>
    </row>
    <row r="1406" spans="1:14" x14ac:dyDescent="0.35">
      <c r="A1406" t="s">
        <v>5885</v>
      </c>
      <c r="B1406" t="s">
        <v>208</v>
      </c>
      <c r="C1406" t="s">
        <v>1890</v>
      </c>
      <c r="D1406" t="s">
        <v>4472</v>
      </c>
      <c r="E1406" t="s">
        <v>4456</v>
      </c>
      <c r="F1406" s="3">
        <v>45625</v>
      </c>
      <c r="G1406" s="3" t="s">
        <v>537</v>
      </c>
      <c r="I1406">
        <v>4</v>
      </c>
      <c r="J1406" t="s">
        <v>4448</v>
      </c>
      <c r="K1406" t="s">
        <v>4457</v>
      </c>
      <c r="L1406" t="s">
        <v>4470</v>
      </c>
      <c r="M1406" t="s">
        <v>4462</v>
      </c>
    </row>
    <row r="1407" spans="1:14" x14ac:dyDescent="0.35">
      <c r="A1407" t="s">
        <v>5886</v>
      </c>
      <c r="B1407" t="s">
        <v>326</v>
      </c>
      <c r="C1407" t="s">
        <v>1883</v>
      </c>
      <c r="D1407" t="s">
        <v>4476</v>
      </c>
      <c r="E1407" t="s">
        <v>4444</v>
      </c>
      <c r="F1407" s="3">
        <v>45213</v>
      </c>
      <c r="G1407" s="3" t="s">
        <v>537</v>
      </c>
      <c r="I1407">
        <v>24</v>
      </c>
      <c r="J1407" t="s">
        <v>4440</v>
      </c>
      <c r="K1407" t="s">
        <v>4457</v>
      </c>
      <c r="L1407" t="s">
        <v>4514</v>
      </c>
      <c r="M1407" t="s">
        <v>4450</v>
      </c>
    </row>
    <row r="1408" spans="1:14" x14ac:dyDescent="0.35">
      <c r="A1408" t="s">
        <v>5887</v>
      </c>
      <c r="B1408" t="s">
        <v>337</v>
      </c>
      <c r="C1408" t="s">
        <v>1890</v>
      </c>
      <c r="D1408" t="s">
        <v>4485</v>
      </c>
      <c r="E1408" t="s">
        <v>4444</v>
      </c>
      <c r="F1408" s="3">
        <v>45448</v>
      </c>
      <c r="G1408" s="3">
        <v>45449</v>
      </c>
      <c r="H1408">
        <v>42.9</v>
      </c>
      <c r="I1408">
        <v>24</v>
      </c>
      <c r="J1408" t="s">
        <v>4440</v>
      </c>
      <c r="K1408" t="s">
        <v>4441</v>
      </c>
      <c r="L1408" t="s">
        <v>4492</v>
      </c>
      <c r="M1408" t="s">
        <v>4446</v>
      </c>
      <c r="N1408">
        <v>2</v>
      </c>
    </row>
    <row r="1409" spans="1:14" x14ac:dyDescent="0.35">
      <c r="A1409" t="s">
        <v>5888</v>
      </c>
      <c r="B1409" t="s">
        <v>219</v>
      </c>
      <c r="C1409" t="s">
        <v>1890</v>
      </c>
      <c r="D1409" t="s">
        <v>4490</v>
      </c>
      <c r="E1409" t="s">
        <v>4456</v>
      </c>
      <c r="F1409" s="3">
        <v>45519</v>
      </c>
      <c r="G1409" s="3">
        <v>45519</v>
      </c>
      <c r="H1409">
        <v>3</v>
      </c>
      <c r="I1409">
        <v>4</v>
      </c>
      <c r="J1409" t="s">
        <v>4448</v>
      </c>
      <c r="K1409" t="s">
        <v>4441</v>
      </c>
      <c r="L1409" t="s">
        <v>4488</v>
      </c>
      <c r="M1409" t="s">
        <v>4450</v>
      </c>
      <c r="N1409">
        <v>5</v>
      </c>
    </row>
    <row r="1410" spans="1:14" x14ac:dyDescent="0.35">
      <c r="A1410" t="s">
        <v>5889</v>
      </c>
      <c r="B1410" t="s">
        <v>218</v>
      </c>
      <c r="C1410" t="s">
        <v>1927</v>
      </c>
      <c r="D1410" t="s">
        <v>4464</v>
      </c>
      <c r="E1410" t="s">
        <v>4439</v>
      </c>
      <c r="F1410" s="3">
        <v>45089</v>
      </c>
      <c r="G1410" s="3">
        <v>45093</v>
      </c>
      <c r="H1410">
        <v>113.7</v>
      </c>
      <c r="I1410">
        <v>48</v>
      </c>
      <c r="J1410" t="s">
        <v>4440</v>
      </c>
      <c r="K1410" t="s">
        <v>4441</v>
      </c>
      <c r="L1410" t="s">
        <v>4445</v>
      </c>
      <c r="M1410" t="s">
        <v>4446</v>
      </c>
      <c r="N1410">
        <v>5</v>
      </c>
    </row>
    <row r="1411" spans="1:14" x14ac:dyDescent="0.35">
      <c r="A1411" t="s">
        <v>5890</v>
      </c>
      <c r="B1411" t="s">
        <v>180</v>
      </c>
      <c r="C1411" t="s">
        <v>1915</v>
      </c>
      <c r="D1411" t="s">
        <v>4476</v>
      </c>
      <c r="E1411" t="s">
        <v>4444</v>
      </c>
      <c r="F1411" s="3">
        <v>45057</v>
      </c>
      <c r="G1411" s="3">
        <v>45059</v>
      </c>
      <c r="H1411">
        <v>53.8</v>
      </c>
      <c r="I1411">
        <v>24</v>
      </c>
      <c r="J1411" t="s">
        <v>4440</v>
      </c>
      <c r="K1411" t="s">
        <v>4441</v>
      </c>
      <c r="L1411" t="s">
        <v>4470</v>
      </c>
      <c r="M1411" t="s">
        <v>4462</v>
      </c>
      <c r="N1411">
        <v>4</v>
      </c>
    </row>
    <row r="1412" spans="1:14" x14ac:dyDescent="0.35">
      <c r="A1412" t="s">
        <v>5891</v>
      </c>
      <c r="B1412" t="s">
        <v>383</v>
      </c>
      <c r="C1412" t="s">
        <v>1883</v>
      </c>
      <c r="D1412" t="s">
        <v>4443</v>
      </c>
      <c r="E1412" t="s">
        <v>4439</v>
      </c>
      <c r="F1412" s="3">
        <v>44965</v>
      </c>
      <c r="G1412" s="3">
        <v>44965</v>
      </c>
      <c r="H1412">
        <v>21</v>
      </c>
      <c r="I1412">
        <v>48</v>
      </c>
      <c r="J1412" t="s">
        <v>4448</v>
      </c>
      <c r="K1412" t="s">
        <v>4441</v>
      </c>
      <c r="L1412" t="s">
        <v>4465</v>
      </c>
      <c r="M1412" t="s">
        <v>4446</v>
      </c>
      <c r="N1412">
        <v>4</v>
      </c>
    </row>
    <row r="1413" spans="1:14" x14ac:dyDescent="0.35">
      <c r="A1413" t="s">
        <v>5892</v>
      </c>
      <c r="B1413" t="s">
        <v>466</v>
      </c>
      <c r="C1413" t="s">
        <v>1915</v>
      </c>
      <c r="D1413" t="s">
        <v>4472</v>
      </c>
      <c r="E1413" t="s">
        <v>4456</v>
      </c>
      <c r="F1413" s="3">
        <v>45154</v>
      </c>
      <c r="G1413" s="3">
        <v>45154</v>
      </c>
      <c r="H1413">
        <v>2.2000000000000002</v>
      </c>
      <c r="I1413">
        <v>4</v>
      </c>
      <c r="J1413" t="s">
        <v>4448</v>
      </c>
      <c r="K1413" t="s">
        <v>4441</v>
      </c>
      <c r="L1413" t="s">
        <v>4458</v>
      </c>
      <c r="M1413" t="s">
        <v>4446</v>
      </c>
      <c r="N1413">
        <v>1</v>
      </c>
    </row>
    <row r="1414" spans="1:14" x14ac:dyDescent="0.35">
      <c r="A1414" t="s">
        <v>5893</v>
      </c>
      <c r="B1414" t="s">
        <v>413</v>
      </c>
      <c r="C1414" t="s">
        <v>1915</v>
      </c>
      <c r="D1414" t="s">
        <v>4482</v>
      </c>
      <c r="E1414" t="s">
        <v>4444</v>
      </c>
      <c r="F1414" s="3">
        <v>45708</v>
      </c>
      <c r="G1414" s="3">
        <v>45709</v>
      </c>
      <c r="H1414">
        <v>29.8</v>
      </c>
      <c r="I1414">
        <v>24</v>
      </c>
      <c r="J1414" t="s">
        <v>4440</v>
      </c>
      <c r="K1414" t="s">
        <v>4441</v>
      </c>
      <c r="L1414" t="s">
        <v>4449</v>
      </c>
      <c r="M1414" t="s">
        <v>4450</v>
      </c>
      <c r="N1414">
        <v>3</v>
      </c>
    </row>
    <row r="1415" spans="1:14" x14ac:dyDescent="0.35">
      <c r="A1415" t="s">
        <v>5894</v>
      </c>
      <c r="B1415" t="s">
        <v>74</v>
      </c>
      <c r="C1415" t="s">
        <v>1915</v>
      </c>
      <c r="D1415" t="s">
        <v>4485</v>
      </c>
      <c r="E1415" t="s">
        <v>4439</v>
      </c>
      <c r="F1415" s="3">
        <v>45019</v>
      </c>
      <c r="G1415" s="3">
        <v>45023</v>
      </c>
      <c r="H1415">
        <v>103.4</v>
      </c>
      <c r="I1415">
        <v>48</v>
      </c>
      <c r="J1415" t="s">
        <v>4440</v>
      </c>
      <c r="K1415" t="s">
        <v>4441</v>
      </c>
      <c r="L1415" t="s">
        <v>4454</v>
      </c>
      <c r="M1415" t="s">
        <v>4446</v>
      </c>
      <c r="N1415">
        <v>3</v>
      </c>
    </row>
    <row r="1416" spans="1:14" x14ac:dyDescent="0.35">
      <c r="A1416" t="s">
        <v>5895</v>
      </c>
      <c r="B1416" t="s">
        <v>497</v>
      </c>
      <c r="C1416" t="s">
        <v>1890</v>
      </c>
      <c r="D1416" t="s">
        <v>4460</v>
      </c>
      <c r="E1416" t="s">
        <v>4444</v>
      </c>
      <c r="F1416" s="3">
        <v>45223</v>
      </c>
      <c r="G1416" s="3">
        <v>45223</v>
      </c>
      <c r="H1416">
        <v>8</v>
      </c>
      <c r="I1416">
        <v>24</v>
      </c>
      <c r="J1416" t="s">
        <v>4448</v>
      </c>
      <c r="K1416" t="s">
        <v>4441</v>
      </c>
      <c r="L1416" t="s">
        <v>4480</v>
      </c>
      <c r="M1416" t="s">
        <v>4450</v>
      </c>
      <c r="N1416">
        <v>4</v>
      </c>
    </row>
    <row r="1417" spans="1:14" x14ac:dyDescent="0.35">
      <c r="A1417" t="s">
        <v>5896</v>
      </c>
      <c r="B1417" t="s">
        <v>291</v>
      </c>
      <c r="C1417" t="s">
        <v>1915</v>
      </c>
      <c r="D1417" t="s">
        <v>4482</v>
      </c>
      <c r="E1417" t="s">
        <v>4444</v>
      </c>
      <c r="F1417" s="3">
        <v>45376</v>
      </c>
      <c r="G1417" s="3">
        <v>45376</v>
      </c>
      <c r="H1417">
        <v>7.1</v>
      </c>
      <c r="I1417">
        <v>24</v>
      </c>
      <c r="J1417" t="s">
        <v>4448</v>
      </c>
      <c r="K1417" t="s">
        <v>4441</v>
      </c>
      <c r="L1417" t="s">
        <v>4449</v>
      </c>
      <c r="M1417" t="s">
        <v>1625</v>
      </c>
      <c r="N1417">
        <v>3</v>
      </c>
    </row>
    <row r="1418" spans="1:14" x14ac:dyDescent="0.35">
      <c r="A1418" t="s">
        <v>5897</v>
      </c>
      <c r="B1418" t="s">
        <v>426</v>
      </c>
      <c r="C1418" t="s">
        <v>1890</v>
      </c>
      <c r="D1418" t="s">
        <v>4482</v>
      </c>
      <c r="E1418" t="s">
        <v>4444</v>
      </c>
      <c r="F1418" s="3">
        <v>45588</v>
      </c>
      <c r="G1418" s="3">
        <v>45588</v>
      </c>
      <c r="H1418">
        <v>5.7</v>
      </c>
      <c r="I1418">
        <v>24</v>
      </c>
      <c r="J1418" t="s">
        <v>4448</v>
      </c>
      <c r="K1418" t="s">
        <v>4441</v>
      </c>
      <c r="L1418" t="s">
        <v>4488</v>
      </c>
      <c r="M1418" t="s">
        <v>4446</v>
      </c>
      <c r="N1418">
        <v>3</v>
      </c>
    </row>
    <row r="1419" spans="1:14" x14ac:dyDescent="0.35">
      <c r="A1419" t="s">
        <v>5898</v>
      </c>
      <c r="B1419" t="s">
        <v>147</v>
      </c>
      <c r="C1419" t="s">
        <v>1915</v>
      </c>
      <c r="D1419" t="s">
        <v>4490</v>
      </c>
      <c r="E1419" t="s">
        <v>4456</v>
      </c>
      <c r="F1419" s="3">
        <v>45449</v>
      </c>
      <c r="G1419" s="3">
        <v>45449</v>
      </c>
      <c r="H1419">
        <v>1.5</v>
      </c>
      <c r="I1419">
        <v>4</v>
      </c>
      <c r="J1419" t="s">
        <v>4448</v>
      </c>
      <c r="K1419" t="s">
        <v>4441</v>
      </c>
      <c r="L1419" t="s">
        <v>4512</v>
      </c>
      <c r="M1419" t="s">
        <v>1625</v>
      </c>
    </row>
    <row r="1420" spans="1:14" x14ac:dyDescent="0.35">
      <c r="A1420" t="s">
        <v>5899</v>
      </c>
      <c r="B1420" t="s">
        <v>250</v>
      </c>
      <c r="C1420" t="s">
        <v>1899</v>
      </c>
      <c r="D1420" t="s">
        <v>4438</v>
      </c>
      <c r="E1420" t="s">
        <v>4444</v>
      </c>
      <c r="F1420" s="3">
        <v>45195</v>
      </c>
      <c r="G1420" s="3">
        <v>45196</v>
      </c>
      <c r="H1420">
        <v>37.299999999999997</v>
      </c>
      <c r="I1420">
        <v>24</v>
      </c>
      <c r="J1420" t="s">
        <v>4440</v>
      </c>
      <c r="K1420" t="s">
        <v>4441</v>
      </c>
      <c r="L1420" t="s">
        <v>4449</v>
      </c>
      <c r="M1420" t="s">
        <v>4446</v>
      </c>
      <c r="N1420">
        <v>3</v>
      </c>
    </row>
    <row r="1421" spans="1:14" x14ac:dyDescent="0.35">
      <c r="A1421" t="s">
        <v>5900</v>
      </c>
      <c r="B1421" t="s">
        <v>222</v>
      </c>
      <c r="C1421" t="s">
        <v>1899</v>
      </c>
      <c r="D1421" t="s">
        <v>4438</v>
      </c>
      <c r="E1421" t="s">
        <v>4444</v>
      </c>
      <c r="F1421" s="3">
        <v>45398</v>
      </c>
      <c r="G1421" s="3">
        <v>45399</v>
      </c>
      <c r="H1421">
        <v>46.3</v>
      </c>
      <c r="I1421">
        <v>24</v>
      </c>
      <c r="J1421" t="s">
        <v>4440</v>
      </c>
      <c r="K1421" t="s">
        <v>4441</v>
      </c>
      <c r="L1421" t="s">
        <v>4527</v>
      </c>
      <c r="M1421" t="s">
        <v>4450</v>
      </c>
      <c r="N1421">
        <v>3</v>
      </c>
    </row>
    <row r="1422" spans="1:14" x14ac:dyDescent="0.35">
      <c r="A1422" t="s">
        <v>5901</v>
      </c>
      <c r="B1422" t="s">
        <v>160</v>
      </c>
      <c r="C1422" t="s">
        <v>1915</v>
      </c>
      <c r="D1422" t="s">
        <v>4490</v>
      </c>
      <c r="E1422" t="s">
        <v>4444</v>
      </c>
      <c r="F1422" s="3">
        <v>45382</v>
      </c>
      <c r="G1422" s="3">
        <v>45383</v>
      </c>
      <c r="H1422">
        <v>46.2</v>
      </c>
      <c r="I1422">
        <v>24</v>
      </c>
      <c r="J1422" t="s">
        <v>4440</v>
      </c>
      <c r="K1422" t="s">
        <v>4441</v>
      </c>
      <c r="L1422" t="s">
        <v>4449</v>
      </c>
      <c r="M1422" t="s">
        <v>4462</v>
      </c>
    </row>
    <row r="1423" spans="1:14" x14ac:dyDescent="0.35">
      <c r="A1423" t="s">
        <v>5902</v>
      </c>
      <c r="B1423" t="s">
        <v>486</v>
      </c>
      <c r="C1423" t="s">
        <v>1883</v>
      </c>
      <c r="D1423" t="s">
        <v>4485</v>
      </c>
      <c r="E1423" t="s">
        <v>4473</v>
      </c>
      <c r="F1423" s="3">
        <v>45386</v>
      </c>
      <c r="G1423" s="3">
        <v>45386</v>
      </c>
      <c r="H1423">
        <v>11.6</v>
      </c>
      <c r="I1423">
        <v>8</v>
      </c>
      <c r="J1423" t="s">
        <v>4440</v>
      </c>
      <c r="K1423" t="s">
        <v>4441</v>
      </c>
      <c r="L1423" t="s">
        <v>4533</v>
      </c>
      <c r="M1423" t="s">
        <v>1625</v>
      </c>
    </row>
    <row r="1424" spans="1:14" x14ac:dyDescent="0.35">
      <c r="A1424" t="s">
        <v>5903</v>
      </c>
      <c r="B1424" t="s">
        <v>449</v>
      </c>
      <c r="C1424" t="s">
        <v>1883</v>
      </c>
      <c r="D1424" t="s">
        <v>4490</v>
      </c>
      <c r="E1424" t="s">
        <v>4444</v>
      </c>
      <c r="F1424" s="3">
        <v>45297</v>
      </c>
      <c r="G1424" s="3">
        <v>45298</v>
      </c>
      <c r="H1424">
        <v>38.700000000000003</v>
      </c>
      <c r="I1424">
        <v>24</v>
      </c>
      <c r="J1424" t="s">
        <v>4440</v>
      </c>
      <c r="K1424" t="s">
        <v>4441</v>
      </c>
      <c r="L1424" t="s">
        <v>4480</v>
      </c>
      <c r="M1424" t="s">
        <v>1625</v>
      </c>
      <c r="N1424">
        <v>4</v>
      </c>
    </row>
    <row r="1425" spans="1:14" x14ac:dyDescent="0.35">
      <c r="A1425" t="s">
        <v>5904</v>
      </c>
      <c r="B1425" t="s">
        <v>493</v>
      </c>
      <c r="C1425" t="s">
        <v>1904</v>
      </c>
      <c r="D1425" t="s">
        <v>4438</v>
      </c>
      <c r="E1425" t="s">
        <v>4444</v>
      </c>
      <c r="F1425" s="3">
        <v>45093</v>
      </c>
      <c r="G1425" s="3">
        <v>45093</v>
      </c>
      <c r="H1425">
        <v>18.7</v>
      </c>
      <c r="I1425">
        <v>24</v>
      </c>
      <c r="J1425" t="s">
        <v>4448</v>
      </c>
      <c r="K1425" t="s">
        <v>4441</v>
      </c>
      <c r="L1425" t="s">
        <v>4533</v>
      </c>
      <c r="M1425" t="s">
        <v>1625</v>
      </c>
      <c r="N1425">
        <v>3</v>
      </c>
    </row>
    <row r="1426" spans="1:14" x14ac:dyDescent="0.35">
      <c r="A1426" t="s">
        <v>5905</v>
      </c>
      <c r="B1426" t="s">
        <v>180</v>
      </c>
      <c r="C1426" t="s">
        <v>1915</v>
      </c>
      <c r="D1426" t="s">
        <v>4482</v>
      </c>
      <c r="E1426" t="s">
        <v>4444</v>
      </c>
      <c r="F1426" s="3">
        <v>45573</v>
      </c>
      <c r="G1426" s="3">
        <v>45574</v>
      </c>
      <c r="H1426">
        <v>28.7</v>
      </c>
      <c r="I1426">
        <v>24</v>
      </c>
      <c r="J1426" t="s">
        <v>4440</v>
      </c>
      <c r="K1426" t="s">
        <v>4441</v>
      </c>
      <c r="L1426" t="s">
        <v>4470</v>
      </c>
      <c r="M1426" t="s">
        <v>4462</v>
      </c>
    </row>
    <row r="1427" spans="1:14" x14ac:dyDescent="0.35">
      <c r="A1427" t="s">
        <v>5906</v>
      </c>
      <c r="B1427" t="s">
        <v>45</v>
      </c>
      <c r="C1427" t="s">
        <v>1890</v>
      </c>
      <c r="D1427" t="s">
        <v>4452</v>
      </c>
      <c r="E1427" t="s">
        <v>4439</v>
      </c>
      <c r="F1427" s="3">
        <v>45252</v>
      </c>
      <c r="G1427" s="3" t="s">
        <v>537</v>
      </c>
      <c r="I1427">
        <v>48</v>
      </c>
      <c r="J1427" t="s">
        <v>4448</v>
      </c>
      <c r="K1427" t="s">
        <v>4457</v>
      </c>
      <c r="L1427" t="s">
        <v>4580</v>
      </c>
      <c r="M1427" t="s">
        <v>4450</v>
      </c>
    </row>
    <row r="1428" spans="1:14" x14ac:dyDescent="0.35">
      <c r="A1428" t="s">
        <v>5907</v>
      </c>
      <c r="B1428" t="s">
        <v>171</v>
      </c>
      <c r="C1428" t="s">
        <v>1890</v>
      </c>
      <c r="D1428" t="s">
        <v>8504</v>
      </c>
      <c r="E1428" t="s">
        <v>4444</v>
      </c>
      <c r="F1428" s="3">
        <v>45159</v>
      </c>
      <c r="G1428" s="3" t="s">
        <v>537</v>
      </c>
      <c r="I1428">
        <v>24</v>
      </c>
      <c r="J1428" t="s">
        <v>4440</v>
      </c>
      <c r="K1428" t="s">
        <v>4453</v>
      </c>
      <c r="L1428" t="s">
        <v>4449</v>
      </c>
      <c r="M1428" t="s">
        <v>1625</v>
      </c>
    </row>
    <row r="1429" spans="1:14" x14ac:dyDescent="0.35">
      <c r="A1429" t="s">
        <v>5908</v>
      </c>
      <c r="B1429" t="s">
        <v>180</v>
      </c>
      <c r="C1429" t="s">
        <v>1915</v>
      </c>
      <c r="D1429" t="s">
        <v>4472</v>
      </c>
      <c r="E1429" t="s">
        <v>4444</v>
      </c>
      <c r="F1429" s="3">
        <v>45268</v>
      </c>
      <c r="G1429" s="3" t="s">
        <v>537</v>
      </c>
      <c r="I1429">
        <v>24</v>
      </c>
      <c r="J1429" t="s">
        <v>4440</v>
      </c>
      <c r="K1429" t="s">
        <v>4457</v>
      </c>
      <c r="L1429" t="s">
        <v>1907</v>
      </c>
      <c r="M1429" t="s">
        <v>4462</v>
      </c>
    </row>
    <row r="1430" spans="1:14" x14ac:dyDescent="0.35">
      <c r="A1430" t="s">
        <v>5909</v>
      </c>
      <c r="B1430" t="s">
        <v>277</v>
      </c>
      <c r="C1430" t="s">
        <v>1890</v>
      </c>
      <c r="D1430" t="s">
        <v>4472</v>
      </c>
      <c r="E1430" t="s">
        <v>4473</v>
      </c>
      <c r="F1430" s="3">
        <v>45405</v>
      </c>
      <c r="G1430" s="3">
        <v>45405</v>
      </c>
      <c r="H1430">
        <v>11.3</v>
      </c>
      <c r="I1430">
        <v>8</v>
      </c>
      <c r="J1430" t="s">
        <v>4440</v>
      </c>
      <c r="K1430" t="s">
        <v>4441</v>
      </c>
      <c r="L1430" t="s">
        <v>4501</v>
      </c>
      <c r="M1430" t="s">
        <v>4462</v>
      </c>
      <c r="N1430">
        <v>4</v>
      </c>
    </row>
    <row r="1431" spans="1:14" x14ac:dyDescent="0.35">
      <c r="A1431" t="s">
        <v>5910</v>
      </c>
      <c r="B1431" t="s">
        <v>176</v>
      </c>
      <c r="C1431" t="s">
        <v>1899</v>
      </c>
      <c r="D1431" t="s">
        <v>4472</v>
      </c>
      <c r="E1431" t="s">
        <v>4444</v>
      </c>
      <c r="F1431" s="3">
        <v>45187</v>
      </c>
      <c r="G1431" s="3">
        <v>45188</v>
      </c>
      <c r="H1431">
        <v>25.3</v>
      </c>
      <c r="I1431">
        <v>24</v>
      </c>
      <c r="J1431" t="s">
        <v>4440</v>
      </c>
      <c r="K1431" t="s">
        <v>4441</v>
      </c>
      <c r="L1431" t="s">
        <v>4580</v>
      </c>
      <c r="M1431" t="s">
        <v>4446</v>
      </c>
      <c r="N1431">
        <v>3</v>
      </c>
    </row>
    <row r="1432" spans="1:14" x14ac:dyDescent="0.35">
      <c r="A1432" t="s">
        <v>5911</v>
      </c>
      <c r="B1432" t="s">
        <v>372</v>
      </c>
      <c r="C1432" t="s">
        <v>1915</v>
      </c>
      <c r="D1432" t="s">
        <v>4476</v>
      </c>
      <c r="E1432" t="s">
        <v>4444</v>
      </c>
      <c r="F1432" s="3">
        <v>45735</v>
      </c>
      <c r="G1432" s="3">
        <v>45736</v>
      </c>
      <c r="H1432">
        <v>36.200000000000003</v>
      </c>
      <c r="I1432">
        <v>24</v>
      </c>
      <c r="J1432" t="s">
        <v>4440</v>
      </c>
      <c r="K1432" t="s">
        <v>4441</v>
      </c>
      <c r="L1432" t="s">
        <v>4470</v>
      </c>
      <c r="M1432" t="s">
        <v>4446</v>
      </c>
      <c r="N1432">
        <v>5</v>
      </c>
    </row>
    <row r="1433" spans="1:14" x14ac:dyDescent="0.35">
      <c r="A1433" t="s">
        <v>5912</v>
      </c>
      <c r="B1433" t="s">
        <v>114</v>
      </c>
      <c r="C1433" t="s">
        <v>1915</v>
      </c>
      <c r="D1433" t="s">
        <v>4485</v>
      </c>
      <c r="E1433" t="s">
        <v>4473</v>
      </c>
      <c r="F1433" s="3">
        <v>45152</v>
      </c>
      <c r="G1433" s="3">
        <v>45152</v>
      </c>
      <c r="H1433">
        <v>19.899999999999999</v>
      </c>
      <c r="I1433">
        <v>8</v>
      </c>
      <c r="J1433" t="s">
        <v>4440</v>
      </c>
      <c r="K1433" t="s">
        <v>4441</v>
      </c>
      <c r="L1433" t="s">
        <v>4454</v>
      </c>
      <c r="M1433" t="s">
        <v>4462</v>
      </c>
      <c r="N1433">
        <v>4</v>
      </c>
    </row>
    <row r="1434" spans="1:14" x14ac:dyDescent="0.35">
      <c r="A1434" t="s">
        <v>5913</v>
      </c>
      <c r="B1434" t="s">
        <v>171</v>
      </c>
      <c r="C1434" t="s">
        <v>1899</v>
      </c>
      <c r="D1434" t="s">
        <v>4490</v>
      </c>
      <c r="E1434" t="s">
        <v>4456</v>
      </c>
      <c r="F1434" s="3">
        <v>44992</v>
      </c>
      <c r="G1434" s="3" t="s">
        <v>537</v>
      </c>
      <c r="I1434">
        <v>4</v>
      </c>
      <c r="J1434" t="s">
        <v>4448</v>
      </c>
      <c r="K1434" t="s">
        <v>4457</v>
      </c>
      <c r="L1434" t="s">
        <v>4458</v>
      </c>
      <c r="M1434" t="s">
        <v>1625</v>
      </c>
    </row>
    <row r="1435" spans="1:14" x14ac:dyDescent="0.35">
      <c r="A1435" t="s">
        <v>5914</v>
      </c>
      <c r="B1435" t="s">
        <v>226</v>
      </c>
      <c r="C1435" t="s">
        <v>1899</v>
      </c>
      <c r="D1435" t="s">
        <v>4443</v>
      </c>
      <c r="E1435" t="s">
        <v>4444</v>
      </c>
      <c r="F1435" s="3">
        <v>45613</v>
      </c>
      <c r="G1435" s="3">
        <v>45614</v>
      </c>
      <c r="H1435">
        <v>45.9</v>
      </c>
      <c r="I1435">
        <v>24</v>
      </c>
      <c r="J1435" t="s">
        <v>4440</v>
      </c>
      <c r="K1435" t="s">
        <v>4441</v>
      </c>
      <c r="L1435" t="s">
        <v>4465</v>
      </c>
      <c r="M1435" t="s">
        <v>1625</v>
      </c>
      <c r="N1435">
        <v>3</v>
      </c>
    </row>
    <row r="1436" spans="1:14" x14ac:dyDescent="0.35">
      <c r="A1436" t="s">
        <v>5915</v>
      </c>
      <c r="B1436" t="s">
        <v>158</v>
      </c>
      <c r="C1436" t="s">
        <v>1927</v>
      </c>
      <c r="D1436" t="s">
        <v>4452</v>
      </c>
      <c r="E1436" t="s">
        <v>4444</v>
      </c>
      <c r="F1436" s="3">
        <v>45323</v>
      </c>
      <c r="G1436" s="3" t="s">
        <v>537</v>
      </c>
      <c r="I1436">
        <v>24</v>
      </c>
      <c r="J1436" t="s">
        <v>4448</v>
      </c>
      <c r="K1436" t="s">
        <v>4474</v>
      </c>
      <c r="L1436" t="s">
        <v>4512</v>
      </c>
      <c r="M1436" t="s">
        <v>4446</v>
      </c>
    </row>
    <row r="1437" spans="1:14" x14ac:dyDescent="0.35">
      <c r="A1437" t="s">
        <v>5916</v>
      </c>
      <c r="B1437" t="s">
        <v>162</v>
      </c>
      <c r="C1437" t="s">
        <v>1899</v>
      </c>
      <c r="D1437" t="s">
        <v>8514</v>
      </c>
      <c r="E1437" t="s">
        <v>4439</v>
      </c>
      <c r="F1437" s="3">
        <v>45099</v>
      </c>
      <c r="G1437" s="3">
        <v>45102</v>
      </c>
      <c r="H1437">
        <v>78</v>
      </c>
      <c r="I1437">
        <v>48</v>
      </c>
      <c r="J1437" t="s">
        <v>4440</v>
      </c>
      <c r="K1437" t="s">
        <v>4441</v>
      </c>
      <c r="L1437" t="s">
        <v>4492</v>
      </c>
      <c r="M1437" t="s">
        <v>4462</v>
      </c>
    </row>
    <row r="1438" spans="1:14" x14ac:dyDescent="0.35">
      <c r="A1438" t="s">
        <v>5917</v>
      </c>
      <c r="B1438" t="s">
        <v>390</v>
      </c>
      <c r="C1438" t="s">
        <v>1904</v>
      </c>
      <c r="D1438" t="s">
        <v>4476</v>
      </c>
      <c r="E1438" t="s">
        <v>4444</v>
      </c>
      <c r="F1438" s="3">
        <v>45418</v>
      </c>
      <c r="G1438" s="3" t="s">
        <v>537</v>
      </c>
      <c r="I1438">
        <v>24</v>
      </c>
      <c r="J1438" t="s">
        <v>4440</v>
      </c>
      <c r="K1438" t="s">
        <v>4474</v>
      </c>
      <c r="L1438" t="s">
        <v>4514</v>
      </c>
      <c r="M1438" t="s">
        <v>4462</v>
      </c>
    </row>
    <row r="1439" spans="1:14" x14ac:dyDescent="0.35">
      <c r="A1439" t="s">
        <v>5918</v>
      </c>
      <c r="B1439" t="s">
        <v>266</v>
      </c>
      <c r="C1439" t="s">
        <v>1904</v>
      </c>
      <c r="D1439" t="s">
        <v>4469</v>
      </c>
      <c r="E1439" t="s">
        <v>4444</v>
      </c>
      <c r="F1439" s="3">
        <v>45559</v>
      </c>
      <c r="G1439" s="3">
        <v>45561</v>
      </c>
      <c r="H1439">
        <v>53.7</v>
      </c>
      <c r="I1439">
        <v>24</v>
      </c>
      <c r="J1439" t="s">
        <v>4440</v>
      </c>
      <c r="K1439" t="s">
        <v>4441</v>
      </c>
      <c r="L1439" t="s">
        <v>4465</v>
      </c>
      <c r="M1439" t="s">
        <v>4462</v>
      </c>
      <c r="N1439">
        <v>4</v>
      </c>
    </row>
    <row r="1440" spans="1:14" x14ac:dyDescent="0.35">
      <c r="A1440" t="s">
        <v>5919</v>
      </c>
      <c r="B1440" t="s">
        <v>372</v>
      </c>
      <c r="C1440" t="s">
        <v>1890</v>
      </c>
      <c r="D1440" t="s">
        <v>4482</v>
      </c>
      <c r="E1440" t="s">
        <v>4444</v>
      </c>
      <c r="F1440" s="3">
        <v>45290</v>
      </c>
      <c r="G1440" s="3">
        <v>45292</v>
      </c>
      <c r="H1440">
        <v>57.1</v>
      </c>
      <c r="I1440">
        <v>24</v>
      </c>
      <c r="J1440" t="s">
        <v>1945</v>
      </c>
      <c r="K1440" t="s">
        <v>4441</v>
      </c>
      <c r="L1440" t="s">
        <v>4533</v>
      </c>
      <c r="M1440" t="s">
        <v>4450</v>
      </c>
      <c r="N1440">
        <v>4</v>
      </c>
    </row>
    <row r="1441" spans="1:14" x14ac:dyDescent="0.35">
      <c r="A1441" t="s">
        <v>5920</v>
      </c>
      <c r="B1441" t="s">
        <v>386</v>
      </c>
      <c r="C1441" t="s">
        <v>1883</v>
      </c>
      <c r="D1441" t="s">
        <v>4460</v>
      </c>
      <c r="E1441" t="s">
        <v>4444</v>
      </c>
      <c r="F1441" s="3">
        <v>45577</v>
      </c>
      <c r="G1441" s="3">
        <v>45578</v>
      </c>
      <c r="H1441">
        <v>32.299999999999997</v>
      </c>
      <c r="I1441">
        <v>24</v>
      </c>
      <c r="J1441" t="s">
        <v>4440</v>
      </c>
      <c r="K1441" t="s">
        <v>4441</v>
      </c>
      <c r="L1441" t="s">
        <v>4488</v>
      </c>
      <c r="M1441" t="s">
        <v>1625</v>
      </c>
      <c r="N1441">
        <v>5</v>
      </c>
    </row>
    <row r="1442" spans="1:14" x14ac:dyDescent="0.35">
      <c r="A1442" t="s">
        <v>5921</v>
      </c>
      <c r="B1442" t="s">
        <v>428</v>
      </c>
      <c r="C1442" t="s">
        <v>1899</v>
      </c>
      <c r="D1442" t="s">
        <v>8506</v>
      </c>
      <c r="E1442" t="s">
        <v>4456</v>
      </c>
      <c r="F1442" s="3">
        <v>45266</v>
      </c>
      <c r="G1442" s="3">
        <v>45266</v>
      </c>
      <c r="H1442">
        <v>9</v>
      </c>
      <c r="I1442">
        <v>4</v>
      </c>
      <c r="J1442" t="s">
        <v>4440</v>
      </c>
      <c r="K1442" t="s">
        <v>4441</v>
      </c>
      <c r="L1442" t="s">
        <v>4527</v>
      </c>
      <c r="M1442" t="s">
        <v>1625</v>
      </c>
      <c r="N1442">
        <v>4</v>
      </c>
    </row>
    <row r="1443" spans="1:14" x14ac:dyDescent="0.35">
      <c r="A1443" t="s">
        <v>5922</v>
      </c>
      <c r="B1443" t="s">
        <v>154</v>
      </c>
      <c r="C1443" t="s">
        <v>1915</v>
      </c>
      <c r="D1443" t="s">
        <v>4438</v>
      </c>
      <c r="E1443" t="s">
        <v>4473</v>
      </c>
      <c r="F1443" s="3">
        <v>45093</v>
      </c>
      <c r="G1443" s="3" t="s">
        <v>537</v>
      </c>
      <c r="I1443">
        <v>8</v>
      </c>
      <c r="J1443" t="s">
        <v>4448</v>
      </c>
      <c r="K1443" t="s">
        <v>4453</v>
      </c>
      <c r="L1443" t="s">
        <v>4454</v>
      </c>
      <c r="M1443" t="s">
        <v>4446</v>
      </c>
    </row>
    <row r="1444" spans="1:14" x14ac:dyDescent="0.35">
      <c r="A1444" t="s">
        <v>5923</v>
      </c>
      <c r="B1444" t="s">
        <v>99</v>
      </c>
      <c r="C1444" t="s">
        <v>1890</v>
      </c>
      <c r="D1444" t="s">
        <v>4460</v>
      </c>
      <c r="E1444" t="s">
        <v>4444</v>
      </c>
      <c r="F1444" s="3">
        <v>45673</v>
      </c>
      <c r="G1444" s="3">
        <v>45673</v>
      </c>
      <c r="H1444">
        <v>16</v>
      </c>
      <c r="I1444">
        <v>24</v>
      </c>
      <c r="J1444" t="s">
        <v>4448</v>
      </c>
      <c r="K1444" t="s">
        <v>4441</v>
      </c>
      <c r="L1444" t="s">
        <v>4509</v>
      </c>
      <c r="M1444" t="s">
        <v>4450</v>
      </c>
      <c r="N1444">
        <v>4</v>
      </c>
    </row>
    <row r="1445" spans="1:14" x14ac:dyDescent="0.35">
      <c r="A1445" t="s">
        <v>5924</v>
      </c>
      <c r="B1445" t="s">
        <v>167</v>
      </c>
      <c r="C1445" t="s">
        <v>1883</v>
      </c>
      <c r="D1445" t="s">
        <v>4443</v>
      </c>
      <c r="E1445" t="s">
        <v>4473</v>
      </c>
      <c r="F1445" s="3">
        <v>45352</v>
      </c>
      <c r="G1445" s="3">
        <v>45352</v>
      </c>
      <c r="H1445">
        <v>16.600000000000001</v>
      </c>
      <c r="I1445">
        <v>8</v>
      </c>
      <c r="J1445" t="s">
        <v>4440</v>
      </c>
      <c r="K1445" t="s">
        <v>4441</v>
      </c>
      <c r="L1445" t="s">
        <v>1907</v>
      </c>
      <c r="M1445" t="s">
        <v>4446</v>
      </c>
      <c r="N1445">
        <v>2</v>
      </c>
    </row>
    <row r="1446" spans="1:14" x14ac:dyDescent="0.35">
      <c r="A1446" t="s">
        <v>5925</v>
      </c>
      <c r="B1446" t="s">
        <v>42</v>
      </c>
      <c r="C1446" t="s">
        <v>1915</v>
      </c>
      <c r="D1446" t="s">
        <v>4490</v>
      </c>
      <c r="E1446" t="s">
        <v>79</v>
      </c>
      <c r="F1446" s="3">
        <v>45193</v>
      </c>
      <c r="G1446" s="3">
        <v>45193</v>
      </c>
      <c r="H1446">
        <v>23.9</v>
      </c>
      <c r="I1446">
        <v>48</v>
      </c>
      <c r="J1446" t="s">
        <v>4448</v>
      </c>
      <c r="K1446" t="s">
        <v>4441</v>
      </c>
      <c r="L1446" t="s">
        <v>4470</v>
      </c>
      <c r="M1446" t="s">
        <v>1625</v>
      </c>
      <c r="N1446">
        <v>3</v>
      </c>
    </row>
    <row r="1447" spans="1:14" x14ac:dyDescent="0.35">
      <c r="A1447" t="s">
        <v>5926</v>
      </c>
      <c r="B1447" t="s">
        <v>486</v>
      </c>
      <c r="C1447" t="s">
        <v>1927</v>
      </c>
      <c r="D1447" t="s">
        <v>8509</v>
      </c>
      <c r="E1447" t="s">
        <v>4444</v>
      </c>
      <c r="F1447" s="3">
        <v>45474</v>
      </c>
      <c r="G1447" s="3">
        <v>45475</v>
      </c>
      <c r="H1447">
        <v>35.299999999999997</v>
      </c>
      <c r="I1447">
        <v>24</v>
      </c>
      <c r="J1447" t="s">
        <v>4440</v>
      </c>
      <c r="K1447" t="s">
        <v>4441</v>
      </c>
      <c r="L1447" t="s">
        <v>4449</v>
      </c>
      <c r="M1447" t="s">
        <v>4450</v>
      </c>
      <c r="N1447">
        <v>5</v>
      </c>
    </row>
    <row r="1448" spans="1:14" x14ac:dyDescent="0.35">
      <c r="A1448" t="s">
        <v>5927</v>
      </c>
      <c r="B1448" t="s">
        <v>94</v>
      </c>
      <c r="C1448" t="s">
        <v>1904</v>
      </c>
      <c r="D1448" t="s">
        <v>4479</v>
      </c>
      <c r="E1448" t="s">
        <v>4444</v>
      </c>
      <c r="F1448" s="3">
        <v>44953</v>
      </c>
      <c r="G1448" s="3">
        <v>44953</v>
      </c>
      <c r="H1448">
        <v>12.3</v>
      </c>
      <c r="I1448">
        <v>24</v>
      </c>
      <c r="J1448" t="s">
        <v>4448</v>
      </c>
      <c r="K1448" t="s">
        <v>4441</v>
      </c>
      <c r="L1448" t="s">
        <v>4470</v>
      </c>
      <c r="M1448" t="s">
        <v>4446</v>
      </c>
      <c r="N1448">
        <v>5</v>
      </c>
    </row>
    <row r="1449" spans="1:14" x14ac:dyDescent="0.35">
      <c r="A1449" t="s">
        <v>5928</v>
      </c>
      <c r="B1449" t="s">
        <v>285</v>
      </c>
      <c r="C1449" t="s">
        <v>1883</v>
      </c>
      <c r="D1449" t="s">
        <v>4476</v>
      </c>
      <c r="E1449" t="s">
        <v>4444</v>
      </c>
      <c r="F1449" s="3">
        <v>45586</v>
      </c>
      <c r="G1449" s="3" t="s">
        <v>537</v>
      </c>
      <c r="I1449">
        <v>24</v>
      </c>
      <c r="J1449" t="s">
        <v>4448</v>
      </c>
      <c r="K1449" t="s">
        <v>4474</v>
      </c>
      <c r="L1449" t="s">
        <v>4527</v>
      </c>
      <c r="M1449" t="s">
        <v>4450</v>
      </c>
    </row>
    <row r="1450" spans="1:14" x14ac:dyDescent="0.35">
      <c r="A1450" t="s">
        <v>5929</v>
      </c>
      <c r="B1450" t="s">
        <v>152</v>
      </c>
      <c r="C1450" t="s">
        <v>1883</v>
      </c>
      <c r="D1450" t="s">
        <v>4460</v>
      </c>
      <c r="E1450" t="s">
        <v>4439</v>
      </c>
      <c r="F1450" s="3">
        <v>45462</v>
      </c>
      <c r="G1450" s="3">
        <v>45466</v>
      </c>
      <c r="H1450">
        <v>111.2</v>
      </c>
      <c r="I1450">
        <v>48</v>
      </c>
      <c r="J1450" t="s">
        <v>4440</v>
      </c>
      <c r="K1450" t="s">
        <v>4441</v>
      </c>
      <c r="L1450" t="s">
        <v>4509</v>
      </c>
      <c r="M1450" t="s">
        <v>1625</v>
      </c>
    </row>
    <row r="1451" spans="1:14" x14ac:dyDescent="0.35">
      <c r="A1451" t="s">
        <v>5930</v>
      </c>
      <c r="B1451" t="s">
        <v>152</v>
      </c>
      <c r="C1451" t="s">
        <v>1899</v>
      </c>
      <c r="D1451" t="s">
        <v>4464</v>
      </c>
      <c r="E1451" t="s">
        <v>4473</v>
      </c>
      <c r="F1451" s="3">
        <v>45043</v>
      </c>
      <c r="G1451" s="3" t="s">
        <v>537</v>
      </c>
      <c r="I1451">
        <v>8</v>
      </c>
      <c r="J1451" t="s">
        <v>4448</v>
      </c>
      <c r="K1451" t="s">
        <v>4453</v>
      </c>
      <c r="L1451" t="s">
        <v>4480</v>
      </c>
      <c r="M1451" t="s">
        <v>4462</v>
      </c>
    </row>
    <row r="1452" spans="1:14" x14ac:dyDescent="0.35">
      <c r="A1452" t="s">
        <v>5931</v>
      </c>
      <c r="B1452" t="s">
        <v>356</v>
      </c>
      <c r="C1452" t="s">
        <v>1883</v>
      </c>
      <c r="D1452" t="s">
        <v>4464</v>
      </c>
      <c r="E1452" t="s">
        <v>4444</v>
      </c>
      <c r="F1452" s="3">
        <v>45741</v>
      </c>
      <c r="G1452" s="3">
        <v>45742</v>
      </c>
      <c r="H1452">
        <v>46.9</v>
      </c>
      <c r="I1452">
        <v>24</v>
      </c>
      <c r="J1452" t="s">
        <v>4440</v>
      </c>
      <c r="K1452" t="s">
        <v>4441</v>
      </c>
      <c r="L1452" t="s">
        <v>4449</v>
      </c>
      <c r="M1452" t="s">
        <v>4450</v>
      </c>
      <c r="N1452">
        <v>3</v>
      </c>
    </row>
    <row r="1453" spans="1:14" x14ac:dyDescent="0.35">
      <c r="A1453" t="s">
        <v>5932</v>
      </c>
      <c r="B1453" t="s">
        <v>426</v>
      </c>
      <c r="C1453" t="s">
        <v>1915</v>
      </c>
      <c r="D1453" t="s">
        <v>4476</v>
      </c>
      <c r="E1453" t="s">
        <v>4473</v>
      </c>
      <c r="F1453" s="3">
        <v>45297</v>
      </c>
      <c r="G1453" s="3">
        <v>45297</v>
      </c>
      <c r="H1453">
        <v>16.399999999999999</v>
      </c>
      <c r="I1453">
        <v>8</v>
      </c>
      <c r="J1453" t="s">
        <v>4440</v>
      </c>
      <c r="K1453" t="s">
        <v>4441</v>
      </c>
      <c r="L1453" t="s">
        <v>4465</v>
      </c>
      <c r="M1453" t="s">
        <v>4450</v>
      </c>
      <c r="N1453">
        <v>2</v>
      </c>
    </row>
    <row r="1454" spans="1:14" x14ac:dyDescent="0.35">
      <c r="A1454" t="s">
        <v>5933</v>
      </c>
      <c r="B1454" t="s">
        <v>378</v>
      </c>
      <c r="C1454" t="s">
        <v>1890</v>
      </c>
      <c r="D1454" t="s">
        <v>4438</v>
      </c>
      <c r="E1454" t="s">
        <v>4439</v>
      </c>
      <c r="F1454" s="3">
        <v>45411</v>
      </c>
      <c r="G1454" s="3" t="s">
        <v>537</v>
      </c>
      <c r="I1454">
        <v>48</v>
      </c>
      <c r="J1454" t="s">
        <v>4440</v>
      </c>
      <c r="K1454" t="s">
        <v>4474</v>
      </c>
      <c r="L1454" t="s">
        <v>4580</v>
      </c>
      <c r="M1454" t="s">
        <v>4450</v>
      </c>
    </row>
    <row r="1455" spans="1:14" x14ac:dyDescent="0.35">
      <c r="A1455" t="s">
        <v>5934</v>
      </c>
      <c r="B1455" t="s">
        <v>399</v>
      </c>
      <c r="C1455" t="s">
        <v>1883</v>
      </c>
      <c r="D1455" t="s">
        <v>4452</v>
      </c>
      <c r="E1455" t="s">
        <v>4444</v>
      </c>
      <c r="F1455" s="3">
        <v>45718</v>
      </c>
      <c r="G1455" s="3">
        <v>45718</v>
      </c>
      <c r="H1455">
        <v>14.5</v>
      </c>
      <c r="I1455">
        <v>24</v>
      </c>
      <c r="J1455" t="s">
        <v>4448</v>
      </c>
      <c r="K1455" t="s">
        <v>4441</v>
      </c>
      <c r="L1455" t="s">
        <v>4512</v>
      </c>
      <c r="M1455" t="s">
        <v>4450</v>
      </c>
      <c r="N1455">
        <v>5</v>
      </c>
    </row>
    <row r="1456" spans="1:14" x14ac:dyDescent="0.35">
      <c r="A1456" t="s">
        <v>5935</v>
      </c>
      <c r="B1456" t="s">
        <v>289</v>
      </c>
      <c r="C1456" t="s">
        <v>1899</v>
      </c>
      <c r="D1456" t="s">
        <v>4464</v>
      </c>
      <c r="E1456" t="s">
        <v>4444</v>
      </c>
      <c r="F1456" s="3">
        <v>45550</v>
      </c>
      <c r="G1456" s="3">
        <v>45550</v>
      </c>
      <c r="H1456">
        <v>13.5</v>
      </c>
      <c r="I1456">
        <v>24</v>
      </c>
      <c r="J1456" t="s">
        <v>4448</v>
      </c>
      <c r="K1456" t="s">
        <v>4441</v>
      </c>
      <c r="L1456" t="s">
        <v>4512</v>
      </c>
      <c r="M1456" t="s">
        <v>4462</v>
      </c>
      <c r="N1456">
        <v>4</v>
      </c>
    </row>
    <row r="1457" spans="1:14" x14ac:dyDescent="0.35">
      <c r="A1457" t="s">
        <v>5936</v>
      </c>
      <c r="B1457" t="s">
        <v>112</v>
      </c>
      <c r="C1457" t="s">
        <v>1883</v>
      </c>
      <c r="D1457" t="s">
        <v>4452</v>
      </c>
      <c r="E1457" t="s">
        <v>4444</v>
      </c>
      <c r="F1457" s="3">
        <v>45310</v>
      </c>
      <c r="G1457" s="3" t="s">
        <v>537</v>
      </c>
      <c r="I1457">
        <v>24</v>
      </c>
      <c r="J1457" t="s">
        <v>4440</v>
      </c>
      <c r="K1457" t="s">
        <v>4457</v>
      </c>
      <c r="L1457" t="s">
        <v>4461</v>
      </c>
      <c r="M1457" t="s">
        <v>4450</v>
      </c>
    </row>
    <row r="1458" spans="1:14" x14ac:dyDescent="0.35">
      <c r="A1458" t="s">
        <v>5937</v>
      </c>
      <c r="B1458" t="s">
        <v>101</v>
      </c>
      <c r="C1458" t="s">
        <v>1883</v>
      </c>
      <c r="D1458" t="s">
        <v>4464</v>
      </c>
      <c r="E1458" t="s">
        <v>4444</v>
      </c>
      <c r="F1458" s="3">
        <v>45633</v>
      </c>
      <c r="G1458" s="3" t="s">
        <v>537</v>
      </c>
      <c r="I1458">
        <v>24</v>
      </c>
      <c r="J1458" t="s">
        <v>4448</v>
      </c>
      <c r="K1458" t="s">
        <v>4453</v>
      </c>
      <c r="L1458" t="s">
        <v>4458</v>
      </c>
      <c r="M1458" t="s">
        <v>4462</v>
      </c>
    </row>
    <row r="1459" spans="1:14" x14ac:dyDescent="0.35">
      <c r="A1459" t="s">
        <v>5938</v>
      </c>
      <c r="B1459" t="s">
        <v>57</v>
      </c>
      <c r="C1459" t="s">
        <v>1883</v>
      </c>
      <c r="D1459" t="s">
        <v>4485</v>
      </c>
      <c r="E1459" t="s">
        <v>4473</v>
      </c>
      <c r="F1459" s="3">
        <v>45175</v>
      </c>
      <c r="G1459" s="3">
        <v>45175</v>
      </c>
      <c r="H1459">
        <v>2.5</v>
      </c>
      <c r="I1459">
        <v>8</v>
      </c>
      <c r="J1459" t="s">
        <v>4448</v>
      </c>
      <c r="K1459" t="s">
        <v>4441</v>
      </c>
      <c r="L1459" t="s">
        <v>4449</v>
      </c>
      <c r="M1459" t="s">
        <v>4462</v>
      </c>
    </row>
    <row r="1460" spans="1:14" x14ac:dyDescent="0.35">
      <c r="A1460" t="s">
        <v>5939</v>
      </c>
      <c r="B1460" t="s">
        <v>152</v>
      </c>
      <c r="C1460" t="s">
        <v>1904</v>
      </c>
      <c r="D1460" t="s">
        <v>4464</v>
      </c>
      <c r="E1460" t="s">
        <v>4439</v>
      </c>
      <c r="F1460" s="3">
        <v>45255</v>
      </c>
      <c r="G1460" s="3">
        <v>45258</v>
      </c>
      <c r="H1460">
        <v>73.3</v>
      </c>
      <c r="I1460">
        <v>48</v>
      </c>
      <c r="J1460" t="s">
        <v>4440</v>
      </c>
      <c r="K1460" t="s">
        <v>4441</v>
      </c>
      <c r="L1460" t="s">
        <v>4533</v>
      </c>
      <c r="M1460" t="s">
        <v>4446</v>
      </c>
      <c r="N1460">
        <v>5</v>
      </c>
    </row>
    <row r="1461" spans="1:14" x14ac:dyDescent="0.35">
      <c r="A1461" t="s">
        <v>5940</v>
      </c>
      <c r="B1461" t="s">
        <v>305</v>
      </c>
      <c r="C1461" t="s">
        <v>1899</v>
      </c>
      <c r="D1461" t="s">
        <v>4469</v>
      </c>
      <c r="E1461" t="s">
        <v>4439</v>
      </c>
      <c r="F1461" s="3">
        <v>44945</v>
      </c>
      <c r="G1461" s="3" t="s">
        <v>537</v>
      </c>
      <c r="I1461">
        <v>48</v>
      </c>
      <c r="J1461" t="s">
        <v>4440</v>
      </c>
      <c r="K1461" t="s">
        <v>4474</v>
      </c>
      <c r="L1461" t="s">
        <v>4488</v>
      </c>
      <c r="M1461" t="s">
        <v>4462</v>
      </c>
    </row>
    <row r="1462" spans="1:14" x14ac:dyDescent="0.35">
      <c r="A1462" t="s">
        <v>5941</v>
      </c>
      <c r="B1462" t="s">
        <v>480</v>
      </c>
      <c r="C1462" t="s">
        <v>1915</v>
      </c>
      <c r="D1462" t="s">
        <v>4485</v>
      </c>
      <c r="E1462" t="s">
        <v>4473</v>
      </c>
      <c r="F1462" s="3">
        <v>45057</v>
      </c>
      <c r="G1462" s="3">
        <v>45057</v>
      </c>
      <c r="H1462">
        <v>6.6</v>
      </c>
      <c r="I1462">
        <v>8</v>
      </c>
      <c r="J1462" t="s">
        <v>4448</v>
      </c>
      <c r="K1462" t="s">
        <v>4441</v>
      </c>
      <c r="L1462" t="s">
        <v>4514</v>
      </c>
      <c r="M1462" t="s">
        <v>4446</v>
      </c>
    </row>
    <row r="1463" spans="1:14" x14ac:dyDescent="0.35">
      <c r="A1463" t="s">
        <v>5942</v>
      </c>
      <c r="B1463" t="s">
        <v>384</v>
      </c>
      <c r="C1463" t="s">
        <v>1927</v>
      </c>
      <c r="D1463" t="s">
        <v>4469</v>
      </c>
      <c r="E1463" t="s">
        <v>4473</v>
      </c>
      <c r="F1463" s="3">
        <v>45313</v>
      </c>
      <c r="G1463" s="3">
        <v>45313</v>
      </c>
      <c r="H1463">
        <v>6.7</v>
      </c>
      <c r="I1463">
        <v>8</v>
      </c>
      <c r="J1463" t="s">
        <v>4448</v>
      </c>
      <c r="K1463" t="s">
        <v>4441</v>
      </c>
      <c r="L1463" t="s">
        <v>4483</v>
      </c>
      <c r="M1463" t="s">
        <v>1625</v>
      </c>
      <c r="N1463">
        <v>3</v>
      </c>
    </row>
    <row r="1464" spans="1:14" x14ac:dyDescent="0.35">
      <c r="A1464" t="s">
        <v>5943</v>
      </c>
      <c r="B1464" t="s">
        <v>363</v>
      </c>
      <c r="C1464" t="s">
        <v>1899</v>
      </c>
      <c r="D1464" t="s">
        <v>8513</v>
      </c>
      <c r="E1464" t="s">
        <v>4444</v>
      </c>
      <c r="F1464" s="3">
        <v>45280</v>
      </c>
      <c r="G1464" s="3" t="s">
        <v>537</v>
      </c>
      <c r="I1464">
        <v>24</v>
      </c>
      <c r="J1464" t="s">
        <v>4440</v>
      </c>
      <c r="K1464" t="s">
        <v>4474</v>
      </c>
      <c r="L1464" t="s">
        <v>1907</v>
      </c>
      <c r="M1464" t="s">
        <v>4462</v>
      </c>
    </row>
    <row r="1465" spans="1:14" x14ac:dyDescent="0.35">
      <c r="A1465" t="s">
        <v>5944</v>
      </c>
      <c r="B1465" t="s">
        <v>288</v>
      </c>
      <c r="C1465" t="s">
        <v>1915</v>
      </c>
      <c r="D1465" t="s">
        <v>4482</v>
      </c>
      <c r="E1465" t="s">
        <v>4439</v>
      </c>
      <c r="F1465" s="3">
        <v>45346</v>
      </c>
      <c r="G1465" s="3">
        <v>45346</v>
      </c>
      <c r="H1465">
        <v>10.8</v>
      </c>
      <c r="I1465">
        <v>48</v>
      </c>
      <c r="J1465" t="s">
        <v>4448</v>
      </c>
      <c r="K1465" t="s">
        <v>4441</v>
      </c>
      <c r="L1465" t="s">
        <v>4467</v>
      </c>
      <c r="M1465" t="s">
        <v>4446</v>
      </c>
      <c r="N1465">
        <v>4</v>
      </c>
    </row>
    <row r="1466" spans="1:14" x14ac:dyDescent="0.35">
      <c r="A1466" t="s">
        <v>5945</v>
      </c>
      <c r="B1466" t="s">
        <v>475</v>
      </c>
      <c r="C1466" t="s">
        <v>1915</v>
      </c>
      <c r="D1466" t="s">
        <v>4438</v>
      </c>
      <c r="E1466" t="s">
        <v>4444</v>
      </c>
      <c r="F1466" s="3">
        <v>45496</v>
      </c>
      <c r="G1466" s="3">
        <v>45497</v>
      </c>
      <c r="H1466">
        <v>39.6</v>
      </c>
      <c r="I1466">
        <v>24</v>
      </c>
      <c r="J1466" t="s">
        <v>4440</v>
      </c>
      <c r="K1466" t="s">
        <v>4441</v>
      </c>
      <c r="L1466" t="s">
        <v>4470</v>
      </c>
      <c r="M1466" t="s">
        <v>4462</v>
      </c>
      <c r="N1466">
        <v>4</v>
      </c>
    </row>
    <row r="1467" spans="1:14" x14ac:dyDescent="0.35">
      <c r="A1467" t="s">
        <v>5946</v>
      </c>
      <c r="B1467" t="s">
        <v>309</v>
      </c>
      <c r="C1467" t="s">
        <v>1899</v>
      </c>
      <c r="D1467" t="s">
        <v>4476</v>
      </c>
      <c r="E1467" t="s">
        <v>4439</v>
      </c>
      <c r="F1467" s="3">
        <v>45008</v>
      </c>
      <c r="G1467" s="3">
        <v>45008</v>
      </c>
      <c r="H1467">
        <v>23.1</v>
      </c>
      <c r="I1467">
        <v>48</v>
      </c>
      <c r="J1467" t="s">
        <v>4448</v>
      </c>
      <c r="K1467" t="s">
        <v>4441</v>
      </c>
      <c r="L1467" t="s">
        <v>4580</v>
      </c>
      <c r="M1467" t="s">
        <v>4462</v>
      </c>
      <c r="N1467">
        <v>5</v>
      </c>
    </row>
    <row r="1468" spans="1:14" x14ac:dyDescent="0.35">
      <c r="A1468" t="s">
        <v>5947</v>
      </c>
      <c r="B1468" t="s">
        <v>66</v>
      </c>
      <c r="C1468" t="s">
        <v>1904</v>
      </c>
      <c r="D1468" t="s">
        <v>4482</v>
      </c>
      <c r="E1468" t="s">
        <v>4444</v>
      </c>
      <c r="F1468" s="3">
        <v>45492</v>
      </c>
      <c r="G1468" s="3">
        <v>45492</v>
      </c>
      <c r="H1468">
        <v>18.100000000000001</v>
      </c>
      <c r="I1468">
        <v>24</v>
      </c>
      <c r="J1468" t="s">
        <v>4448</v>
      </c>
      <c r="K1468" t="s">
        <v>4441</v>
      </c>
      <c r="L1468" t="s">
        <v>4467</v>
      </c>
      <c r="M1468" t="s">
        <v>4446</v>
      </c>
      <c r="N1468">
        <v>5</v>
      </c>
    </row>
    <row r="1469" spans="1:14" x14ac:dyDescent="0.35">
      <c r="A1469" t="s">
        <v>5948</v>
      </c>
      <c r="B1469" t="s">
        <v>370</v>
      </c>
      <c r="C1469" t="s">
        <v>1915</v>
      </c>
      <c r="D1469" t="s">
        <v>4469</v>
      </c>
      <c r="E1469" t="s">
        <v>4439</v>
      </c>
      <c r="F1469" s="3">
        <v>45371</v>
      </c>
      <c r="G1469" s="3">
        <v>45372</v>
      </c>
      <c r="H1469">
        <v>28.6</v>
      </c>
      <c r="I1469">
        <v>48</v>
      </c>
      <c r="J1469" t="s">
        <v>4448</v>
      </c>
      <c r="K1469" t="s">
        <v>4441</v>
      </c>
      <c r="L1469" t="s">
        <v>4533</v>
      </c>
      <c r="M1469" t="s">
        <v>4462</v>
      </c>
      <c r="N1469">
        <v>3</v>
      </c>
    </row>
    <row r="1470" spans="1:14" x14ac:dyDescent="0.35">
      <c r="A1470" t="s">
        <v>5949</v>
      </c>
      <c r="B1470" t="s">
        <v>165</v>
      </c>
      <c r="C1470" t="s">
        <v>1915</v>
      </c>
      <c r="D1470" t="s">
        <v>4460</v>
      </c>
      <c r="E1470" t="s">
        <v>4444</v>
      </c>
      <c r="F1470" s="3">
        <v>45177</v>
      </c>
      <c r="G1470" s="3" t="s">
        <v>537</v>
      </c>
      <c r="I1470">
        <v>24</v>
      </c>
      <c r="J1470" t="s">
        <v>4440</v>
      </c>
      <c r="K1470" t="s">
        <v>4457</v>
      </c>
      <c r="L1470" t="s">
        <v>4509</v>
      </c>
      <c r="M1470" t="s">
        <v>4462</v>
      </c>
    </row>
    <row r="1471" spans="1:14" x14ac:dyDescent="0.35">
      <c r="A1471" t="s">
        <v>5950</v>
      </c>
      <c r="B1471" t="s">
        <v>255</v>
      </c>
      <c r="C1471" t="s">
        <v>1890</v>
      </c>
      <c r="D1471" t="s">
        <v>4443</v>
      </c>
      <c r="E1471" t="s">
        <v>4473</v>
      </c>
      <c r="F1471" s="3">
        <v>45503</v>
      </c>
      <c r="G1471" s="3">
        <v>45503</v>
      </c>
      <c r="H1471">
        <v>6</v>
      </c>
      <c r="I1471">
        <v>8</v>
      </c>
      <c r="J1471" t="s">
        <v>4448</v>
      </c>
      <c r="K1471" t="s">
        <v>4441</v>
      </c>
      <c r="L1471" t="s">
        <v>4527</v>
      </c>
      <c r="M1471" t="s">
        <v>1625</v>
      </c>
      <c r="N1471">
        <v>5</v>
      </c>
    </row>
    <row r="1472" spans="1:14" x14ac:dyDescent="0.35">
      <c r="A1472" t="s">
        <v>5951</v>
      </c>
      <c r="B1472" t="s">
        <v>492</v>
      </c>
      <c r="C1472" t="s">
        <v>1915</v>
      </c>
      <c r="D1472" t="s">
        <v>4476</v>
      </c>
      <c r="E1472" t="s">
        <v>4473</v>
      </c>
      <c r="F1472" s="3">
        <v>45368</v>
      </c>
      <c r="G1472" s="3">
        <v>45368</v>
      </c>
      <c r="H1472">
        <v>2.6</v>
      </c>
      <c r="I1472">
        <v>8</v>
      </c>
      <c r="J1472" t="s">
        <v>4448</v>
      </c>
      <c r="K1472" t="s">
        <v>4441</v>
      </c>
      <c r="L1472" t="s">
        <v>4480</v>
      </c>
      <c r="M1472" t="s">
        <v>4462</v>
      </c>
      <c r="N1472">
        <v>3</v>
      </c>
    </row>
    <row r="1473" spans="1:14" x14ac:dyDescent="0.35">
      <c r="A1473" t="s">
        <v>5952</v>
      </c>
      <c r="B1473" t="s">
        <v>446</v>
      </c>
      <c r="C1473" t="s">
        <v>1904</v>
      </c>
      <c r="D1473" t="s">
        <v>4479</v>
      </c>
      <c r="E1473" t="s">
        <v>4444</v>
      </c>
      <c r="F1473" s="3">
        <v>45426</v>
      </c>
      <c r="G1473" s="3" t="s">
        <v>537</v>
      </c>
      <c r="I1473">
        <v>24</v>
      </c>
      <c r="J1473" t="s">
        <v>4440</v>
      </c>
      <c r="K1473" t="s">
        <v>4457</v>
      </c>
      <c r="L1473" t="s">
        <v>4461</v>
      </c>
      <c r="M1473" t="s">
        <v>4446</v>
      </c>
    </row>
    <row r="1474" spans="1:14" x14ac:dyDescent="0.35">
      <c r="A1474" t="s">
        <v>5953</v>
      </c>
      <c r="B1474" t="s">
        <v>439</v>
      </c>
      <c r="C1474" t="s">
        <v>1899</v>
      </c>
      <c r="D1474" t="s">
        <v>4472</v>
      </c>
      <c r="E1474" t="s">
        <v>4444</v>
      </c>
      <c r="F1474" s="3">
        <v>45003</v>
      </c>
      <c r="G1474" s="3">
        <v>45003</v>
      </c>
      <c r="H1474">
        <v>2.2999999999999998</v>
      </c>
      <c r="I1474">
        <v>24</v>
      </c>
      <c r="J1474" t="s">
        <v>4448</v>
      </c>
      <c r="K1474" t="s">
        <v>4441</v>
      </c>
      <c r="L1474" t="s">
        <v>1907</v>
      </c>
      <c r="M1474" t="s">
        <v>4462</v>
      </c>
      <c r="N1474">
        <v>5</v>
      </c>
    </row>
    <row r="1475" spans="1:14" x14ac:dyDescent="0.35">
      <c r="A1475" t="s">
        <v>5954</v>
      </c>
      <c r="B1475" t="s">
        <v>27</v>
      </c>
      <c r="C1475" t="s">
        <v>1883</v>
      </c>
      <c r="D1475" t="s">
        <v>4469</v>
      </c>
      <c r="E1475" t="s">
        <v>4473</v>
      </c>
      <c r="F1475" s="3">
        <v>45468</v>
      </c>
      <c r="G1475" s="3" t="s">
        <v>537</v>
      </c>
      <c r="I1475">
        <v>8</v>
      </c>
      <c r="J1475" t="s">
        <v>4440</v>
      </c>
      <c r="K1475" t="s">
        <v>4457</v>
      </c>
      <c r="L1475" t="s">
        <v>4492</v>
      </c>
      <c r="M1475" t="s">
        <v>4462</v>
      </c>
    </row>
    <row r="1476" spans="1:14" x14ac:dyDescent="0.35">
      <c r="A1476" t="s">
        <v>5955</v>
      </c>
      <c r="B1476" t="s">
        <v>280</v>
      </c>
      <c r="C1476" t="s">
        <v>1899</v>
      </c>
      <c r="D1476" t="s">
        <v>4490</v>
      </c>
      <c r="E1476" t="s">
        <v>4473</v>
      </c>
      <c r="F1476" s="3">
        <v>45238</v>
      </c>
      <c r="G1476" s="3">
        <v>45238</v>
      </c>
      <c r="H1476">
        <v>17.2</v>
      </c>
      <c r="I1476">
        <v>8</v>
      </c>
      <c r="J1476" t="s">
        <v>4440</v>
      </c>
      <c r="K1476" t="s">
        <v>4441</v>
      </c>
      <c r="L1476" t="s">
        <v>4467</v>
      </c>
      <c r="M1476" t="s">
        <v>1625</v>
      </c>
      <c r="N1476">
        <v>4</v>
      </c>
    </row>
    <row r="1477" spans="1:14" x14ac:dyDescent="0.35">
      <c r="A1477" t="s">
        <v>5956</v>
      </c>
      <c r="B1477" t="s">
        <v>235</v>
      </c>
      <c r="C1477" t="s">
        <v>1915</v>
      </c>
      <c r="D1477" t="s">
        <v>4476</v>
      </c>
      <c r="E1477" t="s">
        <v>4439</v>
      </c>
      <c r="F1477" s="3">
        <v>45593</v>
      </c>
      <c r="G1477" s="3" t="s">
        <v>537</v>
      </c>
      <c r="I1477">
        <v>48</v>
      </c>
      <c r="J1477" t="s">
        <v>4440</v>
      </c>
      <c r="K1477" t="s">
        <v>4453</v>
      </c>
      <c r="L1477" t="s">
        <v>4480</v>
      </c>
      <c r="M1477" t="s">
        <v>1625</v>
      </c>
    </row>
    <row r="1478" spans="1:14" x14ac:dyDescent="0.35">
      <c r="A1478" t="s">
        <v>5957</v>
      </c>
      <c r="B1478" t="s">
        <v>480</v>
      </c>
      <c r="C1478" t="s">
        <v>1899</v>
      </c>
      <c r="D1478" t="s">
        <v>4479</v>
      </c>
      <c r="E1478" t="s">
        <v>4439</v>
      </c>
      <c r="F1478" s="3">
        <v>45339</v>
      </c>
      <c r="G1478" s="3">
        <v>45343</v>
      </c>
      <c r="H1478">
        <v>114.5</v>
      </c>
      <c r="I1478">
        <v>48</v>
      </c>
      <c r="J1478" t="s">
        <v>4440</v>
      </c>
      <c r="K1478" t="s">
        <v>4441</v>
      </c>
      <c r="L1478" t="s">
        <v>4454</v>
      </c>
      <c r="M1478" t="s">
        <v>4450</v>
      </c>
    </row>
    <row r="1479" spans="1:14" x14ac:dyDescent="0.35">
      <c r="A1479" t="s">
        <v>5958</v>
      </c>
      <c r="B1479" t="s">
        <v>467</v>
      </c>
      <c r="C1479" t="s">
        <v>1904</v>
      </c>
      <c r="D1479" t="s">
        <v>4485</v>
      </c>
      <c r="E1479" t="s">
        <v>4439</v>
      </c>
      <c r="F1479" s="3">
        <v>45075</v>
      </c>
      <c r="G1479" s="3" t="s">
        <v>537</v>
      </c>
      <c r="I1479">
        <v>48</v>
      </c>
      <c r="J1479" t="s">
        <v>4448</v>
      </c>
      <c r="K1479" t="s">
        <v>4474</v>
      </c>
      <c r="L1479" t="s">
        <v>4533</v>
      </c>
      <c r="M1479" t="s">
        <v>4446</v>
      </c>
    </row>
    <row r="1480" spans="1:14" x14ac:dyDescent="0.35">
      <c r="A1480" t="s">
        <v>5959</v>
      </c>
      <c r="B1480" t="s">
        <v>180</v>
      </c>
      <c r="C1480" t="s">
        <v>1899</v>
      </c>
      <c r="D1480" t="s">
        <v>4452</v>
      </c>
      <c r="E1480" t="s">
        <v>4473</v>
      </c>
      <c r="F1480" s="3">
        <v>45607</v>
      </c>
      <c r="G1480" s="3">
        <v>45607</v>
      </c>
      <c r="H1480">
        <v>0.7</v>
      </c>
      <c r="I1480">
        <v>8</v>
      </c>
      <c r="J1480" t="s">
        <v>4448</v>
      </c>
      <c r="K1480" t="s">
        <v>4441</v>
      </c>
      <c r="L1480" t="s">
        <v>4580</v>
      </c>
      <c r="M1480" t="s">
        <v>4462</v>
      </c>
      <c r="N1480">
        <v>3</v>
      </c>
    </row>
    <row r="1481" spans="1:14" x14ac:dyDescent="0.35">
      <c r="A1481" t="s">
        <v>5960</v>
      </c>
      <c r="B1481" t="s">
        <v>118</v>
      </c>
      <c r="C1481" t="s">
        <v>1883</v>
      </c>
      <c r="D1481" t="s">
        <v>4479</v>
      </c>
      <c r="E1481" t="s">
        <v>4439</v>
      </c>
      <c r="F1481" s="3">
        <v>45496</v>
      </c>
      <c r="G1481" s="3">
        <v>45499</v>
      </c>
      <c r="H1481">
        <v>74.7</v>
      </c>
      <c r="I1481">
        <v>48</v>
      </c>
      <c r="J1481" t="s">
        <v>4440</v>
      </c>
      <c r="K1481" t="s">
        <v>4441</v>
      </c>
      <c r="L1481" t="s">
        <v>4501</v>
      </c>
      <c r="M1481" t="s">
        <v>4450</v>
      </c>
      <c r="N1481">
        <v>4</v>
      </c>
    </row>
    <row r="1482" spans="1:14" x14ac:dyDescent="0.35">
      <c r="A1482" t="s">
        <v>5961</v>
      </c>
      <c r="B1482" t="s">
        <v>470</v>
      </c>
      <c r="C1482" t="s">
        <v>1890</v>
      </c>
      <c r="D1482" t="s">
        <v>4443</v>
      </c>
      <c r="E1482" t="s">
        <v>4444</v>
      </c>
      <c r="F1482" s="3">
        <v>44977</v>
      </c>
      <c r="G1482" s="3">
        <v>44978</v>
      </c>
      <c r="H1482">
        <v>30.7</v>
      </c>
      <c r="I1482">
        <v>24</v>
      </c>
      <c r="J1482" t="s">
        <v>4440</v>
      </c>
      <c r="K1482" t="s">
        <v>4441</v>
      </c>
      <c r="L1482" t="s">
        <v>4492</v>
      </c>
      <c r="M1482" t="s">
        <v>1625</v>
      </c>
      <c r="N1482">
        <v>1</v>
      </c>
    </row>
    <row r="1483" spans="1:14" x14ac:dyDescent="0.35">
      <c r="A1483" t="s">
        <v>5962</v>
      </c>
      <c r="B1483" t="s">
        <v>472</v>
      </c>
      <c r="C1483" t="s">
        <v>1883</v>
      </c>
      <c r="D1483" t="s">
        <v>4460</v>
      </c>
      <c r="E1483" t="s">
        <v>4444</v>
      </c>
      <c r="F1483" s="3">
        <v>45507</v>
      </c>
      <c r="G1483" s="3" t="s">
        <v>537</v>
      </c>
      <c r="I1483">
        <v>24</v>
      </c>
      <c r="J1483" t="s">
        <v>4440</v>
      </c>
      <c r="K1483" t="s">
        <v>4474</v>
      </c>
      <c r="L1483" t="s">
        <v>4483</v>
      </c>
      <c r="M1483" t="s">
        <v>1625</v>
      </c>
    </row>
    <row r="1484" spans="1:14" x14ac:dyDescent="0.35">
      <c r="A1484" t="s">
        <v>5963</v>
      </c>
      <c r="B1484" t="s">
        <v>103</v>
      </c>
      <c r="C1484" t="s">
        <v>1927</v>
      </c>
      <c r="D1484" t="s">
        <v>4438</v>
      </c>
      <c r="E1484" t="s">
        <v>4473</v>
      </c>
      <c r="F1484" s="3">
        <v>45575</v>
      </c>
      <c r="G1484" s="3" t="s">
        <v>537</v>
      </c>
      <c r="I1484">
        <v>8</v>
      </c>
      <c r="J1484" t="s">
        <v>4440</v>
      </c>
      <c r="K1484" t="s">
        <v>4474</v>
      </c>
      <c r="L1484" t="s">
        <v>4470</v>
      </c>
      <c r="M1484" t="s">
        <v>1625</v>
      </c>
    </row>
    <row r="1485" spans="1:14" x14ac:dyDescent="0.35">
      <c r="A1485" t="s">
        <v>5964</v>
      </c>
      <c r="B1485" t="s">
        <v>245</v>
      </c>
      <c r="C1485" t="s">
        <v>1883</v>
      </c>
      <c r="D1485" t="s">
        <v>4476</v>
      </c>
      <c r="E1485" t="s">
        <v>4444</v>
      </c>
      <c r="F1485" s="3">
        <v>45657</v>
      </c>
      <c r="G1485" s="3" t="s">
        <v>537</v>
      </c>
      <c r="I1485">
        <v>24</v>
      </c>
      <c r="J1485" t="s">
        <v>1945</v>
      </c>
      <c r="K1485" t="s">
        <v>4453</v>
      </c>
      <c r="L1485" t="s">
        <v>1907</v>
      </c>
      <c r="M1485" t="s">
        <v>4446</v>
      </c>
    </row>
    <row r="1486" spans="1:14" x14ac:dyDescent="0.35">
      <c r="A1486" t="s">
        <v>5965</v>
      </c>
      <c r="B1486" t="s">
        <v>245</v>
      </c>
      <c r="C1486" t="s">
        <v>1927</v>
      </c>
      <c r="D1486" t="s">
        <v>4485</v>
      </c>
      <c r="E1486" t="s">
        <v>4444</v>
      </c>
      <c r="F1486" s="3">
        <v>45691</v>
      </c>
      <c r="G1486" s="3">
        <v>45693</v>
      </c>
      <c r="H1486">
        <v>54.2</v>
      </c>
      <c r="I1486">
        <v>24</v>
      </c>
      <c r="J1486" t="s">
        <v>4440</v>
      </c>
      <c r="K1486" t="s">
        <v>4441</v>
      </c>
      <c r="L1486" t="s">
        <v>4470</v>
      </c>
      <c r="M1486" t="s">
        <v>4462</v>
      </c>
      <c r="N1486">
        <v>5</v>
      </c>
    </row>
    <row r="1487" spans="1:14" x14ac:dyDescent="0.35">
      <c r="A1487" t="s">
        <v>5966</v>
      </c>
      <c r="B1487" t="s">
        <v>363</v>
      </c>
      <c r="C1487" t="s">
        <v>1899</v>
      </c>
      <c r="D1487" t="s">
        <v>4479</v>
      </c>
      <c r="E1487" t="s">
        <v>4473</v>
      </c>
      <c r="F1487" s="3">
        <v>45195</v>
      </c>
      <c r="G1487" s="3">
        <v>45195</v>
      </c>
      <c r="H1487">
        <v>6.7</v>
      </c>
      <c r="I1487">
        <v>8</v>
      </c>
      <c r="J1487" t="s">
        <v>4448</v>
      </c>
      <c r="K1487" t="s">
        <v>4441</v>
      </c>
      <c r="L1487" t="s">
        <v>4449</v>
      </c>
      <c r="M1487" t="s">
        <v>4446</v>
      </c>
    </row>
    <row r="1488" spans="1:14" x14ac:dyDescent="0.35">
      <c r="A1488" t="s">
        <v>5967</v>
      </c>
      <c r="B1488" t="s">
        <v>498</v>
      </c>
      <c r="C1488" t="s">
        <v>1904</v>
      </c>
      <c r="D1488" t="s">
        <v>4476</v>
      </c>
      <c r="E1488" t="s">
        <v>4439</v>
      </c>
      <c r="F1488" s="3">
        <v>45069</v>
      </c>
      <c r="G1488" s="3" t="s">
        <v>537</v>
      </c>
      <c r="I1488">
        <v>48</v>
      </c>
      <c r="J1488" t="s">
        <v>4440</v>
      </c>
      <c r="K1488" t="s">
        <v>4474</v>
      </c>
      <c r="L1488" t="s">
        <v>4492</v>
      </c>
      <c r="M1488" t="s">
        <v>1625</v>
      </c>
    </row>
    <row r="1489" spans="1:14" x14ac:dyDescent="0.35">
      <c r="A1489" t="s">
        <v>5968</v>
      </c>
      <c r="B1489" t="s">
        <v>34</v>
      </c>
      <c r="C1489" t="s">
        <v>1899</v>
      </c>
      <c r="D1489" t="s">
        <v>4490</v>
      </c>
      <c r="E1489" t="s">
        <v>4444</v>
      </c>
      <c r="F1489" s="3">
        <v>45190</v>
      </c>
      <c r="G1489" s="3">
        <v>45190</v>
      </c>
      <c r="H1489">
        <v>11.6</v>
      </c>
      <c r="I1489">
        <v>24</v>
      </c>
      <c r="J1489" t="s">
        <v>4448</v>
      </c>
      <c r="K1489" t="s">
        <v>4441</v>
      </c>
      <c r="L1489" t="s">
        <v>4449</v>
      </c>
      <c r="M1489" t="s">
        <v>4446</v>
      </c>
      <c r="N1489">
        <v>3</v>
      </c>
    </row>
    <row r="1490" spans="1:14" x14ac:dyDescent="0.35">
      <c r="A1490" t="s">
        <v>5969</v>
      </c>
      <c r="B1490" t="s">
        <v>419</v>
      </c>
      <c r="C1490" t="s">
        <v>1927</v>
      </c>
      <c r="D1490" t="s">
        <v>4490</v>
      </c>
      <c r="E1490" t="s">
        <v>4444</v>
      </c>
      <c r="F1490" s="3">
        <v>44990</v>
      </c>
      <c r="G1490" s="3" t="s">
        <v>537</v>
      </c>
      <c r="I1490">
        <v>24</v>
      </c>
      <c r="J1490" t="s">
        <v>4440</v>
      </c>
      <c r="K1490" t="s">
        <v>4474</v>
      </c>
      <c r="L1490" t="s">
        <v>4465</v>
      </c>
      <c r="M1490" t="s">
        <v>4446</v>
      </c>
    </row>
    <row r="1491" spans="1:14" x14ac:dyDescent="0.35">
      <c r="A1491" t="s">
        <v>5970</v>
      </c>
      <c r="B1491" t="s">
        <v>498</v>
      </c>
      <c r="C1491" t="s">
        <v>1899</v>
      </c>
      <c r="D1491" t="s">
        <v>8515</v>
      </c>
      <c r="E1491" t="s">
        <v>4473</v>
      </c>
      <c r="F1491" s="3">
        <v>45278</v>
      </c>
      <c r="G1491" s="3" t="s">
        <v>537</v>
      </c>
      <c r="I1491">
        <v>8</v>
      </c>
      <c r="J1491" t="s">
        <v>1945</v>
      </c>
      <c r="K1491" t="s">
        <v>4453</v>
      </c>
      <c r="L1491" t="s">
        <v>4458</v>
      </c>
      <c r="M1491" t="s">
        <v>4450</v>
      </c>
    </row>
    <row r="1492" spans="1:14" x14ac:dyDescent="0.35">
      <c r="A1492" t="s">
        <v>5971</v>
      </c>
      <c r="B1492" t="s">
        <v>339</v>
      </c>
      <c r="C1492" t="s">
        <v>1927</v>
      </c>
      <c r="D1492" t="s">
        <v>4490</v>
      </c>
      <c r="E1492" t="s">
        <v>4473</v>
      </c>
      <c r="F1492" s="3">
        <v>45582</v>
      </c>
      <c r="G1492" s="3" t="s">
        <v>537</v>
      </c>
      <c r="I1492">
        <v>8</v>
      </c>
      <c r="J1492" t="s">
        <v>4448</v>
      </c>
      <c r="K1492" t="s">
        <v>4453</v>
      </c>
      <c r="L1492" t="s">
        <v>4514</v>
      </c>
      <c r="M1492" t="s">
        <v>4450</v>
      </c>
    </row>
    <row r="1493" spans="1:14" x14ac:dyDescent="0.35">
      <c r="A1493" t="s">
        <v>5972</v>
      </c>
      <c r="B1493" t="s">
        <v>255</v>
      </c>
      <c r="C1493" t="s">
        <v>1915</v>
      </c>
      <c r="D1493" t="s">
        <v>4464</v>
      </c>
      <c r="E1493" t="s">
        <v>4439</v>
      </c>
      <c r="F1493" s="3">
        <v>45349</v>
      </c>
      <c r="G1493" s="3" t="s">
        <v>537</v>
      </c>
      <c r="I1493">
        <v>48</v>
      </c>
      <c r="J1493" t="s">
        <v>4440</v>
      </c>
      <c r="K1493" t="s">
        <v>4453</v>
      </c>
      <c r="L1493" t="s">
        <v>4480</v>
      </c>
      <c r="M1493" t="s">
        <v>4450</v>
      </c>
    </row>
    <row r="1494" spans="1:14" x14ac:dyDescent="0.35">
      <c r="A1494" t="s">
        <v>5973</v>
      </c>
      <c r="B1494" t="s">
        <v>405</v>
      </c>
      <c r="C1494" t="s">
        <v>1899</v>
      </c>
      <c r="D1494" t="s">
        <v>4485</v>
      </c>
      <c r="E1494" t="s">
        <v>4439</v>
      </c>
      <c r="F1494" s="3">
        <v>45249</v>
      </c>
      <c r="G1494" s="3">
        <v>45253</v>
      </c>
      <c r="H1494">
        <v>111.6</v>
      </c>
      <c r="I1494">
        <v>48</v>
      </c>
      <c r="J1494" t="s">
        <v>4440</v>
      </c>
      <c r="K1494" t="s">
        <v>4441</v>
      </c>
      <c r="L1494" t="s">
        <v>4445</v>
      </c>
      <c r="M1494" t="s">
        <v>4462</v>
      </c>
      <c r="N1494">
        <v>4</v>
      </c>
    </row>
    <row r="1495" spans="1:14" x14ac:dyDescent="0.35">
      <c r="A1495" t="s">
        <v>5974</v>
      </c>
      <c r="B1495" t="s">
        <v>277</v>
      </c>
      <c r="C1495" t="s">
        <v>1883</v>
      </c>
      <c r="D1495" t="s">
        <v>4438</v>
      </c>
      <c r="E1495" t="s">
        <v>79</v>
      </c>
      <c r="F1495" s="3">
        <v>44975</v>
      </c>
      <c r="G1495" s="3">
        <v>44977</v>
      </c>
      <c r="H1495">
        <v>71.8</v>
      </c>
      <c r="I1495">
        <v>48</v>
      </c>
      <c r="J1495" t="s">
        <v>4440</v>
      </c>
      <c r="K1495" t="s">
        <v>4441</v>
      </c>
      <c r="L1495" t="s">
        <v>4512</v>
      </c>
      <c r="M1495" t="s">
        <v>4462</v>
      </c>
      <c r="N1495">
        <v>4</v>
      </c>
    </row>
    <row r="1496" spans="1:14" x14ac:dyDescent="0.35">
      <c r="A1496" t="s">
        <v>5975</v>
      </c>
      <c r="B1496" t="s">
        <v>211</v>
      </c>
      <c r="C1496" t="s">
        <v>1883</v>
      </c>
      <c r="D1496" t="s">
        <v>4460</v>
      </c>
      <c r="E1496" t="s">
        <v>4439</v>
      </c>
      <c r="F1496" s="3">
        <v>45543</v>
      </c>
      <c r="G1496" s="3">
        <v>45543</v>
      </c>
      <c r="H1496">
        <v>14.2</v>
      </c>
      <c r="I1496">
        <v>48</v>
      </c>
      <c r="J1496" t="s">
        <v>4448</v>
      </c>
      <c r="K1496" t="s">
        <v>4441</v>
      </c>
      <c r="L1496" t="s">
        <v>4480</v>
      </c>
      <c r="M1496" t="s">
        <v>4462</v>
      </c>
      <c r="N1496">
        <v>3</v>
      </c>
    </row>
    <row r="1497" spans="1:14" x14ac:dyDescent="0.35">
      <c r="A1497" t="s">
        <v>5976</v>
      </c>
      <c r="B1497" t="s">
        <v>60</v>
      </c>
      <c r="C1497" t="s">
        <v>1904</v>
      </c>
      <c r="D1497" t="s">
        <v>4438</v>
      </c>
      <c r="E1497" t="s">
        <v>79</v>
      </c>
      <c r="F1497" s="3">
        <v>45624</v>
      </c>
      <c r="G1497" s="3" t="s">
        <v>537</v>
      </c>
      <c r="I1497">
        <v>24</v>
      </c>
      <c r="J1497" t="s">
        <v>4440</v>
      </c>
      <c r="K1497" t="s">
        <v>4457</v>
      </c>
      <c r="L1497" t="s">
        <v>4449</v>
      </c>
      <c r="M1497" t="s">
        <v>4450</v>
      </c>
    </row>
    <row r="1498" spans="1:14" x14ac:dyDescent="0.35">
      <c r="A1498" t="s">
        <v>5977</v>
      </c>
      <c r="B1498" t="s">
        <v>465</v>
      </c>
      <c r="C1498" t="s">
        <v>1904</v>
      </c>
      <c r="D1498" t="s">
        <v>4479</v>
      </c>
      <c r="E1498" t="s">
        <v>4439</v>
      </c>
      <c r="F1498" s="3">
        <v>45142</v>
      </c>
      <c r="G1498" s="3">
        <v>45142</v>
      </c>
      <c r="H1498">
        <v>6.2</v>
      </c>
      <c r="I1498">
        <v>48</v>
      </c>
      <c r="J1498" t="s">
        <v>4448</v>
      </c>
      <c r="K1498" t="s">
        <v>4441</v>
      </c>
      <c r="L1498" t="s">
        <v>4492</v>
      </c>
      <c r="M1498" t="s">
        <v>4462</v>
      </c>
      <c r="N1498">
        <v>4</v>
      </c>
    </row>
    <row r="1499" spans="1:14" x14ac:dyDescent="0.35">
      <c r="A1499" t="s">
        <v>5978</v>
      </c>
      <c r="B1499" t="s">
        <v>301</v>
      </c>
      <c r="C1499" t="s">
        <v>1890</v>
      </c>
      <c r="D1499" t="s">
        <v>4452</v>
      </c>
      <c r="E1499" t="s">
        <v>79</v>
      </c>
      <c r="F1499" s="3">
        <v>45430</v>
      </c>
      <c r="G1499" s="3">
        <v>45430</v>
      </c>
      <c r="H1499">
        <v>17.5</v>
      </c>
      <c r="I1499">
        <v>8</v>
      </c>
      <c r="J1499" t="s">
        <v>1945</v>
      </c>
      <c r="K1499" t="s">
        <v>4441</v>
      </c>
      <c r="L1499" t="s">
        <v>4480</v>
      </c>
      <c r="M1499" t="s">
        <v>1625</v>
      </c>
      <c r="N1499">
        <v>5</v>
      </c>
    </row>
    <row r="1500" spans="1:14" x14ac:dyDescent="0.35">
      <c r="A1500" t="s">
        <v>5979</v>
      </c>
      <c r="B1500" t="s">
        <v>283</v>
      </c>
      <c r="C1500" t="s">
        <v>1883</v>
      </c>
      <c r="D1500" t="s">
        <v>4452</v>
      </c>
      <c r="E1500" t="s">
        <v>79</v>
      </c>
      <c r="F1500" s="3">
        <v>45209</v>
      </c>
      <c r="G1500" s="3">
        <v>45209</v>
      </c>
      <c r="H1500">
        <v>7.3</v>
      </c>
      <c r="I1500">
        <v>24</v>
      </c>
      <c r="J1500" t="s">
        <v>4448</v>
      </c>
      <c r="K1500" t="s">
        <v>4441</v>
      </c>
      <c r="L1500" t="s">
        <v>4445</v>
      </c>
      <c r="M1500" t="s">
        <v>4450</v>
      </c>
      <c r="N1500">
        <v>4</v>
      </c>
    </row>
    <row r="1501" spans="1:14" x14ac:dyDescent="0.35">
      <c r="A1501" t="s">
        <v>5980</v>
      </c>
      <c r="B1501" t="s">
        <v>408</v>
      </c>
      <c r="C1501" t="s">
        <v>1890</v>
      </c>
      <c r="D1501" t="s">
        <v>4490</v>
      </c>
      <c r="E1501" t="s">
        <v>4444</v>
      </c>
      <c r="F1501" s="3">
        <v>45677</v>
      </c>
      <c r="G1501" s="3" t="s">
        <v>537</v>
      </c>
      <c r="I1501">
        <v>24</v>
      </c>
      <c r="J1501" t="s">
        <v>4448</v>
      </c>
      <c r="K1501" t="s">
        <v>4457</v>
      </c>
      <c r="L1501" t="s">
        <v>4449</v>
      </c>
      <c r="M1501" t="s">
        <v>4446</v>
      </c>
    </row>
    <row r="1502" spans="1:14" x14ac:dyDescent="0.35">
      <c r="A1502" t="s">
        <v>5981</v>
      </c>
      <c r="B1502" t="s">
        <v>97</v>
      </c>
      <c r="C1502" t="s">
        <v>1915</v>
      </c>
      <c r="D1502" t="s">
        <v>4469</v>
      </c>
      <c r="E1502" t="s">
        <v>4439</v>
      </c>
      <c r="F1502" s="3">
        <v>45029</v>
      </c>
      <c r="G1502" s="3" t="s">
        <v>537</v>
      </c>
      <c r="I1502">
        <v>48</v>
      </c>
      <c r="J1502" t="s">
        <v>4440</v>
      </c>
      <c r="K1502" t="s">
        <v>4453</v>
      </c>
      <c r="L1502" t="s">
        <v>4483</v>
      </c>
      <c r="M1502" t="s">
        <v>4446</v>
      </c>
    </row>
    <row r="1503" spans="1:14" x14ac:dyDescent="0.35">
      <c r="A1503" t="s">
        <v>5982</v>
      </c>
      <c r="B1503" t="s">
        <v>398</v>
      </c>
      <c r="C1503" t="s">
        <v>1899</v>
      </c>
      <c r="D1503" t="s">
        <v>4472</v>
      </c>
      <c r="E1503" t="s">
        <v>4444</v>
      </c>
      <c r="F1503" s="3">
        <v>45497</v>
      </c>
      <c r="G1503" s="3">
        <v>45498</v>
      </c>
      <c r="H1503">
        <v>47.8</v>
      </c>
      <c r="I1503">
        <v>24</v>
      </c>
      <c r="J1503" t="s">
        <v>4440</v>
      </c>
      <c r="K1503" t="s">
        <v>4441</v>
      </c>
      <c r="L1503" t="s">
        <v>4509</v>
      </c>
      <c r="M1503" t="s">
        <v>1625</v>
      </c>
      <c r="N1503">
        <v>5</v>
      </c>
    </row>
    <row r="1504" spans="1:14" x14ac:dyDescent="0.35">
      <c r="A1504" t="s">
        <v>5983</v>
      </c>
      <c r="B1504" t="s">
        <v>424</v>
      </c>
      <c r="C1504" t="s">
        <v>1915</v>
      </c>
      <c r="D1504" t="s">
        <v>4464</v>
      </c>
      <c r="E1504" t="s">
        <v>4473</v>
      </c>
      <c r="F1504" s="3">
        <v>45145</v>
      </c>
      <c r="G1504" s="3" t="s">
        <v>537</v>
      </c>
      <c r="I1504">
        <v>8</v>
      </c>
      <c r="J1504" t="s">
        <v>4440</v>
      </c>
      <c r="K1504" t="s">
        <v>4453</v>
      </c>
      <c r="L1504" t="s">
        <v>4467</v>
      </c>
      <c r="M1504" t="s">
        <v>4446</v>
      </c>
    </row>
    <row r="1505" spans="1:14" x14ac:dyDescent="0.35">
      <c r="A1505" t="s">
        <v>5984</v>
      </c>
      <c r="B1505" t="s">
        <v>203</v>
      </c>
      <c r="C1505" t="s">
        <v>1883</v>
      </c>
      <c r="D1505" t="s">
        <v>4476</v>
      </c>
      <c r="E1505" t="s">
        <v>4444</v>
      </c>
      <c r="F1505" s="3">
        <v>45329</v>
      </c>
      <c r="G1505" s="3" t="s">
        <v>537</v>
      </c>
      <c r="I1505">
        <v>24</v>
      </c>
      <c r="J1505" t="s">
        <v>4440</v>
      </c>
      <c r="K1505" t="s">
        <v>4453</v>
      </c>
      <c r="L1505" t="s">
        <v>4509</v>
      </c>
      <c r="M1505" t="s">
        <v>4450</v>
      </c>
    </row>
    <row r="1506" spans="1:14" x14ac:dyDescent="0.35">
      <c r="A1506" t="s">
        <v>5985</v>
      </c>
      <c r="B1506" t="s">
        <v>263</v>
      </c>
      <c r="C1506" t="s">
        <v>1927</v>
      </c>
      <c r="D1506" t="s">
        <v>4472</v>
      </c>
      <c r="E1506" t="s">
        <v>4439</v>
      </c>
      <c r="F1506" s="3">
        <v>45399</v>
      </c>
      <c r="G1506" s="3">
        <v>45401</v>
      </c>
      <c r="H1506">
        <v>65.5</v>
      </c>
      <c r="I1506">
        <v>48</v>
      </c>
      <c r="J1506" t="s">
        <v>4440</v>
      </c>
      <c r="K1506" t="s">
        <v>4441</v>
      </c>
      <c r="L1506" t="s">
        <v>4467</v>
      </c>
      <c r="M1506" t="s">
        <v>4446</v>
      </c>
      <c r="N1506">
        <v>3</v>
      </c>
    </row>
    <row r="1507" spans="1:14" x14ac:dyDescent="0.35">
      <c r="A1507" t="s">
        <v>5986</v>
      </c>
      <c r="B1507" t="s">
        <v>283</v>
      </c>
      <c r="C1507" t="s">
        <v>1890</v>
      </c>
      <c r="D1507" t="s">
        <v>4443</v>
      </c>
      <c r="E1507" t="s">
        <v>4439</v>
      </c>
      <c r="F1507" s="3">
        <v>45458</v>
      </c>
      <c r="G1507" s="3">
        <v>45462</v>
      </c>
      <c r="H1507">
        <v>106.2</v>
      </c>
      <c r="I1507">
        <v>48</v>
      </c>
      <c r="J1507" t="s">
        <v>4440</v>
      </c>
      <c r="K1507" t="s">
        <v>4441</v>
      </c>
      <c r="L1507" t="s">
        <v>4467</v>
      </c>
      <c r="M1507" t="s">
        <v>1625</v>
      </c>
      <c r="N1507">
        <v>5</v>
      </c>
    </row>
    <row r="1508" spans="1:14" x14ac:dyDescent="0.35">
      <c r="A1508" t="s">
        <v>5987</v>
      </c>
      <c r="B1508" t="s">
        <v>140</v>
      </c>
      <c r="C1508" t="s">
        <v>1899</v>
      </c>
      <c r="D1508" t="s">
        <v>4485</v>
      </c>
      <c r="E1508" t="s">
        <v>4439</v>
      </c>
      <c r="F1508" s="3">
        <v>45154</v>
      </c>
      <c r="G1508" s="3">
        <v>45154</v>
      </c>
      <c r="H1508">
        <v>14.3</v>
      </c>
      <c r="I1508">
        <v>48</v>
      </c>
      <c r="J1508" t="s">
        <v>4448</v>
      </c>
      <c r="K1508" t="s">
        <v>4441</v>
      </c>
      <c r="L1508" t="s">
        <v>4467</v>
      </c>
      <c r="M1508" t="s">
        <v>4446</v>
      </c>
      <c r="N1508">
        <v>4</v>
      </c>
    </row>
    <row r="1509" spans="1:14" x14ac:dyDescent="0.35">
      <c r="A1509" t="s">
        <v>5988</v>
      </c>
      <c r="B1509" t="s">
        <v>372</v>
      </c>
      <c r="C1509" t="s">
        <v>1890</v>
      </c>
      <c r="D1509" t="s">
        <v>4482</v>
      </c>
      <c r="E1509" t="s">
        <v>4439</v>
      </c>
      <c r="F1509" s="3">
        <v>45082</v>
      </c>
      <c r="G1509" s="3">
        <v>45082</v>
      </c>
      <c r="H1509">
        <v>5.6</v>
      </c>
      <c r="I1509">
        <v>48</v>
      </c>
      <c r="J1509" t="s">
        <v>4448</v>
      </c>
      <c r="K1509" t="s">
        <v>4441</v>
      </c>
      <c r="L1509" t="s">
        <v>4480</v>
      </c>
      <c r="M1509" t="s">
        <v>4450</v>
      </c>
    </row>
    <row r="1510" spans="1:14" x14ac:dyDescent="0.35">
      <c r="A1510" t="s">
        <v>5989</v>
      </c>
      <c r="B1510" t="s">
        <v>176</v>
      </c>
      <c r="C1510" t="s">
        <v>1899</v>
      </c>
      <c r="D1510" t="s">
        <v>4485</v>
      </c>
      <c r="E1510" t="s">
        <v>4439</v>
      </c>
      <c r="F1510" s="3">
        <v>44952</v>
      </c>
      <c r="G1510" s="3">
        <v>44955</v>
      </c>
      <c r="H1510">
        <v>87.5</v>
      </c>
      <c r="I1510">
        <v>48</v>
      </c>
      <c r="J1510" t="s">
        <v>4440</v>
      </c>
      <c r="K1510" t="s">
        <v>4441</v>
      </c>
      <c r="L1510" t="s">
        <v>4483</v>
      </c>
      <c r="M1510" t="s">
        <v>4462</v>
      </c>
      <c r="N1510">
        <v>2</v>
      </c>
    </row>
    <row r="1511" spans="1:14" x14ac:dyDescent="0.35">
      <c r="A1511" t="s">
        <v>5990</v>
      </c>
      <c r="B1511" t="s">
        <v>232</v>
      </c>
      <c r="C1511" t="s">
        <v>1904</v>
      </c>
      <c r="D1511" t="s">
        <v>4472</v>
      </c>
      <c r="E1511" t="s">
        <v>4444</v>
      </c>
      <c r="F1511" s="3">
        <v>45086</v>
      </c>
      <c r="G1511" s="3" t="s">
        <v>537</v>
      </c>
      <c r="I1511">
        <v>24</v>
      </c>
      <c r="J1511" t="s">
        <v>4448</v>
      </c>
      <c r="K1511" t="s">
        <v>4453</v>
      </c>
      <c r="L1511" t="s">
        <v>1907</v>
      </c>
      <c r="M1511" t="s">
        <v>4462</v>
      </c>
    </row>
    <row r="1512" spans="1:14" x14ac:dyDescent="0.35">
      <c r="A1512" t="s">
        <v>5991</v>
      </c>
      <c r="B1512" t="s">
        <v>490</v>
      </c>
      <c r="C1512" t="s">
        <v>1915</v>
      </c>
      <c r="D1512" t="s">
        <v>4460</v>
      </c>
      <c r="E1512" t="s">
        <v>4444</v>
      </c>
      <c r="F1512" s="3">
        <v>45658</v>
      </c>
      <c r="G1512" s="3">
        <v>45660</v>
      </c>
      <c r="H1512">
        <v>49.6</v>
      </c>
      <c r="I1512">
        <v>24</v>
      </c>
      <c r="J1512" t="s">
        <v>4440</v>
      </c>
      <c r="K1512" t="s">
        <v>4441</v>
      </c>
      <c r="L1512" t="s">
        <v>4533</v>
      </c>
      <c r="M1512" t="s">
        <v>4446</v>
      </c>
      <c r="N1512">
        <v>5</v>
      </c>
    </row>
    <row r="1513" spans="1:14" x14ac:dyDescent="0.35">
      <c r="A1513" t="s">
        <v>5992</v>
      </c>
      <c r="B1513" t="s">
        <v>92</v>
      </c>
      <c r="C1513" t="s">
        <v>1899</v>
      </c>
      <c r="D1513" t="s">
        <v>4438</v>
      </c>
      <c r="E1513" t="s">
        <v>4439</v>
      </c>
      <c r="F1513" s="3">
        <v>45411</v>
      </c>
      <c r="G1513" s="3" t="s">
        <v>537</v>
      </c>
      <c r="I1513">
        <v>48</v>
      </c>
      <c r="J1513" t="s">
        <v>4440</v>
      </c>
      <c r="K1513" t="s">
        <v>4457</v>
      </c>
      <c r="L1513" t="s">
        <v>4514</v>
      </c>
      <c r="M1513" t="s">
        <v>4446</v>
      </c>
    </row>
    <row r="1514" spans="1:14" x14ac:dyDescent="0.35">
      <c r="A1514" t="s">
        <v>5993</v>
      </c>
      <c r="B1514" t="s">
        <v>186</v>
      </c>
      <c r="C1514" t="s">
        <v>1904</v>
      </c>
      <c r="D1514" t="s">
        <v>4460</v>
      </c>
      <c r="E1514" t="s">
        <v>4473</v>
      </c>
      <c r="F1514" s="3">
        <v>45172</v>
      </c>
      <c r="G1514" s="3" t="s">
        <v>537</v>
      </c>
      <c r="I1514">
        <v>8</v>
      </c>
      <c r="J1514" t="s">
        <v>4448</v>
      </c>
      <c r="K1514" t="s">
        <v>4457</v>
      </c>
      <c r="L1514" t="s">
        <v>4580</v>
      </c>
      <c r="M1514" t="s">
        <v>4450</v>
      </c>
    </row>
    <row r="1515" spans="1:14" x14ac:dyDescent="0.35">
      <c r="A1515" t="s">
        <v>5994</v>
      </c>
      <c r="B1515" t="s">
        <v>329</v>
      </c>
      <c r="C1515" t="s">
        <v>1899</v>
      </c>
      <c r="D1515" t="s">
        <v>4476</v>
      </c>
      <c r="E1515" t="s">
        <v>4439</v>
      </c>
      <c r="F1515" s="3">
        <v>45125</v>
      </c>
      <c r="G1515" s="3" t="s">
        <v>537</v>
      </c>
      <c r="I1515">
        <v>48</v>
      </c>
      <c r="J1515" t="s">
        <v>4440</v>
      </c>
      <c r="K1515" t="s">
        <v>4474</v>
      </c>
      <c r="L1515" t="s">
        <v>4465</v>
      </c>
      <c r="M1515" t="s">
        <v>4450</v>
      </c>
    </row>
    <row r="1516" spans="1:14" x14ac:dyDescent="0.35">
      <c r="A1516" t="s">
        <v>5995</v>
      </c>
      <c r="B1516" t="s">
        <v>156</v>
      </c>
      <c r="C1516" t="s">
        <v>1904</v>
      </c>
      <c r="D1516" t="s">
        <v>4482</v>
      </c>
      <c r="E1516" t="s">
        <v>4444</v>
      </c>
      <c r="F1516" s="3">
        <v>45514</v>
      </c>
      <c r="G1516" s="3">
        <v>45514</v>
      </c>
      <c r="H1516">
        <v>4.4000000000000004</v>
      </c>
      <c r="I1516">
        <v>24</v>
      </c>
      <c r="J1516" t="s">
        <v>4448</v>
      </c>
      <c r="K1516" t="s">
        <v>4441</v>
      </c>
      <c r="L1516" t="s">
        <v>4480</v>
      </c>
      <c r="M1516" t="s">
        <v>4462</v>
      </c>
      <c r="N1516">
        <v>5</v>
      </c>
    </row>
    <row r="1517" spans="1:14" x14ac:dyDescent="0.35">
      <c r="A1517" t="s">
        <v>5996</v>
      </c>
      <c r="B1517" t="s">
        <v>331</v>
      </c>
      <c r="C1517" t="s">
        <v>1890</v>
      </c>
      <c r="D1517" t="s">
        <v>4438</v>
      </c>
      <c r="E1517" t="s">
        <v>4444</v>
      </c>
      <c r="F1517" s="3">
        <v>45384</v>
      </c>
      <c r="G1517" s="3">
        <v>45384</v>
      </c>
      <c r="H1517">
        <v>9</v>
      </c>
      <c r="I1517">
        <v>24</v>
      </c>
      <c r="J1517" t="s">
        <v>4448</v>
      </c>
      <c r="K1517" t="s">
        <v>4441</v>
      </c>
      <c r="L1517" t="s">
        <v>4449</v>
      </c>
      <c r="M1517" t="s">
        <v>4462</v>
      </c>
      <c r="N1517">
        <v>3</v>
      </c>
    </row>
    <row r="1518" spans="1:14" x14ac:dyDescent="0.35">
      <c r="A1518" t="s">
        <v>5997</v>
      </c>
      <c r="B1518" t="s">
        <v>456</v>
      </c>
      <c r="C1518" t="s">
        <v>1915</v>
      </c>
      <c r="D1518" t="s">
        <v>4479</v>
      </c>
      <c r="E1518" t="s">
        <v>4473</v>
      </c>
      <c r="F1518" s="3">
        <v>45422</v>
      </c>
      <c r="G1518" s="3" t="s">
        <v>537</v>
      </c>
      <c r="I1518">
        <v>8</v>
      </c>
      <c r="J1518" t="s">
        <v>4440</v>
      </c>
      <c r="K1518" t="s">
        <v>4457</v>
      </c>
      <c r="L1518" t="s">
        <v>4580</v>
      </c>
      <c r="M1518" t="s">
        <v>4446</v>
      </c>
    </row>
    <row r="1519" spans="1:14" x14ac:dyDescent="0.35">
      <c r="A1519" t="s">
        <v>5998</v>
      </c>
      <c r="B1519" t="s">
        <v>77</v>
      </c>
      <c r="C1519" t="s">
        <v>1927</v>
      </c>
      <c r="D1519" t="s">
        <v>4476</v>
      </c>
      <c r="E1519" t="s">
        <v>4444</v>
      </c>
      <c r="F1519" s="3">
        <v>45311</v>
      </c>
      <c r="G1519" s="3">
        <v>45311</v>
      </c>
      <c r="H1519">
        <v>14.8</v>
      </c>
      <c r="I1519">
        <v>24</v>
      </c>
      <c r="J1519" t="s">
        <v>4448</v>
      </c>
      <c r="K1519" t="s">
        <v>4441</v>
      </c>
      <c r="L1519" t="s">
        <v>4580</v>
      </c>
      <c r="M1519" t="s">
        <v>1625</v>
      </c>
    </row>
    <row r="1520" spans="1:14" x14ac:dyDescent="0.35">
      <c r="A1520" t="s">
        <v>5999</v>
      </c>
      <c r="B1520" t="s">
        <v>428</v>
      </c>
      <c r="C1520" t="s">
        <v>1890</v>
      </c>
      <c r="D1520" t="s">
        <v>4438</v>
      </c>
      <c r="E1520" t="s">
        <v>4444</v>
      </c>
      <c r="F1520" s="3">
        <v>44948</v>
      </c>
      <c r="G1520" s="3" t="s">
        <v>537</v>
      </c>
      <c r="I1520">
        <v>24</v>
      </c>
      <c r="J1520" t="s">
        <v>4440</v>
      </c>
      <c r="K1520" t="s">
        <v>4457</v>
      </c>
      <c r="L1520" t="s">
        <v>4533</v>
      </c>
      <c r="M1520" t="s">
        <v>4450</v>
      </c>
    </row>
    <row r="1521" spans="1:14" x14ac:dyDescent="0.35">
      <c r="A1521" t="s">
        <v>6000</v>
      </c>
      <c r="B1521" t="s">
        <v>358</v>
      </c>
      <c r="C1521" t="s">
        <v>1899</v>
      </c>
      <c r="D1521" t="s">
        <v>4443</v>
      </c>
      <c r="E1521" t="s">
        <v>4444</v>
      </c>
      <c r="F1521" s="3">
        <v>45357</v>
      </c>
      <c r="G1521" s="3">
        <v>45357</v>
      </c>
      <c r="H1521">
        <v>1.6</v>
      </c>
      <c r="I1521">
        <v>24</v>
      </c>
      <c r="J1521" t="s">
        <v>4448</v>
      </c>
      <c r="K1521" t="s">
        <v>4441</v>
      </c>
      <c r="L1521" t="s">
        <v>4458</v>
      </c>
      <c r="M1521" t="s">
        <v>4446</v>
      </c>
      <c r="N1521">
        <v>1</v>
      </c>
    </row>
    <row r="1522" spans="1:14" x14ac:dyDescent="0.35">
      <c r="A1522" t="s">
        <v>6001</v>
      </c>
      <c r="B1522" t="s">
        <v>387</v>
      </c>
      <c r="C1522" t="s">
        <v>1915</v>
      </c>
      <c r="D1522" t="s">
        <v>4460</v>
      </c>
      <c r="E1522" t="s">
        <v>4444</v>
      </c>
      <c r="F1522" s="3">
        <v>45635</v>
      </c>
      <c r="G1522" s="3">
        <v>45635</v>
      </c>
      <c r="H1522">
        <v>1.6</v>
      </c>
      <c r="I1522">
        <v>24</v>
      </c>
      <c r="J1522" t="s">
        <v>4448</v>
      </c>
      <c r="K1522" t="s">
        <v>4441</v>
      </c>
      <c r="L1522" t="s">
        <v>4483</v>
      </c>
      <c r="M1522" t="s">
        <v>4462</v>
      </c>
      <c r="N1522">
        <v>4</v>
      </c>
    </row>
    <row r="1523" spans="1:14" x14ac:dyDescent="0.35">
      <c r="A1523" t="s">
        <v>6002</v>
      </c>
      <c r="B1523" t="s">
        <v>321</v>
      </c>
      <c r="C1523" t="s">
        <v>1883</v>
      </c>
      <c r="D1523" t="s">
        <v>4443</v>
      </c>
      <c r="E1523" t="s">
        <v>4444</v>
      </c>
      <c r="F1523" s="3">
        <v>45739</v>
      </c>
      <c r="G1523" s="3" t="s">
        <v>537</v>
      </c>
      <c r="I1523">
        <v>24</v>
      </c>
      <c r="J1523" t="s">
        <v>4448</v>
      </c>
      <c r="K1523" t="s">
        <v>4457</v>
      </c>
      <c r="L1523" t="s">
        <v>4467</v>
      </c>
      <c r="M1523" t="s">
        <v>4446</v>
      </c>
    </row>
    <row r="1524" spans="1:14" x14ac:dyDescent="0.35">
      <c r="A1524" t="s">
        <v>6003</v>
      </c>
      <c r="B1524" t="s">
        <v>242</v>
      </c>
      <c r="C1524" t="s">
        <v>1890</v>
      </c>
      <c r="D1524" t="s">
        <v>4476</v>
      </c>
      <c r="E1524" t="s">
        <v>4456</v>
      </c>
      <c r="F1524" s="3">
        <v>45505</v>
      </c>
      <c r="G1524" s="3">
        <v>45505</v>
      </c>
      <c r="H1524">
        <v>8.4</v>
      </c>
      <c r="I1524">
        <v>4</v>
      </c>
      <c r="J1524" t="s">
        <v>4440</v>
      </c>
      <c r="K1524" t="s">
        <v>4441</v>
      </c>
      <c r="L1524" t="s">
        <v>4467</v>
      </c>
      <c r="M1524" t="s">
        <v>1625</v>
      </c>
    </row>
    <row r="1525" spans="1:14" x14ac:dyDescent="0.35">
      <c r="A1525" t="s">
        <v>6004</v>
      </c>
      <c r="B1525" t="s">
        <v>488</v>
      </c>
      <c r="C1525" t="s">
        <v>1915</v>
      </c>
      <c r="D1525" t="s">
        <v>4479</v>
      </c>
      <c r="E1525" t="s">
        <v>4444</v>
      </c>
      <c r="F1525" s="3">
        <v>45423</v>
      </c>
      <c r="G1525" s="3" t="s">
        <v>537</v>
      </c>
      <c r="I1525">
        <v>24</v>
      </c>
      <c r="J1525" t="s">
        <v>4448</v>
      </c>
      <c r="K1525" t="s">
        <v>4474</v>
      </c>
      <c r="L1525" t="s">
        <v>4480</v>
      </c>
      <c r="M1525" t="s">
        <v>4450</v>
      </c>
    </row>
    <row r="1526" spans="1:14" x14ac:dyDescent="0.35">
      <c r="A1526" t="s">
        <v>6005</v>
      </c>
      <c r="B1526" t="s">
        <v>220</v>
      </c>
      <c r="C1526" t="s">
        <v>1890</v>
      </c>
      <c r="D1526" t="s">
        <v>4452</v>
      </c>
      <c r="E1526" t="s">
        <v>4444</v>
      </c>
      <c r="F1526" s="3">
        <v>45075</v>
      </c>
      <c r="G1526" s="3" t="s">
        <v>537</v>
      </c>
      <c r="I1526">
        <v>24</v>
      </c>
      <c r="J1526" t="s">
        <v>4448</v>
      </c>
      <c r="K1526" t="s">
        <v>4457</v>
      </c>
      <c r="L1526" t="s">
        <v>4467</v>
      </c>
      <c r="M1526" t="s">
        <v>4462</v>
      </c>
    </row>
    <row r="1527" spans="1:14" x14ac:dyDescent="0.35">
      <c r="A1527" t="s">
        <v>6006</v>
      </c>
      <c r="B1527" t="s">
        <v>455</v>
      </c>
      <c r="C1527" t="s">
        <v>1890</v>
      </c>
      <c r="D1527" t="s">
        <v>4452</v>
      </c>
      <c r="E1527" t="s">
        <v>4473</v>
      </c>
      <c r="F1527" s="3">
        <v>45562</v>
      </c>
      <c r="G1527" s="3" t="s">
        <v>537</v>
      </c>
      <c r="I1527">
        <v>8</v>
      </c>
      <c r="J1527" t="s">
        <v>4448</v>
      </c>
      <c r="K1527" t="s">
        <v>4474</v>
      </c>
      <c r="L1527" t="s">
        <v>4458</v>
      </c>
      <c r="M1527" t="s">
        <v>1625</v>
      </c>
    </row>
    <row r="1528" spans="1:14" x14ac:dyDescent="0.35">
      <c r="A1528" t="s">
        <v>6007</v>
      </c>
      <c r="B1528" t="s">
        <v>419</v>
      </c>
      <c r="C1528" t="s">
        <v>1883</v>
      </c>
      <c r="D1528" t="s">
        <v>4464</v>
      </c>
      <c r="E1528" t="s">
        <v>4473</v>
      </c>
      <c r="F1528" s="3">
        <v>45653</v>
      </c>
      <c r="G1528" s="3" t="s">
        <v>537</v>
      </c>
      <c r="I1528">
        <v>8</v>
      </c>
      <c r="J1528" t="s">
        <v>4440</v>
      </c>
      <c r="K1528" t="s">
        <v>4453</v>
      </c>
      <c r="L1528" t="s">
        <v>4465</v>
      </c>
      <c r="M1528" t="s">
        <v>1625</v>
      </c>
    </row>
    <row r="1529" spans="1:14" x14ac:dyDescent="0.35">
      <c r="A1529" t="s">
        <v>6008</v>
      </c>
      <c r="B1529" t="s">
        <v>203</v>
      </c>
      <c r="C1529" t="s">
        <v>1890</v>
      </c>
      <c r="D1529" t="s">
        <v>4490</v>
      </c>
      <c r="E1529" t="s">
        <v>4444</v>
      </c>
      <c r="F1529" s="3">
        <v>45639</v>
      </c>
      <c r="G1529" s="3">
        <v>45640</v>
      </c>
      <c r="H1529">
        <v>47</v>
      </c>
      <c r="I1529">
        <v>24</v>
      </c>
      <c r="J1529" t="s">
        <v>4440</v>
      </c>
      <c r="K1529" t="s">
        <v>4441</v>
      </c>
      <c r="L1529" t="s">
        <v>4527</v>
      </c>
      <c r="M1529" t="s">
        <v>4450</v>
      </c>
      <c r="N1529">
        <v>3</v>
      </c>
    </row>
    <row r="1530" spans="1:14" x14ac:dyDescent="0.35">
      <c r="A1530" t="s">
        <v>6009</v>
      </c>
      <c r="B1530" t="s">
        <v>481</v>
      </c>
      <c r="C1530" t="s">
        <v>1927</v>
      </c>
      <c r="D1530" t="s">
        <v>4479</v>
      </c>
      <c r="E1530" t="s">
        <v>4444</v>
      </c>
      <c r="F1530" s="3">
        <v>45127</v>
      </c>
      <c r="G1530" s="3" t="s">
        <v>537</v>
      </c>
      <c r="I1530">
        <v>24</v>
      </c>
      <c r="J1530" t="s">
        <v>4448</v>
      </c>
      <c r="K1530" t="s">
        <v>4453</v>
      </c>
      <c r="L1530" t="s">
        <v>4514</v>
      </c>
      <c r="M1530" t="s">
        <v>4450</v>
      </c>
    </row>
    <row r="1531" spans="1:14" x14ac:dyDescent="0.35">
      <c r="A1531" t="s">
        <v>6010</v>
      </c>
      <c r="B1531" t="s">
        <v>330</v>
      </c>
      <c r="C1531" t="s">
        <v>1890</v>
      </c>
      <c r="D1531" t="s">
        <v>4472</v>
      </c>
      <c r="E1531" t="s">
        <v>4473</v>
      </c>
      <c r="F1531" s="3">
        <v>45048</v>
      </c>
      <c r="G1531" s="3" t="s">
        <v>537</v>
      </c>
      <c r="I1531">
        <v>8</v>
      </c>
      <c r="J1531" t="s">
        <v>4440</v>
      </c>
      <c r="K1531" t="s">
        <v>4457</v>
      </c>
      <c r="L1531" t="s">
        <v>4467</v>
      </c>
      <c r="M1531" t="s">
        <v>1625</v>
      </c>
    </row>
    <row r="1532" spans="1:14" x14ac:dyDescent="0.35">
      <c r="A1532" t="s">
        <v>6011</v>
      </c>
      <c r="B1532" t="s">
        <v>429</v>
      </c>
      <c r="C1532" t="s">
        <v>1904</v>
      </c>
      <c r="D1532" t="s">
        <v>4472</v>
      </c>
      <c r="E1532" t="s">
        <v>4473</v>
      </c>
      <c r="F1532" s="3">
        <v>45339</v>
      </c>
      <c r="G1532" s="3">
        <v>45339</v>
      </c>
      <c r="H1532">
        <v>14.8</v>
      </c>
      <c r="I1532">
        <v>8</v>
      </c>
      <c r="J1532" t="s">
        <v>4440</v>
      </c>
      <c r="K1532" t="s">
        <v>4441</v>
      </c>
      <c r="L1532" t="s">
        <v>4461</v>
      </c>
      <c r="M1532" t="s">
        <v>1625</v>
      </c>
      <c r="N1532">
        <v>5</v>
      </c>
    </row>
    <row r="1533" spans="1:14" x14ac:dyDescent="0.35">
      <c r="A1533" t="s">
        <v>6012</v>
      </c>
      <c r="B1533" t="s">
        <v>184</v>
      </c>
      <c r="C1533" t="s">
        <v>1927</v>
      </c>
      <c r="D1533" t="s">
        <v>4490</v>
      </c>
      <c r="E1533" t="s">
        <v>4439</v>
      </c>
      <c r="F1533" s="3">
        <v>45387</v>
      </c>
      <c r="G1533" s="3">
        <v>45390</v>
      </c>
      <c r="H1533">
        <v>73.2</v>
      </c>
      <c r="I1533">
        <v>48</v>
      </c>
      <c r="J1533" t="s">
        <v>4440</v>
      </c>
      <c r="K1533" t="s">
        <v>4441</v>
      </c>
      <c r="L1533" t="s">
        <v>4492</v>
      </c>
      <c r="M1533" t="s">
        <v>4450</v>
      </c>
      <c r="N1533">
        <v>3</v>
      </c>
    </row>
    <row r="1534" spans="1:14" x14ac:dyDescent="0.35">
      <c r="A1534" t="s">
        <v>6013</v>
      </c>
      <c r="B1534" t="s">
        <v>86</v>
      </c>
      <c r="C1534" t="s">
        <v>1915</v>
      </c>
      <c r="D1534" t="s">
        <v>4438</v>
      </c>
      <c r="E1534" t="s">
        <v>4439</v>
      </c>
      <c r="F1534" s="3">
        <v>45378</v>
      </c>
      <c r="G1534" s="3">
        <v>45380</v>
      </c>
      <c r="H1534">
        <v>66.2</v>
      </c>
      <c r="I1534">
        <v>48</v>
      </c>
      <c r="J1534" t="s">
        <v>4440</v>
      </c>
      <c r="K1534" t="s">
        <v>4441</v>
      </c>
      <c r="L1534" t="s">
        <v>4461</v>
      </c>
      <c r="M1534" t="s">
        <v>4462</v>
      </c>
    </row>
    <row r="1535" spans="1:14" x14ac:dyDescent="0.35">
      <c r="A1535" t="s">
        <v>6014</v>
      </c>
      <c r="B1535" t="s">
        <v>214</v>
      </c>
      <c r="C1535" t="s">
        <v>1890</v>
      </c>
      <c r="D1535" t="s">
        <v>8504</v>
      </c>
      <c r="E1535" t="s">
        <v>4444</v>
      </c>
      <c r="F1535" s="3">
        <v>45720</v>
      </c>
      <c r="G1535" s="3" t="s">
        <v>537</v>
      </c>
      <c r="I1535">
        <v>24</v>
      </c>
      <c r="J1535" t="s">
        <v>4440</v>
      </c>
      <c r="K1535" t="s">
        <v>4453</v>
      </c>
      <c r="L1535" t="s">
        <v>4470</v>
      </c>
      <c r="M1535" t="s">
        <v>4462</v>
      </c>
    </row>
    <row r="1536" spans="1:14" x14ac:dyDescent="0.35">
      <c r="A1536" t="s">
        <v>6015</v>
      </c>
      <c r="B1536" t="s">
        <v>264</v>
      </c>
      <c r="C1536" t="s">
        <v>1927</v>
      </c>
      <c r="D1536" t="s">
        <v>4443</v>
      </c>
      <c r="E1536" t="s">
        <v>4473</v>
      </c>
      <c r="F1536" s="3">
        <v>45548</v>
      </c>
      <c r="G1536" s="3">
        <v>45548</v>
      </c>
      <c r="H1536">
        <v>16.100000000000001</v>
      </c>
      <c r="I1536">
        <v>8</v>
      </c>
      <c r="J1536" t="s">
        <v>4440</v>
      </c>
      <c r="K1536" t="s">
        <v>4441</v>
      </c>
      <c r="L1536" t="s">
        <v>4580</v>
      </c>
      <c r="M1536" t="s">
        <v>4462</v>
      </c>
    </row>
    <row r="1537" spans="1:14" x14ac:dyDescent="0.35">
      <c r="A1537" t="s">
        <v>6016</v>
      </c>
      <c r="B1537" t="s">
        <v>316</v>
      </c>
      <c r="C1537" t="s">
        <v>1899</v>
      </c>
      <c r="D1537" t="s">
        <v>4443</v>
      </c>
      <c r="E1537" t="s">
        <v>4473</v>
      </c>
      <c r="F1537" s="3">
        <v>45514</v>
      </c>
      <c r="G1537" s="3">
        <v>45514</v>
      </c>
      <c r="H1537">
        <v>3</v>
      </c>
      <c r="I1537">
        <v>8</v>
      </c>
      <c r="J1537" t="s">
        <v>4448</v>
      </c>
      <c r="K1537" t="s">
        <v>4441</v>
      </c>
      <c r="L1537" t="s">
        <v>4458</v>
      </c>
      <c r="M1537" t="s">
        <v>1625</v>
      </c>
      <c r="N1537">
        <v>4</v>
      </c>
    </row>
    <row r="1538" spans="1:14" x14ac:dyDescent="0.35">
      <c r="A1538" t="s">
        <v>6017</v>
      </c>
      <c r="B1538" t="s">
        <v>71</v>
      </c>
      <c r="C1538" t="s">
        <v>1927</v>
      </c>
      <c r="D1538" t="s">
        <v>4460</v>
      </c>
      <c r="E1538" t="s">
        <v>4473</v>
      </c>
      <c r="F1538" s="3">
        <v>45694</v>
      </c>
      <c r="G1538" s="3">
        <v>45694</v>
      </c>
      <c r="H1538">
        <v>15.6</v>
      </c>
      <c r="I1538">
        <v>8</v>
      </c>
      <c r="J1538" t="s">
        <v>4440</v>
      </c>
      <c r="K1538" t="s">
        <v>4441</v>
      </c>
      <c r="L1538" t="s">
        <v>4467</v>
      </c>
      <c r="M1538" t="s">
        <v>1625</v>
      </c>
      <c r="N1538">
        <v>5</v>
      </c>
    </row>
    <row r="1539" spans="1:14" x14ac:dyDescent="0.35">
      <c r="A1539" t="s">
        <v>6018</v>
      </c>
      <c r="B1539" t="s">
        <v>201</v>
      </c>
      <c r="C1539" t="s">
        <v>1927</v>
      </c>
      <c r="D1539" t="s">
        <v>4438</v>
      </c>
      <c r="E1539" t="s">
        <v>4439</v>
      </c>
      <c r="F1539" s="3">
        <v>45190</v>
      </c>
      <c r="G1539" s="3">
        <v>45193</v>
      </c>
      <c r="H1539">
        <v>94</v>
      </c>
      <c r="I1539">
        <v>48</v>
      </c>
      <c r="J1539" t="s">
        <v>4440</v>
      </c>
      <c r="K1539" t="s">
        <v>4441</v>
      </c>
      <c r="L1539" t="s">
        <v>4470</v>
      </c>
      <c r="M1539" t="s">
        <v>4462</v>
      </c>
    </row>
    <row r="1540" spans="1:14" x14ac:dyDescent="0.35">
      <c r="A1540" t="s">
        <v>6019</v>
      </c>
      <c r="B1540" t="s">
        <v>176</v>
      </c>
      <c r="C1540" t="s">
        <v>1883</v>
      </c>
      <c r="D1540" t="s">
        <v>4443</v>
      </c>
      <c r="E1540" t="s">
        <v>4444</v>
      </c>
      <c r="F1540" s="3">
        <v>45689</v>
      </c>
      <c r="G1540" s="3">
        <v>45689</v>
      </c>
      <c r="H1540">
        <v>11</v>
      </c>
      <c r="I1540">
        <v>24</v>
      </c>
      <c r="J1540" t="s">
        <v>4448</v>
      </c>
      <c r="K1540" t="s">
        <v>4441</v>
      </c>
      <c r="L1540" t="s">
        <v>4580</v>
      </c>
      <c r="M1540" t="s">
        <v>4450</v>
      </c>
      <c r="N1540">
        <v>5</v>
      </c>
    </row>
    <row r="1541" spans="1:14" x14ac:dyDescent="0.35">
      <c r="A1541" t="s">
        <v>6020</v>
      </c>
      <c r="B1541" t="s">
        <v>146</v>
      </c>
      <c r="C1541" t="s">
        <v>1904</v>
      </c>
      <c r="D1541" t="s">
        <v>4482</v>
      </c>
      <c r="E1541" t="s">
        <v>4444</v>
      </c>
      <c r="F1541" s="3">
        <v>45337</v>
      </c>
      <c r="G1541" s="3">
        <v>45339</v>
      </c>
      <c r="H1541">
        <v>50</v>
      </c>
      <c r="I1541">
        <v>24</v>
      </c>
      <c r="J1541" t="s">
        <v>4440</v>
      </c>
      <c r="K1541" t="s">
        <v>4441</v>
      </c>
      <c r="L1541" t="s">
        <v>4454</v>
      </c>
      <c r="M1541" t="s">
        <v>4462</v>
      </c>
      <c r="N1541">
        <v>5</v>
      </c>
    </row>
    <row r="1542" spans="1:14" x14ac:dyDescent="0.35">
      <c r="A1542" t="s">
        <v>6021</v>
      </c>
      <c r="B1542" t="s">
        <v>222</v>
      </c>
      <c r="C1542" t="s">
        <v>1899</v>
      </c>
      <c r="D1542" t="s">
        <v>4443</v>
      </c>
      <c r="E1542" t="s">
        <v>4439</v>
      </c>
      <c r="F1542" s="3">
        <v>45484</v>
      </c>
      <c r="G1542" s="3">
        <v>45487</v>
      </c>
      <c r="H1542">
        <v>77.8</v>
      </c>
      <c r="I1542">
        <v>48</v>
      </c>
      <c r="J1542" t="s">
        <v>4440</v>
      </c>
      <c r="K1542" t="s">
        <v>4441</v>
      </c>
      <c r="L1542" t="s">
        <v>4512</v>
      </c>
      <c r="M1542" t="s">
        <v>4462</v>
      </c>
      <c r="N1542">
        <v>3</v>
      </c>
    </row>
    <row r="1543" spans="1:14" x14ac:dyDescent="0.35">
      <c r="A1543" t="s">
        <v>6022</v>
      </c>
      <c r="B1543" t="s">
        <v>419</v>
      </c>
      <c r="C1543" t="s">
        <v>1915</v>
      </c>
      <c r="D1543" t="s">
        <v>4479</v>
      </c>
      <c r="E1543" t="s">
        <v>4456</v>
      </c>
      <c r="F1543" s="3">
        <v>45665</v>
      </c>
      <c r="G1543" s="3" t="s">
        <v>537</v>
      </c>
      <c r="I1543">
        <v>4</v>
      </c>
      <c r="J1543" t="s">
        <v>4440</v>
      </c>
      <c r="K1543" t="s">
        <v>4457</v>
      </c>
      <c r="L1543" t="s">
        <v>4458</v>
      </c>
      <c r="M1543" t="s">
        <v>4462</v>
      </c>
    </row>
    <row r="1544" spans="1:14" x14ac:dyDescent="0.35">
      <c r="A1544" t="s">
        <v>6023</v>
      </c>
      <c r="B1544" t="s">
        <v>156</v>
      </c>
      <c r="C1544" t="s">
        <v>1883</v>
      </c>
      <c r="D1544" t="s">
        <v>4443</v>
      </c>
      <c r="E1544" t="s">
        <v>4444</v>
      </c>
      <c r="F1544" s="3">
        <v>45383</v>
      </c>
      <c r="G1544" s="3" t="s">
        <v>537</v>
      </c>
      <c r="I1544">
        <v>24</v>
      </c>
      <c r="J1544" t="s">
        <v>4440</v>
      </c>
      <c r="K1544" t="s">
        <v>4474</v>
      </c>
      <c r="L1544" t="s">
        <v>4467</v>
      </c>
      <c r="M1544" t="s">
        <v>4446</v>
      </c>
    </row>
    <row r="1545" spans="1:14" x14ac:dyDescent="0.35">
      <c r="A1545" t="s">
        <v>6024</v>
      </c>
      <c r="B1545" t="s">
        <v>449</v>
      </c>
      <c r="C1545" t="s">
        <v>1904</v>
      </c>
      <c r="D1545" t="s">
        <v>4472</v>
      </c>
      <c r="E1545" t="s">
        <v>4473</v>
      </c>
      <c r="F1545" s="3">
        <v>44981</v>
      </c>
      <c r="G1545" s="3">
        <v>44981</v>
      </c>
      <c r="H1545">
        <v>1.1000000000000001</v>
      </c>
      <c r="I1545">
        <v>8</v>
      </c>
      <c r="J1545" t="s">
        <v>4448</v>
      </c>
      <c r="K1545" t="s">
        <v>4441</v>
      </c>
      <c r="L1545" t="s">
        <v>4454</v>
      </c>
      <c r="M1545" t="s">
        <v>4462</v>
      </c>
      <c r="N1545">
        <v>5</v>
      </c>
    </row>
    <row r="1546" spans="1:14" x14ac:dyDescent="0.35">
      <c r="A1546" t="s">
        <v>6025</v>
      </c>
      <c r="B1546" t="s">
        <v>295</v>
      </c>
      <c r="C1546" t="s">
        <v>1927</v>
      </c>
      <c r="D1546" t="s">
        <v>4438</v>
      </c>
      <c r="E1546" t="s">
        <v>4439</v>
      </c>
      <c r="F1546" s="3">
        <v>44941</v>
      </c>
      <c r="G1546" s="3" t="s">
        <v>537</v>
      </c>
      <c r="I1546">
        <v>48</v>
      </c>
      <c r="J1546" t="s">
        <v>4440</v>
      </c>
      <c r="K1546" t="s">
        <v>4457</v>
      </c>
      <c r="L1546" t="s">
        <v>4480</v>
      </c>
      <c r="M1546" t="s">
        <v>4450</v>
      </c>
    </row>
    <row r="1547" spans="1:14" x14ac:dyDescent="0.35">
      <c r="A1547" t="s">
        <v>6026</v>
      </c>
      <c r="B1547" t="s">
        <v>431</v>
      </c>
      <c r="C1547" t="s">
        <v>1899</v>
      </c>
      <c r="D1547" t="s">
        <v>4438</v>
      </c>
      <c r="E1547" t="s">
        <v>4444</v>
      </c>
      <c r="F1547" s="3">
        <v>45152</v>
      </c>
      <c r="G1547" s="3">
        <v>45152</v>
      </c>
      <c r="H1547">
        <v>5.4</v>
      </c>
      <c r="I1547">
        <v>24</v>
      </c>
      <c r="J1547" t="s">
        <v>4448</v>
      </c>
      <c r="K1547" t="s">
        <v>4441</v>
      </c>
      <c r="L1547" t="s">
        <v>1907</v>
      </c>
      <c r="M1547" t="s">
        <v>4446</v>
      </c>
      <c r="N1547">
        <v>4</v>
      </c>
    </row>
    <row r="1548" spans="1:14" x14ac:dyDescent="0.35">
      <c r="A1548" t="s">
        <v>6027</v>
      </c>
      <c r="B1548" t="s">
        <v>228</v>
      </c>
      <c r="C1548" t="s">
        <v>1883</v>
      </c>
      <c r="D1548" t="s">
        <v>4443</v>
      </c>
      <c r="E1548" t="s">
        <v>4473</v>
      </c>
      <c r="F1548" s="3">
        <v>44968</v>
      </c>
      <c r="G1548" s="3">
        <v>44968</v>
      </c>
      <c r="H1548">
        <v>2</v>
      </c>
      <c r="I1548">
        <v>8</v>
      </c>
      <c r="J1548" t="s">
        <v>4448</v>
      </c>
      <c r="K1548" t="s">
        <v>4441</v>
      </c>
      <c r="L1548" t="s">
        <v>4488</v>
      </c>
      <c r="M1548" t="s">
        <v>4462</v>
      </c>
      <c r="N1548">
        <v>5</v>
      </c>
    </row>
    <row r="1549" spans="1:14" x14ac:dyDescent="0.35">
      <c r="A1549" t="s">
        <v>6028</v>
      </c>
      <c r="B1549" t="s">
        <v>175</v>
      </c>
      <c r="C1549" t="s">
        <v>1890</v>
      </c>
      <c r="D1549" t="s">
        <v>4482</v>
      </c>
      <c r="E1549" t="s">
        <v>4444</v>
      </c>
      <c r="F1549" s="3">
        <v>45551</v>
      </c>
      <c r="G1549" s="3">
        <v>45551</v>
      </c>
      <c r="H1549">
        <v>17</v>
      </c>
      <c r="I1549">
        <v>24</v>
      </c>
      <c r="J1549" t="s">
        <v>4448</v>
      </c>
      <c r="K1549" t="s">
        <v>4441</v>
      </c>
      <c r="L1549" t="s">
        <v>4580</v>
      </c>
      <c r="M1549" t="s">
        <v>4450</v>
      </c>
    </row>
    <row r="1550" spans="1:14" x14ac:dyDescent="0.35">
      <c r="A1550" t="s">
        <v>6029</v>
      </c>
      <c r="B1550" t="s">
        <v>133</v>
      </c>
      <c r="C1550" t="s">
        <v>1883</v>
      </c>
      <c r="D1550" t="s">
        <v>4464</v>
      </c>
      <c r="E1550" t="s">
        <v>4473</v>
      </c>
      <c r="F1550" s="3">
        <v>45069</v>
      </c>
      <c r="G1550" s="3">
        <v>45069</v>
      </c>
      <c r="H1550">
        <v>7.2</v>
      </c>
      <c r="I1550">
        <v>8</v>
      </c>
      <c r="J1550" t="s">
        <v>4448</v>
      </c>
      <c r="K1550" t="s">
        <v>4441</v>
      </c>
      <c r="L1550" t="s">
        <v>4483</v>
      </c>
      <c r="M1550" t="s">
        <v>4450</v>
      </c>
    </row>
    <row r="1551" spans="1:14" x14ac:dyDescent="0.35">
      <c r="A1551" t="s">
        <v>6030</v>
      </c>
      <c r="B1551" t="s">
        <v>469</v>
      </c>
      <c r="C1551" t="s">
        <v>1890</v>
      </c>
      <c r="D1551" t="s">
        <v>4443</v>
      </c>
      <c r="E1551" t="s">
        <v>4444</v>
      </c>
      <c r="F1551" s="3">
        <v>44994</v>
      </c>
      <c r="G1551" s="3">
        <v>44994</v>
      </c>
      <c r="H1551">
        <v>12.5</v>
      </c>
      <c r="I1551">
        <v>24</v>
      </c>
      <c r="J1551" t="s">
        <v>1945</v>
      </c>
      <c r="K1551" t="s">
        <v>4441</v>
      </c>
      <c r="L1551" t="s">
        <v>4501</v>
      </c>
      <c r="M1551" t="s">
        <v>1625</v>
      </c>
      <c r="N1551">
        <v>4</v>
      </c>
    </row>
    <row r="1552" spans="1:14" x14ac:dyDescent="0.35">
      <c r="A1552" t="s">
        <v>6031</v>
      </c>
      <c r="B1552" t="s">
        <v>60</v>
      </c>
      <c r="C1552" t="s">
        <v>1899</v>
      </c>
      <c r="D1552" t="s">
        <v>4490</v>
      </c>
      <c r="E1552" t="s">
        <v>4444</v>
      </c>
      <c r="F1552" s="3">
        <v>45217</v>
      </c>
      <c r="G1552" s="3">
        <v>45218</v>
      </c>
      <c r="H1552">
        <v>44.5</v>
      </c>
      <c r="I1552">
        <v>24</v>
      </c>
      <c r="J1552" t="s">
        <v>4440</v>
      </c>
      <c r="K1552" t="s">
        <v>4441</v>
      </c>
      <c r="L1552" t="s">
        <v>4533</v>
      </c>
      <c r="M1552" t="s">
        <v>4446</v>
      </c>
      <c r="N1552">
        <v>4</v>
      </c>
    </row>
    <row r="1553" spans="1:14" x14ac:dyDescent="0.35">
      <c r="A1553" t="s">
        <v>6032</v>
      </c>
      <c r="B1553" t="s">
        <v>410</v>
      </c>
      <c r="C1553" t="s">
        <v>1899</v>
      </c>
      <c r="D1553" t="s">
        <v>4443</v>
      </c>
      <c r="E1553" t="s">
        <v>4439</v>
      </c>
      <c r="F1553" s="3">
        <v>45451</v>
      </c>
      <c r="G1553" s="3" t="s">
        <v>537</v>
      </c>
      <c r="I1553">
        <v>48</v>
      </c>
      <c r="J1553" t="s">
        <v>4440</v>
      </c>
      <c r="K1553" t="s">
        <v>4457</v>
      </c>
      <c r="L1553" t="s">
        <v>4458</v>
      </c>
      <c r="M1553" t="s">
        <v>4462</v>
      </c>
    </row>
    <row r="1554" spans="1:14" x14ac:dyDescent="0.35">
      <c r="A1554" t="s">
        <v>6033</v>
      </c>
      <c r="B1554" t="s">
        <v>479</v>
      </c>
      <c r="C1554" t="s">
        <v>1890</v>
      </c>
      <c r="D1554" t="s">
        <v>4476</v>
      </c>
      <c r="E1554" t="s">
        <v>4473</v>
      </c>
      <c r="F1554" s="3">
        <v>45087</v>
      </c>
      <c r="G1554" s="3">
        <v>45087</v>
      </c>
      <c r="H1554">
        <v>10.9</v>
      </c>
      <c r="I1554">
        <v>8</v>
      </c>
      <c r="J1554" t="s">
        <v>4440</v>
      </c>
      <c r="K1554" t="s">
        <v>4441</v>
      </c>
      <c r="L1554" t="s">
        <v>4580</v>
      </c>
      <c r="M1554" t="s">
        <v>4450</v>
      </c>
      <c r="N1554">
        <v>2</v>
      </c>
    </row>
    <row r="1555" spans="1:14" x14ac:dyDescent="0.35">
      <c r="A1555" t="s">
        <v>6034</v>
      </c>
      <c r="B1555" t="s">
        <v>423</v>
      </c>
      <c r="C1555" t="s">
        <v>1927</v>
      </c>
      <c r="D1555" t="s">
        <v>4482</v>
      </c>
      <c r="E1555" t="s">
        <v>4456</v>
      </c>
      <c r="F1555" s="3">
        <v>45237</v>
      </c>
      <c r="G1555" s="3">
        <v>45237</v>
      </c>
      <c r="H1555">
        <v>6</v>
      </c>
      <c r="I1555">
        <v>4</v>
      </c>
      <c r="J1555" t="s">
        <v>4440</v>
      </c>
      <c r="K1555" t="s">
        <v>4441</v>
      </c>
      <c r="L1555" t="s">
        <v>4465</v>
      </c>
      <c r="M1555" t="s">
        <v>1625</v>
      </c>
      <c r="N1555">
        <v>4</v>
      </c>
    </row>
    <row r="1556" spans="1:14" x14ac:dyDescent="0.35">
      <c r="A1556" t="s">
        <v>6035</v>
      </c>
      <c r="B1556" t="s">
        <v>439</v>
      </c>
      <c r="C1556" t="s">
        <v>1899</v>
      </c>
      <c r="D1556" t="s">
        <v>4479</v>
      </c>
      <c r="E1556" t="s">
        <v>4444</v>
      </c>
      <c r="F1556" s="3">
        <v>45708</v>
      </c>
      <c r="G1556" s="3" t="s">
        <v>537</v>
      </c>
      <c r="I1556">
        <v>24</v>
      </c>
      <c r="J1556" t="s">
        <v>4448</v>
      </c>
      <c r="K1556" t="s">
        <v>4453</v>
      </c>
      <c r="L1556" t="s">
        <v>1907</v>
      </c>
      <c r="M1556" t="s">
        <v>4462</v>
      </c>
    </row>
    <row r="1557" spans="1:14" x14ac:dyDescent="0.35">
      <c r="A1557" t="s">
        <v>6036</v>
      </c>
      <c r="B1557" t="s">
        <v>360</v>
      </c>
      <c r="C1557" t="s">
        <v>1904</v>
      </c>
      <c r="D1557" t="s">
        <v>4443</v>
      </c>
      <c r="E1557" t="s">
        <v>4439</v>
      </c>
      <c r="F1557" s="3">
        <v>45007</v>
      </c>
      <c r="G1557" s="3">
        <v>45007</v>
      </c>
      <c r="H1557">
        <v>2.2999999999999998</v>
      </c>
      <c r="I1557">
        <v>48</v>
      </c>
      <c r="J1557" t="s">
        <v>4448</v>
      </c>
      <c r="K1557" t="s">
        <v>4441</v>
      </c>
      <c r="L1557" t="s">
        <v>4470</v>
      </c>
      <c r="M1557" t="s">
        <v>4450</v>
      </c>
      <c r="N1557">
        <v>5</v>
      </c>
    </row>
    <row r="1558" spans="1:14" x14ac:dyDescent="0.35">
      <c r="A1558" t="s">
        <v>6037</v>
      </c>
      <c r="B1558" t="s">
        <v>471</v>
      </c>
      <c r="C1558" t="s">
        <v>1904</v>
      </c>
      <c r="D1558" t="s">
        <v>4485</v>
      </c>
      <c r="E1558" t="s">
        <v>4473</v>
      </c>
      <c r="F1558" s="3">
        <v>45270</v>
      </c>
      <c r="G1558" s="3">
        <v>45270</v>
      </c>
      <c r="H1558">
        <v>17.600000000000001</v>
      </c>
      <c r="I1558">
        <v>8</v>
      </c>
      <c r="J1558" t="s">
        <v>4440</v>
      </c>
      <c r="K1558" t="s">
        <v>4441</v>
      </c>
      <c r="L1558" t="s">
        <v>4454</v>
      </c>
      <c r="M1558" t="s">
        <v>4446</v>
      </c>
      <c r="N1558">
        <v>3</v>
      </c>
    </row>
    <row r="1559" spans="1:14" x14ac:dyDescent="0.35">
      <c r="A1559" t="s">
        <v>6038</v>
      </c>
      <c r="B1559" t="s">
        <v>466</v>
      </c>
      <c r="C1559" t="s">
        <v>1927</v>
      </c>
      <c r="D1559" t="s">
        <v>4464</v>
      </c>
      <c r="E1559" t="s">
        <v>4473</v>
      </c>
      <c r="F1559" s="3">
        <v>45504</v>
      </c>
      <c r="G1559" s="3" t="s">
        <v>537</v>
      </c>
      <c r="I1559">
        <v>8</v>
      </c>
      <c r="J1559" t="s">
        <v>4448</v>
      </c>
      <c r="K1559" t="s">
        <v>4457</v>
      </c>
      <c r="L1559" t="s">
        <v>4445</v>
      </c>
      <c r="M1559" t="s">
        <v>1625</v>
      </c>
    </row>
    <row r="1560" spans="1:14" x14ac:dyDescent="0.35">
      <c r="A1560" t="s">
        <v>6039</v>
      </c>
      <c r="B1560" t="s">
        <v>341</v>
      </c>
      <c r="C1560" t="s">
        <v>1915</v>
      </c>
      <c r="D1560" t="s">
        <v>4490</v>
      </c>
      <c r="E1560" t="s">
        <v>4444</v>
      </c>
      <c r="F1560" s="3">
        <v>45710</v>
      </c>
      <c r="G1560" s="3" t="s">
        <v>537</v>
      </c>
      <c r="I1560">
        <v>24</v>
      </c>
      <c r="J1560" t="s">
        <v>4448</v>
      </c>
      <c r="K1560" t="s">
        <v>4474</v>
      </c>
      <c r="L1560" t="s">
        <v>4580</v>
      </c>
      <c r="M1560" t="s">
        <v>4450</v>
      </c>
    </row>
    <row r="1561" spans="1:14" x14ac:dyDescent="0.35">
      <c r="A1561" t="s">
        <v>6040</v>
      </c>
      <c r="B1561" t="s">
        <v>32</v>
      </c>
      <c r="C1561" t="s">
        <v>1883</v>
      </c>
      <c r="D1561" t="s">
        <v>4476</v>
      </c>
      <c r="E1561" t="s">
        <v>4473</v>
      </c>
      <c r="F1561" s="3">
        <v>44944</v>
      </c>
      <c r="G1561" s="3">
        <v>44944</v>
      </c>
      <c r="H1561">
        <v>10.7</v>
      </c>
      <c r="I1561">
        <v>8</v>
      </c>
      <c r="J1561" t="s">
        <v>4440</v>
      </c>
      <c r="K1561" t="s">
        <v>4441</v>
      </c>
      <c r="L1561" t="s">
        <v>4580</v>
      </c>
      <c r="M1561" t="s">
        <v>4446</v>
      </c>
    </row>
    <row r="1562" spans="1:14" x14ac:dyDescent="0.35">
      <c r="A1562" t="s">
        <v>6041</v>
      </c>
      <c r="B1562" t="s">
        <v>275</v>
      </c>
      <c r="C1562" t="s">
        <v>1915</v>
      </c>
      <c r="D1562" t="s">
        <v>4485</v>
      </c>
      <c r="E1562" t="s">
        <v>4439</v>
      </c>
      <c r="F1562" s="3">
        <v>45595</v>
      </c>
      <c r="G1562" s="3">
        <v>45595</v>
      </c>
      <c r="H1562">
        <v>12.6</v>
      </c>
      <c r="I1562">
        <v>48</v>
      </c>
      <c r="J1562" t="s">
        <v>4448</v>
      </c>
      <c r="K1562" t="s">
        <v>4441</v>
      </c>
      <c r="L1562" t="s">
        <v>4480</v>
      </c>
      <c r="M1562" t="s">
        <v>4450</v>
      </c>
    </row>
    <row r="1563" spans="1:14" x14ac:dyDescent="0.35">
      <c r="A1563" t="s">
        <v>6042</v>
      </c>
      <c r="B1563" t="s">
        <v>97</v>
      </c>
      <c r="C1563" t="s">
        <v>1915</v>
      </c>
      <c r="D1563" t="s">
        <v>4485</v>
      </c>
      <c r="E1563" t="s">
        <v>4473</v>
      </c>
      <c r="F1563" s="3">
        <v>45226</v>
      </c>
      <c r="G1563" s="3" t="s">
        <v>537</v>
      </c>
      <c r="I1563">
        <v>8</v>
      </c>
      <c r="J1563" t="s">
        <v>4448</v>
      </c>
      <c r="K1563" t="s">
        <v>4457</v>
      </c>
      <c r="L1563" t="s">
        <v>4465</v>
      </c>
      <c r="M1563" t="s">
        <v>4450</v>
      </c>
    </row>
    <row r="1564" spans="1:14" x14ac:dyDescent="0.35">
      <c r="A1564" t="s">
        <v>6043</v>
      </c>
      <c r="B1564" t="s">
        <v>467</v>
      </c>
      <c r="C1564" t="s">
        <v>1890</v>
      </c>
      <c r="D1564" t="s">
        <v>4482</v>
      </c>
      <c r="E1564" t="s">
        <v>4473</v>
      </c>
      <c r="F1564" s="3">
        <v>45308</v>
      </c>
      <c r="G1564" s="3">
        <v>45308</v>
      </c>
      <c r="H1564">
        <v>17.399999999999999</v>
      </c>
      <c r="I1564">
        <v>8</v>
      </c>
      <c r="J1564" t="s">
        <v>4440</v>
      </c>
      <c r="K1564" t="s">
        <v>4441</v>
      </c>
      <c r="L1564" t="s">
        <v>4458</v>
      </c>
      <c r="M1564" t="s">
        <v>4446</v>
      </c>
      <c r="N1564">
        <v>3</v>
      </c>
    </row>
    <row r="1565" spans="1:14" x14ac:dyDescent="0.35">
      <c r="A1565" t="s">
        <v>6044</v>
      </c>
      <c r="B1565" t="s">
        <v>434</v>
      </c>
      <c r="C1565" t="s">
        <v>1890</v>
      </c>
      <c r="D1565" t="s">
        <v>4464</v>
      </c>
      <c r="E1565" t="s">
        <v>4444</v>
      </c>
      <c r="F1565" s="3">
        <v>45478</v>
      </c>
      <c r="G1565" s="3" t="s">
        <v>537</v>
      </c>
      <c r="I1565">
        <v>24</v>
      </c>
      <c r="J1565" t="s">
        <v>4440</v>
      </c>
      <c r="K1565" t="s">
        <v>4453</v>
      </c>
      <c r="L1565" t="s">
        <v>4465</v>
      </c>
      <c r="M1565" t="s">
        <v>1625</v>
      </c>
    </row>
    <row r="1566" spans="1:14" x14ac:dyDescent="0.35">
      <c r="A1566" t="s">
        <v>6045</v>
      </c>
      <c r="B1566" t="s">
        <v>85</v>
      </c>
      <c r="C1566" t="s">
        <v>1899</v>
      </c>
      <c r="D1566" t="s">
        <v>4479</v>
      </c>
      <c r="E1566" t="s">
        <v>4456</v>
      </c>
      <c r="F1566" s="3">
        <v>45737</v>
      </c>
      <c r="G1566" s="3">
        <v>45737</v>
      </c>
      <c r="H1566">
        <v>5.8</v>
      </c>
      <c r="I1566">
        <v>4</v>
      </c>
      <c r="J1566" t="s">
        <v>4440</v>
      </c>
      <c r="K1566" t="s">
        <v>4441</v>
      </c>
      <c r="L1566" t="s">
        <v>4454</v>
      </c>
      <c r="M1566" t="s">
        <v>4446</v>
      </c>
      <c r="N1566">
        <v>4</v>
      </c>
    </row>
    <row r="1567" spans="1:14" x14ac:dyDescent="0.35">
      <c r="A1567" t="s">
        <v>6046</v>
      </c>
      <c r="B1567" t="s">
        <v>230</v>
      </c>
      <c r="C1567" t="s">
        <v>1890</v>
      </c>
      <c r="D1567" t="s">
        <v>4490</v>
      </c>
      <c r="E1567" t="s">
        <v>4439</v>
      </c>
      <c r="F1567" s="3">
        <v>45012</v>
      </c>
      <c r="G1567" s="3">
        <v>45013</v>
      </c>
      <c r="H1567">
        <v>24.1</v>
      </c>
      <c r="I1567">
        <v>48</v>
      </c>
      <c r="J1567" t="s">
        <v>4448</v>
      </c>
      <c r="K1567" t="s">
        <v>4441</v>
      </c>
      <c r="L1567" t="s">
        <v>4514</v>
      </c>
      <c r="M1567" t="s">
        <v>4446</v>
      </c>
      <c r="N1567">
        <v>2</v>
      </c>
    </row>
    <row r="1568" spans="1:14" x14ac:dyDescent="0.35">
      <c r="A1568" t="s">
        <v>6047</v>
      </c>
      <c r="B1568" t="s">
        <v>376</v>
      </c>
      <c r="C1568" t="s">
        <v>1915</v>
      </c>
      <c r="D1568" t="s">
        <v>4460</v>
      </c>
      <c r="E1568" t="s">
        <v>4444</v>
      </c>
      <c r="F1568" s="3">
        <v>45271</v>
      </c>
      <c r="G1568" s="3">
        <v>45271</v>
      </c>
      <c r="H1568">
        <v>16</v>
      </c>
      <c r="I1568">
        <v>24</v>
      </c>
      <c r="J1568" t="s">
        <v>4448</v>
      </c>
      <c r="K1568" t="s">
        <v>4441</v>
      </c>
      <c r="L1568" t="s">
        <v>4580</v>
      </c>
      <c r="M1568" t="s">
        <v>4446</v>
      </c>
      <c r="N1568">
        <v>2</v>
      </c>
    </row>
    <row r="1569" spans="1:14" x14ac:dyDescent="0.35">
      <c r="A1569" t="s">
        <v>6048</v>
      </c>
      <c r="B1569" t="s">
        <v>392</v>
      </c>
      <c r="C1569" t="s">
        <v>1915</v>
      </c>
      <c r="D1569" t="s">
        <v>4490</v>
      </c>
      <c r="E1569" t="s">
        <v>4444</v>
      </c>
      <c r="F1569" s="3">
        <v>45645</v>
      </c>
      <c r="G1569" s="3" t="s">
        <v>537</v>
      </c>
      <c r="I1569">
        <v>24</v>
      </c>
      <c r="J1569" t="s">
        <v>4448</v>
      </c>
      <c r="K1569" t="s">
        <v>4453</v>
      </c>
      <c r="L1569" t="s">
        <v>4512</v>
      </c>
      <c r="M1569" t="s">
        <v>4446</v>
      </c>
    </row>
    <row r="1570" spans="1:14" x14ac:dyDescent="0.35">
      <c r="A1570" t="s">
        <v>6049</v>
      </c>
      <c r="B1570" t="s">
        <v>99</v>
      </c>
      <c r="C1570" t="s">
        <v>1890</v>
      </c>
      <c r="D1570" t="s">
        <v>4469</v>
      </c>
      <c r="E1570" t="s">
        <v>4473</v>
      </c>
      <c r="F1570" s="3">
        <v>45136</v>
      </c>
      <c r="G1570" s="3" t="s">
        <v>537</v>
      </c>
      <c r="I1570">
        <v>8</v>
      </c>
      <c r="J1570" t="s">
        <v>4440</v>
      </c>
      <c r="K1570" t="s">
        <v>4457</v>
      </c>
      <c r="L1570" t="s">
        <v>4458</v>
      </c>
      <c r="M1570" t="s">
        <v>1625</v>
      </c>
    </row>
    <row r="1571" spans="1:14" x14ac:dyDescent="0.35">
      <c r="A1571" t="s">
        <v>6050</v>
      </c>
      <c r="B1571" t="s">
        <v>475</v>
      </c>
      <c r="C1571" t="s">
        <v>1904</v>
      </c>
      <c r="D1571" t="s">
        <v>4479</v>
      </c>
      <c r="E1571" t="s">
        <v>4444</v>
      </c>
      <c r="F1571" s="3">
        <v>44960</v>
      </c>
      <c r="G1571" s="3">
        <v>44961</v>
      </c>
      <c r="H1571">
        <v>30.7</v>
      </c>
      <c r="I1571">
        <v>24</v>
      </c>
      <c r="J1571" t="s">
        <v>4440</v>
      </c>
      <c r="K1571" t="s">
        <v>4441</v>
      </c>
      <c r="L1571" t="s">
        <v>4488</v>
      </c>
      <c r="M1571" t="s">
        <v>4446</v>
      </c>
    </row>
    <row r="1572" spans="1:14" x14ac:dyDescent="0.35">
      <c r="A1572" t="s">
        <v>6051</v>
      </c>
      <c r="B1572" t="s">
        <v>426</v>
      </c>
      <c r="C1572" t="s">
        <v>1904</v>
      </c>
      <c r="D1572" t="s">
        <v>4490</v>
      </c>
      <c r="E1572" t="s">
        <v>4439</v>
      </c>
      <c r="F1572" s="3">
        <v>45419</v>
      </c>
      <c r="G1572" s="3" t="s">
        <v>537</v>
      </c>
      <c r="I1572">
        <v>48</v>
      </c>
      <c r="J1572" t="s">
        <v>4440</v>
      </c>
      <c r="K1572" t="s">
        <v>4457</v>
      </c>
      <c r="L1572" t="s">
        <v>4449</v>
      </c>
      <c r="M1572" t="s">
        <v>4446</v>
      </c>
    </row>
    <row r="1573" spans="1:14" x14ac:dyDescent="0.35">
      <c r="A1573" t="s">
        <v>6052</v>
      </c>
      <c r="B1573" t="s">
        <v>426</v>
      </c>
      <c r="C1573" t="s">
        <v>1883</v>
      </c>
      <c r="D1573" t="s">
        <v>4482</v>
      </c>
      <c r="E1573" t="s">
        <v>4444</v>
      </c>
      <c r="F1573" s="3">
        <v>44967</v>
      </c>
      <c r="G1573" s="3">
        <v>44967</v>
      </c>
      <c r="H1573">
        <v>23.9</v>
      </c>
      <c r="I1573">
        <v>24</v>
      </c>
      <c r="J1573" t="s">
        <v>4448</v>
      </c>
      <c r="K1573" t="s">
        <v>4441</v>
      </c>
      <c r="L1573" t="s">
        <v>4533</v>
      </c>
      <c r="M1573" t="s">
        <v>4450</v>
      </c>
      <c r="N1573">
        <v>5</v>
      </c>
    </row>
    <row r="1574" spans="1:14" x14ac:dyDescent="0.35">
      <c r="A1574" t="s">
        <v>6053</v>
      </c>
      <c r="B1574" t="s">
        <v>287</v>
      </c>
      <c r="C1574" t="s">
        <v>1904</v>
      </c>
      <c r="D1574" t="s">
        <v>4485</v>
      </c>
      <c r="E1574" t="s">
        <v>4439</v>
      </c>
      <c r="F1574" s="3">
        <v>45032</v>
      </c>
      <c r="G1574" s="3" t="s">
        <v>537</v>
      </c>
      <c r="I1574">
        <v>48</v>
      </c>
      <c r="J1574" t="s">
        <v>1945</v>
      </c>
      <c r="K1574" t="s">
        <v>4474</v>
      </c>
      <c r="L1574" t="s">
        <v>4467</v>
      </c>
      <c r="M1574" t="s">
        <v>4446</v>
      </c>
    </row>
    <row r="1575" spans="1:14" x14ac:dyDescent="0.35">
      <c r="A1575" t="s">
        <v>6054</v>
      </c>
      <c r="B1575" t="s">
        <v>86</v>
      </c>
      <c r="C1575" t="s">
        <v>1904</v>
      </c>
      <c r="D1575" t="s">
        <v>4479</v>
      </c>
      <c r="E1575" t="s">
        <v>4439</v>
      </c>
      <c r="F1575" s="3">
        <v>45087</v>
      </c>
      <c r="G1575" s="3">
        <v>45091</v>
      </c>
      <c r="H1575">
        <v>119.2</v>
      </c>
      <c r="I1575">
        <v>48</v>
      </c>
      <c r="J1575" t="s">
        <v>4440</v>
      </c>
      <c r="K1575" t="s">
        <v>4441</v>
      </c>
      <c r="L1575" t="s">
        <v>4501</v>
      </c>
      <c r="M1575" t="s">
        <v>4450</v>
      </c>
    </row>
    <row r="1576" spans="1:14" x14ac:dyDescent="0.35">
      <c r="A1576" t="s">
        <v>6055</v>
      </c>
      <c r="B1576" t="s">
        <v>34</v>
      </c>
      <c r="C1576" t="s">
        <v>1890</v>
      </c>
      <c r="D1576" t="s">
        <v>4482</v>
      </c>
      <c r="E1576" t="s">
        <v>4456</v>
      </c>
      <c r="F1576" s="3">
        <v>45557</v>
      </c>
      <c r="G1576" s="3" t="s">
        <v>537</v>
      </c>
      <c r="I1576">
        <v>4</v>
      </c>
      <c r="J1576" t="s">
        <v>4440</v>
      </c>
      <c r="K1576" t="s">
        <v>4453</v>
      </c>
      <c r="L1576" t="s">
        <v>4467</v>
      </c>
      <c r="M1576" t="s">
        <v>1625</v>
      </c>
    </row>
    <row r="1577" spans="1:14" x14ac:dyDescent="0.35">
      <c r="A1577" t="s">
        <v>6056</v>
      </c>
      <c r="B1577" t="s">
        <v>470</v>
      </c>
      <c r="C1577" t="s">
        <v>1899</v>
      </c>
      <c r="D1577" t="s">
        <v>4476</v>
      </c>
      <c r="E1577" t="s">
        <v>4444</v>
      </c>
      <c r="F1577" s="3">
        <v>45566</v>
      </c>
      <c r="G1577" s="3" t="s">
        <v>537</v>
      </c>
      <c r="I1577">
        <v>24</v>
      </c>
      <c r="J1577" t="s">
        <v>4440</v>
      </c>
      <c r="K1577" t="s">
        <v>4474</v>
      </c>
      <c r="L1577" t="s">
        <v>4580</v>
      </c>
      <c r="M1577" t="s">
        <v>4446</v>
      </c>
    </row>
    <row r="1578" spans="1:14" x14ac:dyDescent="0.35">
      <c r="A1578" t="s">
        <v>6057</v>
      </c>
      <c r="B1578" t="s">
        <v>458</v>
      </c>
      <c r="C1578" t="s">
        <v>1890</v>
      </c>
      <c r="D1578" t="s">
        <v>4482</v>
      </c>
      <c r="E1578" t="s">
        <v>4473</v>
      </c>
      <c r="F1578" s="3">
        <v>45171</v>
      </c>
      <c r="G1578" s="3" t="s">
        <v>537</v>
      </c>
      <c r="I1578">
        <v>8</v>
      </c>
      <c r="J1578" t="s">
        <v>4448</v>
      </c>
      <c r="K1578" t="s">
        <v>4453</v>
      </c>
      <c r="L1578" t="s">
        <v>4533</v>
      </c>
      <c r="M1578" t="s">
        <v>4450</v>
      </c>
    </row>
    <row r="1579" spans="1:14" x14ac:dyDescent="0.35">
      <c r="A1579" t="s">
        <v>6058</v>
      </c>
      <c r="B1579" t="s">
        <v>27</v>
      </c>
      <c r="C1579" t="s">
        <v>1904</v>
      </c>
      <c r="D1579" t="s">
        <v>4490</v>
      </c>
      <c r="E1579" t="s">
        <v>4439</v>
      </c>
      <c r="F1579" s="3">
        <v>45327</v>
      </c>
      <c r="G1579" s="3" t="s">
        <v>537</v>
      </c>
      <c r="I1579">
        <v>48</v>
      </c>
      <c r="J1579" t="s">
        <v>4448</v>
      </c>
      <c r="K1579" t="s">
        <v>4457</v>
      </c>
      <c r="L1579" t="s">
        <v>4467</v>
      </c>
      <c r="M1579" t="s">
        <v>4450</v>
      </c>
    </row>
    <row r="1580" spans="1:14" x14ac:dyDescent="0.35">
      <c r="A1580" t="s">
        <v>6059</v>
      </c>
      <c r="B1580" t="s">
        <v>118</v>
      </c>
      <c r="C1580" t="s">
        <v>1890</v>
      </c>
      <c r="D1580" t="s">
        <v>4464</v>
      </c>
      <c r="E1580" t="s">
        <v>4444</v>
      </c>
      <c r="F1580" s="3">
        <v>45653</v>
      </c>
      <c r="G1580" s="3">
        <v>45653</v>
      </c>
      <c r="H1580">
        <v>17.100000000000001</v>
      </c>
      <c r="I1580">
        <v>24</v>
      </c>
      <c r="J1580" t="s">
        <v>4448</v>
      </c>
      <c r="K1580" t="s">
        <v>4441</v>
      </c>
      <c r="L1580" t="s">
        <v>4533</v>
      </c>
      <c r="M1580" t="s">
        <v>4450</v>
      </c>
      <c r="N1580">
        <v>3</v>
      </c>
    </row>
    <row r="1581" spans="1:14" x14ac:dyDescent="0.35">
      <c r="A1581" t="s">
        <v>6060</v>
      </c>
      <c r="B1581" t="s">
        <v>405</v>
      </c>
      <c r="C1581" t="s">
        <v>1890</v>
      </c>
      <c r="D1581" t="s">
        <v>4452</v>
      </c>
      <c r="E1581" t="s">
        <v>4473</v>
      </c>
      <c r="F1581" s="3">
        <v>45053</v>
      </c>
      <c r="G1581" s="3">
        <v>45053</v>
      </c>
      <c r="H1581">
        <v>13</v>
      </c>
      <c r="I1581">
        <v>8</v>
      </c>
      <c r="J1581" t="s">
        <v>4440</v>
      </c>
      <c r="K1581" t="s">
        <v>4441</v>
      </c>
      <c r="L1581" t="s">
        <v>4501</v>
      </c>
      <c r="M1581" t="s">
        <v>4462</v>
      </c>
      <c r="N1581">
        <v>4</v>
      </c>
    </row>
    <row r="1582" spans="1:14" x14ac:dyDescent="0.35">
      <c r="A1582" t="s">
        <v>6061</v>
      </c>
      <c r="B1582" t="s">
        <v>484</v>
      </c>
      <c r="C1582" t="s">
        <v>1915</v>
      </c>
      <c r="D1582" t="s">
        <v>4443</v>
      </c>
      <c r="E1582" t="s">
        <v>4473</v>
      </c>
      <c r="F1582" s="3">
        <v>45472</v>
      </c>
      <c r="G1582" s="3">
        <v>45472</v>
      </c>
      <c r="H1582">
        <v>17.8</v>
      </c>
      <c r="I1582">
        <v>8</v>
      </c>
      <c r="J1582" t="s">
        <v>4440</v>
      </c>
      <c r="K1582" t="s">
        <v>4441</v>
      </c>
      <c r="L1582" t="s">
        <v>4512</v>
      </c>
      <c r="M1582" t="s">
        <v>4462</v>
      </c>
      <c r="N1582">
        <v>2</v>
      </c>
    </row>
    <row r="1583" spans="1:14" x14ac:dyDescent="0.35">
      <c r="A1583" t="s">
        <v>6062</v>
      </c>
      <c r="B1583" t="s">
        <v>71</v>
      </c>
      <c r="C1583" t="s">
        <v>1899</v>
      </c>
      <c r="D1583" t="s">
        <v>4443</v>
      </c>
      <c r="E1583" t="s">
        <v>79</v>
      </c>
      <c r="F1583" s="3">
        <v>45355</v>
      </c>
      <c r="G1583" s="3" t="s">
        <v>537</v>
      </c>
      <c r="I1583">
        <v>24</v>
      </c>
      <c r="J1583" t="s">
        <v>4440</v>
      </c>
      <c r="K1583" t="s">
        <v>4457</v>
      </c>
      <c r="L1583" t="s">
        <v>4580</v>
      </c>
      <c r="M1583" t="s">
        <v>4450</v>
      </c>
    </row>
    <row r="1584" spans="1:14" x14ac:dyDescent="0.35">
      <c r="A1584" t="s">
        <v>6063</v>
      </c>
      <c r="B1584" t="s">
        <v>321</v>
      </c>
      <c r="C1584" t="s">
        <v>1904</v>
      </c>
      <c r="D1584" t="s">
        <v>4469</v>
      </c>
      <c r="E1584" t="s">
        <v>4473</v>
      </c>
      <c r="F1584" s="3">
        <v>45100</v>
      </c>
      <c r="G1584" s="3" t="s">
        <v>537</v>
      </c>
      <c r="I1584">
        <v>8</v>
      </c>
      <c r="J1584" t="s">
        <v>4440</v>
      </c>
      <c r="K1584" t="s">
        <v>4474</v>
      </c>
      <c r="L1584" t="s">
        <v>4461</v>
      </c>
      <c r="M1584" t="s">
        <v>4446</v>
      </c>
    </row>
    <row r="1585" spans="1:14" x14ac:dyDescent="0.35">
      <c r="A1585" t="s">
        <v>6064</v>
      </c>
      <c r="B1585" t="s">
        <v>389</v>
      </c>
      <c r="C1585" t="s">
        <v>1899</v>
      </c>
      <c r="D1585" t="s">
        <v>8507</v>
      </c>
      <c r="E1585" t="s">
        <v>4444</v>
      </c>
      <c r="F1585" s="3">
        <v>45341</v>
      </c>
      <c r="G1585" s="3">
        <v>45341</v>
      </c>
      <c r="H1585">
        <v>4.7</v>
      </c>
      <c r="I1585">
        <v>24</v>
      </c>
      <c r="J1585" t="s">
        <v>4448</v>
      </c>
      <c r="K1585" t="s">
        <v>4441</v>
      </c>
      <c r="L1585" t="s">
        <v>4454</v>
      </c>
      <c r="M1585" t="s">
        <v>4446</v>
      </c>
      <c r="N1585">
        <v>4</v>
      </c>
    </row>
    <row r="1586" spans="1:14" x14ac:dyDescent="0.35">
      <c r="A1586" t="s">
        <v>6065</v>
      </c>
      <c r="B1586" t="s">
        <v>245</v>
      </c>
      <c r="C1586" t="s">
        <v>1904</v>
      </c>
      <c r="D1586" t="s">
        <v>4476</v>
      </c>
      <c r="E1586" t="s">
        <v>4444</v>
      </c>
      <c r="F1586" s="3">
        <v>45331</v>
      </c>
      <c r="G1586" s="3" t="s">
        <v>537</v>
      </c>
      <c r="I1586">
        <v>24</v>
      </c>
      <c r="J1586" t="s">
        <v>4448</v>
      </c>
      <c r="K1586" t="s">
        <v>4474</v>
      </c>
      <c r="L1586" t="s">
        <v>4501</v>
      </c>
      <c r="M1586" t="s">
        <v>1625</v>
      </c>
    </row>
    <row r="1587" spans="1:14" x14ac:dyDescent="0.35">
      <c r="A1587" t="s">
        <v>6066</v>
      </c>
      <c r="B1587" t="s">
        <v>285</v>
      </c>
      <c r="C1587" t="s">
        <v>1899</v>
      </c>
      <c r="D1587" t="s">
        <v>4490</v>
      </c>
      <c r="E1587" t="s">
        <v>4473</v>
      </c>
      <c r="F1587" s="3">
        <v>45175</v>
      </c>
      <c r="G1587" s="3" t="s">
        <v>537</v>
      </c>
      <c r="I1587">
        <v>8</v>
      </c>
      <c r="J1587" t="s">
        <v>4440</v>
      </c>
      <c r="K1587" t="s">
        <v>4474</v>
      </c>
      <c r="L1587" t="s">
        <v>4533</v>
      </c>
      <c r="M1587" t="s">
        <v>4446</v>
      </c>
    </row>
    <row r="1588" spans="1:14" x14ac:dyDescent="0.35">
      <c r="A1588" t="s">
        <v>6067</v>
      </c>
      <c r="B1588" t="s">
        <v>428</v>
      </c>
      <c r="C1588" t="s">
        <v>1883</v>
      </c>
      <c r="D1588" t="s">
        <v>4452</v>
      </c>
      <c r="E1588" t="s">
        <v>4473</v>
      </c>
      <c r="F1588" s="3">
        <v>45194</v>
      </c>
      <c r="G1588" s="3" t="s">
        <v>537</v>
      </c>
      <c r="I1588">
        <v>8</v>
      </c>
      <c r="J1588" t="s">
        <v>4448</v>
      </c>
      <c r="K1588" t="s">
        <v>4457</v>
      </c>
      <c r="L1588" t="s">
        <v>4461</v>
      </c>
      <c r="M1588" t="s">
        <v>1625</v>
      </c>
    </row>
    <row r="1589" spans="1:14" x14ac:dyDescent="0.35">
      <c r="A1589" t="s">
        <v>6068</v>
      </c>
      <c r="B1589" t="s">
        <v>307</v>
      </c>
      <c r="C1589" t="s">
        <v>1915</v>
      </c>
      <c r="D1589" t="s">
        <v>4482</v>
      </c>
      <c r="E1589" t="s">
        <v>4439</v>
      </c>
      <c r="F1589" s="3">
        <v>44928</v>
      </c>
      <c r="G1589" s="3" t="s">
        <v>537</v>
      </c>
      <c r="I1589">
        <v>48</v>
      </c>
      <c r="J1589" t="s">
        <v>1945</v>
      </c>
      <c r="K1589" t="s">
        <v>4453</v>
      </c>
      <c r="L1589" t="s">
        <v>4458</v>
      </c>
      <c r="M1589" t="s">
        <v>4462</v>
      </c>
    </row>
    <row r="1590" spans="1:14" x14ac:dyDescent="0.35">
      <c r="A1590" t="s">
        <v>6069</v>
      </c>
      <c r="B1590" t="s">
        <v>66</v>
      </c>
      <c r="C1590" t="s">
        <v>1904</v>
      </c>
      <c r="D1590" t="s">
        <v>4460</v>
      </c>
      <c r="E1590" t="s">
        <v>4439</v>
      </c>
      <c r="F1590" s="3">
        <v>45098</v>
      </c>
      <c r="G1590" s="3" t="s">
        <v>537</v>
      </c>
      <c r="I1590">
        <v>48</v>
      </c>
      <c r="J1590" t="s">
        <v>4448</v>
      </c>
      <c r="K1590" t="s">
        <v>4474</v>
      </c>
      <c r="L1590" t="s">
        <v>4449</v>
      </c>
      <c r="M1590" t="s">
        <v>4450</v>
      </c>
    </row>
    <row r="1591" spans="1:14" x14ac:dyDescent="0.35">
      <c r="A1591" t="s">
        <v>6070</v>
      </c>
      <c r="B1591" t="s">
        <v>74</v>
      </c>
      <c r="C1591" t="s">
        <v>1899</v>
      </c>
      <c r="D1591" t="s">
        <v>4485</v>
      </c>
      <c r="E1591" t="s">
        <v>4444</v>
      </c>
      <c r="F1591" s="3">
        <v>45108</v>
      </c>
      <c r="G1591" s="3">
        <v>45109</v>
      </c>
      <c r="H1591">
        <v>43.8</v>
      </c>
      <c r="I1591">
        <v>24</v>
      </c>
      <c r="J1591" t="s">
        <v>4440</v>
      </c>
      <c r="K1591" t="s">
        <v>4441</v>
      </c>
      <c r="L1591" t="s">
        <v>4449</v>
      </c>
      <c r="M1591" t="s">
        <v>1625</v>
      </c>
    </row>
    <row r="1592" spans="1:14" x14ac:dyDescent="0.35">
      <c r="A1592" t="s">
        <v>6071</v>
      </c>
      <c r="B1592" t="s">
        <v>423</v>
      </c>
      <c r="C1592" t="s">
        <v>1890</v>
      </c>
      <c r="D1592" t="s">
        <v>4464</v>
      </c>
      <c r="E1592" t="s">
        <v>4473</v>
      </c>
      <c r="F1592" s="3">
        <v>45369</v>
      </c>
      <c r="G1592" s="3">
        <v>45369</v>
      </c>
      <c r="H1592">
        <v>10.4</v>
      </c>
      <c r="I1592">
        <v>8</v>
      </c>
      <c r="J1592" t="s">
        <v>4440</v>
      </c>
      <c r="K1592" t="s">
        <v>4441</v>
      </c>
      <c r="L1592" t="s">
        <v>4480</v>
      </c>
      <c r="M1592" t="s">
        <v>4446</v>
      </c>
      <c r="N1592">
        <v>1</v>
      </c>
    </row>
    <row r="1593" spans="1:14" x14ac:dyDescent="0.35">
      <c r="A1593" t="s">
        <v>6072</v>
      </c>
      <c r="B1593" t="s">
        <v>235</v>
      </c>
      <c r="C1593" t="s">
        <v>1915</v>
      </c>
      <c r="D1593" t="s">
        <v>4490</v>
      </c>
      <c r="E1593" t="s">
        <v>4444</v>
      </c>
      <c r="F1593" s="3">
        <v>45628</v>
      </c>
      <c r="G1593" s="3">
        <v>45630</v>
      </c>
      <c r="H1593">
        <v>49.4</v>
      </c>
      <c r="I1593">
        <v>24</v>
      </c>
      <c r="J1593" t="s">
        <v>4440</v>
      </c>
      <c r="K1593" t="s">
        <v>4441</v>
      </c>
      <c r="L1593" t="s">
        <v>4512</v>
      </c>
      <c r="M1593" t="s">
        <v>4450</v>
      </c>
      <c r="N1593">
        <v>4</v>
      </c>
    </row>
    <row r="1594" spans="1:14" x14ac:dyDescent="0.35">
      <c r="A1594" t="s">
        <v>6073</v>
      </c>
      <c r="B1594" t="s">
        <v>269</v>
      </c>
      <c r="C1594" t="s">
        <v>1890</v>
      </c>
      <c r="D1594" t="s">
        <v>4485</v>
      </c>
      <c r="E1594" t="s">
        <v>4439</v>
      </c>
      <c r="F1594" s="3">
        <v>45643</v>
      </c>
      <c r="G1594" s="3" t="s">
        <v>537</v>
      </c>
      <c r="I1594">
        <v>48</v>
      </c>
      <c r="J1594" t="s">
        <v>4448</v>
      </c>
      <c r="K1594" t="s">
        <v>4474</v>
      </c>
      <c r="L1594" t="s">
        <v>1907</v>
      </c>
      <c r="M1594" t="s">
        <v>4450</v>
      </c>
    </row>
    <row r="1595" spans="1:14" x14ac:dyDescent="0.35">
      <c r="A1595" t="s">
        <v>6074</v>
      </c>
      <c r="B1595" t="s">
        <v>330</v>
      </c>
      <c r="C1595" t="s">
        <v>1890</v>
      </c>
      <c r="D1595" t="s">
        <v>4452</v>
      </c>
      <c r="E1595" t="s">
        <v>4444</v>
      </c>
      <c r="F1595" s="3">
        <v>45623</v>
      </c>
      <c r="G1595" s="3">
        <v>45624</v>
      </c>
      <c r="H1595">
        <v>46.7</v>
      </c>
      <c r="I1595">
        <v>24</v>
      </c>
      <c r="J1595" t="s">
        <v>4440</v>
      </c>
      <c r="K1595" t="s">
        <v>4441</v>
      </c>
      <c r="L1595" t="s">
        <v>4467</v>
      </c>
      <c r="M1595" t="s">
        <v>4450</v>
      </c>
      <c r="N1595">
        <v>4</v>
      </c>
    </row>
    <row r="1596" spans="1:14" x14ac:dyDescent="0.35">
      <c r="A1596" t="s">
        <v>6075</v>
      </c>
      <c r="B1596" t="s">
        <v>203</v>
      </c>
      <c r="C1596" t="s">
        <v>1883</v>
      </c>
      <c r="D1596" t="s">
        <v>4482</v>
      </c>
      <c r="E1596" t="s">
        <v>4444</v>
      </c>
      <c r="F1596" s="3">
        <v>45718</v>
      </c>
      <c r="G1596" s="3">
        <v>45719</v>
      </c>
      <c r="H1596">
        <v>37.700000000000003</v>
      </c>
      <c r="I1596">
        <v>24</v>
      </c>
      <c r="J1596" t="s">
        <v>4440</v>
      </c>
      <c r="K1596" t="s">
        <v>4441</v>
      </c>
      <c r="L1596" t="s">
        <v>4461</v>
      </c>
      <c r="M1596" t="s">
        <v>4462</v>
      </c>
    </row>
    <row r="1597" spans="1:14" x14ac:dyDescent="0.35">
      <c r="A1597" t="s">
        <v>6076</v>
      </c>
      <c r="B1597" t="s">
        <v>301</v>
      </c>
      <c r="C1597" t="s">
        <v>1899</v>
      </c>
      <c r="D1597" t="s">
        <v>4479</v>
      </c>
      <c r="E1597" t="s">
        <v>4439</v>
      </c>
      <c r="F1597" s="3">
        <v>45344</v>
      </c>
      <c r="G1597" s="3" t="s">
        <v>537</v>
      </c>
      <c r="I1597">
        <v>48</v>
      </c>
      <c r="J1597" t="s">
        <v>4440</v>
      </c>
      <c r="K1597" t="s">
        <v>4453</v>
      </c>
      <c r="L1597" t="s">
        <v>4533</v>
      </c>
      <c r="M1597" t="s">
        <v>4446</v>
      </c>
    </row>
    <row r="1598" spans="1:14" x14ac:dyDescent="0.35">
      <c r="A1598" t="s">
        <v>6077</v>
      </c>
      <c r="B1598" t="s">
        <v>66</v>
      </c>
      <c r="C1598" t="s">
        <v>1899</v>
      </c>
      <c r="D1598" t="s">
        <v>4485</v>
      </c>
      <c r="E1598" t="s">
        <v>4444</v>
      </c>
      <c r="F1598" s="3">
        <v>45055</v>
      </c>
      <c r="G1598" s="3">
        <v>45055</v>
      </c>
      <c r="H1598">
        <v>6.4</v>
      </c>
      <c r="I1598">
        <v>24</v>
      </c>
      <c r="J1598" t="s">
        <v>4448</v>
      </c>
      <c r="K1598" t="s">
        <v>4441</v>
      </c>
      <c r="L1598" t="s">
        <v>4449</v>
      </c>
      <c r="M1598" t="s">
        <v>4450</v>
      </c>
      <c r="N1598">
        <v>1</v>
      </c>
    </row>
    <row r="1599" spans="1:14" x14ac:dyDescent="0.35">
      <c r="A1599" t="s">
        <v>6078</v>
      </c>
      <c r="B1599" t="s">
        <v>451</v>
      </c>
      <c r="C1599" t="s">
        <v>1899</v>
      </c>
      <c r="D1599" t="s">
        <v>4438</v>
      </c>
      <c r="E1599" t="s">
        <v>4456</v>
      </c>
      <c r="F1599" s="3">
        <v>45092</v>
      </c>
      <c r="G1599" s="3">
        <v>45092</v>
      </c>
      <c r="H1599">
        <v>6.9</v>
      </c>
      <c r="I1599">
        <v>4</v>
      </c>
      <c r="J1599" t="s">
        <v>4440</v>
      </c>
      <c r="K1599" t="s">
        <v>4441</v>
      </c>
      <c r="L1599" t="s">
        <v>4501</v>
      </c>
      <c r="M1599" t="s">
        <v>4462</v>
      </c>
      <c r="N1599">
        <v>4</v>
      </c>
    </row>
    <row r="1600" spans="1:14" x14ac:dyDescent="0.35">
      <c r="A1600" t="s">
        <v>6079</v>
      </c>
      <c r="B1600" t="s">
        <v>355</v>
      </c>
      <c r="C1600" t="s">
        <v>1915</v>
      </c>
      <c r="D1600" t="s">
        <v>4469</v>
      </c>
      <c r="E1600" t="s">
        <v>4444</v>
      </c>
      <c r="F1600" s="3">
        <v>45703</v>
      </c>
      <c r="G1600" s="3" t="s">
        <v>537</v>
      </c>
      <c r="I1600">
        <v>24</v>
      </c>
      <c r="J1600" t="s">
        <v>4448</v>
      </c>
      <c r="K1600" t="s">
        <v>4457</v>
      </c>
      <c r="L1600" t="s">
        <v>4465</v>
      </c>
      <c r="M1600" t="s">
        <v>4450</v>
      </c>
    </row>
    <row r="1601" spans="1:14" x14ac:dyDescent="0.35">
      <c r="A1601" t="s">
        <v>6080</v>
      </c>
      <c r="B1601" t="s">
        <v>291</v>
      </c>
      <c r="C1601" t="s">
        <v>1927</v>
      </c>
      <c r="D1601" t="s">
        <v>4460</v>
      </c>
      <c r="E1601" t="s">
        <v>4456</v>
      </c>
      <c r="F1601" s="3">
        <v>45631</v>
      </c>
      <c r="G1601" s="3" t="s">
        <v>537</v>
      </c>
      <c r="I1601">
        <v>4</v>
      </c>
      <c r="J1601" t="s">
        <v>4440</v>
      </c>
      <c r="K1601" t="s">
        <v>4457</v>
      </c>
      <c r="L1601" t="s">
        <v>4509</v>
      </c>
      <c r="M1601" t="s">
        <v>4450</v>
      </c>
    </row>
    <row r="1602" spans="1:14" x14ac:dyDescent="0.35">
      <c r="A1602" t="s">
        <v>6081</v>
      </c>
      <c r="B1602" t="s">
        <v>363</v>
      </c>
      <c r="C1602" t="s">
        <v>1883</v>
      </c>
      <c r="D1602" t="s">
        <v>4464</v>
      </c>
      <c r="E1602" t="s">
        <v>4439</v>
      </c>
      <c r="F1602" s="3">
        <v>45208</v>
      </c>
      <c r="G1602" s="3">
        <v>45208</v>
      </c>
      <c r="H1602">
        <v>8.9</v>
      </c>
      <c r="I1602">
        <v>48</v>
      </c>
      <c r="J1602" t="s">
        <v>4448</v>
      </c>
      <c r="K1602" t="s">
        <v>4441</v>
      </c>
      <c r="L1602" t="s">
        <v>4580</v>
      </c>
      <c r="M1602" t="s">
        <v>4446</v>
      </c>
    </row>
    <row r="1603" spans="1:14" x14ac:dyDescent="0.35">
      <c r="A1603" t="s">
        <v>6082</v>
      </c>
      <c r="B1603" t="s">
        <v>497</v>
      </c>
      <c r="C1603" t="s">
        <v>1915</v>
      </c>
      <c r="D1603" t="s">
        <v>4482</v>
      </c>
      <c r="E1603" t="s">
        <v>4444</v>
      </c>
      <c r="F1603" s="3">
        <v>45426</v>
      </c>
      <c r="G1603" s="3">
        <v>45426</v>
      </c>
      <c r="H1603">
        <v>23.8</v>
      </c>
      <c r="I1603">
        <v>24</v>
      </c>
      <c r="J1603" t="s">
        <v>1945</v>
      </c>
      <c r="K1603" t="s">
        <v>4441</v>
      </c>
      <c r="L1603" t="s">
        <v>4488</v>
      </c>
      <c r="M1603" t="s">
        <v>4462</v>
      </c>
    </row>
    <row r="1604" spans="1:14" x14ac:dyDescent="0.35">
      <c r="A1604" t="s">
        <v>6083</v>
      </c>
      <c r="B1604" t="s">
        <v>90</v>
      </c>
      <c r="C1604" t="s">
        <v>1890</v>
      </c>
      <c r="D1604" t="s">
        <v>4485</v>
      </c>
      <c r="E1604" t="s">
        <v>4444</v>
      </c>
      <c r="F1604" s="3">
        <v>44977</v>
      </c>
      <c r="G1604" s="3">
        <v>44977</v>
      </c>
      <c r="H1604">
        <v>11.9</v>
      </c>
      <c r="I1604">
        <v>24</v>
      </c>
      <c r="J1604" t="s">
        <v>4448</v>
      </c>
      <c r="K1604" t="s">
        <v>4441</v>
      </c>
      <c r="L1604" t="s">
        <v>4527</v>
      </c>
      <c r="M1604" t="s">
        <v>1625</v>
      </c>
      <c r="N1604">
        <v>4</v>
      </c>
    </row>
    <row r="1605" spans="1:14" x14ac:dyDescent="0.35">
      <c r="A1605" t="s">
        <v>6084</v>
      </c>
      <c r="B1605" t="s">
        <v>312</v>
      </c>
      <c r="C1605" t="s">
        <v>1927</v>
      </c>
      <c r="D1605" t="s">
        <v>4443</v>
      </c>
      <c r="E1605" t="s">
        <v>4444</v>
      </c>
      <c r="F1605" s="3">
        <v>45656</v>
      </c>
      <c r="G1605" s="3">
        <v>45657</v>
      </c>
      <c r="H1605">
        <v>41.8</v>
      </c>
      <c r="I1605">
        <v>24</v>
      </c>
      <c r="J1605" t="s">
        <v>4440</v>
      </c>
      <c r="K1605" t="s">
        <v>4441</v>
      </c>
      <c r="L1605" t="s">
        <v>4527</v>
      </c>
      <c r="M1605" t="s">
        <v>4462</v>
      </c>
    </row>
    <row r="1606" spans="1:14" x14ac:dyDescent="0.35">
      <c r="A1606" t="s">
        <v>6085</v>
      </c>
      <c r="B1606" t="s">
        <v>130</v>
      </c>
      <c r="C1606" t="s">
        <v>1899</v>
      </c>
      <c r="D1606" t="s">
        <v>4490</v>
      </c>
      <c r="E1606" t="s">
        <v>4444</v>
      </c>
      <c r="F1606" s="3">
        <v>45088</v>
      </c>
      <c r="G1606" s="3" t="s">
        <v>537</v>
      </c>
      <c r="I1606">
        <v>24</v>
      </c>
      <c r="J1606" t="s">
        <v>4448</v>
      </c>
      <c r="K1606" t="s">
        <v>4453</v>
      </c>
      <c r="L1606" t="s">
        <v>4449</v>
      </c>
      <c r="M1606" t="s">
        <v>4462</v>
      </c>
    </row>
    <row r="1607" spans="1:14" x14ac:dyDescent="0.35">
      <c r="A1607" t="s">
        <v>6086</v>
      </c>
      <c r="B1607" t="s">
        <v>467</v>
      </c>
      <c r="C1607" t="s">
        <v>1927</v>
      </c>
      <c r="D1607" t="s">
        <v>4482</v>
      </c>
      <c r="E1607" t="s">
        <v>4473</v>
      </c>
      <c r="F1607" s="3">
        <v>44963</v>
      </c>
      <c r="G1607" s="3">
        <v>44963</v>
      </c>
      <c r="H1607">
        <v>2.5</v>
      </c>
      <c r="I1607">
        <v>8</v>
      </c>
      <c r="J1607" t="s">
        <v>4448</v>
      </c>
      <c r="K1607" t="s">
        <v>4441</v>
      </c>
      <c r="L1607" t="s">
        <v>4580</v>
      </c>
      <c r="M1607" t="s">
        <v>1625</v>
      </c>
    </row>
    <row r="1608" spans="1:14" x14ac:dyDescent="0.35">
      <c r="A1608" t="s">
        <v>6087</v>
      </c>
      <c r="B1608" t="s">
        <v>92</v>
      </c>
      <c r="C1608" t="s">
        <v>1927</v>
      </c>
      <c r="D1608" t="s">
        <v>4438</v>
      </c>
      <c r="E1608" t="s">
        <v>4473</v>
      </c>
      <c r="F1608" s="3">
        <v>45499</v>
      </c>
      <c r="G1608" s="3">
        <v>45499</v>
      </c>
      <c r="H1608">
        <v>5.3</v>
      </c>
      <c r="I1608">
        <v>8</v>
      </c>
      <c r="J1608" t="s">
        <v>4448</v>
      </c>
      <c r="K1608" t="s">
        <v>4441</v>
      </c>
      <c r="L1608" t="s">
        <v>4458</v>
      </c>
      <c r="M1608" t="s">
        <v>4446</v>
      </c>
      <c r="N1608">
        <v>3</v>
      </c>
    </row>
    <row r="1609" spans="1:14" x14ac:dyDescent="0.35">
      <c r="A1609" t="s">
        <v>6088</v>
      </c>
      <c r="B1609" t="s">
        <v>92</v>
      </c>
      <c r="C1609" t="s">
        <v>1890</v>
      </c>
      <c r="D1609" t="s">
        <v>4469</v>
      </c>
      <c r="E1609" t="s">
        <v>4456</v>
      </c>
      <c r="F1609" s="3">
        <v>45113</v>
      </c>
      <c r="G1609" s="3">
        <v>45113</v>
      </c>
      <c r="H1609">
        <v>3.5</v>
      </c>
      <c r="I1609">
        <v>4</v>
      </c>
      <c r="J1609" t="s">
        <v>4448</v>
      </c>
      <c r="K1609" t="s">
        <v>4441</v>
      </c>
      <c r="L1609" t="s">
        <v>4514</v>
      </c>
      <c r="M1609" t="s">
        <v>4462</v>
      </c>
      <c r="N1609">
        <v>1</v>
      </c>
    </row>
    <row r="1610" spans="1:14" x14ac:dyDescent="0.35">
      <c r="A1610" t="s">
        <v>6089</v>
      </c>
      <c r="B1610" t="s">
        <v>260</v>
      </c>
      <c r="C1610" t="s">
        <v>1890</v>
      </c>
      <c r="D1610" t="s">
        <v>4443</v>
      </c>
      <c r="E1610" t="s">
        <v>4444</v>
      </c>
      <c r="F1610" s="3">
        <v>45628</v>
      </c>
      <c r="G1610" s="3" t="s">
        <v>537</v>
      </c>
      <c r="I1610">
        <v>24</v>
      </c>
      <c r="J1610" t="s">
        <v>4448</v>
      </c>
      <c r="K1610" t="s">
        <v>4474</v>
      </c>
      <c r="L1610" t="s">
        <v>4470</v>
      </c>
      <c r="M1610" t="s">
        <v>4462</v>
      </c>
    </row>
    <row r="1611" spans="1:14" x14ac:dyDescent="0.35">
      <c r="A1611" t="s">
        <v>6090</v>
      </c>
      <c r="B1611" t="s">
        <v>219</v>
      </c>
      <c r="C1611" t="s">
        <v>1915</v>
      </c>
      <c r="D1611" t="s">
        <v>4485</v>
      </c>
      <c r="E1611" t="s">
        <v>4473</v>
      </c>
      <c r="F1611" s="3">
        <v>45341</v>
      </c>
      <c r="G1611" s="3" t="s">
        <v>537</v>
      </c>
      <c r="I1611">
        <v>8</v>
      </c>
      <c r="J1611" t="s">
        <v>4440</v>
      </c>
      <c r="K1611" t="s">
        <v>4457</v>
      </c>
      <c r="L1611" t="s">
        <v>4458</v>
      </c>
      <c r="M1611" t="s">
        <v>4462</v>
      </c>
    </row>
    <row r="1612" spans="1:14" x14ac:dyDescent="0.35">
      <c r="A1612" t="s">
        <v>6091</v>
      </c>
      <c r="B1612" t="s">
        <v>149</v>
      </c>
      <c r="C1612" t="s">
        <v>1915</v>
      </c>
      <c r="D1612" t="s">
        <v>4476</v>
      </c>
      <c r="E1612" t="s">
        <v>4444</v>
      </c>
      <c r="F1612" s="3">
        <v>45112</v>
      </c>
      <c r="G1612" s="3">
        <v>45113</v>
      </c>
      <c r="H1612">
        <v>25.9</v>
      </c>
      <c r="I1612">
        <v>24</v>
      </c>
      <c r="J1612" t="s">
        <v>4440</v>
      </c>
      <c r="K1612" t="s">
        <v>4441</v>
      </c>
      <c r="L1612" t="s">
        <v>1907</v>
      </c>
      <c r="M1612" t="s">
        <v>4446</v>
      </c>
      <c r="N1612">
        <v>4</v>
      </c>
    </row>
    <row r="1613" spans="1:14" x14ac:dyDescent="0.35">
      <c r="A1613" t="s">
        <v>6092</v>
      </c>
      <c r="B1613" t="s">
        <v>481</v>
      </c>
      <c r="C1613" t="s">
        <v>1883</v>
      </c>
      <c r="D1613" t="s">
        <v>4452</v>
      </c>
      <c r="E1613" t="s">
        <v>4444</v>
      </c>
      <c r="F1613" s="3">
        <v>45128</v>
      </c>
      <c r="G1613" s="3" t="s">
        <v>537</v>
      </c>
      <c r="I1613">
        <v>24</v>
      </c>
      <c r="J1613" t="s">
        <v>4440</v>
      </c>
      <c r="K1613" t="s">
        <v>4474</v>
      </c>
      <c r="L1613" t="s">
        <v>4492</v>
      </c>
      <c r="M1613" t="s">
        <v>1625</v>
      </c>
    </row>
    <row r="1614" spans="1:14" x14ac:dyDescent="0.35">
      <c r="A1614" t="s">
        <v>6093</v>
      </c>
      <c r="B1614" t="s">
        <v>308</v>
      </c>
      <c r="C1614" t="s">
        <v>1915</v>
      </c>
      <c r="D1614" t="s">
        <v>4464</v>
      </c>
      <c r="E1614" t="s">
        <v>4456</v>
      </c>
      <c r="F1614" s="3">
        <v>45553</v>
      </c>
      <c r="G1614" s="3">
        <v>45553</v>
      </c>
      <c r="H1614">
        <v>1</v>
      </c>
      <c r="I1614">
        <v>4</v>
      </c>
      <c r="J1614" t="s">
        <v>4448</v>
      </c>
      <c r="K1614" t="s">
        <v>4441</v>
      </c>
      <c r="L1614" t="s">
        <v>4527</v>
      </c>
      <c r="M1614" t="s">
        <v>1625</v>
      </c>
      <c r="N1614">
        <v>5</v>
      </c>
    </row>
    <row r="1615" spans="1:14" x14ac:dyDescent="0.35">
      <c r="A1615" t="s">
        <v>6094</v>
      </c>
      <c r="B1615" t="s">
        <v>415</v>
      </c>
      <c r="C1615" t="s">
        <v>1904</v>
      </c>
      <c r="D1615" t="s">
        <v>4460</v>
      </c>
      <c r="E1615" t="s">
        <v>4439</v>
      </c>
      <c r="F1615" s="3">
        <v>45557</v>
      </c>
      <c r="G1615" s="3" t="s">
        <v>537</v>
      </c>
      <c r="I1615">
        <v>48</v>
      </c>
      <c r="J1615" t="s">
        <v>4440</v>
      </c>
      <c r="K1615" t="s">
        <v>4474</v>
      </c>
      <c r="L1615" t="s">
        <v>4483</v>
      </c>
      <c r="M1615" t="s">
        <v>4450</v>
      </c>
    </row>
    <row r="1616" spans="1:14" x14ac:dyDescent="0.35">
      <c r="A1616" t="s">
        <v>6095</v>
      </c>
      <c r="B1616" t="s">
        <v>292</v>
      </c>
      <c r="C1616" t="s">
        <v>1915</v>
      </c>
      <c r="D1616" t="s">
        <v>4479</v>
      </c>
      <c r="E1616" t="s">
        <v>4444</v>
      </c>
      <c r="F1616" s="3">
        <v>45221</v>
      </c>
      <c r="G1616" s="3" t="s">
        <v>537</v>
      </c>
      <c r="I1616">
        <v>24</v>
      </c>
      <c r="J1616" t="s">
        <v>4440</v>
      </c>
      <c r="K1616" t="s">
        <v>4474</v>
      </c>
      <c r="L1616" t="s">
        <v>4470</v>
      </c>
      <c r="M1616" t="s">
        <v>1625</v>
      </c>
    </row>
    <row r="1617" spans="1:14" x14ac:dyDescent="0.35">
      <c r="A1617" t="s">
        <v>6096</v>
      </c>
      <c r="B1617" t="s">
        <v>345</v>
      </c>
      <c r="C1617" t="s">
        <v>1927</v>
      </c>
      <c r="D1617" t="s">
        <v>4443</v>
      </c>
      <c r="E1617" t="s">
        <v>4444</v>
      </c>
      <c r="F1617" s="3">
        <v>45243</v>
      </c>
      <c r="G1617" s="3">
        <v>45243</v>
      </c>
      <c r="H1617">
        <v>1.1000000000000001</v>
      </c>
      <c r="I1617">
        <v>24</v>
      </c>
      <c r="J1617" t="s">
        <v>4448</v>
      </c>
      <c r="K1617" t="s">
        <v>4441</v>
      </c>
      <c r="L1617" t="s">
        <v>4483</v>
      </c>
      <c r="M1617" t="s">
        <v>1625</v>
      </c>
      <c r="N1617">
        <v>3</v>
      </c>
    </row>
    <row r="1618" spans="1:14" x14ac:dyDescent="0.35">
      <c r="A1618" t="s">
        <v>6097</v>
      </c>
      <c r="B1618" t="s">
        <v>488</v>
      </c>
      <c r="C1618" t="s">
        <v>1915</v>
      </c>
      <c r="D1618" t="s">
        <v>4464</v>
      </c>
      <c r="E1618" t="s">
        <v>4473</v>
      </c>
      <c r="F1618" s="3">
        <v>45197</v>
      </c>
      <c r="G1618" s="3" t="s">
        <v>537</v>
      </c>
      <c r="I1618">
        <v>8</v>
      </c>
      <c r="J1618" t="s">
        <v>4440</v>
      </c>
      <c r="K1618" t="s">
        <v>4457</v>
      </c>
      <c r="L1618" t="s">
        <v>4533</v>
      </c>
      <c r="M1618" t="s">
        <v>4446</v>
      </c>
    </row>
    <row r="1619" spans="1:14" x14ac:dyDescent="0.35">
      <c r="A1619" t="s">
        <v>6098</v>
      </c>
      <c r="B1619" t="s">
        <v>471</v>
      </c>
      <c r="C1619" t="s">
        <v>1890</v>
      </c>
      <c r="D1619" t="s">
        <v>4482</v>
      </c>
      <c r="E1619" t="s">
        <v>4439</v>
      </c>
      <c r="F1619" s="3">
        <v>44989</v>
      </c>
      <c r="G1619" s="3">
        <v>44989</v>
      </c>
      <c r="H1619">
        <v>22</v>
      </c>
      <c r="I1619">
        <v>48</v>
      </c>
      <c r="J1619" t="s">
        <v>4448</v>
      </c>
      <c r="K1619" t="s">
        <v>4441</v>
      </c>
      <c r="L1619" t="s">
        <v>4580</v>
      </c>
      <c r="M1619" t="s">
        <v>1625</v>
      </c>
      <c r="N1619">
        <v>1</v>
      </c>
    </row>
    <row r="1620" spans="1:14" x14ac:dyDescent="0.35">
      <c r="A1620" t="s">
        <v>6099</v>
      </c>
      <c r="B1620" t="s">
        <v>250</v>
      </c>
      <c r="C1620" t="s">
        <v>1904</v>
      </c>
      <c r="D1620" t="s">
        <v>4485</v>
      </c>
      <c r="E1620" t="s">
        <v>4439</v>
      </c>
      <c r="F1620" s="3">
        <v>45068</v>
      </c>
      <c r="G1620" s="3">
        <v>45070</v>
      </c>
      <c r="H1620">
        <v>51.4</v>
      </c>
      <c r="I1620">
        <v>48</v>
      </c>
      <c r="J1620" t="s">
        <v>4440</v>
      </c>
      <c r="K1620" t="s">
        <v>4441</v>
      </c>
      <c r="L1620" t="s">
        <v>4467</v>
      </c>
      <c r="M1620" t="s">
        <v>1625</v>
      </c>
      <c r="N1620">
        <v>2</v>
      </c>
    </row>
    <row r="1621" spans="1:14" x14ac:dyDescent="0.35">
      <c r="A1621" t="s">
        <v>6100</v>
      </c>
      <c r="B1621" t="s">
        <v>461</v>
      </c>
      <c r="C1621" t="s">
        <v>1883</v>
      </c>
      <c r="D1621" t="s">
        <v>4469</v>
      </c>
      <c r="E1621" t="s">
        <v>4444</v>
      </c>
      <c r="F1621" s="3">
        <v>45322</v>
      </c>
      <c r="G1621" s="3">
        <v>45322</v>
      </c>
      <c r="H1621">
        <v>7.7</v>
      </c>
      <c r="I1621">
        <v>24</v>
      </c>
      <c r="J1621" t="s">
        <v>4448</v>
      </c>
      <c r="K1621" t="s">
        <v>4441</v>
      </c>
      <c r="L1621" t="s">
        <v>4512</v>
      </c>
      <c r="M1621" t="s">
        <v>4446</v>
      </c>
      <c r="N1621">
        <v>4</v>
      </c>
    </row>
    <row r="1622" spans="1:14" x14ac:dyDescent="0.35">
      <c r="A1622" t="s">
        <v>6101</v>
      </c>
      <c r="B1622" t="s">
        <v>152</v>
      </c>
      <c r="C1622" t="s">
        <v>1899</v>
      </c>
      <c r="D1622" t="s">
        <v>4438</v>
      </c>
      <c r="E1622" t="s">
        <v>4444</v>
      </c>
      <c r="F1622" s="3">
        <v>45545</v>
      </c>
      <c r="G1622" s="3">
        <v>45545</v>
      </c>
      <c r="H1622">
        <v>8.1999999999999993</v>
      </c>
      <c r="I1622">
        <v>24</v>
      </c>
      <c r="J1622" t="s">
        <v>4448</v>
      </c>
      <c r="K1622" t="s">
        <v>4441</v>
      </c>
      <c r="L1622" t="s">
        <v>4454</v>
      </c>
      <c r="M1622" t="s">
        <v>4462</v>
      </c>
      <c r="N1622">
        <v>5</v>
      </c>
    </row>
    <row r="1623" spans="1:14" x14ac:dyDescent="0.35">
      <c r="A1623" t="s">
        <v>6102</v>
      </c>
      <c r="B1623" t="s">
        <v>205</v>
      </c>
      <c r="C1623" t="s">
        <v>1899</v>
      </c>
      <c r="D1623" t="s">
        <v>4472</v>
      </c>
      <c r="E1623" t="s">
        <v>4444</v>
      </c>
      <c r="F1623" s="3">
        <v>45018</v>
      </c>
      <c r="G1623" s="3">
        <v>45018</v>
      </c>
      <c r="H1623">
        <v>20.5</v>
      </c>
      <c r="I1623">
        <v>24</v>
      </c>
      <c r="J1623" t="s">
        <v>4448</v>
      </c>
      <c r="K1623" t="s">
        <v>4441</v>
      </c>
      <c r="L1623" t="s">
        <v>4509</v>
      </c>
      <c r="M1623" t="s">
        <v>4450</v>
      </c>
      <c r="N1623">
        <v>4</v>
      </c>
    </row>
    <row r="1624" spans="1:14" x14ac:dyDescent="0.35">
      <c r="A1624" t="s">
        <v>6103</v>
      </c>
      <c r="B1624" t="s">
        <v>130</v>
      </c>
      <c r="C1624" t="s">
        <v>1883</v>
      </c>
      <c r="D1624" t="s">
        <v>4469</v>
      </c>
      <c r="E1624" t="s">
        <v>4444</v>
      </c>
      <c r="F1624" s="3">
        <v>45236</v>
      </c>
      <c r="G1624" s="3" t="s">
        <v>537</v>
      </c>
      <c r="I1624">
        <v>24</v>
      </c>
      <c r="J1624" t="s">
        <v>4448</v>
      </c>
      <c r="K1624" t="s">
        <v>4457</v>
      </c>
      <c r="L1624" t="s">
        <v>4449</v>
      </c>
      <c r="M1624" t="s">
        <v>4462</v>
      </c>
    </row>
    <row r="1625" spans="1:14" x14ac:dyDescent="0.35">
      <c r="A1625" t="s">
        <v>6104</v>
      </c>
      <c r="B1625" t="s">
        <v>103</v>
      </c>
      <c r="C1625" t="s">
        <v>1883</v>
      </c>
      <c r="D1625" t="s">
        <v>4476</v>
      </c>
      <c r="E1625" t="s">
        <v>4439</v>
      </c>
      <c r="F1625" s="3">
        <v>45521</v>
      </c>
      <c r="G1625" s="3">
        <v>45524</v>
      </c>
      <c r="H1625">
        <v>94.7</v>
      </c>
      <c r="I1625">
        <v>48</v>
      </c>
      <c r="J1625" t="s">
        <v>4440</v>
      </c>
      <c r="K1625" t="s">
        <v>4441</v>
      </c>
      <c r="L1625" t="s">
        <v>4465</v>
      </c>
      <c r="M1625" t="s">
        <v>4450</v>
      </c>
      <c r="N1625">
        <v>2</v>
      </c>
    </row>
    <row r="1626" spans="1:14" x14ac:dyDescent="0.35">
      <c r="A1626" t="s">
        <v>6105</v>
      </c>
      <c r="B1626" t="s">
        <v>436</v>
      </c>
      <c r="C1626" t="s">
        <v>1915</v>
      </c>
      <c r="D1626" t="s">
        <v>4479</v>
      </c>
      <c r="E1626" t="s">
        <v>4439</v>
      </c>
      <c r="F1626" s="3">
        <v>45718</v>
      </c>
      <c r="G1626" s="3" t="s">
        <v>537</v>
      </c>
      <c r="I1626">
        <v>48</v>
      </c>
      <c r="J1626" t="s">
        <v>4448</v>
      </c>
      <c r="K1626" t="s">
        <v>4457</v>
      </c>
      <c r="L1626" t="s">
        <v>4527</v>
      </c>
      <c r="M1626" t="s">
        <v>4462</v>
      </c>
    </row>
    <row r="1627" spans="1:14" x14ac:dyDescent="0.35">
      <c r="A1627" t="s">
        <v>6106</v>
      </c>
      <c r="B1627" t="s">
        <v>152</v>
      </c>
      <c r="C1627" t="s">
        <v>1899</v>
      </c>
      <c r="D1627" t="s">
        <v>4476</v>
      </c>
      <c r="E1627" t="s">
        <v>4444</v>
      </c>
      <c r="F1627" s="3">
        <v>45666</v>
      </c>
      <c r="G1627" s="3">
        <v>45666</v>
      </c>
      <c r="H1627">
        <v>5.3</v>
      </c>
      <c r="I1627">
        <v>24</v>
      </c>
      <c r="J1627" t="s">
        <v>4448</v>
      </c>
      <c r="K1627" t="s">
        <v>4441</v>
      </c>
      <c r="L1627" t="s">
        <v>4467</v>
      </c>
      <c r="M1627" t="s">
        <v>1625</v>
      </c>
      <c r="N1627">
        <v>4</v>
      </c>
    </row>
    <row r="1628" spans="1:14" x14ac:dyDescent="0.35">
      <c r="A1628" t="s">
        <v>6107</v>
      </c>
      <c r="B1628" t="s">
        <v>312</v>
      </c>
      <c r="C1628" t="s">
        <v>1915</v>
      </c>
      <c r="D1628" t="s">
        <v>4490</v>
      </c>
      <c r="E1628" t="s">
        <v>4439</v>
      </c>
      <c r="F1628" s="3">
        <v>45487</v>
      </c>
      <c r="G1628" s="3">
        <v>45487</v>
      </c>
      <c r="H1628">
        <v>7.3</v>
      </c>
      <c r="I1628">
        <v>48</v>
      </c>
      <c r="J1628" t="s">
        <v>4448</v>
      </c>
      <c r="K1628" t="s">
        <v>4441</v>
      </c>
      <c r="L1628" t="s">
        <v>4449</v>
      </c>
      <c r="M1628" t="s">
        <v>4446</v>
      </c>
    </row>
    <row r="1629" spans="1:14" x14ac:dyDescent="0.35">
      <c r="A1629" t="s">
        <v>6108</v>
      </c>
      <c r="B1629" t="s">
        <v>428</v>
      </c>
      <c r="C1629" t="s">
        <v>1899</v>
      </c>
      <c r="D1629" t="s">
        <v>4469</v>
      </c>
      <c r="E1629" t="s">
        <v>4444</v>
      </c>
      <c r="F1629" s="3">
        <v>44987</v>
      </c>
      <c r="G1629" s="3" t="s">
        <v>537</v>
      </c>
      <c r="I1629">
        <v>24</v>
      </c>
      <c r="J1629" t="s">
        <v>4440</v>
      </c>
      <c r="K1629" t="s">
        <v>4453</v>
      </c>
      <c r="L1629" t="s">
        <v>4488</v>
      </c>
      <c r="M1629" t="s">
        <v>4450</v>
      </c>
    </row>
    <row r="1630" spans="1:14" x14ac:dyDescent="0.35">
      <c r="A1630" t="s">
        <v>6109</v>
      </c>
      <c r="B1630" t="s">
        <v>303</v>
      </c>
      <c r="C1630" t="s">
        <v>1904</v>
      </c>
      <c r="D1630" t="s">
        <v>4443</v>
      </c>
      <c r="E1630" t="s">
        <v>4456</v>
      </c>
      <c r="F1630" s="3">
        <v>45444</v>
      </c>
      <c r="G1630" s="3">
        <v>45444</v>
      </c>
      <c r="H1630">
        <v>1.6</v>
      </c>
      <c r="I1630">
        <v>4</v>
      </c>
      <c r="J1630" t="s">
        <v>4448</v>
      </c>
      <c r="K1630" t="s">
        <v>4441</v>
      </c>
      <c r="L1630" t="s">
        <v>4480</v>
      </c>
      <c r="M1630" t="s">
        <v>4462</v>
      </c>
      <c r="N1630">
        <v>3</v>
      </c>
    </row>
    <row r="1631" spans="1:14" x14ac:dyDescent="0.35">
      <c r="A1631" t="s">
        <v>6110</v>
      </c>
      <c r="B1631" t="s">
        <v>474</v>
      </c>
      <c r="C1631" t="s">
        <v>1904</v>
      </c>
      <c r="D1631" t="s">
        <v>4485</v>
      </c>
      <c r="E1631" t="s">
        <v>79</v>
      </c>
      <c r="F1631" s="3">
        <v>45064</v>
      </c>
      <c r="G1631" s="3">
        <v>45064</v>
      </c>
      <c r="H1631">
        <v>12.4</v>
      </c>
      <c r="I1631">
        <v>24</v>
      </c>
      <c r="J1631" t="s">
        <v>4448</v>
      </c>
      <c r="K1631" t="s">
        <v>4441</v>
      </c>
      <c r="L1631" t="s">
        <v>4488</v>
      </c>
      <c r="M1631" t="s">
        <v>4446</v>
      </c>
      <c r="N1631">
        <v>3</v>
      </c>
    </row>
    <row r="1632" spans="1:14" x14ac:dyDescent="0.35">
      <c r="A1632" t="s">
        <v>6111</v>
      </c>
      <c r="B1632" t="s">
        <v>332</v>
      </c>
      <c r="C1632" t="s">
        <v>1927</v>
      </c>
      <c r="D1632" t="s">
        <v>4438</v>
      </c>
      <c r="E1632" t="s">
        <v>4473</v>
      </c>
      <c r="F1632" s="3">
        <v>45020</v>
      </c>
      <c r="G1632" s="3">
        <v>45020</v>
      </c>
      <c r="H1632">
        <v>14.3</v>
      </c>
      <c r="I1632">
        <v>8</v>
      </c>
      <c r="J1632" t="s">
        <v>4440</v>
      </c>
      <c r="K1632" t="s">
        <v>4441</v>
      </c>
      <c r="L1632" t="s">
        <v>4480</v>
      </c>
      <c r="M1632" t="s">
        <v>4450</v>
      </c>
      <c r="N1632">
        <v>4</v>
      </c>
    </row>
    <row r="1633" spans="1:14" x14ac:dyDescent="0.35">
      <c r="A1633" t="s">
        <v>6112</v>
      </c>
      <c r="B1633" t="s">
        <v>142</v>
      </c>
      <c r="C1633" t="s">
        <v>1883</v>
      </c>
      <c r="D1633" t="s">
        <v>4490</v>
      </c>
      <c r="E1633" t="s">
        <v>4444</v>
      </c>
      <c r="F1633" s="3">
        <v>45521</v>
      </c>
      <c r="G1633" s="3" t="s">
        <v>537</v>
      </c>
      <c r="I1633">
        <v>24</v>
      </c>
      <c r="J1633" t="s">
        <v>4440</v>
      </c>
      <c r="K1633" t="s">
        <v>4474</v>
      </c>
      <c r="L1633" t="s">
        <v>4467</v>
      </c>
      <c r="M1633" t="s">
        <v>4450</v>
      </c>
    </row>
    <row r="1634" spans="1:14" x14ac:dyDescent="0.35">
      <c r="A1634" t="s">
        <v>6113</v>
      </c>
      <c r="B1634" t="s">
        <v>497</v>
      </c>
      <c r="C1634" t="s">
        <v>1915</v>
      </c>
      <c r="D1634" t="s">
        <v>4464</v>
      </c>
      <c r="E1634" t="s">
        <v>4473</v>
      </c>
      <c r="F1634" s="3">
        <v>45265</v>
      </c>
      <c r="G1634" s="3">
        <v>45265</v>
      </c>
      <c r="H1634">
        <v>17.899999999999999</v>
      </c>
      <c r="I1634">
        <v>8</v>
      </c>
      <c r="J1634" t="s">
        <v>4440</v>
      </c>
      <c r="K1634" t="s">
        <v>4441</v>
      </c>
      <c r="L1634" t="s">
        <v>1907</v>
      </c>
      <c r="M1634" t="s">
        <v>4462</v>
      </c>
      <c r="N1634">
        <v>4</v>
      </c>
    </row>
    <row r="1635" spans="1:14" x14ac:dyDescent="0.35">
      <c r="A1635" t="s">
        <v>6114</v>
      </c>
      <c r="B1635" t="s">
        <v>349</v>
      </c>
      <c r="C1635" t="s">
        <v>1927</v>
      </c>
      <c r="D1635" t="s">
        <v>4479</v>
      </c>
      <c r="E1635" t="s">
        <v>4473</v>
      </c>
      <c r="F1635" s="3">
        <v>45625</v>
      </c>
      <c r="G1635" s="3" t="s">
        <v>537</v>
      </c>
      <c r="I1635">
        <v>8</v>
      </c>
      <c r="J1635" t="s">
        <v>4448</v>
      </c>
      <c r="K1635" t="s">
        <v>4453</v>
      </c>
      <c r="L1635" t="s">
        <v>4454</v>
      </c>
      <c r="M1635" t="s">
        <v>1625</v>
      </c>
    </row>
    <row r="1636" spans="1:14" x14ac:dyDescent="0.35">
      <c r="A1636" t="s">
        <v>6115</v>
      </c>
      <c r="B1636" t="s">
        <v>158</v>
      </c>
      <c r="C1636" t="s">
        <v>1899</v>
      </c>
      <c r="D1636" t="s">
        <v>4460</v>
      </c>
      <c r="E1636" t="s">
        <v>4473</v>
      </c>
      <c r="F1636" s="3">
        <v>44975</v>
      </c>
      <c r="G1636" s="3">
        <v>44975</v>
      </c>
      <c r="H1636">
        <v>2.9</v>
      </c>
      <c r="I1636">
        <v>8</v>
      </c>
      <c r="J1636" t="s">
        <v>4448</v>
      </c>
      <c r="K1636" t="s">
        <v>4441</v>
      </c>
      <c r="L1636" t="s">
        <v>4492</v>
      </c>
      <c r="M1636" t="s">
        <v>1625</v>
      </c>
      <c r="N1636">
        <v>4</v>
      </c>
    </row>
    <row r="1637" spans="1:14" x14ac:dyDescent="0.35">
      <c r="A1637" t="s">
        <v>6116</v>
      </c>
      <c r="B1637" t="s">
        <v>188</v>
      </c>
      <c r="C1637" t="s">
        <v>1899</v>
      </c>
      <c r="D1637" t="s">
        <v>4476</v>
      </c>
      <c r="E1637" t="s">
        <v>4444</v>
      </c>
      <c r="F1637" s="3">
        <v>45602</v>
      </c>
      <c r="G1637" s="3">
        <v>45602</v>
      </c>
      <c r="H1637">
        <v>9</v>
      </c>
      <c r="I1637">
        <v>24</v>
      </c>
      <c r="J1637" t="s">
        <v>4448</v>
      </c>
      <c r="K1637" t="s">
        <v>4441</v>
      </c>
      <c r="L1637" t="s">
        <v>4488</v>
      </c>
      <c r="M1637" t="s">
        <v>4446</v>
      </c>
      <c r="N1637">
        <v>5</v>
      </c>
    </row>
    <row r="1638" spans="1:14" x14ac:dyDescent="0.35">
      <c r="A1638" t="s">
        <v>6117</v>
      </c>
      <c r="B1638" t="s">
        <v>477</v>
      </c>
      <c r="C1638" t="s">
        <v>1915</v>
      </c>
      <c r="D1638" t="s">
        <v>4452</v>
      </c>
      <c r="E1638" t="s">
        <v>4473</v>
      </c>
      <c r="F1638" s="3">
        <v>45701</v>
      </c>
      <c r="G1638" s="3">
        <v>45701</v>
      </c>
      <c r="H1638">
        <v>19.8</v>
      </c>
      <c r="I1638">
        <v>8</v>
      </c>
      <c r="J1638" t="s">
        <v>4440</v>
      </c>
      <c r="K1638" t="s">
        <v>4441</v>
      </c>
      <c r="L1638" t="s">
        <v>4480</v>
      </c>
      <c r="M1638" t="s">
        <v>4462</v>
      </c>
      <c r="N1638">
        <v>5</v>
      </c>
    </row>
    <row r="1639" spans="1:14" x14ac:dyDescent="0.35">
      <c r="A1639" t="s">
        <v>6118</v>
      </c>
      <c r="B1639" t="s">
        <v>449</v>
      </c>
      <c r="C1639" t="s">
        <v>1927</v>
      </c>
      <c r="D1639" t="s">
        <v>4460</v>
      </c>
      <c r="E1639" t="s">
        <v>4444</v>
      </c>
      <c r="F1639" s="3">
        <v>45201</v>
      </c>
      <c r="G1639" s="3" t="s">
        <v>537</v>
      </c>
      <c r="I1639">
        <v>24</v>
      </c>
      <c r="J1639" t="s">
        <v>4440</v>
      </c>
      <c r="K1639" t="s">
        <v>4453</v>
      </c>
      <c r="L1639" t="s">
        <v>4501</v>
      </c>
      <c r="M1639" t="s">
        <v>4450</v>
      </c>
    </row>
    <row r="1640" spans="1:14" x14ac:dyDescent="0.35">
      <c r="A1640" t="s">
        <v>6119</v>
      </c>
      <c r="B1640" t="s">
        <v>389</v>
      </c>
      <c r="C1640" t="s">
        <v>1899</v>
      </c>
      <c r="D1640" t="s">
        <v>4443</v>
      </c>
      <c r="E1640" t="s">
        <v>4439</v>
      </c>
      <c r="F1640" s="3">
        <v>45393</v>
      </c>
      <c r="G1640" s="3">
        <v>45396</v>
      </c>
      <c r="H1640">
        <v>84.6</v>
      </c>
      <c r="I1640">
        <v>48</v>
      </c>
      <c r="J1640" t="s">
        <v>4440</v>
      </c>
      <c r="K1640" t="s">
        <v>4441</v>
      </c>
      <c r="L1640" t="s">
        <v>4488</v>
      </c>
      <c r="M1640" t="s">
        <v>4450</v>
      </c>
      <c r="N1640">
        <v>5</v>
      </c>
    </row>
    <row r="1641" spans="1:14" x14ac:dyDescent="0.35">
      <c r="A1641" t="s">
        <v>6120</v>
      </c>
      <c r="B1641" t="s">
        <v>486</v>
      </c>
      <c r="C1641" t="s">
        <v>1904</v>
      </c>
      <c r="D1641" t="s">
        <v>4472</v>
      </c>
      <c r="E1641" t="s">
        <v>4444</v>
      </c>
      <c r="F1641" s="3">
        <v>45008</v>
      </c>
      <c r="G1641" s="3" t="s">
        <v>537</v>
      </c>
      <c r="I1641">
        <v>24</v>
      </c>
      <c r="J1641" t="s">
        <v>4440</v>
      </c>
      <c r="K1641" t="s">
        <v>4457</v>
      </c>
      <c r="L1641" t="s">
        <v>1907</v>
      </c>
      <c r="M1641" t="s">
        <v>4462</v>
      </c>
    </row>
    <row r="1642" spans="1:14" x14ac:dyDescent="0.35">
      <c r="A1642" t="s">
        <v>6121</v>
      </c>
      <c r="B1642" t="s">
        <v>465</v>
      </c>
      <c r="C1642" t="s">
        <v>1927</v>
      </c>
      <c r="D1642" t="s">
        <v>4479</v>
      </c>
      <c r="E1642" t="s">
        <v>4456</v>
      </c>
      <c r="F1642" s="3">
        <v>44957</v>
      </c>
      <c r="G1642" s="3">
        <v>44957</v>
      </c>
      <c r="H1642">
        <v>3.7</v>
      </c>
      <c r="I1642">
        <v>4</v>
      </c>
      <c r="J1642" t="s">
        <v>4448</v>
      </c>
      <c r="K1642" t="s">
        <v>4441</v>
      </c>
      <c r="L1642" t="s">
        <v>4467</v>
      </c>
      <c r="M1642" t="s">
        <v>4446</v>
      </c>
      <c r="N1642">
        <v>3</v>
      </c>
    </row>
    <row r="1643" spans="1:14" x14ac:dyDescent="0.35">
      <c r="A1643" t="s">
        <v>6122</v>
      </c>
      <c r="B1643" t="s">
        <v>144</v>
      </c>
      <c r="C1643" t="s">
        <v>1883</v>
      </c>
      <c r="D1643" t="s">
        <v>4482</v>
      </c>
      <c r="E1643" t="s">
        <v>4473</v>
      </c>
      <c r="F1643" s="3">
        <v>45122</v>
      </c>
      <c r="G1643" s="3">
        <v>45122</v>
      </c>
      <c r="H1643">
        <v>14.4</v>
      </c>
      <c r="I1643">
        <v>8</v>
      </c>
      <c r="J1643" t="s">
        <v>4440</v>
      </c>
      <c r="K1643" t="s">
        <v>4441</v>
      </c>
      <c r="L1643" t="s">
        <v>4483</v>
      </c>
      <c r="M1643" t="s">
        <v>4462</v>
      </c>
      <c r="N1643">
        <v>4</v>
      </c>
    </row>
    <row r="1644" spans="1:14" x14ac:dyDescent="0.35">
      <c r="A1644" t="s">
        <v>6123</v>
      </c>
      <c r="B1644" t="s">
        <v>353</v>
      </c>
      <c r="C1644" t="s">
        <v>1915</v>
      </c>
      <c r="D1644" t="s">
        <v>4476</v>
      </c>
      <c r="E1644" t="s">
        <v>4444</v>
      </c>
      <c r="F1644" s="3">
        <v>45520</v>
      </c>
      <c r="G1644" s="3" t="s">
        <v>537</v>
      </c>
      <c r="I1644">
        <v>24</v>
      </c>
      <c r="J1644" t="s">
        <v>4440</v>
      </c>
      <c r="K1644" t="s">
        <v>4474</v>
      </c>
      <c r="L1644" t="s">
        <v>4454</v>
      </c>
      <c r="M1644" t="s">
        <v>4462</v>
      </c>
    </row>
    <row r="1645" spans="1:14" x14ac:dyDescent="0.35">
      <c r="A1645" t="s">
        <v>6124</v>
      </c>
      <c r="B1645" t="s">
        <v>331</v>
      </c>
      <c r="C1645" t="s">
        <v>1890</v>
      </c>
      <c r="D1645" t="s">
        <v>4479</v>
      </c>
      <c r="E1645" t="s">
        <v>4456</v>
      </c>
      <c r="F1645" s="3">
        <v>45482</v>
      </c>
      <c r="G1645" s="3">
        <v>45482</v>
      </c>
      <c r="H1645">
        <v>2.2000000000000002</v>
      </c>
      <c r="I1645">
        <v>4</v>
      </c>
      <c r="J1645" t="s">
        <v>4448</v>
      </c>
      <c r="K1645" t="s">
        <v>4441</v>
      </c>
      <c r="L1645" t="s">
        <v>4454</v>
      </c>
      <c r="M1645" t="s">
        <v>4450</v>
      </c>
      <c r="N1645">
        <v>4</v>
      </c>
    </row>
    <row r="1646" spans="1:14" x14ac:dyDescent="0.35">
      <c r="A1646" t="s">
        <v>6125</v>
      </c>
      <c r="B1646" t="s">
        <v>389</v>
      </c>
      <c r="C1646" t="s">
        <v>1927</v>
      </c>
      <c r="D1646" t="s">
        <v>4479</v>
      </c>
      <c r="E1646" t="s">
        <v>4444</v>
      </c>
      <c r="F1646" s="3">
        <v>45383</v>
      </c>
      <c r="G1646" s="3">
        <v>45384</v>
      </c>
      <c r="H1646">
        <v>44</v>
      </c>
      <c r="I1646">
        <v>24</v>
      </c>
      <c r="J1646" t="s">
        <v>4440</v>
      </c>
      <c r="K1646" t="s">
        <v>4441</v>
      </c>
      <c r="L1646" t="s">
        <v>4449</v>
      </c>
      <c r="M1646" t="s">
        <v>1625</v>
      </c>
    </row>
    <row r="1647" spans="1:14" x14ac:dyDescent="0.35">
      <c r="A1647" t="s">
        <v>6126</v>
      </c>
      <c r="B1647" t="s">
        <v>492</v>
      </c>
      <c r="C1647" t="s">
        <v>1899</v>
      </c>
      <c r="D1647" t="s">
        <v>4438</v>
      </c>
      <c r="E1647" t="s">
        <v>4473</v>
      </c>
      <c r="F1647" s="3">
        <v>45694</v>
      </c>
      <c r="G1647" s="3">
        <v>45694</v>
      </c>
      <c r="H1647">
        <v>14</v>
      </c>
      <c r="I1647">
        <v>8</v>
      </c>
      <c r="J1647" t="s">
        <v>4440</v>
      </c>
      <c r="K1647" t="s">
        <v>4441</v>
      </c>
      <c r="L1647" t="s">
        <v>4533</v>
      </c>
      <c r="M1647" t="s">
        <v>4446</v>
      </c>
      <c r="N1647">
        <v>5</v>
      </c>
    </row>
    <row r="1648" spans="1:14" x14ac:dyDescent="0.35">
      <c r="A1648" t="s">
        <v>6127</v>
      </c>
      <c r="B1648" t="s">
        <v>190</v>
      </c>
      <c r="C1648" t="s">
        <v>1899</v>
      </c>
      <c r="D1648" t="s">
        <v>4490</v>
      </c>
      <c r="E1648" t="s">
        <v>4444</v>
      </c>
      <c r="F1648" s="3">
        <v>45278</v>
      </c>
      <c r="G1648" s="3">
        <v>45279</v>
      </c>
      <c r="H1648">
        <v>27.3</v>
      </c>
      <c r="I1648">
        <v>24</v>
      </c>
      <c r="J1648" t="s">
        <v>4440</v>
      </c>
      <c r="K1648" t="s">
        <v>4441</v>
      </c>
      <c r="L1648" t="s">
        <v>4514</v>
      </c>
      <c r="M1648" t="s">
        <v>4450</v>
      </c>
      <c r="N1648">
        <v>4</v>
      </c>
    </row>
    <row r="1649" spans="1:14" x14ac:dyDescent="0.35">
      <c r="A1649" t="s">
        <v>6128</v>
      </c>
      <c r="B1649" t="s">
        <v>62</v>
      </c>
      <c r="C1649" t="s">
        <v>1899</v>
      </c>
      <c r="D1649" t="s">
        <v>4460</v>
      </c>
      <c r="E1649" t="s">
        <v>4444</v>
      </c>
      <c r="F1649" s="3">
        <v>45358</v>
      </c>
      <c r="G1649" s="3">
        <v>45360</v>
      </c>
      <c r="H1649">
        <v>52.9</v>
      </c>
      <c r="I1649">
        <v>24</v>
      </c>
      <c r="J1649" t="s">
        <v>4440</v>
      </c>
      <c r="K1649" t="s">
        <v>4441</v>
      </c>
      <c r="L1649" t="s">
        <v>4465</v>
      </c>
      <c r="M1649" t="s">
        <v>4450</v>
      </c>
    </row>
    <row r="1650" spans="1:14" x14ac:dyDescent="0.35">
      <c r="A1650" t="s">
        <v>6129</v>
      </c>
      <c r="B1650" t="s">
        <v>190</v>
      </c>
      <c r="C1650" t="s">
        <v>1890</v>
      </c>
      <c r="D1650" t="s">
        <v>4490</v>
      </c>
      <c r="E1650" t="s">
        <v>4444</v>
      </c>
      <c r="F1650" s="3">
        <v>44972</v>
      </c>
      <c r="G1650" s="3">
        <v>44972</v>
      </c>
      <c r="H1650">
        <v>20.3</v>
      </c>
      <c r="I1650">
        <v>24</v>
      </c>
      <c r="J1650" t="s">
        <v>4448</v>
      </c>
      <c r="K1650" t="s">
        <v>4441</v>
      </c>
      <c r="L1650" t="s">
        <v>4512</v>
      </c>
      <c r="M1650" t="s">
        <v>4446</v>
      </c>
      <c r="N1650">
        <v>3</v>
      </c>
    </row>
    <row r="1651" spans="1:14" x14ac:dyDescent="0.35">
      <c r="A1651" t="s">
        <v>6130</v>
      </c>
      <c r="B1651" t="s">
        <v>426</v>
      </c>
      <c r="C1651" t="s">
        <v>1899</v>
      </c>
      <c r="D1651" t="s">
        <v>4438</v>
      </c>
      <c r="E1651" t="s">
        <v>4444</v>
      </c>
      <c r="F1651" s="3">
        <v>45074</v>
      </c>
      <c r="G1651" s="3" t="s">
        <v>537</v>
      </c>
      <c r="I1651">
        <v>24</v>
      </c>
      <c r="J1651" t="s">
        <v>4448</v>
      </c>
      <c r="K1651" t="s">
        <v>4457</v>
      </c>
      <c r="L1651" t="s">
        <v>4580</v>
      </c>
      <c r="M1651" t="s">
        <v>4446</v>
      </c>
    </row>
    <row r="1652" spans="1:14" x14ac:dyDescent="0.35">
      <c r="A1652" t="s">
        <v>6131</v>
      </c>
      <c r="B1652" t="s">
        <v>167</v>
      </c>
      <c r="C1652" t="s">
        <v>1883</v>
      </c>
      <c r="D1652" t="s">
        <v>4438</v>
      </c>
      <c r="E1652" t="s">
        <v>4439</v>
      </c>
      <c r="F1652" s="3">
        <v>45566</v>
      </c>
      <c r="G1652" s="3">
        <v>45568</v>
      </c>
      <c r="H1652">
        <v>50.7</v>
      </c>
      <c r="I1652">
        <v>48</v>
      </c>
      <c r="J1652" t="s">
        <v>4440</v>
      </c>
      <c r="K1652" t="s">
        <v>4441</v>
      </c>
      <c r="L1652" t="s">
        <v>4445</v>
      </c>
      <c r="M1652" t="s">
        <v>4462</v>
      </c>
      <c r="N1652">
        <v>5</v>
      </c>
    </row>
    <row r="1653" spans="1:14" x14ac:dyDescent="0.35">
      <c r="A1653" t="s">
        <v>6132</v>
      </c>
      <c r="B1653" t="s">
        <v>442</v>
      </c>
      <c r="C1653" t="s">
        <v>1899</v>
      </c>
      <c r="D1653" t="s">
        <v>4485</v>
      </c>
      <c r="E1653" t="s">
        <v>4456</v>
      </c>
      <c r="F1653" s="3">
        <v>45602</v>
      </c>
      <c r="G1653" s="3">
        <v>45602</v>
      </c>
      <c r="H1653">
        <v>6.1</v>
      </c>
      <c r="I1653">
        <v>4</v>
      </c>
      <c r="J1653" t="s">
        <v>4440</v>
      </c>
      <c r="K1653" t="s">
        <v>4441</v>
      </c>
      <c r="L1653" t="s">
        <v>4449</v>
      </c>
      <c r="M1653" t="s">
        <v>1625</v>
      </c>
    </row>
    <row r="1654" spans="1:14" x14ac:dyDescent="0.35">
      <c r="A1654" t="s">
        <v>6133</v>
      </c>
      <c r="B1654" t="s">
        <v>301</v>
      </c>
      <c r="C1654" t="s">
        <v>1899</v>
      </c>
      <c r="D1654" t="s">
        <v>4460</v>
      </c>
      <c r="E1654" t="s">
        <v>4444</v>
      </c>
      <c r="F1654" s="3">
        <v>45386</v>
      </c>
      <c r="G1654" s="3">
        <v>45386</v>
      </c>
      <c r="H1654">
        <v>14</v>
      </c>
      <c r="I1654">
        <v>24</v>
      </c>
      <c r="J1654" t="s">
        <v>4448</v>
      </c>
      <c r="K1654" t="s">
        <v>4441</v>
      </c>
      <c r="L1654" t="s">
        <v>4514</v>
      </c>
      <c r="M1654" t="s">
        <v>1625</v>
      </c>
      <c r="N1654">
        <v>2</v>
      </c>
    </row>
    <row r="1655" spans="1:14" x14ac:dyDescent="0.35">
      <c r="A1655" t="s">
        <v>6134</v>
      </c>
      <c r="B1655" t="s">
        <v>277</v>
      </c>
      <c r="C1655" t="s">
        <v>1883</v>
      </c>
      <c r="D1655" t="s">
        <v>4479</v>
      </c>
      <c r="E1655" t="s">
        <v>4444</v>
      </c>
      <c r="F1655" s="3">
        <v>45221</v>
      </c>
      <c r="G1655" s="3">
        <v>45222</v>
      </c>
      <c r="H1655">
        <v>36.799999999999997</v>
      </c>
      <c r="I1655">
        <v>24</v>
      </c>
      <c r="J1655" t="s">
        <v>4440</v>
      </c>
      <c r="K1655" t="s">
        <v>4441</v>
      </c>
      <c r="L1655" t="s">
        <v>4465</v>
      </c>
      <c r="M1655" t="s">
        <v>1625</v>
      </c>
      <c r="N1655">
        <v>2</v>
      </c>
    </row>
    <row r="1656" spans="1:14" x14ac:dyDescent="0.35">
      <c r="A1656" t="s">
        <v>6135</v>
      </c>
      <c r="B1656" t="s">
        <v>292</v>
      </c>
      <c r="C1656" t="s">
        <v>1915</v>
      </c>
      <c r="D1656" t="s">
        <v>4469</v>
      </c>
      <c r="E1656" t="s">
        <v>4473</v>
      </c>
      <c r="F1656" s="3">
        <v>45044</v>
      </c>
      <c r="G1656" s="3" t="s">
        <v>537</v>
      </c>
      <c r="I1656">
        <v>8</v>
      </c>
      <c r="J1656" t="s">
        <v>4440</v>
      </c>
      <c r="K1656" t="s">
        <v>4457</v>
      </c>
      <c r="L1656" t="s">
        <v>4449</v>
      </c>
      <c r="M1656" t="s">
        <v>1625</v>
      </c>
    </row>
    <row r="1657" spans="1:14" x14ac:dyDescent="0.35">
      <c r="A1657" t="s">
        <v>6136</v>
      </c>
      <c r="B1657" t="s">
        <v>330</v>
      </c>
      <c r="C1657" t="s">
        <v>1890</v>
      </c>
      <c r="D1657" t="s">
        <v>4443</v>
      </c>
      <c r="E1657" t="s">
        <v>4456</v>
      </c>
      <c r="F1657" s="3">
        <v>45514</v>
      </c>
      <c r="G1657" s="3" t="s">
        <v>537</v>
      </c>
      <c r="I1657">
        <v>4</v>
      </c>
      <c r="J1657" t="s">
        <v>4440</v>
      </c>
      <c r="K1657" t="s">
        <v>4474</v>
      </c>
      <c r="L1657" t="s">
        <v>4509</v>
      </c>
      <c r="M1657" t="s">
        <v>4450</v>
      </c>
    </row>
    <row r="1658" spans="1:14" x14ac:dyDescent="0.35">
      <c r="A1658" t="s">
        <v>6137</v>
      </c>
      <c r="B1658" t="s">
        <v>475</v>
      </c>
      <c r="C1658" t="s">
        <v>1904</v>
      </c>
      <c r="D1658" t="s">
        <v>4464</v>
      </c>
      <c r="E1658" t="s">
        <v>4439</v>
      </c>
      <c r="F1658" s="3">
        <v>45220</v>
      </c>
      <c r="G1658" s="3" t="s">
        <v>537</v>
      </c>
      <c r="I1658">
        <v>48</v>
      </c>
      <c r="J1658" t="s">
        <v>4440</v>
      </c>
      <c r="K1658" t="s">
        <v>4474</v>
      </c>
      <c r="L1658" t="s">
        <v>4480</v>
      </c>
      <c r="M1658" t="s">
        <v>4450</v>
      </c>
    </row>
    <row r="1659" spans="1:14" x14ac:dyDescent="0.35">
      <c r="A1659" t="s">
        <v>6138</v>
      </c>
      <c r="B1659" t="s">
        <v>421</v>
      </c>
      <c r="C1659" t="s">
        <v>1927</v>
      </c>
      <c r="D1659" t="s">
        <v>4485</v>
      </c>
      <c r="E1659" t="s">
        <v>4473</v>
      </c>
      <c r="F1659" s="3">
        <v>44938</v>
      </c>
      <c r="G1659" s="3" t="s">
        <v>537</v>
      </c>
      <c r="I1659">
        <v>8</v>
      </c>
      <c r="J1659" t="s">
        <v>4440</v>
      </c>
      <c r="K1659" t="s">
        <v>4457</v>
      </c>
      <c r="L1659" t="s">
        <v>4492</v>
      </c>
      <c r="M1659" t="s">
        <v>4462</v>
      </c>
    </row>
    <row r="1660" spans="1:14" x14ac:dyDescent="0.35">
      <c r="A1660" t="s">
        <v>6139</v>
      </c>
      <c r="B1660" t="s">
        <v>353</v>
      </c>
      <c r="C1660" t="s">
        <v>1927</v>
      </c>
      <c r="D1660" t="s">
        <v>4452</v>
      </c>
      <c r="E1660" t="s">
        <v>4439</v>
      </c>
      <c r="F1660" s="3">
        <v>45559</v>
      </c>
      <c r="G1660" s="3">
        <v>45559</v>
      </c>
      <c r="H1660">
        <v>3</v>
      </c>
      <c r="I1660">
        <v>48</v>
      </c>
      <c r="J1660" t="s">
        <v>4448</v>
      </c>
      <c r="K1660" t="s">
        <v>4441</v>
      </c>
      <c r="L1660" t="s">
        <v>4501</v>
      </c>
      <c r="M1660" t="s">
        <v>4450</v>
      </c>
      <c r="N1660">
        <v>4</v>
      </c>
    </row>
    <row r="1661" spans="1:14" x14ac:dyDescent="0.35">
      <c r="A1661" t="s">
        <v>6140</v>
      </c>
      <c r="B1661" t="s">
        <v>307</v>
      </c>
      <c r="C1661" t="s">
        <v>1883</v>
      </c>
      <c r="D1661" t="s">
        <v>4482</v>
      </c>
      <c r="E1661" t="s">
        <v>4444</v>
      </c>
      <c r="F1661" s="3">
        <v>45147</v>
      </c>
      <c r="G1661" s="3" t="s">
        <v>537</v>
      </c>
      <c r="I1661">
        <v>24</v>
      </c>
      <c r="J1661" t="s">
        <v>1945</v>
      </c>
      <c r="K1661" t="s">
        <v>4474</v>
      </c>
      <c r="L1661" t="s">
        <v>4470</v>
      </c>
      <c r="M1661" t="s">
        <v>1625</v>
      </c>
    </row>
    <row r="1662" spans="1:14" x14ac:dyDescent="0.35">
      <c r="A1662" t="s">
        <v>6141</v>
      </c>
      <c r="B1662" t="s">
        <v>389</v>
      </c>
      <c r="C1662" t="s">
        <v>1890</v>
      </c>
      <c r="D1662" t="s">
        <v>4479</v>
      </c>
      <c r="E1662" t="s">
        <v>4444</v>
      </c>
      <c r="F1662" s="3">
        <v>45345</v>
      </c>
      <c r="G1662" s="3">
        <v>45346</v>
      </c>
      <c r="H1662">
        <v>24.7</v>
      </c>
      <c r="I1662">
        <v>24</v>
      </c>
      <c r="J1662" t="s">
        <v>4440</v>
      </c>
      <c r="K1662" t="s">
        <v>4441</v>
      </c>
      <c r="L1662" t="s">
        <v>4483</v>
      </c>
      <c r="M1662" t="s">
        <v>4450</v>
      </c>
      <c r="N1662">
        <v>3</v>
      </c>
    </row>
    <row r="1663" spans="1:14" x14ac:dyDescent="0.35">
      <c r="A1663" t="s">
        <v>6142</v>
      </c>
      <c r="B1663" t="s">
        <v>147</v>
      </c>
      <c r="C1663" t="s">
        <v>1915</v>
      </c>
      <c r="D1663" t="s">
        <v>4469</v>
      </c>
      <c r="E1663" t="s">
        <v>4473</v>
      </c>
      <c r="F1663" s="3">
        <v>45391</v>
      </c>
      <c r="G1663" s="3" t="s">
        <v>537</v>
      </c>
      <c r="I1663">
        <v>8</v>
      </c>
      <c r="J1663" t="s">
        <v>4440</v>
      </c>
      <c r="K1663" t="s">
        <v>4474</v>
      </c>
      <c r="L1663" t="s">
        <v>4501</v>
      </c>
      <c r="M1663" t="s">
        <v>4446</v>
      </c>
    </row>
    <row r="1664" spans="1:14" x14ac:dyDescent="0.35">
      <c r="A1664" t="s">
        <v>6143</v>
      </c>
      <c r="B1664" t="s">
        <v>247</v>
      </c>
      <c r="C1664" t="s">
        <v>1904</v>
      </c>
      <c r="D1664" t="s">
        <v>4485</v>
      </c>
      <c r="E1664" t="s">
        <v>4444</v>
      </c>
      <c r="F1664" s="3">
        <v>45230</v>
      </c>
      <c r="G1664" s="3" t="s">
        <v>537</v>
      </c>
      <c r="I1664">
        <v>24</v>
      </c>
      <c r="J1664" t="s">
        <v>4448</v>
      </c>
      <c r="K1664" t="s">
        <v>4457</v>
      </c>
      <c r="L1664" t="s">
        <v>4580</v>
      </c>
      <c r="M1664" t="s">
        <v>4450</v>
      </c>
    </row>
    <row r="1665" spans="1:14" x14ac:dyDescent="0.35">
      <c r="A1665" t="s">
        <v>6144</v>
      </c>
      <c r="B1665" t="s">
        <v>128</v>
      </c>
      <c r="C1665" t="s">
        <v>1927</v>
      </c>
      <c r="D1665" t="s">
        <v>4460</v>
      </c>
      <c r="E1665" t="s">
        <v>79</v>
      </c>
      <c r="F1665" s="3">
        <v>45032</v>
      </c>
      <c r="G1665" s="3">
        <v>45034</v>
      </c>
      <c r="H1665">
        <v>62</v>
      </c>
      <c r="I1665">
        <v>48</v>
      </c>
      <c r="J1665" t="s">
        <v>4440</v>
      </c>
      <c r="K1665" t="s">
        <v>4441</v>
      </c>
      <c r="L1665" t="s">
        <v>1907</v>
      </c>
      <c r="M1665" t="s">
        <v>4446</v>
      </c>
      <c r="N1665">
        <v>4</v>
      </c>
    </row>
    <row r="1666" spans="1:14" x14ac:dyDescent="0.35">
      <c r="A1666" t="s">
        <v>6145</v>
      </c>
      <c r="B1666" t="s">
        <v>184</v>
      </c>
      <c r="C1666" t="s">
        <v>1927</v>
      </c>
      <c r="D1666" t="s">
        <v>4479</v>
      </c>
      <c r="E1666" t="s">
        <v>4444</v>
      </c>
      <c r="F1666" s="3">
        <v>45217</v>
      </c>
      <c r="G1666" s="3">
        <v>45219</v>
      </c>
      <c r="H1666">
        <v>51.8</v>
      </c>
      <c r="I1666">
        <v>24</v>
      </c>
      <c r="J1666" t="s">
        <v>4440</v>
      </c>
      <c r="K1666" t="s">
        <v>4441</v>
      </c>
      <c r="L1666" t="s">
        <v>4449</v>
      </c>
      <c r="M1666" t="s">
        <v>1625</v>
      </c>
    </row>
    <row r="1667" spans="1:14" x14ac:dyDescent="0.35">
      <c r="A1667" t="s">
        <v>6146</v>
      </c>
      <c r="B1667" t="s">
        <v>160</v>
      </c>
      <c r="C1667" t="s">
        <v>1883</v>
      </c>
      <c r="D1667" t="s">
        <v>4469</v>
      </c>
      <c r="E1667" t="s">
        <v>4473</v>
      </c>
      <c r="F1667" s="3">
        <v>45159</v>
      </c>
      <c r="G1667" s="3">
        <v>45159</v>
      </c>
      <c r="H1667">
        <v>1</v>
      </c>
      <c r="I1667">
        <v>8</v>
      </c>
      <c r="J1667" t="s">
        <v>4448</v>
      </c>
      <c r="K1667" t="s">
        <v>4441</v>
      </c>
      <c r="L1667" t="s">
        <v>4465</v>
      </c>
      <c r="M1667" t="s">
        <v>1625</v>
      </c>
      <c r="N1667">
        <v>3</v>
      </c>
    </row>
    <row r="1668" spans="1:14" x14ac:dyDescent="0.35">
      <c r="A1668" t="s">
        <v>6147</v>
      </c>
      <c r="B1668" t="s">
        <v>292</v>
      </c>
      <c r="C1668" t="s">
        <v>1890</v>
      </c>
      <c r="D1668" t="s">
        <v>4482</v>
      </c>
      <c r="E1668" t="s">
        <v>4444</v>
      </c>
      <c r="F1668" s="3">
        <v>45013</v>
      </c>
      <c r="G1668" s="3">
        <v>45014</v>
      </c>
      <c r="H1668">
        <v>40.700000000000003</v>
      </c>
      <c r="I1668">
        <v>24</v>
      </c>
      <c r="J1668" t="s">
        <v>4440</v>
      </c>
      <c r="K1668" t="s">
        <v>4441</v>
      </c>
      <c r="L1668" t="s">
        <v>4449</v>
      </c>
      <c r="M1668" t="s">
        <v>4446</v>
      </c>
      <c r="N1668">
        <v>4</v>
      </c>
    </row>
    <row r="1669" spans="1:14" x14ac:dyDescent="0.35">
      <c r="A1669" t="s">
        <v>6148</v>
      </c>
      <c r="B1669" t="s">
        <v>247</v>
      </c>
      <c r="C1669" t="s">
        <v>1915</v>
      </c>
      <c r="D1669" t="s">
        <v>4472</v>
      </c>
      <c r="E1669" t="s">
        <v>4473</v>
      </c>
      <c r="F1669" s="3">
        <v>45289</v>
      </c>
      <c r="G1669" s="3">
        <v>45289</v>
      </c>
      <c r="H1669">
        <v>3.3</v>
      </c>
      <c r="I1669">
        <v>8</v>
      </c>
      <c r="J1669" t="s">
        <v>4448</v>
      </c>
      <c r="K1669" t="s">
        <v>4441</v>
      </c>
      <c r="L1669" t="s">
        <v>4461</v>
      </c>
      <c r="M1669" t="s">
        <v>1625</v>
      </c>
      <c r="N1669">
        <v>5</v>
      </c>
    </row>
    <row r="1670" spans="1:14" x14ac:dyDescent="0.35">
      <c r="A1670" t="s">
        <v>6149</v>
      </c>
      <c r="B1670" t="s">
        <v>164</v>
      </c>
      <c r="C1670" t="s">
        <v>1890</v>
      </c>
      <c r="D1670" t="s">
        <v>4482</v>
      </c>
      <c r="E1670" t="s">
        <v>4444</v>
      </c>
      <c r="F1670" s="3">
        <v>45692</v>
      </c>
      <c r="G1670" s="3">
        <v>45693</v>
      </c>
      <c r="H1670">
        <v>47.6</v>
      </c>
      <c r="I1670">
        <v>24</v>
      </c>
      <c r="J1670" t="s">
        <v>1945</v>
      </c>
      <c r="K1670" t="s">
        <v>4441</v>
      </c>
      <c r="L1670" t="s">
        <v>4480</v>
      </c>
      <c r="M1670" t="s">
        <v>1625</v>
      </c>
      <c r="N1670">
        <v>4</v>
      </c>
    </row>
    <row r="1671" spans="1:14" x14ac:dyDescent="0.35">
      <c r="A1671" t="s">
        <v>6150</v>
      </c>
      <c r="B1671" t="s">
        <v>216</v>
      </c>
      <c r="C1671" t="s">
        <v>1890</v>
      </c>
      <c r="D1671" t="s">
        <v>4469</v>
      </c>
      <c r="E1671" t="s">
        <v>4444</v>
      </c>
      <c r="F1671" s="3">
        <v>45339</v>
      </c>
      <c r="G1671" s="3">
        <v>45339</v>
      </c>
      <c r="H1671">
        <v>7.5</v>
      </c>
      <c r="I1671">
        <v>24</v>
      </c>
      <c r="J1671" t="s">
        <v>4448</v>
      </c>
      <c r="K1671" t="s">
        <v>4441</v>
      </c>
      <c r="L1671" t="s">
        <v>4480</v>
      </c>
      <c r="M1671" t="s">
        <v>4462</v>
      </c>
      <c r="N1671">
        <v>4</v>
      </c>
    </row>
    <row r="1672" spans="1:14" x14ac:dyDescent="0.35">
      <c r="A1672" t="s">
        <v>6151</v>
      </c>
      <c r="B1672" t="s">
        <v>350</v>
      </c>
      <c r="C1672" t="s">
        <v>1899</v>
      </c>
      <c r="D1672" t="s">
        <v>4469</v>
      </c>
      <c r="E1672" t="s">
        <v>4473</v>
      </c>
      <c r="F1672" s="3">
        <v>45455</v>
      </c>
      <c r="G1672" s="3">
        <v>45455</v>
      </c>
      <c r="H1672">
        <v>11.5</v>
      </c>
      <c r="I1672">
        <v>8</v>
      </c>
      <c r="J1672" t="s">
        <v>4440</v>
      </c>
      <c r="K1672" t="s">
        <v>4441</v>
      </c>
      <c r="L1672" t="s">
        <v>4465</v>
      </c>
      <c r="M1672" t="s">
        <v>4450</v>
      </c>
      <c r="N1672">
        <v>4</v>
      </c>
    </row>
    <row r="1673" spans="1:14" x14ac:dyDescent="0.35">
      <c r="A1673" t="s">
        <v>6152</v>
      </c>
      <c r="B1673" t="s">
        <v>444</v>
      </c>
      <c r="C1673" t="s">
        <v>1899</v>
      </c>
      <c r="D1673" t="s">
        <v>4476</v>
      </c>
      <c r="E1673" t="s">
        <v>4444</v>
      </c>
      <c r="F1673" s="3">
        <v>45643</v>
      </c>
      <c r="G1673" s="3">
        <v>45643</v>
      </c>
      <c r="H1673">
        <v>22.5</v>
      </c>
      <c r="I1673">
        <v>24</v>
      </c>
      <c r="J1673" t="s">
        <v>4448</v>
      </c>
      <c r="K1673" t="s">
        <v>4441</v>
      </c>
      <c r="L1673" t="s">
        <v>4470</v>
      </c>
      <c r="M1673" t="s">
        <v>4450</v>
      </c>
      <c r="N1673">
        <v>2</v>
      </c>
    </row>
    <row r="1674" spans="1:14" x14ac:dyDescent="0.35">
      <c r="A1674" t="s">
        <v>6153</v>
      </c>
      <c r="B1674" t="s">
        <v>413</v>
      </c>
      <c r="C1674" t="s">
        <v>1890</v>
      </c>
      <c r="D1674" t="s">
        <v>4482</v>
      </c>
      <c r="E1674" t="s">
        <v>4444</v>
      </c>
      <c r="F1674" s="3">
        <v>45354</v>
      </c>
      <c r="G1674" s="3" t="s">
        <v>537</v>
      </c>
      <c r="I1674">
        <v>24</v>
      </c>
      <c r="J1674" t="s">
        <v>4440</v>
      </c>
      <c r="K1674" t="s">
        <v>4474</v>
      </c>
      <c r="L1674" t="s">
        <v>4445</v>
      </c>
      <c r="M1674" t="s">
        <v>1625</v>
      </c>
    </row>
    <row r="1675" spans="1:14" x14ac:dyDescent="0.35">
      <c r="A1675" t="s">
        <v>6154</v>
      </c>
      <c r="B1675" t="s">
        <v>493</v>
      </c>
      <c r="C1675" t="s">
        <v>1890</v>
      </c>
      <c r="D1675" t="s">
        <v>4452</v>
      </c>
      <c r="E1675" t="s">
        <v>4439</v>
      </c>
      <c r="F1675" s="3">
        <v>45254</v>
      </c>
      <c r="G1675" s="3" t="s">
        <v>537</v>
      </c>
      <c r="I1675">
        <v>48</v>
      </c>
      <c r="J1675" t="s">
        <v>4440</v>
      </c>
      <c r="K1675" t="s">
        <v>4474</v>
      </c>
      <c r="L1675" t="s">
        <v>4467</v>
      </c>
      <c r="M1675" t="s">
        <v>4462</v>
      </c>
    </row>
    <row r="1676" spans="1:14" x14ac:dyDescent="0.35">
      <c r="A1676" t="s">
        <v>6155</v>
      </c>
      <c r="B1676" t="s">
        <v>368</v>
      </c>
      <c r="C1676" t="s">
        <v>1915</v>
      </c>
      <c r="D1676" t="s">
        <v>8511</v>
      </c>
      <c r="E1676" t="s">
        <v>4473</v>
      </c>
      <c r="F1676" s="3">
        <v>45086</v>
      </c>
      <c r="G1676" s="3">
        <v>45086</v>
      </c>
      <c r="H1676">
        <v>12.4</v>
      </c>
      <c r="I1676">
        <v>8</v>
      </c>
      <c r="J1676" t="s">
        <v>4440</v>
      </c>
      <c r="K1676" t="s">
        <v>4441</v>
      </c>
      <c r="L1676" t="s">
        <v>4483</v>
      </c>
      <c r="M1676" t="s">
        <v>1625</v>
      </c>
      <c r="N1676">
        <v>5</v>
      </c>
    </row>
    <row r="1677" spans="1:14" x14ac:dyDescent="0.35">
      <c r="A1677" t="s">
        <v>6156</v>
      </c>
      <c r="B1677" t="s">
        <v>334</v>
      </c>
      <c r="C1677" t="s">
        <v>1915</v>
      </c>
      <c r="D1677" t="s">
        <v>4443</v>
      </c>
      <c r="E1677" t="s">
        <v>4444</v>
      </c>
      <c r="F1677" s="3">
        <v>45043</v>
      </c>
      <c r="G1677" s="3" t="s">
        <v>537</v>
      </c>
      <c r="I1677">
        <v>24</v>
      </c>
      <c r="J1677" t="s">
        <v>4448</v>
      </c>
      <c r="K1677" t="s">
        <v>4453</v>
      </c>
      <c r="L1677" t="s">
        <v>4465</v>
      </c>
      <c r="M1677" t="s">
        <v>4446</v>
      </c>
    </row>
    <row r="1678" spans="1:14" x14ac:dyDescent="0.35">
      <c r="A1678" t="s">
        <v>6157</v>
      </c>
      <c r="B1678" t="s">
        <v>147</v>
      </c>
      <c r="C1678" t="s">
        <v>1890</v>
      </c>
      <c r="D1678" t="s">
        <v>4472</v>
      </c>
      <c r="E1678" t="s">
        <v>4444</v>
      </c>
      <c r="F1678" s="3">
        <v>45662</v>
      </c>
      <c r="G1678" s="3">
        <v>45663</v>
      </c>
      <c r="H1678">
        <v>40.1</v>
      </c>
      <c r="I1678">
        <v>24</v>
      </c>
      <c r="J1678" t="s">
        <v>4440</v>
      </c>
      <c r="K1678" t="s">
        <v>4441</v>
      </c>
      <c r="L1678" t="s">
        <v>4533</v>
      </c>
      <c r="M1678" t="s">
        <v>4446</v>
      </c>
      <c r="N1678">
        <v>1</v>
      </c>
    </row>
    <row r="1679" spans="1:14" x14ac:dyDescent="0.35">
      <c r="A1679" t="s">
        <v>6158</v>
      </c>
      <c r="B1679" t="s">
        <v>235</v>
      </c>
      <c r="C1679" t="s">
        <v>1915</v>
      </c>
      <c r="D1679" t="s">
        <v>4472</v>
      </c>
      <c r="E1679" t="s">
        <v>4473</v>
      </c>
      <c r="F1679" s="3">
        <v>44982</v>
      </c>
      <c r="G1679" s="3">
        <v>44982</v>
      </c>
      <c r="H1679">
        <v>1.7</v>
      </c>
      <c r="I1679">
        <v>8</v>
      </c>
      <c r="J1679" t="s">
        <v>4448</v>
      </c>
      <c r="K1679" t="s">
        <v>4441</v>
      </c>
      <c r="L1679" t="s">
        <v>4533</v>
      </c>
      <c r="M1679" t="s">
        <v>4462</v>
      </c>
      <c r="N1679">
        <v>3</v>
      </c>
    </row>
    <row r="1680" spans="1:14" x14ac:dyDescent="0.35">
      <c r="A1680" t="s">
        <v>6159</v>
      </c>
      <c r="B1680" t="s">
        <v>481</v>
      </c>
      <c r="C1680" t="s">
        <v>1890</v>
      </c>
      <c r="D1680" t="s">
        <v>4452</v>
      </c>
      <c r="E1680" t="s">
        <v>4473</v>
      </c>
      <c r="F1680" s="3">
        <v>45253</v>
      </c>
      <c r="G1680" s="3">
        <v>45253</v>
      </c>
      <c r="H1680">
        <v>15.6</v>
      </c>
      <c r="I1680">
        <v>8</v>
      </c>
      <c r="J1680" t="s">
        <v>4440</v>
      </c>
      <c r="K1680" t="s">
        <v>4441</v>
      </c>
      <c r="L1680" t="s">
        <v>4467</v>
      </c>
      <c r="M1680" t="s">
        <v>1625</v>
      </c>
      <c r="N1680">
        <v>5</v>
      </c>
    </row>
    <row r="1681" spans="1:14" x14ac:dyDescent="0.35">
      <c r="A1681" t="s">
        <v>6160</v>
      </c>
      <c r="B1681" t="s">
        <v>436</v>
      </c>
      <c r="C1681" t="s">
        <v>1890</v>
      </c>
      <c r="D1681" t="s">
        <v>4472</v>
      </c>
      <c r="E1681" t="s">
        <v>4473</v>
      </c>
      <c r="F1681" s="3">
        <v>45632</v>
      </c>
      <c r="G1681" s="3">
        <v>45632</v>
      </c>
      <c r="H1681">
        <v>4.8</v>
      </c>
      <c r="I1681">
        <v>8</v>
      </c>
      <c r="J1681" t="s">
        <v>4448</v>
      </c>
      <c r="K1681" t="s">
        <v>4441</v>
      </c>
      <c r="L1681" t="s">
        <v>4533</v>
      </c>
      <c r="M1681" t="s">
        <v>4446</v>
      </c>
      <c r="N1681">
        <v>5</v>
      </c>
    </row>
    <row r="1682" spans="1:14" x14ac:dyDescent="0.35">
      <c r="A1682" t="s">
        <v>6161</v>
      </c>
      <c r="B1682" t="s">
        <v>184</v>
      </c>
      <c r="C1682" t="s">
        <v>1904</v>
      </c>
      <c r="D1682" t="s">
        <v>4438</v>
      </c>
      <c r="E1682" t="s">
        <v>4473</v>
      </c>
      <c r="F1682" s="3">
        <v>45557</v>
      </c>
      <c r="G1682" s="3">
        <v>45557</v>
      </c>
      <c r="H1682">
        <v>12.4</v>
      </c>
      <c r="I1682">
        <v>8</v>
      </c>
      <c r="J1682" t="s">
        <v>4440</v>
      </c>
      <c r="K1682" t="s">
        <v>4441</v>
      </c>
      <c r="L1682" t="s">
        <v>4454</v>
      </c>
      <c r="M1682" t="s">
        <v>4446</v>
      </c>
      <c r="N1682">
        <v>3</v>
      </c>
    </row>
    <row r="1683" spans="1:14" x14ac:dyDescent="0.35">
      <c r="A1683" t="s">
        <v>6162</v>
      </c>
      <c r="B1683" t="s">
        <v>424</v>
      </c>
      <c r="C1683" t="s">
        <v>1904</v>
      </c>
      <c r="D1683" t="s">
        <v>4443</v>
      </c>
      <c r="E1683" t="s">
        <v>4473</v>
      </c>
      <c r="F1683" s="3">
        <v>45389</v>
      </c>
      <c r="G1683" s="3" t="s">
        <v>537</v>
      </c>
      <c r="I1683">
        <v>8</v>
      </c>
      <c r="J1683" t="s">
        <v>4448</v>
      </c>
      <c r="K1683" t="s">
        <v>4457</v>
      </c>
      <c r="L1683" t="s">
        <v>4445</v>
      </c>
      <c r="M1683" t="s">
        <v>1625</v>
      </c>
    </row>
    <row r="1684" spans="1:14" x14ac:dyDescent="0.35">
      <c r="A1684" t="s">
        <v>6163</v>
      </c>
      <c r="B1684" t="s">
        <v>261</v>
      </c>
      <c r="C1684" t="s">
        <v>1904</v>
      </c>
      <c r="D1684" t="s">
        <v>8511</v>
      </c>
      <c r="E1684" t="s">
        <v>4473</v>
      </c>
      <c r="F1684" s="3">
        <v>45031</v>
      </c>
      <c r="G1684" s="3">
        <v>45031</v>
      </c>
      <c r="H1684">
        <v>5.4</v>
      </c>
      <c r="I1684">
        <v>8</v>
      </c>
      <c r="J1684" t="s">
        <v>4448</v>
      </c>
      <c r="K1684" t="s">
        <v>4441</v>
      </c>
      <c r="L1684" t="s">
        <v>4527</v>
      </c>
      <c r="M1684" t="s">
        <v>1625</v>
      </c>
      <c r="N1684">
        <v>2</v>
      </c>
    </row>
    <row r="1685" spans="1:14" x14ac:dyDescent="0.35">
      <c r="A1685" t="s">
        <v>6164</v>
      </c>
      <c r="B1685" t="s">
        <v>498</v>
      </c>
      <c r="C1685" t="s">
        <v>1899</v>
      </c>
      <c r="D1685" t="s">
        <v>4479</v>
      </c>
      <c r="E1685" t="s">
        <v>4473</v>
      </c>
      <c r="F1685" s="3">
        <v>45711</v>
      </c>
      <c r="G1685" s="3">
        <v>45711</v>
      </c>
      <c r="H1685">
        <v>6.8</v>
      </c>
      <c r="I1685">
        <v>8</v>
      </c>
      <c r="J1685" t="s">
        <v>4448</v>
      </c>
      <c r="K1685" t="s">
        <v>4441</v>
      </c>
      <c r="L1685" t="s">
        <v>4527</v>
      </c>
      <c r="M1685" t="s">
        <v>4462</v>
      </c>
      <c r="N1685">
        <v>2</v>
      </c>
    </row>
    <row r="1686" spans="1:14" x14ac:dyDescent="0.35">
      <c r="A1686" t="s">
        <v>6165</v>
      </c>
      <c r="B1686" t="s">
        <v>203</v>
      </c>
      <c r="C1686" t="s">
        <v>1890</v>
      </c>
      <c r="D1686" t="s">
        <v>4460</v>
      </c>
      <c r="E1686" t="s">
        <v>4439</v>
      </c>
      <c r="F1686" s="3">
        <v>44961</v>
      </c>
      <c r="G1686" s="3">
        <v>44964</v>
      </c>
      <c r="H1686">
        <v>88.2</v>
      </c>
      <c r="I1686">
        <v>48</v>
      </c>
      <c r="J1686" t="s">
        <v>4440</v>
      </c>
      <c r="K1686" t="s">
        <v>4441</v>
      </c>
      <c r="L1686" t="s">
        <v>4449</v>
      </c>
      <c r="M1686" t="s">
        <v>4462</v>
      </c>
      <c r="N1686">
        <v>3</v>
      </c>
    </row>
    <row r="1687" spans="1:14" x14ac:dyDescent="0.35">
      <c r="A1687" t="s">
        <v>6166</v>
      </c>
      <c r="B1687" t="s">
        <v>495</v>
      </c>
      <c r="C1687" t="s">
        <v>1915</v>
      </c>
      <c r="D1687" t="s">
        <v>4443</v>
      </c>
      <c r="E1687" t="s">
        <v>4439</v>
      </c>
      <c r="F1687" s="3">
        <v>45315</v>
      </c>
      <c r="G1687" s="3">
        <v>45316</v>
      </c>
      <c r="H1687">
        <v>34.9</v>
      </c>
      <c r="I1687">
        <v>48</v>
      </c>
      <c r="J1687" t="s">
        <v>4448</v>
      </c>
      <c r="K1687" t="s">
        <v>4441</v>
      </c>
      <c r="L1687" t="s">
        <v>4461</v>
      </c>
      <c r="M1687" t="s">
        <v>4462</v>
      </c>
    </row>
    <row r="1688" spans="1:14" x14ac:dyDescent="0.35">
      <c r="A1688" t="s">
        <v>6167</v>
      </c>
      <c r="B1688" t="s">
        <v>371</v>
      </c>
      <c r="C1688" t="s">
        <v>1927</v>
      </c>
      <c r="D1688" t="s">
        <v>4469</v>
      </c>
      <c r="E1688" t="s">
        <v>4473</v>
      </c>
      <c r="F1688" s="3">
        <v>45205</v>
      </c>
      <c r="G1688" s="3">
        <v>45205</v>
      </c>
      <c r="H1688">
        <v>9.8000000000000007</v>
      </c>
      <c r="I1688">
        <v>8</v>
      </c>
      <c r="J1688" t="s">
        <v>4440</v>
      </c>
      <c r="K1688" t="s">
        <v>4441</v>
      </c>
      <c r="L1688" t="s">
        <v>4514</v>
      </c>
      <c r="M1688" t="s">
        <v>1625</v>
      </c>
      <c r="N1688">
        <v>5</v>
      </c>
    </row>
    <row r="1689" spans="1:14" x14ac:dyDescent="0.35">
      <c r="A1689" t="s">
        <v>6168</v>
      </c>
      <c r="B1689" t="s">
        <v>345</v>
      </c>
      <c r="C1689" t="s">
        <v>1899</v>
      </c>
      <c r="D1689" t="s">
        <v>4464</v>
      </c>
      <c r="E1689" t="s">
        <v>4473</v>
      </c>
      <c r="F1689" s="3">
        <v>45665</v>
      </c>
      <c r="G1689" s="3" t="s">
        <v>537</v>
      </c>
      <c r="I1689">
        <v>8</v>
      </c>
      <c r="J1689" t="s">
        <v>4440</v>
      </c>
      <c r="K1689" t="s">
        <v>4453</v>
      </c>
      <c r="L1689" t="s">
        <v>4458</v>
      </c>
      <c r="M1689" t="s">
        <v>4446</v>
      </c>
    </row>
    <row r="1690" spans="1:14" x14ac:dyDescent="0.35">
      <c r="A1690" t="s">
        <v>6169</v>
      </c>
      <c r="B1690" t="s">
        <v>356</v>
      </c>
      <c r="C1690" t="s">
        <v>1890</v>
      </c>
      <c r="D1690" t="s">
        <v>4485</v>
      </c>
      <c r="E1690" t="s">
        <v>4444</v>
      </c>
      <c r="F1690" s="3">
        <v>45427</v>
      </c>
      <c r="G1690" s="3">
        <v>45428</v>
      </c>
      <c r="H1690">
        <v>24.5</v>
      </c>
      <c r="I1690">
        <v>24</v>
      </c>
      <c r="J1690" t="s">
        <v>4440</v>
      </c>
      <c r="K1690" t="s">
        <v>4441</v>
      </c>
      <c r="L1690" t="s">
        <v>1907</v>
      </c>
      <c r="M1690" t="s">
        <v>4450</v>
      </c>
      <c r="N1690">
        <v>2</v>
      </c>
    </row>
    <row r="1691" spans="1:14" x14ac:dyDescent="0.35">
      <c r="A1691" t="s">
        <v>6170</v>
      </c>
      <c r="B1691" t="s">
        <v>283</v>
      </c>
      <c r="C1691" t="s">
        <v>1915</v>
      </c>
      <c r="D1691" t="s">
        <v>4485</v>
      </c>
      <c r="E1691" t="s">
        <v>4444</v>
      </c>
      <c r="F1691" s="3">
        <v>45219</v>
      </c>
      <c r="G1691" s="3">
        <v>45219</v>
      </c>
      <c r="H1691">
        <v>3.8</v>
      </c>
      <c r="I1691">
        <v>24</v>
      </c>
      <c r="J1691" t="s">
        <v>4448</v>
      </c>
      <c r="K1691" t="s">
        <v>4441</v>
      </c>
      <c r="L1691" t="s">
        <v>4454</v>
      </c>
      <c r="M1691" t="s">
        <v>4462</v>
      </c>
      <c r="N1691">
        <v>4</v>
      </c>
    </row>
    <row r="1692" spans="1:14" x14ac:dyDescent="0.35">
      <c r="A1692" t="s">
        <v>6171</v>
      </c>
      <c r="B1692" t="s">
        <v>485</v>
      </c>
      <c r="C1692" t="s">
        <v>1899</v>
      </c>
      <c r="D1692" t="s">
        <v>4472</v>
      </c>
      <c r="E1692" t="s">
        <v>4439</v>
      </c>
      <c r="F1692" s="3">
        <v>45429</v>
      </c>
      <c r="G1692" s="3" t="s">
        <v>537</v>
      </c>
      <c r="I1692">
        <v>48</v>
      </c>
      <c r="J1692" t="s">
        <v>4440</v>
      </c>
      <c r="K1692" t="s">
        <v>4474</v>
      </c>
      <c r="L1692" t="s">
        <v>4488</v>
      </c>
      <c r="M1692" t="s">
        <v>1625</v>
      </c>
    </row>
    <row r="1693" spans="1:14" x14ac:dyDescent="0.35">
      <c r="A1693" t="s">
        <v>6172</v>
      </c>
      <c r="B1693" t="s">
        <v>323</v>
      </c>
      <c r="C1693" t="s">
        <v>1899</v>
      </c>
      <c r="D1693" t="s">
        <v>4443</v>
      </c>
      <c r="E1693" t="s">
        <v>4444</v>
      </c>
      <c r="F1693" s="3">
        <v>45721</v>
      </c>
      <c r="G1693" s="3" t="s">
        <v>537</v>
      </c>
      <c r="I1693">
        <v>24</v>
      </c>
      <c r="J1693" t="s">
        <v>4440</v>
      </c>
      <c r="K1693" t="s">
        <v>4474</v>
      </c>
      <c r="L1693" t="s">
        <v>4480</v>
      </c>
      <c r="M1693" t="s">
        <v>1625</v>
      </c>
    </row>
    <row r="1694" spans="1:14" x14ac:dyDescent="0.35">
      <c r="A1694" t="s">
        <v>6173</v>
      </c>
      <c r="B1694" t="s">
        <v>171</v>
      </c>
      <c r="C1694" t="s">
        <v>1883</v>
      </c>
      <c r="D1694" t="s">
        <v>4469</v>
      </c>
      <c r="E1694" t="s">
        <v>4444</v>
      </c>
      <c r="F1694" s="3">
        <v>45516</v>
      </c>
      <c r="G1694" s="3">
        <v>45517</v>
      </c>
      <c r="H1694">
        <v>43.6</v>
      </c>
      <c r="I1694">
        <v>24</v>
      </c>
      <c r="J1694" t="s">
        <v>4440</v>
      </c>
      <c r="K1694" t="s">
        <v>4441</v>
      </c>
      <c r="L1694" t="s">
        <v>4514</v>
      </c>
      <c r="M1694" t="s">
        <v>4450</v>
      </c>
      <c r="N1694">
        <v>4</v>
      </c>
    </row>
    <row r="1695" spans="1:14" x14ac:dyDescent="0.35">
      <c r="A1695" t="s">
        <v>6174</v>
      </c>
      <c r="B1695" t="s">
        <v>138</v>
      </c>
      <c r="C1695" t="s">
        <v>1890</v>
      </c>
      <c r="D1695" t="s">
        <v>4485</v>
      </c>
      <c r="E1695" t="s">
        <v>4473</v>
      </c>
      <c r="F1695" s="3">
        <v>45086</v>
      </c>
      <c r="G1695" s="3" t="s">
        <v>537</v>
      </c>
      <c r="I1695">
        <v>8</v>
      </c>
      <c r="J1695" t="s">
        <v>4440</v>
      </c>
      <c r="K1695" t="s">
        <v>4453</v>
      </c>
      <c r="L1695" t="s">
        <v>4501</v>
      </c>
      <c r="M1695" t="s">
        <v>4450</v>
      </c>
    </row>
    <row r="1696" spans="1:14" x14ac:dyDescent="0.35">
      <c r="A1696" t="s">
        <v>6175</v>
      </c>
      <c r="B1696" t="s">
        <v>85</v>
      </c>
      <c r="C1696" t="s">
        <v>1915</v>
      </c>
      <c r="D1696" t="s">
        <v>4443</v>
      </c>
      <c r="E1696" t="s">
        <v>4444</v>
      </c>
      <c r="F1696" s="3">
        <v>45530</v>
      </c>
      <c r="G1696" s="3">
        <v>45531</v>
      </c>
      <c r="H1696">
        <v>29.4</v>
      </c>
      <c r="I1696">
        <v>24</v>
      </c>
      <c r="J1696" t="s">
        <v>4440</v>
      </c>
      <c r="K1696" t="s">
        <v>4441</v>
      </c>
      <c r="L1696" t="s">
        <v>4449</v>
      </c>
      <c r="M1696" t="s">
        <v>1625</v>
      </c>
      <c r="N1696">
        <v>3</v>
      </c>
    </row>
    <row r="1697" spans="1:14" x14ac:dyDescent="0.35">
      <c r="A1697" t="s">
        <v>6176</v>
      </c>
      <c r="B1697" t="s">
        <v>355</v>
      </c>
      <c r="C1697" t="s">
        <v>1883</v>
      </c>
      <c r="D1697" t="s">
        <v>4490</v>
      </c>
      <c r="E1697" t="s">
        <v>4473</v>
      </c>
      <c r="F1697" s="3">
        <v>45261</v>
      </c>
      <c r="G1697" s="3" t="s">
        <v>537</v>
      </c>
      <c r="I1697">
        <v>8</v>
      </c>
      <c r="J1697" t="s">
        <v>4440</v>
      </c>
      <c r="K1697" t="s">
        <v>4474</v>
      </c>
      <c r="L1697" t="s">
        <v>4470</v>
      </c>
      <c r="M1697" t="s">
        <v>4446</v>
      </c>
    </row>
    <row r="1698" spans="1:14" x14ac:dyDescent="0.35">
      <c r="A1698" t="s">
        <v>6177</v>
      </c>
      <c r="B1698" t="s">
        <v>291</v>
      </c>
      <c r="C1698" t="s">
        <v>1883</v>
      </c>
      <c r="D1698" t="s">
        <v>4485</v>
      </c>
      <c r="E1698" t="s">
        <v>4473</v>
      </c>
      <c r="F1698" s="3">
        <v>45169</v>
      </c>
      <c r="G1698" s="3" t="s">
        <v>537</v>
      </c>
      <c r="I1698">
        <v>8</v>
      </c>
      <c r="J1698" t="s">
        <v>4440</v>
      </c>
      <c r="K1698" t="s">
        <v>4457</v>
      </c>
      <c r="L1698" t="s">
        <v>4580</v>
      </c>
      <c r="M1698" t="s">
        <v>4446</v>
      </c>
    </row>
    <row r="1699" spans="1:14" x14ac:dyDescent="0.35">
      <c r="A1699" t="s">
        <v>6178</v>
      </c>
      <c r="B1699" t="s">
        <v>188</v>
      </c>
      <c r="C1699" t="s">
        <v>1927</v>
      </c>
      <c r="D1699" t="s">
        <v>4443</v>
      </c>
      <c r="E1699" t="s">
        <v>4439</v>
      </c>
      <c r="F1699" s="3">
        <v>45602</v>
      </c>
      <c r="G1699" s="3">
        <v>45604</v>
      </c>
      <c r="H1699">
        <v>69.900000000000006</v>
      </c>
      <c r="I1699">
        <v>48</v>
      </c>
      <c r="J1699" t="s">
        <v>4440</v>
      </c>
      <c r="K1699" t="s">
        <v>4441</v>
      </c>
      <c r="L1699" t="s">
        <v>4527</v>
      </c>
      <c r="M1699" t="s">
        <v>4462</v>
      </c>
      <c r="N1699">
        <v>4</v>
      </c>
    </row>
    <row r="1700" spans="1:14" x14ac:dyDescent="0.35">
      <c r="A1700" t="s">
        <v>6179</v>
      </c>
      <c r="B1700" t="s">
        <v>34</v>
      </c>
      <c r="C1700" t="s">
        <v>1915</v>
      </c>
      <c r="D1700" t="s">
        <v>4464</v>
      </c>
      <c r="E1700" t="s">
        <v>4456</v>
      </c>
      <c r="F1700" s="3">
        <v>45538</v>
      </c>
      <c r="G1700" s="3" t="s">
        <v>537</v>
      </c>
      <c r="I1700">
        <v>4</v>
      </c>
      <c r="J1700" t="s">
        <v>4448</v>
      </c>
      <c r="K1700" t="s">
        <v>4457</v>
      </c>
      <c r="L1700" t="s">
        <v>4461</v>
      </c>
      <c r="M1700" t="s">
        <v>4450</v>
      </c>
    </row>
    <row r="1701" spans="1:14" x14ac:dyDescent="0.35">
      <c r="A1701" t="s">
        <v>6180</v>
      </c>
      <c r="B1701" t="s">
        <v>398</v>
      </c>
      <c r="C1701" t="s">
        <v>1904</v>
      </c>
      <c r="D1701" t="s">
        <v>4490</v>
      </c>
      <c r="E1701" t="s">
        <v>4439</v>
      </c>
      <c r="F1701" s="3">
        <v>45555</v>
      </c>
      <c r="G1701" s="3">
        <v>45555</v>
      </c>
      <c r="H1701">
        <v>17</v>
      </c>
      <c r="I1701">
        <v>48</v>
      </c>
      <c r="J1701" t="s">
        <v>4448</v>
      </c>
      <c r="K1701" t="s">
        <v>4441</v>
      </c>
      <c r="L1701" t="s">
        <v>4449</v>
      </c>
      <c r="M1701" t="s">
        <v>4450</v>
      </c>
      <c r="N1701">
        <v>3</v>
      </c>
    </row>
    <row r="1702" spans="1:14" x14ac:dyDescent="0.35">
      <c r="A1702" t="s">
        <v>6181</v>
      </c>
      <c r="B1702" t="s">
        <v>126</v>
      </c>
      <c r="C1702" t="s">
        <v>1890</v>
      </c>
      <c r="D1702" t="s">
        <v>4443</v>
      </c>
      <c r="E1702" t="s">
        <v>4444</v>
      </c>
      <c r="F1702" s="3">
        <v>45478</v>
      </c>
      <c r="G1702" s="3" t="s">
        <v>537</v>
      </c>
      <c r="I1702">
        <v>24</v>
      </c>
      <c r="J1702" t="s">
        <v>4448</v>
      </c>
      <c r="K1702" t="s">
        <v>4457</v>
      </c>
      <c r="L1702" t="s">
        <v>4465</v>
      </c>
      <c r="M1702" t="s">
        <v>4446</v>
      </c>
    </row>
    <row r="1703" spans="1:14" x14ac:dyDescent="0.35">
      <c r="A1703" t="s">
        <v>6182</v>
      </c>
      <c r="B1703" t="s">
        <v>364</v>
      </c>
      <c r="C1703" t="s">
        <v>1899</v>
      </c>
      <c r="D1703" t="s">
        <v>4452</v>
      </c>
      <c r="E1703" t="s">
        <v>4473</v>
      </c>
      <c r="F1703" s="3">
        <v>45202</v>
      </c>
      <c r="G1703" s="3">
        <v>45202</v>
      </c>
      <c r="H1703">
        <v>5.7</v>
      </c>
      <c r="I1703">
        <v>8</v>
      </c>
      <c r="J1703" t="s">
        <v>4448</v>
      </c>
      <c r="K1703" t="s">
        <v>4441</v>
      </c>
      <c r="L1703" t="s">
        <v>4449</v>
      </c>
      <c r="M1703" t="s">
        <v>4450</v>
      </c>
      <c r="N1703">
        <v>4</v>
      </c>
    </row>
    <row r="1704" spans="1:14" x14ac:dyDescent="0.35">
      <c r="A1704" t="s">
        <v>6183</v>
      </c>
      <c r="B1704" t="s">
        <v>481</v>
      </c>
      <c r="C1704" t="s">
        <v>1899</v>
      </c>
      <c r="D1704" t="s">
        <v>4485</v>
      </c>
      <c r="E1704" t="s">
        <v>4473</v>
      </c>
      <c r="F1704" s="3">
        <v>45603</v>
      </c>
      <c r="G1704" s="3" t="s">
        <v>537</v>
      </c>
      <c r="I1704">
        <v>8</v>
      </c>
      <c r="J1704" t="s">
        <v>4440</v>
      </c>
      <c r="K1704" t="s">
        <v>4457</v>
      </c>
      <c r="L1704" t="s">
        <v>4492</v>
      </c>
      <c r="M1704" t="s">
        <v>4462</v>
      </c>
    </row>
    <row r="1705" spans="1:14" x14ac:dyDescent="0.35">
      <c r="A1705" t="s">
        <v>6184</v>
      </c>
      <c r="B1705" t="s">
        <v>269</v>
      </c>
      <c r="C1705" t="s">
        <v>1899</v>
      </c>
      <c r="D1705" t="s">
        <v>8511</v>
      </c>
      <c r="E1705" t="s">
        <v>4444</v>
      </c>
      <c r="F1705" s="3">
        <v>45567</v>
      </c>
      <c r="G1705" s="3" t="s">
        <v>537</v>
      </c>
      <c r="I1705">
        <v>24</v>
      </c>
      <c r="J1705" t="s">
        <v>4448</v>
      </c>
      <c r="K1705" t="s">
        <v>4453</v>
      </c>
      <c r="L1705" t="s">
        <v>4480</v>
      </c>
      <c r="M1705" t="s">
        <v>1625</v>
      </c>
    </row>
    <row r="1706" spans="1:14" x14ac:dyDescent="0.35">
      <c r="A1706" t="s">
        <v>6185</v>
      </c>
      <c r="B1706" t="s">
        <v>120</v>
      </c>
      <c r="C1706" t="s">
        <v>1915</v>
      </c>
      <c r="D1706" t="s">
        <v>4472</v>
      </c>
      <c r="E1706" t="s">
        <v>4473</v>
      </c>
      <c r="F1706" s="3">
        <v>45385</v>
      </c>
      <c r="G1706" s="3" t="s">
        <v>537</v>
      </c>
      <c r="I1706">
        <v>8</v>
      </c>
      <c r="J1706" t="s">
        <v>4440</v>
      </c>
      <c r="K1706" t="s">
        <v>4457</v>
      </c>
      <c r="L1706" t="s">
        <v>4512</v>
      </c>
      <c r="M1706" t="s">
        <v>1625</v>
      </c>
    </row>
    <row r="1707" spans="1:14" x14ac:dyDescent="0.35">
      <c r="A1707" t="s">
        <v>6186</v>
      </c>
      <c r="B1707" t="s">
        <v>484</v>
      </c>
      <c r="C1707" t="s">
        <v>1899</v>
      </c>
      <c r="D1707" t="s">
        <v>8506</v>
      </c>
      <c r="E1707" t="s">
        <v>4473</v>
      </c>
      <c r="F1707" s="3">
        <v>45648</v>
      </c>
      <c r="G1707" s="3" t="s">
        <v>537</v>
      </c>
      <c r="I1707">
        <v>8</v>
      </c>
      <c r="J1707" t="s">
        <v>4440</v>
      </c>
      <c r="K1707" t="s">
        <v>4457</v>
      </c>
      <c r="L1707" t="s">
        <v>4488</v>
      </c>
      <c r="M1707" t="s">
        <v>4462</v>
      </c>
    </row>
    <row r="1708" spans="1:14" x14ac:dyDescent="0.35">
      <c r="A1708" t="s">
        <v>6187</v>
      </c>
      <c r="B1708" t="s">
        <v>216</v>
      </c>
      <c r="C1708" t="s">
        <v>1904</v>
      </c>
      <c r="D1708" t="s">
        <v>4479</v>
      </c>
      <c r="E1708" t="s">
        <v>4439</v>
      </c>
      <c r="F1708" s="3">
        <v>45742</v>
      </c>
      <c r="G1708" s="3">
        <v>45742</v>
      </c>
      <c r="H1708">
        <v>19.2</v>
      </c>
      <c r="I1708">
        <v>48</v>
      </c>
      <c r="J1708" t="s">
        <v>4448</v>
      </c>
      <c r="K1708" t="s">
        <v>4441</v>
      </c>
      <c r="L1708" t="s">
        <v>4449</v>
      </c>
      <c r="M1708" t="s">
        <v>4462</v>
      </c>
    </row>
    <row r="1709" spans="1:14" x14ac:dyDescent="0.35">
      <c r="A1709" t="s">
        <v>6188</v>
      </c>
      <c r="B1709" t="s">
        <v>242</v>
      </c>
      <c r="C1709" t="s">
        <v>1915</v>
      </c>
      <c r="D1709" t="s">
        <v>4482</v>
      </c>
      <c r="E1709" t="s">
        <v>4444</v>
      </c>
      <c r="F1709" s="3">
        <v>44975</v>
      </c>
      <c r="G1709" s="3">
        <v>44977</v>
      </c>
      <c r="H1709">
        <v>57.4</v>
      </c>
      <c r="I1709">
        <v>24</v>
      </c>
      <c r="J1709" t="s">
        <v>4440</v>
      </c>
      <c r="K1709" t="s">
        <v>4441</v>
      </c>
      <c r="L1709" t="s">
        <v>4483</v>
      </c>
      <c r="M1709" t="s">
        <v>4450</v>
      </c>
      <c r="N1709">
        <v>3</v>
      </c>
    </row>
    <row r="1710" spans="1:14" x14ac:dyDescent="0.35">
      <c r="A1710" t="s">
        <v>6189</v>
      </c>
      <c r="B1710" t="s">
        <v>483</v>
      </c>
      <c r="C1710" t="s">
        <v>1927</v>
      </c>
      <c r="D1710" t="s">
        <v>4479</v>
      </c>
      <c r="E1710" t="s">
        <v>4444</v>
      </c>
      <c r="F1710" s="3">
        <v>45466</v>
      </c>
      <c r="G1710" s="3">
        <v>45468</v>
      </c>
      <c r="H1710">
        <v>53.1</v>
      </c>
      <c r="I1710">
        <v>24</v>
      </c>
      <c r="J1710" t="s">
        <v>4440</v>
      </c>
      <c r="K1710" t="s">
        <v>4441</v>
      </c>
      <c r="L1710" t="s">
        <v>4533</v>
      </c>
      <c r="M1710" t="s">
        <v>1625</v>
      </c>
      <c r="N1710">
        <v>5</v>
      </c>
    </row>
    <row r="1711" spans="1:14" x14ac:dyDescent="0.35">
      <c r="A1711" t="s">
        <v>6190</v>
      </c>
      <c r="B1711" t="s">
        <v>365</v>
      </c>
      <c r="C1711" t="s">
        <v>1899</v>
      </c>
      <c r="D1711" t="s">
        <v>4476</v>
      </c>
      <c r="E1711" t="s">
        <v>4473</v>
      </c>
      <c r="F1711" s="3">
        <v>45341</v>
      </c>
      <c r="G1711" s="3">
        <v>45341</v>
      </c>
      <c r="H1711">
        <v>3</v>
      </c>
      <c r="I1711">
        <v>8</v>
      </c>
      <c r="J1711" t="s">
        <v>4448</v>
      </c>
      <c r="K1711" t="s">
        <v>4441</v>
      </c>
      <c r="L1711" t="s">
        <v>4514</v>
      </c>
      <c r="M1711" t="s">
        <v>4450</v>
      </c>
      <c r="N1711">
        <v>4</v>
      </c>
    </row>
    <row r="1712" spans="1:14" x14ac:dyDescent="0.35">
      <c r="A1712" t="s">
        <v>6191</v>
      </c>
      <c r="B1712" t="s">
        <v>108</v>
      </c>
      <c r="C1712" t="s">
        <v>1927</v>
      </c>
      <c r="D1712" t="s">
        <v>4438</v>
      </c>
      <c r="E1712" t="s">
        <v>4456</v>
      </c>
      <c r="F1712" s="3">
        <v>45250</v>
      </c>
      <c r="G1712" s="3" t="s">
        <v>537</v>
      </c>
      <c r="I1712">
        <v>4</v>
      </c>
      <c r="J1712" t="s">
        <v>4440</v>
      </c>
      <c r="K1712" t="s">
        <v>4453</v>
      </c>
      <c r="L1712" t="s">
        <v>4458</v>
      </c>
      <c r="M1712" t="s">
        <v>4446</v>
      </c>
    </row>
    <row r="1713" spans="1:14" x14ac:dyDescent="0.35">
      <c r="A1713" t="s">
        <v>6192</v>
      </c>
      <c r="B1713" t="s">
        <v>45</v>
      </c>
      <c r="C1713" t="s">
        <v>1915</v>
      </c>
      <c r="D1713" t="s">
        <v>4476</v>
      </c>
      <c r="E1713" t="s">
        <v>4444</v>
      </c>
      <c r="F1713" s="3">
        <v>45574</v>
      </c>
      <c r="G1713" s="3" t="s">
        <v>537</v>
      </c>
      <c r="I1713">
        <v>24</v>
      </c>
      <c r="J1713" t="s">
        <v>4440</v>
      </c>
      <c r="K1713" t="s">
        <v>4457</v>
      </c>
      <c r="L1713" t="s">
        <v>4501</v>
      </c>
      <c r="M1713" t="s">
        <v>1625</v>
      </c>
    </row>
    <row r="1714" spans="1:14" x14ac:dyDescent="0.35">
      <c r="A1714" t="s">
        <v>6193</v>
      </c>
      <c r="B1714" t="s">
        <v>88</v>
      </c>
      <c r="C1714" t="s">
        <v>1890</v>
      </c>
      <c r="D1714" t="s">
        <v>4469</v>
      </c>
      <c r="E1714" t="s">
        <v>4473</v>
      </c>
      <c r="F1714" s="3">
        <v>45691</v>
      </c>
      <c r="G1714" s="3">
        <v>45691</v>
      </c>
      <c r="H1714">
        <v>20</v>
      </c>
      <c r="I1714">
        <v>8</v>
      </c>
      <c r="J1714" t="s">
        <v>4440</v>
      </c>
      <c r="K1714" t="s">
        <v>4441</v>
      </c>
      <c r="L1714" t="s">
        <v>4445</v>
      </c>
      <c r="M1714" t="s">
        <v>4446</v>
      </c>
      <c r="N1714">
        <v>4</v>
      </c>
    </row>
    <row r="1715" spans="1:14" x14ac:dyDescent="0.35">
      <c r="A1715" t="s">
        <v>6194</v>
      </c>
      <c r="B1715" t="s">
        <v>475</v>
      </c>
      <c r="C1715" t="s">
        <v>1915</v>
      </c>
      <c r="D1715" t="s">
        <v>4460</v>
      </c>
      <c r="E1715" t="s">
        <v>4444</v>
      </c>
      <c r="F1715" s="3">
        <v>45321</v>
      </c>
      <c r="G1715" s="3" t="s">
        <v>537</v>
      </c>
      <c r="I1715">
        <v>24</v>
      </c>
      <c r="J1715" t="s">
        <v>4440</v>
      </c>
      <c r="K1715" t="s">
        <v>4457</v>
      </c>
      <c r="L1715" t="s">
        <v>4467</v>
      </c>
      <c r="M1715" t="s">
        <v>4446</v>
      </c>
    </row>
    <row r="1716" spans="1:14" x14ac:dyDescent="0.35">
      <c r="A1716" t="s">
        <v>6195</v>
      </c>
      <c r="B1716" t="s">
        <v>203</v>
      </c>
      <c r="C1716" t="s">
        <v>1927</v>
      </c>
      <c r="D1716" t="s">
        <v>4485</v>
      </c>
      <c r="E1716" t="s">
        <v>4444</v>
      </c>
      <c r="F1716" s="3">
        <v>45729</v>
      </c>
      <c r="G1716" s="3">
        <v>45730</v>
      </c>
      <c r="H1716">
        <v>37.4</v>
      </c>
      <c r="I1716">
        <v>24</v>
      </c>
      <c r="J1716" t="s">
        <v>4440</v>
      </c>
      <c r="K1716" t="s">
        <v>4441</v>
      </c>
      <c r="L1716" t="s">
        <v>4449</v>
      </c>
      <c r="M1716" t="s">
        <v>4462</v>
      </c>
      <c r="N1716">
        <v>4</v>
      </c>
    </row>
    <row r="1717" spans="1:14" x14ac:dyDescent="0.35">
      <c r="A1717" t="s">
        <v>6196</v>
      </c>
      <c r="B1717" t="s">
        <v>284</v>
      </c>
      <c r="C1717" t="s">
        <v>1883</v>
      </c>
      <c r="D1717" t="s">
        <v>4479</v>
      </c>
      <c r="E1717" t="s">
        <v>4444</v>
      </c>
      <c r="F1717" s="3">
        <v>44995</v>
      </c>
      <c r="G1717" s="3">
        <v>44996</v>
      </c>
      <c r="H1717">
        <v>37.1</v>
      </c>
      <c r="I1717">
        <v>24</v>
      </c>
      <c r="J1717" t="s">
        <v>4440</v>
      </c>
      <c r="K1717" t="s">
        <v>4441</v>
      </c>
      <c r="L1717" t="s">
        <v>4514</v>
      </c>
      <c r="M1717" t="s">
        <v>4462</v>
      </c>
    </row>
    <row r="1718" spans="1:14" x14ac:dyDescent="0.35">
      <c r="A1718" t="s">
        <v>6197</v>
      </c>
      <c r="B1718" t="s">
        <v>97</v>
      </c>
      <c r="C1718" t="s">
        <v>1890</v>
      </c>
      <c r="D1718" t="s">
        <v>4476</v>
      </c>
      <c r="E1718" t="s">
        <v>4473</v>
      </c>
      <c r="F1718" s="3">
        <v>45503</v>
      </c>
      <c r="G1718" s="3" t="s">
        <v>537</v>
      </c>
      <c r="I1718">
        <v>8</v>
      </c>
      <c r="J1718" t="s">
        <v>4440</v>
      </c>
      <c r="K1718" t="s">
        <v>4457</v>
      </c>
      <c r="L1718" t="s">
        <v>4580</v>
      </c>
      <c r="M1718" t="s">
        <v>4446</v>
      </c>
    </row>
    <row r="1719" spans="1:14" x14ac:dyDescent="0.35">
      <c r="A1719" t="s">
        <v>6198</v>
      </c>
      <c r="B1719" t="s">
        <v>483</v>
      </c>
      <c r="C1719" t="s">
        <v>1890</v>
      </c>
      <c r="D1719" t="s">
        <v>4464</v>
      </c>
      <c r="E1719" t="s">
        <v>4444</v>
      </c>
      <c r="F1719" s="3">
        <v>45652</v>
      </c>
      <c r="G1719" s="3">
        <v>45652</v>
      </c>
      <c r="H1719">
        <v>20.3</v>
      </c>
      <c r="I1719">
        <v>24</v>
      </c>
      <c r="J1719" t="s">
        <v>4448</v>
      </c>
      <c r="K1719" t="s">
        <v>4441</v>
      </c>
      <c r="L1719" t="s">
        <v>4454</v>
      </c>
      <c r="M1719" t="s">
        <v>4462</v>
      </c>
      <c r="N1719">
        <v>4</v>
      </c>
    </row>
    <row r="1720" spans="1:14" x14ac:dyDescent="0.35">
      <c r="A1720" t="s">
        <v>6199</v>
      </c>
      <c r="B1720" t="s">
        <v>200</v>
      </c>
      <c r="C1720" t="s">
        <v>1915</v>
      </c>
      <c r="D1720" t="s">
        <v>4490</v>
      </c>
      <c r="E1720" t="s">
        <v>4473</v>
      </c>
      <c r="F1720" s="3">
        <v>45044</v>
      </c>
      <c r="G1720" s="3">
        <v>45044</v>
      </c>
      <c r="H1720">
        <v>16.8</v>
      </c>
      <c r="I1720">
        <v>8</v>
      </c>
      <c r="J1720" t="s">
        <v>4440</v>
      </c>
      <c r="K1720" t="s">
        <v>4441</v>
      </c>
      <c r="L1720" t="s">
        <v>4470</v>
      </c>
      <c r="M1720" t="s">
        <v>1625</v>
      </c>
    </row>
    <row r="1721" spans="1:14" x14ac:dyDescent="0.35">
      <c r="A1721" t="s">
        <v>6200</v>
      </c>
      <c r="B1721" t="s">
        <v>169</v>
      </c>
      <c r="C1721" t="s">
        <v>1890</v>
      </c>
      <c r="D1721" t="s">
        <v>4452</v>
      </c>
      <c r="E1721" t="s">
        <v>4439</v>
      </c>
      <c r="F1721" s="3">
        <v>45113</v>
      </c>
      <c r="G1721" s="3">
        <v>45114</v>
      </c>
      <c r="H1721">
        <v>25.1</v>
      </c>
      <c r="I1721">
        <v>48</v>
      </c>
      <c r="J1721" t="s">
        <v>4448</v>
      </c>
      <c r="K1721" t="s">
        <v>4441</v>
      </c>
      <c r="L1721" t="s">
        <v>4509</v>
      </c>
      <c r="M1721" t="s">
        <v>4462</v>
      </c>
      <c r="N1721">
        <v>4</v>
      </c>
    </row>
    <row r="1722" spans="1:14" x14ac:dyDescent="0.35">
      <c r="A1722" t="s">
        <v>6201</v>
      </c>
      <c r="B1722" t="s">
        <v>198</v>
      </c>
      <c r="C1722" t="s">
        <v>1927</v>
      </c>
      <c r="D1722" t="s">
        <v>4452</v>
      </c>
      <c r="E1722" t="s">
        <v>4473</v>
      </c>
      <c r="F1722" s="3">
        <v>45695</v>
      </c>
      <c r="G1722" s="3" t="s">
        <v>537</v>
      </c>
      <c r="I1722">
        <v>8</v>
      </c>
      <c r="J1722" t="s">
        <v>4440</v>
      </c>
      <c r="K1722" t="s">
        <v>4474</v>
      </c>
      <c r="L1722" t="s">
        <v>4488</v>
      </c>
      <c r="M1722" t="s">
        <v>1625</v>
      </c>
    </row>
    <row r="1723" spans="1:14" x14ac:dyDescent="0.35">
      <c r="A1723" t="s">
        <v>6202</v>
      </c>
      <c r="B1723" t="s">
        <v>200</v>
      </c>
      <c r="C1723" t="s">
        <v>1927</v>
      </c>
      <c r="D1723" t="s">
        <v>4472</v>
      </c>
      <c r="E1723" t="s">
        <v>4439</v>
      </c>
      <c r="F1723" s="3">
        <v>45585</v>
      </c>
      <c r="G1723" s="3">
        <v>45589</v>
      </c>
      <c r="H1723">
        <v>108</v>
      </c>
      <c r="I1723">
        <v>48</v>
      </c>
      <c r="J1723" t="s">
        <v>4440</v>
      </c>
      <c r="K1723" t="s">
        <v>4441</v>
      </c>
      <c r="L1723" t="s">
        <v>4533</v>
      </c>
      <c r="M1723" t="s">
        <v>4462</v>
      </c>
      <c r="N1723">
        <v>2</v>
      </c>
    </row>
    <row r="1724" spans="1:14" x14ac:dyDescent="0.35">
      <c r="A1724" t="s">
        <v>6203</v>
      </c>
      <c r="B1724" t="s">
        <v>108</v>
      </c>
      <c r="C1724" t="s">
        <v>1927</v>
      </c>
      <c r="D1724" t="s">
        <v>4452</v>
      </c>
      <c r="E1724" t="s">
        <v>4444</v>
      </c>
      <c r="F1724" s="3">
        <v>45629</v>
      </c>
      <c r="G1724" s="3" t="s">
        <v>537</v>
      </c>
      <c r="I1724">
        <v>24</v>
      </c>
      <c r="J1724" t="s">
        <v>4440</v>
      </c>
      <c r="K1724" t="s">
        <v>4474</v>
      </c>
      <c r="L1724" t="s">
        <v>4527</v>
      </c>
      <c r="M1724" t="s">
        <v>1625</v>
      </c>
    </row>
    <row r="1725" spans="1:14" x14ac:dyDescent="0.35">
      <c r="A1725" t="s">
        <v>6204</v>
      </c>
      <c r="B1725" t="s">
        <v>80</v>
      </c>
      <c r="C1725" t="s">
        <v>1927</v>
      </c>
      <c r="D1725" t="s">
        <v>4472</v>
      </c>
      <c r="E1725" t="s">
        <v>4456</v>
      </c>
      <c r="F1725" s="3">
        <v>45131</v>
      </c>
      <c r="G1725" s="3">
        <v>45131</v>
      </c>
      <c r="H1725">
        <v>2.9</v>
      </c>
      <c r="I1725">
        <v>4</v>
      </c>
      <c r="J1725" t="s">
        <v>4448</v>
      </c>
      <c r="K1725" t="s">
        <v>4441</v>
      </c>
      <c r="L1725" t="s">
        <v>4449</v>
      </c>
      <c r="M1725" t="s">
        <v>4462</v>
      </c>
      <c r="N1725">
        <v>4</v>
      </c>
    </row>
    <row r="1726" spans="1:14" x14ac:dyDescent="0.35">
      <c r="A1726" t="s">
        <v>6205</v>
      </c>
      <c r="B1726" t="s">
        <v>485</v>
      </c>
      <c r="C1726" t="s">
        <v>1927</v>
      </c>
      <c r="D1726" t="s">
        <v>4472</v>
      </c>
      <c r="E1726" t="s">
        <v>4439</v>
      </c>
      <c r="F1726" s="3">
        <v>44943</v>
      </c>
      <c r="G1726" s="3">
        <v>44944</v>
      </c>
      <c r="H1726">
        <v>32.700000000000003</v>
      </c>
      <c r="I1726">
        <v>48</v>
      </c>
      <c r="J1726" t="s">
        <v>4448</v>
      </c>
      <c r="K1726" t="s">
        <v>4441</v>
      </c>
      <c r="L1726" t="s">
        <v>4492</v>
      </c>
      <c r="M1726" t="s">
        <v>4450</v>
      </c>
      <c r="N1726">
        <v>4</v>
      </c>
    </row>
    <row r="1727" spans="1:14" x14ac:dyDescent="0.35">
      <c r="A1727" t="s">
        <v>6206</v>
      </c>
      <c r="B1727" t="s">
        <v>90</v>
      </c>
      <c r="C1727" t="s">
        <v>1899</v>
      </c>
      <c r="D1727" t="s">
        <v>4472</v>
      </c>
      <c r="E1727" t="s">
        <v>4473</v>
      </c>
      <c r="F1727" s="3">
        <v>45271</v>
      </c>
      <c r="G1727" s="3">
        <v>45271</v>
      </c>
      <c r="H1727">
        <v>11.5</v>
      </c>
      <c r="I1727">
        <v>8</v>
      </c>
      <c r="J1727" t="s">
        <v>4440</v>
      </c>
      <c r="K1727" t="s">
        <v>4441</v>
      </c>
      <c r="L1727" t="s">
        <v>4580</v>
      </c>
      <c r="M1727" t="s">
        <v>4462</v>
      </c>
      <c r="N1727">
        <v>3</v>
      </c>
    </row>
    <row r="1728" spans="1:14" x14ac:dyDescent="0.35">
      <c r="A1728" t="s">
        <v>6207</v>
      </c>
      <c r="B1728" t="s">
        <v>32</v>
      </c>
      <c r="C1728" t="s">
        <v>1927</v>
      </c>
      <c r="D1728" t="s">
        <v>4472</v>
      </c>
      <c r="E1728" t="s">
        <v>4439</v>
      </c>
      <c r="F1728" s="3">
        <v>44941</v>
      </c>
      <c r="G1728" s="3">
        <v>44941</v>
      </c>
      <c r="H1728">
        <v>13.3</v>
      </c>
      <c r="I1728">
        <v>48</v>
      </c>
      <c r="J1728" t="s">
        <v>4448</v>
      </c>
      <c r="K1728" t="s">
        <v>4441</v>
      </c>
      <c r="L1728" t="s">
        <v>4483</v>
      </c>
      <c r="M1728" t="s">
        <v>1625</v>
      </c>
    </row>
    <row r="1729" spans="1:14" x14ac:dyDescent="0.35">
      <c r="A1729" t="s">
        <v>6208</v>
      </c>
      <c r="B1729" t="s">
        <v>108</v>
      </c>
      <c r="C1729" t="s">
        <v>1915</v>
      </c>
      <c r="D1729" t="s">
        <v>4485</v>
      </c>
      <c r="E1729" t="s">
        <v>4444</v>
      </c>
      <c r="F1729" s="3">
        <v>45423</v>
      </c>
      <c r="G1729" s="3" t="s">
        <v>537</v>
      </c>
      <c r="I1729">
        <v>24</v>
      </c>
      <c r="J1729" t="s">
        <v>4448</v>
      </c>
      <c r="K1729" t="s">
        <v>4474</v>
      </c>
      <c r="L1729" t="s">
        <v>4580</v>
      </c>
      <c r="M1729" t="s">
        <v>4462</v>
      </c>
    </row>
    <row r="1730" spans="1:14" x14ac:dyDescent="0.35">
      <c r="A1730" t="s">
        <v>6209</v>
      </c>
      <c r="B1730" t="s">
        <v>99</v>
      </c>
      <c r="C1730" t="s">
        <v>1883</v>
      </c>
      <c r="D1730" t="s">
        <v>4452</v>
      </c>
      <c r="E1730" t="s">
        <v>4456</v>
      </c>
      <c r="F1730" s="3">
        <v>45122</v>
      </c>
      <c r="G1730" s="3">
        <v>45122</v>
      </c>
      <c r="H1730">
        <v>1.7</v>
      </c>
      <c r="I1730">
        <v>4</v>
      </c>
      <c r="J1730" t="s">
        <v>4448</v>
      </c>
      <c r="K1730" t="s">
        <v>4441</v>
      </c>
      <c r="L1730" t="s">
        <v>4480</v>
      </c>
      <c r="M1730" t="s">
        <v>1625</v>
      </c>
      <c r="N1730">
        <v>4</v>
      </c>
    </row>
    <row r="1731" spans="1:14" x14ac:dyDescent="0.35">
      <c r="A1731" t="s">
        <v>6210</v>
      </c>
      <c r="B1731" t="s">
        <v>176</v>
      </c>
      <c r="C1731" t="s">
        <v>1883</v>
      </c>
      <c r="D1731" t="s">
        <v>4490</v>
      </c>
      <c r="E1731" t="s">
        <v>4444</v>
      </c>
      <c r="F1731" s="3">
        <v>44985</v>
      </c>
      <c r="G1731" s="3">
        <v>44985</v>
      </c>
      <c r="H1731">
        <v>3.6</v>
      </c>
      <c r="I1731">
        <v>24</v>
      </c>
      <c r="J1731" t="s">
        <v>4448</v>
      </c>
      <c r="K1731" t="s">
        <v>4441</v>
      </c>
      <c r="L1731" t="s">
        <v>4470</v>
      </c>
      <c r="M1731" t="s">
        <v>1625</v>
      </c>
      <c r="N1731">
        <v>3</v>
      </c>
    </row>
    <row r="1732" spans="1:14" x14ac:dyDescent="0.35">
      <c r="A1732" t="s">
        <v>6211</v>
      </c>
      <c r="B1732" t="s">
        <v>381</v>
      </c>
      <c r="C1732" t="s">
        <v>1899</v>
      </c>
      <c r="D1732" t="s">
        <v>4485</v>
      </c>
      <c r="E1732" t="s">
        <v>4444</v>
      </c>
      <c r="F1732" s="3">
        <v>45236</v>
      </c>
      <c r="G1732" s="3">
        <v>45236</v>
      </c>
      <c r="H1732">
        <v>20.7</v>
      </c>
      <c r="I1732">
        <v>24</v>
      </c>
      <c r="J1732" t="s">
        <v>1945</v>
      </c>
      <c r="K1732" t="s">
        <v>4441</v>
      </c>
      <c r="L1732" t="s">
        <v>4527</v>
      </c>
      <c r="M1732" t="s">
        <v>1625</v>
      </c>
      <c r="N1732">
        <v>3</v>
      </c>
    </row>
    <row r="1733" spans="1:14" x14ac:dyDescent="0.35">
      <c r="A1733" t="s">
        <v>6212</v>
      </c>
      <c r="B1733" t="s">
        <v>176</v>
      </c>
      <c r="C1733" t="s">
        <v>1899</v>
      </c>
      <c r="D1733" t="s">
        <v>4485</v>
      </c>
      <c r="E1733" t="s">
        <v>4444</v>
      </c>
      <c r="F1733" s="3">
        <v>45052</v>
      </c>
      <c r="G1733" s="3" t="s">
        <v>537</v>
      </c>
      <c r="I1733">
        <v>24</v>
      </c>
      <c r="J1733" t="s">
        <v>4440</v>
      </c>
      <c r="K1733" t="s">
        <v>4453</v>
      </c>
      <c r="L1733" t="s">
        <v>4501</v>
      </c>
      <c r="M1733" t="s">
        <v>4450</v>
      </c>
    </row>
    <row r="1734" spans="1:14" x14ac:dyDescent="0.35">
      <c r="A1734" t="s">
        <v>6213</v>
      </c>
      <c r="B1734" t="s">
        <v>367</v>
      </c>
      <c r="C1734" t="s">
        <v>1904</v>
      </c>
      <c r="D1734" t="s">
        <v>4438</v>
      </c>
      <c r="E1734" t="s">
        <v>4444</v>
      </c>
      <c r="F1734" s="3">
        <v>45694</v>
      </c>
      <c r="G1734" s="3">
        <v>45694</v>
      </c>
      <c r="H1734">
        <v>22.6</v>
      </c>
      <c r="I1734">
        <v>24</v>
      </c>
      <c r="J1734" t="s">
        <v>4448</v>
      </c>
      <c r="K1734" t="s">
        <v>4441</v>
      </c>
      <c r="L1734" t="s">
        <v>4467</v>
      </c>
      <c r="M1734" t="s">
        <v>4446</v>
      </c>
      <c r="N1734">
        <v>4</v>
      </c>
    </row>
    <row r="1735" spans="1:14" x14ac:dyDescent="0.35">
      <c r="A1735" t="s">
        <v>6214</v>
      </c>
      <c r="B1735" t="s">
        <v>366</v>
      </c>
      <c r="C1735" t="s">
        <v>1899</v>
      </c>
      <c r="D1735" t="s">
        <v>4476</v>
      </c>
      <c r="E1735" t="s">
        <v>4444</v>
      </c>
      <c r="F1735" s="3">
        <v>45665</v>
      </c>
      <c r="G1735" s="3" t="s">
        <v>537</v>
      </c>
      <c r="I1735">
        <v>24</v>
      </c>
      <c r="J1735" t="s">
        <v>4440</v>
      </c>
      <c r="K1735" t="s">
        <v>4453</v>
      </c>
      <c r="L1735" t="s">
        <v>4461</v>
      </c>
      <c r="M1735" t="s">
        <v>4446</v>
      </c>
    </row>
    <row r="1736" spans="1:14" x14ac:dyDescent="0.35">
      <c r="A1736" t="s">
        <v>6215</v>
      </c>
      <c r="B1736" t="s">
        <v>394</v>
      </c>
      <c r="C1736" t="s">
        <v>1890</v>
      </c>
      <c r="D1736" t="s">
        <v>4452</v>
      </c>
      <c r="E1736" t="s">
        <v>4439</v>
      </c>
      <c r="F1736" s="3">
        <v>44932</v>
      </c>
      <c r="G1736" s="3">
        <v>44934</v>
      </c>
      <c r="H1736">
        <v>54.3</v>
      </c>
      <c r="I1736">
        <v>48</v>
      </c>
      <c r="J1736" t="s">
        <v>4440</v>
      </c>
      <c r="K1736" t="s">
        <v>4441</v>
      </c>
      <c r="L1736" t="s">
        <v>4467</v>
      </c>
      <c r="M1736" t="s">
        <v>4446</v>
      </c>
    </row>
    <row r="1737" spans="1:14" x14ac:dyDescent="0.35">
      <c r="A1737" t="s">
        <v>6216</v>
      </c>
      <c r="B1737" t="s">
        <v>368</v>
      </c>
      <c r="C1737" t="s">
        <v>1899</v>
      </c>
      <c r="D1737" t="s">
        <v>4479</v>
      </c>
      <c r="E1737" t="s">
        <v>4473</v>
      </c>
      <c r="F1737" s="3">
        <v>45090</v>
      </c>
      <c r="G1737" s="3" t="s">
        <v>537</v>
      </c>
      <c r="I1737">
        <v>8</v>
      </c>
      <c r="J1737" t="s">
        <v>4440</v>
      </c>
      <c r="K1737" t="s">
        <v>4474</v>
      </c>
      <c r="L1737" t="s">
        <v>4580</v>
      </c>
      <c r="M1737" t="s">
        <v>4450</v>
      </c>
    </row>
    <row r="1738" spans="1:14" x14ac:dyDescent="0.35">
      <c r="A1738" t="s">
        <v>6217</v>
      </c>
      <c r="B1738" t="s">
        <v>226</v>
      </c>
      <c r="C1738" t="s">
        <v>1899</v>
      </c>
      <c r="D1738" t="s">
        <v>4438</v>
      </c>
      <c r="E1738" t="s">
        <v>4473</v>
      </c>
      <c r="F1738" s="3">
        <v>45079</v>
      </c>
      <c r="G1738" s="3" t="s">
        <v>537</v>
      </c>
      <c r="I1738">
        <v>8</v>
      </c>
      <c r="J1738" t="s">
        <v>4448</v>
      </c>
      <c r="K1738" t="s">
        <v>4457</v>
      </c>
      <c r="L1738" t="s">
        <v>1907</v>
      </c>
      <c r="M1738" t="s">
        <v>4450</v>
      </c>
    </row>
    <row r="1739" spans="1:14" x14ac:dyDescent="0.35">
      <c r="A1739" t="s">
        <v>6218</v>
      </c>
      <c r="B1739" t="s">
        <v>497</v>
      </c>
      <c r="C1739" t="s">
        <v>1904</v>
      </c>
      <c r="D1739" t="s">
        <v>4490</v>
      </c>
      <c r="E1739" t="s">
        <v>4456</v>
      </c>
      <c r="F1739" s="3">
        <v>45122</v>
      </c>
      <c r="G1739" s="3">
        <v>45122</v>
      </c>
      <c r="H1739">
        <v>6.4</v>
      </c>
      <c r="I1739">
        <v>4</v>
      </c>
      <c r="J1739" t="s">
        <v>4440</v>
      </c>
      <c r="K1739" t="s">
        <v>4441</v>
      </c>
      <c r="L1739" t="s">
        <v>4449</v>
      </c>
      <c r="M1739" t="s">
        <v>1625</v>
      </c>
      <c r="N1739">
        <v>3</v>
      </c>
    </row>
    <row r="1740" spans="1:14" x14ac:dyDescent="0.35">
      <c r="A1740" t="s">
        <v>6219</v>
      </c>
      <c r="B1740" t="s">
        <v>417</v>
      </c>
      <c r="C1740" t="s">
        <v>1915</v>
      </c>
      <c r="D1740" t="s">
        <v>4452</v>
      </c>
      <c r="E1740" t="s">
        <v>4444</v>
      </c>
      <c r="F1740" s="3">
        <v>45514</v>
      </c>
      <c r="G1740" s="3" t="s">
        <v>537</v>
      </c>
      <c r="I1740">
        <v>24</v>
      </c>
      <c r="J1740" t="s">
        <v>4440</v>
      </c>
      <c r="K1740" t="s">
        <v>4474</v>
      </c>
      <c r="L1740" t="s">
        <v>4449</v>
      </c>
      <c r="M1740" t="s">
        <v>4462</v>
      </c>
    </row>
    <row r="1741" spans="1:14" x14ac:dyDescent="0.35">
      <c r="A1741" t="s">
        <v>6220</v>
      </c>
      <c r="B1741" t="s">
        <v>138</v>
      </c>
      <c r="C1741" t="s">
        <v>1904</v>
      </c>
      <c r="D1741" t="s">
        <v>4452</v>
      </c>
      <c r="E1741" t="s">
        <v>4439</v>
      </c>
      <c r="F1741" s="3">
        <v>45448</v>
      </c>
      <c r="G1741" s="3" t="s">
        <v>537</v>
      </c>
      <c r="I1741">
        <v>48</v>
      </c>
      <c r="J1741" t="s">
        <v>4448</v>
      </c>
      <c r="K1741" t="s">
        <v>4457</v>
      </c>
      <c r="L1741" t="s">
        <v>4449</v>
      </c>
      <c r="M1741" t="s">
        <v>4462</v>
      </c>
    </row>
    <row r="1742" spans="1:14" x14ac:dyDescent="0.35">
      <c r="A1742" t="s">
        <v>6221</v>
      </c>
      <c r="B1742" t="s">
        <v>68</v>
      </c>
      <c r="C1742" t="s">
        <v>1899</v>
      </c>
      <c r="D1742" t="s">
        <v>4452</v>
      </c>
      <c r="E1742" t="s">
        <v>4473</v>
      </c>
      <c r="F1742" s="3">
        <v>45108</v>
      </c>
      <c r="G1742" s="3" t="s">
        <v>537</v>
      </c>
      <c r="I1742">
        <v>8</v>
      </c>
      <c r="J1742" t="s">
        <v>4448</v>
      </c>
      <c r="K1742" t="s">
        <v>4457</v>
      </c>
      <c r="L1742" t="s">
        <v>4512</v>
      </c>
      <c r="M1742" t="s">
        <v>1625</v>
      </c>
    </row>
    <row r="1743" spans="1:14" x14ac:dyDescent="0.35">
      <c r="A1743" t="s">
        <v>6222</v>
      </c>
      <c r="B1743" t="s">
        <v>363</v>
      </c>
      <c r="C1743" t="s">
        <v>1899</v>
      </c>
      <c r="D1743" t="s">
        <v>4485</v>
      </c>
      <c r="E1743" t="s">
        <v>4444</v>
      </c>
      <c r="F1743" s="3">
        <v>45500</v>
      </c>
      <c r="G1743" s="3" t="s">
        <v>537</v>
      </c>
      <c r="I1743">
        <v>24</v>
      </c>
      <c r="J1743" t="s">
        <v>4448</v>
      </c>
      <c r="K1743" t="s">
        <v>4457</v>
      </c>
      <c r="L1743" t="s">
        <v>4458</v>
      </c>
      <c r="M1743" t="s">
        <v>4462</v>
      </c>
    </row>
    <row r="1744" spans="1:14" x14ac:dyDescent="0.35">
      <c r="A1744" t="s">
        <v>6223</v>
      </c>
      <c r="B1744" t="s">
        <v>34</v>
      </c>
      <c r="C1744" t="s">
        <v>1883</v>
      </c>
      <c r="D1744" t="s">
        <v>4443</v>
      </c>
      <c r="E1744" t="s">
        <v>4444</v>
      </c>
      <c r="F1744" s="3">
        <v>45435</v>
      </c>
      <c r="G1744" s="3" t="s">
        <v>537</v>
      </c>
      <c r="I1744">
        <v>24</v>
      </c>
      <c r="J1744" t="s">
        <v>4440</v>
      </c>
      <c r="K1744" t="s">
        <v>4457</v>
      </c>
      <c r="L1744" t="s">
        <v>4465</v>
      </c>
      <c r="M1744" t="s">
        <v>4462</v>
      </c>
    </row>
    <row r="1745" spans="1:14" x14ac:dyDescent="0.35">
      <c r="A1745" t="s">
        <v>6224</v>
      </c>
      <c r="B1745" t="s">
        <v>296</v>
      </c>
      <c r="C1745" t="s">
        <v>1883</v>
      </c>
      <c r="D1745" t="s">
        <v>4460</v>
      </c>
      <c r="E1745" t="s">
        <v>4473</v>
      </c>
      <c r="F1745" s="3">
        <v>45660</v>
      </c>
      <c r="G1745" s="3">
        <v>45660</v>
      </c>
      <c r="H1745">
        <v>2.1</v>
      </c>
      <c r="I1745">
        <v>8</v>
      </c>
      <c r="J1745" t="s">
        <v>4448</v>
      </c>
      <c r="K1745" t="s">
        <v>4441</v>
      </c>
      <c r="L1745" t="s">
        <v>4501</v>
      </c>
      <c r="M1745" t="s">
        <v>1625</v>
      </c>
    </row>
    <row r="1746" spans="1:14" x14ac:dyDescent="0.35">
      <c r="A1746" t="s">
        <v>6225</v>
      </c>
      <c r="B1746" t="s">
        <v>68</v>
      </c>
      <c r="C1746" t="s">
        <v>1883</v>
      </c>
      <c r="D1746" t="s">
        <v>4472</v>
      </c>
      <c r="E1746" t="s">
        <v>4473</v>
      </c>
      <c r="F1746" s="3">
        <v>45147</v>
      </c>
      <c r="G1746" s="3" t="s">
        <v>537</v>
      </c>
      <c r="I1746">
        <v>8</v>
      </c>
      <c r="J1746" t="s">
        <v>4440</v>
      </c>
      <c r="K1746" t="s">
        <v>4457</v>
      </c>
      <c r="L1746" t="s">
        <v>4514</v>
      </c>
      <c r="M1746" t="s">
        <v>4450</v>
      </c>
    </row>
    <row r="1747" spans="1:14" x14ac:dyDescent="0.35">
      <c r="A1747" t="s">
        <v>6226</v>
      </c>
      <c r="B1747" t="s">
        <v>184</v>
      </c>
      <c r="C1747" t="s">
        <v>1899</v>
      </c>
      <c r="D1747" t="s">
        <v>4482</v>
      </c>
      <c r="E1747" t="s">
        <v>4473</v>
      </c>
      <c r="F1747" s="3">
        <v>45011</v>
      </c>
      <c r="G1747" s="3">
        <v>45011</v>
      </c>
      <c r="H1747">
        <v>18.2</v>
      </c>
      <c r="I1747">
        <v>8</v>
      </c>
      <c r="J1747" t="s">
        <v>4440</v>
      </c>
      <c r="K1747" t="s">
        <v>4441</v>
      </c>
      <c r="L1747" t="s">
        <v>4449</v>
      </c>
      <c r="M1747" t="s">
        <v>4446</v>
      </c>
      <c r="N1747">
        <v>5</v>
      </c>
    </row>
    <row r="1748" spans="1:14" x14ac:dyDescent="0.35">
      <c r="A1748" t="s">
        <v>6227</v>
      </c>
      <c r="B1748" t="s">
        <v>218</v>
      </c>
      <c r="C1748" t="s">
        <v>1883</v>
      </c>
      <c r="D1748" t="s">
        <v>4452</v>
      </c>
      <c r="E1748" t="s">
        <v>4456</v>
      </c>
      <c r="F1748" s="3">
        <v>45295</v>
      </c>
      <c r="G1748" s="3">
        <v>45295</v>
      </c>
      <c r="H1748">
        <v>4.0999999999999996</v>
      </c>
      <c r="I1748">
        <v>4</v>
      </c>
      <c r="J1748" t="s">
        <v>1945</v>
      </c>
      <c r="K1748" t="s">
        <v>4441</v>
      </c>
      <c r="L1748" t="s">
        <v>4514</v>
      </c>
      <c r="M1748" t="s">
        <v>4462</v>
      </c>
      <c r="N1748">
        <v>3</v>
      </c>
    </row>
    <row r="1749" spans="1:14" x14ac:dyDescent="0.35">
      <c r="A1749" t="s">
        <v>6228</v>
      </c>
      <c r="B1749" t="s">
        <v>303</v>
      </c>
      <c r="C1749" t="s">
        <v>1904</v>
      </c>
      <c r="D1749" t="s">
        <v>4482</v>
      </c>
      <c r="E1749" t="s">
        <v>4444</v>
      </c>
      <c r="F1749" s="3">
        <v>45411</v>
      </c>
      <c r="G1749" s="3">
        <v>45411</v>
      </c>
      <c r="H1749">
        <v>4.5999999999999996</v>
      </c>
      <c r="I1749">
        <v>24</v>
      </c>
      <c r="J1749" t="s">
        <v>4448</v>
      </c>
      <c r="K1749" t="s">
        <v>4441</v>
      </c>
      <c r="L1749" t="s">
        <v>4458</v>
      </c>
      <c r="M1749" t="s">
        <v>4446</v>
      </c>
      <c r="N1749">
        <v>5</v>
      </c>
    </row>
    <row r="1750" spans="1:14" x14ac:dyDescent="0.35">
      <c r="A1750" t="s">
        <v>6229</v>
      </c>
      <c r="B1750" t="s">
        <v>99</v>
      </c>
      <c r="C1750" t="s">
        <v>1904</v>
      </c>
      <c r="D1750" t="s">
        <v>4469</v>
      </c>
      <c r="E1750" t="s">
        <v>4444</v>
      </c>
      <c r="F1750" s="3">
        <v>45072</v>
      </c>
      <c r="G1750" s="3">
        <v>45074</v>
      </c>
      <c r="H1750">
        <v>51.1</v>
      </c>
      <c r="I1750">
        <v>24</v>
      </c>
      <c r="J1750" t="s">
        <v>4440</v>
      </c>
      <c r="K1750" t="s">
        <v>4441</v>
      </c>
      <c r="L1750" t="s">
        <v>4527</v>
      </c>
      <c r="M1750" t="s">
        <v>4462</v>
      </c>
      <c r="N1750">
        <v>5</v>
      </c>
    </row>
    <row r="1751" spans="1:14" x14ac:dyDescent="0.35">
      <c r="A1751" t="s">
        <v>6230</v>
      </c>
      <c r="B1751" t="s">
        <v>307</v>
      </c>
      <c r="C1751" t="s">
        <v>1915</v>
      </c>
      <c r="D1751" t="s">
        <v>4469</v>
      </c>
      <c r="E1751" t="s">
        <v>4444</v>
      </c>
      <c r="F1751" s="3">
        <v>45000</v>
      </c>
      <c r="G1751" s="3">
        <v>45000</v>
      </c>
      <c r="H1751">
        <v>21.7</v>
      </c>
      <c r="I1751">
        <v>24</v>
      </c>
      <c r="J1751" t="s">
        <v>4448</v>
      </c>
      <c r="K1751" t="s">
        <v>4441</v>
      </c>
      <c r="L1751" t="s">
        <v>4445</v>
      </c>
      <c r="M1751" t="s">
        <v>4446</v>
      </c>
      <c r="N1751">
        <v>5</v>
      </c>
    </row>
    <row r="1752" spans="1:14" x14ac:dyDescent="0.35">
      <c r="A1752" t="s">
        <v>6231</v>
      </c>
      <c r="B1752" t="s">
        <v>154</v>
      </c>
      <c r="C1752" t="s">
        <v>1904</v>
      </c>
      <c r="D1752" t="s">
        <v>4476</v>
      </c>
      <c r="E1752" t="s">
        <v>4444</v>
      </c>
      <c r="F1752" s="3">
        <v>45155</v>
      </c>
      <c r="G1752" s="3" t="s">
        <v>537</v>
      </c>
      <c r="I1752">
        <v>24</v>
      </c>
      <c r="J1752" t="s">
        <v>1945</v>
      </c>
      <c r="K1752" t="s">
        <v>4474</v>
      </c>
      <c r="L1752" t="s">
        <v>4512</v>
      </c>
      <c r="M1752" t="s">
        <v>1625</v>
      </c>
    </row>
    <row r="1753" spans="1:14" x14ac:dyDescent="0.35">
      <c r="A1753" t="s">
        <v>6232</v>
      </c>
      <c r="B1753" t="s">
        <v>455</v>
      </c>
      <c r="C1753" t="s">
        <v>1890</v>
      </c>
      <c r="D1753" t="s">
        <v>4479</v>
      </c>
      <c r="E1753" t="s">
        <v>4444</v>
      </c>
      <c r="F1753" s="3">
        <v>45702</v>
      </c>
      <c r="G1753" s="3">
        <v>45703</v>
      </c>
      <c r="H1753">
        <v>31.8</v>
      </c>
      <c r="I1753">
        <v>24</v>
      </c>
      <c r="J1753" t="s">
        <v>4440</v>
      </c>
      <c r="K1753" t="s">
        <v>4441</v>
      </c>
      <c r="L1753" t="s">
        <v>4470</v>
      </c>
      <c r="M1753" t="s">
        <v>4446</v>
      </c>
      <c r="N1753">
        <v>4</v>
      </c>
    </row>
    <row r="1754" spans="1:14" x14ac:dyDescent="0.35">
      <c r="A1754" t="s">
        <v>6233</v>
      </c>
      <c r="B1754" t="s">
        <v>402</v>
      </c>
      <c r="C1754" t="s">
        <v>1890</v>
      </c>
      <c r="D1754" t="s">
        <v>4482</v>
      </c>
      <c r="E1754" t="s">
        <v>4473</v>
      </c>
      <c r="F1754" s="3">
        <v>45556</v>
      </c>
      <c r="G1754" s="3">
        <v>45556</v>
      </c>
      <c r="H1754">
        <v>5.8</v>
      </c>
      <c r="I1754">
        <v>8</v>
      </c>
      <c r="J1754" t="s">
        <v>4448</v>
      </c>
      <c r="K1754" t="s">
        <v>4441</v>
      </c>
      <c r="L1754" t="s">
        <v>4509</v>
      </c>
      <c r="M1754" t="s">
        <v>4462</v>
      </c>
      <c r="N1754">
        <v>3</v>
      </c>
    </row>
    <row r="1755" spans="1:14" x14ac:dyDescent="0.35">
      <c r="A1755" t="s">
        <v>6234</v>
      </c>
      <c r="B1755" t="s">
        <v>401</v>
      </c>
      <c r="C1755" t="s">
        <v>1927</v>
      </c>
      <c r="D1755" t="s">
        <v>4472</v>
      </c>
      <c r="E1755" t="s">
        <v>4444</v>
      </c>
      <c r="F1755" s="3">
        <v>45307</v>
      </c>
      <c r="G1755" s="3">
        <v>45309</v>
      </c>
      <c r="H1755">
        <v>53.4</v>
      </c>
      <c r="I1755">
        <v>24</v>
      </c>
      <c r="J1755" t="s">
        <v>4440</v>
      </c>
      <c r="K1755" t="s">
        <v>4441</v>
      </c>
      <c r="L1755" t="s">
        <v>4533</v>
      </c>
      <c r="M1755" t="s">
        <v>4450</v>
      </c>
      <c r="N1755">
        <v>5</v>
      </c>
    </row>
    <row r="1756" spans="1:14" x14ac:dyDescent="0.35">
      <c r="A1756" t="s">
        <v>6235</v>
      </c>
      <c r="B1756" t="s">
        <v>18</v>
      </c>
      <c r="C1756" t="s">
        <v>1904</v>
      </c>
      <c r="D1756" t="s">
        <v>4482</v>
      </c>
      <c r="E1756" t="s">
        <v>4456</v>
      </c>
      <c r="F1756" s="3">
        <v>45576</v>
      </c>
      <c r="G1756" s="3" t="s">
        <v>537</v>
      </c>
      <c r="I1756">
        <v>4</v>
      </c>
      <c r="J1756" t="s">
        <v>4448</v>
      </c>
      <c r="K1756" t="s">
        <v>4457</v>
      </c>
      <c r="L1756" t="s">
        <v>4580</v>
      </c>
      <c r="M1756" t="s">
        <v>4446</v>
      </c>
    </row>
    <row r="1757" spans="1:14" x14ac:dyDescent="0.35">
      <c r="A1757" t="s">
        <v>6236</v>
      </c>
      <c r="B1757" t="s">
        <v>124</v>
      </c>
      <c r="C1757" t="s">
        <v>1915</v>
      </c>
      <c r="D1757" t="s">
        <v>4469</v>
      </c>
      <c r="E1757" t="s">
        <v>4439</v>
      </c>
      <c r="F1757" s="3">
        <v>44950</v>
      </c>
      <c r="G1757" s="3">
        <v>44952</v>
      </c>
      <c r="H1757">
        <v>68.3</v>
      </c>
      <c r="I1757">
        <v>48</v>
      </c>
      <c r="J1757" t="s">
        <v>1945</v>
      </c>
      <c r="K1757" t="s">
        <v>4441</v>
      </c>
      <c r="L1757" t="s">
        <v>4480</v>
      </c>
      <c r="M1757" t="s">
        <v>4446</v>
      </c>
    </row>
    <row r="1758" spans="1:14" x14ac:dyDescent="0.35">
      <c r="A1758" t="s">
        <v>6237</v>
      </c>
      <c r="B1758" t="s">
        <v>453</v>
      </c>
      <c r="C1758" t="s">
        <v>1904</v>
      </c>
      <c r="D1758" t="s">
        <v>4452</v>
      </c>
      <c r="E1758" t="s">
        <v>4444</v>
      </c>
      <c r="F1758" s="3">
        <v>45488</v>
      </c>
      <c r="G1758" s="3">
        <v>45488</v>
      </c>
      <c r="H1758">
        <v>18.2</v>
      </c>
      <c r="I1758">
        <v>24</v>
      </c>
      <c r="J1758" t="s">
        <v>4448</v>
      </c>
      <c r="K1758" t="s">
        <v>4441</v>
      </c>
      <c r="L1758" t="s">
        <v>4454</v>
      </c>
      <c r="M1758" t="s">
        <v>4450</v>
      </c>
      <c r="N1758">
        <v>4</v>
      </c>
    </row>
    <row r="1759" spans="1:14" x14ac:dyDescent="0.35">
      <c r="A1759" t="s">
        <v>6238</v>
      </c>
      <c r="B1759" t="s">
        <v>395</v>
      </c>
      <c r="C1759" t="s">
        <v>1904</v>
      </c>
      <c r="D1759" t="s">
        <v>4482</v>
      </c>
      <c r="E1759" t="s">
        <v>4473</v>
      </c>
      <c r="F1759" s="3">
        <v>45058</v>
      </c>
      <c r="G1759" s="3">
        <v>45058</v>
      </c>
      <c r="H1759">
        <v>19.8</v>
      </c>
      <c r="I1759">
        <v>8</v>
      </c>
      <c r="J1759" t="s">
        <v>4440</v>
      </c>
      <c r="K1759" t="s">
        <v>4441</v>
      </c>
      <c r="L1759" t="s">
        <v>4449</v>
      </c>
      <c r="M1759" t="s">
        <v>4462</v>
      </c>
      <c r="N1759">
        <v>4</v>
      </c>
    </row>
    <row r="1760" spans="1:14" x14ac:dyDescent="0.35">
      <c r="A1760" t="s">
        <v>6239</v>
      </c>
      <c r="B1760" t="s">
        <v>291</v>
      </c>
      <c r="C1760" t="s">
        <v>1883</v>
      </c>
      <c r="D1760" t="s">
        <v>4469</v>
      </c>
      <c r="E1760" t="s">
        <v>4439</v>
      </c>
      <c r="F1760" s="3">
        <v>45325</v>
      </c>
      <c r="G1760" s="3" t="s">
        <v>537</v>
      </c>
      <c r="I1760">
        <v>48</v>
      </c>
      <c r="J1760" t="s">
        <v>4440</v>
      </c>
      <c r="K1760" t="s">
        <v>4457</v>
      </c>
      <c r="L1760" t="s">
        <v>4465</v>
      </c>
      <c r="M1760" t="s">
        <v>4450</v>
      </c>
    </row>
    <row r="1761" spans="1:14" x14ac:dyDescent="0.35">
      <c r="A1761" t="s">
        <v>6240</v>
      </c>
      <c r="B1761" t="s">
        <v>428</v>
      </c>
      <c r="C1761" t="s">
        <v>1883</v>
      </c>
      <c r="D1761" t="s">
        <v>4464</v>
      </c>
      <c r="E1761" t="s">
        <v>4444</v>
      </c>
      <c r="F1761" s="3">
        <v>45563</v>
      </c>
      <c r="G1761" s="3">
        <v>45564</v>
      </c>
      <c r="H1761">
        <v>35.299999999999997</v>
      </c>
      <c r="I1761">
        <v>24</v>
      </c>
      <c r="J1761" t="s">
        <v>4440</v>
      </c>
      <c r="K1761" t="s">
        <v>4441</v>
      </c>
      <c r="L1761" t="s">
        <v>4461</v>
      </c>
      <c r="M1761" t="s">
        <v>4450</v>
      </c>
      <c r="N1761">
        <v>3</v>
      </c>
    </row>
    <row r="1762" spans="1:14" x14ac:dyDescent="0.35">
      <c r="A1762" t="s">
        <v>6241</v>
      </c>
      <c r="B1762" t="s">
        <v>312</v>
      </c>
      <c r="C1762" t="s">
        <v>1883</v>
      </c>
      <c r="D1762" t="s">
        <v>4438</v>
      </c>
      <c r="E1762" t="s">
        <v>4439</v>
      </c>
      <c r="F1762" s="3">
        <v>45695</v>
      </c>
      <c r="G1762" s="3">
        <v>45695</v>
      </c>
      <c r="H1762">
        <v>2.4</v>
      </c>
      <c r="I1762">
        <v>48</v>
      </c>
      <c r="J1762" t="s">
        <v>4448</v>
      </c>
      <c r="K1762" t="s">
        <v>4441</v>
      </c>
      <c r="L1762" t="s">
        <v>4533</v>
      </c>
      <c r="M1762" t="s">
        <v>4446</v>
      </c>
      <c r="N1762">
        <v>4</v>
      </c>
    </row>
    <row r="1763" spans="1:14" x14ac:dyDescent="0.35">
      <c r="A1763" t="s">
        <v>6242</v>
      </c>
      <c r="B1763" t="s">
        <v>88</v>
      </c>
      <c r="C1763" t="s">
        <v>1890</v>
      </c>
      <c r="D1763" t="s">
        <v>4482</v>
      </c>
      <c r="E1763" t="s">
        <v>4473</v>
      </c>
      <c r="F1763" s="3">
        <v>45132</v>
      </c>
      <c r="G1763" s="3">
        <v>45132</v>
      </c>
      <c r="H1763">
        <v>7</v>
      </c>
      <c r="I1763">
        <v>8</v>
      </c>
      <c r="J1763" t="s">
        <v>4448</v>
      </c>
      <c r="K1763" t="s">
        <v>4441</v>
      </c>
      <c r="L1763" t="s">
        <v>4461</v>
      </c>
      <c r="M1763" t="s">
        <v>4446</v>
      </c>
      <c r="N1763">
        <v>4</v>
      </c>
    </row>
    <row r="1764" spans="1:14" x14ac:dyDescent="0.35">
      <c r="A1764" t="s">
        <v>6243</v>
      </c>
      <c r="B1764" t="s">
        <v>99</v>
      </c>
      <c r="C1764" t="s">
        <v>1883</v>
      </c>
      <c r="D1764" t="s">
        <v>4472</v>
      </c>
      <c r="E1764" t="s">
        <v>4444</v>
      </c>
      <c r="F1764" s="3">
        <v>45089</v>
      </c>
      <c r="G1764" s="3" t="s">
        <v>537</v>
      </c>
      <c r="I1764">
        <v>24</v>
      </c>
      <c r="J1764" t="s">
        <v>4440</v>
      </c>
      <c r="K1764" t="s">
        <v>4474</v>
      </c>
      <c r="L1764" t="s">
        <v>4483</v>
      </c>
      <c r="M1764" t="s">
        <v>4462</v>
      </c>
    </row>
    <row r="1765" spans="1:14" x14ac:dyDescent="0.35">
      <c r="A1765" t="s">
        <v>6244</v>
      </c>
      <c r="B1765" t="s">
        <v>42</v>
      </c>
      <c r="C1765" t="s">
        <v>1915</v>
      </c>
      <c r="D1765" t="s">
        <v>4485</v>
      </c>
      <c r="E1765" t="s">
        <v>4473</v>
      </c>
      <c r="F1765" s="3">
        <v>45321</v>
      </c>
      <c r="G1765" s="3">
        <v>45321</v>
      </c>
      <c r="H1765">
        <v>6.7</v>
      </c>
      <c r="I1765">
        <v>8</v>
      </c>
      <c r="J1765" t="s">
        <v>4448</v>
      </c>
      <c r="K1765" t="s">
        <v>4441</v>
      </c>
      <c r="L1765" t="s">
        <v>4488</v>
      </c>
      <c r="M1765" t="s">
        <v>1625</v>
      </c>
      <c r="N1765">
        <v>4</v>
      </c>
    </row>
    <row r="1766" spans="1:14" x14ac:dyDescent="0.35">
      <c r="A1766" t="s">
        <v>6245</v>
      </c>
      <c r="B1766" t="s">
        <v>60</v>
      </c>
      <c r="C1766" t="s">
        <v>1915</v>
      </c>
      <c r="D1766" t="s">
        <v>4476</v>
      </c>
      <c r="E1766" t="s">
        <v>4444</v>
      </c>
      <c r="F1766" s="3">
        <v>45346</v>
      </c>
      <c r="G1766" s="3">
        <v>45346</v>
      </c>
      <c r="H1766">
        <v>13.6</v>
      </c>
      <c r="I1766">
        <v>24</v>
      </c>
      <c r="J1766" t="s">
        <v>4448</v>
      </c>
      <c r="K1766" t="s">
        <v>4441</v>
      </c>
      <c r="L1766" t="s">
        <v>4458</v>
      </c>
      <c r="M1766" t="s">
        <v>4462</v>
      </c>
    </row>
    <row r="1767" spans="1:14" x14ac:dyDescent="0.35">
      <c r="A1767" t="s">
        <v>6246</v>
      </c>
      <c r="B1767" t="s">
        <v>335</v>
      </c>
      <c r="C1767" t="s">
        <v>1890</v>
      </c>
      <c r="D1767" t="s">
        <v>4469</v>
      </c>
      <c r="E1767" t="s">
        <v>4444</v>
      </c>
      <c r="F1767" s="3">
        <v>45616</v>
      </c>
      <c r="G1767" s="3">
        <v>45616</v>
      </c>
      <c r="H1767">
        <v>5.7</v>
      </c>
      <c r="I1767">
        <v>24</v>
      </c>
      <c r="J1767" t="s">
        <v>4448</v>
      </c>
      <c r="K1767" t="s">
        <v>4441</v>
      </c>
      <c r="L1767" t="s">
        <v>4458</v>
      </c>
      <c r="M1767" t="s">
        <v>4450</v>
      </c>
      <c r="N1767">
        <v>3</v>
      </c>
    </row>
    <row r="1768" spans="1:14" x14ac:dyDescent="0.35">
      <c r="A1768" t="s">
        <v>6247</v>
      </c>
      <c r="B1768" t="s">
        <v>413</v>
      </c>
      <c r="C1768" t="s">
        <v>1904</v>
      </c>
      <c r="D1768" t="s">
        <v>4443</v>
      </c>
      <c r="E1768" t="s">
        <v>4439</v>
      </c>
      <c r="F1768" s="3">
        <v>45345</v>
      </c>
      <c r="G1768" s="3">
        <v>45349</v>
      </c>
      <c r="H1768">
        <v>112.7</v>
      </c>
      <c r="I1768">
        <v>48</v>
      </c>
      <c r="J1768" t="s">
        <v>4440</v>
      </c>
      <c r="K1768" t="s">
        <v>4441</v>
      </c>
      <c r="L1768" t="s">
        <v>4445</v>
      </c>
      <c r="M1768" t="s">
        <v>4446</v>
      </c>
      <c r="N1768">
        <v>3</v>
      </c>
    </row>
    <row r="1769" spans="1:14" x14ac:dyDescent="0.35">
      <c r="A1769" t="s">
        <v>6248</v>
      </c>
      <c r="B1769" t="s">
        <v>297</v>
      </c>
      <c r="C1769" t="s">
        <v>1883</v>
      </c>
      <c r="D1769" t="s">
        <v>4472</v>
      </c>
      <c r="E1769" t="s">
        <v>4444</v>
      </c>
      <c r="F1769" s="3">
        <v>45005</v>
      </c>
      <c r="G1769" s="3">
        <v>45006</v>
      </c>
      <c r="H1769">
        <v>26.2</v>
      </c>
      <c r="I1769">
        <v>24</v>
      </c>
      <c r="J1769" t="s">
        <v>4440</v>
      </c>
      <c r="K1769" t="s">
        <v>4441</v>
      </c>
      <c r="L1769" t="s">
        <v>4449</v>
      </c>
      <c r="M1769" t="s">
        <v>4450</v>
      </c>
      <c r="N1769">
        <v>5</v>
      </c>
    </row>
    <row r="1770" spans="1:14" x14ac:dyDescent="0.35">
      <c r="A1770" t="s">
        <v>6249</v>
      </c>
      <c r="B1770" t="s">
        <v>457</v>
      </c>
      <c r="C1770" t="s">
        <v>1904</v>
      </c>
      <c r="D1770" t="s">
        <v>4476</v>
      </c>
      <c r="E1770" t="s">
        <v>4444</v>
      </c>
      <c r="F1770" s="3">
        <v>44986</v>
      </c>
      <c r="G1770" s="3" t="s">
        <v>537</v>
      </c>
      <c r="I1770">
        <v>24</v>
      </c>
      <c r="J1770" t="s">
        <v>4448</v>
      </c>
      <c r="K1770" t="s">
        <v>4457</v>
      </c>
      <c r="L1770" t="s">
        <v>4449</v>
      </c>
      <c r="M1770" t="s">
        <v>4446</v>
      </c>
    </row>
    <row r="1771" spans="1:14" x14ac:dyDescent="0.35">
      <c r="A1771" t="s">
        <v>6250</v>
      </c>
      <c r="B1771" t="s">
        <v>483</v>
      </c>
      <c r="C1771" t="s">
        <v>1904</v>
      </c>
      <c r="D1771" t="s">
        <v>4452</v>
      </c>
      <c r="E1771" t="s">
        <v>4473</v>
      </c>
      <c r="F1771" s="3">
        <v>45271</v>
      </c>
      <c r="G1771" s="3">
        <v>45271</v>
      </c>
      <c r="H1771">
        <v>12.9</v>
      </c>
      <c r="I1771">
        <v>8</v>
      </c>
      <c r="J1771" t="s">
        <v>4440</v>
      </c>
      <c r="K1771" t="s">
        <v>4441</v>
      </c>
      <c r="L1771" t="s">
        <v>4533</v>
      </c>
      <c r="M1771" t="s">
        <v>1625</v>
      </c>
      <c r="N1771">
        <v>3</v>
      </c>
    </row>
    <row r="1772" spans="1:14" x14ac:dyDescent="0.35">
      <c r="A1772" t="s">
        <v>6251</v>
      </c>
      <c r="B1772" t="s">
        <v>301</v>
      </c>
      <c r="C1772" t="s">
        <v>1899</v>
      </c>
      <c r="D1772" t="s">
        <v>4472</v>
      </c>
      <c r="E1772" t="s">
        <v>4444</v>
      </c>
      <c r="F1772" s="3">
        <v>45223</v>
      </c>
      <c r="G1772" s="3" t="s">
        <v>537</v>
      </c>
      <c r="I1772">
        <v>24</v>
      </c>
      <c r="J1772" t="s">
        <v>4448</v>
      </c>
      <c r="K1772" t="s">
        <v>4474</v>
      </c>
      <c r="L1772" t="s">
        <v>4449</v>
      </c>
      <c r="M1772" t="s">
        <v>1625</v>
      </c>
    </row>
    <row r="1773" spans="1:14" x14ac:dyDescent="0.35">
      <c r="A1773" t="s">
        <v>6252</v>
      </c>
      <c r="B1773" t="s">
        <v>205</v>
      </c>
      <c r="C1773" t="s">
        <v>1927</v>
      </c>
      <c r="D1773" t="s">
        <v>4464</v>
      </c>
      <c r="E1773" t="s">
        <v>4444</v>
      </c>
      <c r="F1773" s="3">
        <v>45247</v>
      </c>
      <c r="G1773" s="3">
        <v>45248</v>
      </c>
      <c r="H1773">
        <v>25.2</v>
      </c>
      <c r="I1773">
        <v>24</v>
      </c>
      <c r="J1773" t="s">
        <v>4440</v>
      </c>
      <c r="K1773" t="s">
        <v>4441</v>
      </c>
      <c r="L1773" t="s">
        <v>4509</v>
      </c>
      <c r="M1773" t="s">
        <v>4446</v>
      </c>
      <c r="N1773">
        <v>4</v>
      </c>
    </row>
    <row r="1774" spans="1:14" x14ac:dyDescent="0.35">
      <c r="A1774" t="s">
        <v>6253</v>
      </c>
      <c r="B1774" t="s">
        <v>18</v>
      </c>
      <c r="C1774" t="s">
        <v>1883</v>
      </c>
      <c r="D1774" t="s">
        <v>4464</v>
      </c>
      <c r="E1774" t="s">
        <v>4444</v>
      </c>
      <c r="F1774" s="3">
        <v>45453</v>
      </c>
      <c r="G1774" s="3" t="s">
        <v>537</v>
      </c>
      <c r="I1774">
        <v>24</v>
      </c>
      <c r="J1774" t="s">
        <v>4448</v>
      </c>
      <c r="K1774" t="s">
        <v>4453</v>
      </c>
      <c r="L1774" t="s">
        <v>4580</v>
      </c>
      <c r="M1774" t="s">
        <v>4462</v>
      </c>
    </row>
    <row r="1775" spans="1:14" x14ac:dyDescent="0.35">
      <c r="A1775" t="s">
        <v>6254</v>
      </c>
      <c r="B1775" t="s">
        <v>376</v>
      </c>
      <c r="C1775" t="s">
        <v>1927</v>
      </c>
      <c r="D1775" t="s">
        <v>4469</v>
      </c>
      <c r="E1775" t="s">
        <v>4444</v>
      </c>
      <c r="F1775" s="3">
        <v>45380</v>
      </c>
      <c r="G1775" s="3" t="s">
        <v>537</v>
      </c>
      <c r="I1775">
        <v>24</v>
      </c>
      <c r="J1775" t="s">
        <v>4448</v>
      </c>
      <c r="K1775" t="s">
        <v>4457</v>
      </c>
      <c r="L1775" t="s">
        <v>4527</v>
      </c>
      <c r="M1775" t="s">
        <v>4462</v>
      </c>
    </row>
    <row r="1776" spans="1:14" x14ac:dyDescent="0.35">
      <c r="A1776" t="s">
        <v>6255</v>
      </c>
      <c r="B1776" t="s">
        <v>412</v>
      </c>
      <c r="C1776" t="s">
        <v>1904</v>
      </c>
      <c r="D1776" t="s">
        <v>4469</v>
      </c>
      <c r="E1776" t="s">
        <v>4444</v>
      </c>
      <c r="F1776" s="3">
        <v>44934</v>
      </c>
      <c r="G1776" s="3">
        <v>44935</v>
      </c>
      <c r="H1776">
        <v>33.1</v>
      </c>
      <c r="I1776">
        <v>24</v>
      </c>
      <c r="J1776" t="s">
        <v>4440</v>
      </c>
      <c r="K1776" t="s">
        <v>4441</v>
      </c>
      <c r="L1776" t="s">
        <v>4501</v>
      </c>
      <c r="M1776" t="s">
        <v>4462</v>
      </c>
    </row>
    <row r="1777" spans="1:14" x14ac:dyDescent="0.35">
      <c r="A1777" t="s">
        <v>6256</v>
      </c>
      <c r="B1777" t="s">
        <v>346</v>
      </c>
      <c r="C1777" t="s">
        <v>1883</v>
      </c>
      <c r="D1777" t="s">
        <v>4464</v>
      </c>
      <c r="E1777" t="s">
        <v>4444</v>
      </c>
      <c r="F1777" s="3">
        <v>45005</v>
      </c>
      <c r="G1777" s="3" t="s">
        <v>537</v>
      </c>
      <c r="I1777">
        <v>24</v>
      </c>
      <c r="J1777" t="s">
        <v>4440</v>
      </c>
      <c r="K1777" t="s">
        <v>4453</v>
      </c>
      <c r="L1777" t="s">
        <v>4533</v>
      </c>
      <c r="M1777" t="s">
        <v>1625</v>
      </c>
    </row>
    <row r="1778" spans="1:14" x14ac:dyDescent="0.35">
      <c r="A1778" t="s">
        <v>6257</v>
      </c>
      <c r="B1778" t="s">
        <v>154</v>
      </c>
      <c r="C1778" t="s">
        <v>1899</v>
      </c>
      <c r="D1778" t="s">
        <v>4472</v>
      </c>
      <c r="E1778" t="s">
        <v>4439</v>
      </c>
      <c r="F1778" s="3">
        <v>45590</v>
      </c>
      <c r="G1778" s="3">
        <v>45594</v>
      </c>
      <c r="H1778">
        <v>108.2</v>
      </c>
      <c r="I1778">
        <v>48</v>
      </c>
      <c r="J1778" t="s">
        <v>4440</v>
      </c>
      <c r="K1778" t="s">
        <v>4441</v>
      </c>
      <c r="L1778" t="s">
        <v>4470</v>
      </c>
      <c r="M1778" t="s">
        <v>4446</v>
      </c>
      <c r="N1778">
        <v>5</v>
      </c>
    </row>
    <row r="1779" spans="1:14" x14ac:dyDescent="0.35">
      <c r="A1779" t="s">
        <v>6258</v>
      </c>
      <c r="B1779" t="s">
        <v>128</v>
      </c>
      <c r="C1779" t="s">
        <v>1883</v>
      </c>
      <c r="D1779" t="s">
        <v>4460</v>
      </c>
      <c r="E1779" t="s">
        <v>4439</v>
      </c>
      <c r="F1779" s="3">
        <v>45619</v>
      </c>
      <c r="G1779" s="3">
        <v>45621</v>
      </c>
      <c r="H1779">
        <v>70.400000000000006</v>
      </c>
      <c r="I1779">
        <v>48</v>
      </c>
      <c r="J1779" t="s">
        <v>4440</v>
      </c>
      <c r="K1779" t="s">
        <v>4441</v>
      </c>
      <c r="L1779" t="s">
        <v>4580</v>
      </c>
      <c r="M1779" t="s">
        <v>4450</v>
      </c>
      <c r="N1779">
        <v>2</v>
      </c>
    </row>
    <row r="1780" spans="1:14" x14ac:dyDescent="0.35">
      <c r="A1780" t="s">
        <v>6259</v>
      </c>
      <c r="B1780" t="s">
        <v>318</v>
      </c>
      <c r="C1780" t="s">
        <v>1890</v>
      </c>
      <c r="D1780" t="s">
        <v>4485</v>
      </c>
      <c r="E1780" t="s">
        <v>4444</v>
      </c>
      <c r="F1780" s="3">
        <v>45662</v>
      </c>
      <c r="G1780" s="3">
        <v>45662</v>
      </c>
      <c r="H1780">
        <v>15.1</v>
      </c>
      <c r="I1780">
        <v>24</v>
      </c>
      <c r="J1780" t="s">
        <v>4448</v>
      </c>
      <c r="K1780" t="s">
        <v>4441</v>
      </c>
      <c r="L1780" t="s">
        <v>4445</v>
      </c>
      <c r="M1780" t="s">
        <v>4446</v>
      </c>
    </row>
    <row r="1781" spans="1:14" x14ac:dyDescent="0.35">
      <c r="A1781" t="s">
        <v>6260</v>
      </c>
      <c r="B1781" t="s">
        <v>436</v>
      </c>
      <c r="C1781" t="s">
        <v>1899</v>
      </c>
      <c r="D1781" t="s">
        <v>4452</v>
      </c>
      <c r="E1781" t="s">
        <v>4439</v>
      </c>
      <c r="F1781" s="3">
        <v>45198</v>
      </c>
      <c r="G1781" s="3" t="s">
        <v>537</v>
      </c>
      <c r="I1781">
        <v>48</v>
      </c>
      <c r="J1781" t="s">
        <v>4448</v>
      </c>
      <c r="K1781" t="s">
        <v>4453</v>
      </c>
      <c r="L1781" t="s">
        <v>4458</v>
      </c>
      <c r="M1781" t="s">
        <v>1625</v>
      </c>
    </row>
    <row r="1782" spans="1:14" x14ac:dyDescent="0.35">
      <c r="A1782" t="s">
        <v>6261</v>
      </c>
      <c r="B1782" t="s">
        <v>297</v>
      </c>
      <c r="C1782" t="s">
        <v>1899</v>
      </c>
      <c r="D1782" t="s">
        <v>4469</v>
      </c>
      <c r="E1782" t="s">
        <v>4444</v>
      </c>
      <c r="F1782" s="3">
        <v>45664</v>
      </c>
      <c r="G1782" s="3" t="s">
        <v>537</v>
      </c>
      <c r="I1782">
        <v>24</v>
      </c>
      <c r="J1782" t="s">
        <v>4440</v>
      </c>
      <c r="K1782" t="s">
        <v>4457</v>
      </c>
      <c r="L1782" t="s">
        <v>4454</v>
      </c>
      <c r="M1782" t="s">
        <v>4450</v>
      </c>
    </row>
    <row r="1783" spans="1:14" x14ac:dyDescent="0.35">
      <c r="A1783" t="s">
        <v>6262</v>
      </c>
      <c r="B1783" t="s">
        <v>358</v>
      </c>
      <c r="C1783" t="s">
        <v>1883</v>
      </c>
      <c r="D1783" t="s">
        <v>4460</v>
      </c>
      <c r="E1783" t="s">
        <v>4456</v>
      </c>
      <c r="F1783" s="3">
        <v>45197</v>
      </c>
      <c r="G1783" s="3" t="s">
        <v>537</v>
      </c>
      <c r="I1783">
        <v>4</v>
      </c>
      <c r="J1783" t="s">
        <v>4440</v>
      </c>
      <c r="K1783" t="s">
        <v>4457</v>
      </c>
      <c r="L1783" t="s">
        <v>4454</v>
      </c>
      <c r="M1783" t="s">
        <v>4446</v>
      </c>
    </row>
    <row r="1784" spans="1:14" x14ac:dyDescent="0.35">
      <c r="A1784" t="s">
        <v>6263</v>
      </c>
      <c r="B1784" t="s">
        <v>178</v>
      </c>
      <c r="C1784" t="s">
        <v>1915</v>
      </c>
      <c r="D1784" t="s">
        <v>4443</v>
      </c>
      <c r="E1784" t="s">
        <v>4473</v>
      </c>
      <c r="F1784" s="3">
        <v>45067</v>
      </c>
      <c r="G1784" s="3" t="s">
        <v>537</v>
      </c>
      <c r="I1784">
        <v>8</v>
      </c>
      <c r="J1784" t="s">
        <v>4440</v>
      </c>
      <c r="K1784" t="s">
        <v>4474</v>
      </c>
      <c r="L1784" t="s">
        <v>4480</v>
      </c>
      <c r="M1784" t="s">
        <v>4462</v>
      </c>
    </row>
    <row r="1785" spans="1:14" x14ac:dyDescent="0.35">
      <c r="A1785" t="s">
        <v>6264</v>
      </c>
      <c r="B1785" t="s">
        <v>124</v>
      </c>
      <c r="C1785" t="s">
        <v>1904</v>
      </c>
      <c r="D1785" t="s">
        <v>4469</v>
      </c>
      <c r="E1785" t="s">
        <v>4444</v>
      </c>
      <c r="F1785" s="3">
        <v>45468</v>
      </c>
      <c r="G1785" s="3">
        <v>45468</v>
      </c>
      <c r="H1785">
        <v>6.9</v>
      </c>
      <c r="I1785">
        <v>24</v>
      </c>
      <c r="J1785" t="s">
        <v>4448</v>
      </c>
      <c r="K1785" t="s">
        <v>4441</v>
      </c>
      <c r="L1785" t="s">
        <v>4449</v>
      </c>
      <c r="M1785" t="s">
        <v>1625</v>
      </c>
    </row>
    <row r="1786" spans="1:14" x14ac:dyDescent="0.35">
      <c r="A1786" t="s">
        <v>6265</v>
      </c>
      <c r="B1786" t="s">
        <v>262</v>
      </c>
      <c r="C1786" t="s">
        <v>1904</v>
      </c>
      <c r="D1786" t="s">
        <v>4479</v>
      </c>
      <c r="E1786" t="s">
        <v>4473</v>
      </c>
      <c r="F1786" s="3">
        <v>45339</v>
      </c>
      <c r="G1786" s="3" t="s">
        <v>537</v>
      </c>
      <c r="I1786">
        <v>8</v>
      </c>
      <c r="J1786" t="s">
        <v>4440</v>
      </c>
      <c r="K1786" t="s">
        <v>4474</v>
      </c>
      <c r="L1786" t="s">
        <v>4445</v>
      </c>
      <c r="M1786" t="s">
        <v>4450</v>
      </c>
    </row>
    <row r="1787" spans="1:14" x14ac:dyDescent="0.35">
      <c r="A1787" t="s">
        <v>6266</v>
      </c>
      <c r="B1787" t="s">
        <v>160</v>
      </c>
      <c r="C1787" t="s">
        <v>1915</v>
      </c>
      <c r="D1787" t="s">
        <v>4469</v>
      </c>
      <c r="E1787" t="s">
        <v>4439</v>
      </c>
      <c r="F1787" s="3">
        <v>45601</v>
      </c>
      <c r="G1787" s="3">
        <v>45603</v>
      </c>
      <c r="H1787">
        <v>48.8</v>
      </c>
      <c r="I1787">
        <v>48</v>
      </c>
      <c r="J1787" t="s">
        <v>4440</v>
      </c>
      <c r="K1787" t="s">
        <v>4441</v>
      </c>
      <c r="L1787" t="s">
        <v>4449</v>
      </c>
      <c r="M1787" t="s">
        <v>4462</v>
      </c>
      <c r="N1787">
        <v>4</v>
      </c>
    </row>
    <row r="1788" spans="1:14" x14ac:dyDescent="0.35">
      <c r="A1788" t="s">
        <v>6267</v>
      </c>
      <c r="B1788" t="s">
        <v>350</v>
      </c>
      <c r="C1788" t="s">
        <v>1890</v>
      </c>
      <c r="D1788" t="s">
        <v>4485</v>
      </c>
      <c r="E1788" t="s">
        <v>4444</v>
      </c>
      <c r="F1788" s="3">
        <v>45667</v>
      </c>
      <c r="G1788" s="3" t="s">
        <v>537</v>
      </c>
      <c r="I1788">
        <v>24</v>
      </c>
      <c r="J1788" t="s">
        <v>4448</v>
      </c>
      <c r="K1788" t="s">
        <v>4457</v>
      </c>
      <c r="L1788" t="s">
        <v>4445</v>
      </c>
      <c r="M1788" t="s">
        <v>4450</v>
      </c>
    </row>
    <row r="1789" spans="1:14" x14ac:dyDescent="0.35">
      <c r="A1789" t="s">
        <v>6268</v>
      </c>
      <c r="B1789" t="s">
        <v>167</v>
      </c>
      <c r="C1789" t="s">
        <v>1890</v>
      </c>
      <c r="D1789" t="s">
        <v>4460</v>
      </c>
      <c r="E1789" t="s">
        <v>4439</v>
      </c>
      <c r="F1789" s="3">
        <v>45360</v>
      </c>
      <c r="G1789" s="3" t="s">
        <v>537</v>
      </c>
      <c r="I1789">
        <v>48</v>
      </c>
      <c r="J1789" t="s">
        <v>4440</v>
      </c>
      <c r="K1789" t="s">
        <v>4474</v>
      </c>
      <c r="L1789" t="s">
        <v>4465</v>
      </c>
      <c r="M1789" t="s">
        <v>4450</v>
      </c>
    </row>
    <row r="1790" spans="1:14" x14ac:dyDescent="0.35">
      <c r="A1790" t="s">
        <v>6269</v>
      </c>
      <c r="B1790" t="s">
        <v>230</v>
      </c>
      <c r="C1790" t="s">
        <v>1899</v>
      </c>
      <c r="D1790" t="s">
        <v>4464</v>
      </c>
      <c r="E1790" t="s">
        <v>4444</v>
      </c>
      <c r="F1790" s="3">
        <v>45172</v>
      </c>
      <c r="G1790" s="3">
        <v>45173</v>
      </c>
      <c r="H1790">
        <v>24.3</v>
      </c>
      <c r="I1790">
        <v>24</v>
      </c>
      <c r="J1790" t="s">
        <v>4440</v>
      </c>
      <c r="K1790" t="s">
        <v>4441</v>
      </c>
      <c r="L1790" t="s">
        <v>4527</v>
      </c>
      <c r="M1790" t="s">
        <v>4450</v>
      </c>
      <c r="N1790">
        <v>1</v>
      </c>
    </row>
    <row r="1791" spans="1:14" x14ac:dyDescent="0.35">
      <c r="A1791" t="s">
        <v>6270</v>
      </c>
      <c r="B1791" t="s">
        <v>71</v>
      </c>
      <c r="C1791" t="s">
        <v>1883</v>
      </c>
      <c r="D1791" t="s">
        <v>4482</v>
      </c>
      <c r="E1791" t="s">
        <v>4439</v>
      </c>
      <c r="F1791" s="3">
        <v>45034</v>
      </c>
      <c r="G1791" s="3">
        <v>45036</v>
      </c>
      <c r="H1791">
        <v>48.2</v>
      </c>
      <c r="I1791">
        <v>48</v>
      </c>
      <c r="J1791" t="s">
        <v>4440</v>
      </c>
      <c r="K1791" t="s">
        <v>4441</v>
      </c>
      <c r="L1791" t="s">
        <v>4467</v>
      </c>
      <c r="M1791" t="s">
        <v>1625</v>
      </c>
    </row>
    <row r="1792" spans="1:14" x14ac:dyDescent="0.35">
      <c r="A1792" t="s">
        <v>6271</v>
      </c>
      <c r="B1792" t="s">
        <v>482</v>
      </c>
      <c r="C1792" t="s">
        <v>1904</v>
      </c>
      <c r="D1792" t="s">
        <v>4485</v>
      </c>
      <c r="E1792" t="s">
        <v>4456</v>
      </c>
      <c r="F1792" s="3">
        <v>45495</v>
      </c>
      <c r="G1792" s="3">
        <v>45495</v>
      </c>
      <c r="H1792">
        <v>8.1</v>
      </c>
      <c r="I1792">
        <v>4</v>
      </c>
      <c r="J1792" t="s">
        <v>4440</v>
      </c>
      <c r="K1792" t="s">
        <v>4441</v>
      </c>
      <c r="L1792" t="s">
        <v>4449</v>
      </c>
      <c r="M1792" t="s">
        <v>4462</v>
      </c>
      <c r="N1792">
        <v>4</v>
      </c>
    </row>
    <row r="1793" spans="1:14" x14ac:dyDescent="0.35">
      <c r="A1793" t="s">
        <v>6272</v>
      </c>
      <c r="B1793" t="s">
        <v>351</v>
      </c>
      <c r="C1793" t="s">
        <v>1890</v>
      </c>
      <c r="D1793" t="s">
        <v>4438</v>
      </c>
      <c r="E1793" t="s">
        <v>4473</v>
      </c>
      <c r="F1793" s="3">
        <v>45048</v>
      </c>
      <c r="G1793" s="3">
        <v>45048</v>
      </c>
      <c r="H1793">
        <v>1.5</v>
      </c>
      <c r="I1793">
        <v>8</v>
      </c>
      <c r="J1793" t="s">
        <v>4448</v>
      </c>
      <c r="K1793" t="s">
        <v>4441</v>
      </c>
      <c r="L1793" t="s">
        <v>4509</v>
      </c>
      <c r="M1793" t="s">
        <v>4450</v>
      </c>
      <c r="N1793">
        <v>3</v>
      </c>
    </row>
    <row r="1794" spans="1:14" x14ac:dyDescent="0.35">
      <c r="A1794" t="s">
        <v>6273</v>
      </c>
      <c r="B1794" t="s">
        <v>345</v>
      </c>
      <c r="C1794" t="s">
        <v>1915</v>
      </c>
      <c r="D1794" t="s">
        <v>4460</v>
      </c>
      <c r="E1794" t="s">
        <v>4444</v>
      </c>
      <c r="F1794" s="3">
        <v>45207</v>
      </c>
      <c r="G1794" s="3">
        <v>45207</v>
      </c>
      <c r="H1794">
        <v>1.3</v>
      </c>
      <c r="I1794">
        <v>24</v>
      </c>
      <c r="J1794" t="s">
        <v>4448</v>
      </c>
      <c r="K1794" t="s">
        <v>4441</v>
      </c>
      <c r="L1794" t="s">
        <v>4470</v>
      </c>
      <c r="M1794" t="s">
        <v>1625</v>
      </c>
    </row>
    <row r="1795" spans="1:14" x14ac:dyDescent="0.35">
      <c r="A1795" t="s">
        <v>6274</v>
      </c>
      <c r="B1795" t="s">
        <v>364</v>
      </c>
      <c r="C1795" t="s">
        <v>1927</v>
      </c>
      <c r="D1795" t="s">
        <v>4469</v>
      </c>
      <c r="E1795" t="s">
        <v>4473</v>
      </c>
      <c r="F1795" s="3">
        <v>45072</v>
      </c>
      <c r="G1795" s="3">
        <v>45072</v>
      </c>
      <c r="H1795">
        <v>5.4</v>
      </c>
      <c r="I1795">
        <v>8</v>
      </c>
      <c r="J1795" t="s">
        <v>4448</v>
      </c>
      <c r="K1795" t="s">
        <v>4441</v>
      </c>
      <c r="L1795" t="s">
        <v>4533</v>
      </c>
      <c r="M1795" t="s">
        <v>4462</v>
      </c>
      <c r="N1795">
        <v>5</v>
      </c>
    </row>
    <row r="1796" spans="1:14" x14ac:dyDescent="0.35">
      <c r="A1796" t="s">
        <v>6275</v>
      </c>
      <c r="B1796" t="s">
        <v>471</v>
      </c>
      <c r="C1796" t="s">
        <v>1899</v>
      </c>
      <c r="D1796" t="s">
        <v>4485</v>
      </c>
      <c r="E1796" t="s">
        <v>4473</v>
      </c>
      <c r="F1796" s="3">
        <v>45303</v>
      </c>
      <c r="G1796" s="3">
        <v>45303</v>
      </c>
      <c r="H1796">
        <v>11.6</v>
      </c>
      <c r="I1796">
        <v>8</v>
      </c>
      <c r="J1796" t="s">
        <v>4440</v>
      </c>
      <c r="K1796" t="s">
        <v>4441</v>
      </c>
      <c r="L1796" t="s">
        <v>4461</v>
      </c>
      <c r="M1796" t="s">
        <v>4446</v>
      </c>
      <c r="N1796">
        <v>4</v>
      </c>
    </row>
    <row r="1797" spans="1:14" x14ac:dyDescent="0.35">
      <c r="A1797" t="s">
        <v>6276</v>
      </c>
      <c r="B1797" t="s">
        <v>471</v>
      </c>
      <c r="C1797" t="s">
        <v>1927</v>
      </c>
      <c r="D1797" t="s">
        <v>4490</v>
      </c>
      <c r="E1797" t="s">
        <v>4444</v>
      </c>
      <c r="F1797" s="3">
        <v>45009</v>
      </c>
      <c r="G1797" s="3" t="s">
        <v>537</v>
      </c>
      <c r="I1797">
        <v>24</v>
      </c>
      <c r="J1797" t="s">
        <v>4448</v>
      </c>
      <c r="K1797" t="s">
        <v>4457</v>
      </c>
      <c r="L1797" t="s">
        <v>4449</v>
      </c>
      <c r="M1797" t="s">
        <v>4450</v>
      </c>
    </row>
    <row r="1798" spans="1:14" x14ac:dyDescent="0.35">
      <c r="A1798" t="s">
        <v>6277</v>
      </c>
      <c r="B1798" t="s">
        <v>346</v>
      </c>
      <c r="C1798" t="s">
        <v>1890</v>
      </c>
      <c r="D1798" t="s">
        <v>4472</v>
      </c>
      <c r="E1798" t="s">
        <v>4473</v>
      </c>
      <c r="F1798" s="3">
        <v>45291</v>
      </c>
      <c r="G1798" s="3">
        <v>45291</v>
      </c>
      <c r="H1798">
        <v>2.9</v>
      </c>
      <c r="I1798">
        <v>8</v>
      </c>
      <c r="J1798" t="s">
        <v>4448</v>
      </c>
      <c r="K1798" t="s">
        <v>4441</v>
      </c>
      <c r="L1798" t="s">
        <v>4480</v>
      </c>
      <c r="M1798" t="s">
        <v>1625</v>
      </c>
      <c r="N1798">
        <v>5</v>
      </c>
    </row>
    <row r="1799" spans="1:14" x14ac:dyDescent="0.35">
      <c r="A1799" t="s">
        <v>6278</v>
      </c>
      <c r="B1799" t="s">
        <v>255</v>
      </c>
      <c r="C1799" t="s">
        <v>1899</v>
      </c>
      <c r="D1799" t="s">
        <v>4479</v>
      </c>
      <c r="E1799" t="s">
        <v>4439</v>
      </c>
      <c r="F1799" s="3">
        <v>45494</v>
      </c>
      <c r="G1799" s="3">
        <v>45496</v>
      </c>
      <c r="H1799">
        <v>60</v>
      </c>
      <c r="I1799">
        <v>48</v>
      </c>
      <c r="J1799" t="s">
        <v>4440</v>
      </c>
      <c r="K1799" t="s">
        <v>4441</v>
      </c>
      <c r="L1799" t="s">
        <v>4509</v>
      </c>
      <c r="M1799" t="s">
        <v>4450</v>
      </c>
      <c r="N1799">
        <v>2</v>
      </c>
    </row>
    <row r="1800" spans="1:14" x14ac:dyDescent="0.35">
      <c r="A1800" t="s">
        <v>6279</v>
      </c>
      <c r="B1800" t="s">
        <v>428</v>
      </c>
      <c r="C1800" t="s">
        <v>1904</v>
      </c>
      <c r="D1800" t="s">
        <v>4438</v>
      </c>
      <c r="E1800" t="s">
        <v>4439</v>
      </c>
      <c r="F1800" s="3">
        <v>45417</v>
      </c>
      <c r="G1800" s="3">
        <v>45420</v>
      </c>
      <c r="H1800">
        <v>79.3</v>
      </c>
      <c r="I1800">
        <v>48</v>
      </c>
      <c r="J1800" t="s">
        <v>4440</v>
      </c>
      <c r="K1800" t="s">
        <v>4441</v>
      </c>
      <c r="L1800" t="s">
        <v>4580</v>
      </c>
      <c r="M1800" t="s">
        <v>1625</v>
      </c>
      <c r="N1800">
        <v>3</v>
      </c>
    </row>
    <row r="1801" spans="1:14" x14ac:dyDescent="0.35">
      <c r="A1801" t="s">
        <v>6280</v>
      </c>
      <c r="B1801" t="s">
        <v>486</v>
      </c>
      <c r="C1801" t="s">
        <v>1899</v>
      </c>
      <c r="D1801" t="s">
        <v>4443</v>
      </c>
      <c r="E1801" t="s">
        <v>4444</v>
      </c>
      <c r="F1801" s="3">
        <v>45293</v>
      </c>
      <c r="G1801" s="3">
        <v>45295</v>
      </c>
      <c r="H1801">
        <v>51.1</v>
      </c>
      <c r="I1801">
        <v>24</v>
      </c>
      <c r="J1801" t="s">
        <v>4440</v>
      </c>
      <c r="K1801" t="s">
        <v>4441</v>
      </c>
      <c r="L1801" t="s">
        <v>4467</v>
      </c>
      <c r="M1801" t="s">
        <v>4462</v>
      </c>
      <c r="N1801">
        <v>4</v>
      </c>
    </row>
    <row r="1802" spans="1:14" x14ac:dyDescent="0.35">
      <c r="A1802" t="s">
        <v>6281</v>
      </c>
      <c r="B1802" t="s">
        <v>292</v>
      </c>
      <c r="C1802" t="s">
        <v>1883</v>
      </c>
      <c r="D1802" t="s">
        <v>4464</v>
      </c>
      <c r="E1802" t="s">
        <v>4473</v>
      </c>
      <c r="F1802" s="3">
        <v>45019</v>
      </c>
      <c r="G1802" s="3" t="s">
        <v>537</v>
      </c>
      <c r="I1802">
        <v>8</v>
      </c>
      <c r="J1802" t="s">
        <v>4440</v>
      </c>
      <c r="K1802" t="s">
        <v>4474</v>
      </c>
      <c r="L1802" t="s">
        <v>4514</v>
      </c>
      <c r="M1802" t="s">
        <v>4446</v>
      </c>
    </row>
    <row r="1803" spans="1:14" x14ac:dyDescent="0.35">
      <c r="A1803" t="s">
        <v>6282</v>
      </c>
      <c r="B1803" t="s">
        <v>268</v>
      </c>
      <c r="C1803" t="s">
        <v>1883</v>
      </c>
      <c r="D1803" t="s">
        <v>4460</v>
      </c>
      <c r="E1803" t="s">
        <v>4444</v>
      </c>
      <c r="F1803" s="3">
        <v>45086</v>
      </c>
      <c r="G1803" s="3">
        <v>45087</v>
      </c>
      <c r="H1803">
        <v>27.9</v>
      </c>
      <c r="I1803">
        <v>24</v>
      </c>
      <c r="J1803" t="s">
        <v>4440</v>
      </c>
      <c r="K1803" t="s">
        <v>4441</v>
      </c>
      <c r="L1803" t="s">
        <v>4449</v>
      </c>
      <c r="M1803" t="s">
        <v>4446</v>
      </c>
      <c r="N1803">
        <v>2</v>
      </c>
    </row>
    <row r="1804" spans="1:14" x14ac:dyDescent="0.35">
      <c r="A1804" t="s">
        <v>6283</v>
      </c>
      <c r="B1804" t="s">
        <v>424</v>
      </c>
      <c r="C1804" t="s">
        <v>1890</v>
      </c>
      <c r="D1804" t="s">
        <v>4485</v>
      </c>
      <c r="E1804" t="s">
        <v>4473</v>
      </c>
      <c r="F1804" s="3">
        <v>45042</v>
      </c>
      <c r="G1804" s="3">
        <v>45042</v>
      </c>
      <c r="H1804">
        <v>2.2999999999999998</v>
      </c>
      <c r="I1804">
        <v>8</v>
      </c>
      <c r="J1804" t="s">
        <v>4448</v>
      </c>
      <c r="K1804" t="s">
        <v>4441</v>
      </c>
      <c r="L1804" t="s">
        <v>4483</v>
      </c>
      <c r="M1804" t="s">
        <v>1625</v>
      </c>
    </row>
    <row r="1805" spans="1:14" x14ac:dyDescent="0.35">
      <c r="A1805" t="s">
        <v>6284</v>
      </c>
      <c r="B1805" t="s">
        <v>301</v>
      </c>
      <c r="C1805" t="s">
        <v>1904</v>
      </c>
      <c r="D1805" t="s">
        <v>4485</v>
      </c>
      <c r="E1805" t="s">
        <v>4473</v>
      </c>
      <c r="F1805" s="3">
        <v>45337</v>
      </c>
      <c r="G1805" s="3">
        <v>45337</v>
      </c>
      <c r="H1805">
        <v>12.1</v>
      </c>
      <c r="I1805">
        <v>8</v>
      </c>
      <c r="J1805" t="s">
        <v>4440</v>
      </c>
      <c r="K1805" t="s">
        <v>4441</v>
      </c>
      <c r="L1805" t="s">
        <v>4480</v>
      </c>
      <c r="M1805" t="s">
        <v>4450</v>
      </c>
      <c r="N1805">
        <v>5</v>
      </c>
    </row>
    <row r="1806" spans="1:14" x14ac:dyDescent="0.35">
      <c r="A1806" t="s">
        <v>6285</v>
      </c>
      <c r="B1806" t="s">
        <v>156</v>
      </c>
      <c r="C1806" t="s">
        <v>1904</v>
      </c>
      <c r="D1806" t="s">
        <v>4469</v>
      </c>
      <c r="E1806" t="s">
        <v>4444</v>
      </c>
      <c r="F1806" s="3">
        <v>45327</v>
      </c>
      <c r="G1806" s="3">
        <v>45328</v>
      </c>
      <c r="H1806">
        <v>28.6</v>
      </c>
      <c r="I1806">
        <v>24</v>
      </c>
      <c r="J1806" t="s">
        <v>4440</v>
      </c>
      <c r="K1806" t="s">
        <v>4441</v>
      </c>
      <c r="L1806" t="s">
        <v>4480</v>
      </c>
      <c r="M1806" t="s">
        <v>4450</v>
      </c>
      <c r="N1806">
        <v>2</v>
      </c>
    </row>
    <row r="1807" spans="1:14" x14ac:dyDescent="0.35">
      <c r="A1807" t="s">
        <v>6286</v>
      </c>
      <c r="B1807" t="s">
        <v>271</v>
      </c>
      <c r="C1807" t="s">
        <v>1927</v>
      </c>
      <c r="D1807" t="s">
        <v>4476</v>
      </c>
      <c r="E1807" t="s">
        <v>4439</v>
      </c>
      <c r="F1807" s="3">
        <v>45082</v>
      </c>
      <c r="G1807" s="3">
        <v>45082</v>
      </c>
      <c r="H1807">
        <v>7.1</v>
      </c>
      <c r="I1807">
        <v>48</v>
      </c>
      <c r="J1807" t="s">
        <v>4448</v>
      </c>
      <c r="K1807" t="s">
        <v>4441</v>
      </c>
      <c r="L1807" t="s">
        <v>4580</v>
      </c>
      <c r="M1807" t="s">
        <v>4462</v>
      </c>
      <c r="N1807">
        <v>3</v>
      </c>
    </row>
    <row r="1808" spans="1:14" x14ac:dyDescent="0.35">
      <c r="A1808" t="s">
        <v>6287</v>
      </c>
      <c r="B1808" t="s">
        <v>99</v>
      </c>
      <c r="C1808" t="s">
        <v>1890</v>
      </c>
      <c r="D1808" t="s">
        <v>4460</v>
      </c>
      <c r="E1808" t="s">
        <v>4444</v>
      </c>
      <c r="F1808" s="3">
        <v>45151</v>
      </c>
      <c r="G1808" s="3" t="s">
        <v>537</v>
      </c>
      <c r="I1808">
        <v>24</v>
      </c>
      <c r="J1808" t="s">
        <v>4448</v>
      </c>
      <c r="K1808" t="s">
        <v>4453</v>
      </c>
      <c r="L1808" t="s">
        <v>4449</v>
      </c>
      <c r="M1808" t="s">
        <v>4450</v>
      </c>
    </row>
    <row r="1809" spans="1:14" x14ac:dyDescent="0.35">
      <c r="A1809" t="s">
        <v>6288</v>
      </c>
      <c r="B1809" t="s">
        <v>85</v>
      </c>
      <c r="C1809" t="s">
        <v>1915</v>
      </c>
      <c r="D1809" t="s">
        <v>4476</v>
      </c>
      <c r="E1809" t="s">
        <v>4439</v>
      </c>
      <c r="F1809" s="3">
        <v>45419</v>
      </c>
      <c r="G1809" s="3">
        <v>45419</v>
      </c>
      <c r="H1809">
        <v>5.6</v>
      </c>
      <c r="I1809">
        <v>48</v>
      </c>
      <c r="J1809" t="s">
        <v>4448</v>
      </c>
      <c r="K1809" t="s">
        <v>4441</v>
      </c>
      <c r="L1809" t="s">
        <v>4492</v>
      </c>
      <c r="M1809" t="s">
        <v>4446</v>
      </c>
    </row>
    <row r="1810" spans="1:14" x14ac:dyDescent="0.35">
      <c r="A1810" t="s">
        <v>6289</v>
      </c>
      <c r="B1810" t="s">
        <v>447</v>
      </c>
      <c r="C1810" t="s">
        <v>1883</v>
      </c>
      <c r="D1810" t="s">
        <v>4482</v>
      </c>
      <c r="E1810" t="s">
        <v>4456</v>
      </c>
      <c r="F1810" s="3">
        <v>45498</v>
      </c>
      <c r="G1810" s="3">
        <v>45498</v>
      </c>
      <c r="H1810">
        <v>6</v>
      </c>
      <c r="I1810">
        <v>4</v>
      </c>
      <c r="J1810" t="s">
        <v>4440</v>
      </c>
      <c r="K1810" t="s">
        <v>4441</v>
      </c>
      <c r="L1810" t="s">
        <v>4580</v>
      </c>
      <c r="M1810" t="s">
        <v>1625</v>
      </c>
    </row>
    <row r="1811" spans="1:14" x14ac:dyDescent="0.35">
      <c r="A1811" t="s">
        <v>6290</v>
      </c>
      <c r="B1811" t="s">
        <v>440</v>
      </c>
      <c r="C1811" t="s">
        <v>1904</v>
      </c>
      <c r="D1811" t="s">
        <v>4469</v>
      </c>
      <c r="E1811" t="s">
        <v>4439</v>
      </c>
      <c r="F1811" s="3">
        <v>45678</v>
      </c>
      <c r="G1811" s="3">
        <v>45681</v>
      </c>
      <c r="H1811">
        <v>88.9</v>
      </c>
      <c r="I1811">
        <v>48</v>
      </c>
      <c r="J1811" t="s">
        <v>4440</v>
      </c>
      <c r="K1811" t="s">
        <v>4441</v>
      </c>
      <c r="L1811" t="s">
        <v>4458</v>
      </c>
      <c r="M1811" t="s">
        <v>4450</v>
      </c>
      <c r="N1811">
        <v>2</v>
      </c>
    </row>
    <row r="1812" spans="1:14" x14ac:dyDescent="0.35">
      <c r="A1812" t="s">
        <v>6291</v>
      </c>
      <c r="B1812" t="s">
        <v>238</v>
      </c>
      <c r="C1812" t="s">
        <v>1883</v>
      </c>
      <c r="D1812" t="s">
        <v>4479</v>
      </c>
      <c r="E1812" t="s">
        <v>4444</v>
      </c>
      <c r="F1812" s="3">
        <v>45592</v>
      </c>
      <c r="G1812" s="3" t="s">
        <v>537</v>
      </c>
      <c r="I1812">
        <v>24</v>
      </c>
      <c r="J1812" t="s">
        <v>4440</v>
      </c>
      <c r="K1812" t="s">
        <v>4474</v>
      </c>
      <c r="L1812" t="s">
        <v>4492</v>
      </c>
      <c r="M1812" t="s">
        <v>4462</v>
      </c>
    </row>
    <row r="1813" spans="1:14" x14ac:dyDescent="0.35">
      <c r="A1813" t="s">
        <v>6292</v>
      </c>
      <c r="B1813" t="s">
        <v>302</v>
      </c>
      <c r="C1813" t="s">
        <v>1927</v>
      </c>
      <c r="D1813" t="s">
        <v>4452</v>
      </c>
      <c r="E1813" t="s">
        <v>4444</v>
      </c>
      <c r="F1813" s="3">
        <v>45003</v>
      </c>
      <c r="G1813" s="3">
        <v>45004</v>
      </c>
      <c r="H1813">
        <v>30.4</v>
      </c>
      <c r="I1813">
        <v>24</v>
      </c>
      <c r="J1813" t="s">
        <v>4440</v>
      </c>
      <c r="K1813" t="s">
        <v>4441</v>
      </c>
      <c r="L1813" t="s">
        <v>4483</v>
      </c>
      <c r="M1813" t="s">
        <v>1625</v>
      </c>
    </row>
    <row r="1814" spans="1:14" x14ac:dyDescent="0.35">
      <c r="A1814" t="s">
        <v>6293</v>
      </c>
      <c r="B1814" t="s">
        <v>404</v>
      </c>
      <c r="C1814" t="s">
        <v>1899</v>
      </c>
      <c r="D1814" t="s">
        <v>4485</v>
      </c>
      <c r="E1814" t="s">
        <v>4444</v>
      </c>
      <c r="F1814" s="3">
        <v>44983</v>
      </c>
      <c r="G1814" s="3" t="s">
        <v>537</v>
      </c>
      <c r="I1814">
        <v>24</v>
      </c>
      <c r="J1814" t="s">
        <v>4440</v>
      </c>
      <c r="K1814" t="s">
        <v>4453</v>
      </c>
      <c r="L1814" t="s">
        <v>4501</v>
      </c>
      <c r="M1814" t="s">
        <v>4450</v>
      </c>
    </row>
    <row r="1815" spans="1:14" x14ac:dyDescent="0.35">
      <c r="A1815" t="s">
        <v>6294</v>
      </c>
      <c r="B1815" t="s">
        <v>203</v>
      </c>
      <c r="C1815" t="s">
        <v>1890</v>
      </c>
      <c r="D1815" t="s">
        <v>4438</v>
      </c>
      <c r="E1815" t="s">
        <v>4444</v>
      </c>
      <c r="F1815" s="3">
        <v>45151</v>
      </c>
      <c r="G1815" s="3">
        <v>45152</v>
      </c>
      <c r="H1815">
        <v>47.1</v>
      </c>
      <c r="I1815">
        <v>24</v>
      </c>
      <c r="J1815" t="s">
        <v>4440</v>
      </c>
      <c r="K1815" t="s">
        <v>4441</v>
      </c>
      <c r="L1815" t="s">
        <v>4454</v>
      </c>
      <c r="M1815" t="s">
        <v>4446</v>
      </c>
      <c r="N1815">
        <v>4</v>
      </c>
    </row>
    <row r="1816" spans="1:14" x14ac:dyDescent="0.35">
      <c r="A1816" t="s">
        <v>6295</v>
      </c>
      <c r="B1816" t="s">
        <v>450</v>
      </c>
      <c r="C1816" t="s">
        <v>1927</v>
      </c>
      <c r="D1816" t="s">
        <v>4438</v>
      </c>
      <c r="E1816" t="s">
        <v>4444</v>
      </c>
      <c r="F1816" s="3">
        <v>45440</v>
      </c>
      <c r="G1816" s="3">
        <v>45440</v>
      </c>
      <c r="H1816">
        <v>7.7</v>
      </c>
      <c r="I1816">
        <v>24</v>
      </c>
      <c r="J1816" t="s">
        <v>4448</v>
      </c>
      <c r="K1816" t="s">
        <v>4441</v>
      </c>
      <c r="L1816" t="s">
        <v>4492</v>
      </c>
      <c r="M1816" t="s">
        <v>1625</v>
      </c>
      <c r="N1816">
        <v>5</v>
      </c>
    </row>
    <row r="1817" spans="1:14" x14ac:dyDescent="0.35">
      <c r="A1817" t="s">
        <v>6296</v>
      </c>
      <c r="B1817" t="s">
        <v>494</v>
      </c>
      <c r="C1817" t="s">
        <v>1890</v>
      </c>
      <c r="D1817" t="s">
        <v>4479</v>
      </c>
      <c r="E1817" t="s">
        <v>4456</v>
      </c>
      <c r="F1817" s="3">
        <v>45068</v>
      </c>
      <c r="G1817" s="3">
        <v>45068</v>
      </c>
      <c r="H1817">
        <v>5.8</v>
      </c>
      <c r="I1817">
        <v>4</v>
      </c>
      <c r="J1817" t="s">
        <v>4440</v>
      </c>
      <c r="K1817" t="s">
        <v>4441</v>
      </c>
      <c r="L1817" t="s">
        <v>4465</v>
      </c>
      <c r="M1817" t="s">
        <v>4462</v>
      </c>
      <c r="N1817">
        <v>4</v>
      </c>
    </row>
    <row r="1818" spans="1:14" x14ac:dyDescent="0.35">
      <c r="A1818" t="s">
        <v>6297</v>
      </c>
      <c r="B1818" t="s">
        <v>319</v>
      </c>
      <c r="C1818" t="s">
        <v>1927</v>
      </c>
      <c r="D1818" t="s">
        <v>4485</v>
      </c>
      <c r="E1818" t="s">
        <v>4444</v>
      </c>
      <c r="F1818" s="3">
        <v>45181</v>
      </c>
      <c r="G1818" s="3">
        <v>45182</v>
      </c>
      <c r="H1818">
        <v>35.799999999999997</v>
      </c>
      <c r="I1818">
        <v>24</v>
      </c>
      <c r="J1818" t="s">
        <v>4440</v>
      </c>
      <c r="K1818" t="s">
        <v>4441</v>
      </c>
      <c r="L1818" t="s">
        <v>4449</v>
      </c>
      <c r="M1818" t="s">
        <v>4462</v>
      </c>
      <c r="N1818">
        <v>4</v>
      </c>
    </row>
    <row r="1819" spans="1:14" x14ac:dyDescent="0.35">
      <c r="A1819" t="s">
        <v>6298</v>
      </c>
      <c r="B1819" t="s">
        <v>97</v>
      </c>
      <c r="C1819" t="s">
        <v>1883</v>
      </c>
      <c r="D1819" t="s">
        <v>4472</v>
      </c>
      <c r="E1819" t="s">
        <v>4439</v>
      </c>
      <c r="F1819" s="3">
        <v>45195</v>
      </c>
      <c r="G1819" s="3">
        <v>45196</v>
      </c>
      <c r="H1819">
        <v>25.5</v>
      </c>
      <c r="I1819">
        <v>48</v>
      </c>
      <c r="J1819" t="s">
        <v>4448</v>
      </c>
      <c r="K1819" t="s">
        <v>4441</v>
      </c>
      <c r="L1819" t="s">
        <v>4527</v>
      </c>
      <c r="M1819" t="s">
        <v>4450</v>
      </c>
      <c r="N1819">
        <v>1</v>
      </c>
    </row>
    <row r="1820" spans="1:14" x14ac:dyDescent="0.35">
      <c r="A1820" t="s">
        <v>6299</v>
      </c>
      <c r="B1820" t="s">
        <v>496</v>
      </c>
      <c r="C1820" t="s">
        <v>1915</v>
      </c>
      <c r="D1820" t="s">
        <v>4485</v>
      </c>
      <c r="E1820" t="s">
        <v>4439</v>
      </c>
      <c r="F1820" s="3">
        <v>45663</v>
      </c>
      <c r="G1820" s="3" t="s">
        <v>537</v>
      </c>
      <c r="I1820">
        <v>48</v>
      </c>
      <c r="J1820" t="s">
        <v>4440</v>
      </c>
      <c r="K1820" t="s">
        <v>4457</v>
      </c>
      <c r="L1820" t="s">
        <v>4449</v>
      </c>
      <c r="M1820" t="s">
        <v>1625</v>
      </c>
    </row>
    <row r="1821" spans="1:14" x14ac:dyDescent="0.35">
      <c r="A1821" t="s">
        <v>6300</v>
      </c>
      <c r="B1821" t="s">
        <v>389</v>
      </c>
      <c r="C1821" t="s">
        <v>1915</v>
      </c>
      <c r="D1821" t="s">
        <v>4482</v>
      </c>
      <c r="E1821" t="s">
        <v>4473</v>
      </c>
      <c r="F1821" s="3">
        <v>44964</v>
      </c>
      <c r="G1821" s="3">
        <v>44964</v>
      </c>
      <c r="H1821">
        <v>5.7</v>
      </c>
      <c r="I1821">
        <v>8</v>
      </c>
      <c r="J1821" t="s">
        <v>4448</v>
      </c>
      <c r="K1821" t="s">
        <v>4441</v>
      </c>
      <c r="L1821" t="s">
        <v>4461</v>
      </c>
      <c r="M1821" t="s">
        <v>1625</v>
      </c>
      <c r="N1821">
        <v>5</v>
      </c>
    </row>
    <row r="1822" spans="1:14" x14ac:dyDescent="0.35">
      <c r="A1822" t="s">
        <v>6301</v>
      </c>
      <c r="B1822" t="s">
        <v>130</v>
      </c>
      <c r="C1822" t="s">
        <v>1927</v>
      </c>
      <c r="D1822" t="s">
        <v>4469</v>
      </c>
      <c r="E1822" t="s">
        <v>4444</v>
      </c>
      <c r="F1822" s="3">
        <v>44957</v>
      </c>
      <c r="G1822" s="3">
        <v>44959</v>
      </c>
      <c r="H1822">
        <v>59.5</v>
      </c>
      <c r="I1822">
        <v>24</v>
      </c>
      <c r="J1822" t="s">
        <v>4440</v>
      </c>
      <c r="K1822" t="s">
        <v>4441</v>
      </c>
      <c r="L1822" t="s">
        <v>4461</v>
      </c>
      <c r="M1822" t="s">
        <v>4446</v>
      </c>
      <c r="N1822">
        <v>5</v>
      </c>
    </row>
    <row r="1823" spans="1:14" x14ac:dyDescent="0.35">
      <c r="A1823" t="s">
        <v>6302</v>
      </c>
      <c r="B1823" t="s">
        <v>381</v>
      </c>
      <c r="C1823" t="s">
        <v>1899</v>
      </c>
      <c r="D1823" t="s">
        <v>4464</v>
      </c>
      <c r="E1823" t="s">
        <v>4444</v>
      </c>
      <c r="F1823" s="3">
        <v>45735</v>
      </c>
      <c r="G1823" s="3">
        <v>45736</v>
      </c>
      <c r="H1823">
        <v>41.2</v>
      </c>
      <c r="I1823">
        <v>24</v>
      </c>
      <c r="J1823" t="s">
        <v>4440</v>
      </c>
      <c r="K1823" t="s">
        <v>4441</v>
      </c>
      <c r="L1823" t="s">
        <v>4470</v>
      </c>
      <c r="M1823" t="s">
        <v>4446</v>
      </c>
      <c r="N1823">
        <v>5</v>
      </c>
    </row>
    <row r="1824" spans="1:14" x14ac:dyDescent="0.35">
      <c r="A1824" t="s">
        <v>6303</v>
      </c>
      <c r="B1824" t="s">
        <v>144</v>
      </c>
      <c r="C1824" t="s">
        <v>1890</v>
      </c>
      <c r="D1824" t="s">
        <v>4485</v>
      </c>
      <c r="E1824" t="s">
        <v>4473</v>
      </c>
      <c r="F1824" s="3">
        <v>45666</v>
      </c>
      <c r="G1824" s="3">
        <v>45666</v>
      </c>
      <c r="H1824">
        <v>14</v>
      </c>
      <c r="I1824">
        <v>8</v>
      </c>
      <c r="J1824" t="s">
        <v>4440</v>
      </c>
      <c r="K1824" t="s">
        <v>4441</v>
      </c>
      <c r="L1824" t="s">
        <v>4461</v>
      </c>
      <c r="M1824" t="s">
        <v>4446</v>
      </c>
      <c r="N1824">
        <v>4</v>
      </c>
    </row>
    <row r="1825" spans="1:14" x14ac:dyDescent="0.35">
      <c r="A1825" t="s">
        <v>6304</v>
      </c>
      <c r="B1825" t="s">
        <v>131</v>
      </c>
      <c r="C1825" t="s">
        <v>1899</v>
      </c>
      <c r="D1825" t="s">
        <v>4476</v>
      </c>
      <c r="E1825" t="s">
        <v>4439</v>
      </c>
      <c r="F1825" s="3">
        <v>45101</v>
      </c>
      <c r="G1825" s="3">
        <v>45104</v>
      </c>
      <c r="H1825">
        <v>87.4</v>
      </c>
      <c r="I1825">
        <v>48</v>
      </c>
      <c r="J1825" t="s">
        <v>4440</v>
      </c>
      <c r="K1825" t="s">
        <v>4441</v>
      </c>
      <c r="L1825" t="s">
        <v>4514</v>
      </c>
      <c r="M1825" t="s">
        <v>4462</v>
      </c>
      <c r="N1825">
        <v>5</v>
      </c>
    </row>
    <row r="1826" spans="1:14" x14ac:dyDescent="0.35">
      <c r="A1826" t="s">
        <v>6305</v>
      </c>
      <c r="B1826" t="s">
        <v>460</v>
      </c>
      <c r="C1826" t="s">
        <v>1899</v>
      </c>
      <c r="D1826" t="s">
        <v>4472</v>
      </c>
      <c r="E1826" t="s">
        <v>4456</v>
      </c>
      <c r="F1826" s="3">
        <v>45603</v>
      </c>
      <c r="G1826" s="3">
        <v>45603</v>
      </c>
      <c r="H1826">
        <v>5.6</v>
      </c>
      <c r="I1826">
        <v>4</v>
      </c>
      <c r="J1826" t="s">
        <v>4440</v>
      </c>
      <c r="K1826" t="s">
        <v>4441</v>
      </c>
      <c r="L1826" t="s">
        <v>4445</v>
      </c>
      <c r="M1826" t="s">
        <v>4462</v>
      </c>
    </row>
    <row r="1827" spans="1:14" x14ac:dyDescent="0.35">
      <c r="A1827" t="s">
        <v>6306</v>
      </c>
      <c r="B1827" t="s">
        <v>196</v>
      </c>
      <c r="C1827" t="s">
        <v>1890</v>
      </c>
      <c r="D1827" t="s">
        <v>4472</v>
      </c>
      <c r="E1827" t="s">
        <v>4473</v>
      </c>
      <c r="F1827" s="3">
        <v>45346</v>
      </c>
      <c r="G1827" s="3">
        <v>45346</v>
      </c>
      <c r="H1827">
        <v>9.9</v>
      </c>
      <c r="I1827">
        <v>8</v>
      </c>
      <c r="J1827" t="s">
        <v>4440</v>
      </c>
      <c r="K1827" t="s">
        <v>4441</v>
      </c>
      <c r="L1827" t="s">
        <v>4480</v>
      </c>
      <c r="M1827" t="s">
        <v>4446</v>
      </c>
      <c r="N1827">
        <v>3</v>
      </c>
    </row>
    <row r="1828" spans="1:14" x14ac:dyDescent="0.35">
      <c r="A1828" t="s">
        <v>6307</v>
      </c>
      <c r="B1828" t="s">
        <v>234</v>
      </c>
      <c r="C1828" t="s">
        <v>1883</v>
      </c>
      <c r="D1828" t="s">
        <v>4482</v>
      </c>
      <c r="E1828" t="s">
        <v>4473</v>
      </c>
      <c r="F1828" s="3">
        <v>45721</v>
      </c>
      <c r="G1828" s="3">
        <v>45721</v>
      </c>
      <c r="H1828">
        <v>12.6</v>
      </c>
      <c r="I1828">
        <v>8</v>
      </c>
      <c r="J1828" t="s">
        <v>4440</v>
      </c>
      <c r="K1828" t="s">
        <v>4441</v>
      </c>
      <c r="L1828" t="s">
        <v>4492</v>
      </c>
      <c r="M1828" t="s">
        <v>1625</v>
      </c>
      <c r="N1828">
        <v>4</v>
      </c>
    </row>
    <row r="1829" spans="1:14" x14ac:dyDescent="0.35">
      <c r="A1829" t="s">
        <v>6308</v>
      </c>
      <c r="B1829" t="s">
        <v>466</v>
      </c>
      <c r="C1829" t="s">
        <v>1927</v>
      </c>
      <c r="D1829" t="s">
        <v>4490</v>
      </c>
      <c r="E1829" t="s">
        <v>4456</v>
      </c>
      <c r="F1829" s="3">
        <v>45534</v>
      </c>
      <c r="G1829" s="3">
        <v>45534</v>
      </c>
      <c r="H1829">
        <v>4.9000000000000004</v>
      </c>
      <c r="I1829">
        <v>4</v>
      </c>
      <c r="J1829" t="s">
        <v>4440</v>
      </c>
      <c r="K1829" t="s">
        <v>4441</v>
      </c>
      <c r="L1829" t="s">
        <v>4509</v>
      </c>
      <c r="M1829" t="s">
        <v>4462</v>
      </c>
      <c r="N1829">
        <v>3</v>
      </c>
    </row>
    <row r="1830" spans="1:14" x14ac:dyDescent="0.35">
      <c r="A1830" t="s">
        <v>6309</v>
      </c>
      <c r="B1830" t="s">
        <v>118</v>
      </c>
      <c r="C1830" t="s">
        <v>1899</v>
      </c>
      <c r="D1830" t="s">
        <v>4482</v>
      </c>
      <c r="E1830" t="s">
        <v>4473</v>
      </c>
      <c r="F1830" s="3">
        <v>45641</v>
      </c>
      <c r="G1830" s="3">
        <v>45641</v>
      </c>
      <c r="H1830">
        <v>10.4</v>
      </c>
      <c r="I1830">
        <v>8</v>
      </c>
      <c r="J1830" t="s">
        <v>4440</v>
      </c>
      <c r="K1830" t="s">
        <v>4441</v>
      </c>
      <c r="L1830" t="s">
        <v>4465</v>
      </c>
      <c r="M1830" t="s">
        <v>1625</v>
      </c>
      <c r="N1830">
        <v>4</v>
      </c>
    </row>
    <row r="1831" spans="1:14" x14ac:dyDescent="0.35">
      <c r="A1831" t="s">
        <v>6310</v>
      </c>
      <c r="B1831" t="s">
        <v>303</v>
      </c>
      <c r="C1831" t="s">
        <v>1904</v>
      </c>
      <c r="D1831" t="s">
        <v>4464</v>
      </c>
      <c r="E1831" t="s">
        <v>4473</v>
      </c>
      <c r="F1831" s="3">
        <v>45021</v>
      </c>
      <c r="G1831" s="3">
        <v>45021</v>
      </c>
      <c r="H1831">
        <v>8</v>
      </c>
      <c r="I1831">
        <v>8</v>
      </c>
      <c r="J1831" t="s">
        <v>4448</v>
      </c>
      <c r="K1831" t="s">
        <v>4441</v>
      </c>
      <c r="L1831" t="s">
        <v>4512</v>
      </c>
      <c r="M1831" t="s">
        <v>4446</v>
      </c>
      <c r="N1831">
        <v>1</v>
      </c>
    </row>
    <row r="1832" spans="1:14" x14ac:dyDescent="0.35">
      <c r="A1832" t="s">
        <v>6311</v>
      </c>
      <c r="B1832" t="s">
        <v>130</v>
      </c>
      <c r="C1832" t="s">
        <v>1927</v>
      </c>
      <c r="D1832" t="s">
        <v>4490</v>
      </c>
      <c r="E1832" t="s">
        <v>4473</v>
      </c>
      <c r="F1832" s="3">
        <v>45629</v>
      </c>
      <c r="G1832" s="3">
        <v>45629</v>
      </c>
      <c r="H1832">
        <v>19.100000000000001</v>
      </c>
      <c r="I1832">
        <v>8</v>
      </c>
      <c r="J1832" t="s">
        <v>4440</v>
      </c>
      <c r="K1832" t="s">
        <v>4441</v>
      </c>
      <c r="L1832" t="s">
        <v>4470</v>
      </c>
      <c r="M1832" t="s">
        <v>4462</v>
      </c>
      <c r="N1832">
        <v>4</v>
      </c>
    </row>
    <row r="1833" spans="1:14" x14ac:dyDescent="0.35">
      <c r="A1833" t="s">
        <v>6312</v>
      </c>
      <c r="B1833" t="s">
        <v>245</v>
      </c>
      <c r="C1833" t="s">
        <v>1899</v>
      </c>
      <c r="D1833" t="s">
        <v>4464</v>
      </c>
      <c r="E1833" t="s">
        <v>4439</v>
      </c>
      <c r="F1833" s="3">
        <v>44955</v>
      </c>
      <c r="G1833" s="3">
        <v>44956</v>
      </c>
      <c r="H1833">
        <v>26.7</v>
      </c>
      <c r="I1833">
        <v>48</v>
      </c>
      <c r="J1833" t="s">
        <v>4448</v>
      </c>
      <c r="K1833" t="s">
        <v>4441</v>
      </c>
      <c r="L1833" t="s">
        <v>4480</v>
      </c>
      <c r="M1833" t="s">
        <v>1625</v>
      </c>
      <c r="N1833">
        <v>4</v>
      </c>
    </row>
    <row r="1834" spans="1:14" x14ac:dyDescent="0.35">
      <c r="A1834" t="s">
        <v>6313</v>
      </c>
      <c r="B1834" t="s">
        <v>491</v>
      </c>
      <c r="C1834" t="s">
        <v>1904</v>
      </c>
      <c r="D1834" t="s">
        <v>4476</v>
      </c>
      <c r="E1834" t="s">
        <v>4473</v>
      </c>
      <c r="F1834" s="3">
        <v>45319</v>
      </c>
      <c r="G1834" s="3" t="s">
        <v>537</v>
      </c>
      <c r="I1834">
        <v>8</v>
      </c>
      <c r="J1834" t="s">
        <v>4448</v>
      </c>
      <c r="K1834" t="s">
        <v>4457</v>
      </c>
      <c r="L1834" t="s">
        <v>4492</v>
      </c>
      <c r="M1834" t="s">
        <v>4462</v>
      </c>
    </row>
    <row r="1835" spans="1:14" x14ac:dyDescent="0.35">
      <c r="A1835" t="s">
        <v>6314</v>
      </c>
      <c r="B1835" t="s">
        <v>401</v>
      </c>
      <c r="C1835" t="s">
        <v>1904</v>
      </c>
      <c r="D1835" t="s">
        <v>4469</v>
      </c>
      <c r="E1835" t="s">
        <v>4439</v>
      </c>
      <c r="F1835" s="3">
        <v>45322</v>
      </c>
      <c r="G1835" s="3">
        <v>45323</v>
      </c>
      <c r="H1835">
        <v>27.3</v>
      </c>
      <c r="I1835">
        <v>48</v>
      </c>
      <c r="J1835" t="s">
        <v>4448</v>
      </c>
      <c r="K1835" t="s">
        <v>4441</v>
      </c>
      <c r="L1835" t="s">
        <v>4449</v>
      </c>
      <c r="M1835" t="s">
        <v>4446</v>
      </c>
      <c r="N1835">
        <v>3</v>
      </c>
    </row>
    <row r="1836" spans="1:14" x14ac:dyDescent="0.35">
      <c r="A1836" t="s">
        <v>6315</v>
      </c>
      <c r="B1836" t="s">
        <v>475</v>
      </c>
      <c r="C1836" t="s">
        <v>1883</v>
      </c>
      <c r="D1836" t="s">
        <v>4482</v>
      </c>
      <c r="E1836" t="s">
        <v>4473</v>
      </c>
      <c r="F1836" s="3">
        <v>44938</v>
      </c>
      <c r="G1836" s="3">
        <v>44938</v>
      </c>
      <c r="H1836">
        <v>13.2</v>
      </c>
      <c r="I1836">
        <v>8</v>
      </c>
      <c r="J1836" t="s">
        <v>4440</v>
      </c>
      <c r="K1836" t="s">
        <v>4441</v>
      </c>
      <c r="L1836" t="s">
        <v>4501</v>
      </c>
      <c r="M1836" t="s">
        <v>1625</v>
      </c>
    </row>
    <row r="1837" spans="1:14" x14ac:dyDescent="0.35">
      <c r="A1837" t="s">
        <v>6316</v>
      </c>
      <c r="B1837" t="s">
        <v>152</v>
      </c>
      <c r="C1837" t="s">
        <v>1899</v>
      </c>
      <c r="D1837" t="s">
        <v>4476</v>
      </c>
      <c r="E1837" t="s">
        <v>4444</v>
      </c>
      <c r="F1837" s="3">
        <v>45202</v>
      </c>
      <c r="G1837" s="3">
        <v>45203</v>
      </c>
      <c r="H1837">
        <v>47</v>
      </c>
      <c r="I1837">
        <v>24</v>
      </c>
      <c r="J1837" t="s">
        <v>4440</v>
      </c>
      <c r="K1837" t="s">
        <v>4441</v>
      </c>
      <c r="L1837" t="s">
        <v>4533</v>
      </c>
      <c r="M1837" t="s">
        <v>4446</v>
      </c>
    </row>
    <row r="1838" spans="1:14" x14ac:dyDescent="0.35">
      <c r="A1838" t="s">
        <v>6317</v>
      </c>
      <c r="B1838" t="s">
        <v>186</v>
      </c>
      <c r="C1838" t="s">
        <v>1927</v>
      </c>
      <c r="D1838" t="s">
        <v>4476</v>
      </c>
      <c r="E1838" t="s">
        <v>4473</v>
      </c>
      <c r="F1838" s="3">
        <v>44969</v>
      </c>
      <c r="G1838" s="3">
        <v>44969</v>
      </c>
      <c r="H1838">
        <v>1.5</v>
      </c>
      <c r="I1838">
        <v>8</v>
      </c>
      <c r="J1838" t="s">
        <v>4448</v>
      </c>
      <c r="K1838" t="s">
        <v>4441</v>
      </c>
      <c r="L1838" t="s">
        <v>4527</v>
      </c>
      <c r="M1838" t="s">
        <v>4462</v>
      </c>
      <c r="N1838">
        <v>4</v>
      </c>
    </row>
    <row r="1839" spans="1:14" x14ac:dyDescent="0.35">
      <c r="A1839" t="s">
        <v>6318</v>
      </c>
      <c r="B1839" t="s">
        <v>337</v>
      </c>
      <c r="C1839" t="s">
        <v>1915</v>
      </c>
      <c r="D1839" t="s">
        <v>4490</v>
      </c>
      <c r="E1839" t="s">
        <v>4439</v>
      </c>
      <c r="F1839" s="3">
        <v>45325</v>
      </c>
      <c r="G1839" s="3">
        <v>45325</v>
      </c>
      <c r="H1839">
        <v>18.7</v>
      </c>
      <c r="I1839">
        <v>48</v>
      </c>
      <c r="J1839" t="s">
        <v>4448</v>
      </c>
      <c r="K1839" t="s">
        <v>4441</v>
      </c>
      <c r="L1839" t="s">
        <v>4501</v>
      </c>
      <c r="M1839" t="s">
        <v>1625</v>
      </c>
      <c r="N1839">
        <v>5</v>
      </c>
    </row>
    <row r="1840" spans="1:14" x14ac:dyDescent="0.35">
      <c r="A1840" t="s">
        <v>6319</v>
      </c>
      <c r="B1840" t="s">
        <v>406</v>
      </c>
      <c r="C1840" t="s">
        <v>1904</v>
      </c>
      <c r="D1840" t="s">
        <v>4438</v>
      </c>
      <c r="E1840" t="s">
        <v>4444</v>
      </c>
      <c r="F1840" s="3">
        <v>45496</v>
      </c>
      <c r="G1840" s="3" t="s">
        <v>537</v>
      </c>
      <c r="I1840">
        <v>24</v>
      </c>
      <c r="J1840" t="s">
        <v>4440</v>
      </c>
      <c r="K1840" t="s">
        <v>4474</v>
      </c>
      <c r="L1840" t="s">
        <v>4483</v>
      </c>
      <c r="M1840" t="s">
        <v>4446</v>
      </c>
    </row>
    <row r="1841" spans="1:14" x14ac:dyDescent="0.35">
      <c r="A1841" t="s">
        <v>6320</v>
      </c>
      <c r="B1841" t="s">
        <v>403</v>
      </c>
      <c r="C1841" t="s">
        <v>1915</v>
      </c>
      <c r="D1841" t="s">
        <v>4472</v>
      </c>
      <c r="E1841" t="s">
        <v>4444</v>
      </c>
      <c r="F1841" s="3">
        <v>45357</v>
      </c>
      <c r="G1841" s="3" t="s">
        <v>537</v>
      </c>
      <c r="I1841">
        <v>24</v>
      </c>
      <c r="J1841" t="s">
        <v>4448</v>
      </c>
      <c r="K1841" t="s">
        <v>4474</v>
      </c>
      <c r="L1841" t="s">
        <v>4449</v>
      </c>
      <c r="M1841" t="s">
        <v>4450</v>
      </c>
    </row>
    <row r="1842" spans="1:14" x14ac:dyDescent="0.35">
      <c r="A1842" t="s">
        <v>6321</v>
      </c>
      <c r="B1842" t="s">
        <v>162</v>
      </c>
      <c r="C1842" t="s">
        <v>1927</v>
      </c>
      <c r="D1842" t="s">
        <v>4476</v>
      </c>
      <c r="E1842" t="s">
        <v>4473</v>
      </c>
      <c r="F1842" s="3">
        <v>44940</v>
      </c>
      <c r="G1842" s="3" t="s">
        <v>537</v>
      </c>
      <c r="I1842">
        <v>8</v>
      </c>
      <c r="J1842" t="s">
        <v>4440</v>
      </c>
      <c r="K1842" t="s">
        <v>4453</v>
      </c>
      <c r="L1842" t="s">
        <v>4509</v>
      </c>
      <c r="M1842" t="s">
        <v>4450</v>
      </c>
    </row>
    <row r="1843" spans="1:14" x14ac:dyDescent="0.35">
      <c r="A1843" t="s">
        <v>6322</v>
      </c>
      <c r="B1843" t="s">
        <v>426</v>
      </c>
      <c r="C1843" t="s">
        <v>1883</v>
      </c>
      <c r="D1843" t="s">
        <v>4443</v>
      </c>
      <c r="E1843" t="s">
        <v>4473</v>
      </c>
      <c r="F1843" s="3">
        <v>45474</v>
      </c>
      <c r="G1843" s="3">
        <v>45474</v>
      </c>
      <c r="H1843">
        <v>10.9</v>
      </c>
      <c r="I1843">
        <v>8</v>
      </c>
      <c r="J1843" t="s">
        <v>4440</v>
      </c>
      <c r="K1843" t="s">
        <v>4441</v>
      </c>
      <c r="L1843" t="s">
        <v>4458</v>
      </c>
      <c r="M1843" t="s">
        <v>4450</v>
      </c>
    </row>
    <row r="1844" spans="1:14" x14ac:dyDescent="0.35">
      <c r="A1844" t="s">
        <v>6323</v>
      </c>
      <c r="B1844" t="s">
        <v>32</v>
      </c>
      <c r="C1844" t="s">
        <v>1890</v>
      </c>
      <c r="D1844" t="s">
        <v>4476</v>
      </c>
      <c r="E1844" t="s">
        <v>4439</v>
      </c>
      <c r="F1844" s="3">
        <v>45061</v>
      </c>
      <c r="G1844" s="3">
        <v>45061</v>
      </c>
      <c r="H1844">
        <v>13</v>
      </c>
      <c r="I1844">
        <v>48</v>
      </c>
      <c r="J1844" t="s">
        <v>4448</v>
      </c>
      <c r="K1844" t="s">
        <v>4441</v>
      </c>
      <c r="L1844" t="s">
        <v>4467</v>
      </c>
      <c r="M1844" t="s">
        <v>1625</v>
      </c>
      <c r="N1844">
        <v>3</v>
      </c>
    </row>
    <row r="1845" spans="1:14" x14ac:dyDescent="0.35">
      <c r="A1845" t="s">
        <v>6324</v>
      </c>
      <c r="B1845" t="s">
        <v>169</v>
      </c>
      <c r="C1845" t="s">
        <v>1883</v>
      </c>
      <c r="D1845" t="s">
        <v>4438</v>
      </c>
      <c r="E1845" t="s">
        <v>4444</v>
      </c>
      <c r="F1845" s="3">
        <v>45257</v>
      </c>
      <c r="G1845" s="3">
        <v>45257</v>
      </c>
      <c r="H1845">
        <v>8.4</v>
      </c>
      <c r="I1845">
        <v>24</v>
      </c>
      <c r="J1845" t="s">
        <v>4448</v>
      </c>
      <c r="K1845" t="s">
        <v>4441</v>
      </c>
      <c r="L1845" t="s">
        <v>4580</v>
      </c>
      <c r="M1845" t="s">
        <v>4446</v>
      </c>
      <c r="N1845">
        <v>4</v>
      </c>
    </row>
    <row r="1846" spans="1:14" x14ac:dyDescent="0.35">
      <c r="A1846" t="s">
        <v>6325</v>
      </c>
      <c r="B1846" t="s">
        <v>332</v>
      </c>
      <c r="C1846" t="s">
        <v>1899</v>
      </c>
      <c r="D1846" t="s">
        <v>4490</v>
      </c>
      <c r="E1846" t="s">
        <v>4456</v>
      </c>
      <c r="F1846" s="3">
        <v>45172</v>
      </c>
      <c r="G1846" s="3">
        <v>45172</v>
      </c>
      <c r="H1846">
        <v>4.4000000000000004</v>
      </c>
      <c r="I1846">
        <v>4</v>
      </c>
      <c r="J1846" t="s">
        <v>4440</v>
      </c>
      <c r="K1846" t="s">
        <v>4441</v>
      </c>
      <c r="L1846" t="s">
        <v>4514</v>
      </c>
      <c r="M1846" t="s">
        <v>4446</v>
      </c>
      <c r="N1846">
        <v>5</v>
      </c>
    </row>
    <row r="1847" spans="1:14" x14ac:dyDescent="0.35">
      <c r="A1847" t="s">
        <v>6326</v>
      </c>
      <c r="B1847" t="s">
        <v>214</v>
      </c>
      <c r="C1847" t="s">
        <v>1904</v>
      </c>
      <c r="D1847" t="s">
        <v>4490</v>
      </c>
      <c r="E1847" t="s">
        <v>4439</v>
      </c>
      <c r="F1847" s="3">
        <v>45316</v>
      </c>
      <c r="G1847" s="3" t="s">
        <v>537</v>
      </c>
      <c r="I1847">
        <v>48</v>
      </c>
      <c r="J1847" t="s">
        <v>4448</v>
      </c>
      <c r="K1847" t="s">
        <v>4457</v>
      </c>
      <c r="L1847" t="s">
        <v>4483</v>
      </c>
      <c r="M1847" t="s">
        <v>4450</v>
      </c>
    </row>
    <row r="1848" spans="1:14" x14ac:dyDescent="0.35">
      <c r="A1848" t="s">
        <v>6327</v>
      </c>
      <c r="B1848" t="s">
        <v>425</v>
      </c>
      <c r="C1848" t="s">
        <v>1899</v>
      </c>
      <c r="D1848" t="s">
        <v>4452</v>
      </c>
      <c r="E1848" t="s">
        <v>4439</v>
      </c>
      <c r="F1848" s="3">
        <v>45088</v>
      </c>
      <c r="G1848" s="3">
        <v>45091</v>
      </c>
      <c r="H1848">
        <v>87.1</v>
      </c>
      <c r="I1848">
        <v>48</v>
      </c>
      <c r="J1848" t="s">
        <v>4440</v>
      </c>
      <c r="K1848" t="s">
        <v>4441</v>
      </c>
      <c r="L1848" t="s">
        <v>1907</v>
      </c>
      <c r="M1848" t="s">
        <v>1625</v>
      </c>
    </row>
    <row r="1849" spans="1:14" x14ac:dyDescent="0.35">
      <c r="A1849" t="s">
        <v>6328</v>
      </c>
      <c r="B1849" t="s">
        <v>310</v>
      </c>
      <c r="C1849" t="s">
        <v>1890</v>
      </c>
      <c r="D1849" t="s">
        <v>4482</v>
      </c>
      <c r="E1849" t="s">
        <v>4439</v>
      </c>
      <c r="F1849" s="3">
        <v>45105</v>
      </c>
      <c r="G1849" s="3">
        <v>45108</v>
      </c>
      <c r="H1849">
        <v>87.1</v>
      </c>
      <c r="I1849">
        <v>48</v>
      </c>
      <c r="J1849" t="s">
        <v>4440</v>
      </c>
      <c r="K1849" t="s">
        <v>4441</v>
      </c>
      <c r="L1849" t="s">
        <v>4454</v>
      </c>
      <c r="M1849" t="s">
        <v>4462</v>
      </c>
      <c r="N1849">
        <v>4</v>
      </c>
    </row>
    <row r="1850" spans="1:14" x14ac:dyDescent="0.35">
      <c r="A1850" t="s">
        <v>6329</v>
      </c>
      <c r="B1850" t="s">
        <v>275</v>
      </c>
      <c r="C1850" t="s">
        <v>1883</v>
      </c>
      <c r="D1850" t="s">
        <v>4438</v>
      </c>
      <c r="E1850" t="s">
        <v>4444</v>
      </c>
      <c r="F1850" s="3">
        <v>45519</v>
      </c>
      <c r="G1850" s="3">
        <v>45521</v>
      </c>
      <c r="H1850">
        <v>59.8</v>
      </c>
      <c r="I1850">
        <v>24</v>
      </c>
      <c r="J1850" t="s">
        <v>4440</v>
      </c>
      <c r="K1850" t="s">
        <v>4441</v>
      </c>
      <c r="L1850" t="s">
        <v>4465</v>
      </c>
      <c r="M1850" t="s">
        <v>4462</v>
      </c>
      <c r="N1850">
        <v>4</v>
      </c>
    </row>
    <row r="1851" spans="1:14" x14ac:dyDescent="0.35">
      <c r="A1851" t="s">
        <v>6330</v>
      </c>
      <c r="B1851" t="s">
        <v>147</v>
      </c>
      <c r="C1851" t="s">
        <v>1883</v>
      </c>
      <c r="D1851" t="s">
        <v>4460</v>
      </c>
      <c r="E1851" t="s">
        <v>4444</v>
      </c>
      <c r="F1851" s="3">
        <v>45705</v>
      </c>
      <c r="G1851" s="3" t="s">
        <v>537</v>
      </c>
      <c r="I1851">
        <v>24</v>
      </c>
      <c r="J1851" t="s">
        <v>4440</v>
      </c>
      <c r="K1851" t="s">
        <v>4457</v>
      </c>
      <c r="L1851" t="s">
        <v>4580</v>
      </c>
      <c r="M1851" t="s">
        <v>1625</v>
      </c>
    </row>
    <row r="1852" spans="1:14" x14ac:dyDescent="0.35">
      <c r="A1852" t="s">
        <v>6331</v>
      </c>
      <c r="B1852" t="s">
        <v>436</v>
      </c>
      <c r="C1852" t="s">
        <v>1904</v>
      </c>
      <c r="D1852" t="s">
        <v>4485</v>
      </c>
      <c r="E1852" t="s">
        <v>4439</v>
      </c>
      <c r="F1852" s="3">
        <v>45017</v>
      </c>
      <c r="G1852" s="3">
        <v>45021</v>
      </c>
      <c r="H1852">
        <v>110.9</v>
      </c>
      <c r="I1852">
        <v>48</v>
      </c>
      <c r="J1852" t="s">
        <v>4440</v>
      </c>
      <c r="K1852" t="s">
        <v>4441</v>
      </c>
      <c r="L1852" t="s">
        <v>4488</v>
      </c>
      <c r="M1852" t="s">
        <v>4462</v>
      </c>
      <c r="N1852">
        <v>4</v>
      </c>
    </row>
    <row r="1853" spans="1:14" x14ac:dyDescent="0.35">
      <c r="A1853" t="s">
        <v>6332</v>
      </c>
      <c r="B1853" t="s">
        <v>483</v>
      </c>
      <c r="C1853" t="s">
        <v>1883</v>
      </c>
      <c r="D1853" t="s">
        <v>4490</v>
      </c>
      <c r="E1853" t="s">
        <v>4444</v>
      </c>
      <c r="F1853" s="3">
        <v>45717</v>
      </c>
      <c r="G1853" s="3">
        <v>45718</v>
      </c>
      <c r="H1853">
        <v>38</v>
      </c>
      <c r="I1853">
        <v>24</v>
      </c>
      <c r="J1853" t="s">
        <v>4440</v>
      </c>
      <c r="K1853" t="s">
        <v>4441</v>
      </c>
      <c r="L1853" t="s">
        <v>4483</v>
      </c>
      <c r="M1853" t="s">
        <v>4446</v>
      </c>
      <c r="N1853">
        <v>4</v>
      </c>
    </row>
    <row r="1854" spans="1:14" x14ac:dyDescent="0.35">
      <c r="A1854" t="s">
        <v>6333</v>
      </c>
      <c r="B1854" t="s">
        <v>474</v>
      </c>
      <c r="C1854" t="s">
        <v>1915</v>
      </c>
      <c r="D1854" t="s">
        <v>4452</v>
      </c>
      <c r="E1854" t="s">
        <v>4473</v>
      </c>
      <c r="F1854" s="3">
        <v>44953</v>
      </c>
      <c r="G1854" s="3">
        <v>44953</v>
      </c>
      <c r="H1854">
        <v>0.9</v>
      </c>
      <c r="I1854">
        <v>8</v>
      </c>
      <c r="J1854" t="s">
        <v>4448</v>
      </c>
      <c r="K1854" t="s">
        <v>4441</v>
      </c>
      <c r="L1854" t="s">
        <v>4533</v>
      </c>
      <c r="M1854" t="s">
        <v>4446</v>
      </c>
      <c r="N1854">
        <v>5</v>
      </c>
    </row>
    <row r="1855" spans="1:14" x14ac:dyDescent="0.35">
      <c r="A1855" t="s">
        <v>6334</v>
      </c>
      <c r="B1855" t="s">
        <v>319</v>
      </c>
      <c r="C1855" t="s">
        <v>1927</v>
      </c>
      <c r="D1855" t="s">
        <v>4472</v>
      </c>
      <c r="E1855" t="s">
        <v>4444</v>
      </c>
      <c r="F1855" s="3">
        <v>45255</v>
      </c>
      <c r="G1855" s="3" t="s">
        <v>537</v>
      </c>
      <c r="I1855">
        <v>24</v>
      </c>
      <c r="J1855" t="s">
        <v>4440</v>
      </c>
      <c r="K1855" t="s">
        <v>4453</v>
      </c>
      <c r="L1855" t="s">
        <v>1907</v>
      </c>
      <c r="M1855" t="s">
        <v>4450</v>
      </c>
    </row>
    <row r="1856" spans="1:14" x14ac:dyDescent="0.35">
      <c r="A1856" t="s">
        <v>6335</v>
      </c>
      <c r="B1856" t="s">
        <v>458</v>
      </c>
      <c r="C1856" t="s">
        <v>1915</v>
      </c>
      <c r="D1856" t="s">
        <v>4443</v>
      </c>
      <c r="E1856" t="s">
        <v>4473</v>
      </c>
      <c r="F1856" s="3">
        <v>45665</v>
      </c>
      <c r="G1856" s="3">
        <v>45665</v>
      </c>
      <c r="H1856">
        <v>15.8</v>
      </c>
      <c r="I1856">
        <v>8</v>
      </c>
      <c r="J1856" t="s">
        <v>4440</v>
      </c>
      <c r="K1856" t="s">
        <v>4441</v>
      </c>
      <c r="L1856" t="s">
        <v>4483</v>
      </c>
      <c r="M1856" t="s">
        <v>4462</v>
      </c>
      <c r="N1856">
        <v>4</v>
      </c>
    </row>
    <row r="1857" spans="1:14" x14ac:dyDescent="0.35">
      <c r="A1857" t="s">
        <v>6336</v>
      </c>
      <c r="B1857" t="s">
        <v>214</v>
      </c>
      <c r="C1857" t="s">
        <v>1927</v>
      </c>
      <c r="D1857" t="s">
        <v>4460</v>
      </c>
      <c r="E1857" t="s">
        <v>4439</v>
      </c>
      <c r="F1857" s="3">
        <v>45278</v>
      </c>
      <c r="G1857" s="3">
        <v>45279</v>
      </c>
      <c r="H1857">
        <v>44.5</v>
      </c>
      <c r="I1857">
        <v>48</v>
      </c>
      <c r="J1857" t="s">
        <v>4448</v>
      </c>
      <c r="K1857" t="s">
        <v>4441</v>
      </c>
      <c r="L1857" t="s">
        <v>4458</v>
      </c>
      <c r="M1857" t="s">
        <v>4462</v>
      </c>
      <c r="N1857">
        <v>4</v>
      </c>
    </row>
    <row r="1858" spans="1:14" x14ac:dyDescent="0.35">
      <c r="A1858" t="s">
        <v>6337</v>
      </c>
      <c r="B1858" t="s">
        <v>216</v>
      </c>
      <c r="C1858" t="s">
        <v>1904</v>
      </c>
      <c r="D1858" t="s">
        <v>4476</v>
      </c>
      <c r="E1858" t="s">
        <v>4444</v>
      </c>
      <c r="F1858" s="3">
        <v>45322</v>
      </c>
      <c r="G1858" s="3">
        <v>45322</v>
      </c>
      <c r="H1858">
        <v>3.7</v>
      </c>
      <c r="I1858">
        <v>24</v>
      </c>
      <c r="J1858" t="s">
        <v>4448</v>
      </c>
      <c r="K1858" t="s">
        <v>4441</v>
      </c>
      <c r="L1858" t="s">
        <v>4509</v>
      </c>
      <c r="M1858" t="s">
        <v>1625</v>
      </c>
      <c r="N1858">
        <v>5</v>
      </c>
    </row>
    <row r="1859" spans="1:14" x14ac:dyDescent="0.35">
      <c r="A1859" t="s">
        <v>6338</v>
      </c>
      <c r="B1859" t="s">
        <v>131</v>
      </c>
      <c r="C1859" t="s">
        <v>1899</v>
      </c>
      <c r="D1859" t="s">
        <v>4460</v>
      </c>
      <c r="E1859" t="s">
        <v>4444</v>
      </c>
      <c r="F1859" s="3">
        <v>45676</v>
      </c>
      <c r="G1859" s="3" t="s">
        <v>537</v>
      </c>
      <c r="I1859">
        <v>24</v>
      </c>
      <c r="J1859" t="s">
        <v>4448</v>
      </c>
      <c r="K1859" t="s">
        <v>4457</v>
      </c>
      <c r="L1859" t="s">
        <v>4470</v>
      </c>
      <c r="M1859" t="s">
        <v>4446</v>
      </c>
    </row>
    <row r="1860" spans="1:14" x14ac:dyDescent="0.35">
      <c r="A1860" t="s">
        <v>6339</v>
      </c>
      <c r="B1860" t="s">
        <v>490</v>
      </c>
      <c r="C1860" t="s">
        <v>1883</v>
      </c>
      <c r="D1860" t="s">
        <v>4460</v>
      </c>
      <c r="E1860" t="s">
        <v>4444</v>
      </c>
      <c r="F1860" s="3">
        <v>45039</v>
      </c>
      <c r="G1860" s="3">
        <v>45039</v>
      </c>
      <c r="H1860">
        <v>9</v>
      </c>
      <c r="I1860">
        <v>24</v>
      </c>
      <c r="J1860" t="s">
        <v>4448</v>
      </c>
      <c r="K1860" t="s">
        <v>4441</v>
      </c>
      <c r="L1860" t="s">
        <v>4492</v>
      </c>
      <c r="M1860" t="s">
        <v>4446</v>
      </c>
      <c r="N1860">
        <v>5</v>
      </c>
    </row>
    <row r="1861" spans="1:14" x14ac:dyDescent="0.35">
      <c r="A1861" t="s">
        <v>6340</v>
      </c>
      <c r="B1861" t="s">
        <v>158</v>
      </c>
      <c r="C1861" t="s">
        <v>1883</v>
      </c>
      <c r="D1861" t="s">
        <v>4443</v>
      </c>
      <c r="E1861" t="s">
        <v>4439</v>
      </c>
      <c r="F1861" s="3">
        <v>45029</v>
      </c>
      <c r="G1861" s="3">
        <v>45029</v>
      </c>
      <c r="H1861">
        <v>21</v>
      </c>
      <c r="I1861">
        <v>48</v>
      </c>
      <c r="J1861" t="s">
        <v>4448</v>
      </c>
      <c r="K1861" t="s">
        <v>4441</v>
      </c>
      <c r="L1861" t="s">
        <v>4533</v>
      </c>
      <c r="M1861" t="s">
        <v>4446</v>
      </c>
      <c r="N1861">
        <v>3</v>
      </c>
    </row>
    <row r="1862" spans="1:14" x14ac:dyDescent="0.35">
      <c r="A1862" t="s">
        <v>6341</v>
      </c>
      <c r="B1862" t="s">
        <v>307</v>
      </c>
      <c r="C1862" t="s">
        <v>1899</v>
      </c>
      <c r="D1862" t="s">
        <v>4479</v>
      </c>
      <c r="E1862" t="s">
        <v>4444</v>
      </c>
      <c r="F1862" s="3">
        <v>45554</v>
      </c>
      <c r="G1862" s="3">
        <v>45554</v>
      </c>
      <c r="H1862">
        <v>4.5999999999999996</v>
      </c>
      <c r="I1862">
        <v>24</v>
      </c>
      <c r="J1862" t="s">
        <v>4448</v>
      </c>
      <c r="K1862" t="s">
        <v>4441</v>
      </c>
      <c r="L1862" t="s">
        <v>4480</v>
      </c>
      <c r="M1862" t="s">
        <v>4450</v>
      </c>
      <c r="N1862">
        <v>4</v>
      </c>
    </row>
    <row r="1863" spans="1:14" x14ac:dyDescent="0.35">
      <c r="A1863" t="s">
        <v>6342</v>
      </c>
      <c r="B1863" t="s">
        <v>432</v>
      </c>
      <c r="C1863" t="s">
        <v>1927</v>
      </c>
      <c r="D1863" t="s">
        <v>4469</v>
      </c>
      <c r="E1863" t="s">
        <v>4439</v>
      </c>
      <c r="F1863" s="3">
        <v>44984</v>
      </c>
      <c r="G1863" s="3">
        <v>44987</v>
      </c>
      <c r="H1863">
        <v>75.8</v>
      </c>
      <c r="I1863">
        <v>48</v>
      </c>
      <c r="J1863" t="s">
        <v>4440</v>
      </c>
      <c r="K1863" t="s">
        <v>4441</v>
      </c>
      <c r="L1863" t="s">
        <v>4480</v>
      </c>
      <c r="M1863" t="s">
        <v>1625</v>
      </c>
      <c r="N1863">
        <v>4</v>
      </c>
    </row>
    <row r="1864" spans="1:14" x14ac:dyDescent="0.35">
      <c r="A1864" t="s">
        <v>6343</v>
      </c>
      <c r="B1864" t="s">
        <v>382</v>
      </c>
      <c r="C1864" t="s">
        <v>1904</v>
      </c>
      <c r="D1864" t="s">
        <v>4490</v>
      </c>
      <c r="E1864" t="s">
        <v>4444</v>
      </c>
      <c r="F1864" s="3">
        <v>45485</v>
      </c>
      <c r="G1864" s="3">
        <v>45487</v>
      </c>
      <c r="H1864">
        <v>49.1</v>
      </c>
      <c r="I1864">
        <v>24</v>
      </c>
      <c r="J1864" t="s">
        <v>4440</v>
      </c>
      <c r="K1864" t="s">
        <v>4441</v>
      </c>
      <c r="L1864" t="s">
        <v>4467</v>
      </c>
      <c r="M1864" t="s">
        <v>1625</v>
      </c>
      <c r="N1864">
        <v>4</v>
      </c>
    </row>
    <row r="1865" spans="1:14" x14ac:dyDescent="0.35">
      <c r="A1865" t="s">
        <v>6344</v>
      </c>
      <c r="B1865" t="s">
        <v>368</v>
      </c>
      <c r="C1865" t="s">
        <v>1915</v>
      </c>
      <c r="D1865" t="s">
        <v>4469</v>
      </c>
      <c r="E1865" t="s">
        <v>4444</v>
      </c>
      <c r="F1865" s="3">
        <v>45270</v>
      </c>
      <c r="G1865" s="3">
        <v>45270</v>
      </c>
      <c r="H1865">
        <v>7.5</v>
      </c>
      <c r="I1865">
        <v>24</v>
      </c>
      <c r="J1865" t="s">
        <v>1945</v>
      </c>
      <c r="K1865" t="s">
        <v>4441</v>
      </c>
      <c r="L1865" t="s">
        <v>4445</v>
      </c>
      <c r="M1865" t="s">
        <v>4450</v>
      </c>
      <c r="N1865">
        <v>3</v>
      </c>
    </row>
    <row r="1866" spans="1:14" x14ac:dyDescent="0.35">
      <c r="A1866" t="s">
        <v>6345</v>
      </c>
      <c r="B1866" t="s">
        <v>310</v>
      </c>
      <c r="C1866" t="s">
        <v>1915</v>
      </c>
      <c r="D1866" t="s">
        <v>4490</v>
      </c>
      <c r="E1866" t="s">
        <v>4439</v>
      </c>
      <c r="F1866" s="3">
        <v>45604</v>
      </c>
      <c r="G1866" s="3" t="s">
        <v>537</v>
      </c>
      <c r="I1866">
        <v>48</v>
      </c>
      <c r="J1866" t="s">
        <v>4440</v>
      </c>
      <c r="K1866" t="s">
        <v>4457</v>
      </c>
      <c r="L1866" t="s">
        <v>4449</v>
      </c>
      <c r="M1866" t="s">
        <v>4446</v>
      </c>
    </row>
    <row r="1867" spans="1:14" x14ac:dyDescent="0.35">
      <c r="A1867" t="s">
        <v>6346</v>
      </c>
      <c r="B1867" t="s">
        <v>152</v>
      </c>
      <c r="C1867" t="s">
        <v>1890</v>
      </c>
      <c r="D1867" t="s">
        <v>4469</v>
      </c>
      <c r="E1867" t="s">
        <v>4444</v>
      </c>
      <c r="F1867" s="3">
        <v>45592</v>
      </c>
      <c r="G1867" s="3" t="s">
        <v>537</v>
      </c>
      <c r="I1867">
        <v>24</v>
      </c>
      <c r="J1867" t="s">
        <v>4448</v>
      </c>
      <c r="K1867" t="s">
        <v>4457</v>
      </c>
      <c r="L1867" t="s">
        <v>4533</v>
      </c>
      <c r="M1867" t="s">
        <v>1625</v>
      </c>
    </row>
    <row r="1868" spans="1:14" x14ac:dyDescent="0.35">
      <c r="A1868" t="s">
        <v>6347</v>
      </c>
      <c r="B1868" t="s">
        <v>437</v>
      </c>
      <c r="C1868" t="s">
        <v>1890</v>
      </c>
      <c r="D1868" t="s">
        <v>4479</v>
      </c>
      <c r="E1868" t="s">
        <v>4473</v>
      </c>
      <c r="F1868" s="3">
        <v>45102</v>
      </c>
      <c r="G1868" s="3">
        <v>45102</v>
      </c>
      <c r="H1868">
        <v>8.1999999999999993</v>
      </c>
      <c r="I1868">
        <v>8</v>
      </c>
      <c r="J1868" t="s">
        <v>4440</v>
      </c>
      <c r="K1868" t="s">
        <v>4441</v>
      </c>
      <c r="L1868" t="s">
        <v>4458</v>
      </c>
      <c r="M1868" t="s">
        <v>4450</v>
      </c>
      <c r="N1868">
        <v>4</v>
      </c>
    </row>
    <row r="1869" spans="1:14" x14ac:dyDescent="0.35">
      <c r="A1869" t="s">
        <v>6348</v>
      </c>
      <c r="B1869" t="s">
        <v>295</v>
      </c>
      <c r="C1869" t="s">
        <v>1899</v>
      </c>
      <c r="D1869" t="s">
        <v>4438</v>
      </c>
      <c r="E1869" t="s">
        <v>4473</v>
      </c>
      <c r="F1869" s="3">
        <v>45522</v>
      </c>
      <c r="G1869" s="3" t="s">
        <v>537</v>
      </c>
      <c r="I1869">
        <v>8</v>
      </c>
      <c r="J1869" t="s">
        <v>4448</v>
      </c>
      <c r="K1869" t="s">
        <v>4457</v>
      </c>
      <c r="L1869" t="s">
        <v>4458</v>
      </c>
      <c r="M1869" t="s">
        <v>1625</v>
      </c>
    </row>
    <row r="1870" spans="1:14" x14ac:dyDescent="0.35">
      <c r="A1870" t="s">
        <v>6349</v>
      </c>
      <c r="B1870" t="s">
        <v>334</v>
      </c>
      <c r="C1870" t="s">
        <v>1899</v>
      </c>
      <c r="D1870" t="s">
        <v>4485</v>
      </c>
      <c r="E1870" t="s">
        <v>4456</v>
      </c>
      <c r="F1870" s="3">
        <v>45018</v>
      </c>
      <c r="G1870" s="3">
        <v>45018</v>
      </c>
      <c r="H1870">
        <v>9.1</v>
      </c>
      <c r="I1870">
        <v>4</v>
      </c>
      <c r="J1870" t="s">
        <v>4440</v>
      </c>
      <c r="K1870" t="s">
        <v>4441</v>
      </c>
      <c r="L1870" t="s">
        <v>4467</v>
      </c>
      <c r="M1870" t="s">
        <v>1625</v>
      </c>
      <c r="N1870">
        <v>4</v>
      </c>
    </row>
    <row r="1871" spans="1:14" x14ac:dyDescent="0.35">
      <c r="A1871" t="s">
        <v>6350</v>
      </c>
      <c r="B1871" t="s">
        <v>186</v>
      </c>
      <c r="C1871" t="s">
        <v>1927</v>
      </c>
      <c r="D1871" t="s">
        <v>4485</v>
      </c>
      <c r="E1871" t="s">
        <v>4439</v>
      </c>
      <c r="F1871" s="3">
        <v>45239</v>
      </c>
      <c r="G1871" s="3">
        <v>45240</v>
      </c>
      <c r="H1871">
        <v>34.200000000000003</v>
      </c>
      <c r="I1871">
        <v>48</v>
      </c>
      <c r="J1871" t="s">
        <v>4448</v>
      </c>
      <c r="K1871" t="s">
        <v>4441</v>
      </c>
      <c r="L1871" t="s">
        <v>4533</v>
      </c>
      <c r="M1871" t="s">
        <v>1625</v>
      </c>
      <c r="N1871">
        <v>3</v>
      </c>
    </row>
    <row r="1872" spans="1:14" x14ac:dyDescent="0.35">
      <c r="A1872" t="s">
        <v>6351</v>
      </c>
      <c r="B1872" t="s">
        <v>152</v>
      </c>
      <c r="C1872" t="s">
        <v>1883</v>
      </c>
      <c r="D1872" t="s">
        <v>4485</v>
      </c>
      <c r="E1872" t="s">
        <v>4444</v>
      </c>
      <c r="F1872" s="3">
        <v>45508</v>
      </c>
      <c r="G1872" s="3">
        <v>45508</v>
      </c>
      <c r="H1872">
        <v>8.8000000000000007</v>
      </c>
      <c r="I1872">
        <v>24</v>
      </c>
      <c r="J1872" t="s">
        <v>4448</v>
      </c>
      <c r="K1872" t="s">
        <v>4441</v>
      </c>
      <c r="L1872" t="s">
        <v>4509</v>
      </c>
      <c r="M1872" t="s">
        <v>1625</v>
      </c>
      <c r="N1872">
        <v>5</v>
      </c>
    </row>
    <row r="1873" spans="1:14" x14ac:dyDescent="0.35">
      <c r="A1873" t="s">
        <v>6352</v>
      </c>
      <c r="B1873" t="s">
        <v>337</v>
      </c>
      <c r="C1873" t="s">
        <v>1899</v>
      </c>
      <c r="D1873" t="s">
        <v>4469</v>
      </c>
      <c r="E1873" t="s">
        <v>4444</v>
      </c>
      <c r="F1873" s="3">
        <v>45507</v>
      </c>
      <c r="G1873" s="3">
        <v>45507</v>
      </c>
      <c r="H1873">
        <v>3</v>
      </c>
      <c r="I1873">
        <v>24</v>
      </c>
      <c r="J1873" t="s">
        <v>4448</v>
      </c>
      <c r="K1873" t="s">
        <v>4441</v>
      </c>
      <c r="L1873" t="s">
        <v>4492</v>
      </c>
      <c r="M1873" t="s">
        <v>4450</v>
      </c>
      <c r="N1873">
        <v>5</v>
      </c>
    </row>
    <row r="1874" spans="1:14" x14ac:dyDescent="0.35">
      <c r="A1874" t="s">
        <v>6353</v>
      </c>
      <c r="B1874" t="s">
        <v>277</v>
      </c>
      <c r="C1874" t="s">
        <v>1883</v>
      </c>
      <c r="D1874" t="s">
        <v>4485</v>
      </c>
      <c r="E1874" t="s">
        <v>4473</v>
      </c>
      <c r="F1874" s="3">
        <v>45033</v>
      </c>
      <c r="G1874" s="3">
        <v>45033</v>
      </c>
      <c r="H1874">
        <v>17.100000000000001</v>
      </c>
      <c r="I1874">
        <v>8</v>
      </c>
      <c r="J1874" t="s">
        <v>4440</v>
      </c>
      <c r="K1874" t="s">
        <v>4441</v>
      </c>
      <c r="L1874" t="s">
        <v>4480</v>
      </c>
      <c r="M1874" t="s">
        <v>4450</v>
      </c>
      <c r="N1874">
        <v>4</v>
      </c>
    </row>
    <row r="1875" spans="1:14" x14ac:dyDescent="0.35">
      <c r="A1875" t="s">
        <v>6354</v>
      </c>
      <c r="B1875" t="s">
        <v>351</v>
      </c>
      <c r="C1875" t="s">
        <v>1904</v>
      </c>
      <c r="D1875" t="s">
        <v>4476</v>
      </c>
      <c r="E1875" t="s">
        <v>4439</v>
      </c>
      <c r="F1875" s="3">
        <v>45143</v>
      </c>
      <c r="G1875" s="3" t="s">
        <v>537</v>
      </c>
      <c r="I1875">
        <v>48</v>
      </c>
      <c r="J1875" t="s">
        <v>4448</v>
      </c>
      <c r="K1875" t="s">
        <v>4474</v>
      </c>
      <c r="L1875" t="s">
        <v>4580</v>
      </c>
      <c r="M1875" t="s">
        <v>4446</v>
      </c>
    </row>
    <row r="1876" spans="1:14" x14ac:dyDescent="0.35">
      <c r="A1876" t="s">
        <v>6355</v>
      </c>
      <c r="B1876" t="s">
        <v>210</v>
      </c>
      <c r="C1876" t="s">
        <v>1915</v>
      </c>
      <c r="D1876" t="s">
        <v>4438</v>
      </c>
      <c r="E1876" t="s">
        <v>4444</v>
      </c>
      <c r="F1876" s="3">
        <v>45072</v>
      </c>
      <c r="G1876" s="3">
        <v>45074</v>
      </c>
      <c r="H1876">
        <v>52.4</v>
      </c>
      <c r="I1876">
        <v>24</v>
      </c>
      <c r="J1876" t="s">
        <v>4440</v>
      </c>
      <c r="K1876" t="s">
        <v>4441</v>
      </c>
      <c r="L1876" t="s">
        <v>4480</v>
      </c>
      <c r="M1876" t="s">
        <v>1625</v>
      </c>
      <c r="N1876">
        <v>4</v>
      </c>
    </row>
    <row r="1877" spans="1:14" x14ac:dyDescent="0.35">
      <c r="A1877" t="s">
        <v>6356</v>
      </c>
      <c r="B1877" t="s">
        <v>99</v>
      </c>
      <c r="C1877" t="s">
        <v>1927</v>
      </c>
      <c r="D1877" t="s">
        <v>4452</v>
      </c>
      <c r="E1877" t="s">
        <v>4444</v>
      </c>
      <c r="F1877" s="3">
        <v>45073</v>
      </c>
      <c r="G1877" s="3">
        <v>45074</v>
      </c>
      <c r="H1877">
        <v>37.1</v>
      </c>
      <c r="I1877">
        <v>24</v>
      </c>
      <c r="J1877" t="s">
        <v>4440</v>
      </c>
      <c r="K1877" t="s">
        <v>4441</v>
      </c>
      <c r="L1877" t="s">
        <v>4512</v>
      </c>
      <c r="M1877" t="s">
        <v>4450</v>
      </c>
      <c r="N1877">
        <v>5</v>
      </c>
    </row>
    <row r="1878" spans="1:14" x14ac:dyDescent="0.35">
      <c r="A1878" t="s">
        <v>6357</v>
      </c>
      <c r="B1878" t="s">
        <v>411</v>
      </c>
      <c r="C1878" t="s">
        <v>1904</v>
      </c>
      <c r="D1878" t="s">
        <v>4460</v>
      </c>
      <c r="E1878" t="s">
        <v>4456</v>
      </c>
      <c r="F1878" s="3">
        <v>45400</v>
      </c>
      <c r="G1878" s="3">
        <v>45400</v>
      </c>
      <c r="H1878">
        <v>5.5</v>
      </c>
      <c r="I1878">
        <v>4</v>
      </c>
      <c r="J1878" t="s">
        <v>4440</v>
      </c>
      <c r="K1878" t="s">
        <v>4441</v>
      </c>
      <c r="L1878" t="s">
        <v>4533</v>
      </c>
      <c r="M1878" t="s">
        <v>4446</v>
      </c>
      <c r="N1878">
        <v>5</v>
      </c>
    </row>
    <row r="1879" spans="1:14" x14ac:dyDescent="0.35">
      <c r="A1879" t="s">
        <v>6358</v>
      </c>
      <c r="B1879" t="s">
        <v>235</v>
      </c>
      <c r="C1879" t="s">
        <v>1890</v>
      </c>
      <c r="D1879" t="s">
        <v>4464</v>
      </c>
      <c r="E1879" t="s">
        <v>4439</v>
      </c>
      <c r="F1879" s="3">
        <v>45101</v>
      </c>
      <c r="G1879" s="3" t="s">
        <v>537</v>
      </c>
      <c r="I1879">
        <v>48</v>
      </c>
      <c r="J1879" t="s">
        <v>4440</v>
      </c>
      <c r="K1879" t="s">
        <v>4457</v>
      </c>
      <c r="L1879" t="s">
        <v>4501</v>
      </c>
      <c r="M1879" t="s">
        <v>4450</v>
      </c>
    </row>
    <row r="1880" spans="1:14" x14ac:dyDescent="0.35">
      <c r="A1880" t="s">
        <v>6359</v>
      </c>
      <c r="B1880" t="s">
        <v>18</v>
      </c>
      <c r="C1880" t="s">
        <v>1899</v>
      </c>
      <c r="D1880" t="s">
        <v>4472</v>
      </c>
      <c r="E1880" t="s">
        <v>4444</v>
      </c>
      <c r="F1880" s="3">
        <v>45084</v>
      </c>
      <c r="G1880" s="3">
        <v>45085</v>
      </c>
      <c r="H1880">
        <v>44.6</v>
      </c>
      <c r="I1880">
        <v>24</v>
      </c>
      <c r="J1880" t="s">
        <v>4440</v>
      </c>
      <c r="K1880" t="s">
        <v>4441</v>
      </c>
      <c r="L1880" t="s">
        <v>4512</v>
      </c>
      <c r="M1880" t="s">
        <v>4450</v>
      </c>
      <c r="N1880">
        <v>3</v>
      </c>
    </row>
    <row r="1881" spans="1:14" x14ac:dyDescent="0.35">
      <c r="A1881" t="s">
        <v>6360</v>
      </c>
      <c r="B1881" t="s">
        <v>479</v>
      </c>
      <c r="C1881" t="s">
        <v>1899</v>
      </c>
      <c r="D1881" t="s">
        <v>4443</v>
      </c>
      <c r="E1881" t="s">
        <v>4473</v>
      </c>
      <c r="F1881" s="3">
        <v>45425</v>
      </c>
      <c r="G1881" s="3" t="s">
        <v>537</v>
      </c>
      <c r="I1881">
        <v>8</v>
      </c>
      <c r="J1881" t="s">
        <v>4448</v>
      </c>
      <c r="K1881" t="s">
        <v>4457</v>
      </c>
      <c r="L1881" t="s">
        <v>4512</v>
      </c>
      <c r="M1881" t="s">
        <v>4450</v>
      </c>
    </row>
    <row r="1882" spans="1:14" x14ac:dyDescent="0.35">
      <c r="A1882" t="s">
        <v>6361</v>
      </c>
      <c r="B1882" t="s">
        <v>305</v>
      </c>
      <c r="C1882" t="s">
        <v>1890</v>
      </c>
      <c r="D1882" t="s">
        <v>4460</v>
      </c>
      <c r="E1882" t="s">
        <v>4473</v>
      </c>
      <c r="F1882" s="3">
        <v>44945</v>
      </c>
      <c r="G1882" s="3">
        <v>44945</v>
      </c>
      <c r="H1882">
        <v>7.1</v>
      </c>
      <c r="I1882">
        <v>8</v>
      </c>
      <c r="J1882" t="s">
        <v>4448</v>
      </c>
      <c r="K1882" t="s">
        <v>4441</v>
      </c>
      <c r="L1882" t="s">
        <v>4483</v>
      </c>
      <c r="M1882" t="s">
        <v>4450</v>
      </c>
    </row>
    <row r="1883" spans="1:14" x14ac:dyDescent="0.35">
      <c r="A1883" t="s">
        <v>6362</v>
      </c>
      <c r="B1883" t="s">
        <v>250</v>
      </c>
      <c r="C1883" t="s">
        <v>1883</v>
      </c>
      <c r="D1883" t="s">
        <v>4452</v>
      </c>
      <c r="E1883" t="s">
        <v>4439</v>
      </c>
      <c r="F1883" s="3">
        <v>45556</v>
      </c>
      <c r="G1883" s="3" t="s">
        <v>537</v>
      </c>
      <c r="I1883">
        <v>48</v>
      </c>
      <c r="J1883" t="s">
        <v>4440</v>
      </c>
      <c r="K1883" t="s">
        <v>4457</v>
      </c>
      <c r="L1883" t="s">
        <v>1907</v>
      </c>
      <c r="M1883" t="s">
        <v>4462</v>
      </c>
    </row>
    <row r="1884" spans="1:14" x14ac:dyDescent="0.35">
      <c r="A1884" t="s">
        <v>6363</v>
      </c>
      <c r="B1884" t="s">
        <v>176</v>
      </c>
      <c r="C1884" t="s">
        <v>1890</v>
      </c>
      <c r="D1884" t="s">
        <v>8515</v>
      </c>
      <c r="E1884" t="s">
        <v>4444</v>
      </c>
      <c r="F1884" s="3">
        <v>45496</v>
      </c>
      <c r="G1884" s="3">
        <v>45496</v>
      </c>
      <c r="H1884">
        <v>1.1000000000000001</v>
      </c>
      <c r="I1884">
        <v>24</v>
      </c>
      <c r="J1884" t="s">
        <v>4448</v>
      </c>
      <c r="K1884" t="s">
        <v>4441</v>
      </c>
      <c r="L1884" t="s">
        <v>4483</v>
      </c>
      <c r="M1884" t="s">
        <v>4450</v>
      </c>
      <c r="N1884">
        <v>3</v>
      </c>
    </row>
    <row r="1885" spans="1:14" x14ac:dyDescent="0.35">
      <c r="A1885" t="s">
        <v>6364</v>
      </c>
      <c r="B1885" t="s">
        <v>293</v>
      </c>
      <c r="C1885" t="s">
        <v>1927</v>
      </c>
      <c r="D1885" t="s">
        <v>4452</v>
      </c>
      <c r="E1885" t="s">
        <v>4444</v>
      </c>
      <c r="F1885" s="3">
        <v>45383</v>
      </c>
      <c r="G1885" s="3">
        <v>45383</v>
      </c>
      <c r="H1885">
        <v>2.5</v>
      </c>
      <c r="I1885">
        <v>24</v>
      </c>
      <c r="J1885" t="s">
        <v>4448</v>
      </c>
      <c r="K1885" t="s">
        <v>4441</v>
      </c>
      <c r="L1885" t="s">
        <v>4514</v>
      </c>
      <c r="M1885" t="s">
        <v>4450</v>
      </c>
      <c r="N1885">
        <v>5</v>
      </c>
    </row>
    <row r="1886" spans="1:14" x14ac:dyDescent="0.35">
      <c r="A1886" t="s">
        <v>6365</v>
      </c>
      <c r="B1886" t="s">
        <v>365</v>
      </c>
      <c r="C1886" t="s">
        <v>1915</v>
      </c>
      <c r="D1886" t="s">
        <v>4438</v>
      </c>
      <c r="E1886" t="s">
        <v>4473</v>
      </c>
      <c r="F1886" s="3">
        <v>45106</v>
      </c>
      <c r="G1886" s="3" t="s">
        <v>537</v>
      </c>
      <c r="I1886">
        <v>8</v>
      </c>
      <c r="J1886" t="s">
        <v>4440</v>
      </c>
      <c r="K1886" t="s">
        <v>4474</v>
      </c>
      <c r="L1886" t="s">
        <v>4527</v>
      </c>
      <c r="M1886" t="s">
        <v>1625</v>
      </c>
    </row>
    <row r="1887" spans="1:14" x14ac:dyDescent="0.35">
      <c r="A1887" t="s">
        <v>6366</v>
      </c>
      <c r="B1887" t="s">
        <v>485</v>
      </c>
      <c r="C1887" t="s">
        <v>1883</v>
      </c>
      <c r="D1887" t="s">
        <v>4469</v>
      </c>
      <c r="E1887" t="s">
        <v>4444</v>
      </c>
      <c r="F1887" s="3">
        <v>45551</v>
      </c>
      <c r="G1887" s="3">
        <v>45552</v>
      </c>
      <c r="H1887">
        <v>27.4</v>
      </c>
      <c r="I1887">
        <v>24</v>
      </c>
      <c r="J1887" t="s">
        <v>4440</v>
      </c>
      <c r="K1887" t="s">
        <v>4441</v>
      </c>
      <c r="L1887" t="s">
        <v>4467</v>
      </c>
      <c r="M1887" t="s">
        <v>4446</v>
      </c>
      <c r="N1887">
        <v>3</v>
      </c>
    </row>
    <row r="1888" spans="1:14" x14ac:dyDescent="0.35">
      <c r="A1888" t="s">
        <v>6367</v>
      </c>
      <c r="B1888" t="s">
        <v>460</v>
      </c>
      <c r="C1888" t="s">
        <v>1915</v>
      </c>
      <c r="D1888" t="s">
        <v>4490</v>
      </c>
      <c r="E1888" t="s">
        <v>4439</v>
      </c>
      <c r="F1888" s="3">
        <v>45232</v>
      </c>
      <c r="G1888" s="3" t="s">
        <v>537</v>
      </c>
      <c r="I1888">
        <v>48</v>
      </c>
      <c r="J1888" t="s">
        <v>4448</v>
      </c>
      <c r="K1888" t="s">
        <v>4457</v>
      </c>
      <c r="L1888" t="s">
        <v>4458</v>
      </c>
      <c r="M1888" t="s">
        <v>4446</v>
      </c>
    </row>
    <row r="1889" spans="1:14" x14ac:dyDescent="0.35">
      <c r="A1889" t="s">
        <v>6368</v>
      </c>
      <c r="B1889" t="s">
        <v>386</v>
      </c>
      <c r="C1889" t="s">
        <v>1915</v>
      </c>
      <c r="D1889" t="s">
        <v>4479</v>
      </c>
      <c r="E1889" t="s">
        <v>4473</v>
      </c>
      <c r="F1889" s="3">
        <v>44937</v>
      </c>
      <c r="G1889" s="3">
        <v>44937</v>
      </c>
      <c r="H1889">
        <v>5.9</v>
      </c>
      <c r="I1889">
        <v>8</v>
      </c>
      <c r="J1889" t="s">
        <v>4448</v>
      </c>
      <c r="K1889" t="s">
        <v>4441</v>
      </c>
      <c r="L1889" t="s">
        <v>4454</v>
      </c>
      <c r="M1889" t="s">
        <v>4462</v>
      </c>
    </row>
    <row r="1890" spans="1:14" x14ac:dyDescent="0.35">
      <c r="A1890" t="s">
        <v>6369</v>
      </c>
      <c r="B1890" t="s">
        <v>330</v>
      </c>
      <c r="C1890" t="s">
        <v>1899</v>
      </c>
      <c r="D1890" t="s">
        <v>4464</v>
      </c>
      <c r="E1890" t="s">
        <v>79</v>
      </c>
      <c r="F1890" s="3">
        <v>44933</v>
      </c>
      <c r="G1890" s="3" t="s">
        <v>537</v>
      </c>
      <c r="I1890">
        <v>24</v>
      </c>
      <c r="J1890" t="s">
        <v>4440</v>
      </c>
      <c r="K1890" t="s">
        <v>4474</v>
      </c>
      <c r="L1890" t="s">
        <v>4527</v>
      </c>
      <c r="M1890" t="s">
        <v>1625</v>
      </c>
    </row>
    <row r="1891" spans="1:14" x14ac:dyDescent="0.35">
      <c r="A1891" t="s">
        <v>6370</v>
      </c>
      <c r="B1891" t="s">
        <v>417</v>
      </c>
      <c r="C1891" t="s">
        <v>1899</v>
      </c>
      <c r="D1891" t="s">
        <v>4490</v>
      </c>
      <c r="E1891" t="s">
        <v>4444</v>
      </c>
      <c r="F1891" s="3">
        <v>45621</v>
      </c>
      <c r="G1891" s="3">
        <v>45623</v>
      </c>
      <c r="H1891">
        <v>52.6</v>
      </c>
      <c r="I1891">
        <v>24</v>
      </c>
      <c r="J1891" t="s">
        <v>4440</v>
      </c>
      <c r="K1891" t="s">
        <v>4441</v>
      </c>
      <c r="L1891" t="s">
        <v>4512</v>
      </c>
      <c r="M1891" t="s">
        <v>4462</v>
      </c>
      <c r="N1891">
        <v>5</v>
      </c>
    </row>
    <row r="1892" spans="1:14" x14ac:dyDescent="0.35">
      <c r="A1892" t="s">
        <v>6371</v>
      </c>
      <c r="B1892" t="s">
        <v>494</v>
      </c>
      <c r="C1892" t="s">
        <v>1927</v>
      </c>
      <c r="D1892" t="s">
        <v>4482</v>
      </c>
      <c r="E1892" t="s">
        <v>4439</v>
      </c>
      <c r="F1892" s="3">
        <v>45541</v>
      </c>
      <c r="G1892" s="3" t="s">
        <v>537</v>
      </c>
      <c r="I1892">
        <v>48</v>
      </c>
      <c r="J1892" t="s">
        <v>4440</v>
      </c>
      <c r="K1892" t="s">
        <v>4457</v>
      </c>
      <c r="L1892" t="s">
        <v>4488</v>
      </c>
      <c r="M1892" t="s">
        <v>4450</v>
      </c>
    </row>
    <row r="1893" spans="1:14" x14ac:dyDescent="0.35">
      <c r="A1893" t="s">
        <v>6372</v>
      </c>
      <c r="B1893" t="s">
        <v>152</v>
      </c>
      <c r="C1893" t="s">
        <v>1915</v>
      </c>
      <c r="D1893" t="s">
        <v>4452</v>
      </c>
      <c r="E1893" t="s">
        <v>4473</v>
      </c>
      <c r="F1893" s="3">
        <v>45715</v>
      </c>
      <c r="G1893" s="3">
        <v>45715</v>
      </c>
      <c r="H1893">
        <v>9.3000000000000007</v>
      </c>
      <c r="I1893">
        <v>8</v>
      </c>
      <c r="J1893" t="s">
        <v>4440</v>
      </c>
      <c r="K1893" t="s">
        <v>4441</v>
      </c>
      <c r="L1893" t="s">
        <v>4470</v>
      </c>
      <c r="M1893" t="s">
        <v>4462</v>
      </c>
      <c r="N1893">
        <v>3</v>
      </c>
    </row>
    <row r="1894" spans="1:14" x14ac:dyDescent="0.35">
      <c r="A1894" t="s">
        <v>6373</v>
      </c>
      <c r="B1894" t="s">
        <v>323</v>
      </c>
      <c r="C1894" t="s">
        <v>1890</v>
      </c>
      <c r="D1894" t="s">
        <v>4464</v>
      </c>
      <c r="E1894" t="s">
        <v>4444</v>
      </c>
      <c r="F1894" s="3">
        <v>45304</v>
      </c>
      <c r="G1894" s="3" t="s">
        <v>537</v>
      </c>
      <c r="I1894">
        <v>24</v>
      </c>
      <c r="J1894" t="s">
        <v>4440</v>
      </c>
      <c r="K1894" t="s">
        <v>4457</v>
      </c>
      <c r="L1894" t="s">
        <v>4512</v>
      </c>
      <c r="M1894" t="s">
        <v>4450</v>
      </c>
    </row>
    <row r="1895" spans="1:14" x14ac:dyDescent="0.35">
      <c r="A1895" t="s">
        <v>6374</v>
      </c>
      <c r="B1895" t="s">
        <v>62</v>
      </c>
      <c r="C1895" t="s">
        <v>1915</v>
      </c>
      <c r="D1895" t="s">
        <v>4472</v>
      </c>
      <c r="E1895" t="s">
        <v>4444</v>
      </c>
      <c r="F1895" s="3">
        <v>45356</v>
      </c>
      <c r="G1895" s="3">
        <v>45356</v>
      </c>
      <c r="H1895">
        <v>13</v>
      </c>
      <c r="I1895">
        <v>24</v>
      </c>
      <c r="J1895" t="s">
        <v>4448</v>
      </c>
      <c r="K1895" t="s">
        <v>4441</v>
      </c>
      <c r="L1895" t="s">
        <v>4492</v>
      </c>
      <c r="M1895" t="s">
        <v>1625</v>
      </c>
      <c r="N1895">
        <v>4</v>
      </c>
    </row>
    <row r="1896" spans="1:14" x14ac:dyDescent="0.35">
      <c r="A1896" t="s">
        <v>6375</v>
      </c>
      <c r="B1896" t="s">
        <v>356</v>
      </c>
      <c r="C1896" t="s">
        <v>1899</v>
      </c>
      <c r="D1896" t="s">
        <v>4485</v>
      </c>
      <c r="E1896" t="s">
        <v>4473</v>
      </c>
      <c r="F1896" s="3">
        <v>45563</v>
      </c>
      <c r="G1896" s="3" t="s">
        <v>537</v>
      </c>
      <c r="I1896">
        <v>8</v>
      </c>
      <c r="J1896" t="s">
        <v>4440</v>
      </c>
      <c r="K1896" t="s">
        <v>4474</v>
      </c>
      <c r="L1896" t="s">
        <v>4445</v>
      </c>
      <c r="M1896" t="s">
        <v>1625</v>
      </c>
    </row>
    <row r="1897" spans="1:14" x14ac:dyDescent="0.35">
      <c r="A1897" t="s">
        <v>6376</v>
      </c>
      <c r="B1897" t="s">
        <v>144</v>
      </c>
      <c r="C1897" t="s">
        <v>1927</v>
      </c>
      <c r="D1897" t="s">
        <v>4464</v>
      </c>
      <c r="E1897" t="s">
        <v>4473</v>
      </c>
      <c r="F1897" s="3">
        <v>45271</v>
      </c>
      <c r="G1897" s="3">
        <v>45271</v>
      </c>
      <c r="H1897">
        <v>10.9</v>
      </c>
      <c r="I1897">
        <v>8</v>
      </c>
      <c r="J1897" t="s">
        <v>4440</v>
      </c>
      <c r="K1897" t="s">
        <v>4441</v>
      </c>
      <c r="L1897" t="s">
        <v>4461</v>
      </c>
      <c r="M1897" t="s">
        <v>1625</v>
      </c>
    </row>
    <row r="1898" spans="1:14" x14ac:dyDescent="0.35">
      <c r="A1898" t="s">
        <v>6377</v>
      </c>
      <c r="B1898" t="s">
        <v>34</v>
      </c>
      <c r="C1898" t="s">
        <v>1915</v>
      </c>
      <c r="D1898" t="s">
        <v>4438</v>
      </c>
      <c r="E1898" t="s">
        <v>4444</v>
      </c>
      <c r="F1898" s="3">
        <v>45522</v>
      </c>
      <c r="G1898" s="3" t="s">
        <v>537</v>
      </c>
      <c r="I1898">
        <v>24</v>
      </c>
      <c r="J1898" t="s">
        <v>4448</v>
      </c>
      <c r="K1898" t="s">
        <v>4457</v>
      </c>
      <c r="L1898" t="s">
        <v>4533</v>
      </c>
      <c r="M1898" t="s">
        <v>4446</v>
      </c>
    </row>
    <row r="1899" spans="1:14" x14ac:dyDescent="0.35">
      <c r="A1899" t="s">
        <v>6378</v>
      </c>
      <c r="B1899" t="s">
        <v>211</v>
      </c>
      <c r="C1899" t="s">
        <v>1915</v>
      </c>
      <c r="D1899" t="s">
        <v>4476</v>
      </c>
      <c r="E1899" t="s">
        <v>4444</v>
      </c>
      <c r="F1899" s="3">
        <v>45493</v>
      </c>
      <c r="G1899" s="3">
        <v>45494</v>
      </c>
      <c r="H1899">
        <v>31.4</v>
      </c>
      <c r="I1899">
        <v>24</v>
      </c>
      <c r="J1899" t="s">
        <v>4440</v>
      </c>
      <c r="K1899" t="s">
        <v>4441</v>
      </c>
      <c r="L1899" t="s">
        <v>4483</v>
      </c>
      <c r="M1899" t="s">
        <v>4462</v>
      </c>
      <c r="N1899">
        <v>3</v>
      </c>
    </row>
    <row r="1900" spans="1:14" x14ac:dyDescent="0.35">
      <c r="A1900" t="s">
        <v>6379</v>
      </c>
      <c r="B1900" t="s">
        <v>399</v>
      </c>
      <c r="C1900" t="s">
        <v>1927</v>
      </c>
      <c r="D1900" t="s">
        <v>4438</v>
      </c>
      <c r="E1900" t="s">
        <v>4456</v>
      </c>
      <c r="F1900" s="3">
        <v>45038</v>
      </c>
      <c r="G1900" s="3">
        <v>45038</v>
      </c>
      <c r="H1900">
        <v>9.6</v>
      </c>
      <c r="I1900">
        <v>4</v>
      </c>
      <c r="J1900" t="s">
        <v>4440</v>
      </c>
      <c r="K1900" t="s">
        <v>4441</v>
      </c>
      <c r="L1900" t="s">
        <v>4480</v>
      </c>
      <c r="M1900" t="s">
        <v>1625</v>
      </c>
      <c r="N1900">
        <v>4</v>
      </c>
    </row>
    <row r="1901" spans="1:14" x14ac:dyDescent="0.35">
      <c r="A1901" t="s">
        <v>6380</v>
      </c>
      <c r="B1901" t="s">
        <v>342</v>
      </c>
      <c r="C1901" t="s">
        <v>1899</v>
      </c>
      <c r="D1901" t="s">
        <v>4490</v>
      </c>
      <c r="E1901" t="s">
        <v>4444</v>
      </c>
      <c r="F1901" s="3">
        <v>45732</v>
      </c>
      <c r="G1901" s="3">
        <v>45733</v>
      </c>
      <c r="H1901">
        <v>27.2</v>
      </c>
      <c r="I1901">
        <v>24</v>
      </c>
      <c r="J1901" t="s">
        <v>4440</v>
      </c>
      <c r="K1901" t="s">
        <v>4441</v>
      </c>
      <c r="L1901" t="s">
        <v>4449</v>
      </c>
      <c r="M1901" t="s">
        <v>4450</v>
      </c>
      <c r="N1901">
        <v>4</v>
      </c>
    </row>
    <row r="1902" spans="1:14" x14ac:dyDescent="0.35">
      <c r="A1902" t="s">
        <v>6381</v>
      </c>
      <c r="B1902" t="s">
        <v>428</v>
      </c>
      <c r="C1902" t="s">
        <v>1927</v>
      </c>
      <c r="D1902" t="s">
        <v>4482</v>
      </c>
      <c r="E1902" t="s">
        <v>79</v>
      </c>
      <c r="F1902" s="3">
        <v>45084</v>
      </c>
      <c r="G1902" s="3">
        <v>45085</v>
      </c>
      <c r="H1902">
        <v>42.4</v>
      </c>
      <c r="I1902">
        <v>24</v>
      </c>
      <c r="J1902" t="s">
        <v>4440</v>
      </c>
      <c r="K1902" t="s">
        <v>4441</v>
      </c>
      <c r="L1902" t="s">
        <v>4501</v>
      </c>
      <c r="M1902" t="s">
        <v>4450</v>
      </c>
      <c r="N1902">
        <v>1</v>
      </c>
    </row>
    <row r="1903" spans="1:14" x14ac:dyDescent="0.35">
      <c r="A1903" t="s">
        <v>6382</v>
      </c>
      <c r="B1903" t="s">
        <v>417</v>
      </c>
      <c r="C1903" t="s">
        <v>1927</v>
      </c>
      <c r="D1903" t="s">
        <v>4464</v>
      </c>
      <c r="E1903" t="s">
        <v>4473</v>
      </c>
      <c r="F1903" s="3">
        <v>45584</v>
      </c>
      <c r="G1903" s="3">
        <v>45584</v>
      </c>
      <c r="H1903">
        <v>12.4</v>
      </c>
      <c r="I1903">
        <v>8</v>
      </c>
      <c r="J1903" t="s">
        <v>4440</v>
      </c>
      <c r="K1903" t="s">
        <v>4441</v>
      </c>
      <c r="L1903" t="s">
        <v>4533</v>
      </c>
      <c r="M1903" t="s">
        <v>4462</v>
      </c>
      <c r="N1903">
        <v>2</v>
      </c>
    </row>
    <row r="1904" spans="1:14" x14ac:dyDescent="0.35">
      <c r="A1904" t="s">
        <v>6383</v>
      </c>
      <c r="B1904" t="s">
        <v>387</v>
      </c>
      <c r="C1904" t="s">
        <v>1883</v>
      </c>
      <c r="D1904" t="s">
        <v>4490</v>
      </c>
      <c r="E1904" t="s">
        <v>4444</v>
      </c>
      <c r="F1904" s="3">
        <v>45486</v>
      </c>
      <c r="G1904" s="3">
        <v>45488</v>
      </c>
      <c r="H1904">
        <v>52.9</v>
      </c>
      <c r="I1904">
        <v>24</v>
      </c>
      <c r="J1904" t="s">
        <v>4440</v>
      </c>
      <c r="K1904" t="s">
        <v>4441</v>
      </c>
      <c r="L1904" t="s">
        <v>4480</v>
      </c>
      <c r="M1904" t="s">
        <v>1625</v>
      </c>
      <c r="N1904">
        <v>5</v>
      </c>
    </row>
    <row r="1905" spans="1:14" x14ac:dyDescent="0.35">
      <c r="A1905" t="s">
        <v>6384</v>
      </c>
      <c r="B1905" t="s">
        <v>110</v>
      </c>
      <c r="C1905" t="s">
        <v>1927</v>
      </c>
      <c r="D1905" t="s">
        <v>4469</v>
      </c>
      <c r="E1905" t="s">
        <v>4456</v>
      </c>
      <c r="F1905" s="3">
        <v>45528</v>
      </c>
      <c r="G1905" s="3">
        <v>45528</v>
      </c>
      <c r="H1905">
        <v>9.1999999999999993</v>
      </c>
      <c r="I1905">
        <v>4</v>
      </c>
      <c r="J1905" t="s">
        <v>4440</v>
      </c>
      <c r="K1905" t="s">
        <v>4441</v>
      </c>
      <c r="L1905" t="s">
        <v>4501</v>
      </c>
      <c r="M1905" t="s">
        <v>4446</v>
      </c>
      <c r="N1905">
        <v>3</v>
      </c>
    </row>
    <row r="1906" spans="1:14" x14ac:dyDescent="0.35">
      <c r="A1906" t="s">
        <v>6385</v>
      </c>
      <c r="B1906" t="s">
        <v>451</v>
      </c>
      <c r="C1906" t="s">
        <v>1899</v>
      </c>
      <c r="D1906" t="s">
        <v>4482</v>
      </c>
      <c r="E1906" t="s">
        <v>4456</v>
      </c>
      <c r="F1906" s="3">
        <v>45470</v>
      </c>
      <c r="G1906" s="3" t="s">
        <v>537</v>
      </c>
      <c r="I1906">
        <v>4</v>
      </c>
      <c r="J1906" t="s">
        <v>4440</v>
      </c>
      <c r="K1906" t="s">
        <v>4453</v>
      </c>
      <c r="L1906" t="s">
        <v>4454</v>
      </c>
      <c r="M1906" t="s">
        <v>4450</v>
      </c>
    </row>
    <row r="1907" spans="1:14" x14ac:dyDescent="0.35">
      <c r="A1907" t="s">
        <v>6386</v>
      </c>
      <c r="B1907" t="s">
        <v>108</v>
      </c>
      <c r="C1907" t="s">
        <v>1904</v>
      </c>
      <c r="D1907" t="s">
        <v>4482</v>
      </c>
      <c r="E1907" t="s">
        <v>4444</v>
      </c>
      <c r="F1907" s="3">
        <v>45718</v>
      </c>
      <c r="G1907" s="3" t="s">
        <v>537</v>
      </c>
      <c r="I1907">
        <v>24</v>
      </c>
      <c r="J1907" t="s">
        <v>4448</v>
      </c>
      <c r="K1907" t="s">
        <v>4453</v>
      </c>
      <c r="L1907" t="s">
        <v>4580</v>
      </c>
      <c r="M1907" t="s">
        <v>4462</v>
      </c>
    </row>
    <row r="1908" spans="1:14" x14ac:dyDescent="0.35">
      <c r="A1908" t="s">
        <v>6387</v>
      </c>
      <c r="B1908" t="s">
        <v>220</v>
      </c>
      <c r="C1908" t="s">
        <v>1915</v>
      </c>
      <c r="D1908" t="s">
        <v>4490</v>
      </c>
      <c r="E1908" t="s">
        <v>4444</v>
      </c>
      <c r="F1908" s="3">
        <v>45332</v>
      </c>
      <c r="G1908" s="3" t="s">
        <v>537</v>
      </c>
      <c r="I1908">
        <v>24</v>
      </c>
      <c r="J1908" t="s">
        <v>4440</v>
      </c>
      <c r="K1908" t="s">
        <v>4457</v>
      </c>
      <c r="L1908" t="s">
        <v>4514</v>
      </c>
      <c r="M1908" t="s">
        <v>4462</v>
      </c>
    </row>
    <row r="1909" spans="1:14" x14ac:dyDescent="0.35">
      <c r="A1909" t="s">
        <v>6388</v>
      </c>
      <c r="B1909" t="s">
        <v>126</v>
      </c>
      <c r="C1909" t="s">
        <v>1899</v>
      </c>
      <c r="D1909" t="s">
        <v>4460</v>
      </c>
      <c r="E1909" t="s">
        <v>4473</v>
      </c>
      <c r="F1909" s="3">
        <v>45685</v>
      </c>
      <c r="G1909" s="3" t="s">
        <v>537</v>
      </c>
      <c r="I1909">
        <v>8</v>
      </c>
      <c r="J1909" t="s">
        <v>4440</v>
      </c>
      <c r="K1909" t="s">
        <v>4474</v>
      </c>
      <c r="L1909" t="s">
        <v>4470</v>
      </c>
      <c r="M1909" t="s">
        <v>4450</v>
      </c>
    </row>
    <row r="1910" spans="1:14" x14ac:dyDescent="0.35">
      <c r="A1910" t="s">
        <v>6389</v>
      </c>
      <c r="B1910" t="s">
        <v>234</v>
      </c>
      <c r="C1910" t="s">
        <v>1915</v>
      </c>
      <c r="D1910" t="s">
        <v>4464</v>
      </c>
      <c r="E1910" t="s">
        <v>4444</v>
      </c>
      <c r="F1910" s="3">
        <v>45325</v>
      </c>
      <c r="G1910" s="3">
        <v>45326</v>
      </c>
      <c r="H1910">
        <v>26.1</v>
      </c>
      <c r="I1910">
        <v>24</v>
      </c>
      <c r="J1910" t="s">
        <v>4440</v>
      </c>
      <c r="K1910" t="s">
        <v>4441</v>
      </c>
      <c r="L1910" t="s">
        <v>4465</v>
      </c>
      <c r="M1910" t="s">
        <v>4450</v>
      </c>
      <c r="N1910">
        <v>3</v>
      </c>
    </row>
    <row r="1911" spans="1:14" x14ac:dyDescent="0.35">
      <c r="A1911" t="s">
        <v>6390</v>
      </c>
      <c r="B1911" t="s">
        <v>355</v>
      </c>
      <c r="C1911" t="s">
        <v>1883</v>
      </c>
      <c r="D1911" t="s">
        <v>4490</v>
      </c>
      <c r="E1911" t="s">
        <v>4473</v>
      </c>
      <c r="F1911" s="3">
        <v>45733</v>
      </c>
      <c r="G1911" s="3">
        <v>45733</v>
      </c>
      <c r="H1911">
        <v>6</v>
      </c>
      <c r="I1911">
        <v>8</v>
      </c>
      <c r="J1911" t="s">
        <v>4448</v>
      </c>
      <c r="K1911" t="s">
        <v>4441</v>
      </c>
      <c r="L1911" t="s">
        <v>4467</v>
      </c>
      <c r="M1911" t="s">
        <v>4450</v>
      </c>
      <c r="N1911">
        <v>5</v>
      </c>
    </row>
    <row r="1912" spans="1:14" x14ac:dyDescent="0.35">
      <c r="A1912" t="s">
        <v>6391</v>
      </c>
      <c r="B1912" t="s">
        <v>353</v>
      </c>
      <c r="C1912" t="s">
        <v>1883</v>
      </c>
      <c r="D1912" t="s">
        <v>4460</v>
      </c>
      <c r="E1912" t="s">
        <v>4473</v>
      </c>
      <c r="F1912" s="3">
        <v>45010</v>
      </c>
      <c r="G1912" s="3">
        <v>45010</v>
      </c>
      <c r="H1912">
        <v>19</v>
      </c>
      <c r="I1912">
        <v>8</v>
      </c>
      <c r="J1912" t="s">
        <v>4440</v>
      </c>
      <c r="K1912" t="s">
        <v>4441</v>
      </c>
      <c r="L1912" t="s">
        <v>4483</v>
      </c>
      <c r="M1912" t="s">
        <v>4462</v>
      </c>
      <c r="N1912">
        <v>5</v>
      </c>
    </row>
    <row r="1913" spans="1:14" x14ac:dyDescent="0.35">
      <c r="A1913" t="s">
        <v>6392</v>
      </c>
      <c r="B1913" t="s">
        <v>234</v>
      </c>
      <c r="C1913" t="s">
        <v>1927</v>
      </c>
      <c r="D1913" t="s">
        <v>4460</v>
      </c>
      <c r="E1913" t="s">
        <v>4444</v>
      </c>
      <c r="F1913" s="3">
        <v>45042</v>
      </c>
      <c r="G1913" s="3">
        <v>45044</v>
      </c>
      <c r="H1913">
        <v>57.5</v>
      </c>
      <c r="I1913">
        <v>24</v>
      </c>
      <c r="J1913" t="s">
        <v>4440</v>
      </c>
      <c r="K1913" t="s">
        <v>4441</v>
      </c>
      <c r="L1913" t="s">
        <v>4527</v>
      </c>
      <c r="M1913" t="s">
        <v>1625</v>
      </c>
    </row>
    <row r="1914" spans="1:14" x14ac:dyDescent="0.35">
      <c r="A1914" t="s">
        <v>6393</v>
      </c>
      <c r="B1914" t="s">
        <v>255</v>
      </c>
      <c r="C1914" t="s">
        <v>1883</v>
      </c>
      <c r="D1914" t="s">
        <v>4460</v>
      </c>
      <c r="E1914" t="s">
        <v>4473</v>
      </c>
      <c r="F1914" s="3">
        <v>45607</v>
      </c>
      <c r="G1914" s="3">
        <v>45607</v>
      </c>
      <c r="H1914">
        <v>15.7</v>
      </c>
      <c r="I1914">
        <v>8</v>
      </c>
      <c r="J1914" t="s">
        <v>4440</v>
      </c>
      <c r="K1914" t="s">
        <v>4441</v>
      </c>
      <c r="L1914" t="s">
        <v>4467</v>
      </c>
      <c r="M1914" t="s">
        <v>4462</v>
      </c>
    </row>
    <row r="1915" spans="1:14" x14ac:dyDescent="0.35">
      <c r="A1915" t="s">
        <v>6394</v>
      </c>
      <c r="B1915" t="s">
        <v>90</v>
      </c>
      <c r="C1915" t="s">
        <v>1883</v>
      </c>
      <c r="D1915" t="s">
        <v>4438</v>
      </c>
      <c r="E1915" t="s">
        <v>4439</v>
      </c>
      <c r="F1915" s="3">
        <v>45167</v>
      </c>
      <c r="G1915" s="3">
        <v>45168</v>
      </c>
      <c r="H1915">
        <v>45.8</v>
      </c>
      <c r="I1915">
        <v>48</v>
      </c>
      <c r="J1915" t="s">
        <v>4448</v>
      </c>
      <c r="K1915" t="s">
        <v>4441</v>
      </c>
      <c r="L1915" t="s">
        <v>1907</v>
      </c>
      <c r="M1915" t="s">
        <v>4446</v>
      </c>
      <c r="N1915">
        <v>4</v>
      </c>
    </row>
    <row r="1916" spans="1:14" x14ac:dyDescent="0.35">
      <c r="A1916" t="s">
        <v>6395</v>
      </c>
      <c r="B1916" t="s">
        <v>149</v>
      </c>
      <c r="C1916" t="s">
        <v>1927</v>
      </c>
      <c r="D1916" t="s">
        <v>4479</v>
      </c>
      <c r="E1916" t="s">
        <v>4444</v>
      </c>
      <c r="F1916" s="3">
        <v>45526</v>
      </c>
      <c r="G1916" s="3">
        <v>45527</v>
      </c>
      <c r="H1916">
        <v>25.9</v>
      </c>
      <c r="I1916">
        <v>24</v>
      </c>
      <c r="J1916" t="s">
        <v>4440</v>
      </c>
      <c r="K1916" t="s">
        <v>4441</v>
      </c>
      <c r="L1916" t="s">
        <v>4449</v>
      </c>
      <c r="M1916" t="s">
        <v>4450</v>
      </c>
      <c r="N1916">
        <v>1</v>
      </c>
    </row>
    <row r="1917" spans="1:14" x14ac:dyDescent="0.35">
      <c r="A1917" t="s">
        <v>6396</v>
      </c>
      <c r="B1917" t="s">
        <v>398</v>
      </c>
      <c r="C1917" t="s">
        <v>1915</v>
      </c>
      <c r="D1917" t="s">
        <v>4482</v>
      </c>
      <c r="E1917" t="s">
        <v>4473</v>
      </c>
      <c r="F1917" s="3">
        <v>45598</v>
      </c>
      <c r="G1917" s="3" t="s">
        <v>537</v>
      </c>
      <c r="I1917">
        <v>8</v>
      </c>
      <c r="J1917" t="s">
        <v>4440</v>
      </c>
      <c r="K1917" t="s">
        <v>4453</v>
      </c>
      <c r="L1917" t="s">
        <v>4454</v>
      </c>
      <c r="M1917" t="s">
        <v>1625</v>
      </c>
    </row>
    <row r="1918" spans="1:14" x14ac:dyDescent="0.35">
      <c r="A1918" t="s">
        <v>6397</v>
      </c>
      <c r="B1918" t="s">
        <v>245</v>
      </c>
      <c r="C1918" t="s">
        <v>1904</v>
      </c>
      <c r="D1918" t="s">
        <v>4479</v>
      </c>
      <c r="E1918" t="s">
        <v>79</v>
      </c>
      <c r="F1918" s="3">
        <v>44951</v>
      </c>
      <c r="G1918" s="3">
        <v>44951</v>
      </c>
      <c r="H1918">
        <v>9.1</v>
      </c>
      <c r="I1918">
        <v>4</v>
      </c>
      <c r="J1918" t="s">
        <v>4440</v>
      </c>
      <c r="K1918" t="s">
        <v>4441</v>
      </c>
      <c r="L1918" t="s">
        <v>4461</v>
      </c>
      <c r="M1918" t="s">
        <v>4462</v>
      </c>
      <c r="N1918">
        <v>5</v>
      </c>
    </row>
    <row r="1919" spans="1:14" x14ac:dyDescent="0.35">
      <c r="A1919" t="s">
        <v>6398</v>
      </c>
      <c r="B1919" t="s">
        <v>152</v>
      </c>
      <c r="C1919" t="s">
        <v>1890</v>
      </c>
      <c r="D1919" t="s">
        <v>4476</v>
      </c>
      <c r="E1919" t="s">
        <v>4473</v>
      </c>
      <c r="F1919" s="3">
        <v>45620</v>
      </c>
      <c r="G1919" s="3" t="s">
        <v>537</v>
      </c>
      <c r="I1919">
        <v>8</v>
      </c>
      <c r="J1919" t="s">
        <v>4440</v>
      </c>
      <c r="K1919" t="s">
        <v>4457</v>
      </c>
      <c r="L1919" t="s">
        <v>4454</v>
      </c>
      <c r="M1919" t="s">
        <v>4446</v>
      </c>
    </row>
    <row r="1920" spans="1:14" x14ac:dyDescent="0.35">
      <c r="A1920" t="s">
        <v>6399</v>
      </c>
      <c r="B1920" t="s">
        <v>396</v>
      </c>
      <c r="C1920" t="s">
        <v>1890</v>
      </c>
      <c r="D1920" t="s">
        <v>4460</v>
      </c>
      <c r="E1920" t="s">
        <v>4473</v>
      </c>
      <c r="F1920" s="3">
        <v>45108</v>
      </c>
      <c r="G1920" s="3">
        <v>45108</v>
      </c>
      <c r="H1920">
        <v>1.4</v>
      </c>
      <c r="I1920">
        <v>8</v>
      </c>
      <c r="J1920" t="s">
        <v>4448</v>
      </c>
      <c r="K1920" t="s">
        <v>4441</v>
      </c>
      <c r="L1920" t="s">
        <v>4488</v>
      </c>
      <c r="M1920" t="s">
        <v>4462</v>
      </c>
      <c r="N1920">
        <v>4</v>
      </c>
    </row>
    <row r="1921" spans="1:14" x14ac:dyDescent="0.35">
      <c r="A1921" t="s">
        <v>6400</v>
      </c>
      <c r="B1921" t="s">
        <v>201</v>
      </c>
      <c r="C1921" t="s">
        <v>1890</v>
      </c>
      <c r="D1921" t="s">
        <v>4476</v>
      </c>
      <c r="E1921" t="s">
        <v>4439</v>
      </c>
      <c r="F1921" s="3">
        <v>45096</v>
      </c>
      <c r="G1921" s="3">
        <v>45099</v>
      </c>
      <c r="H1921">
        <v>77.3</v>
      </c>
      <c r="I1921">
        <v>48</v>
      </c>
      <c r="J1921" t="s">
        <v>4440</v>
      </c>
      <c r="K1921" t="s">
        <v>4441</v>
      </c>
      <c r="L1921" t="s">
        <v>4470</v>
      </c>
      <c r="M1921" t="s">
        <v>1625</v>
      </c>
      <c r="N1921">
        <v>3</v>
      </c>
    </row>
    <row r="1922" spans="1:14" x14ac:dyDescent="0.35">
      <c r="A1922" t="s">
        <v>6401</v>
      </c>
      <c r="B1922" t="s">
        <v>190</v>
      </c>
      <c r="C1922" t="s">
        <v>1890</v>
      </c>
      <c r="D1922" t="s">
        <v>4485</v>
      </c>
      <c r="E1922" t="s">
        <v>4473</v>
      </c>
      <c r="F1922" s="3">
        <v>45065</v>
      </c>
      <c r="G1922" s="3">
        <v>45065</v>
      </c>
      <c r="H1922">
        <v>8.3000000000000007</v>
      </c>
      <c r="I1922">
        <v>8</v>
      </c>
      <c r="J1922" t="s">
        <v>4440</v>
      </c>
      <c r="K1922" t="s">
        <v>4441</v>
      </c>
      <c r="L1922" t="s">
        <v>4533</v>
      </c>
      <c r="M1922" t="s">
        <v>4450</v>
      </c>
      <c r="N1922">
        <v>2</v>
      </c>
    </row>
    <row r="1923" spans="1:14" x14ac:dyDescent="0.35">
      <c r="A1923" t="s">
        <v>6402</v>
      </c>
      <c r="B1923" t="s">
        <v>214</v>
      </c>
      <c r="C1923" t="s">
        <v>1890</v>
      </c>
      <c r="D1923" t="s">
        <v>4438</v>
      </c>
      <c r="E1923" t="s">
        <v>4473</v>
      </c>
      <c r="F1923" s="3">
        <v>44927</v>
      </c>
      <c r="G1923" s="3" t="s">
        <v>537</v>
      </c>
      <c r="I1923">
        <v>8</v>
      </c>
      <c r="J1923" t="s">
        <v>4440</v>
      </c>
      <c r="K1923" t="s">
        <v>4453</v>
      </c>
      <c r="L1923" t="s">
        <v>4501</v>
      </c>
      <c r="M1923" t="s">
        <v>1625</v>
      </c>
    </row>
    <row r="1924" spans="1:14" x14ac:dyDescent="0.35">
      <c r="A1924" t="s">
        <v>6403</v>
      </c>
      <c r="B1924" t="s">
        <v>321</v>
      </c>
      <c r="C1924" t="s">
        <v>1899</v>
      </c>
      <c r="D1924" t="s">
        <v>4469</v>
      </c>
      <c r="E1924" t="s">
        <v>4444</v>
      </c>
      <c r="F1924" s="3">
        <v>45604</v>
      </c>
      <c r="G1924" s="3" t="s">
        <v>537</v>
      </c>
      <c r="I1924">
        <v>24</v>
      </c>
      <c r="J1924" t="s">
        <v>4440</v>
      </c>
      <c r="K1924" t="s">
        <v>4474</v>
      </c>
      <c r="L1924" t="s">
        <v>4488</v>
      </c>
      <c r="M1924" t="s">
        <v>4446</v>
      </c>
    </row>
    <row r="1925" spans="1:14" x14ac:dyDescent="0.35">
      <c r="A1925" t="s">
        <v>6404</v>
      </c>
      <c r="B1925" t="s">
        <v>437</v>
      </c>
      <c r="C1925" t="s">
        <v>1915</v>
      </c>
      <c r="D1925" t="s">
        <v>4452</v>
      </c>
      <c r="E1925" t="s">
        <v>4444</v>
      </c>
      <c r="F1925" s="3">
        <v>45188</v>
      </c>
      <c r="G1925" s="3" t="s">
        <v>537</v>
      </c>
      <c r="I1925">
        <v>24</v>
      </c>
      <c r="J1925" t="s">
        <v>4440</v>
      </c>
      <c r="K1925" t="s">
        <v>4457</v>
      </c>
      <c r="L1925" t="s">
        <v>4514</v>
      </c>
      <c r="M1925" t="s">
        <v>4446</v>
      </c>
    </row>
    <row r="1926" spans="1:14" x14ac:dyDescent="0.35">
      <c r="A1926" t="s">
        <v>6405</v>
      </c>
      <c r="B1926" t="s">
        <v>470</v>
      </c>
      <c r="C1926" t="s">
        <v>1899</v>
      </c>
      <c r="D1926" t="s">
        <v>4485</v>
      </c>
      <c r="E1926" t="s">
        <v>4444</v>
      </c>
      <c r="F1926" s="3">
        <v>45019</v>
      </c>
      <c r="G1926" s="3" t="s">
        <v>537</v>
      </c>
      <c r="I1926">
        <v>24</v>
      </c>
      <c r="J1926" t="s">
        <v>4440</v>
      </c>
      <c r="K1926" t="s">
        <v>4474</v>
      </c>
      <c r="L1926" t="s">
        <v>1907</v>
      </c>
      <c r="M1926" t="s">
        <v>1625</v>
      </c>
    </row>
    <row r="1927" spans="1:14" x14ac:dyDescent="0.35">
      <c r="A1927" t="s">
        <v>6406</v>
      </c>
      <c r="B1927" t="s">
        <v>97</v>
      </c>
      <c r="C1927" t="s">
        <v>1890</v>
      </c>
      <c r="D1927" t="s">
        <v>4443</v>
      </c>
      <c r="E1927" t="s">
        <v>4439</v>
      </c>
      <c r="F1927" s="3">
        <v>45416</v>
      </c>
      <c r="G1927" s="3">
        <v>45417</v>
      </c>
      <c r="H1927">
        <v>45.7</v>
      </c>
      <c r="I1927">
        <v>48</v>
      </c>
      <c r="J1927" t="s">
        <v>1945</v>
      </c>
      <c r="K1927" t="s">
        <v>4441</v>
      </c>
      <c r="L1927" t="s">
        <v>4533</v>
      </c>
      <c r="M1927" t="s">
        <v>4450</v>
      </c>
      <c r="N1927">
        <v>4</v>
      </c>
    </row>
    <row r="1928" spans="1:14" x14ac:dyDescent="0.35">
      <c r="A1928" t="s">
        <v>6407</v>
      </c>
      <c r="B1928" t="s">
        <v>366</v>
      </c>
      <c r="C1928" t="s">
        <v>1904</v>
      </c>
      <c r="D1928" t="s">
        <v>4452</v>
      </c>
      <c r="E1928" t="s">
        <v>4473</v>
      </c>
      <c r="F1928" s="3">
        <v>45180</v>
      </c>
      <c r="G1928" s="3" t="s">
        <v>537</v>
      </c>
      <c r="I1928">
        <v>8</v>
      </c>
      <c r="J1928" t="s">
        <v>4440</v>
      </c>
      <c r="K1928" t="s">
        <v>4457</v>
      </c>
      <c r="L1928" t="s">
        <v>4449</v>
      </c>
      <c r="M1928" t="s">
        <v>4450</v>
      </c>
    </row>
    <row r="1929" spans="1:14" x14ac:dyDescent="0.35">
      <c r="A1929" t="s">
        <v>6408</v>
      </c>
      <c r="B1929" t="s">
        <v>328</v>
      </c>
      <c r="C1929" t="s">
        <v>1904</v>
      </c>
      <c r="D1929" t="s">
        <v>4460</v>
      </c>
      <c r="E1929" t="s">
        <v>4444</v>
      </c>
      <c r="F1929" s="3">
        <v>45691</v>
      </c>
      <c r="G1929" s="3" t="s">
        <v>537</v>
      </c>
      <c r="I1929">
        <v>24</v>
      </c>
      <c r="J1929" t="s">
        <v>4440</v>
      </c>
      <c r="K1929" t="s">
        <v>4457</v>
      </c>
      <c r="L1929" t="s">
        <v>4514</v>
      </c>
      <c r="M1929" t="s">
        <v>4462</v>
      </c>
    </row>
    <row r="1930" spans="1:14" x14ac:dyDescent="0.35">
      <c r="A1930" t="s">
        <v>6409</v>
      </c>
      <c r="B1930" t="s">
        <v>300</v>
      </c>
      <c r="C1930" t="s">
        <v>1883</v>
      </c>
      <c r="D1930" t="s">
        <v>4460</v>
      </c>
      <c r="E1930" t="s">
        <v>4444</v>
      </c>
      <c r="F1930" s="3">
        <v>45262</v>
      </c>
      <c r="G1930" s="3" t="s">
        <v>537</v>
      </c>
      <c r="I1930">
        <v>24</v>
      </c>
      <c r="J1930" t="s">
        <v>4448</v>
      </c>
      <c r="K1930" t="s">
        <v>4453</v>
      </c>
      <c r="L1930" t="s">
        <v>4445</v>
      </c>
      <c r="M1930" t="s">
        <v>4462</v>
      </c>
    </row>
    <row r="1931" spans="1:14" x14ac:dyDescent="0.35">
      <c r="A1931" t="s">
        <v>6410</v>
      </c>
      <c r="B1931" t="s">
        <v>492</v>
      </c>
      <c r="C1931" t="s">
        <v>1899</v>
      </c>
      <c r="D1931" t="s">
        <v>4482</v>
      </c>
      <c r="E1931" t="s">
        <v>4473</v>
      </c>
      <c r="F1931" s="3">
        <v>45605</v>
      </c>
      <c r="G1931" s="3">
        <v>45605</v>
      </c>
      <c r="H1931">
        <v>4.5999999999999996</v>
      </c>
      <c r="I1931">
        <v>8</v>
      </c>
      <c r="J1931" t="s">
        <v>4448</v>
      </c>
      <c r="K1931" t="s">
        <v>4441</v>
      </c>
      <c r="L1931" t="s">
        <v>4461</v>
      </c>
      <c r="M1931" t="s">
        <v>4446</v>
      </c>
      <c r="N1931">
        <v>3</v>
      </c>
    </row>
    <row r="1932" spans="1:14" x14ac:dyDescent="0.35">
      <c r="A1932" t="s">
        <v>6411</v>
      </c>
      <c r="B1932" t="s">
        <v>344</v>
      </c>
      <c r="C1932" t="s">
        <v>1915</v>
      </c>
      <c r="D1932" t="s">
        <v>4490</v>
      </c>
      <c r="E1932" t="s">
        <v>4439</v>
      </c>
      <c r="F1932" s="3">
        <v>45522</v>
      </c>
      <c r="G1932" s="3" t="s">
        <v>537</v>
      </c>
      <c r="I1932">
        <v>48</v>
      </c>
      <c r="J1932" t="s">
        <v>4440</v>
      </c>
      <c r="K1932" t="s">
        <v>4474</v>
      </c>
      <c r="L1932" t="s">
        <v>4449</v>
      </c>
      <c r="M1932" t="s">
        <v>1625</v>
      </c>
    </row>
    <row r="1933" spans="1:14" x14ac:dyDescent="0.35">
      <c r="A1933" t="s">
        <v>6412</v>
      </c>
      <c r="B1933" t="s">
        <v>120</v>
      </c>
      <c r="C1933" t="s">
        <v>1915</v>
      </c>
      <c r="D1933" t="s">
        <v>4479</v>
      </c>
      <c r="E1933" t="s">
        <v>4444</v>
      </c>
      <c r="F1933" s="3">
        <v>45056</v>
      </c>
      <c r="G1933" s="3" t="s">
        <v>537</v>
      </c>
      <c r="I1933">
        <v>24</v>
      </c>
      <c r="J1933" t="s">
        <v>4440</v>
      </c>
      <c r="K1933" t="s">
        <v>4474</v>
      </c>
      <c r="L1933" t="s">
        <v>4445</v>
      </c>
      <c r="M1933" t="s">
        <v>4446</v>
      </c>
    </row>
    <row r="1934" spans="1:14" x14ac:dyDescent="0.35">
      <c r="A1934" t="s">
        <v>6413</v>
      </c>
      <c r="B1934" t="s">
        <v>310</v>
      </c>
      <c r="C1934" t="s">
        <v>1899</v>
      </c>
      <c r="D1934" t="s">
        <v>4482</v>
      </c>
      <c r="E1934" t="s">
        <v>4444</v>
      </c>
      <c r="F1934" s="3">
        <v>45243</v>
      </c>
      <c r="G1934" s="3">
        <v>45243</v>
      </c>
      <c r="H1934">
        <v>11</v>
      </c>
      <c r="I1934">
        <v>24</v>
      </c>
      <c r="J1934" t="s">
        <v>4448</v>
      </c>
      <c r="K1934" t="s">
        <v>4441</v>
      </c>
      <c r="L1934" t="s">
        <v>4454</v>
      </c>
      <c r="M1934" t="s">
        <v>4462</v>
      </c>
      <c r="N1934">
        <v>5</v>
      </c>
    </row>
    <row r="1935" spans="1:14" x14ac:dyDescent="0.35">
      <c r="A1935" t="s">
        <v>6414</v>
      </c>
      <c r="B1935" t="s">
        <v>194</v>
      </c>
      <c r="C1935" t="s">
        <v>1883</v>
      </c>
      <c r="D1935" t="s">
        <v>4452</v>
      </c>
      <c r="E1935" t="s">
        <v>4473</v>
      </c>
      <c r="F1935" s="3">
        <v>45128</v>
      </c>
      <c r="G1935" s="3">
        <v>45128</v>
      </c>
      <c r="H1935">
        <v>19.600000000000001</v>
      </c>
      <c r="I1935">
        <v>8</v>
      </c>
      <c r="J1935" t="s">
        <v>4440</v>
      </c>
      <c r="K1935" t="s">
        <v>4441</v>
      </c>
      <c r="L1935" t="s">
        <v>4449</v>
      </c>
      <c r="M1935" t="s">
        <v>1625</v>
      </c>
      <c r="N1935">
        <v>3</v>
      </c>
    </row>
    <row r="1936" spans="1:14" x14ac:dyDescent="0.35">
      <c r="A1936" t="s">
        <v>6415</v>
      </c>
      <c r="B1936" t="s">
        <v>106</v>
      </c>
      <c r="C1936" t="s">
        <v>1927</v>
      </c>
      <c r="D1936" t="s">
        <v>4438</v>
      </c>
      <c r="E1936" t="s">
        <v>4473</v>
      </c>
      <c r="F1936" s="3">
        <v>45051</v>
      </c>
      <c r="G1936" s="3">
        <v>45051</v>
      </c>
      <c r="H1936">
        <v>9.1</v>
      </c>
      <c r="I1936">
        <v>8</v>
      </c>
      <c r="J1936" t="s">
        <v>4440</v>
      </c>
      <c r="K1936" t="s">
        <v>4441</v>
      </c>
      <c r="L1936" t="s">
        <v>4527</v>
      </c>
      <c r="M1936" t="s">
        <v>4450</v>
      </c>
      <c r="N1936">
        <v>5</v>
      </c>
    </row>
    <row r="1937" spans="1:14" x14ac:dyDescent="0.35">
      <c r="A1937" t="s">
        <v>6416</v>
      </c>
      <c r="B1937" t="s">
        <v>173</v>
      </c>
      <c r="C1937" t="s">
        <v>1927</v>
      </c>
      <c r="D1937" t="s">
        <v>4472</v>
      </c>
      <c r="E1937" t="s">
        <v>4444</v>
      </c>
      <c r="F1937" s="3">
        <v>45378</v>
      </c>
      <c r="G1937" s="3">
        <v>45379</v>
      </c>
      <c r="H1937">
        <v>34.9</v>
      </c>
      <c r="I1937">
        <v>24</v>
      </c>
      <c r="J1937" t="s">
        <v>4440</v>
      </c>
      <c r="K1937" t="s">
        <v>4441</v>
      </c>
      <c r="L1937" t="s">
        <v>4527</v>
      </c>
      <c r="M1937" t="s">
        <v>4450</v>
      </c>
      <c r="N1937">
        <v>3</v>
      </c>
    </row>
    <row r="1938" spans="1:14" x14ac:dyDescent="0.35">
      <c r="A1938" t="s">
        <v>6417</v>
      </c>
      <c r="B1938" t="s">
        <v>266</v>
      </c>
      <c r="C1938" t="s">
        <v>1890</v>
      </c>
      <c r="D1938" t="s">
        <v>4443</v>
      </c>
      <c r="E1938" t="s">
        <v>4444</v>
      </c>
      <c r="F1938" s="3">
        <v>45138</v>
      </c>
      <c r="G1938" s="3" t="s">
        <v>537</v>
      </c>
      <c r="I1938">
        <v>24</v>
      </c>
      <c r="J1938" t="s">
        <v>4448</v>
      </c>
      <c r="K1938" t="s">
        <v>4474</v>
      </c>
      <c r="L1938" t="s">
        <v>4449</v>
      </c>
      <c r="M1938" t="s">
        <v>4450</v>
      </c>
    </row>
    <row r="1939" spans="1:14" x14ac:dyDescent="0.35">
      <c r="A1939" t="s">
        <v>6418</v>
      </c>
      <c r="B1939" t="s">
        <v>389</v>
      </c>
      <c r="C1939" t="s">
        <v>1883</v>
      </c>
      <c r="D1939" t="s">
        <v>4482</v>
      </c>
      <c r="E1939" t="s">
        <v>4439</v>
      </c>
      <c r="F1939" s="3">
        <v>45399</v>
      </c>
      <c r="G1939" s="3" t="s">
        <v>537</v>
      </c>
      <c r="I1939">
        <v>48</v>
      </c>
      <c r="J1939" t="s">
        <v>4448</v>
      </c>
      <c r="K1939" t="s">
        <v>4457</v>
      </c>
      <c r="L1939" t="s">
        <v>4461</v>
      </c>
      <c r="M1939" t="s">
        <v>4446</v>
      </c>
    </row>
    <row r="1940" spans="1:14" x14ac:dyDescent="0.35">
      <c r="A1940" t="s">
        <v>6419</v>
      </c>
      <c r="B1940" t="s">
        <v>476</v>
      </c>
      <c r="C1940" t="s">
        <v>1899</v>
      </c>
      <c r="D1940" t="s">
        <v>4472</v>
      </c>
      <c r="E1940" t="s">
        <v>4444</v>
      </c>
      <c r="F1940" s="3">
        <v>45276</v>
      </c>
      <c r="G1940" s="3">
        <v>45278</v>
      </c>
      <c r="H1940">
        <v>55.1</v>
      </c>
      <c r="I1940">
        <v>24</v>
      </c>
      <c r="J1940" t="s">
        <v>4440</v>
      </c>
      <c r="K1940" t="s">
        <v>4441</v>
      </c>
      <c r="L1940" t="s">
        <v>4461</v>
      </c>
      <c r="M1940" t="s">
        <v>4450</v>
      </c>
    </row>
    <row r="1941" spans="1:14" x14ac:dyDescent="0.35">
      <c r="A1941" t="s">
        <v>6420</v>
      </c>
      <c r="B1941" t="s">
        <v>297</v>
      </c>
      <c r="C1941" t="s">
        <v>1915</v>
      </c>
      <c r="D1941" t="s">
        <v>4479</v>
      </c>
      <c r="E1941" t="s">
        <v>4444</v>
      </c>
      <c r="F1941" s="3">
        <v>45304</v>
      </c>
      <c r="G1941" s="3">
        <v>45305</v>
      </c>
      <c r="H1941">
        <v>41.5</v>
      </c>
      <c r="I1941">
        <v>24</v>
      </c>
      <c r="J1941" t="s">
        <v>4440</v>
      </c>
      <c r="K1941" t="s">
        <v>4441</v>
      </c>
      <c r="L1941" t="s">
        <v>4512</v>
      </c>
      <c r="M1941" t="s">
        <v>4450</v>
      </c>
      <c r="N1941">
        <v>2</v>
      </c>
    </row>
    <row r="1942" spans="1:14" x14ac:dyDescent="0.35">
      <c r="A1942" t="s">
        <v>6421</v>
      </c>
      <c r="B1942" t="s">
        <v>152</v>
      </c>
      <c r="C1942" t="s">
        <v>1927</v>
      </c>
      <c r="D1942" t="s">
        <v>4452</v>
      </c>
      <c r="E1942" t="s">
        <v>4439</v>
      </c>
      <c r="F1942" s="3">
        <v>45173</v>
      </c>
      <c r="G1942" s="3" t="s">
        <v>537</v>
      </c>
      <c r="I1942">
        <v>48</v>
      </c>
      <c r="J1942" t="s">
        <v>4448</v>
      </c>
      <c r="K1942" t="s">
        <v>4453</v>
      </c>
      <c r="L1942" t="s">
        <v>4501</v>
      </c>
      <c r="M1942" t="s">
        <v>4462</v>
      </c>
    </row>
    <row r="1943" spans="1:14" x14ac:dyDescent="0.35">
      <c r="A1943" t="s">
        <v>6422</v>
      </c>
      <c r="B1943" t="s">
        <v>474</v>
      </c>
      <c r="C1943" t="s">
        <v>1927</v>
      </c>
      <c r="D1943" t="s">
        <v>8507</v>
      </c>
      <c r="E1943" t="s">
        <v>4473</v>
      </c>
      <c r="F1943" s="3">
        <v>45605</v>
      </c>
      <c r="G1943" s="3" t="s">
        <v>537</v>
      </c>
      <c r="I1943">
        <v>8</v>
      </c>
      <c r="J1943" t="s">
        <v>4440</v>
      </c>
      <c r="K1943" t="s">
        <v>4457</v>
      </c>
      <c r="L1943" t="s">
        <v>4501</v>
      </c>
      <c r="M1943" t="s">
        <v>4462</v>
      </c>
    </row>
    <row r="1944" spans="1:14" x14ac:dyDescent="0.35">
      <c r="A1944" t="s">
        <v>6423</v>
      </c>
      <c r="B1944" t="s">
        <v>346</v>
      </c>
      <c r="C1944" t="s">
        <v>1899</v>
      </c>
      <c r="D1944" t="s">
        <v>4479</v>
      </c>
      <c r="E1944" t="s">
        <v>4473</v>
      </c>
      <c r="F1944" s="3">
        <v>45378</v>
      </c>
      <c r="G1944" s="3" t="s">
        <v>537</v>
      </c>
      <c r="I1944">
        <v>8</v>
      </c>
      <c r="J1944" t="s">
        <v>4440</v>
      </c>
      <c r="K1944" t="s">
        <v>4453</v>
      </c>
      <c r="L1944" t="s">
        <v>4488</v>
      </c>
      <c r="M1944" t="s">
        <v>1625</v>
      </c>
    </row>
    <row r="1945" spans="1:14" x14ac:dyDescent="0.35">
      <c r="A1945" t="s">
        <v>6424</v>
      </c>
      <c r="B1945" t="s">
        <v>326</v>
      </c>
      <c r="C1945" t="s">
        <v>1899</v>
      </c>
      <c r="D1945" t="s">
        <v>4472</v>
      </c>
      <c r="E1945" t="s">
        <v>4439</v>
      </c>
      <c r="F1945" s="3">
        <v>45197</v>
      </c>
      <c r="G1945" s="3" t="s">
        <v>537</v>
      </c>
      <c r="I1945">
        <v>48</v>
      </c>
      <c r="J1945" t="s">
        <v>4440</v>
      </c>
      <c r="K1945" t="s">
        <v>4457</v>
      </c>
      <c r="L1945" t="s">
        <v>4488</v>
      </c>
      <c r="M1945" t="s">
        <v>4462</v>
      </c>
    </row>
    <row r="1946" spans="1:14" x14ac:dyDescent="0.35">
      <c r="A1946" t="s">
        <v>6425</v>
      </c>
      <c r="B1946" t="s">
        <v>263</v>
      </c>
      <c r="C1946" t="s">
        <v>1899</v>
      </c>
      <c r="D1946" t="s">
        <v>4469</v>
      </c>
      <c r="E1946" t="s">
        <v>4439</v>
      </c>
      <c r="F1946" s="3">
        <v>45245</v>
      </c>
      <c r="G1946" s="3">
        <v>45247</v>
      </c>
      <c r="H1946">
        <v>51.6</v>
      </c>
      <c r="I1946">
        <v>48</v>
      </c>
      <c r="J1946" t="s">
        <v>4440</v>
      </c>
      <c r="K1946" t="s">
        <v>4441</v>
      </c>
      <c r="L1946" t="s">
        <v>4501</v>
      </c>
      <c r="M1946" t="s">
        <v>4462</v>
      </c>
      <c r="N1946">
        <v>5</v>
      </c>
    </row>
    <row r="1947" spans="1:14" x14ac:dyDescent="0.35">
      <c r="A1947" t="s">
        <v>6426</v>
      </c>
      <c r="B1947" t="s">
        <v>480</v>
      </c>
      <c r="C1947" t="s">
        <v>1915</v>
      </c>
      <c r="D1947" t="s">
        <v>4438</v>
      </c>
      <c r="E1947" t="s">
        <v>4444</v>
      </c>
      <c r="F1947" s="3">
        <v>45149</v>
      </c>
      <c r="G1947" s="3" t="s">
        <v>537</v>
      </c>
      <c r="I1947">
        <v>24</v>
      </c>
      <c r="J1947" t="s">
        <v>4440</v>
      </c>
      <c r="K1947" t="s">
        <v>4453</v>
      </c>
      <c r="L1947" t="s">
        <v>4527</v>
      </c>
      <c r="M1947" t="s">
        <v>4446</v>
      </c>
    </row>
    <row r="1948" spans="1:14" x14ac:dyDescent="0.35">
      <c r="A1948" t="s">
        <v>6427</v>
      </c>
      <c r="B1948" t="s">
        <v>38</v>
      </c>
      <c r="C1948" t="s">
        <v>1883</v>
      </c>
      <c r="D1948" t="s">
        <v>4490</v>
      </c>
      <c r="E1948" t="s">
        <v>4444</v>
      </c>
      <c r="F1948" s="3">
        <v>45446</v>
      </c>
      <c r="G1948" s="3" t="s">
        <v>537</v>
      </c>
      <c r="I1948">
        <v>24</v>
      </c>
      <c r="J1948" t="s">
        <v>4448</v>
      </c>
      <c r="K1948" t="s">
        <v>4453</v>
      </c>
      <c r="L1948" t="s">
        <v>4580</v>
      </c>
      <c r="M1948" t="s">
        <v>4446</v>
      </c>
    </row>
    <row r="1949" spans="1:14" x14ac:dyDescent="0.35">
      <c r="A1949" t="s">
        <v>6428</v>
      </c>
      <c r="B1949" t="s">
        <v>371</v>
      </c>
      <c r="C1949" t="s">
        <v>1899</v>
      </c>
      <c r="D1949" t="s">
        <v>4472</v>
      </c>
      <c r="E1949" t="s">
        <v>4444</v>
      </c>
      <c r="F1949" s="3">
        <v>45624</v>
      </c>
      <c r="G1949" s="3">
        <v>45625</v>
      </c>
      <c r="H1949">
        <v>45.4</v>
      </c>
      <c r="I1949">
        <v>24</v>
      </c>
      <c r="J1949" t="s">
        <v>4440</v>
      </c>
      <c r="K1949" t="s">
        <v>4441</v>
      </c>
      <c r="L1949" t="s">
        <v>4527</v>
      </c>
      <c r="M1949" t="s">
        <v>1625</v>
      </c>
      <c r="N1949">
        <v>5</v>
      </c>
    </row>
    <row r="1950" spans="1:14" x14ac:dyDescent="0.35">
      <c r="A1950" t="s">
        <v>6429</v>
      </c>
      <c r="B1950" t="s">
        <v>252</v>
      </c>
      <c r="C1950" t="s">
        <v>1883</v>
      </c>
      <c r="D1950" t="s">
        <v>4490</v>
      </c>
      <c r="E1950" t="s">
        <v>4444</v>
      </c>
      <c r="F1950" s="3">
        <v>44963</v>
      </c>
      <c r="G1950" s="3">
        <v>44963</v>
      </c>
      <c r="H1950">
        <v>1.6</v>
      </c>
      <c r="I1950">
        <v>24</v>
      </c>
      <c r="J1950" t="s">
        <v>4448</v>
      </c>
      <c r="K1950" t="s">
        <v>4441</v>
      </c>
      <c r="L1950" t="s">
        <v>4509</v>
      </c>
      <c r="M1950" t="s">
        <v>4450</v>
      </c>
      <c r="N1950">
        <v>4</v>
      </c>
    </row>
    <row r="1951" spans="1:14" x14ac:dyDescent="0.35">
      <c r="A1951" t="s">
        <v>6430</v>
      </c>
      <c r="B1951" t="s">
        <v>203</v>
      </c>
      <c r="C1951" t="s">
        <v>1890</v>
      </c>
      <c r="D1951" t="s">
        <v>8506</v>
      </c>
      <c r="E1951" t="s">
        <v>4439</v>
      </c>
      <c r="F1951" s="3">
        <v>45649</v>
      </c>
      <c r="G1951" s="3">
        <v>45649</v>
      </c>
      <c r="H1951">
        <v>17.100000000000001</v>
      </c>
      <c r="I1951">
        <v>48</v>
      </c>
      <c r="J1951" t="s">
        <v>4448</v>
      </c>
      <c r="K1951" t="s">
        <v>4441</v>
      </c>
      <c r="L1951" t="s">
        <v>4488</v>
      </c>
      <c r="M1951" t="s">
        <v>4446</v>
      </c>
      <c r="N1951">
        <v>5</v>
      </c>
    </row>
    <row r="1952" spans="1:14" x14ac:dyDescent="0.35">
      <c r="A1952" t="s">
        <v>6431</v>
      </c>
      <c r="B1952" t="s">
        <v>410</v>
      </c>
      <c r="C1952" t="s">
        <v>1904</v>
      </c>
      <c r="D1952" t="s">
        <v>4490</v>
      </c>
      <c r="E1952" t="s">
        <v>4473</v>
      </c>
      <c r="F1952" s="3">
        <v>45667</v>
      </c>
      <c r="G1952" s="3" t="s">
        <v>537</v>
      </c>
      <c r="I1952">
        <v>8</v>
      </c>
      <c r="J1952" t="s">
        <v>4440</v>
      </c>
      <c r="K1952" t="s">
        <v>4474</v>
      </c>
      <c r="L1952" t="s">
        <v>4467</v>
      </c>
      <c r="M1952" t="s">
        <v>4450</v>
      </c>
    </row>
    <row r="1953" spans="1:14" x14ac:dyDescent="0.35">
      <c r="A1953" t="s">
        <v>6432</v>
      </c>
      <c r="B1953" t="s">
        <v>18</v>
      </c>
      <c r="C1953" t="s">
        <v>1890</v>
      </c>
      <c r="D1953" t="s">
        <v>4479</v>
      </c>
      <c r="E1953" t="s">
        <v>4439</v>
      </c>
      <c r="F1953" s="3">
        <v>45597</v>
      </c>
      <c r="G1953" s="3" t="s">
        <v>537</v>
      </c>
      <c r="I1953">
        <v>48</v>
      </c>
      <c r="J1953" t="s">
        <v>4440</v>
      </c>
      <c r="K1953" t="s">
        <v>4457</v>
      </c>
      <c r="L1953" t="s">
        <v>4527</v>
      </c>
      <c r="M1953" t="s">
        <v>4446</v>
      </c>
    </row>
    <row r="1954" spans="1:14" x14ac:dyDescent="0.35">
      <c r="A1954" t="s">
        <v>6433</v>
      </c>
      <c r="B1954" t="s">
        <v>135</v>
      </c>
      <c r="C1954" t="s">
        <v>1904</v>
      </c>
      <c r="D1954" t="s">
        <v>4490</v>
      </c>
      <c r="E1954" t="s">
        <v>4439</v>
      </c>
      <c r="F1954" s="3">
        <v>45470</v>
      </c>
      <c r="G1954" s="3">
        <v>45470</v>
      </c>
      <c r="H1954">
        <v>11.7</v>
      </c>
      <c r="I1954">
        <v>48</v>
      </c>
      <c r="J1954" t="s">
        <v>4448</v>
      </c>
      <c r="K1954" t="s">
        <v>4441</v>
      </c>
      <c r="L1954" t="s">
        <v>4470</v>
      </c>
      <c r="M1954" t="s">
        <v>4446</v>
      </c>
      <c r="N1954">
        <v>3</v>
      </c>
    </row>
    <row r="1955" spans="1:14" x14ac:dyDescent="0.35">
      <c r="A1955" t="s">
        <v>6434</v>
      </c>
      <c r="B1955" t="s">
        <v>414</v>
      </c>
      <c r="C1955" t="s">
        <v>1915</v>
      </c>
      <c r="D1955" t="s">
        <v>4460</v>
      </c>
      <c r="E1955" t="s">
        <v>4473</v>
      </c>
      <c r="F1955" s="3">
        <v>45530</v>
      </c>
      <c r="G1955" s="3" t="s">
        <v>537</v>
      </c>
      <c r="I1955">
        <v>8</v>
      </c>
      <c r="J1955" t="s">
        <v>4440</v>
      </c>
      <c r="K1955" t="s">
        <v>4453</v>
      </c>
      <c r="L1955" t="s">
        <v>4461</v>
      </c>
      <c r="M1955" t="s">
        <v>1625</v>
      </c>
    </row>
    <row r="1956" spans="1:14" x14ac:dyDescent="0.35">
      <c r="A1956" t="s">
        <v>6435</v>
      </c>
      <c r="B1956" t="s">
        <v>266</v>
      </c>
      <c r="C1956" t="s">
        <v>1899</v>
      </c>
      <c r="D1956" t="s">
        <v>4479</v>
      </c>
      <c r="E1956" t="s">
        <v>4444</v>
      </c>
      <c r="F1956" s="3">
        <v>45416</v>
      </c>
      <c r="G1956" s="3">
        <v>45418</v>
      </c>
      <c r="H1956">
        <v>55.3</v>
      </c>
      <c r="I1956">
        <v>24</v>
      </c>
      <c r="J1956" t="s">
        <v>4440</v>
      </c>
      <c r="K1956" t="s">
        <v>4441</v>
      </c>
      <c r="L1956" t="s">
        <v>4533</v>
      </c>
      <c r="M1956" t="s">
        <v>4462</v>
      </c>
      <c r="N1956">
        <v>2</v>
      </c>
    </row>
    <row r="1957" spans="1:14" x14ac:dyDescent="0.35">
      <c r="A1957" t="s">
        <v>6436</v>
      </c>
      <c r="B1957" t="s">
        <v>235</v>
      </c>
      <c r="C1957" t="s">
        <v>1883</v>
      </c>
      <c r="D1957" t="s">
        <v>4476</v>
      </c>
      <c r="E1957" t="s">
        <v>4473</v>
      </c>
      <c r="F1957" s="3">
        <v>45742</v>
      </c>
      <c r="G1957" s="3">
        <v>45742</v>
      </c>
      <c r="H1957">
        <v>3.9</v>
      </c>
      <c r="I1957">
        <v>8</v>
      </c>
      <c r="J1957" t="s">
        <v>4448</v>
      </c>
      <c r="K1957" t="s">
        <v>4441</v>
      </c>
      <c r="L1957" t="s">
        <v>4470</v>
      </c>
      <c r="M1957" t="s">
        <v>4446</v>
      </c>
      <c r="N1957">
        <v>4</v>
      </c>
    </row>
    <row r="1958" spans="1:14" x14ac:dyDescent="0.35">
      <c r="A1958" t="s">
        <v>6437</v>
      </c>
      <c r="B1958" t="s">
        <v>152</v>
      </c>
      <c r="C1958" t="s">
        <v>1915</v>
      </c>
      <c r="D1958" t="s">
        <v>4490</v>
      </c>
      <c r="E1958" t="s">
        <v>4473</v>
      </c>
      <c r="F1958" s="3">
        <v>45053</v>
      </c>
      <c r="G1958" s="3" t="s">
        <v>537</v>
      </c>
      <c r="I1958">
        <v>8</v>
      </c>
      <c r="J1958" t="s">
        <v>4448</v>
      </c>
      <c r="K1958" t="s">
        <v>4457</v>
      </c>
      <c r="L1958" t="s">
        <v>4483</v>
      </c>
      <c r="M1958" t="s">
        <v>4462</v>
      </c>
    </row>
    <row r="1959" spans="1:14" x14ac:dyDescent="0.35">
      <c r="A1959" t="s">
        <v>6438</v>
      </c>
      <c r="B1959" t="s">
        <v>396</v>
      </c>
      <c r="C1959" t="s">
        <v>1890</v>
      </c>
      <c r="D1959" t="s">
        <v>4443</v>
      </c>
      <c r="E1959" t="s">
        <v>4473</v>
      </c>
      <c r="F1959" s="3">
        <v>45251</v>
      </c>
      <c r="G1959" s="3" t="s">
        <v>537</v>
      </c>
      <c r="I1959">
        <v>8</v>
      </c>
      <c r="J1959" t="s">
        <v>4440</v>
      </c>
      <c r="K1959" t="s">
        <v>4457</v>
      </c>
      <c r="L1959" t="s">
        <v>4470</v>
      </c>
      <c r="M1959" t="s">
        <v>4450</v>
      </c>
    </row>
    <row r="1960" spans="1:14" x14ac:dyDescent="0.35">
      <c r="A1960" t="s">
        <v>6439</v>
      </c>
      <c r="B1960" t="s">
        <v>146</v>
      </c>
      <c r="C1960" t="s">
        <v>1890</v>
      </c>
      <c r="D1960" t="s">
        <v>4460</v>
      </c>
      <c r="E1960" t="s">
        <v>4456</v>
      </c>
      <c r="F1960" s="3">
        <v>45669</v>
      </c>
      <c r="G1960" s="3">
        <v>45669</v>
      </c>
      <c r="H1960">
        <v>8.1</v>
      </c>
      <c r="I1960">
        <v>4</v>
      </c>
      <c r="J1960" t="s">
        <v>4440</v>
      </c>
      <c r="K1960" t="s">
        <v>4441</v>
      </c>
      <c r="L1960" t="s">
        <v>4514</v>
      </c>
      <c r="M1960" t="s">
        <v>4462</v>
      </c>
      <c r="N1960">
        <v>5</v>
      </c>
    </row>
    <row r="1961" spans="1:14" x14ac:dyDescent="0.35">
      <c r="A1961" t="s">
        <v>6440</v>
      </c>
      <c r="B1961" t="s">
        <v>242</v>
      </c>
      <c r="C1961" t="s">
        <v>1890</v>
      </c>
      <c r="D1961" t="s">
        <v>8511</v>
      </c>
      <c r="E1961" t="s">
        <v>4473</v>
      </c>
      <c r="F1961" s="3">
        <v>45553</v>
      </c>
      <c r="G1961" s="3">
        <v>45553</v>
      </c>
      <c r="H1961">
        <v>10.8</v>
      </c>
      <c r="I1961">
        <v>8</v>
      </c>
      <c r="J1961" t="s">
        <v>4440</v>
      </c>
      <c r="K1961" t="s">
        <v>4441</v>
      </c>
      <c r="L1961" t="s">
        <v>4465</v>
      </c>
      <c r="M1961" t="s">
        <v>4446</v>
      </c>
      <c r="N1961">
        <v>3</v>
      </c>
    </row>
    <row r="1962" spans="1:14" x14ac:dyDescent="0.35">
      <c r="A1962" t="s">
        <v>6441</v>
      </c>
      <c r="B1962" t="s">
        <v>194</v>
      </c>
      <c r="C1962" t="s">
        <v>1899</v>
      </c>
      <c r="D1962" t="s">
        <v>4490</v>
      </c>
      <c r="E1962" t="s">
        <v>4439</v>
      </c>
      <c r="F1962" s="3">
        <v>45046</v>
      </c>
      <c r="G1962" s="3" t="s">
        <v>537</v>
      </c>
      <c r="I1962">
        <v>48</v>
      </c>
      <c r="J1962" t="s">
        <v>4440</v>
      </c>
      <c r="K1962" t="s">
        <v>4457</v>
      </c>
      <c r="L1962" t="s">
        <v>4449</v>
      </c>
      <c r="M1962" t="s">
        <v>4462</v>
      </c>
    </row>
    <row r="1963" spans="1:14" x14ac:dyDescent="0.35">
      <c r="A1963" t="s">
        <v>6442</v>
      </c>
      <c r="B1963" t="s">
        <v>288</v>
      </c>
      <c r="C1963" t="s">
        <v>1915</v>
      </c>
      <c r="D1963" t="s">
        <v>4476</v>
      </c>
      <c r="E1963" t="s">
        <v>4439</v>
      </c>
      <c r="F1963" s="3">
        <v>45745</v>
      </c>
      <c r="G1963" s="3" t="s">
        <v>537</v>
      </c>
      <c r="I1963">
        <v>48</v>
      </c>
      <c r="J1963" t="s">
        <v>4440</v>
      </c>
      <c r="K1963" t="s">
        <v>4453</v>
      </c>
      <c r="L1963" t="s">
        <v>4445</v>
      </c>
      <c r="M1963" t="s">
        <v>4462</v>
      </c>
    </row>
    <row r="1964" spans="1:14" x14ac:dyDescent="0.35">
      <c r="A1964" t="s">
        <v>6443</v>
      </c>
      <c r="B1964" t="s">
        <v>263</v>
      </c>
      <c r="C1964" t="s">
        <v>1899</v>
      </c>
      <c r="D1964" t="s">
        <v>4490</v>
      </c>
      <c r="E1964" t="s">
        <v>4456</v>
      </c>
      <c r="F1964" s="3">
        <v>45639</v>
      </c>
      <c r="G1964" s="3">
        <v>45639</v>
      </c>
      <c r="H1964">
        <v>6.8</v>
      </c>
      <c r="I1964">
        <v>4</v>
      </c>
      <c r="J1964" t="s">
        <v>4440</v>
      </c>
      <c r="K1964" t="s">
        <v>4441</v>
      </c>
      <c r="L1964" t="s">
        <v>4501</v>
      </c>
      <c r="M1964" t="s">
        <v>4450</v>
      </c>
      <c r="N1964">
        <v>2</v>
      </c>
    </row>
    <row r="1965" spans="1:14" x14ac:dyDescent="0.35">
      <c r="A1965" t="s">
        <v>6444</v>
      </c>
      <c r="B1965" t="s">
        <v>451</v>
      </c>
      <c r="C1965" t="s">
        <v>1883</v>
      </c>
      <c r="D1965" t="s">
        <v>4464</v>
      </c>
      <c r="E1965" t="s">
        <v>4444</v>
      </c>
      <c r="F1965" s="3">
        <v>45145</v>
      </c>
      <c r="G1965" s="3" t="s">
        <v>537</v>
      </c>
      <c r="I1965">
        <v>24</v>
      </c>
      <c r="J1965" t="s">
        <v>4448</v>
      </c>
      <c r="K1965" t="s">
        <v>4457</v>
      </c>
      <c r="L1965" t="s">
        <v>4492</v>
      </c>
      <c r="M1965" t="s">
        <v>4446</v>
      </c>
    </row>
    <row r="1966" spans="1:14" x14ac:dyDescent="0.35">
      <c r="A1966" t="s">
        <v>6445</v>
      </c>
      <c r="B1966" t="s">
        <v>97</v>
      </c>
      <c r="C1966" t="s">
        <v>1890</v>
      </c>
      <c r="D1966" t="s">
        <v>4452</v>
      </c>
      <c r="E1966" t="s">
        <v>4444</v>
      </c>
      <c r="F1966" s="3">
        <v>45046</v>
      </c>
      <c r="G1966" s="3" t="s">
        <v>537</v>
      </c>
      <c r="I1966">
        <v>24</v>
      </c>
      <c r="J1966" t="s">
        <v>4448</v>
      </c>
      <c r="K1966" t="s">
        <v>4474</v>
      </c>
      <c r="L1966" t="s">
        <v>4533</v>
      </c>
      <c r="M1966" t="s">
        <v>4462</v>
      </c>
    </row>
    <row r="1967" spans="1:14" x14ac:dyDescent="0.35">
      <c r="A1967" t="s">
        <v>6446</v>
      </c>
      <c r="B1967" t="s">
        <v>211</v>
      </c>
      <c r="C1967" t="s">
        <v>1915</v>
      </c>
      <c r="D1967" t="s">
        <v>4476</v>
      </c>
      <c r="E1967" t="s">
        <v>4444</v>
      </c>
      <c r="F1967" s="3">
        <v>45087</v>
      </c>
      <c r="G1967" s="3" t="s">
        <v>537</v>
      </c>
      <c r="I1967">
        <v>24</v>
      </c>
      <c r="J1967" t="s">
        <v>4440</v>
      </c>
      <c r="K1967" t="s">
        <v>4457</v>
      </c>
      <c r="L1967" t="s">
        <v>4445</v>
      </c>
      <c r="M1967" t="s">
        <v>1625</v>
      </c>
    </row>
    <row r="1968" spans="1:14" x14ac:dyDescent="0.35">
      <c r="A1968" t="s">
        <v>6447</v>
      </c>
      <c r="B1968" t="s">
        <v>27</v>
      </c>
      <c r="C1968" t="s">
        <v>1899</v>
      </c>
      <c r="D1968" t="s">
        <v>4452</v>
      </c>
      <c r="E1968" t="s">
        <v>4444</v>
      </c>
      <c r="F1968" s="3">
        <v>45250</v>
      </c>
      <c r="G1968" s="3" t="s">
        <v>537</v>
      </c>
      <c r="I1968">
        <v>24</v>
      </c>
      <c r="J1968" t="s">
        <v>4440</v>
      </c>
      <c r="K1968" t="s">
        <v>4457</v>
      </c>
      <c r="L1968" t="s">
        <v>4512</v>
      </c>
      <c r="M1968" t="s">
        <v>1625</v>
      </c>
    </row>
    <row r="1969" spans="1:14" x14ac:dyDescent="0.35">
      <c r="A1969" t="s">
        <v>6448</v>
      </c>
      <c r="B1969" t="s">
        <v>164</v>
      </c>
      <c r="C1969" t="s">
        <v>1915</v>
      </c>
      <c r="D1969" t="s">
        <v>4469</v>
      </c>
      <c r="E1969" t="s">
        <v>4444</v>
      </c>
      <c r="F1969" s="3">
        <v>45255</v>
      </c>
      <c r="G1969" s="3">
        <v>45256</v>
      </c>
      <c r="H1969">
        <v>37</v>
      </c>
      <c r="I1969">
        <v>24</v>
      </c>
      <c r="J1969" t="s">
        <v>4440</v>
      </c>
      <c r="K1969" t="s">
        <v>4441</v>
      </c>
      <c r="L1969" t="s">
        <v>4483</v>
      </c>
      <c r="M1969" t="s">
        <v>4446</v>
      </c>
      <c r="N1969">
        <v>4</v>
      </c>
    </row>
    <row r="1970" spans="1:14" x14ac:dyDescent="0.35">
      <c r="A1970" t="s">
        <v>6449</v>
      </c>
      <c r="B1970" t="s">
        <v>450</v>
      </c>
      <c r="C1970" t="s">
        <v>1883</v>
      </c>
      <c r="D1970" t="s">
        <v>4464</v>
      </c>
      <c r="E1970" t="s">
        <v>4439</v>
      </c>
      <c r="F1970" s="3">
        <v>45435</v>
      </c>
      <c r="G1970" s="3">
        <v>45435</v>
      </c>
      <c r="H1970">
        <v>20.100000000000001</v>
      </c>
      <c r="I1970">
        <v>48</v>
      </c>
      <c r="J1970" t="s">
        <v>4448</v>
      </c>
      <c r="K1970" t="s">
        <v>4441</v>
      </c>
      <c r="L1970" t="s">
        <v>4454</v>
      </c>
      <c r="M1970" t="s">
        <v>4446</v>
      </c>
    </row>
    <row r="1971" spans="1:14" x14ac:dyDescent="0.35">
      <c r="A1971" t="s">
        <v>6450</v>
      </c>
      <c r="B1971" t="s">
        <v>106</v>
      </c>
      <c r="C1971" t="s">
        <v>1883</v>
      </c>
      <c r="D1971" t="s">
        <v>4472</v>
      </c>
      <c r="E1971" t="s">
        <v>4456</v>
      </c>
      <c r="F1971" s="3">
        <v>45528</v>
      </c>
      <c r="G1971" s="3">
        <v>45528</v>
      </c>
      <c r="H1971">
        <v>1.7</v>
      </c>
      <c r="I1971">
        <v>4</v>
      </c>
      <c r="J1971" t="s">
        <v>4448</v>
      </c>
      <c r="K1971" t="s">
        <v>4441</v>
      </c>
      <c r="L1971" t="s">
        <v>4509</v>
      </c>
      <c r="M1971" t="s">
        <v>4450</v>
      </c>
      <c r="N1971">
        <v>3</v>
      </c>
    </row>
    <row r="1972" spans="1:14" x14ac:dyDescent="0.35">
      <c r="A1972" t="s">
        <v>6451</v>
      </c>
      <c r="B1972" t="s">
        <v>284</v>
      </c>
      <c r="C1972" t="s">
        <v>1915</v>
      </c>
      <c r="D1972" t="s">
        <v>4485</v>
      </c>
      <c r="E1972" t="s">
        <v>4444</v>
      </c>
      <c r="F1972" s="3">
        <v>45682</v>
      </c>
      <c r="G1972" s="3" t="s">
        <v>537</v>
      </c>
      <c r="I1972">
        <v>24</v>
      </c>
      <c r="J1972" t="s">
        <v>1945</v>
      </c>
      <c r="K1972" t="s">
        <v>4474</v>
      </c>
      <c r="L1972" t="s">
        <v>4465</v>
      </c>
      <c r="M1972" t="s">
        <v>4446</v>
      </c>
    </row>
    <row r="1973" spans="1:14" x14ac:dyDescent="0.35">
      <c r="A1973" t="s">
        <v>6452</v>
      </c>
      <c r="B1973" t="s">
        <v>245</v>
      </c>
      <c r="C1973" t="s">
        <v>1915</v>
      </c>
      <c r="D1973" t="s">
        <v>4482</v>
      </c>
      <c r="E1973" t="s">
        <v>4456</v>
      </c>
      <c r="F1973" s="3">
        <v>44949</v>
      </c>
      <c r="G1973" s="3">
        <v>44949</v>
      </c>
      <c r="H1973">
        <v>0.6</v>
      </c>
      <c r="I1973">
        <v>4</v>
      </c>
      <c r="J1973" t="s">
        <v>4448</v>
      </c>
      <c r="K1973" t="s">
        <v>4441</v>
      </c>
      <c r="L1973" t="s">
        <v>4480</v>
      </c>
      <c r="M1973" t="s">
        <v>4446</v>
      </c>
      <c r="N1973">
        <v>3</v>
      </c>
    </row>
    <row r="1974" spans="1:14" x14ac:dyDescent="0.35">
      <c r="A1974" t="s">
        <v>6453</v>
      </c>
      <c r="B1974" t="s">
        <v>346</v>
      </c>
      <c r="C1974" t="s">
        <v>1927</v>
      </c>
      <c r="D1974" t="s">
        <v>4479</v>
      </c>
      <c r="E1974" t="s">
        <v>4444</v>
      </c>
      <c r="F1974" s="3">
        <v>45669</v>
      </c>
      <c r="G1974" s="3" t="s">
        <v>537</v>
      </c>
      <c r="I1974">
        <v>24</v>
      </c>
      <c r="J1974" t="s">
        <v>4440</v>
      </c>
      <c r="K1974" t="s">
        <v>4474</v>
      </c>
      <c r="L1974" t="s">
        <v>4488</v>
      </c>
      <c r="M1974" t="s">
        <v>4462</v>
      </c>
    </row>
    <row r="1975" spans="1:14" x14ac:dyDescent="0.35">
      <c r="A1975" t="s">
        <v>6454</v>
      </c>
      <c r="B1975" t="s">
        <v>364</v>
      </c>
      <c r="C1975" t="s">
        <v>1890</v>
      </c>
      <c r="D1975" t="s">
        <v>4438</v>
      </c>
      <c r="E1975" t="s">
        <v>4444</v>
      </c>
      <c r="F1975" s="3">
        <v>45141</v>
      </c>
      <c r="G1975" s="3" t="s">
        <v>537</v>
      </c>
      <c r="I1975">
        <v>24</v>
      </c>
      <c r="J1975" t="s">
        <v>4440</v>
      </c>
      <c r="K1975" t="s">
        <v>4457</v>
      </c>
      <c r="L1975" t="s">
        <v>4445</v>
      </c>
      <c r="M1975" t="s">
        <v>4446</v>
      </c>
    </row>
    <row r="1976" spans="1:14" x14ac:dyDescent="0.35">
      <c r="A1976" t="s">
        <v>6455</v>
      </c>
      <c r="B1976" t="s">
        <v>499</v>
      </c>
      <c r="C1976" t="s">
        <v>1927</v>
      </c>
      <c r="D1976" t="s">
        <v>4476</v>
      </c>
      <c r="E1976" t="s">
        <v>4444</v>
      </c>
      <c r="F1976" s="3">
        <v>44943</v>
      </c>
      <c r="G1976" s="3">
        <v>44944</v>
      </c>
      <c r="H1976">
        <v>35.5</v>
      </c>
      <c r="I1976">
        <v>24</v>
      </c>
      <c r="J1976" t="s">
        <v>4440</v>
      </c>
      <c r="K1976" t="s">
        <v>4441</v>
      </c>
      <c r="L1976" t="s">
        <v>4467</v>
      </c>
      <c r="M1976" t="s">
        <v>4446</v>
      </c>
      <c r="N1976">
        <v>1</v>
      </c>
    </row>
    <row r="1977" spans="1:14" x14ac:dyDescent="0.35">
      <c r="A1977" t="s">
        <v>6456</v>
      </c>
      <c r="B1977" t="s">
        <v>458</v>
      </c>
      <c r="C1977" t="s">
        <v>1883</v>
      </c>
      <c r="D1977" t="s">
        <v>4438</v>
      </c>
      <c r="E1977" t="s">
        <v>4444</v>
      </c>
      <c r="F1977" s="3">
        <v>45509</v>
      </c>
      <c r="G1977" s="3">
        <v>45510</v>
      </c>
      <c r="H1977">
        <v>45</v>
      </c>
      <c r="I1977">
        <v>24</v>
      </c>
      <c r="J1977" t="s">
        <v>4440</v>
      </c>
      <c r="K1977" t="s">
        <v>4441</v>
      </c>
      <c r="L1977" t="s">
        <v>4533</v>
      </c>
      <c r="M1977" t="s">
        <v>4446</v>
      </c>
      <c r="N1977">
        <v>3</v>
      </c>
    </row>
    <row r="1978" spans="1:14" x14ac:dyDescent="0.35">
      <c r="A1978" t="s">
        <v>6457</v>
      </c>
      <c r="B1978" t="s">
        <v>220</v>
      </c>
      <c r="C1978" t="s">
        <v>1904</v>
      </c>
      <c r="D1978" t="s">
        <v>4485</v>
      </c>
      <c r="E1978" t="s">
        <v>4456</v>
      </c>
      <c r="F1978" s="3">
        <v>45001</v>
      </c>
      <c r="G1978" s="3">
        <v>45001</v>
      </c>
      <c r="H1978">
        <v>0.5</v>
      </c>
      <c r="I1978">
        <v>4</v>
      </c>
      <c r="J1978" t="s">
        <v>4448</v>
      </c>
      <c r="K1978" t="s">
        <v>4441</v>
      </c>
      <c r="L1978" t="s">
        <v>4467</v>
      </c>
      <c r="M1978" t="s">
        <v>1625</v>
      </c>
    </row>
    <row r="1979" spans="1:14" x14ac:dyDescent="0.35">
      <c r="A1979" t="s">
        <v>6458</v>
      </c>
      <c r="B1979" t="s">
        <v>288</v>
      </c>
      <c r="C1979" t="s">
        <v>1915</v>
      </c>
      <c r="D1979" t="s">
        <v>4479</v>
      </c>
      <c r="E1979" t="s">
        <v>4444</v>
      </c>
      <c r="F1979" s="3">
        <v>45643</v>
      </c>
      <c r="G1979" s="3">
        <v>45644</v>
      </c>
      <c r="H1979">
        <v>26.6</v>
      </c>
      <c r="I1979">
        <v>24</v>
      </c>
      <c r="J1979" t="s">
        <v>4440</v>
      </c>
      <c r="K1979" t="s">
        <v>4441</v>
      </c>
      <c r="L1979" t="s">
        <v>4470</v>
      </c>
      <c r="M1979" t="s">
        <v>1625</v>
      </c>
      <c r="N1979">
        <v>3</v>
      </c>
    </row>
    <row r="1980" spans="1:14" x14ac:dyDescent="0.35">
      <c r="A1980" t="s">
        <v>6459</v>
      </c>
      <c r="B1980" t="s">
        <v>283</v>
      </c>
      <c r="C1980" t="s">
        <v>1904</v>
      </c>
      <c r="D1980" t="s">
        <v>4469</v>
      </c>
      <c r="E1980" t="s">
        <v>4473</v>
      </c>
      <c r="F1980" s="3">
        <v>45467</v>
      </c>
      <c r="G1980" s="3">
        <v>45467</v>
      </c>
      <c r="H1980">
        <v>6.2</v>
      </c>
      <c r="I1980">
        <v>8</v>
      </c>
      <c r="J1980" t="s">
        <v>4448</v>
      </c>
      <c r="K1980" t="s">
        <v>4441</v>
      </c>
      <c r="L1980" t="s">
        <v>4470</v>
      </c>
      <c r="M1980" t="s">
        <v>4446</v>
      </c>
      <c r="N1980">
        <v>2</v>
      </c>
    </row>
    <row r="1981" spans="1:14" x14ac:dyDescent="0.35">
      <c r="A1981" t="s">
        <v>6460</v>
      </c>
      <c r="B1981" t="s">
        <v>186</v>
      </c>
      <c r="C1981" t="s">
        <v>1927</v>
      </c>
      <c r="D1981" t="s">
        <v>4479</v>
      </c>
      <c r="E1981" t="s">
        <v>4444</v>
      </c>
      <c r="F1981" s="3">
        <v>45222</v>
      </c>
      <c r="G1981" s="3">
        <v>45222</v>
      </c>
      <c r="H1981">
        <v>3.2</v>
      </c>
      <c r="I1981">
        <v>24</v>
      </c>
      <c r="J1981" t="s">
        <v>4448</v>
      </c>
      <c r="K1981" t="s">
        <v>4441</v>
      </c>
      <c r="L1981" t="s">
        <v>4470</v>
      </c>
      <c r="M1981" t="s">
        <v>4446</v>
      </c>
    </row>
    <row r="1982" spans="1:14" x14ac:dyDescent="0.35">
      <c r="A1982" t="s">
        <v>6461</v>
      </c>
      <c r="B1982" t="s">
        <v>428</v>
      </c>
      <c r="C1982" t="s">
        <v>1883</v>
      </c>
      <c r="D1982" t="s">
        <v>4464</v>
      </c>
      <c r="E1982" t="s">
        <v>4439</v>
      </c>
      <c r="F1982" s="3">
        <v>45127</v>
      </c>
      <c r="G1982" s="3">
        <v>45128</v>
      </c>
      <c r="H1982">
        <v>27.8</v>
      </c>
      <c r="I1982">
        <v>48</v>
      </c>
      <c r="J1982" t="s">
        <v>4448</v>
      </c>
      <c r="K1982" t="s">
        <v>4441</v>
      </c>
      <c r="L1982" t="s">
        <v>4527</v>
      </c>
      <c r="M1982" t="s">
        <v>4446</v>
      </c>
      <c r="N1982">
        <v>3</v>
      </c>
    </row>
    <row r="1983" spans="1:14" x14ac:dyDescent="0.35">
      <c r="A1983" t="s">
        <v>6462</v>
      </c>
      <c r="B1983" t="s">
        <v>293</v>
      </c>
      <c r="C1983" t="s">
        <v>1927</v>
      </c>
      <c r="D1983" t="s">
        <v>4443</v>
      </c>
      <c r="E1983" t="s">
        <v>4473</v>
      </c>
      <c r="F1983" s="3">
        <v>45380</v>
      </c>
      <c r="G1983" s="3" t="s">
        <v>537</v>
      </c>
      <c r="I1983">
        <v>8</v>
      </c>
      <c r="J1983" t="s">
        <v>4448</v>
      </c>
      <c r="K1983" t="s">
        <v>4453</v>
      </c>
      <c r="L1983" t="s">
        <v>4509</v>
      </c>
      <c r="M1983" t="s">
        <v>1625</v>
      </c>
    </row>
    <row r="1984" spans="1:14" x14ac:dyDescent="0.35">
      <c r="A1984" t="s">
        <v>6463</v>
      </c>
      <c r="B1984" t="s">
        <v>245</v>
      </c>
      <c r="C1984" t="s">
        <v>1915</v>
      </c>
      <c r="D1984" t="s">
        <v>4438</v>
      </c>
      <c r="E1984" t="s">
        <v>4444</v>
      </c>
      <c r="F1984" s="3">
        <v>45693</v>
      </c>
      <c r="G1984" s="3">
        <v>45693</v>
      </c>
      <c r="H1984">
        <v>11.1</v>
      </c>
      <c r="I1984">
        <v>24</v>
      </c>
      <c r="J1984" t="s">
        <v>4448</v>
      </c>
      <c r="K1984" t="s">
        <v>4441</v>
      </c>
      <c r="L1984" t="s">
        <v>4514</v>
      </c>
      <c r="M1984" t="s">
        <v>1625</v>
      </c>
      <c r="N1984">
        <v>4</v>
      </c>
    </row>
    <row r="1985" spans="1:14" x14ac:dyDescent="0.35">
      <c r="A1985" t="s">
        <v>6464</v>
      </c>
      <c r="B1985" t="s">
        <v>493</v>
      </c>
      <c r="C1985" t="s">
        <v>1890</v>
      </c>
      <c r="D1985" t="s">
        <v>4479</v>
      </c>
      <c r="E1985" t="s">
        <v>4439</v>
      </c>
      <c r="F1985" s="3">
        <v>45372</v>
      </c>
      <c r="G1985" s="3">
        <v>45372</v>
      </c>
      <c r="H1985">
        <v>23.2</v>
      </c>
      <c r="I1985">
        <v>48</v>
      </c>
      <c r="J1985" t="s">
        <v>4448</v>
      </c>
      <c r="K1985" t="s">
        <v>4441</v>
      </c>
      <c r="L1985" t="s">
        <v>4533</v>
      </c>
      <c r="M1985" t="s">
        <v>4450</v>
      </c>
      <c r="N1985">
        <v>4</v>
      </c>
    </row>
    <row r="1986" spans="1:14" x14ac:dyDescent="0.35">
      <c r="A1986" t="s">
        <v>6465</v>
      </c>
      <c r="B1986" t="s">
        <v>367</v>
      </c>
      <c r="C1986" t="s">
        <v>1899</v>
      </c>
      <c r="D1986" t="s">
        <v>4464</v>
      </c>
      <c r="E1986" t="s">
        <v>4473</v>
      </c>
      <c r="F1986" s="3">
        <v>45192</v>
      </c>
      <c r="G1986" s="3" t="s">
        <v>537</v>
      </c>
      <c r="I1986">
        <v>8</v>
      </c>
      <c r="J1986" t="s">
        <v>1945</v>
      </c>
      <c r="K1986" t="s">
        <v>4457</v>
      </c>
      <c r="L1986" t="s">
        <v>4458</v>
      </c>
      <c r="M1986" t="s">
        <v>1625</v>
      </c>
    </row>
    <row r="1987" spans="1:14" x14ac:dyDescent="0.35">
      <c r="A1987" t="s">
        <v>6466</v>
      </c>
      <c r="B1987" t="s">
        <v>360</v>
      </c>
      <c r="C1987" t="s">
        <v>1915</v>
      </c>
      <c r="D1987" t="s">
        <v>4485</v>
      </c>
      <c r="E1987" t="s">
        <v>4439</v>
      </c>
      <c r="F1987" s="3">
        <v>45132</v>
      </c>
      <c r="G1987" s="3" t="s">
        <v>537</v>
      </c>
      <c r="I1987">
        <v>48</v>
      </c>
      <c r="J1987" t="s">
        <v>4448</v>
      </c>
      <c r="K1987" t="s">
        <v>4474</v>
      </c>
      <c r="L1987" t="s">
        <v>4461</v>
      </c>
      <c r="M1987" t="s">
        <v>4450</v>
      </c>
    </row>
    <row r="1988" spans="1:14" x14ac:dyDescent="0.35">
      <c r="A1988" t="s">
        <v>6467</v>
      </c>
      <c r="B1988" t="s">
        <v>160</v>
      </c>
      <c r="C1988" t="s">
        <v>1899</v>
      </c>
      <c r="D1988" t="s">
        <v>4438</v>
      </c>
      <c r="E1988" t="s">
        <v>4456</v>
      </c>
      <c r="F1988" s="3">
        <v>45201</v>
      </c>
      <c r="G1988" s="3">
        <v>45201</v>
      </c>
      <c r="H1988">
        <v>8.3000000000000007</v>
      </c>
      <c r="I1988">
        <v>4</v>
      </c>
      <c r="J1988" t="s">
        <v>4440</v>
      </c>
      <c r="K1988" t="s">
        <v>4441</v>
      </c>
      <c r="L1988" t="s">
        <v>4512</v>
      </c>
      <c r="M1988" t="s">
        <v>4462</v>
      </c>
      <c r="N1988">
        <v>4</v>
      </c>
    </row>
    <row r="1989" spans="1:14" x14ac:dyDescent="0.35">
      <c r="A1989" t="s">
        <v>6468</v>
      </c>
      <c r="B1989" t="s">
        <v>370</v>
      </c>
      <c r="C1989" t="s">
        <v>1890</v>
      </c>
      <c r="D1989" t="s">
        <v>4438</v>
      </c>
      <c r="E1989" t="s">
        <v>4473</v>
      </c>
      <c r="F1989" s="3">
        <v>45439</v>
      </c>
      <c r="G1989" s="3">
        <v>45439</v>
      </c>
      <c r="H1989">
        <v>15</v>
      </c>
      <c r="I1989">
        <v>8</v>
      </c>
      <c r="J1989" t="s">
        <v>4440</v>
      </c>
      <c r="K1989" t="s">
        <v>4441</v>
      </c>
      <c r="L1989" t="s">
        <v>4492</v>
      </c>
      <c r="M1989" t="s">
        <v>1625</v>
      </c>
    </row>
    <row r="1990" spans="1:14" x14ac:dyDescent="0.35">
      <c r="A1990" t="s">
        <v>6469</v>
      </c>
      <c r="B1990" t="s">
        <v>280</v>
      </c>
      <c r="C1990" t="s">
        <v>1899</v>
      </c>
      <c r="D1990" t="s">
        <v>4464</v>
      </c>
      <c r="E1990" t="s">
        <v>4439</v>
      </c>
      <c r="F1990" s="3">
        <v>44987</v>
      </c>
      <c r="G1990" s="3">
        <v>44990</v>
      </c>
      <c r="H1990">
        <v>79.2</v>
      </c>
      <c r="I1990">
        <v>48</v>
      </c>
      <c r="J1990" t="s">
        <v>4440</v>
      </c>
      <c r="K1990" t="s">
        <v>4441</v>
      </c>
      <c r="L1990" t="s">
        <v>4449</v>
      </c>
      <c r="M1990" t="s">
        <v>4462</v>
      </c>
      <c r="N1990">
        <v>5</v>
      </c>
    </row>
    <row r="1991" spans="1:14" x14ac:dyDescent="0.35">
      <c r="A1991" t="s">
        <v>6470</v>
      </c>
      <c r="B1991" t="s">
        <v>243</v>
      </c>
      <c r="C1991" t="s">
        <v>1890</v>
      </c>
      <c r="D1991" t="s">
        <v>4460</v>
      </c>
      <c r="E1991" t="s">
        <v>4473</v>
      </c>
      <c r="F1991" s="3">
        <v>45595</v>
      </c>
      <c r="G1991" s="3">
        <v>45595</v>
      </c>
      <c r="H1991">
        <v>4.7</v>
      </c>
      <c r="I1991">
        <v>8</v>
      </c>
      <c r="J1991" t="s">
        <v>4448</v>
      </c>
      <c r="K1991" t="s">
        <v>4441</v>
      </c>
      <c r="L1991" t="s">
        <v>4445</v>
      </c>
      <c r="M1991" t="s">
        <v>4450</v>
      </c>
      <c r="N1991">
        <v>5</v>
      </c>
    </row>
    <row r="1992" spans="1:14" x14ac:dyDescent="0.35">
      <c r="A1992" t="s">
        <v>6471</v>
      </c>
      <c r="B1992" t="s">
        <v>380</v>
      </c>
      <c r="C1992" t="s">
        <v>1890</v>
      </c>
      <c r="D1992" t="s">
        <v>4464</v>
      </c>
      <c r="E1992" t="s">
        <v>4473</v>
      </c>
      <c r="F1992" s="3">
        <v>45468</v>
      </c>
      <c r="G1992" s="3" t="s">
        <v>537</v>
      </c>
      <c r="I1992">
        <v>8</v>
      </c>
      <c r="J1992" t="s">
        <v>1945</v>
      </c>
      <c r="K1992" t="s">
        <v>4474</v>
      </c>
      <c r="L1992" t="s">
        <v>4580</v>
      </c>
      <c r="M1992" t="s">
        <v>4446</v>
      </c>
    </row>
    <row r="1993" spans="1:14" x14ac:dyDescent="0.35">
      <c r="A1993" t="s">
        <v>6472</v>
      </c>
      <c r="B1993" t="s">
        <v>403</v>
      </c>
      <c r="C1993" t="s">
        <v>1883</v>
      </c>
      <c r="D1993" t="s">
        <v>4472</v>
      </c>
      <c r="E1993" t="s">
        <v>4456</v>
      </c>
      <c r="F1993" s="3">
        <v>44966</v>
      </c>
      <c r="G1993" s="3" t="s">
        <v>537</v>
      </c>
      <c r="I1993">
        <v>4</v>
      </c>
      <c r="J1993" t="s">
        <v>4440</v>
      </c>
      <c r="K1993" t="s">
        <v>4457</v>
      </c>
      <c r="L1993" t="s">
        <v>4461</v>
      </c>
      <c r="M1993" t="s">
        <v>1625</v>
      </c>
    </row>
    <row r="1994" spans="1:14" x14ac:dyDescent="0.35">
      <c r="A1994" t="s">
        <v>6473</v>
      </c>
      <c r="B1994" t="s">
        <v>318</v>
      </c>
      <c r="C1994" t="s">
        <v>1899</v>
      </c>
      <c r="D1994" t="s">
        <v>4469</v>
      </c>
      <c r="E1994" t="s">
        <v>4473</v>
      </c>
      <c r="F1994" s="3">
        <v>44989</v>
      </c>
      <c r="G1994" s="3" t="s">
        <v>537</v>
      </c>
      <c r="I1994">
        <v>8</v>
      </c>
      <c r="J1994" t="s">
        <v>4448</v>
      </c>
      <c r="K1994" t="s">
        <v>4474</v>
      </c>
      <c r="L1994" t="s">
        <v>4533</v>
      </c>
      <c r="M1994" t="s">
        <v>4462</v>
      </c>
    </row>
    <row r="1995" spans="1:14" x14ac:dyDescent="0.35">
      <c r="A1995" t="s">
        <v>6474</v>
      </c>
      <c r="B1995" t="s">
        <v>210</v>
      </c>
      <c r="C1995" t="s">
        <v>1915</v>
      </c>
      <c r="D1995" t="s">
        <v>4464</v>
      </c>
      <c r="E1995" t="s">
        <v>4473</v>
      </c>
      <c r="F1995" s="3">
        <v>45194</v>
      </c>
      <c r="G1995" s="3" t="s">
        <v>537</v>
      </c>
      <c r="I1995">
        <v>8</v>
      </c>
      <c r="J1995" t="s">
        <v>4448</v>
      </c>
      <c r="K1995" t="s">
        <v>4457</v>
      </c>
      <c r="L1995" t="s">
        <v>4461</v>
      </c>
      <c r="M1995" t="s">
        <v>4450</v>
      </c>
    </row>
    <row r="1996" spans="1:14" x14ac:dyDescent="0.35">
      <c r="A1996" t="s">
        <v>6475</v>
      </c>
      <c r="B1996" t="s">
        <v>49</v>
      </c>
      <c r="C1996" t="s">
        <v>1890</v>
      </c>
      <c r="D1996" t="s">
        <v>4472</v>
      </c>
      <c r="E1996" t="s">
        <v>4473</v>
      </c>
      <c r="F1996" s="3">
        <v>45271</v>
      </c>
      <c r="G1996" s="3">
        <v>45271</v>
      </c>
      <c r="H1996">
        <v>18.2</v>
      </c>
      <c r="I1996">
        <v>8</v>
      </c>
      <c r="J1996" t="s">
        <v>4440</v>
      </c>
      <c r="K1996" t="s">
        <v>4441</v>
      </c>
      <c r="L1996" t="s">
        <v>4445</v>
      </c>
      <c r="M1996" t="s">
        <v>4446</v>
      </c>
      <c r="N1996">
        <v>5</v>
      </c>
    </row>
    <row r="1997" spans="1:14" x14ac:dyDescent="0.35">
      <c r="A1997" t="s">
        <v>6476</v>
      </c>
      <c r="B1997" t="s">
        <v>42</v>
      </c>
      <c r="C1997" t="s">
        <v>1915</v>
      </c>
      <c r="D1997" t="s">
        <v>4479</v>
      </c>
      <c r="E1997" t="s">
        <v>4439</v>
      </c>
      <c r="F1997" s="3">
        <v>45155</v>
      </c>
      <c r="G1997" s="3" t="s">
        <v>537</v>
      </c>
      <c r="I1997">
        <v>48</v>
      </c>
      <c r="J1997" t="s">
        <v>4440</v>
      </c>
      <c r="K1997" t="s">
        <v>4457</v>
      </c>
      <c r="L1997" t="s">
        <v>4470</v>
      </c>
      <c r="M1997" t="s">
        <v>4462</v>
      </c>
    </row>
    <row r="1998" spans="1:14" x14ac:dyDescent="0.35">
      <c r="A1998" t="s">
        <v>6477</v>
      </c>
      <c r="B1998" t="s">
        <v>371</v>
      </c>
      <c r="C1998" t="s">
        <v>1904</v>
      </c>
      <c r="D1998" t="s">
        <v>4482</v>
      </c>
      <c r="E1998" t="s">
        <v>4439</v>
      </c>
      <c r="F1998" s="3">
        <v>45218</v>
      </c>
      <c r="G1998" s="3" t="s">
        <v>537</v>
      </c>
      <c r="I1998">
        <v>48</v>
      </c>
      <c r="J1998" t="s">
        <v>4448</v>
      </c>
      <c r="K1998" t="s">
        <v>4457</v>
      </c>
      <c r="L1998" t="s">
        <v>1907</v>
      </c>
      <c r="M1998" t="s">
        <v>4446</v>
      </c>
    </row>
    <row r="1999" spans="1:14" x14ac:dyDescent="0.35">
      <c r="A1999" t="s">
        <v>6478</v>
      </c>
      <c r="B1999" t="s">
        <v>45</v>
      </c>
      <c r="C1999" t="s">
        <v>1890</v>
      </c>
      <c r="D1999" t="s">
        <v>4490</v>
      </c>
      <c r="E1999" t="s">
        <v>4444</v>
      </c>
      <c r="F1999" s="3">
        <v>45366</v>
      </c>
      <c r="G1999" s="3" t="s">
        <v>537</v>
      </c>
      <c r="I1999">
        <v>24</v>
      </c>
      <c r="J1999" t="s">
        <v>4440</v>
      </c>
      <c r="K1999" t="s">
        <v>4453</v>
      </c>
      <c r="L1999" t="s">
        <v>4454</v>
      </c>
      <c r="M1999" t="s">
        <v>4450</v>
      </c>
    </row>
    <row r="2000" spans="1:14" x14ac:dyDescent="0.35">
      <c r="A2000" t="s">
        <v>6479</v>
      </c>
      <c r="B2000" t="s">
        <v>405</v>
      </c>
      <c r="C2000" t="s">
        <v>1899</v>
      </c>
      <c r="D2000" t="s">
        <v>4472</v>
      </c>
      <c r="E2000" t="s">
        <v>4439</v>
      </c>
      <c r="F2000" s="3">
        <v>45192</v>
      </c>
      <c r="G2000" s="3">
        <v>45195</v>
      </c>
      <c r="H2000">
        <v>73.7</v>
      </c>
      <c r="I2000">
        <v>48</v>
      </c>
      <c r="J2000" t="s">
        <v>4440</v>
      </c>
      <c r="K2000" t="s">
        <v>4441</v>
      </c>
      <c r="L2000" t="s">
        <v>4527</v>
      </c>
      <c r="M2000" t="s">
        <v>1625</v>
      </c>
      <c r="N2000">
        <v>4</v>
      </c>
    </row>
    <row r="2001" spans="1:14" x14ac:dyDescent="0.35">
      <c r="A2001" t="s">
        <v>6480</v>
      </c>
      <c r="B2001" t="s">
        <v>266</v>
      </c>
      <c r="C2001" t="s">
        <v>1915</v>
      </c>
      <c r="D2001" t="s">
        <v>4460</v>
      </c>
      <c r="E2001" t="s">
        <v>4444</v>
      </c>
      <c r="F2001" s="3">
        <v>45274</v>
      </c>
      <c r="G2001" s="3" t="s">
        <v>537</v>
      </c>
      <c r="I2001">
        <v>24</v>
      </c>
      <c r="J2001" t="s">
        <v>4440</v>
      </c>
      <c r="K2001" t="s">
        <v>4474</v>
      </c>
      <c r="L2001" t="s">
        <v>4445</v>
      </c>
      <c r="M2001" t="s">
        <v>4446</v>
      </c>
    </row>
    <row r="2002" spans="1:14" x14ac:dyDescent="0.35">
      <c r="A2002" t="s">
        <v>6481</v>
      </c>
      <c r="B2002" t="s">
        <v>216</v>
      </c>
      <c r="C2002" t="s">
        <v>1899</v>
      </c>
      <c r="D2002" t="s">
        <v>4476</v>
      </c>
      <c r="E2002" t="s">
        <v>4473</v>
      </c>
      <c r="F2002" s="3">
        <v>45431</v>
      </c>
      <c r="G2002" s="3" t="s">
        <v>537</v>
      </c>
      <c r="I2002">
        <v>8</v>
      </c>
      <c r="J2002" t="s">
        <v>4448</v>
      </c>
      <c r="K2002" t="s">
        <v>4474</v>
      </c>
      <c r="L2002" t="s">
        <v>4483</v>
      </c>
      <c r="M2002" t="s">
        <v>4446</v>
      </c>
    </row>
    <row r="2003" spans="1:14" x14ac:dyDescent="0.35">
      <c r="A2003" t="s">
        <v>6482</v>
      </c>
      <c r="B2003" t="s">
        <v>266</v>
      </c>
      <c r="C2003" t="s">
        <v>1899</v>
      </c>
      <c r="D2003" t="s">
        <v>4476</v>
      </c>
      <c r="E2003" t="s">
        <v>4439</v>
      </c>
      <c r="F2003" s="3">
        <v>45124</v>
      </c>
      <c r="G2003" s="3" t="s">
        <v>537</v>
      </c>
      <c r="I2003">
        <v>48</v>
      </c>
      <c r="J2003" t="s">
        <v>4440</v>
      </c>
      <c r="K2003" t="s">
        <v>4474</v>
      </c>
      <c r="L2003" t="s">
        <v>4461</v>
      </c>
      <c r="M2003" t="s">
        <v>4462</v>
      </c>
    </row>
    <row r="2004" spans="1:14" x14ac:dyDescent="0.35">
      <c r="A2004" t="s">
        <v>6483</v>
      </c>
      <c r="B2004" t="s">
        <v>88</v>
      </c>
      <c r="C2004" t="s">
        <v>1915</v>
      </c>
      <c r="D2004" t="s">
        <v>4452</v>
      </c>
      <c r="E2004" t="s">
        <v>4439</v>
      </c>
      <c r="F2004" s="3">
        <v>45524</v>
      </c>
      <c r="G2004" s="3">
        <v>45527</v>
      </c>
      <c r="H2004">
        <v>75</v>
      </c>
      <c r="I2004">
        <v>48</v>
      </c>
      <c r="J2004" t="s">
        <v>4440</v>
      </c>
      <c r="K2004" t="s">
        <v>4441</v>
      </c>
      <c r="L2004" t="s">
        <v>4445</v>
      </c>
      <c r="M2004" t="s">
        <v>4446</v>
      </c>
      <c r="N2004">
        <v>5</v>
      </c>
    </row>
    <row r="2005" spans="1:14" x14ac:dyDescent="0.35">
      <c r="A2005" t="s">
        <v>6484</v>
      </c>
      <c r="B2005" t="s">
        <v>471</v>
      </c>
      <c r="C2005" t="s">
        <v>1899</v>
      </c>
      <c r="D2005" t="s">
        <v>4438</v>
      </c>
      <c r="E2005" t="s">
        <v>4473</v>
      </c>
      <c r="F2005" s="3">
        <v>44942</v>
      </c>
      <c r="G2005" s="3">
        <v>44942</v>
      </c>
      <c r="H2005">
        <v>2.1</v>
      </c>
      <c r="I2005">
        <v>8</v>
      </c>
      <c r="J2005" t="s">
        <v>4448</v>
      </c>
      <c r="K2005" t="s">
        <v>4441</v>
      </c>
      <c r="L2005" t="s">
        <v>4512</v>
      </c>
      <c r="M2005" t="s">
        <v>4450</v>
      </c>
      <c r="N2005">
        <v>5</v>
      </c>
    </row>
    <row r="2006" spans="1:14" x14ac:dyDescent="0.35">
      <c r="A2006" t="s">
        <v>6485</v>
      </c>
      <c r="B2006" t="s">
        <v>130</v>
      </c>
      <c r="C2006" t="s">
        <v>1904</v>
      </c>
      <c r="D2006" t="s">
        <v>4464</v>
      </c>
      <c r="E2006" t="s">
        <v>4444</v>
      </c>
      <c r="F2006" s="3">
        <v>45585</v>
      </c>
      <c r="G2006" s="3" t="s">
        <v>537</v>
      </c>
      <c r="I2006">
        <v>24</v>
      </c>
      <c r="J2006" t="s">
        <v>4448</v>
      </c>
      <c r="K2006" t="s">
        <v>4457</v>
      </c>
      <c r="L2006" t="s">
        <v>4533</v>
      </c>
      <c r="M2006" t="s">
        <v>4450</v>
      </c>
    </row>
    <row r="2007" spans="1:14" x14ac:dyDescent="0.35">
      <c r="A2007" t="s">
        <v>6486</v>
      </c>
      <c r="B2007" t="s">
        <v>260</v>
      </c>
      <c r="C2007" t="s">
        <v>1890</v>
      </c>
      <c r="D2007" t="s">
        <v>4452</v>
      </c>
      <c r="E2007" t="s">
        <v>4456</v>
      </c>
      <c r="F2007" s="3">
        <v>45208</v>
      </c>
      <c r="G2007" s="3">
        <v>45208</v>
      </c>
      <c r="H2007">
        <v>5.2</v>
      </c>
      <c r="I2007">
        <v>4</v>
      </c>
      <c r="J2007" t="s">
        <v>4440</v>
      </c>
      <c r="K2007" t="s">
        <v>4441</v>
      </c>
      <c r="L2007" t="s">
        <v>4445</v>
      </c>
      <c r="M2007" t="s">
        <v>4446</v>
      </c>
      <c r="N2007">
        <v>4</v>
      </c>
    </row>
    <row r="2008" spans="1:14" x14ac:dyDescent="0.35">
      <c r="A2008" t="s">
        <v>6487</v>
      </c>
      <c r="B2008" t="s">
        <v>321</v>
      </c>
      <c r="C2008" t="s">
        <v>1915</v>
      </c>
      <c r="D2008" t="s">
        <v>4438</v>
      </c>
      <c r="E2008" t="s">
        <v>4439</v>
      </c>
      <c r="F2008" s="3">
        <v>44970</v>
      </c>
      <c r="G2008" s="3">
        <v>44971</v>
      </c>
      <c r="H2008">
        <v>39.4</v>
      </c>
      <c r="I2008">
        <v>48</v>
      </c>
      <c r="J2008" t="s">
        <v>4448</v>
      </c>
      <c r="K2008" t="s">
        <v>4441</v>
      </c>
      <c r="L2008" t="s">
        <v>4480</v>
      </c>
      <c r="M2008" t="s">
        <v>4446</v>
      </c>
      <c r="N2008">
        <v>4</v>
      </c>
    </row>
    <row r="2009" spans="1:14" x14ac:dyDescent="0.35">
      <c r="A2009" t="s">
        <v>6488</v>
      </c>
      <c r="B2009" t="s">
        <v>293</v>
      </c>
      <c r="C2009" t="s">
        <v>1904</v>
      </c>
      <c r="D2009" t="s">
        <v>4452</v>
      </c>
      <c r="E2009" t="s">
        <v>4444</v>
      </c>
      <c r="F2009" s="3">
        <v>45726</v>
      </c>
      <c r="G2009" s="3" t="s">
        <v>537</v>
      </c>
      <c r="I2009">
        <v>24</v>
      </c>
      <c r="J2009" t="s">
        <v>4440</v>
      </c>
      <c r="K2009" t="s">
        <v>4474</v>
      </c>
      <c r="L2009" t="s">
        <v>1907</v>
      </c>
      <c r="M2009" t="s">
        <v>1625</v>
      </c>
    </row>
    <row r="2010" spans="1:14" x14ac:dyDescent="0.35">
      <c r="A2010" t="s">
        <v>6489</v>
      </c>
      <c r="B2010" t="s">
        <v>288</v>
      </c>
      <c r="C2010" t="s">
        <v>1899</v>
      </c>
      <c r="D2010" t="s">
        <v>4485</v>
      </c>
      <c r="E2010" t="s">
        <v>4456</v>
      </c>
      <c r="F2010" s="3">
        <v>45084</v>
      </c>
      <c r="G2010" s="3">
        <v>45084</v>
      </c>
      <c r="H2010">
        <v>2</v>
      </c>
      <c r="I2010">
        <v>4</v>
      </c>
      <c r="J2010" t="s">
        <v>4448</v>
      </c>
      <c r="K2010" t="s">
        <v>4441</v>
      </c>
      <c r="L2010" t="s">
        <v>4454</v>
      </c>
      <c r="M2010" t="s">
        <v>4450</v>
      </c>
      <c r="N2010">
        <v>5</v>
      </c>
    </row>
    <row r="2011" spans="1:14" x14ac:dyDescent="0.35">
      <c r="A2011" t="s">
        <v>6490</v>
      </c>
      <c r="B2011" t="s">
        <v>216</v>
      </c>
      <c r="C2011" t="s">
        <v>1890</v>
      </c>
      <c r="D2011" t="s">
        <v>4490</v>
      </c>
      <c r="E2011" t="s">
        <v>4444</v>
      </c>
      <c r="F2011" s="3">
        <v>44972</v>
      </c>
      <c r="G2011" s="3">
        <v>44972</v>
      </c>
      <c r="H2011">
        <v>10.9</v>
      </c>
      <c r="I2011">
        <v>24</v>
      </c>
      <c r="J2011" t="s">
        <v>4448</v>
      </c>
      <c r="K2011" t="s">
        <v>4441</v>
      </c>
      <c r="L2011" t="s">
        <v>4533</v>
      </c>
      <c r="M2011" t="s">
        <v>4446</v>
      </c>
      <c r="N2011">
        <v>3</v>
      </c>
    </row>
    <row r="2012" spans="1:14" x14ac:dyDescent="0.35">
      <c r="A2012" t="s">
        <v>6491</v>
      </c>
      <c r="B2012" t="s">
        <v>415</v>
      </c>
      <c r="C2012" t="s">
        <v>1904</v>
      </c>
      <c r="D2012" t="s">
        <v>4460</v>
      </c>
      <c r="E2012" t="s">
        <v>4473</v>
      </c>
      <c r="F2012" s="3">
        <v>45349</v>
      </c>
      <c r="G2012" s="3">
        <v>45349</v>
      </c>
      <c r="H2012">
        <v>18.600000000000001</v>
      </c>
      <c r="I2012">
        <v>8</v>
      </c>
      <c r="J2012" t="s">
        <v>4440</v>
      </c>
      <c r="K2012" t="s">
        <v>4441</v>
      </c>
      <c r="L2012" t="s">
        <v>4458</v>
      </c>
      <c r="M2012" t="s">
        <v>1625</v>
      </c>
      <c r="N2012">
        <v>4</v>
      </c>
    </row>
    <row r="2013" spans="1:14" x14ac:dyDescent="0.35">
      <c r="A2013" t="s">
        <v>6492</v>
      </c>
      <c r="B2013" t="s">
        <v>260</v>
      </c>
      <c r="C2013" t="s">
        <v>1899</v>
      </c>
      <c r="D2013" t="s">
        <v>4479</v>
      </c>
      <c r="E2013" t="s">
        <v>4444</v>
      </c>
      <c r="F2013" s="3">
        <v>45062</v>
      </c>
      <c r="G2013" s="3">
        <v>45064</v>
      </c>
      <c r="H2013">
        <v>50.6</v>
      </c>
      <c r="I2013">
        <v>24</v>
      </c>
      <c r="J2013" t="s">
        <v>4440</v>
      </c>
      <c r="K2013" t="s">
        <v>4441</v>
      </c>
      <c r="L2013" t="s">
        <v>4449</v>
      </c>
      <c r="M2013" t="s">
        <v>1625</v>
      </c>
      <c r="N2013">
        <v>5</v>
      </c>
    </row>
    <row r="2014" spans="1:14" x14ac:dyDescent="0.35">
      <c r="A2014" t="s">
        <v>6493</v>
      </c>
      <c r="B2014" t="s">
        <v>312</v>
      </c>
      <c r="C2014" t="s">
        <v>1904</v>
      </c>
      <c r="D2014" t="s">
        <v>4476</v>
      </c>
      <c r="E2014" t="s">
        <v>4444</v>
      </c>
      <c r="F2014" s="3">
        <v>45189</v>
      </c>
      <c r="G2014" s="3">
        <v>45190</v>
      </c>
      <c r="H2014">
        <v>32.1</v>
      </c>
      <c r="I2014">
        <v>24</v>
      </c>
      <c r="J2014" t="s">
        <v>4440</v>
      </c>
      <c r="K2014" t="s">
        <v>4441</v>
      </c>
      <c r="L2014" t="s">
        <v>4533</v>
      </c>
      <c r="M2014" t="s">
        <v>4450</v>
      </c>
      <c r="N2014">
        <v>5</v>
      </c>
    </row>
    <row r="2015" spans="1:14" x14ac:dyDescent="0.35">
      <c r="A2015" t="s">
        <v>6494</v>
      </c>
      <c r="B2015" t="s">
        <v>380</v>
      </c>
      <c r="C2015" t="s">
        <v>1899</v>
      </c>
      <c r="D2015" t="s">
        <v>4460</v>
      </c>
      <c r="E2015" t="s">
        <v>4473</v>
      </c>
      <c r="F2015" s="3">
        <v>45369</v>
      </c>
      <c r="G2015" s="3" t="s">
        <v>537</v>
      </c>
      <c r="I2015">
        <v>8</v>
      </c>
      <c r="J2015" t="s">
        <v>4440</v>
      </c>
      <c r="K2015" t="s">
        <v>4453</v>
      </c>
      <c r="L2015" t="s">
        <v>4458</v>
      </c>
      <c r="M2015" t="s">
        <v>4446</v>
      </c>
    </row>
    <row r="2016" spans="1:14" x14ac:dyDescent="0.35">
      <c r="A2016" t="s">
        <v>6495</v>
      </c>
      <c r="B2016" t="s">
        <v>462</v>
      </c>
      <c r="C2016" t="s">
        <v>1899</v>
      </c>
      <c r="D2016" t="s">
        <v>4485</v>
      </c>
      <c r="E2016" t="s">
        <v>4444</v>
      </c>
      <c r="F2016" s="3">
        <v>45041</v>
      </c>
      <c r="G2016" s="3">
        <v>45041</v>
      </c>
      <c r="H2016">
        <v>6.4</v>
      </c>
      <c r="I2016">
        <v>24</v>
      </c>
      <c r="J2016" t="s">
        <v>4448</v>
      </c>
      <c r="K2016" t="s">
        <v>4441</v>
      </c>
      <c r="L2016" t="s">
        <v>4470</v>
      </c>
      <c r="M2016" t="s">
        <v>4446</v>
      </c>
    </row>
    <row r="2017" spans="1:14" x14ac:dyDescent="0.35">
      <c r="A2017" t="s">
        <v>6496</v>
      </c>
      <c r="B2017" t="s">
        <v>466</v>
      </c>
      <c r="C2017" t="s">
        <v>1899</v>
      </c>
      <c r="D2017" t="s">
        <v>4485</v>
      </c>
      <c r="E2017" t="s">
        <v>4444</v>
      </c>
      <c r="F2017" s="3">
        <v>45284</v>
      </c>
      <c r="G2017" s="3">
        <v>45285</v>
      </c>
      <c r="H2017">
        <v>34.1</v>
      </c>
      <c r="I2017">
        <v>24</v>
      </c>
      <c r="J2017" t="s">
        <v>4440</v>
      </c>
      <c r="K2017" t="s">
        <v>4441</v>
      </c>
      <c r="L2017" t="s">
        <v>4483</v>
      </c>
      <c r="M2017" t="s">
        <v>4446</v>
      </c>
      <c r="N2017">
        <v>4</v>
      </c>
    </row>
    <row r="2018" spans="1:14" x14ac:dyDescent="0.35">
      <c r="A2018" t="s">
        <v>6497</v>
      </c>
      <c r="B2018" t="s">
        <v>190</v>
      </c>
      <c r="C2018" t="s">
        <v>1899</v>
      </c>
      <c r="D2018" t="s">
        <v>4460</v>
      </c>
      <c r="E2018" t="s">
        <v>4439</v>
      </c>
      <c r="F2018" s="3">
        <v>45621</v>
      </c>
      <c r="G2018" s="3">
        <v>45622</v>
      </c>
      <c r="H2018">
        <v>37.200000000000003</v>
      </c>
      <c r="I2018">
        <v>48</v>
      </c>
      <c r="J2018" t="s">
        <v>4448</v>
      </c>
      <c r="K2018" t="s">
        <v>4441</v>
      </c>
      <c r="L2018" t="s">
        <v>4465</v>
      </c>
      <c r="M2018" t="s">
        <v>1625</v>
      </c>
      <c r="N2018">
        <v>4</v>
      </c>
    </row>
    <row r="2019" spans="1:14" x14ac:dyDescent="0.35">
      <c r="A2019" t="s">
        <v>6498</v>
      </c>
      <c r="B2019" t="s">
        <v>469</v>
      </c>
      <c r="C2019" t="s">
        <v>1899</v>
      </c>
      <c r="D2019" t="s">
        <v>4476</v>
      </c>
      <c r="E2019" t="s">
        <v>4444</v>
      </c>
      <c r="F2019" s="3">
        <v>45136</v>
      </c>
      <c r="G2019" s="3" t="s">
        <v>537</v>
      </c>
      <c r="I2019">
        <v>24</v>
      </c>
      <c r="J2019" t="s">
        <v>4448</v>
      </c>
      <c r="K2019" t="s">
        <v>4474</v>
      </c>
      <c r="L2019" t="s">
        <v>4533</v>
      </c>
      <c r="M2019" t="s">
        <v>4450</v>
      </c>
    </row>
    <row r="2020" spans="1:14" x14ac:dyDescent="0.35">
      <c r="A2020" t="s">
        <v>6499</v>
      </c>
      <c r="B2020" t="s">
        <v>302</v>
      </c>
      <c r="C2020" t="s">
        <v>1899</v>
      </c>
      <c r="D2020" t="s">
        <v>4479</v>
      </c>
      <c r="E2020" t="s">
        <v>4456</v>
      </c>
      <c r="F2020" s="3">
        <v>45395</v>
      </c>
      <c r="G2020" s="3">
        <v>45395</v>
      </c>
      <c r="H2020">
        <v>3.5</v>
      </c>
      <c r="I2020">
        <v>4</v>
      </c>
      <c r="J2020" t="s">
        <v>4448</v>
      </c>
      <c r="K2020" t="s">
        <v>4441</v>
      </c>
      <c r="L2020" t="s">
        <v>4488</v>
      </c>
      <c r="M2020" t="s">
        <v>4446</v>
      </c>
    </row>
    <row r="2021" spans="1:14" x14ac:dyDescent="0.35">
      <c r="A2021" t="s">
        <v>6500</v>
      </c>
      <c r="B2021" t="s">
        <v>330</v>
      </c>
      <c r="C2021" t="s">
        <v>1890</v>
      </c>
      <c r="D2021" t="s">
        <v>4476</v>
      </c>
      <c r="E2021" t="s">
        <v>4444</v>
      </c>
      <c r="F2021" s="3">
        <v>45591</v>
      </c>
      <c r="G2021" s="3">
        <v>45591</v>
      </c>
      <c r="H2021">
        <v>19.5</v>
      </c>
      <c r="I2021">
        <v>24</v>
      </c>
      <c r="J2021" t="s">
        <v>4448</v>
      </c>
      <c r="K2021" t="s">
        <v>4441</v>
      </c>
      <c r="L2021" t="s">
        <v>4512</v>
      </c>
      <c r="M2021" t="s">
        <v>4446</v>
      </c>
    </row>
    <row r="2022" spans="1:14" x14ac:dyDescent="0.35">
      <c r="A2022" t="s">
        <v>6501</v>
      </c>
      <c r="B2022" t="s">
        <v>85</v>
      </c>
      <c r="C2022" t="s">
        <v>1890</v>
      </c>
      <c r="D2022" t="s">
        <v>4452</v>
      </c>
      <c r="E2022" t="s">
        <v>4444</v>
      </c>
      <c r="F2022" s="3">
        <v>45092</v>
      </c>
      <c r="G2022" s="3" t="s">
        <v>537</v>
      </c>
      <c r="I2022">
        <v>24</v>
      </c>
      <c r="J2022" t="s">
        <v>4440</v>
      </c>
      <c r="K2022" t="s">
        <v>4453</v>
      </c>
      <c r="L2022" t="s">
        <v>4512</v>
      </c>
      <c r="M2022" t="s">
        <v>4450</v>
      </c>
    </row>
    <row r="2023" spans="1:14" x14ac:dyDescent="0.35">
      <c r="A2023" t="s">
        <v>6502</v>
      </c>
      <c r="B2023" t="s">
        <v>242</v>
      </c>
      <c r="C2023" t="s">
        <v>1890</v>
      </c>
      <c r="D2023" t="s">
        <v>4452</v>
      </c>
      <c r="E2023" t="s">
        <v>4473</v>
      </c>
      <c r="F2023" s="3">
        <v>45540</v>
      </c>
      <c r="G2023" s="3" t="s">
        <v>537</v>
      </c>
      <c r="I2023">
        <v>8</v>
      </c>
      <c r="J2023" t="s">
        <v>4440</v>
      </c>
      <c r="K2023" t="s">
        <v>4457</v>
      </c>
      <c r="L2023" t="s">
        <v>4509</v>
      </c>
      <c r="M2023" t="s">
        <v>1625</v>
      </c>
    </row>
    <row r="2024" spans="1:14" x14ac:dyDescent="0.35">
      <c r="A2024" t="s">
        <v>6503</v>
      </c>
      <c r="B2024" t="s">
        <v>343</v>
      </c>
      <c r="C2024" t="s">
        <v>1883</v>
      </c>
      <c r="D2024" t="s">
        <v>4464</v>
      </c>
      <c r="E2024" t="s">
        <v>4444</v>
      </c>
      <c r="F2024" s="3">
        <v>45219</v>
      </c>
      <c r="G2024" s="3" t="s">
        <v>537</v>
      </c>
      <c r="I2024">
        <v>24</v>
      </c>
      <c r="J2024" t="s">
        <v>4448</v>
      </c>
      <c r="K2024" t="s">
        <v>4457</v>
      </c>
      <c r="L2024" t="s">
        <v>4461</v>
      </c>
      <c r="M2024" t="s">
        <v>4450</v>
      </c>
    </row>
    <row r="2025" spans="1:14" x14ac:dyDescent="0.35">
      <c r="A2025" t="s">
        <v>6504</v>
      </c>
      <c r="B2025" t="s">
        <v>32</v>
      </c>
      <c r="C2025" t="s">
        <v>1883</v>
      </c>
      <c r="D2025" t="s">
        <v>4490</v>
      </c>
      <c r="E2025" t="s">
        <v>4444</v>
      </c>
      <c r="F2025" s="3">
        <v>45088</v>
      </c>
      <c r="G2025" s="3">
        <v>45088</v>
      </c>
      <c r="H2025">
        <v>5</v>
      </c>
      <c r="I2025">
        <v>24</v>
      </c>
      <c r="J2025" t="s">
        <v>4448</v>
      </c>
      <c r="K2025" t="s">
        <v>4441</v>
      </c>
      <c r="L2025" t="s">
        <v>4445</v>
      </c>
      <c r="M2025" t="s">
        <v>4450</v>
      </c>
      <c r="N2025">
        <v>4</v>
      </c>
    </row>
    <row r="2026" spans="1:14" x14ac:dyDescent="0.35">
      <c r="A2026" t="s">
        <v>6505</v>
      </c>
      <c r="B2026" t="s">
        <v>447</v>
      </c>
      <c r="C2026" t="s">
        <v>1904</v>
      </c>
      <c r="D2026" t="s">
        <v>4438</v>
      </c>
      <c r="E2026" t="s">
        <v>4444</v>
      </c>
      <c r="F2026" s="3">
        <v>45092</v>
      </c>
      <c r="G2026" s="3">
        <v>45093</v>
      </c>
      <c r="H2026">
        <v>39.299999999999997</v>
      </c>
      <c r="I2026">
        <v>24</v>
      </c>
      <c r="J2026" t="s">
        <v>4440</v>
      </c>
      <c r="K2026" t="s">
        <v>4441</v>
      </c>
      <c r="L2026" t="s">
        <v>4527</v>
      </c>
      <c r="M2026" t="s">
        <v>4446</v>
      </c>
      <c r="N2026">
        <v>4</v>
      </c>
    </row>
    <row r="2027" spans="1:14" x14ac:dyDescent="0.35">
      <c r="A2027" t="s">
        <v>6506</v>
      </c>
      <c r="B2027" t="s">
        <v>324</v>
      </c>
      <c r="C2027" t="s">
        <v>1915</v>
      </c>
      <c r="D2027" t="s">
        <v>4469</v>
      </c>
      <c r="E2027" t="s">
        <v>4439</v>
      </c>
      <c r="F2027" s="3">
        <v>44941</v>
      </c>
      <c r="G2027" s="3" t="s">
        <v>537</v>
      </c>
      <c r="I2027">
        <v>48</v>
      </c>
      <c r="J2027" t="s">
        <v>4440</v>
      </c>
      <c r="K2027" t="s">
        <v>4474</v>
      </c>
      <c r="L2027" t="s">
        <v>4465</v>
      </c>
      <c r="M2027" t="s">
        <v>4462</v>
      </c>
    </row>
    <row r="2028" spans="1:14" x14ac:dyDescent="0.35">
      <c r="A2028" t="s">
        <v>6507</v>
      </c>
      <c r="B2028" t="s">
        <v>436</v>
      </c>
      <c r="C2028" t="s">
        <v>1915</v>
      </c>
      <c r="D2028" t="s">
        <v>4472</v>
      </c>
      <c r="E2028" t="s">
        <v>4473</v>
      </c>
      <c r="F2028" s="3">
        <v>45133</v>
      </c>
      <c r="G2028" s="3" t="s">
        <v>537</v>
      </c>
      <c r="I2028">
        <v>8</v>
      </c>
      <c r="J2028" t="s">
        <v>4440</v>
      </c>
      <c r="K2028" t="s">
        <v>4474</v>
      </c>
      <c r="L2028" t="s">
        <v>4580</v>
      </c>
      <c r="M2028" t="s">
        <v>4446</v>
      </c>
    </row>
    <row r="2029" spans="1:14" x14ac:dyDescent="0.35">
      <c r="A2029" t="s">
        <v>6508</v>
      </c>
      <c r="B2029" t="s">
        <v>458</v>
      </c>
      <c r="C2029" t="s">
        <v>1899</v>
      </c>
      <c r="D2029" t="s">
        <v>4485</v>
      </c>
      <c r="E2029" t="s">
        <v>4456</v>
      </c>
      <c r="F2029" s="3">
        <v>45248</v>
      </c>
      <c r="G2029" s="3">
        <v>45248</v>
      </c>
      <c r="H2029">
        <v>1.8</v>
      </c>
      <c r="I2029">
        <v>4</v>
      </c>
      <c r="J2029" t="s">
        <v>4448</v>
      </c>
      <c r="K2029" t="s">
        <v>4441</v>
      </c>
      <c r="L2029" t="s">
        <v>4527</v>
      </c>
      <c r="M2029" t="s">
        <v>4450</v>
      </c>
      <c r="N2029">
        <v>4</v>
      </c>
    </row>
    <row r="2030" spans="1:14" x14ac:dyDescent="0.35">
      <c r="A2030" t="s">
        <v>6509</v>
      </c>
      <c r="B2030" t="s">
        <v>406</v>
      </c>
      <c r="C2030" t="s">
        <v>1915</v>
      </c>
      <c r="D2030" t="s">
        <v>4464</v>
      </c>
      <c r="E2030" t="s">
        <v>4444</v>
      </c>
      <c r="F2030" s="3">
        <v>44936</v>
      </c>
      <c r="G2030" s="3">
        <v>44937</v>
      </c>
      <c r="H2030">
        <v>34.9</v>
      </c>
      <c r="I2030">
        <v>24</v>
      </c>
      <c r="J2030" t="s">
        <v>4440</v>
      </c>
      <c r="K2030" t="s">
        <v>4441</v>
      </c>
      <c r="L2030" t="s">
        <v>4488</v>
      </c>
      <c r="M2030" t="s">
        <v>4450</v>
      </c>
      <c r="N2030">
        <v>2</v>
      </c>
    </row>
    <row r="2031" spans="1:14" x14ac:dyDescent="0.35">
      <c r="A2031" t="s">
        <v>6510</v>
      </c>
      <c r="B2031" t="s">
        <v>301</v>
      </c>
      <c r="C2031" t="s">
        <v>1904</v>
      </c>
      <c r="D2031" t="s">
        <v>4479</v>
      </c>
      <c r="E2031" t="s">
        <v>4439</v>
      </c>
      <c r="F2031" s="3">
        <v>45163</v>
      </c>
      <c r="G2031" s="3">
        <v>45165</v>
      </c>
      <c r="H2031">
        <v>52.5</v>
      </c>
      <c r="I2031">
        <v>48</v>
      </c>
      <c r="J2031" t="s">
        <v>4440</v>
      </c>
      <c r="K2031" t="s">
        <v>4441</v>
      </c>
      <c r="L2031" t="s">
        <v>4483</v>
      </c>
      <c r="M2031" t="s">
        <v>4446</v>
      </c>
      <c r="N2031">
        <v>2</v>
      </c>
    </row>
    <row r="2032" spans="1:14" x14ac:dyDescent="0.35">
      <c r="A2032" t="s">
        <v>6511</v>
      </c>
      <c r="B2032" t="s">
        <v>490</v>
      </c>
      <c r="C2032" t="s">
        <v>1927</v>
      </c>
      <c r="D2032" t="s">
        <v>4460</v>
      </c>
      <c r="E2032" t="s">
        <v>4456</v>
      </c>
      <c r="F2032" s="3">
        <v>44957</v>
      </c>
      <c r="G2032" s="3" t="s">
        <v>537</v>
      </c>
      <c r="I2032">
        <v>4</v>
      </c>
      <c r="J2032" t="s">
        <v>4448</v>
      </c>
      <c r="K2032" t="s">
        <v>4453</v>
      </c>
      <c r="L2032" t="s">
        <v>4527</v>
      </c>
      <c r="M2032" t="s">
        <v>4462</v>
      </c>
    </row>
    <row r="2033" spans="1:14" x14ac:dyDescent="0.35">
      <c r="A2033" t="s">
        <v>6512</v>
      </c>
      <c r="B2033" t="s">
        <v>235</v>
      </c>
      <c r="C2033" t="s">
        <v>1899</v>
      </c>
      <c r="D2033" t="s">
        <v>4479</v>
      </c>
      <c r="E2033" t="s">
        <v>4439</v>
      </c>
      <c r="F2033" s="3">
        <v>45453</v>
      </c>
      <c r="G2033" s="3">
        <v>45453</v>
      </c>
      <c r="H2033">
        <v>22.3</v>
      </c>
      <c r="I2033">
        <v>48</v>
      </c>
      <c r="J2033" t="s">
        <v>4448</v>
      </c>
      <c r="K2033" t="s">
        <v>4441</v>
      </c>
      <c r="L2033" t="s">
        <v>4470</v>
      </c>
      <c r="M2033" t="s">
        <v>1625</v>
      </c>
      <c r="N2033">
        <v>4</v>
      </c>
    </row>
    <row r="2034" spans="1:14" x14ac:dyDescent="0.35">
      <c r="A2034" t="s">
        <v>6513</v>
      </c>
      <c r="B2034" t="s">
        <v>485</v>
      </c>
      <c r="C2034" t="s">
        <v>1927</v>
      </c>
      <c r="D2034" t="s">
        <v>4438</v>
      </c>
      <c r="E2034" t="s">
        <v>4456</v>
      </c>
      <c r="F2034" s="3">
        <v>45037</v>
      </c>
      <c r="G2034" s="3">
        <v>45037</v>
      </c>
      <c r="H2034">
        <v>6.6</v>
      </c>
      <c r="I2034">
        <v>4</v>
      </c>
      <c r="J2034" t="s">
        <v>1945</v>
      </c>
      <c r="K2034" t="s">
        <v>4441</v>
      </c>
      <c r="L2034" t="s">
        <v>4580</v>
      </c>
      <c r="M2034" t="s">
        <v>4450</v>
      </c>
    </row>
    <row r="2035" spans="1:14" x14ac:dyDescent="0.35">
      <c r="A2035" t="s">
        <v>6514</v>
      </c>
      <c r="B2035" t="s">
        <v>405</v>
      </c>
      <c r="C2035" t="s">
        <v>1904</v>
      </c>
      <c r="D2035" t="s">
        <v>4479</v>
      </c>
      <c r="E2035" t="s">
        <v>4444</v>
      </c>
      <c r="F2035" s="3">
        <v>44996</v>
      </c>
      <c r="G2035" s="3">
        <v>44996</v>
      </c>
      <c r="H2035">
        <v>3.9</v>
      </c>
      <c r="I2035">
        <v>24</v>
      </c>
      <c r="J2035" t="s">
        <v>4448</v>
      </c>
      <c r="K2035" t="s">
        <v>4441</v>
      </c>
      <c r="L2035" t="s">
        <v>4461</v>
      </c>
      <c r="M2035" t="s">
        <v>4450</v>
      </c>
    </row>
    <row r="2036" spans="1:14" x14ac:dyDescent="0.35">
      <c r="A2036" t="s">
        <v>6515</v>
      </c>
      <c r="B2036" t="s">
        <v>449</v>
      </c>
      <c r="C2036" t="s">
        <v>1904</v>
      </c>
      <c r="D2036" t="s">
        <v>4438</v>
      </c>
      <c r="E2036" t="s">
        <v>4473</v>
      </c>
      <c r="F2036" s="3">
        <v>45062</v>
      </c>
      <c r="G2036" s="3" t="s">
        <v>537</v>
      </c>
      <c r="I2036">
        <v>8</v>
      </c>
      <c r="J2036" t="s">
        <v>4448</v>
      </c>
      <c r="K2036" t="s">
        <v>4453</v>
      </c>
      <c r="L2036" t="s">
        <v>4480</v>
      </c>
      <c r="M2036" t="s">
        <v>4450</v>
      </c>
    </row>
    <row r="2037" spans="1:14" x14ac:dyDescent="0.35">
      <c r="A2037" t="s">
        <v>6516</v>
      </c>
      <c r="B2037" t="s">
        <v>399</v>
      </c>
      <c r="C2037" t="s">
        <v>1883</v>
      </c>
      <c r="D2037" t="s">
        <v>4452</v>
      </c>
      <c r="E2037" t="s">
        <v>4456</v>
      </c>
      <c r="F2037" s="3">
        <v>45259</v>
      </c>
      <c r="G2037" s="3">
        <v>45259</v>
      </c>
      <c r="H2037">
        <v>7.3</v>
      </c>
      <c r="I2037">
        <v>4</v>
      </c>
      <c r="J2037" t="s">
        <v>4440</v>
      </c>
      <c r="K2037" t="s">
        <v>4441</v>
      </c>
      <c r="L2037" t="s">
        <v>4527</v>
      </c>
      <c r="M2037" t="s">
        <v>4462</v>
      </c>
      <c r="N2037">
        <v>5</v>
      </c>
    </row>
    <row r="2038" spans="1:14" x14ac:dyDescent="0.35">
      <c r="A2038" t="s">
        <v>6517</v>
      </c>
      <c r="B2038" t="s">
        <v>301</v>
      </c>
      <c r="C2038" t="s">
        <v>1904</v>
      </c>
      <c r="D2038" t="s">
        <v>4469</v>
      </c>
      <c r="E2038" t="s">
        <v>4456</v>
      </c>
      <c r="F2038" s="3">
        <v>45462</v>
      </c>
      <c r="G2038" s="3" t="s">
        <v>537</v>
      </c>
      <c r="I2038">
        <v>4</v>
      </c>
      <c r="J2038" t="s">
        <v>4440</v>
      </c>
      <c r="K2038" t="s">
        <v>4474</v>
      </c>
      <c r="L2038" t="s">
        <v>4449</v>
      </c>
      <c r="M2038" t="s">
        <v>4446</v>
      </c>
    </row>
    <row r="2039" spans="1:14" x14ac:dyDescent="0.35">
      <c r="A2039" t="s">
        <v>6518</v>
      </c>
      <c r="B2039" t="s">
        <v>214</v>
      </c>
      <c r="C2039" t="s">
        <v>1883</v>
      </c>
      <c r="D2039" t="s">
        <v>4464</v>
      </c>
      <c r="E2039" t="s">
        <v>4473</v>
      </c>
      <c r="F2039" s="3">
        <v>45375</v>
      </c>
      <c r="G2039" s="3">
        <v>45375</v>
      </c>
      <c r="H2039">
        <v>5.0999999999999996</v>
      </c>
      <c r="I2039">
        <v>8</v>
      </c>
      <c r="J2039" t="s">
        <v>4448</v>
      </c>
      <c r="K2039" t="s">
        <v>4441</v>
      </c>
      <c r="L2039" t="s">
        <v>4527</v>
      </c>
      <c r="M2039" t="s">
        <v>4450</v>
      </c>
      <c r="N2039">
        <v>4</v>
      </c>
    </row>
    <row r="2040" spans="1:14" x14ac:dyDescent="0.35">
      <c r="A2040" t="s">
        <v>6519</v>
      </c>
      <c r="B2040" t="s">
        <v>425</v>
      </c>
      <c r="C2040" t="s">
        <v>1883</v>
      </c>
      <c r="D2040" t="s">
        <v>4469</v>
      </c>
      <c r="E2040" t="s">
        <v>4456</v>
      </c>
      <c r="F2040" s="3">
        <v>45033</v>
      </c>
      <c r="G2040" s="3" t="s">
        <v>537</v>
      </c>
      <c r="I2040">
        <v>4</v>
      </c>
      <c r="J2040" t="s">
        <v>1945</v>
      </c>
      <c r="K2040" t="s">
        <v>4474</v>
      </c>
      <c r="L2040" t="s">
        <v>4512</v>
      </c>
      <c r="M2040" t="s">
        <v>4446</v>
      </c>
    </row>
    <row r="2041" spans="1:14" x14ac:dyDescent="0.35">
      <c r="A2041" t="s">
        <v>6520</v>
      </c>
      <c r="B2041" t="s">
        <v>208</v>
      </c>
      <c r="C2041" t="s">
        <v>1883</v>
      </c>
      <c r="D2041" t="s">
        <v>4485</v>
      </c>
      <c r="E2041" t="s">
        <v>4444</v>
      </c>
      <c r="F2041" s="3">
        <v>45628</v>
      </c>
      <c r="G2041" s="3">
        <v>45629</v>
      </c>
      <c r="H2041">
        <v>40.5</v>
      </c>
      <c r="I2041">
        <v>24</v>
      </c>
      <c r="J2041" t="s">
        <v>4440</v>
      </c>
      <c r="K2041" t="s">
        <v>4441</v>
      </c>
      <c r="L2041" t="s">
        <v>4514</v>
      </c>
      <c r="M2041" t="s">
        <v>4446</v>
      </c>
      <c r="N2041">
        <v>3</v>
      </c>
    </row>
    <row r="2042" spans="1:14" x14ac:dyDescent="0.35">
      <c r="A2042" t="s">
        <v>6521</v>
      </c>
      <c r="B2042" t="s">
        <v>167</v>
      </c>
      <c r="C2042" t="s">
        <v>1890</v>
      </c>
      <c r="D2042" t="s">
        <v>4443</v>
      </c>
      <c r="E2042" t="s">
        <v>4444</v>
      </c>
      <c r="F2042" s="3">
        <v>45347</v>
      </c>
      <c r="G2042" s="3">
        <v>45349</v>
      </c>
      <c r="H2042">
        <v>50.4</v>
      </c>
      <c r="I2042">
        <v>24</v>
      </c>
      <c r="J2042" t="s">
        <v>4440</v>
      </c>
      <c r="K2042" t="s">
        <v>4441</v>
      </c>
      <c r="L2042" t="s">
        <v>4509</v>
      </c>
      <c r="M2042" t="s">
        <v>1625</v>
      </c>
    </row>
    <row r="2043" spans="1:14" x14ac:dyDescent="0.35">
      <c r="A2043" t="s">
        <v>6522</v>
      </c>
      <c r="B2043" t="s">
        <v>380</v>
      </c>
      <c r="C2043" t="s">
        <v>1915</v>
      </c>
      <c r="D2043" t="s">
        <v>4490</v>
      </c>
      <c r="E2043" t="s">
        <v>4439</v>
      </c>
      <c r="F2043" s="3">
        <v>45237</v>
      </c>
      <c r="G2043" s="3">
        <v>45240</v>
      </c>
      <c r="H2043">
        <v>88.7</v>
      </c>
      <c r="I2043">
        <v>48</v>
      </c>
      <c r="J2043" t="s">
        <v>4440</v>
      </c>
      <c r="K2043" t="s">
        <v>4441</v>
      </c>
      <c r="L2043" t="s">
        <v>4449</v>
      </c>
      <c r="M2043" t="s">
        <v>4462</v>
      </c>
    </row>
    <row r="2044" spans="1:14" x14ac:dyDescent="0.35">
      <c r="A2044" t="s">
        <v>6523</v>
      </c>
      <c r="B2044" t="s">
        <v>284</v>
      </c>
      <c r="C2044" t="s">
        <v>1915</v>
      </c>
      <c r="D2044" t="s">
        <v>4490</v>
      </c>
      <c r="E2044" t="s">
        <v>4439</v>
      </c>
      <c r="F2044" s="3">
        <v>44990</v>
      </c>
      <c r="G2044" s="3" t="s">
        <v>537</v>
      </c>
      <c r="I2044">
        <v>48</v>
      </c>
      <c r="J2044" t="s">
        <v>4448</v>
      </c>
      <c r="K2044" t="s">
        <v>4453</v>
      </c>
      <c r="L2044" t="s">
        <v>4470</v>
      </c>
      <c r="M2044" t="s">
        <v>4462</v>
      </c>
    </row>
    <row r="2045" spans="1:14" x14ac:dyDescent="0.35">
      <c r="A2045" t="s">
        <v>6524</v>
      </c>
      <c r="B2045" t="s">
        <v>158</v>
      </c>
      <c r="C2045" t="s">
        <v>1883</v>
      </c>
      <c r="D2045" t="s">
        <v>4479</v>
      </c>
      <c r="E2045" t="s">
        <v>4439</v>
      </c>
      <c r="F2045" s="3">
        <v>45109</v>
      </c>
      <c r="G2045" s="3" t="s">
        <v>537</v>
      </c>
      <c r="I2045">
        <v>48</v>
      </c>
      <c r="J2045" t="s">
        <v>4440</v>
      </c>
      <c r="K2045" t="s">
        <v>4457</v>
      </c>
      <c r="L2045" t="s">
        <v>4533</v>
      </c>
      <c r="M2045" t="s">
        <v>1625</v>
      </c>
    </row>
    <row r="2046" spans="1:14" x14ac:dyDescent="0.35">
      <c r="A2046" t="s">
        <v>6525</v>
      </c>
      <c r="B2046" t="s">
        <v>404</v>
      </c>
      <c r="C2046" t="s">
        <v>1890</v>
      </c>
      <c r="D2046" t="s">
        <v>4460</v>
      </c>
      <c r="E2046" t="s">
        <v>4444</v>
      </c>
      <c r="F2046" s="3">
        <v>45222</v>
      </c>
      <c r="G2046" s="3">
        <v>45223</v>
      </c>
      <c r="H2046">
        <v>39.1</v>
      </c>
      <c r="I2046">
        <v>24</v>
      </c>
      <c r="J2046" t="s">
        <v>4440</v>
      </c>
      <c r="K2046" t="s">
        <v>4441</v>
      </c>
      <c r="L2046" t="s">
        <v>4445</v>
      </c>
      <c r="M2046" t="s">
        <v>4446</v>
      </c>
      <c r="N2046">
        <v>4</v>
      </c>
    </row>
    <row r="2047" spans="1:14" x14ac:dyDescent="0.35">
      <c r="A2047" t="s">
        <v>6526</v>
      </c>
      <c r="B2047" t="s">
        <v>455</v>
      </c>
      <c r="C2047" t="s">
        <v>1883</v>
      </c>
      <c r="D2047" t="s">
        <v>4469</v>
      </c>
      <c r="E2047" t="s">
        <v>4439</v>
      </c>
      <c r="F2047" s="3">
        <v>45540</v>
      </c>
      <c r="G2047" s="3">
        <v>45543</v>
      </c>
      <c r="H2047">
        <v>92.3</v>
      </c>
      <c r="I2047">
        <v>48</v>
      </c>
      <c r="J2047" t="s">
        <v>4440</v>
      </c>
      <c r="K2047" t="s">
        <v>4441</v>
      </c>
      <c r="L2047" t="s">
        <v>4458</v>
      </c>
      <c r="M2047" t="s">
        <v>4450</v>
      </c>
    </row>
    <row r="2048" spans="1:14" x14ac:dyDescent="0.35">
      <c r="A2048" t="s">
        <v>6527</v>
      </c>
      <c r="B2048" t="s">
        <v>108</v>
      </c>
      <c r="C2048" t="s">
        <v>1904</v>
      </c>
      <c r="D2048" t="s">
        <v>4469</v>
      </c>
      <c r="E2048" t="s">
        <v>4456</v>
      </c>
      <c r="F2048" s="3">
        <v>45643</v>
      </c>
      <c r="G2048" s="3">
        <v>45643</v>
      </c>
      <c r="H2048">
        <v>3.4</v>
      </c>
      <c r="I2048">
        <v>4</v>
      </c>
      <c r="J2048" t="s">
        <v>4448</v>
      </c>
      <c r="K2048" t="s">
        <v>4441</v>
      </c>
      <c r="L2048" t="s">
        <v>4492</v>
      </c>
      <c r="M2048" t="s">
        <v>4462</v>
      </c>
      <c r="N2048">
        <v>2</v>
      </c>
    </row>
    <row r="2049" spans="1:14" x14ac:dyDescent="0.35">
      <c r="A2049" t="s">
        <v>6528</v>
      </c>
      <c r="B2049" t="s">
        <v>399</v>
      </c>
      <c r="C2049" t="s">
        <v>1899</v>
      </c>
      <c r="D2049" t="s">
        <v>4464</v>
      </c>
      <c r="E2049" t="s">
        <v>4444</v>
      </c>
      <c r="F2049" s="3">
        <v>44947</v>
      </c>
      <c r="G2049" s="3" t="s">
        <v>537</v>
      </c>
      <c r="I2049">
        <v>24</v>
      </c>
      <c r="J2049" t="s">
        <v>4440</v>
      </c>
      <c r="K2049" t="s">
        <v>4457</v>
      </c>
      <c r="L2049" t="s">
        <v>4470</v>
      </c>
      <c r="M2049" t="s">
        <v>4446</v>
      </c>
    </row>
    <row r="2050" spans="1:14" x14ac:dyDescent="0.35">
      <c r="A2050" t="s">
        <v>6529</v>
      </c>
      <c r="B2050" t="s">
        <v>362</v>
      </c>
      <c r="C2050" t="s">
        <v>1890</v>
      </c>
      <c r="D2050" t="s">
        <v>4485</v>
      </c>
      <c r="E2050" t="s">
        <v>4444</v>
      </c>
      <c r="F2050" s="3">
        <v>45543</v>
      </c>
      <c r="G2050" s="3">
        <v>45544</v>
      </c>
      <c r="H2050">
        <v>45.9</v>
      </c>
      <c r="I2050">
        <v>24</v>
      </c>
      <c r="J2050" t="s">
        <v>4440</v>
      </c>
      <c r="K2050" t="s">
        <v>4441</v>
      </c>
      <c r="L2050" t="s">
        <v>4509</v>
      </c>
      <c r="M2050" t="s">
        <v>1625</v>
      </c>
      <c r="N2050">
        <v>4</v>
      </c>
    </row>
    <row r="2051" spans="1:14" x14ac:dyDescent="0.35">
      <c r="A2051" t="s">
        <v>6530</v>
      </c>
      <c r="B2051" t="s">
        <v>122</v>
      </c>
      <c r="C2051" t="s">
        <v>1927</v>
      </c>
      <c r="D2051" t="s">
        <v>4443</v>
      </c>
      <c r="E2051" t="s">
        <v>4444</v>
      </c>
      <c r="F2051" s="3">
        <v>44947</v>
      </c>
      <c r="G2051" s="3">
        <v>44947</v>
      </c>
      <c r="H2051">
        <v>4.4000000000000004</v>
      </c>
      <c r="I2051">
        <v>24</v>
      </c>
      <c r="J2051" t="s">
        <v>4448</v>
      </c>
      <c r="K2051" t="s">
        <v>4441</v>
      </c>
      <c r="L2051" t="s">
        <v>4461</v>
      </c>
      <c r="M2051" t="s">
        <v>4446</v>
      </c>
      <c r="N2051">
        <v>2</v>
      </c>
    </row>
    <row r="2052" spans="1:14" x14ac:dyDescent="0.35">
      <c r="A2052" t="s">
        <v>6531</v>
      </c>
      <c r="B2052" t="s">
        <v>469</v>
      </c>
      <c r="C2052" t="s">
        <v>1883</v>
      </c>
      <c r="D2052" t="s">
        <v>4460</v>
      </c>
      <c r="E2052" t="s">
        <v>4439</v>
      </c>
      <c r="F2052" s="3">
        <v>45589</v>
      </c>
      <c r="G2052" s="3" t="s">
        <v>537</v>
      </c>
      <c r="I2052">
        <v>48</v>
      </c>
      <c r="J2052" t="s">
        <v>4440</v>
      </c>
      <c r="K2052" t="s">
        <v>4457</v>
      </c>
      <c r="L2052" t="s">
        <v>1907</v>
      </c>
      <c r="M2052" t="s">
        <v>4462</v>
      </c>
    </row>
    <row r="2053" spans="1:14" x14ac:dyDescent="0.35">
      <c r="A2053" t="s">
        <v>6532</v>
      </c>
      <c r="B2053" t="s">
        <v>346</v>
      </c>
      <c r="C2053" t="s">
        <v>1904</v>
      </c>
      <c r="D2053" t="s">
        <v>4464</v>
      </c>
      <c r="E2053" t="s">
        <v>79</v>
      </c>
      <c r="F2053" s="3">
        <v>45072</v>
      </c>
      <c r="G2053" s="3">
        <v>45072</v>
      </c>
      <c r="H2053">
        <v>20.5</v>
      </c>
      <c r="I2053">
        <v>24</v>
      </c>
      <c r="J2053" t="s">
        <v>4448</v>
      </c>
      <c r="K2053" t="s">
        <v>4441</v>
      </c>
      <c r="L2053" t="s">
        <v>4470</v>
      </c>
      <c r="M2053" t="s">
        <v>4446</v>
      </c>
      <c r="N2053">
        <v>4</v>
      </c>
    </row>
    <row r="2054" spans="1:14" x14ac:dyDescent="0.35">
      <c r="A2054" t="s">
        <v>6533</v>
      </c>
      <c r="B2054" t="s">
        <v>142</v>
      </c>
      <c r="C2054" t="s">
        <v>1927</v>
      </c>
      <c r="D2054" t="s">
        <v>4472</v>
      </c>
      <c r="E2054" t="s">
        <v>4444</v>
      </c>
      <c r="F2054" s="3">
        <v>44984</v>
      </c>
      <c r="G2054" s="3" t="s">
        <v>537</v>
      </c>
      <c r="I2054">
        <v>24</v>
      </c>
      <c r="J2054" t="s">
        <v>4440</v>
      </c>
      <c r="K2054" t="s">
        <v>4474</v>
      </c>
      <c r="L2054" t="s">
        <v>4449</v>
      </c>
      <c r="M2054" t="s">
        <v>4462</v>
      </c>
    </row>
    <row r="2055" spans="1:14" x14ac:dyDescent="0.35">
      <c r="A2055" t="s">
        <v>6534</v>
      </c>
      <c r="B2055" t="s">
        <v>413</v>
      </c>
      <c r="C2055" t="s">
        <v>1904</v>
      </c>
      <c r="D2055" t="s">
        <v>4485</v>
      </c>
      <c r="E2055" t="s">
        <v>4444</v>
      </c>
      <c r="F2055" s="3">
        <v>45360</v>
      </c>
      <c r="G2055" s="3" t="s">
        <v>537</v>
      </c>
      <c r="I2055">
        <v>24</v>
      </c>
      <c r="J2055" t="s">
        <v>4440</v>
      </c>
      <c r="K2055" t="s">
        <v>4474</v>
      </c>
      <c r="L2055" t="s">
        <v>4461</v>
      </c>
      <c r="M2055" t="s">
        <v>4446</v>
      </c>
    </row>
    <row r="2056" spans="1:14" x14ac:dyDescent="0.35">
      <c r="A2056" t="s">
        <v>6535</v>
      </c>
      <c r="B2056" t="s">
        <v>499</v>
      </c>
      <c r="C2056" t="s">
        <v>1927</v>
      </c>
      <c r="D2056" t="s">
        <v>4479</v>
      </c>
      <c r="E2056" t="s">
        <v>4444</v>
      </c>
      <c r="F2056" s="3">
        <v>44951</v>
      </c>
      <c r="G2056" s="3">
        <v>44952</v>
      </c>
      <c r="H2056">
        <v>24.3</v>
      </c>
      <c r="I2056">
        <v>24</v>
      </c>
      <c r="J2056" t="s">
        <v>4440</v>
      </c>
      <c r="K2056" t="s">
        <v>4441</v>
      </c>
      <c r="L2056" t="s">
        <v>4449</v>
      </c>
      <c r="M2056" t="s">
        <v>1625</v>
      </c>
      <c r="N2056">
        <v>5</v>
      </c>
    </row>
    <row r="2057" spans="1:14" x14ac:dyDescent="0.35">
      <c r="A2057" t="s">
        <v>6536</v>
      </c>
      <c r="B2057" t="s">
        <v>18</v>
      </c>
      <c r="C2057" t="s">
        <v>1883</v>
      </c>
      <c r="D2057" t="s">
        <v>4482</v>
      </c>
      <c r="E2057" t="s">
        <v>4473</v>
      </c>
      <c r="F2057" s="3">
        <v>45347</v>
      </c>
      <c r="G2057" s="3">
        <v>45347</v>
      </c>
      <c r="H2057">
        <v>5.5</v>
      </c>
      <c r="I2057">
        <v>8</v>
      </c>
      <c r="J2057" t="s">
        <v>4448</v>
      </c>
      <c r="K2057" t="s">
        <v>4441</v>
      </c>
      <c r="L2057" t="s">
        <v>4449</v>
      </c>
      <c r="M2057" t="s">
        <v>4446</v>
      </c>
      <c r="N2057">
        <v>3</v>
      </c>
    </row>
    <row r="2058" spans="1:14" x14ac:dyDescent="0.35">
      <c r="A2058" t="s">
        <v>6537</v>
      </c>
      <c r="B2058" t="s">
        <v>453</v>
      </c>
      <c r="C2058" t="s">
        <v>1883</v>
      </c>
      <c r="D2058" t="s">
        <v>4469</v>
      </c>
      <c r="E2058" t="s">
        <v>4444</v>
      </c>
      <c r="F2058" s="3">
        <v>45605</v>
      </c>
      <c r="G2058" s="3">
        <v>45606</v>
      </c>
      <c r="H2058">
        <v>38</v>
      </c>
      <c r="I2058">
        <v>24</v>
      </c>
      <c r="J2058" t="s">
        <v>4440</v>
      </c>
      <c r="K2058" t="s">
        <v>4441</v>
      </c>
      <c r="L2058" t="s">
        <v>4480</v>
      </c>
      <c r="M2058" t="s">
        <v>4446</v>
      </c>
      <c r="N2058">
        <v>5</v>
      </c>
    </row>
    <row r="2059" spans="1:14" x14ac:dyDescent="0.35">
      <c r="A2059" t="s">
        <v>6538</v>
      </c>
      <c r="B2059" t="s">
        <v>210</v>
      </c>
      <c r="C2059" t="s">
        <v>1883</v>
      </c>
      <c r="D2059" t="s">
        <v>4485</v>
      </c>
      <c r="E2059" t="s">
        <v>4473</v>
      </c>
      <c r="F2059" s="3">
        <v>45466</v>
      </c>
      <c r="G2059" s="3">
        <v>45466</v>
      </c>
      <c r="H2059">
        <v>7.1</v>
      </c>
      <c r="I2059">
        <v>8</v>
      </c>
      <c r="J2059" t="s">
        <v>4448</v>
      </c>
      <c r="K2059" t="s">
        <v>4441</v>
      </c>
      <c r="L2059" t="s">
        <v>4480</v>
      </c>
      <c r="M2059" t="s">
        <v>1625</v>
      </c>
      <c r="N2059">
        <v>5</v>
      </c>
    </row>
    <row r="2060" spans="1:14" x14ac:dyDescent="0.35">
      <c r="A2060" t="s">
        <v>6539</v>
      </c>
      <c r="B2060" t="s">
        <v>429</v>
      </c>
      <c r="C2060" t="s">
        <v>1904</v>
      </c>
      <c r="D2060" t="s">
        <v>4443</v>
      </c>
      <c r="E2060" t="s">
        <v>4473</v>
      </c>
      <c r="F2060" s="3">
        <v>45574</v>
      </c>
      <c r="G2060" s="3" t="s">
        <v>537</v>
      </c>
      <c r="I2060">
        <v>8</v>
      </c>
      <c r="J2060" t="s">
        <v>4440</v>
      </c>
      <c r="K2060" t="s">
        <v>4457</v>
      </c>
      <c r="L2060" t="s">
        <v>4509</v>
      </c>
      <c r="M2060" t="s">
        <v>4446</v>
      </c>
    </row>
    <row r="2061" spans="1:14" x14ac:dyDescent="0.35">
      <c r="A2061" t="s">
        <v>6540</v>
      </c>
      <c r="B2061" t="s">
        <v>402</v>
      </c>
      <c r="C2061" t="s">
        <v>1915</v>
      </c>
      <c r="D2061" t="s">
        <v>4476</v>
      </c>
      <c r="E2061" t="s">
        <v>4444</v>
      </c>
      <c r="F2061" s="3">
        <v>45018</v>
      </c>
      <c r="G2061" s="3">
        <v>45019</v>
      </c>
      <c r="H2061">
        <v>28.5</v>
      </c>
      <c r="I2061">
        <v>24</v>
      </c>
      <c r="J2061" t="s">
        <v>4440</v>
      </c>
      <c r="K2061" t="s">
        <v>4441</v>
      </c>
      <c r="L2061" t="s">
        <v>4488</v>
      </c>
      <c r="M2061" t="s">
        <v>1625</v>
      </c>
      <c r="N2061">
        <v>3</v>
      </c>
    </row>
    <row r="2062" spans="1:14" x14ac:dyDescent="0.35">
      <c r="A2062" t="s">
        <v>6541</v>
      </c>
      <c r="B2062" t="s">
        <v>106</v>
      </c>
      <c r="C2062" t="s">
        <v>1899</v>
      </c>
      <c r="D2062" t="s">
        <v>4472</v>
      </c>
      <c r="E2062" t="s">
        <v>4473</v>
      </c>
      <c r="F2062" s="3">
        <v>44945</v>
      </c>
      <c r="G2062" s="3">
        <v>44945</v>
      </c>
      <c r="H2062">
        <v>19.3</v>
      </c>
      <c r="I2062">
        <v>8</v>
      </c>
      <c r="J2062" t="s">
        <v>4440</v>
      </c>
      <c r="K2062" t="s">
        <v>4441</v>
      </c>
      <c r="L2062" t="s">
        <v>4470</v>
      </c>
      <c r="M2062" t="s">
        <v>4462</v>
      </c>
      <c r="N2062">
        <v>2</v>
      </c>
    </row>
    <row r="2063" spans="1:14" x14ac:dyDescent="0.35">
      <c r="A2063" t="s">
        <v>6542</v>
      </c>
      <c r="B2063" t="s">
        <v>492</v>
      </c>
      <c r="C2063" t="s">
        <v>1883</v>
      </c>
      <c r="D2063" t="s">
        <v>4472</v>
      </c>
      <c r="E2063" t="s">
        <v>4439</v>
      </c>
      <c r="F2063" s="3">
        <v>45467</v>
      </c>
      <c r="G2063" s="3">
        <v>45468</v>
      </c>
      <c r="H2063">
        <v>46.5</v>
      </c>
      <c r="I2063">
        <v>48</v>
      </c>
      <c r="J2063" t="s">
        <v>4448</v>
      </c>
      <c r="K2063" t="s">
        <v>4441</v>
      </c>
      <c r="L2063" t="s">
        <v>4480</v>
      </c>
      <c r="M2063" t="s">
        <v>4446</v>
      </c>
    </row>
    <row r="2064" spans="1:14" x14ac:dyDescent="0.35">
      <c r="A2064" t="s">
        <v>6543</v>
      </c>
      <c r="B2064" t="s">
        <v>152</v>
      </c>
      <c r="C2064" t="s">
        <v>1927</v>
      </c>
      <c r="D2064" t="s">
        <v>4460</v>
      </c>
      <c r="E2064" t="s">
        <v>4456</v>
      </c>
      <c r="F2064" s="3">
        <v>45582</v>
      </c>
      <c r="G2064" s="3">
        <v>45582</v>
      </c>
      <c r="H2064">
        <v>5.0999999999999996</v>
      </c>
      <c r="I2064">
        <v>4</v>
      </c>
      <c r="J2064" t="s">
        <v>4440</v>
      </c>
      <c r="K2064" t="s">
        <v>4441</v>
      </c>
      <c r="L2064" t="s">
        <v>4533</v>
      </c>
      <c r="M2064" t="s">
        <v>4446</v>
      </c>
      <c r="N2064">
        <v>5</v>
      </c>
    </row>
    <row r="2065" spans="1:14" x14ac:dyDescent="0.35">
      <c r="A2065" t="s">
        <v>6544</v>
      </c>
      <c r="B2065" t="s">
        <v>361</v>
      </c>
      <c r="C2065" t="s">
        <v>1904</v>
      </c>
      <c r="D2065" t="s">
        <v>4490</v>
      </c>
      <c r="E2065" t="s">
        <v>4444</v>
      </c>
      <c r="F2065" s="3">
        <v>45436</v>
      </c>
      <c r="G2065" s="3">
        <v>45437</v>
      </c>
      <c r="H2065">
        <v>43.8</v>
      </c>
      <c r="I2065">
        <v>24</v>
      </c>
      <c r="J2065" t="s">
        <v>4440</v>
      </c>
      <c r="K2065" t="s">
        <v>4441</v>
      </c>
      <c r="L2065" t="s">
        <v>4445</v>
      </c>
      <c r="M2065" t="s">
        <v>4462</v>
      </c>
      <c r="N2065">
        <v>3</v>
      </c>
    </row>
    <row r="2066" spans="1:14" x14ac:dyDescent="0.35">
      <c r="A2066" t="s">
        <v>6545</v>
      </c>
      <c r="B2066" t="s">
        <v>396</v>
      </c>
      <c r="C2066" t="s">
        <v>1915</v>
      </c>
      <c r="D2066" t="s">
        <v>4469</v>
      </c>
      <c r="E2066" t="s">
        <v>4444</v>
      </c>
      <c r="F2066" s="3">
        <v>45709</v>
      </c>
      <c r="G2066" s="3">
        <v>45710</v>
      </c>
      <c r="H2066">
        <v>47.9</v>
      </c>
      <c r="I2066">
        <v>24</v>
      </c>
      <c r="J2066" t="s">
        <v>4440</v>
      </c>
      <c r="K2066" t="s">
        <v>4441</v>
      </c>
      <c r="L2066" t="s">
        <v>4580</v>
      </c>
      <c r="M2066" t="s">
        <v>4462</v>
      </c>
      <c r="N2066">
        <v>3</v>
      </c>
    </row>
    <row r="2067" spans="1:14" x14ac:dyDescent="0.35">
      <c r="A2067" t="s">
        <v>6546</v>
      </c>
      <c r="B2067" t="s">
        <v>114</v>
      </c>
      <c r="C2067" t="s">
        <v>1890</v>
      </c>
      <c r="D2067" t="s">
        <v>4460</v>
      </c>
      <c r="E2067" t="s">
        <v>4444</v>
      </c>
      <c r="F2067" s="3">
        <v>45313</v>
      </c>
      <c r="G2067" s="3">
        <v>45314</v>
      </c>
      <c r="H2067">
        <v>42.8</v>
      </c>
      <c r="I2067">
        <v>24</v>
      </c>
      <c r="J2067" t="s">
        <v>4440</v>
      </c>
      <c r="K2067" t="s">
        <v>4441</v>
      </c>
      <c r="L2067" t="s">
        <v>4514</v>
      </c>
      <c r="M2067" t="s">
        <v>4450</v>
      </c>
      <c r="N2067">
        <v>1</v>
      </c>
    </row>
    <row r="2068" spans="1:14" x14ac:dyDescent="0.35">
      <c r="A2068" t="s">
        <v>6547</v>
      </c>
      <c r="B2068" t="s">
        <v>263</v>
      </c>
      <c r="C2068" t="s">
        <v>1890</v>
      </c>
      <c r="D2068" t="s">
        <v>4476</v>
      </c>
      <c r="E2068" t="s">
        <v>4444</v>
      </c>
      <c r="F2068" s="3">
        <v>44979</v>
      </c>
      <c r="G2068" s="3">
        <v>44979</v>
      </c>
      <c r="H2068">
        <v>8.5</v>
      </c>
      <c r="I2068">
        <v>24</v>
      </c>
      <c r="J2068" t="s">
        <v>4448</v>
      </c>
      <c r="K2068" t="s">
        <v>4441</v>
      </c>
      <c r="L2068" t="s">
        <v>4580</v>
      </c>
      <c r="M2068" t="s">
        <v>4462</v>
      </c>
      <c r="N2068">
        <v>3</v>
      </c>
    </row>
    <row r="2069" spans="1:14" x14ac:dyDescent="0.35">
      <c r="A2069" t="s">
        <v>6548</v>
      </c>
      <c r="B2069" t="s">
        <v>363</v>
      </c>
      <c r="C2069" t="s">
        <v>1904</v>
      </c>
      <c r="D2069" t="s">
        <v>4479</v>
      </c>
      <c r="E2069" t="s">
        <v>4473</v>
      </c>
      <c r="F2069" s="3">
        <v>45538</v>
      </c>
      <c r="G2069" s="3" t="s">
        <v>537</v>
      </c>
      <c r="I2069">
        <v>8</v>
      </c>
      <c r="J2069" t="s">
        <v>4440</v>
      </c>
      <c r="K2069" t="s">
        <v>4474</v>
      </c>
      <c r="L2069" t="s">
        <v>4483</v>
      </c>
      <c r="M2069" t="s">
        <v>4446</v>
      </c>
    </row>
    <row r="2070" spans="1:14" x14ac:dyDescent="0.35">
      <c r="A2070" t="s">
        <v>6549</v>
      </c>
      <c r="B2070" t="s">
        <v>455</v>
      </c>
      <c r="C2070" t="s">
        <v>1883</v>
      </c>
      <c r="D2070" t="s">
        <v>4469</v>
      </c>
      <c r="E2070" t="s">
        <v>4444</v>
      </c>
      <c r="F2070" s="3">
        <v>45569</v>
      </c>
      <c r="G2070" s="3">
        <v>45569</v>
      </c>
      <c r="H2070">
        <v>23.5</v>
      </c>
      <c r="I2070">
        <v>24</v>
      </c>
      <c r="J2070" t="s">
        <v>4448</v>
      </c>
      <c r="K2070" t="s">
        <v>4441</v>
      </c>
      <c r="L2070" t="s">
        <v>4488</v>
      </c>
      <c r="M2070" t="s">
        <v>1625</v>
      </c>
      <c r="N2070">
        <v>3</v>
      </c>
    </row>
    <row r="2071" spans="1:14" x14ac:dyDescent="0.35">
      <c r="A2071" t="s">
        <v>6550</v>
      </c>
      <c r="B2071" t="s">
        <v>466</v>
      </c>
      <c r="C2071" t="s">
        <v>1904</v>
      </c>
      <c r="D2071" t="s">
        <v>4469</v>
      </c>
      <c r="E2071" t="s">
        <v>4456</v>
      </c>
      <c r="F2071" s="3">
        <v>44949</v>
      </c>
      <c r="G2071" s="3" t="s">
        <v>537</v>
      </c>
      <c r="I2071">
        <v>4</v>
      </c>
      <c r="J2071" t="s">
        <v>4448</v>
      </c>
      <c r="K2071" t="s">
        <v>4453</v>
      </c>
      <c r="L2071" t="s">
        <v>4514</v>
      </c>
      <c r="M2071" t="s">
        <v>4450</v>
      </c>
    </row>
    <row r="2072" spans="1:14" x14ac:dyDescent="0.35">
      <c r="A2072" t="s">
        <v>6551</v>
      </c>
      <c r="B2072" t="s">
        <v>334</v>
      </c>
      <c r="C2072" t="s">
        <v>1899</v>
      </c>
      <c r="D2072" t="s">
        <v>4490</v>
      </c>
      <c r="E2072" t="s">
        <v>4473</v>
      </c>
      <c r="F2072" s="3">
        <v>45331</v>
      </c>
      <c r="G2072" s="3" t="s">
        <v>537</v>
      </c>
      <c r="I2072">
        <v>8</v>
      </c>
      <c r="J2072" t="s">
        <v>4448</v>
      </c>
      <c r="K2072" t="s">
        <v>4474</v>
      </c>
      <c r="L2072" t="s">
        <v>4449</v>
      </c>
      <c r="M2072" t="s">
        <v>4462</v>
      </c>
    </row>
    <row r="2073" spans="1:14" x14ac:dyDescent="0.35">
      <c r="A2073" t="s">
        <v>6552</v>
      </c>
      <c r="B2073" t="s">
        <v>401</v>
      </c>
      <c r="C2073" t="s">
        <v>1883</v>
      </c>
      <c r="D2073" t="s">
        <v>4479</v>
      </c>
      <c r="E2073" t="s">
        <v>4473</v>
      </c>
      <c r="F2073" s="3">
        <v>45407</v>
      </c>
      <c r="G2073" s="3">
        <v>45407</v>
      </c>
      <c r="H2073">
        <v>10</v>
      </c>
      <c r="I2073">
        <v>8</v>
      </c>
      <c r="J2073" t="s">
        <v>4440</v>
      </c>
      <c r="K2073" t="s">
        <v>4441</v>
      </c>
      <c r="L2073" t="s">
        <v>4514</v>
      </c>
      <c r="M2073" t="s">
        <v>4450</v>
      </c>
      <c r="N2073">
        <v>5</v>
      </c>
    </row>
    <row r="2074" spans="1:14" x14ac:dyDescent="0.35">
      <c r="A2074" t="s">
        <v>6553</v>
      </c>
      <c r="B2074" t="s">
        <v>436</v>
      </c>
      <c r="C2074" t="s">
        <v>1890</v>
      </c>
      <c r="D2074" t="s">
        <v>4482</v>
      </c>
      <c r="E2074" t="s">
        <v>79</v>
      </c>
      <c r="F2074" s="3">
        <v>45420</v>
      </c>
      <c r="G2074" s="3">
        <v>45420</v>
      </c>
      <c r="H2074">
        <v>9.9</v>
      </c>
      <c r="I2074">
        <v>8</v>
      </c>
      <c r="J2074" t="s">
        <v>4440</v>
      </c>
      <c r="K2074" t="s">
        <v>4441</v>
      </c>
      <c r="L2074" t="s">
        <v>4501</v>
      </c>
      <c r="M2074" t="s">
        <v>4446</v>
      </c>
      <c r="N2074">
        <v>5</v>
      </c>
    </row>
    <row r="2075" spans="1:14" x14ac:dyDescent="0.35">
      <c r="A2075" t="s">
        <v>6554</v>
      </c>
      <c r="B2075" t="s">
        <v>488</v>
      </c>
      <c r="C2075" t="s">
        <v>1904</v>
      </c>
      <c r="D2075" t="s">
        <v>4460</v>
      </c>
      <c r="E2075" t="s">
        <v>4456</v>
      </c>
      <c r="F2075" s="3">
        <v>45638</v>
      </c>
      <c r="G2075" s="3" t="s">
        <v>537</v>
      </c>
      <c r="I2075">
        <v>4</v>
      </c>
      <c r="J2075" t="s">
        <v>4440</v>
      </c>
      <c r="K2075" t="s">
        <v>4457</v>
      </c>
      <c r="L2075" t="s">
        <v>4509</v>
      </c>
      <c r="M2075" t="s">
        <v>1625</v>
      </c>
    </row>
    <row r="2076" spans="1:14" x14ac:dyDescent="0.35">
      <c r="A2076" t="s">
        <v>6555</v>
      </c>
      <c r="B2076" t="s">
        <v>448</v>
      </c>
      <c r="C2076" t="s">
        <v>1899</v>
      </c>
      <c r="D2076" t="s">
        <v>4485</v>
      </c>
      <c r="E2076" t="s">
        <v>4473</v>
      </c>
      <c r="F2076" s="3">
        <v>44936</v>
      </c>
      <c r="G2076" s="3" t="s">
        <v>537</v>
      </c>
      <c r="I2076">
        <v>8</v>
      </c>
      <c r="J2076" t="s">
        <v>4440</v>
      </c>
      <c r="K2076" t="s">
        <v>4453</v>
      </c>
      <c r="L2076" t="s">
        <v>4527</v>
      </c>
      <c r="M2076" t="s">
        <v>4462</v>
      </c>
    </row>
    <row r="2077" spans="1:14" x14ac:dyDescent="0.35">
      <c r="A2077" t="s">
        <v>6556</v>
      </c>
      <c r="B2077" t="s">
        <v>394</v>
      </c>
      <c r="C2077" t="s">
        <v>1899</v>
      </c>
      <c r="D2077" t="s">
        <v>4472</v>
      </c>
      <c r="E2077" t="s">
        <v>4456</v>
      </c>
      <c r="F2077" s="3">
        <v>45356</v>
      </c>
      <c r="G2077" s="3" t="s">
        <v>537</v>
      </c>
      <c r="I2077">
        <v>4</v>
      </c>
      <c r="J2077" t="s">
        <v>4448</v>
      </c>
      <c r="K2077" t="s">
        <v>4474</v>
      </c>
      <c r="L2077" t="s">
        <v>4465</v>
      </c>
      <c r="M2077" t="s">
        <v>1625</v>
      </c>
    </row>
    <row r="2078" spans="1:14" x14ac:dyDescent="0.35">
      <c r="A2078" t="s">
        <v>6557</v>
      </c>
      <c r="B2078" t="s">
        <v>184</v>
      </c>
      <c r="C2078" t="s">
        <v>1927</v>
      </c>
      <c r="D2078" t="s">
        <v>4438</v>
      </c>
      <c r="E2078" t="s">
        <v>79</v>
      </c>
      <c r="F2078" s="3">
        <v>45603</v>
      </c>
      <c r="G2078" s="3" t="s">
        <v>537</v>
      </c>
      <c r="I2078">
        <v>48</v>
      </c>
      <c r="J2078" t="s">
        <v>4440</v>
      </c>
      <c r="K2078" t="s">
        <v>4453</v>
      </c>
      <c r="L2078" t="s">
        <v>4458</v>
      </c>
      <c r="M2078" t="s">
        <v>4450</v>
      </c>
    </row>
    <row r="2079" spans="1:14" x14ac:dyDescent="0.35">
      <c r="A2079" t="s">
        <v>6558</v>
      </c>
      <c r="B2079" t="s">
        <v>457</v>
      </c>
      <c r="C2079" t="s">
        <v>1904</v>
      </c>
      <c r="D2079" t="s">
        <v>4485</v>
      </c>
      <c r="E2079" t="s">
        <v>4444</v>
      </c>
      <c r="F2079" s="3">
        <v>45618</v>
      </c>
      <c r="G2079" s="3">
        <v>45619</v>
      </c>
      <c r="H2079">
        <v>34</v>
      </c>
      <c r="I2079">
        <v>24</v>
      </c>
      <c r="J2079" t="s">
        <v>4440</v>
      </c>
      <c r="K2079" t="s">
        <v>4441</v>
      </c>
      <c r="L2079" t="s">
        <v>4467</v>
      </c>
      <c r="M2079" t="s">
        <v>4446</v>
      </c>
      <c r="N2079">
        <v>1</v>
      </c>
    </row>
    <row r="2080" spans="1:14" x14ac:dyDescent="0.35">
      <c r="A2080" t="s">
        <v>6559</v>
      </c>
      <c r="B2080" t="s">
        <v>268</v>
      </c>
      <c r="C2080" t="s">
        <v>1915</v>
      </c>
      <c r="D2080" t="s">
        <v>4485</v>
      </c>
      <c r="E2080" t="s">
        <v>4439</v>
      </c>
      <c r="F2080" s="3">
        <v>45408</v>
      </c>
      <c r="G2080" s="3">
        <v>45412</v>
      </c>
      <c r="H2080">
        <v>118.9</v>
      </c>
      <c r="I2080">
        <v>48</v>
      </c>
      <c r="J2080" t="s">
        <v>4440</v>
      </c>
      <c r="K2080" t="s">
        <v>4441</v>
      </c>
      <c r="L2080" t="s">
        <v>4454</v>
      </c>
      <c r="M2080" t="s">
        <v>1625</v>
      </c>
    </row>
    <row r="2081" spans="1:14" x14ac:dyDescent="0.35">
      <c r="A2081" t="s">
        <v>6560</v>
      </c>
      <c r="B2081" t="s">
        <v>68</v>
      </c>
      <c r="C2081" t="s">
        <v>1883</v>
      </c>
      <c r="D2081" t="s">
        <v>4443</v>
      </c>
      <c r="E2081" t="s">
        <v>4444</v>
      </c>
      <c r="F2081" s="3">
        <v>45595</v>
      </c>
      <c r="G2081" s="3" t="s">
        <v>537</v>
      </c>
      <c r="I2081">
        <v>24</v>
      </c>
      <c r="J2081" t="s">
        <v>4440</v>
      </c>
      <c r="K2081" t="s">
        <v>4474</v>
      </c>
      <c r="L2081" t="s">
        <v>4445</v>
      </c>
      <c r="M2081" t="s">
        <v>4462</v>
      </c>
    </row>
    <row r="2082" spans="1:14" x14ac:dyDescent="0.35">
      <c r="A2082" t="s">
        <v>6561</v>
      </c>
      <c r="B2082" t="s">
        <v>399</v>
      </c>
      <c r="C2082" t="s">
        <v>1883</v>
      </c>
      <c r="D2082" t="s">
        <v>8509</v>
      </c>
      <c r="E2082" t="s">
        <v>4473</v>
      </c>
      <c r="F2082" s="3">
        <v>45550</v>
      </c>
      <c r="G2082" s="3" t="s">
        <v>537</v>
      </c>
      <c r="I2082">
        <v>8</v>
      </c>
      <c r="J2082" t="s">
        <v>4440</v>
      </c>
      <c r="K2082" t="s">
        <v>4474</v>
      </c>
      <c r="L2082" t="s">
        <v>4514</v>
      </c>
      <c r="M2082" t="s">
        <v>1625</v>
      </c>
    </row>
    <row r="2083" spans="1:14" x14ac:dyDescent="0.35">
      <c r="A2083" t="s">
        <v>6562</v>
      </c>
      <c r="B2083" t="s">
        <v>238</v>
      </c>
      <c r="C2083" t="s">
        <v>1904</v>
      </c>
      <c r="D2083" t="s">
        <v>8512</v>
      </c>
      <c r="E2083" t="s">
        <v>4444</v>
      </c>
      <c r="F2083" s="3">
        <v>44987</v>
      </c>
      <c r="G2083" s="3">
        <v>44989</v>
      </c>
      <c r="H2083">
        <v>59.4</v>
      </c>
      <c r="I2083">
        <v>24</v>
      </c>
      <c r="J2083" t="s">
        <v>4440</v>
      </c>
      <c r="K2083" t="s">
        <v>4441</v>
      </c>
      <c r="L2083" t="s">
        <v>4527</v>
      </c>
      <c r="M2083" t="s">
        <v>1625</v>
      </c>
      <c r="N2083">
        <v>4</v>
      </c>
    </row>
    <row r="2084" spans="1:14" x14ac:dyDescent="0.35">
      <c r="A2084" t="s">
        <v>6563</v>
      </c>
      <c r="B2084" t="s">
        <v>380</v>
      </c>
      <c r="C2084" t="s">
        <v>1915</v>
      </c>
      <c r="D2084" t="s">
        <v>4476</v>
      </c>
      <c r="E2084" t="s">
        <v>4473</v>
      </c>
      <c r="F2084" s="3">
        <v>45476</v>
      </c>
      <c r="G2084" s="3" t="s">
        <v>537</v>
      </c>
      <c r="I2084">
        <v>8</v>
      </c>
      <c r="J2084" t="s">
        <v>4440</v>
      </c>
      <c r="K2084" t="s">
        <v>4457</v>
      </c>
      <c r="L2084" t="s">
        <v>4467</v>
      </c>
      <c r="M2084" t="s">
        <v>4450</v>
      </c>
    </row>
    <row r="2085" spans="1:14" x14ac:dyDescent="0.35">
      <c r="A2085" t="s">
        <v>6564</v>
      </c>
      <c r="B2085" t="s">
        <v>398</v>
      </c>
      <c r="C2085" t="s">
        <v>1927</v>
      </c>
      <c r="D2085" t="s">
        <v>4460</v>
      </c>
      <c r="E2085" t="s">
        <v>4439</v>
      </c>
      <c r="F2085" s="3">
        <v>45261</v>
      </c>
      <c r="G2085" s="3" t="s">
        <v>537</v>
      </c>
      <c r="I2085">
        <v>48</v>
      </c>
      <c r="J2085" t="s">
        <v>4448</v>
      </c>
      <c r="K2085" t="s">
        <v>4457</v>
      </c>
      <c r="L2085" t="s">
        <v>4454</v>
      </c>
      <c r="M2085" t="s">
        <v>1625</v>
      </c>
    </row>
    <row r="2086" spans="1:14" x14ac:dyDescent="0.35">
      <c r="A2086" t="s">
        <v>6565</v>
      </c>
      <c r="B2086" t="s">
        <v>230</v>
      </c>
      <c r="C2086" t="s">
        <v>1899</v>
      </c>
      <c r="D2086" t="s">
        <v>4452</v>
      </c>
      <c r="E2086" t="s">
        <v>4444</v>
      </c>
      <c r="F2086" s="3">
        <v>45511</v>
      </c>
      <c r="G2086" s="3">
        <v>45513</v>
      </c>
      <c r="H2086">
        <v>57.9</v>
      </c>
      <c r="I2086">
        <v>24</v>
      </c>
      <c r="J2086" t="s">
        <v>4440</v>
      </c>
      <c r="K2086" t="s">
        <v>4441</v>
      </c>
      <c r="L2086" t="s">
        <v>4580</v>
      </c>
      <c r="M2086" t="s">
        <v>4462</v>
      </c>
      <c r="N2086">
        <v>3</v>
      </c>
    </row>
    <row r="2087" spans="1:14" x14ac:dyDescent="0.35">
      <c r="A2087" t="s">
        <v>6566</v>
      </c>
      <c r="B2087" t="s">
        <v>479</v>
      </c>
      <c r="C2087" t="s">
        <v>1904</v>
      </c>
      <c r="D2087" t="s">
        <v>4460</v>
      </c>
      <c r="E2087" t="s">
        <v>4456</v>
      </c>
      <c r="F2087" s="3">
        <v>45257</v>
      </c>
      <c r="G2087" s="3">
        <v>45257</v>
      </c>
      <c r="H2087">
        <v>3</v>
      </c>
      <c r="I2087">
        <v>4</v>
      </c>
      <c r="J2087" t="s">
        <v>4448</v>
      </c>
      <c r="K2087" t="s">
        <v>4441</v>
      </c>
      <c r="L2087" t="s">
        <v>4580</v>
      </c>
      <c r="M2087" t="s">
        <v>4450</v>
      </c>
      <c r="N2087">
        <v>5</v>
      </c>
    </row>
    <row r="2088" spans="1:14" x14ac:dyDescent="0.35">
      <c r="A2088" t="s">
        <v>6567</v>
      </c>
      <c r="B2088" t="s">
        <v>280</v>
      </c>
      <c r="C2088" t="s">
        <v>1904</v>
      </c>
      <c r="D2088" t="s">
        <v>4452</v>
      </c>
      <c r="E2088" t="s">
        <v>4444</v>
      </c>
      <c r="F2088" s="3">
        <v>45368</v>
      </c>
      <c r="G2088" s="3">
        <v>45369</v>
      </c>
      <c r="H2088">
        <v>27.4</v>
      </c>
      <c r="I2088">
        <v>24</v>
      </c>
      <c r="J2088" t="s">
        <v>4440</v>
      </c>
      <c r="K2088" t="s">
        <v>4441</v>
      </c>
      <c r="L2088" t="s">
        <v>4512</v>
      </c>
      <c r="M2088" t="s">
        <v>4462</v>
      </c>
      <c r="N2088">
        <v>1</v>
      </c>
    </row>
    <row r="2089" spans="1:14" x14ac:dyDescent="0.35">
      <c r="A2089" t="s">
        <v>6568</v>
      </c>
      <c r="B2089" t="s">
        <v>152</v>
      </c>
      <c r="C2089" t="s">
        <v>1904</v>
      </c>
      <c r="D2089" t="s">
        <v>4476</v>
      </c>
      <c r="E2089" t="s">
        <v>4444</v>
      </c>
      <c r="F2089" s="3">
        <v>45198</v>
      </c>
      <c r="G2089" s="3" t="s">
        <v>537</v>
      </c>
      <c r="I2089">
        <v>24</v>
      </c>
      <c r="J2089" t="s">
        <v>4440</v>
      </c>
      <c r="K2089" t="s">
        <v>4457</v>
      </c>
      <c r="L2089" t="s">
        <v>4527</v>
      </c>
      <c r="M2089" t="s">
        <v>4446</v>
      </c>
    </row>
    <row r="2090" spans="1:14" x14ac:dyDescent="0.35">
      <c r="A2090" t="s">
        <v>6569</v>
      </c>
      <c r="B2090" t="s">
        <v>120</v>
      </c>
      <c r="C2090" t="s">
        <v>1890</v>
      </c>
      <c r="D2090" t="s">
        <v>4460</v>
      </c>
      <c r="E2090" t="s">
        <v>4439</v>
      </c>
      <c r="F2090" s="3">
        <v>45490</v>
      </c>
      <c r="G2090" s="3">
        <v>45490</v>
      </c>
      <c r="H2090">
        <v>7.7</v>
      </c>
      <c r="I2090">
        <v>48</v>
      </c>
      <c r="J2090" t="s">
        <v>4448</v>
      </c>
      <c r="K2090" t="s">
        <v>4441</v>
      </c>
      <c r="L2090" t="s">
        <v>4480</v>
      </c>
      <c r="M2090" t="s">
        <v>4462</v>
      </c>
      <c r="N2090">
        <v>3</v>
      </c>
    </row>
    <row r="2091" spans="1:14" x14ac:dyDescent="0.35">
      <c r="A2091" t="s">
        <v>6570</v>
      </c>
      <c r="B2091" t="s">
        <v>469</v>
      </c>
      <c r="C2091" t="s">
        <v>1904</v>
      </c>
      <c r="D2091" t="s">
        <v>4482</v>
      </c>
      <c r="E2091" t="s">
        <v>4439</v>
      </c>
      <c r="F2091" s="3">
        <v>45028</v>
      </c>
      <c r="G2091" s="3" t="s">
        <v>537</v>
      </c>
      <c r="I2091">
        <v>48</v>
      </c>
      <c r="J2091" t="s">
        <v>4440</v>
      </c>
      <c r="K2091" t="s">
        <v>4457</v>
      </c>
      <c r="L2091" t="s">
        <v>4465</v>
      </c>
      <c r="M2091" t="s">
        <v>4462</v>
      </c>
    </row>
    <row r="2092" spans="1:14" x14ac:dyDescent="0.35">
      <c r="A2092" t="s">
        <v>6571</v>
      </c>
      <c r="B2092" t="s">
        <v>343</v>
      </c>
      <c r="C2092" t="s">
        <v>1904</v>
      </c>
      <c r="D2092" t="s">
        <v>4464</v>
      </c>
      <c r="E2092" t="s">
        <v>4439</v>
      </c>
      <c r="F2092" s="3">
        <v>45113</v>
      </c>
      <c r="G2092" s="3">
        <v>45113</v>
      </c>
      <c r="H2092">
        <v>11.6</v>
      </c>
      <c r="I2092">
        <v>48</v>
      </c>
      <c r="J2092" t="s">
        <v>1945</v>
      </c>
      <c r="K2092" t="s">
        <v>4441</v>
      </c>
      <c r="L2092" t="s">
        <v>1907</v>
      </c>
      <c r="M2092" t="s">
        <v>4446</v>
      </c>
    </row>
    <row r="2093" spans="1:14" x14ac:dyDescent="0.35">
      <c r="A2093" t="s">
        <v>6572</v>
      </c>
      <c r="B2093" t="s">
        <v>365</v>
      </c>
      <c r="C2093" t="s">
        <v>1883</v>
      </c>
      <c r="D2093" t="s">
        <v>4464</v>
      </c>
      <c r="E2093" t="s">
        <v>4444</v>
      </c>
      <c r="F2093" s="3">
        <v>45342</v>
      </c>
      <c r="G2093" s="3">
        <v>45342</v>
      </c>
      <c r="H2093">
        <v>4.2</v>
      </c>
      <c r="I2093">
        <v>24</v>
      </c>
      <c r="J2093" t="s">
        <v>4448</v>
      </c>
      <c r="K2093" t="s">
        <v>4441</v>
      </c>
      <c r="L2093" t="s">
        <v>4527</v>
      </c>
      <c r="M2093" t="s">
        <v>1625</v>
      </c>
      <c r="N2093">
        <v>3</v>
      </c>
    </row>
    <row r="2094" spans="1:14" x14ac:dyDescent="0.35">
      <c r="A2094" t="s">
        <v>6573</v>
      </c>
      <c r="B2094" t="s">
        <v>372</v>
      </c>
      <c r="C2094" t="s">
        <v>1890</v>
      </c>
      <c r="D2094" t="s">
        <v>4482</v>
      </c>
      <c r="E2094" t="s">
        <v>4473</v>
      </c>
      <c r="F2094" s="3">
        <v>45095</v>
      </c>
      <c r="G2094" s="3">
        <v>45095</v>
      </c>
      <c r="H2094">
        <v>19.600000000000001</v>
      </c>
      <c r="I2094">
        <v>8</v>
      </c>
      <c r="J2094" t="s">
        <v>4440</v>
      </c>
      <c r="K2094" t="s">
        <v>4441</v>
      </c>
      <c r="L2094" t="s">
        <v>4501</v>
      </c>
      <c r="M2094" t="s">
        <v>4450</v>
      </c>
      <c r="N2094">
        <v>4</v>
      </c>
    </row>
    <row r="2095" spans="1:14" x14ac:dyDescent="0.35">
      <c r="A2095" t="s">
        <v>6574</v>
      </c>
      <c r="B2095" t="s">
        <v>135</v>
      </c>
      <c r="C2095" t="s">
        <v>1915</v>
      </c>
      <c r="D2095" t="s">
        <v>4469</v>
      </c>
      <c r="E2095" t="s">
        <v>4439</v>
      </c>
      <c r="F2095" s="3">
        <v>45680</v>
      </c>
      <c r="G2095" s="3" t="s">
        <v>537</v>
      </c>
      <c r="I2095">
        <v>48</v>
      </c>
      <c r="J2095" t="s">
        <v>4440</v>
      </c>
      <c r="K2095" t="s">
        <v>4474</v>
      </c>
      <c r="L2095" t="s">
        <v>4445</v>
      </c>
      <c r="M2095" t="s">
        <v>4450</v>
      </c>
    </row>
    <row r="2096" spans="1:14" x14ac:dyDescent="0.35">
      <c r="A2096" t="s">
        <v>6575</v>
      </c>
      <c r="B2096" t="s">
        <v>310</v>
      </c>
      <c r="C2096" t="s">
        <v>1890</v>
      </c>
      <c r="D2096" t="s">
        <v>4485</v>
      </c>
      <c r="E2096" t="s">
        <v>4473</v>
      </c>
      <c r="F2096" s="3">
        <v>45377</v>
      </c>
      <c r="G2096" s="3" t="s">
        <v>537</v>
      </c>
      <c r="I2096">
        <v>8</v>
      </c>
      <c r="J2096" t="s">
        <v>4440</v>
      </c>
      <c r="K2096" t="s">
        <v>4457</v>
      </c>
      <c r="L2096" t="s">
        <v>4458</v>
      </c>
      <c r="M2096" t="s">
        <v>4446</v>
      </c>
    </row>
    <row r="2097" spans="1:14" x14ac:dyDescent="0.35">
      <c r="A2097" t="s">
        <v>6576</v>
      </c>
      <c r="B2097" t="s">
        <v>360</v>
      </c>
      <c r="C2097" t="s">
        <v>1883</v>
      </c>
      <c r="D2097" t="s">
        <v>4464</v>
      </c>
      <c r="E2097" t="s">
        <v>4444</v>
      </c>
      <c r="F2097" s="3">
        <v>45361</v>
      </c>
      <c r="G2097" s="3">
        <v>45361</v>
      </c>
      <c r="H2097">
        <v>7.4</v>
      </c>
      <c r="I2097">
        <v>24</v>
      </c>
      <c r="J2097" t="s">
        <v>4448</v>
      </c>
      <c r="K2097" t="s">
        <v>4441</v>
      </c>
      <c r="L2097" t="s">
        <v>4458</v>
      </c>
      <c r="M2097" t="s">
        <v>4450</v>
      </c>
    </row>
    <row r="2098" spans="1:14" x14ac:dyDescent="0.35">
      <c r="A2098" t="s">
        <v>6577</v>
      </c>
      <c r="B2098" t="s">
        <v>186</v>
      </c>
      <c r="C2098" t="s">
        <v>1927</v>
      </c>
      <c r="D2098" t="s">
        <v>4452</v>
      </c>
      <c r="E2098" t="s">
        <v>4473</v>
      </c>
      <c r="F2098" s="3">
        <v>45731</v>
      </c>
      <c r="G2098" s="3">
        <v>45731</v>
      </c>
      <c r="H2098">
        <v>16.3</v>
      </c>
      <c r="I2098">
        <v>8</v>
      </c>
      <c r="J2098" t="s">
        <v>4440</v>
      </c>
      <c r="K2098" t="s">
        <v>4441</v>
      </c>
      <c r="L2098" t="s">
        <v>4480</v>
      </c>
      <c r="M2098" t="s">
        <v>4446</v>
      </c>
      <c r="N2098">
        <v>2</v>
      </c>
    </row>
    <row r="2099" spans="1:14" x14ac:dyDescent="0.35">
      <c r="A2099" t="s">
        <v>6578</v>
      </c>
      <c r="B2099" t="s">
        <v>493</v>
      </c>
      <c r="C2099" t="s">
        <v>1927</v>
      </c>
      <c r="D2099" t="s">
        <v>4479</v>
      </c>
      <c r="E2099" t="s">
        <v>4444</v>
      </c>
      <c r="F2099" s="3">
        <v>45031</v>
      </c>
      <c r="G2099" s="3" t="s">
        <v>537</v>
      </c>
      <c r="I2099">
        <v>24</v>
      </c>
      <c r="J2099" t="s">
        <v>4440</v>
      </c>
      <c r="K2099" t="s">
        <v>4474</v>
      </c>
      <c r="L2099" t="s">
        <v>4533</v>
      </c>
      <c r="M2099" t="s">
        <v>4462</v>
      </c>
    </row>
    <row r="2100" spans="1:14" x14ac:dyDescent="0.35">
      <c r="A2100" t="s">
        <v>6579</v>
      </c>
      <c r="B2100" t="s">
        <v>302</v>
      </c>
      <c r="C2100" t="s">
        <v>1890</v>
      </c>
      <c r="D2100" t="s">
        <v>4460</v>
      </c>
      <c r="E2100" t="s">
        <v>4444</v>
      </c>
      <c r="F2100" s="3">
        <v>45146</v>
      </c>
      <c r="G2100" s="3">
        <v>45148</v>
      </c>
      <c r="H2100">
        <v>59.5</v>
      </c>
      <c r="I2100">
        <v>24</v>
      </c>
      <c r="J2100" t="s">
        <v>4440</v>
      </c>
      <c r="K2100" t="s">
        <v>4441</v>
      </c>
      <c r="L2100" t="s">
        <v>4580</v>
      </c>
      <c r="M2100" t="s">
        <v>4462</v>
      </c>
      <c r="N2100">
        <v>4</v>
      </c>
    </row>
    <row r="2101" spans="1:14" x14ac:dyDescent="0.35">
      <c r="A2101" t="s">
        <v>6580</v>
      </c>
      <c r="B2101" t="s">
        <v>271</v>
      </c>
      <c r="C2101" t="s">
        <v>1899</v>
      </c>
      <c r="D2101" t="s">
        <v>4490</v>
      </c>
      <c r="E2101" t="s">
        <v>4439</v>
      </c>
      <c r="F2101" s="3">
        <v>45337</v>
      </c>
      <c r="G2101" s="3">
        <v>45340</v>
      </c>
      <c r="H2101">
        <v>84.1</v>
      </c>
      <c r="I2101">
        <v>48</v>
      </c>
      <c r="J2101" t="s">
        <v>4440</v>
      </c>
      <c r="K2101" t="s">
        <v>4441</v>
      </c>
      <c r="L2101" t="s">
        <v>4467</v>
      </c>
      <c r="M2101" t="s">
        <v>4446</v>
      </c>
      <c r="N2101">
        <v>4</v>
      </c>
    </row>
    <row r="2102" spans="1:14" x14ac:dyDescent="0.35">
      <c r="A2102" t="s">
        <v>6581</v>
      </c>
      <c r="B2102" t="s">
        <v>205</v>
      </c>
      <c r="C2102" t="s">
        <v>1915</v>
      </c>
      <c r="D2102" t="s">
        <v>4438</v>
      </c>
      <c r="E2102" t="s">
        <v>4444</v>
      </c>
      <c r="F2102" s="3">
        <v>45011</v>
      </c>
      <c r="G2102" s="3" t="s">
        <v>537</v>
      </c>
      <c r="I2102">
        <v>24</v>
      </c>
      <c r="J2102" t="s">
        <v>4440</v>
      </c>
      <c r="K2102" t="s">
        <v>4457</v>
      </c>
      <c r="L2102" t="s">
        <v>4445</v>
      </c>
      <c r="M2102" t="s">
        <v>4446</v>
      </c>
    </row>
    <row r="2103" spans="1:14" x14ac:dyDescent="0.35">
      <c r="A2103" t="s">
        <v>6582</v>
      </c>
      <c r="B2103" t="s">
        <v>108</v>
      </c>
      <c r="C2103" t="s">
        <v>1899</v>
      </c>
      <c r="D2103" t="s">
        <v>4443</v>
      </c>
      <c r="E2103" t="s">
        <v>4439</v>
      </c>
      <c r="F2103" s="3">
        <v>45743</v>
      </c>
      <c r="G2103" s="3" t="s">
        <v>537</v>
      </c>
      <c r="I2103">
        <v>48</v>
      </c>
      <c r="J2103" t="s">
        <v>4440</v>
      </c>
      <c r="K2103" t="s">
        <v>4474</v>
      </c>
      <c r="L2103" t="s">
        <v>4449</v>
      </c>
      <c r="M2103" t="s">
        <v>1625</v>
      </c>
    </row>
    <row r="2104" spans="1:14" x14ac:dyDescent="0.35">
      <c r="A2104" t="s">
        <v>6583</v>
      </c>
      <c r="B2104" t="s">
        <v>421</v>
      </c>
      <c r="C2104" t="s">
        <v>1890</v>
      </c>
      <c r="D2104" t="s">
        <v>4476</v>
      </c>
      <c r="E2104" t="s">
        <v>4444</v>
      </c>
      <c r="F2104" s="3">
        <v>45391</v>
      </c>
      <c r="G2104" s="3">
        <v>45391</v>
      </c>
      <c r="H2104">
        <v>4.4000000000000004</v>
      </c>
      <c r="I2104">
        <v>24</v>
      </c>
      <c r="J2104" t="s">
        <v>4448</v>
      </c>
      <c r="K2104" t="s">
        <v>4441</v>
      </c>
      <c r="L2104" t="s">
        <v>4465</v>
      </c>
      <c r="M2104" t="s">
        <v>4446</v>
      </c>
      <c r="N2104">
        <v>3</v>
      </c>
    </row>
    <row r="2105" spans="1:14" x14ac:dyDescent="0.35">
      <c r="A2105" t="s">
        <v>6584</v>
      </c>
      <c r="B2105" t="s">
        <v>462</v>
      </c>
      <c r="C2105" t="s">
        <v>1915</v>
      </c>
      <c r="D2105" t="s">
        <v>4452</v>
      </c>
      <c r="E2105" t="s">
        <v>4473</v>
      </c>
      <c r="F2105" s="3">
        <v>45029</v>
      </c>
      <c r="G2105" s="3" t="s">
        <v>537</v>
      </c>
      <c r="I2105">
        <v>8</v>
      </c>
      <c r="J2105" t="s">
        <v>4448</v>
      </c>
      <c r="K2105" t="s">
        <v>4457</v>
      </c>
      <c r="L2105" t="s">
        <v>4461</v>
      </c>
      <c r="M2105" t="s">
        <v>4446</v>
      </c>
    </row>
    <row r="2106" spans="1:14" x14ac:dyDescent="0.35">
      <c r="A2106" t="s">
        <v>6585</v>
      </c>
      <c r="B2106" t="s">
        <v>312</v>
      </c>
      <c r="C2106" t="s">
        <v>1927</v>
      </c>
      <c r="D2106" t="s">
        <v>4479</v>
      </c>
      <c r="E2106" t="s">
        <v>4444</v>
      </c>
      <c r="F2106" s="3">
        <v>45270</v>
      </c>
      <c r="G2106" s="3">
        <v>45271</v>
      </c>
      <c r="H2106">
        <v>39.799999999999997</v>
      </c>
      <c r="I2106">
        <v>24</v>
      </c>
      <c r="J2106" t="s">
        <v>4440</v>
      </c>
      <c r="K2106" t="s">
        <v>4441</v>
      </c>
      <c r="L2106" t="s">
        <v>4454</v>
      </c>
      <c r="M2106" t="s">
        <v>4462</v>
      </c>
      <c r="N2106">
        <v>4</v>
      </c>
    </row>
    <row r="2107" spans="1:14" x14ac:dyDescent="0.35">
      <c r="A2107" t="s">
        <v>6586</v>
      </c>
      <c r="B2107" t="s">
        <v>34</v>
      </c>
      <c r="C2107" t="s">
        <v>1904</v>
      </c>
      <c r="D2107" t="s">
        <v>4460</v>
      </c>
      <c r="E2107" t="s">
        <v>4473</v>
      </c>
      <c r="F2107" s="3">
        <v>45600</v>
      </c>
      <c r="G2107" s="3" t="s">
        <v>537</v>
      </c>
      <c r="I2107">
        <v>8</v>
      </c>
      <c r="J2107" t="s">
        <v>4440</v>
      </c>
      <c r="K2107" t="s">
        <v>4457</v>
      </c>
      <c r="L2107" t="s">
        <v>4509</v>
      </c>
      <c r="M2107" t="s">
        <v>4446</v>
      </c>
    </row>
    <row r="2108" spans="1:14" x14ac:dyDescent="0.35">
      <c r="A2108" t="s">
        <v>6587</v>
      </c>
      <c r="B2108" t="s">
        <v>112</v>
      </c>
      <c r="C2108" t="s">
        <v>1883</v>
      </c>
      <c r="D2108" t="s">
        <v>4490</v>
      </c>
      <c r="E2108" t="s">
        <v>4473</v>
      </c>
      <c r="F2108" s="3">
        <v>45385</v>
      </c>
      <c r="G2108" s="3">
        <v>45385</v>
      </c>
      <c r="H2108">
        <v>17</v>
      </c>
      <c r="I2108">
        <v>8</v>
      </c>
      <c r="J2108" t="s">
        <v>4440</v>
      </c>
      <c r="K2108" t="s">
        <v>4441</v>
      </c>
      <c r="L2108" t="s">
        <v>4470</v>
      </c>
      <c r="M2108" t="s">
        <v>1625</v>
      </c>
      <c r="N2108">
        <v>3</v>
      </c>
    </row>
    <row r="2109" spans="1:14" x14ac:dyDescent="0.35">
      <c r="A2109" t="s">
        <v>6588</v>
      </c>
      <c r="B2109" t="s">
        <v>394</v>
      </c>
      <c r="C2109" t="s">
        <v>1904</v>
      </c>
      <c r="D2109" t="s">
        <v>4452</v>
      </c>
      <c r="E2109" t="s">
        <v>4473</v>
      </c>
      <c r="F2109" s="3">
        <v>45437</v>
      </c>
      <c r="G2109" s="3" t="s">
        <v>537</v>
      </c>
      <c r="I2109">
        <v>8</v>
      </c>
      <c r="J2109" t="s">
        <v>4440</v>
      </c>
      <c r="K2109" t="s">
        <v>4474</v>
      </c>
      <c r="L2109" t="s">
        <v>4533</v>
      </c>
      <c r="M2109" t="s">
        <v>4462</v>
      </c>
    </row>
    <row r="2110" spans="1:14" x14ac:dyDescent="0.35">
      <c r="A2110" t="s">
        <v>6589</v>
      </c>
      <c r="B2110" t="s">
        <v>371</v>
      </c>
      <c r="C2110" t="s">
        <v>1883</v>
      </c>
      <c r="D2110" t="s">
        <v>4469</v>
      </c>
      <c r="E2110" t="s">
        <v>4444</v>
      </c>
      <c r="F2110" s="3">
        <v>45229</v>
      </c>
      <c r="G2110" s="3" t="s">
        <v>537</v>
      </c>
      <c r="I2110">
        <v>24</v>
      </c>
      <c r="J2110" t="s">
        <v>4448</v>
      </c>
      <c r="K2110" t="s">
        <v>4474</v>
      </c>
      <c r="L2110" t="s">
        <v>4449</v>
      </c>
      <c r="M2110" t="s">
        <v>4446</v>
      </c>
    </row>
    <row r="2111" spans="1:14" x14ac:dyDescent="0.35">
      <c r="A2111" t="s">
        <v>6590</v>
      </c>
      <c r="B2111" t="s">
        <v>368</v>
      </c>
      <c r="C2111" t="s">
        <v>1915</v>
      </c>
      <c r="D2111" t="s">
        <v>4472</v>
      </c>
      <c r="E2111" t="s">
        <v>4439</v>
      </c>
      <c r="F2111" s="3">
        <v>45613</v>
      </c>
      <c r="G2111" s="3" t="s">
        <v>537</v>
      </c>
      <c r="I2111">
        <v>48</v>
      </c>
      <c r="J2111" t="s">
        <v>4448</v>
      </c>
      <c r="K2111" t="s">
        <v>4474</v>
      </c>
      <c r="L2111" t="s">
        <v>4580</v>
      </c>
      <c r="M2111" t="s">
        <v>1625</v>
      </c>
    </row>
    <row r="2112" spans="1:14" x14ac:dyDescent="0.35">
      <c r="A2112" t="s">
        <v>6591</v>
      </c>
      <c r="B2112" t="s">
        <v>128</v>
      </c>
      <c r="C2112" t="s">
        <v>1899</v>
      </c>
      <c r="D2112" t="s">
        <v>4469</v>
      </c>
      <c r="E2112" t="s">
        <v>4444</v>
      </c>
      <c r="F2112" s="3">
        <v>45415</v>
      </c>
      <c r="G2112" s="3" t="s">
        <v>537</v>
      </c>
      <c r="I2112">
        <v>24</v>
      </c>
      <c r="J2112" t="s">
        <v>4448</v>
      </c>
      <c r="K2112" t="s">
        <v>4453</v>
      </c>
      <c r="L2112" t="s">
        <v>4580</v>
      </c>
      <c r="M2112" t="s">
        <v>4446</v>
      </c>
    </row>
    <row r="2113" spans="1:14" x14ac:dyDescent="0.35">
      <c r="A2113" t="s">
        <v>6592</v>
      </c>
      <c r="B2113" t="s">
        <v>372</v>
      </c>
      <c r="C2113" t="s">
        <v>1890</v>
      </c>
      <c r="D2113" t="s">
        <v>4469</v>
      </c>
      <c r="E2113" t="s">
        <v>4444</v>
      </c>
      <c r="F2113" s="3">
        <v>45633</v>
      </c>
      <c r="G2113" s="3" t="s">
        <v>537</v>
      </c>
      <c r="I2113">
        <v>24</v>
      </c>
      <c r="J2113" t="s">
        <v>4440</v>
      </c>
      <c r="K2113" t="s">
        <v>4474</v>
      </c>
      <c r="L2113" t="s">
        <v>4527</v>
      </c>
      <c r="M2113" t="s">
        <v>4450</v>
      </c>
    </row>
    <row r="2114" spans="1:14" x14ac:dyDescent="0.35">
      <c r="A2114" t="s">
        <v>6593</v>
      </c>
      <c r="B2114" t="s">
        <v>118</v>
      </c>
      <c r="C2114" t="s">
        <v>1915</v>
      </c>
      <c r="D2114" t="s">
        <v>4460</v>
      </c>
      <c r="E2114" t="s">
        <v>4473</v>
      </c>
      <c r="F2114" s="3">
        <v>45308</v>
      </c>
      <c r="G2114" s="3">
        <v>45308</v>
      </c>
      <c r="H2114">
        <v>16.3</v>
      </c>
      <c r="I2114">
        <v>8</v>
      </c>
      <c r="J2114" t="s">
        <v>4440</v>
      </c>
      <c r="K2114" t="s">
        <v>4441</v>
      </c>
      <c r="L2114" t="s">
        <v>4512</v>
      </c>
      <c r="M2114" t="s">
        <v>4446</v>
      </c>
      <c r="N2114">
        <v>4</v>
      </c>
    </row>
    <row r="2115" spans="1:14" x14ac:dyDescent="0.35">
      <c r="A2115" t="s">
        <v>6594</v>
      </c>
      <c r="B2115" t="s">
        <v>450</v>
      </c>
      <c r="C2115" t="s">
        <v>1915</v>
      </c>
      <c r="D2115" t="s">
        <v>4452</v>
      </c>
      <c r="E2115" t="s">
        <v>4439</v>
      </c>
      <c r="F2115" s="3">
        <v>45028</v>
      </c>
      <c r="G2115" s="3" t="s">
        <v>537</v>
      </c>
      <c r="I2115">
        <v>48</v>
      </c>
      <c r="J2115" t="s">
        <v>4440</v>
      </c>
      <c r="K2115" t="s">
        <v>4474</v>
      </c>
      <c r="L2115" t="s">
        <v>4533</v>
      </c>
      <c r="M2115" t="s">
        <v>4462</v>
      </c>
    </row>
    <row r="2116" spans="1:14" x14ac:dyDescent="0.35">
      <c r="A2116" t="s">
        <v>6595</v>
      </c>
      <c r="B2116" t="s">
        <v>180</v>
      </c>
      <c r="C2116" t="s">
        <v>1904</v>
      </c>
      <c r="D2116" t="s">
        <v>4490</v>
      </c>
      <c r="E2116" t="s">
        <v>4473</v>
      </c>
      <c r="F2116" s="3">
        <v>45183</v>
      </c>
      <c r="G2116" s="3">
        <v>45183</v>
      </c>
      <c r="H2116">
        <v>10.4</v>
      </c>
      <c r="I2116">
        <v>8</v>
      </c>
      <c r="J2116" t="s">
        <v>4440</v>
      </c>
      <c r="K2116" t="s">
        <v>4441</v>
      </c>
      <c r="L2116" t="s">
        <v>4467</v>
      </c>
      <c r="M2116" t="s">
        <v>4462</v>
      </c>
      <c r="N2116">
        <v>4</v>
      </c>
    </row>
    <row r="2117" spans="1:14" x14ac:dyDescent="0.35">
      <c r="A2117" t="s">
        <v>6596</v>
      </c>
      <c r="B2117" t="s">
        <v>211</v>
      </c>
      <c r="C2117" t="s">
        <v>1904</v>
      </c>
      <c r="D2117" t="s">
        <v>4479</v>
      </c>
      <c r="E2117" t="s">
        <v>4444</v>
      </c>
      <c r="F2117" s="3">
        <v>45021</v>
      </c>
      <c r="G2117" s="3" t="s">
        <v>537</v>
      </c>
      <c r="I2117">
        <v>24</v>
      </c>
      <c r="J2117" t="s">
        <v>4440</v>
      </c>
      <c r="K2117" t="s">
        <v>4474</v>
      </c>
      <c r="L2117" t="s">
        <v>4480</v>
      </c>
      <c r="M2117" t="s">
        <v>4446</v>
      </c>
    </row>
    <row r="2118" spans="1:14" x14ac:dyDescent="0.35">
      <c r="A2118" t="s">
        <v>6597</v>
      </c>
      <c r="B2118" t="s">
        <v>330</v>
      </c>
      <c r="C2118" t="s">
        <v>1890</v>
      </c>
      <c r="D2118" t="s">
        <v>4443</v>
      </c>
      <c r="E2118" t="s">
        <v>4473</v>
      </c>
      <c r="F2118" s="3">
        <v>45358</v>
      </c>
      <c r="G2118" s="3" t="s">
        <v>537</v>
      </c>
      <c r="I2118">
        <v>8</v>
      </c>
      <c r="J2118" t="s">
        <v>4440</v>
      </c>
      <c r="K2118" t="s">
        <v>4457</v>
      </c>
      <c r="L2118" t="s">
        <v>4533</v>
      </c>
      <c r="M2118" t="s">
        <v>4446</v>
      </c>
    </row>
    <row r="2119" spans="1:14" x14ac:dyDescent="0.35">
      <c r="A2119" t="s">
        <v>6598</v>
      </c>
      <c r="B2119" t="s">
        <v>230</v>
      </c>
      <c r="C2119" t="s">
        <v>1899</v>
      </c>
      <c r="D2119" t="s">
        <v>4479</v>
      </c>
      <c r="E2119" t="s">
        <v>4439</v>
      </c>
      <c r="F2119" s="3">
        <v>45146</v>
      </c>
      <c r="G2119" s="3">
        <v>45149</v>
      </c>
      <c r="H2119">
        <v>74.8</v>
      </c>
      <c r="I2119">
        <v>48</v>
      </c>
      <c r="J2119" t="s">
        <v>4440</v>
      </c>
      <c r="K2119" t="s">
        <v>4441</v>
      </c>
      <c r="L2119" t="s">
        <v>4454</v>
      </c>
      <c r="M2119" t="s">
        <v>4446</v>
      </c>
      <c r="N2119">
        <v>3</v>
      </c>
    </row>
    <row r="2120" spans="1:14" x14ac:dyDescent="0.35">
      <c r="A2120" t="s">
        <v>6599</v>
      </c>
      <c r="B2120" t="s">
        <v>497</v>
      </c>
      <c r="C2120" t="s">
        <v>1890</v>
      </c>
      <c r="D2120" t="s">
        <v>4469</v>
      </c>
      <c r="E2120" t="s">
        <v>4444</v>
      </c>
      <c r="F2120" s="3">
        <v>45061</v>
      </c>
      <c r="G2120" s="3">
        <v>45061</v>
      </c>
      <c r="H2120">
        <v>19.5</v>
      </c>
      <c r="I2120">
        <v>24</v>
      </c>
      <c r="J2120" t="s">
        <v>4448</v>
      </c>
      <c r="K2120" t="s">
        <v>4441</v>
      </c>
      <c r="L2120" t="s">
        <v>4449</v>
      </c>
      <c r="M2120" t="s">
        <v>1625</v>
      </c>
      <c r="N2120">
        <v>1</v>
      </c>
    </row>
    <row r="2121" spans="1:14" x14ac:dyDescent="0.35">
      <c r="A2121" t="s">
        <v>6600</v>
      </c>
      <c r="B2121" t="s">
        <v>196</v>
      </c>
      <c r="C2121" t="s">
        <v>1915</v>
      </c>
      <c r="D2121" t="s">
        <v>4476</v>
      </c>
      <c r="E2121" t="s">
        <v>4444</v>
      </c>
      <c r="F2121" s="3">
        <v>45559</v>
      </c>
      <c r="G2121" s="3">
        <v>45560</v>
      </c>
      <c r="H2121">
        <v>24.1</v>
      </c>
      <c r="I2121">
        <v>24</v>
      </c>
      <c r="J2121" t="s">
        <v>4440</v>
      </c>
      <c r="K2121" t="s">
        <v>4441</v>
      </c>
      <c r="L2121" t="s">
        <v>4509</v>
      </c>
      <c r="M2121" t="s">
        <v>4462</v>
      </c>
      <c r="N2121">
        <v>4</v>
      </c>
    </row>
    <row r="2122" spans="1:14" x14ac:dyDescent="0.35">
      <c r="A2122" t="s">
        <v>6601</v>
      </c>
      <c r="B2122" t="s">
        <v>455</v>
      </c>
      <c r="C2122" t="s">
        <v>1883</v>
      </c>
      <c r="D2122" t="s">
        <v>4464</v>
      </c>
      <c r="E2122" t="s">
        <v>4444</v>
      </c>
      <c r="F2122" s="3">
        <v>44998</v>
      </c>
      <c r="G2122" s="3" t="s">
        <v>537</v>
      </c>
      <c r="I2122">
        <v>24</v>
      </c>
      <c r="J2122" t="s">
        <v>4440</v>
      </c>
      <c r="K2122" t="s">
        <v>4474</v>
      </c>
      <c r="L2122" t="s">
        <v>4458</v>
      </c>
      <c r="M2122" t="s">
        <v>4462</v>
      </c>
    </row>
    <row r="2123" spans="1:14" x14ac:dyDescent="0.35">
      <c r="A2123" t="s">
        <v>6602</v>
      </c>
      <c r="B2123" t="s">
        <v>207</v>
      </c>
      <c r="C2123" t="s">
        <v>1904</v>
      </c>
      <c r="D2123" t="s">
        <v>4476</v>
      </c>
      <c r="E2123" t="s">
        <v>4473</v>
      </c>
      <c r="F2123" s="3">
        <v>45388</v>
      </c>
      <c r="G2123" s="3">
        <v>45388</v>
      </c>
      <c r="H2123">
        <v>16.3</v>
      </c>
      <c r="I2123">
        <v>8</v>
      </c>
      <c r="J2123" t="s">
        <v>4440</v>
      </c>
      <c r="K2123" t="s">
        <v>4441</v>
      </c>
      <c r="L2123" t="s">
        <v>4580</v>
      </c>
      <c r="M2123" t="s">
        <v>4462</v>
      </c>
      <c r="N2123">
        <v>5</v>
      </c>
    </row>
    <row r="2124" spans="1:14" x14ac:dyDescent="0.35">
      <c r="A2124" t="s">
        <v>6603</v>
      </c>
      <c r="B2124" t="s">
        <v>82</v>
      </c>
      <c r="C2124" t="s">
        <v>1883</v>
      </c>
      <c r="D2124" t="s">
        <v>4476</v>
      </c>
      <c r="E2124" t="s">
        <v>4473</v>
      </c>
      <c r="F2124" s="3">
        <v>45194</v>
      </c>
      <c r="G2124" s="3" t="s">
        <v>537</v>
      </c>
      <c r="I2124">
        <v>8</v>
      </c>
      <c r="J2124" t="s">
        <v>4440</v>
      </c>
      <c r="K2124" t="s">
        <v>4457</v>
      </c>
      <c r="L2124" t="s">
        <v>4512</v>
      </c>
      <c r="M2124" t="s">
        <v>1625</v>
      </c>
    </row>
    <row r="2125" spans="1:14" x14ac:dyDescent="0.35">
      <c r="A2125" t="s">
        <v>6604</v>
      </c>
      <c r="B2125" t="s">
        <v>198</v>
      </c>
      <c r="C2125" t="s">
        <v>1915</v>
      </c>
      <c r="D2125" t="s">
        <v>4490</v>
      </c>
      <c r="E2125" t="s">
        <v>4439</v>
      </c>
      <c r="F2125" s="3">
        <v>45708</v>
      </c>
      <c r="G2125" s="3" t="s">
        <v>537</v>
      </c>
      <c r="I2125">
        <v>48</v>
      </c>
      <c r="J2125" t="s">
        <v>4440</v>
      </c>
      <c r="K2125" t="s">
        <v>4474</v>
      </c>
      <c r="L2125" t="s">
        <v>4527</v>
      </c>
      <c r="M2125" t="s">
        <v>1625</v>
      </c>
    </row>
    <row r="2126" spans="1:14" x14ac:dyDescent="0.35">
      <c r="A2126" t="s">
        <v>6605</v>
      </c>
      <c r="B2126" t="s">
        <v>201</v>
      </c>
      <c r="C2126" t="s">
        <v>1915</v>
      </c>
      <c r="D2126" t="s">
        <v>4479</v>
      </c>
      <c r="E2126" t="s">
        <v>4473</v>
      </c>
      <c r="F2126" s="3">
        <v>44962</v>
      </c>
      <c r="G2126" s="3">
        <v>44962</v>
      </c>
      <c r="H2126">
        <v>14.8</v>
      </c>
      <c r="I2126">
        <v>8</v>
      </c>
      <c r="J2126" t="s">
        <v>4440</v>
      </c>
      <c r="K2126" t="s">
        <v>4441</v>
      </c>
      <c r="L2126" t="s">
        <v>4512</v>
      </c>
      <c r="M2126" t="s">
        <v>4462</v>
      </c>
    </row>
    <row r="2127" spans="1:14" x14ac:dyDescent="0.35">
      <c r="A2127" t="s">
        <v>6606</v>
      </c>
      <c r="B2127" t="s">
        <v>268</v>
      </c>
      <c r="C2127" t="s">
        <v>1883</v>
      </c>
      <c r="D2127" t="s">
        <v>4469</v>
      </c>
      <c r="E2127" t="s">
        <v>4444</v>
      </c>
      <c r="F2127" s="3">
        <v>45356</v>
      </c>
      <c r="G2127" s="3">
        <v>45356</v>
      </c>
      <c r="H2127">
        <v>11</v>
      </c>
      <c r="I2127">
        <v>24</v>
      </c>
      <c r="J2127" t="s">
        <v>4448</v>
      </c>
      <c r="K2127" t="s">
        <v>4441</v>
      </c>
      <c r="L2127" t="s">
        <v>4509</v>
      </c>
      <c r="M2127" t="s">
        <v>4462</v>
      </c>
      <c r="N2127">
        <v>4</v>
      </c>
    </row>
    <row r="2128" spans="1:14" x14ac:dyDescent="0.35">
      <c r="A2128" t="s">
        <v>6607</v>
      </c>
      <c r="B2128" t="s">
        <v>32</v>
      </c>
      <c r="C2128" t="s">
        <v>1927</v>
      </c>
      <c r="D2128" t="s">
        <v>4460</v>
      </c>
      <c r="E2128" t="s">
        <v>4439</v>
      </c>
      <c r="F2128" s="3">
        <v>45580</v>
      </c>
      <c r="G2128" s="3">
        <v>45581</v>
      </c>
      <c r="H2128">
        <v>44.7</v>
      </c>
      <c r="I2128">
        <v>48</v>
      </c>
      <c r="J2128" t="s">
        <v>4448</v>
      </c>
      <c r="K2128" t="s">
        <v>4441</v>
      </c>
      <c r="L2128" t="s">
        <v>4480</v>
      </c>
      <c r="M2128" t="s">
        <v>4462</v>
      </c>
      <c r="N2128">
        <v>3</v>
      </c>
    </row>
    <row r="2129" spans="1:14" x14ac:dyDescent="0.35">
      <c r="A2129" t="s">
        <v>6608</v>
      </c>
      <c r="B2129" t="s">
        <v>235</v>
      </c>
      <c r="C2129" t="s">
        <v>1915</v>
      </c>
      <c r="D2129" t="s">
        <v>4452</v>
      </c>
      <c r="E2129" t="s">
        <v>4444</v>
      </c>
      <c r="F2129" s="3">
        <v>45327</v>
      </c>
      <c r="G2129" s="3">
        <v>45329</v>
      </c>
      <c r="H2129">
        <v>48.1</v>
      </c>
      <c r="I2129">
        <v>24</v>
      </c>
      <c r="J2129" t="s">
        <v>4440</v>
      </c>
      <c r="K2129" t="s">
        <v>4441</v>
      </c>
      <c r="L2129" t="s">
        <v>4514</v>
      </c>
      <c r="M2129" t="s">
        <v>1625</v>
      </c>
      <c r="N2129">
        <v>5</v>
      </c>
    </row>
    <row r="2130" spans="1:14" x14ac:dyDescent="0.35">
      <c r="A2130" t="s">
        <v>6609</v>
      </c>
      <c r="B2130" t="s">
        <v>328</v>
      </c>
      <c r="C2130" t="s">
        <v>1899</v>
      </c>
      <c r="D2130" t="s">
        <v>4469</v>
      </c>
      <c r="E2130" t="s">
        <v>4473</v>
      </c>
      <c r="F2130" s="3">
        <v>45415</v>
      </c>
      <c r="G2130" s="3">
        <v>45415</v>
      </c>
      <c r="H2130">
        <v>3.1</v>
      </c>
      <c r="I2130">
        <v>8</v>
      </c>
      <c r="J2130" t="s">
        <v>4448</v>
      </c>
      <c r="K2130" t="s">
        <v>4441</v>
      </c>
      <c r="L2130" t="s">
        <v>4461</v>
      </c>
      <c r="M2130" t="s">
        <v>4446</v>
      </c>
      <c r="N2130">
        <v>4</v>
      </c>
    </row>
    <row r="2131" spans="1:14" x14ac:dyDescent="0.35">
      <c r="A2131" t="s">
        <v>6610</v>
      </c>
      <c r="B2131" t="s">
        <v>310</v>
      </c>
      <c r="C2131" t="s">
        <v>1899</v>
      </c>
      <c r="D2131" t="s">
        <v>4476</v>
      </c>
      <c r="E2131" t="s">
        <v>4444</v>
      </c>
      <c r="F2131" s="3">
        <v>45030</v>
      </c>
      <c r="G2131" s="3">
        <v>45031</v>
      </c>
      <c r="H2131">
        <v>32.9</v>
      </c>
      <c r="I2131">
        <v>24</v>
      </c>
      <c r="J2131" t="s">
        <v>4440</v>
      </c>
      <c r="K2131" t="s">
        <v>4441</v>
      </c>
      <c r="L2131" t="s">
        <v>4467</v>
      </c>
      <c r="M2131" t="s">
        <v>4450</v>
      </c>
      <c r="N2131">
        <v>3</v>
      </c>
    </row>
    <row r="2132" spans="1:14" x14ac:dyDescent="0.35">
      <c r="A2132" t="s">
        <v>6611</v>
      </c>
      <c r="B2132" t="s">
        <v>175</v>
      </c>
      <c r="C2132" t="s">
        <v>1890</v>
      </c>
      <c r="D2132" t="s">
        <v>4472</v>
      </c>
      <c r="E2132" t="s">
        <v>4444</v>
      </c>
      <c r="F2132" s="3">
        <v>45506</v>
      </c>
      <c r="G2132" s="3">
        <v>45507</v>
      </c>
      <c r="H2132">
        <v>44.1</v>
      </c>
      <c r="I2132">
        <v>24</v>
      </c>
      <c r="J2132" t="s">
        <v>4440</v>
      </c>
      <c r="K2132" t="s">
        <v>4441</v>
      </c>
      <c r="L2132" t="s">
        <v>4527</v>
      </c>
      <c r="M2132" t="s">
        <v>4450</v>
      </c>
      <c r="N2132">
        <v>4</v>
      </c>
    </row>
    <row r="2133" spans="1:14" x14ac:dyDescent="0.35">
      <c r="A2133" t="s">
        <v>6612</v>
      </c>
      <c r="B2133" t="s">
        <v>160</v>
      </c>
      <c r="C2133" t="s">
        <v>1899</v>
      </c>
      <c r="D2133" t="s">
        <v>4485</v>
      </c>
      <c r="E2133" t="s">
        <v>4439</v>
      </c>
      <c r="F2133" s="3">
        <v>45193</v>
      </c>
      <c r="G2133" s="3" t="s">
        <v>537</v>
      </c>
      <c r="I2133">
        <v>48</v>
      </c>
      <c r="J2133" t="s">
        <v>1945</v>
      </c>
      <c r="K2133" t="s">
        <v>4453</v>
      </c>
      <c r="L2133" t="s">
        <v>4445</v>
      </c>
      <c r="M2133" t="s">
        <v>4446</v>
      </c>
    </row>
    <row r="2134" spans="1:14" x14ac:dyDescent="0.35">
      <c r="A2134" t="s">
        <v>6613</v>
      </c>
      <c r="B2134" t="s">
        <v>99</v>
      </c>
      <c r="C2134" t="s">
        <v>1915</v>
      </c>
      <c r="D2134" t="s">
        <v>4485</v>
      </c>
      <c r="E2134" t="s">
        <v>4439</v>
      </c>
      <c r="F2134" s="3">
        <v>45449</v>
      </c>
      <c r="G2134" s="3" t="s">
        <v>537</v>
      </c>
      <c r="I2134">
        <v>48</v>
      </c>
      <c r="J2134" t="s">
        <v>4440</v>
      </c>
      <c r="K2134" t="s">
        <v>4453</v>
      </c>
      <c r="L2134" t="s">
        <v>4527</v>
      </c>
      <c r="M2134" t="s">
        <v>4450</v>
      </c>
    </row>
    <row r="2135" spans="1:14" x14ac:dyDescent="0.35">
      <c r="A2135" t="s">
        <v>6614</v>
      </c>
      <c r="B2135" t="s">
        <v>291</v>
      </c>
      <c r="C2135" t="s">
        <v>1927</v>
      </c>
      <c r="D2135" t="s">
        <v>4443</v>
      </c>
      <c r="E2135" t="s">
        <v>4473</v>
      </c>
      <c r="F2135" s="3">
        <v>45114</v>
      </c>
      <c r="G2135" s="3">
        <v>45114</v>
      </c>
      <c r="H2135">
        <v>5.9</v>
      </c>
      <c r="I2135">
        <v>8</v>
      </c>
      <c r="J2135" t="s">
        <v>4448</v>
      </c>
      <c r="K2135" t="s">
        <v>4441</v>
      </c>
      <c r="L2135" t="s">
        <v>4533</v>
      </c>
      <c r="M2135" t="s">
        <v>4450</v>
      </c>
    </row>
    <row r="2136" spans="1:14" x14ac:dyDescent="0.35">
      <c r="A2136" t="s">
        <v>6615</v>
      </c>
      <c r="B2136" t="s">
        <v>386</v>
      </c>
      <c r="C2136" t="s">
        <v>1883</v>
      </c>
      <c r="D2136" t="s">
        <v>4482</v>
      </c>
      <c r="E2136" t="s">
        <v>4444</v>
      </c>
      <c r="F2136" s="3">
        <v>45647</v>
      </c>
      <c r="G2136" s="3" t="s">
        <v>537</v>
      </c>
      <c r="I2136">
        <v>24</v>
      </c>
      <c r="J2136" t="s">
        <v>4440</v>
      </c>
      <c r="K2136" t="s">
        <v>4474</v>
      </c>
      <c r="L2136" t="s">
        <v>1907</v>
      </c>
      <c r="M2136" t="s">
        <v>4450</v>
      </c>
    </row>
    <row r="2137" spans="1:14" x14ac:dyDescent="0.35">
      <c r="A2137" t="s">
        <v>6616</v>
      </c>
      <c r="B2137" t="s">
        <v>330</v>
      </c>
      <c r="C2137" t="s">
        <v>1904</v>
      </c>
      <c r="D2137" t="s">
        <v>4469</v>
      </c>
      <c r="E2137" t="s">
        <v>4439</v>
      </c>
      <c r="F2137" s="3">
        <v>45599</v>
      </c>
      <c r="G2137" s="3">
        <v>45602</v>
      </c>
      <c r="H2137">
        <v>83.3</v>
      </c>
      <c r="I2137">
        <v>48</v>
      </c>
      <c r="J2137" t="s">
        <v>4440</v>
      </c>
      <c r="K2137" t="s">
        <v>4441</v>
      </c>
      <c r="L2137" t="s">
        <v>4533</v>
      </c>
      <c r="M2137" t="s">
        <v>4462</v>
      </c>
      <c r="N2137">
        <v>3</v>
      </c>
    </row>
    <row r="2138" spans="1:14" x14ac:dyDescent="0.35">
      <c r="A2138" t="s">
        <v>6617</v>
      </c>
      <c r="B2138" t="s">
        <v>471</v>
      </c>
      <c r="C2138" t="s">
        <v>1899</v>
      </c>
      <c r="D2138" t="s">
        <v>8505</v>
      </c>
      <c r="E2138" t="s">
        <v>4444</v>
      </c>
      <c r="F2138" s="3">
        <v>45460</v>
      </c>
      <c r="G2138" s="3">
        <v>45460</v>
      </c>
      <c r="H2138">
        <v>1.9</v>
      </c>
      <c r="I2138">
        <v>24</v>
      </c>
      <c r="J2138" t="s">
        <v>4448</v>
      </c>
      <c r="K2138" t="s">
        <v>4441</v>
      </c>
      <c r="L2138" t="s">
        <v>4512</v>
      </c>
      <c r="M2138" t="s">
        <v>4446</v>
      </c>
      <c r="N2138">
        <v>4</v>
      </c>
    </row>
    <row r="2139" spans="1:14" x14ac:dyDescent="0.35">
      <c r="A2139" t="s">
        <v>6618</v>
      </c>
      <c r="B2139" t="s">
        <v>201</v>
      </c>
      <c r="C2139" t="s">
        <v>1915</v>
      </c>
      <c r="D2139" t="s">
        <v>4479</v>
      </c>
      <c r="E2139" t="s">
        <v>4444</v>
      </c>
      <c r="F2139" s="3">
        <v>45460</v>
      </c>
      <c r="G2139" s="3">
        <v>45461</v>
      </c>
      <c r="H2139">
        <v>34.4</v>
      </c>
      <c r="I2139">
        <v>24</v>
      </c>
      <c r="J2139" t="s">
        <v>4440</v>
      </c>
      <c r="K2139" t="s">
        <v>4441</v>
      </c>
      <c r="L2139" t="s">
        <v>4445</v>
      </c>
      <c r="M2139" t="s">
        <v>4446</v>
      </c>
      <c r="N2139">
        <v>1</v>
      </c>
    </row>
    <row r="2140" spans="1:14" x14ac:dyDescent="0.35">
      <c r="A2140" t="s">
        <v>6619</v>
      </c>
      <c r="B2140" t="s">
        <v>312</v>
      </c>
      <c r="C2140" t="s">
        <v>1899</v>
      </c>
      <c r="D2140" t="s">
        <v>4460</v>
      </c>
      <c r="E2140" t="s">
        <v>4473</v>
      </c>
      <c r="F2140" s="3">
        <v>45691</v>
      </c>
      <c r="G2140" s="3" t="s">
        <v>537</v>
      </c>
      <c r="I2140">
        <v>8</v>
      </c>
      <c r="J2140" t="s">
        <v>4440</v>
      </c>
      <c r="K2140" t="s">
        <v>4474</v>
      </c>
      <c r="L2140" t="s">
        <v>4527</v>
      </c>
      <c r="M2140" t="s">
        <v>4450</v>
      </c>
    </row>
    <row r="2141" spans="1:14" x14ac:dyDescent="0.35">
      <c r="A2141" t="s">
        <v>6620</v>
      </c>
      <c r="B2141" t="s">
        <v>389</v>
      </c>
      <c r="C2141" t="s">
        <v>1883</v>
      </c>
      <c r="D2141" t="s">
        <v>4479</v>
      </c>
      <c r="E2141" t="s">
        <v>4439</v>
      </c>
      <c r="F2141" s="3">
        <v>45220</v>
      </c>
      <c r="G2141" s="3" t="s">
        <v>537</v>
      </c>
      <c r="I2141">
        <v>48</v>
      </c>
      <c r="J2141" t="s">
        <v>4440</v>
      </c>
      <c r="K2141" t="s">
        <v>4457</v>
      </c>
      <c r="L2141" t="s">
        <v>4580</v>
      </c>
      <c r="M2141" t="s">
        <v>4450</v>
      </c>
    </row>
    <row r="2142" spans="1:14" x14ac:dyDescent="0.35">
      <c r="A2142" t="s">
        <v>6621</v>
      </c>
      <c r="B2142" t="s">
        <v>208</v>
      </c>
      <c r="C2142" t="s">
        <v>1904</v>
      </c>
      <c r="D2142" t="s">
        <v>4460</v>
      </c>
      <c r="E2142" t="s">
        <v>4473</v>
      </c>
      <c r="F2142" s="3">
        <v>45572</v>
      </c>
      <c r="G2142" s="3">
        <v>45572</v>
      </c>
      <c r="H2142">
        <v>18.899999999999999</v>
      </c>
      <c r="I2142">
        <v>8</v>
      </c>
      <c r="J2142" t="s">
        <v>4440</v>
      </c>
      <c r="K2142" t="s">
        <v>4441</v>
      </c>
      <c r="L2142" t="s">
        <v>4533</v>
      </c>
      <c r="M2142" t="s">
        <v>1625</v>
      </c>
      <c r="N2142">
        <v>5</v>
      </c>
    </row>
    <row r="2143" spans="1:14" x14ac:dyDescent="0.35">
      <c r="A2143" t="s">
        <v>6622</v>
      </c>
      <c r="B2143" t="s">
        <v>466</v>
      </c>
      <c r="C2143" t="s">
        <v>1890</v>
      </c>
      <c r="D2143" t="s">
        <v>4490</v>
      </c>
      <c r="E2143" t="s">
        <v>4473</v>
      </c>
      <c r="F2143" s="3">
        <v>45413</v>
      </c>
      <c r="G2143" s="3">
        <v>45413</v>
      </c>
      <c r="H2143">
        <v>10.7</v>
      </c>
      <c r="I2143">
        <v>8</v>
      </c>
      <c r="J2143" t="s">
        <v>4440</v>
      </c>
      <c r="K2143" t="s">
        <v>4441</v>
      </c>
      <c r="L2143" t="s">
        <v>4512</v>
      </c>
      <c r="M2143" t="s">
        <v>4462</v>
      </c>
    </row>
    <row r="2144" spans="1:14" x14ac:dyDescent="0.35">
      <c r="A2144" t="s">
        <v>6623</v>
      </c>
      <c r="B2144" t="s">
        <v>77</v>
      </c>
      <c r="C2144" t="s">
        <v>1904</v>
      </c>
      <c r="D2144" t="s">
        <v>4438</v>
      </c>
      <c r="E2144" t="s">
        <v>4439</v>
      </c>
      <c r="F2144" s="3">
        <v>44990</v>
      </c>
      <c r="G2144" s="3">
        <v>44992</v>
      </c>
      <c r="H2144">
        <v>61.7</v>
      </c>
      <c r="I2144">
        <v>48</v>
      </c>
      <c r="J2144" t="s">
        <v>1945</v>
      </c>
      <c r="K2144" t="s">
        <v>4441</v>
      </c>
      <c r="L2144" t="s">
        <v>4454</v>
      </c>
      <c r="M2144" t="s">
        <v>1625</v>
      </c>
      <c r="N2144">
        <v>4</v>
      </c>
    </row>
    <row r="2145" spans="1:14" x14ac:dyDescent="0.35">
      <c r="A2145" t="s">
        <v>6624</v>
      </c>
      <c r="B2145" t="s">
        <v>249</v>
      </c>
      <c r="C2145" t="s">
        <v>1883</v>
      </c>
      <c r="D2145" t="s">
        <v>4464</v>
      </c>
      <c r="E2145" t="s">
        <v>4444</v>
      </c>
      <c r="F2145" s="3">
        <v>45099</v>
      </c>
      <c r="G2145" s="3">
        <v>45099</v>
      </c>
      <c r="H2145">
        <v>20.100000000000001</v>
      </c>
      <c r="I2145">
        <v>24</v>
      </c>
      <c r="J2145" t="s">
        <v>4448</v>
      </c>
      <c r="K2145" t="s">
        <v>4441</v>
      </c>
      <c r="L2145" t="s">
        <v>4488</v>
      </c>
      <c r="M2145" t="s">
        <v>4450</v>
      </c>
      <c r="N2145">
        <v>3</v>
      </c>
    </row>
    <row r="2146" spans="1:14" x14ac:dyDescent="0.35">
      <c r="A2146" t="s">
        <v>6625</v>
      </c>
      <c r="B2146" t="s">
        <v>152</v>
      </c>
      <c r="C2146" t="s">
        <v>1899</v>
      </c>
      <c r="D2146" t="s">
        <v>4464</v>
      </c>
      <c r="E2146" t="s">
        <v>4444</v>
      </c>
      <c r="F2146" s="3">
        <v>45064</v>
      </c>
      <c r="G2146" s="3">
        <v>45065</v>
      </c>
      <c r="H2146">
        <v>46</v>
      </c>
      <c r="I2146">
        <v>24</v>
      </c>
      <c r="J2146" t="s">
        <v>4440</v>
      </c>
      <c r="K2146" t="s">
        <v>4441</v>
      </c>
      <c r="L2146" t="s">
        <v>4449</v>
      </c>
      <c r="M2146" t="s">
        <v>4450</v>
      </c>
      <c r="N2146">
        <v>4</v>
      </c>
    </row>
    <row r="2147" spans="1:14" x14ac:dyDescent="0.35">
      <c r="A2147" t="s">
        <v>6626</v>
      </c>
      <c r="B2147" t="s">
        <v>45</v>
      </c>
      <c r="C2147" t="s">
        <v>1890</v>
      </c>
      <c r="D2147" t="s">
        <v>4482</v>
      </c>
      <c r="E2147" t="s">
        <v>79</v>
      </c>
      <c r="F2147" s="3">
        <v>45524</v>
      </c>
      <c r="G2147" s="3">
        <v>45524</v>
      </c>
      <c r="H2147">
        <v>2.1</v>
      </c>
      <c r="I2147">
        <v>24</v>
      </c>
      <c r="J2147" t="s">
        <v>4448</v>
      </c>
      <c r="K2147" t="s">
        <v>4441</v>
      </c>
      <c r="L2147" t="s">
        <v>4454</v>
      </c>
      <c r="M2147" t="s">
        <v>4450</v>
      </c>
      <c r="N2147">
        <v>2</v>
      </c>
    </row>
    <row r="2148" spans="1:14" x14ac:dyDescent="0.35">
      <c r="A2148" t="s">
        <v>6627</v>
      </c>
      <c r="B2148" t="s">
        <v>94</v>
      </c>
      <c r="C2148" t="s">
        <v>1904</v>
      </c>
      <c r="D2148" t="s">
        <v>4464</v>
      </c>
      <c r="E2148" t="s">
        <v>4444</v>
      </c>
      <c r="F2148" s="3">
        <v>44957</v>
      </c>
      <c r="G2148" s="3" t="s">
        <v>537</v>
      </c>
      <c r="I2148">
        <v>24</v>
      </c>
      <c r="J2148" t="s">
        <v>4448</v>
      </c>
      <c r="K2148" t="s">
        <v>4457</v>
      </c>
      <c r="L2148" t="s">
        <v>4461</v>
      </c>
      <c r="M2148" t="s">
        <v>1625</v>
      </c>
    </row>
    <row r="2149" spans="1:14" x14ac:dyDescent="0.35">
      <c r="A2149" t="s">
        <v>6628</v>
      </c>
      <c r="B2149" t="s">
        <v>211</v>
      </c>
      <c r="C2149" t="s">
        <v>1890</v>
      </c>
      <c r="D2149" t="s">
        <v>4479</v>
      </c>
      <c r="E2149" t="s">
        <v>4473</v>
      </c>
      <c r="F2149" s="3">
        <v>45025</v>
      </c>
      <c r="G2149" s="3">
        <v>45025</v>
      </c>
      <c r="H2149">
        <v>3.9</v>
      </c>
      <c r="I2149">
        <v>8</v>
      </c>
      <c r="J2149" t="s">
        <v>4448</v>
      </c>
      <c r="K2149" t="s">
        <v>4441</v>
      </c>
      <c r="L2149" t="s">
        <v>4533</v>
      </c>
      <c r="M2149" t="s">
        <v>1625</v>
      </c>
      <c r="N2149">
        <v>4</v>
      </c>
    </row>
    <row r="2150" spans="1:14" x14ac:dyDescent="0.35">
      <c r="A2150" t="s">
        <v>6629</v>
      </c>
      <c r="B2150" t="s">
        <v>289</v>
      </c>
      <c r="C2150" t="s">
        <v>1904</v>
      </c>
      <c r="D2150" t="s">
        <v>4438</v>
      </c>
      <c r="E2150" t="s">
        <v>4456</v>
      </c>
      <c r="F2150" s="3">
        <v>45476</v>
      </c>
      <c r="G2150" s="3">
        <v>45476</v>
      </c>
      <c r="H2150">
        <v>3.8</v>
      </c>
      <c r="I2150">
        <v>4</v>
      </c>
      <c r="J2150" t="s">
        <v>4448</v>
      </c>
      <c r="K2150" t="s">
        <v>4441</v>
      </c>
      <c r="L2150" t="s">
        <v>4501</v>
      </c>
      <c r="M2150" t="s">
        <v>1625</v>
      </c>
    </row>
    <row r="2151" spans="1:14" x14ac:dyDescent="0.35">
      <c r="A2151" t="s">
        <v>6630</v>
      </c>
      <c r="B2151" t="s">
        <v>339</v>
      </c>
      <c r="C2151" t="s">
        <v>1915</v>
      </c>
      <c r="D2151" t="s">
        <v>4438</v>
      </c>
      <c r="E2151" t="s">
        <v>4444</v>
      </c>
      <c r="F2151" s="3">
        <v>45678</v>
      </c>
      <c r="G2151" s="3" t="s">
        <v>537</v>
      </c>
      <c r="I2151">
        <v>24</v>
      </c>
      <c r="J2151" t="s">
        <v>4440</v>
      </c>
      <c r="K2151" t="s">
        <v>4474</v>
      </c>
      <c r="L2151" t="s">
        <v>4527</v>
      </c>
      <c r="M2151" t="s">
        <v>4450</v>
      </c>
    </row>
    <row r="2152" spans="1:14" x14ac:dyDescent="0.35">
      <c r="A2152" t="s">
        <v>6631</v>
      </c>
      <c r="B2152" t="s">
        <v>362</v>
      </c>
      <c r="C2152" t="s">
        <v>1890</v>
      </c>
      <c r="D2152" t="s">
        <v>4460</v>
      </c>
      <c r="E2152" t="s">
        <v>4439</v>
      </c>
      <c r="F2152" s="3">
        <v>45273</v>
      </c>
      <c r="G2152" s="3">
        <v>45275</v>
      </c>
      <c r="H2152">
        <v>68.099999999999994</v>
      </c>
      <c r="I2152">
        <v>48</v>
      </c>
      <c r="J2152" t="s">
        <v>4440</v>
      </c>
      <c r="K2152" t="s">
        <v>4441</v>
      </c>
      <c r="L2152" t="s">
        <v>4483</v>
      </c>
      <c r="M2152" t="s">
        <v>1625</v>
      </c>
      <c r="N2152">
        <v>2</v>
      </c>
    </row>
    <row r="2153" spans="1:14" x14ac:dyDescent="0.35">
      <c r="A2153" t="s">
        <v>6632</v>
      </c>
      <c r="B2153" t="s">
        <v>398</v>
      </c>
      <c r="C2153" t="s">
        <v>1915</v>
      </c>
      <c r="D2153" t="s">
        <v>4482</v>
      </c>
      <c r="E2153" t="s">
        <v>4473</v>
      </c>
      <c r="F2153" s="3">
        <v>45396</v>
      </c>
      <c r="G2153" s="3" t="s">
        <v>537</v>
      </c>
      <c r="I2153">
        <v>8</v>
      </c>
      <c r="J2153" t="s">
        <v>4448</v>
      </c>
      <c r="K2153" t="s">
        <v>4457</v>
      </c>
      <c r="L2153" t="s">
        <v>1907</v>
      </c>
      <c r="M2153" t="s">
        <v>4450</v>
      </c>
    </row>
    <row r="2154" spans="1:14" x14ac:dyDescent="0.35">
      <c r="A2154" t="s">
        <v>6633</v>
      </c>
      <c r="B2154" t="s">
        <v>319</v>
      </c>
      <c r="C2154" t="s">
        <v>1915</v>
      </c>
      <c r="D2154" t="s">
        <v>4464</v>
      </c>
      <c r="E2154" t="s">
        <v>4456</v>
      </c>
      <c r="F2154" s="3">
        <v>45552</v>
      </c>
      <c r="G2154" s="3" t="s">
        <v>537</v>
      </c>
      <c r="I2154">
        <v>4</v>
      </c>
      <c r="J2154" t="s">
        <v>4440</v>
      </c>
      <c r="K2154" t="s">
        <v>4457</v>
      </c>
      <c r="L2154" t="s">
        <v>1907</v>
      </c>
      <c r="M2154" t="s">
        <v>4450</v>
      </c>
    </row>
    <row r="2155" spans="1:14" x14ac:dyDescent="0.35">
      <c r="A2155" t="s">
        <v>6634</v>
      </c>
      <c r="B2155" t="s">
        <v>242</v>
      </c>
      <c r="C2155" t="s">
        <v>1904</v>
      </c>
      <c r="D2155" t="s">
        <v>4472</v>
      </c>
      <c r="E2155" t="s">
        <v>4473</v>
      </c>
      <c r="F2155" s="3">
        <v>45149</v>
      </c>
      <c r="G2155" s="3">
        <v>45149</v>
      </c>
      <c r="H2155">
        <v>19.2</v>
      </c>
      <c r="I2155">
        <v>8</v>
      </c>
      <c r="J2155" t="s">
        <v>4440</v>
      </c>
      <c r="K2155" t="s">
        <v>4441</v>
      </c>
      <c r="L2155" t="s">
        <v>4480</v>
      </c>
      <c r="M2155" t="s">
        <v>4462</v>
      </c>
      <c r="N2155">
        <v>4</v>
      </c>
    </row>
    <row r="2156" spans="1:14" x14ac:dyDescent="0.35">
      <c r="A2156" t="s">
        <v>6635</v>
      </c>
      <c r="B2156" t="s">
        <v>293</v>
      </c>
      <c r="C2156" t="s">
        <v>1883</v>
      </c>
      <c r="D2156" t="s">
        <v>4472</v>
      </c>
      <c r="E2156" t="s">
        <v>4473</v>
      </c>
      <c r="F2156" s="3">
        <v>45628</v>
      </c>
      <c r="G2156" s="3">
        <v>45628</v>
      </c>
      <c r="H2156">
        <v>14.9</v>
      </c>
      <c r="I2156">
        <v>8</v>
      </c>
      <c r="J2156" t="s">
        <v>4440</v>
      </c>
      <c r="K2156" t="s">
        <v>4441</v>
      </c>
      <c r="L2156" t="s">
        <v>4480</v>
      </c>
      <c r="M2156" t="s">
        <v>4446</v>
      </c>
      <c r="N2156">
        <v>2</v>
      </c>
    </row>
    <row r="2157" spans="1:14" x14ac:dyDescent="0.35">
      <c r="A2157" t="s">
        <v>6636</v>
      </c>
      <c r="B2157" t="s">
        <v>295</v>
      </c>
      <c r="C2157" t="s">
        <v>1890</v>
      </c>
      <c r="D2157" t="s">
        <v>4476</v>
      </c>
      <c r="E2157" t="s">
        <v>4439</v>
      </c>
      <c r="F2157" s="3">
        <v>45652</v>
      </c>
      <c r="G2157" s="3">
        <v>45653</v>
      </c>
      <c r="H2157">
        <v>36.4</v>
      </c>
      <c r="I2157">
        <v>48</v>
      </c>
      <c r="J2157" t="s">
        <v>4448</v>
      </c>
      <c r="K2157" t="s">
        <v>4441</v>
      </c>
      <c r="L2157" t="s">
        <v>4488</v>
      </c>
      <c r="M2157" t="s">
        <v>1625</v>
      </c>
      <c r="N2157">
        <v>5</v>
      </c>
    </row>
    <row r="2158" spans="1:14" x14ac:dyDescent="0.35">
      <c r="A2158" t="s">
        <v>6637</v>
      </c>
      <c r="B2158" t="s">
        <v>71</v>
      </c>
      <c r="C2158" t="s">
        <v>1899</v>
      </c>
      <c r="D2158" t="s">
        <v>4464</v>
      </c>
      <c r="E2158" t="s">
        <v>4444</v>
      </c>
      <c r="F2158" s="3">
        <v>45206</v>
      </c>
      <c r="G2158" s="3">
        <v>45207</v>
      </c>
      <c r="H2158">
        <v>45.3</v>
      </c>
      <c r="I2158">
        <v>24</v>
      </c>
      <c r="J2158" t="s">
        <v>4440</v>
      </c>
      <c r="K2158" t="s">
        <v>4441</v>
      </c>
      <c r="L2158" t="s">
        <v>4461</v>
      </c>
      <c r="M2158" t="s">
        <v>1625</v>
      </c>
    </row>
    <row r="2159" spans="1:14" x14ac:dyDescent="0.35">
      <c r="A2159" t="s">
        <v>6638</v>
      </c>
      <c r="B2159" t="s">
        <v>344</v>
      </c>
      <c r="C2159" t="s">
        <v>1927</v>
      </c>
      <c r="D2159" t="s">
        <v>4479</v>
      </c>
      <c r="E2159" t="s">
        <v>4439</v>
      </c>
      <c r="F2159" s="3">
        <v>45280</v>
      </c>
      <c r="G2159" s="3" t="s">
        <v>537</v>
      </c>
      <c r="I2159">
        <v>48</v>
      </c>
      <c r="J2159" t="s">
        <v>1945</v>
      </c>
      <c r="K2159" t="s">
        <v>4474</v>
      </c>
      <c r="L2159" t="s">
        <v>4512</v>
      </c>
      <c r="M2159" t="s">
        <v>4446</v>
      </c>
    </row>
    <row r="2160" spans="1:14" x14ac:dyDescent="0.35">
      <c r="A2160" t="s">
        <v>6639</v>
      </c>
      <c r="B2160" t="s">
        <v>387</v>
      </c>
      <c r="C2160" t="s">
        <v>1890</v>
      </c>
      <c r="D2160" t="s">
        <v>4443</v>
      </c>
      <c r="E2160" t="s">
        <v>4439</v>
      </c>
      <c r="F2160" s="3">
        <v>45271</v>
      </c>
      <c r="G2160" s="3" t="s">
        <v>537</v>
      </c>
      <c r="I2160">
        <v>48</v>
      </c>
      <c r="J2160" t="s">
        <v>4448</v>
      </c>
      <c r="K2160" t="s">
        <v>4474</v>
      </c>
      <c r="L2160" t="s">
        <v>4465</v>
      </c>
      <c r="M2160" t="s">
        <v>4446</v>
      </c>
    </row>
    <row r="2161" spans="1:14" x14ac:dyDescent="0.35">
      <c r="A2161" t="s">
        <v>6640</v>
      </c>
      <c r="B2161" t="s">
        <v>365</v>
      </c>
      <c r="C2161" t="s">
        <v>1899</v>
      </c>
      <c r="D2161" t="s">
        <v>4472</v>
      </c>
      <c r="E2161" t="s">
        <v>4456</v>
      </c>
      <c r="F2161" s="3">
        <v>45685</v>
      </c>
      <c r="G2161" s="3" t="s">
        <v>537</v>
      </c>
      <c r="I2161">
        <v>4</v>
      </c>
      <c r="J2161" t="s">
        <v>4448</v>
      </c>
      <c r="K2161" t="s">
        <v>4457</v>
      </c>
      <c r="L2161" t="s">
        <v>4488</v>
      </c>
      <c r="M2161" t="s">
        <v>4450</v>
      </c>
    </row>
    <row r="2162" spans="1:14" x14ac:dyDescent="0.35">
      <c r="A2162" t="s">
        <v>6641</v>
      </c>
      <c r="B2162" t="s">
        <v>258</v>
      </c>
      <c r="C2162" t="s">
        <v>1904</v>
      </c>
      <c r="D2162" t="s">
        <v>4460</v>
      </c>
      <c r="E2162" t="s">
        <v>4444</v>
      </c>
      <c r="F2162" s="3">
        <v>44962</v>
      </c>
      <c r="G2162" s="3" t="s">
        <v>537</v>
      </c>
      <c r="I2162">
        <v>24</v>
      </c>
      <c r="J2162" t="s">
        <v>4448</v>
      </c>
      <c r="K2162" t="s">
        <v>4453</v>
      </c>
      <c r="L2162" t="s">
        <v>4533</v>
      </c>
      <c r="M2162" t="s">
        <v>4462</v>
      </c>
    </row>
    <row r="2163" spans="1:14" x14ac:dyDescent="0.35">
      <c r="A2163" t="s">
        <v>6642</v>
      </c>
      <c r="B2163" t="s">
        <v>382</v>
      </c>
      <c r="C2163" t="s">
        <v>1927</v>
      </c>
      <c r="D2163" t="s">
        <v>4452</v>
      </c>
      <c r="E2163" t="s">
        <v>4473</v>
      </c>
      <c r="F2163" s="3">
        <v>45340</v>
      </c>
      <c r="G2163" s="3" t="s">
        <v>537</v>
      </c>
      <c r="I2163">
        <v>8</v>
      </c>
      <c r="J2163" t="s">
        <v>4448</v>
      </c>
      <c r="K2163" t="s">
        <v>4474</v>
      </c>
      <c r="L2163" t="s">
        <v>4483</v>
      </c>
      <c r="M2163" t="s">
        <v>4462</v>
      </c>
    </row>
    <row r="2164" spans="1:14" x14ac:dyDescent="0.35">
      <c r="A2164" t="s">
        <v>6643</v>
      </c>
      <c r="B2164" t="s">
        <v>299</v>
      </c>
      <c r="C2164" t="s">
        <v>1927</v>
      </c>
      <c r="D2164" t="s">
        <v>4490</v>
      </c>
      <c r="E2164" t="s">
        <v>4444</v>
      </c>
      <c r="F2164" s="3">
        <v>45524</v>
      </c>
      <c r="G2164" s="3">
        <v>45526</v>
      </c>
      <c r="H2164">
        <v>55.8</v>
      </c>
      <c r="I2164">
        <v>24</v>
      </c>
      <c r="J2164" t="s">
        <v>4440</v>
      </c>
      <c r="K2164" t="s">
        <v>4441</v>
      </c>
      <c r="L2164" t="s">
        <v>4467</v>
      </c>
      <c r="M2164" t="s">
        <v>4446</v>
      </c>
      <c r="N2164">
        <v>5</v>
      </c>
    </row>
    <row r="2165" spans="1:14" x14ac:dyDescent="0.35">
      <c r="A2165" t="s">
        <v>6644</v>
      </c>
      <c r="B2165" t="s">
        <v>34</v>
      </c>
      <c r="C2165" t="s">
        <v>1899</v>
      </c>
      <c r="D2165" t="s">
        <v>4452</v>
      </c>
      <c r="E2165" t="s">
        <v>4456</v>
      </c>
      <c r="F2165" s="3">
        <v>45451</v>
      </c>
      <c r="G2165" s="3">
        <v>45451</v>
      </c>
      <c r="H2165">
        <v>5.7</v>
      </c>
      <c r="I2165">
        <v>4</v>
      </c>
      <c r="J2165" t="s">
        <v>4440</v>
      </c>
      <c r="K2165" t="s">
        <v>4441</v>
      </c>
      <c r="L2165" t="s">
        <v>4445</v>
      </c>
      <c r="M2165" t="s">
        <v>4462</v>
      </c>
      <c r="N2165">
        <v>4</v>
      </c>
    </row>
    <row r="2166" spans="1:14" x14ac:dyDescent="0.35">
      <c r="A2166" t="s">
        <v>6645</v>
      </c>
      <c r="B2166" t="s">
        <v>77</v>
      </c>
      <c r="C2166" t="s">
        <v>1890</v>
      </c>
      <c r="D2166" t="s">
        <v>4482</v>
      </c>
      <c r="E2166" t="s">
        <v>4473</v>
      </c>
      <c r="F2166" s="3">
        <v>45428</v>
      </c>
      <c r="G2166" s="3">
        <v>45428</v>
      </c>
      <c r="H2166">
        <v>18.399999999999999</v>
      </c>
      <c r="I2166">
        <v>8</v>
      </c>
      <c r="J2166" t="s">
        <v>4440</v>
      </c>
      <c r="K2166" t="s">
        <v>4441</v>
      </c>
      <c r="L2166" t="s">
        <v>4580</v>
      </c>
      <c r="M2166" t="s">
        <v>4450</v>
      </c>
      <c r="N2166">
        <v>4</v>
      </c>
    </row>
    <row r="2167" spans="1:14" x14ac:dyDescent="0.35">
      <c r="A2167" t="s">
        <v>6646</v>
      </c>
      <c r="B2167" t="s">
        <v>235</v>
      </c>
      <c r="C2167" t="s">
        <v>1915</v>
      </c>
      <c r="D2167" t="s">
        <v>4482</v>
      </c>
      <c r="E2167" t="s">
        <v>4444</v>
      </c>
      <c r="F2167" s="3">
        <v>45742</v>
      </c>
      <c r="G2167" s="3">
        <v>45743</v>
      </c>
      <c r="H2167">
        <v>31.2</v>
      </c>
      <c r="I2167">
        <v>24</v>
      </c>
      <c r="J2167" t="s">
        <v>4440</v>
      </c>
      <c r="K2167" t="s">
        <v>4441</v>
      </c>
      <c r="L2167" t="s">
        <v>4512</v>
      </c>
      <c r="M2167" t="s">
        <v>4462</v>
      </c>
      <c r="N2167">
        <v>2</v>
      </c>
    </row>
    <row r="2168" spans="1:14" x14ac:dyDescent="0.35">
      <c r="A2168" t="s">
        <v>6647</v>
      </c>
      <c r="B2168" t="s">
        <v>383</v>
      </c>
      <c r="C2168" t="s">
        <v>1883</v>
      </c>
      <c r="D2168" t="s">
        <v>4438</v>
      </c>
      <c r="E2168" t="s">
        <v>4444</v>
      </c>
      <c r="F2168" s="3">
        <v>45018</v>
      </c>
      <c r="G2168" s="3" t="s">
        <v>537</v>
      </c>
      <c r="I2168">
        <v>24</v>
      </c>
      <c r="J2168" t="s">
        <v>4440</v>
      </c>
      <c r="K2168" t="s">
        <v>4457</v>
      </c>
      <c r="L2168" t="s">
        <v>4458</v>
      </c>
      <c r="M2168" t="s">
        <v>4446</v>
      </c>
    </row>
    <row r="2169" spans="1:14" x14ac:dyDescent="0.35">
      <c r="A2169" t="s">
        <v>6648</v>
      </c>
      <c r="B2169" t="s">
        <v>367</v>
      </c>
      <c r="C2169" t="s">
        <v>1890</v>
      </c>
      <c r="D2169" t="s">
        <v>8509</v>
      </c>
      <c r="E2169" t="s">
        <v>4444</v>
      </c>
      <c r="F2169" s="3">
        <v>45030</v>
      </c>
      <c r="G2169" s="3">
        <v>45032</v>
      </c>
      <c r="H2169">
        <v>49.8</v>
      </c>
      <c r="I2169">
        <v>24</v>
      </c>
      <c r="J2169" t="s">
        <v>4440</v>
      </c>
      <c r="K2169" t="s">
        <v>4441</v>
      </c>
      <c r="L2169" t="s">
        <v>4449</v>
      </c>
      <c r="M2169" t="s">
        <v>4450</v>
      </c>
    </row>
    <row r="2170" spans="1:14" x14ac:dyDescent="0.35">
      <c r="A2170" t="s">
        <v>6649</v>
      </c>
      <c r="B2170" t="s">
        <v>414</v>
      </c>
      <c r="C2170" t="s">
        <v>1927</v>
      </c>
      <c r="D2170" t="s">
        <v>4443</v>
      </c>
      <c r="E2170" t="s">
        <v>4456</v>
      </c>
      <c r="F2170" s="3">
        <v>45352</v>
      </c>
      <c r="G2170" s="3">
        <v>45352</v>
      </c>
      <c r="H2170">
        <v>2.8</v>
      </c>
      <c r="I2170">
        <v>4</v>
      </c>
      <c r="J2170" t="s">
        <v>4448</v>
      </c>
      <c r="K2170" t="s">
        <v>4441</v>
      </c>
      <c r="L2170" t="s">
        <v>4514</v>
      </c>
      <c r="M2170" t="s">
        <v>1625</v>
      </c>
      <c r="N2170">
        <v>4</v>
      </c>
    </row>
    <row r="2171" spans="1:14" x14ac:dyDescent="0.35">
      <c r="A2171" t="s">
        <v>6650</v>
      </c>
      <c r="B2171" t="s">
        <v>360</v>
      </c>
      <c r="C2171" t="s">
        <v>1927</v>
      </c>
      <c r="D2171" t="s">
        <v>4452</v>
      </c>
      <c r="E2171" t="s">
        <v>4439</v>
      </c>
      <c r="F2171" s="3">
        <v>45154</v>
      </c>
      <c r="G2171" s="3">
        <v>45158</v>
      </c>
      <c r="H2171">
        <v>103.2</v>
      </c>
      <c r="I2171">
        <v>48</v>
      </c>
      <c r="J2171" t="s">
        <v>4440</v>
      </c>
      <c r="K2171" t="s">
        <v>4441</v>
      </c>
      <c r="L2171" t="s">
        <v>4465</v>
      </c>
      <c r="M2171" t="s">
        <v>1625</v>
      </c>
      <c r="N2171">
        <v>2</v>
      </c>
    </row>
    <row r="2172" spans="1:14" x14ac:dyDescent="0.35">
      <c r="A2172" t="s">
        <v>6651</v>
      </c>
      <c r="B2172" t="s">
        <v>323</v>
      </c>
      <c r="C2172" t="s">
        <v>1883</v>
      </c>
      <c r="D2172" t="s">
        <v>4476</v>
      </c>
      <c r="E2172" t="s">
        <v>4473</v>
      </c>
      <c r="F2172" s="3">
        <v>45006</v>
      </c>
      <c r="G2172" s="3" t="s">
        <v>537</v>
      </c>
      <c r="I2172">
        <v>8</v>
      </c>
      <c r="J2172" t="s">
        <v>4440</v>
      </c>
      <c r="K2172" t="s">
        <v>4453</v>
      </c>
      <c r="L2172" t="s">
        <v>4512</v>
      </c>
      <c r="M2172" t="s">
        <v>4450</v>
      </c>
    </row>
    <row r="2173" spans="1:14" x14ac:dyDescent="0.35">
      <c r="A2173" t="s">
        <v>6652</v>
      </c>
      <c r="B2173" t="s">
        <v>263</v>
      </c>
      <c r="C2173" t="s">
        <v>1883</v>
      </c>
      <c r="D2173" t="s">
        <v>4476</v>
      </c>
      <c r="E2173" t="s">
        <v>4473</v>
      </c>
      <c r="F2173" s="3">
        <v>45238</v>
      </c>
      <c r="G2173" s="3">
        <v>45238</v>
      </c>
      <c r="H2173">
        <v>4.0999999999999996</v>
      </c>
      <c r="I2173">
        <v>8</v>
      </c>
      <c r="J2173" t="s">
        <v>4448</v>
      </c>
      <c r="K2173" t="s">
        <v>4441</v>
      </c>
      <c r="L2173" t="s">
        <v>4509</v>
      </c>
      <c r="M2173" t="s">
        <v>4450</v>
      </c>
      <c r="N2173">
        <v>4</v>
      </c>
    </row>
    <row r="2174" spans="1:14" x14ac:dyDescent="0.35">
      <c r="A2174" t="s">
        <v>6653</v>
      </c>
      <c r="B2174" t="s">
        <v>230</v>
      </c>
      <c r="C2174" t="s">
        <v>1883</v>
      </c>
      <c r="D2174" t="s">
        <v>4479</v>
      </c>
      <c r="E2174" t="s">
        <v>4456</v>
      </c>
      <c r="F2174" s="3">
        <v>45519</v>
      </c>
      <c r="G2174" s="3">
        <v>45519</v>
      </c>
      <c r="H2174">
        <v>9.8000000000000007</v>
      </c>
      <c r="I2174">
        <v>4</v>
      </c>
      <c r="J2174" t="s">
        <v>4440</v>
      </c>
      <c r="K2174" t="s">
        <v>4441</v>
      </c>
      <c r="L2174" t="s">
        <v>4465</v>
      </c>
      <c r="M2174" t="s">
        <v>4450</v>
      </c>
      <c r="N2174">
        <v>4</v>
      </c>
    </row>
    <row r="2175" spans="1:14" x14ac:dyDescent="0.35">
      <c r="A2175" t="s">
        <v>6654</v>
      </c>
      <c r="B2175" t="s">
        <v>114</v>
      </c>
      <c r="C2175" t="s">
        <v>1899</v>
      </c>
      <c r="D2175" t="s">
        <v>4490</v>
      </c>
      <c r="E2175" t="s">
        <v>4439</v>
      </c>
      <c r="F2175" s="3">
        <v>45725</v>
      </c>
      <c r="G2175" s="3">
        <v>45727</v>
      </c>
      <c r="H2175">
        <v>50.6</v>
      </c>
      <c r="I2175">
        <v>48</v>
      </c>
      <c r="J2175" t="s">
        <v>4440</v>
      </c>
      <c r="K2175" t="s">
        <v>4441</v>
      </c>
      <c r="L2175" t="s">
        <v>4533</v>
      </c>
      <c r="M2175" t="s">
        <v>4446</v>
      </c>
      <c r="N2175">
        <v>5</v>
      </c>
    </row>
    <row r="2176" spans="1:14" x14ac:dyDescent="0.35">
      <c r="A2176" t="s">
        <v>6655</v>
      </c>
      <c r="B2176" t="s">
        <v>395</v>
      </c>
      <c r="C2176" t="s">
        <v>1883</v>
      </c>
      <c r="D2176" t="s">
        <v>4452</v>
      </c>
      <c r="E2176" t="s">
        <v>4456</v>
      </c>
      <c r="F2176" s="3">
        <v>45270</v>
      </c>
      <c r="G2176" s="3">
        <v>45270</v>
      </c>
      <c r="H2176">
        <v>6.1</v>
      </c>
      <c r="I2176">
        <v>4</v>
      </c>
      <c r="J2176" t="s">
        <v>4440</v>
      </c>
      <c r="K2176" t="s">
        <v>4441</v>
      </c>
      <c r="L2176" t="s">
        <v>4483</v>
      </c>
      <c r="M2176" t="s">
        <v>1625</v>
      </c>
      <c r="N2176">
        <v>4</v>
      </c>
    </row>
    <row r="2177" spans="1:14" x14ac:dyDescent="0.35">
      <c r="A2177" t="s">
        <v>6656</v>
      </c>
      <c r="B2177" t="s">
        <v>232</v>
      </c>
      <c r="C2177" t="s">
        <v>1927</v>
      </c>
      <c r="D2177" t="s">
        <v>4452</v>
      </c>
      <c r="E2177" t="s">
        <v>4444</v>
      </c>
      <c r="F2177" s="3">
        <v>44981</v>
      </c>
      <c r="G2177" s="3" t="s">
        <v>537</v>
      </c>
      <c r="I2177">
        <v>24</v>
      </c>
      <c r="J2177" t="s">
        <v>4440</v>
      </c>
      <c r="K2177" t="s">
        <v>4474</v>
      </c>
      <c r="L2177" t="s">
        <v>4580</v>
      </c>
      <c r="M2177" t="s">
        <v>4446</v>
      </c>
    </row>
    <row r="2178" spans="1:14" x14ac:dyDescent="0.35">
      <c r="A2178" t="s">
        <v>6657</v>
      </c>
      <c r="B2178" t="s">
        <v>392</v>
      </c>
      <c r="C2178" t="s">
        <v>1904</v>
      </c>
      <c r="D2178" t="s">
        <v>4438</v>
      </c>
      <c r="E2178" t="s">
        <v>4439</v>
      </c>
      <c r="F2178" s="3">
        <v>45376</v>
      </c>
      <c r="G2178" s="3">
        <v>45378</v>
      </c>
      <c r="H2178">
        <v>55.2</v>
      </c>
      <c r="I2178">
        <v>48</v>
      </c>
      <c r="J2178" t="s">
        <v>4440</v>
      </c>
      <c r="K2178" t="s">
        <v>4441</v>
      </c>
      <c r="L2178" t="s">
        <v>4514</v>
      </c>
      <c r="M2178" t="s">
        <v>1625</v>
      </c>
      <c r="N2178">
        <v>5</v>
      </c>
    </row>
    <row r="2179" spans="1:14" x14ac:dyDescent="0.35">
      <c r="A2179" t="s">
        <v>6658</v>
      </c>
      <c r="B2179" t="s">
        <v>394</v>
      </c>
      <c r="C2179" t="s">
        <v>1927</v>
      </c>
      <c r="D2179" t="s">
        <v>4438</v>
      </c>
      <c r="E2179" t="s">
        <v>4439</v>
      </c>
      <c r="F2179" s="3">
        <v>45168</v>
      </c>
      <c r="G2179" s="3">
        <v>45171</v>
      </c>
      <c r="H2179">
        <v>93.1</v>
      </c>
      <c r="I2179">
        <v>48</v>
      </c>
      <c r="J2179" t="s">
        <v>4440</v>
      </c>
      <c r="K2179" t="s">
        <v>4441</v>
      </c>
      <c r="L2179" t="s">
        <v>4533</v>
      </c>
      <c r="M2179" t="s">
        <v>1625</v>
      </c>
      <c r="N2179">
        <v>4</v>
      </c>
    </row>
    <row r="2180" spans="1:14" x14ac:dyDescent="0.35">
      <c r="A2180" t="s">
        <v>6659</v>
      </c>
      <c r="B2180" t="s">
        <v>280</v>
      </c>
      <c r="C2180" t="s">
        <v>1927</v>
      </c>
      <c r="D2180" t="s">
        <v>4452</v>
      </c>
      <c r="E2180" t="s">
        <v>4444</v>
      </c>
      <c r="F2180" s="3">
        <v>45375</v>
      </c>
      <c r="G2180" s="3">
        <v>45376</v>
      </c>
      <c r="H2180">
        <v>34.700000000000003</v>
      </c>
      <c r="I2180">
        <v>24</v>
      </c>
      <c r="J2180" t="s">
        <v>4440</v>
      </c>
      <c r="K2180" t="s">
        <v>4441</v>
      </c>
      <c r="L2180" t="s">
        <v>4470</v>
      </c>
      <c r="M2180" t="s">
        <v>4462</v>
      </c>
      <c r="N2180">
        <v>5</v>
      </c>
    </row>
    <row r="2181" spans="1:14" x14ac:dyDescent="0.35">
      <c r="A2181" t="s">
        <v>6660</v>
      </c>
      <c r="B2181" t="s">
        <v>345</v>
      </c>
      <c r="C2181" t="s">
        <v>1890</v>
      </c>
      <c r="D2181" t="s">
        <v>4464</v>
      </c>
      <c r="E2181" t="s">
        <v>4473</v>
      </c>
      <c r="F2181" s="3">
        <v>45086</v>
      </c>
      <c r="G2181" s="3">
        <v>45086</v>
      </c>
      <c r="H2181">
        <v>1.5</v>
      </c>
      <c r="I2181">
        <v>8</v>
      </c>
      <c r="J2181" t="s">
        <v>4448</v>
      </c>
      <c r="K2181" t="s">
        <v>4441</v>
      </c>
      <c r="L2181" t="s">
        <v>4461</v>
      </c>
      <c r="M2181" t="s">
        <v>4450</v>
      </c>
    </row>
    <row r="2182" spans="1:14" x14ac:dyDescent="0.35">
      <c r="A2182" t="s">
        <v>6661</v>
      </c>
      <c r="B2182" t="s">
        <v>27</v>
      </c>
      <c r="C2182" t="s">
        <v>1890</v>
      </c>
      <c r="D2182" t="s">
        <v>4490</v>
      </c>
      <c r="E2182" t="s">
        <v>4439</v>
      </c>
      <c r="F2182" s="3">
        <v>45498</v>
      </c>
      <c r="G2182" s="3" t="s">
        <v>537</v>
      </c>
      <c r="I2182">
        <v>48</v>
      </c>
      <c r="J2182" t="s">
        <v>4448</v>
      </c>
      <c r="K2182" t="s">
        <v>4474</v>
      </c>
      <c r="L2182" t="s">
        <v>1907</v>
      </c>
      <c r="M2182" t="s">
        <v>4462</v>
      </c>
    </row>
    <row r="2183" spans="1:14" x14ac:dyDescent="0.35">
      <c r="A2183" t="s">
        <v>6662</v>
      </c>
      <c r="B2183" t="s">
        <v>423</v>
      </c>
      <c r="C2183" t="s">
        <v>1890</v>
      </c>
      <c r="D2183" t="s">
        <v>4460</v>
      </c>
      <c r="E2183" t="s">
        <v>4456</v>
      </c>
      <c r="F2183" s="3">
        <v>45554</v>
      </c>
      <c r="G2183" s="3" t="s">
        <v>537</v>
      </c>
      <c r="I2183">
        <v>4</v>
      </c>
      <c r="J2183" t="s">
        <v>4448</v>
      </c>
      <c r="K2183" t="s">
        <v>4474</v>
      </c>
      <c r="L2183" t="s">
        <v>4470</v>
      </c>
      <c r="M2183" t="s">
        <v>4446</v>
      </c>
    </row>
    <row r="2184" spans="1:14" x14ac:dyDescent="0.35">
      <c r="A2184" t="s">
        <v>6663</v>
      </c>
      <c r="B2184" t="s">
        <v>482</v>
      </c>
      <c r="C2184" t="s">
        <v>1899</v>
      </c>
      <c r="D2184" t="s">
        <v>4443</v>
      </c>
      <c r="E2184" t="s">
        <v>4444</v>
      </c>
      <c r="F2184" s="3">
        <v>45652</v>
      </c>
      <c r="G2184" s="3">
        <v>45652</v>
      </c>
      <c r="H2184">
        <v>20.399999999999999</v>
      </c>
      <c r="I2184">
        <v>24</v>
      </c>
      <c r="J2184" t="s">
        <v>4448</v>
      </c>
      <c r="K2184" t="s">
        <v>4441</v>
      </c>
      <c r="L2184" t="s">
        <v>4467</v>
      </c>
      <c r="M2184" t="s">
        <v>4446</v>
      </c>
      <c r="N2184">
        <v>4</v>
      </c>
    </row>
    <row r="2185" spans="1:14" x14ac:dyDescent="0.35">
      <c r="A2185" t="s">
        <v>6664</v>
      </c>
      <c r="B2185" t="s">
        <v>190</v>
      </c>
      <c r="C2185" t="s">
        <v>1927</v>
      </c>
      <c r="D2185" t="s">
        <v>4438</v>
      </c>
      <c r="E2185" t="s">
        <v>4444</v>
      </c>
      <c r="F2185" s="3">
        <v>45364</v>
      </c>
      <c r="G2185" s="3">
        <v>45366</v>
      </c>
      <c r="H2185">
        <v>49.2</v>
      </c>
      <c r="I2185">
        <v>24</v>
      </c>
      <c r="J2185" t="s">
        <v>4440</v>
      </c>
      <c r="K2185" t="s">
        <v>4441</v>
      </c>
      <c r="L2185" t="s">
        <v>4449</v>
      </c>
      <c r="M2185" t="s">
        <v>4462</v>
      </c>
      <c r="N2185">
        <v>5</v>
      </c>
    </row>
    <row r="2186" spans="1:14" x14ac:dyDescent="0.35">
      <c r="A2186" t="s">
        <v>6665</v>
      </c>
      <c r="B2186" t="s">
        <v>339</v>
      </c>
      <c r="C2186" t="s">
        <v>1883</v>
      </c>
      <c r="D2186" t="s">
        <v>4482</v>
      </c>
      <c r="E2186" t="s">
        <v>4456</v>
      </c>
      <c r="F2186" s="3">
        <v>45298</v>
      </c>
      <c r="G2186" s="3" t="s">
        <v>537</v>
      </c>
      <c r="I2186">
        <v>4</v>
      </c>
      <c r="J2186" t="s">
        <v>4440</v>
      </c>
      <c r="K2186" t="s">
        <v>4474</v>
      </c>
      <c r="L2186" t="s">
        <v>4461</v>
      </c>
      <c r="M2186" t="s">
        <v>4462</v>
      </c>
    </row>
    <row r="2187" spans="1:14" x14ac:dyDescent="0.35">
      <c r="A2187" t="s">
        <v>6666</v>
      </c>
      <c r="B2187" t="s">
        <v>207</v>
      </c>
      <c r="C2187" t="s">
        <v>1883</v>
      </c>
      <c r="D2187" t="s">
        <v>4464</v>
      </c>
      <c r="E2187" t="s">
        <v>4473</v>
      </c>
      <c r="F2187" s="3">
        <v>45716</v>
      </c>
      <c r="G2187" s="3" t="s">
        <v>537</v>
      </c>
      <c r="I2187">
        <v>8</v>
      </c>
      <c r="J2187" t="s">
        <v>4448</v>
      </c>
      <c r="K2187" t="s">
        <v>4457</v>
      </c>
      <c r="L2187" t="s">
        <v>4580</v>
      </c>
      <c r="M2187" t="s">
        <v>4462</v>
      </c>
    </row>
    <row r="2188" spans="1:14" x14ac:dyDescent="0.35">
      <c r="A2188" t="s">
        <v>6667</v>
      </c>
      <c r="B2188" t="s">
        <v>262</v>
      </c>
      <c r="C2188" t="s">
        <v>1927</v>
      </c>
      <c r="D2188" t="s">
        <v>4460</v>
      </c>
      <c r="E2188" t="s">
        <v>4473</v>
      </c>
      <c r="F2188" s="3">
        <v>45739</v>
      </c>
      <c r="G2188" s="3" t="s">
        <v>537</v>
      </c>
      <c r="I2188">
        <v>8</v>
      </c>
      <c r="J2188" t="s">
        <v>4448</v>
      </c>
      <c r="K2188" t="s">
        <v>4457</v>
      </c>
      <c r="L2188" t="s">
        <v>4445</v>
      </c>
      <c r="M2188" t="s">
        <v>1625</v>
      </c>
    </row>
    <row r="2189" spans="1:14" x14ac:dyDescent="0.35">
      <c r="A2189" t="s">
        <v>6668</v>
      </c>
      <c r="B2189" t="s">
        <v>167</v>
      </c>
      <c r="C2189" t="s">
        <v>1883</v>
      </c>
      <c r="D2189" t="s">
        <v>4479</v>
      </c>
      <c r="E2189" t="s">
        <v>4473</v>
      </c>
      <c r="F2189" s="3">
        <v>44988</v>
      </c>
      <c r="G2189" s="3" t="s">
        <v>537</v>
      </c>
      <c r="I2189">
        <v>8</v>
      </c>
      <c r="J2189" t="s">
        <v>4440</v>
      </c>
      <c r="K2189" t="s">
        <v>4457</v>
      </c>
      <c r="L2189" t="s">
        <v>4509</v>
      </c>
      <c r="M2189" t="s">
        <v>4462</v>
      </c>
    </row>
    <row r="2190" spans="1:14" x14ac:dyDescent="0.35">
      <c r="A2190" t="s">
        <v>6669</v>
      </c>
      <c r="B2190" t="s">
        <v>144</v>
      </c>
      <c r="C2190" t="s">
        <v>1927</v>
      </c>
      <c r="D2190" t="s">
        <v>4485</v>
      </c>
      <c r="E2190" t="s">
        <v>4439</v>
      </c>
      <c r="F2190" s="3">
        <v>45458</v>
      </c>
      <c r="G2190" s="3">
        <v>45458</v>
      </c>
      <c r="H2190">
        <v>2.8</v>
      </c>
      <c r="I2190">
        <v>48</v>
      </c>
      <c r="J2190" t="s">
        <v>4448</v>
      </c>
      <c r="K2190" t="s">
        <v>4441</v>
      </c>
      <c r="L2190" t="s">
        <v>4445</v>
      </c>
      <c r="M2190" t="s">
        <v>4462</v>
      </c>
      <c r="N2190">
        <v>5</v>
      </c>
    </row>
    <row r="2191" spans="1:14" x14ac:dyDescent="0.35">
      <c r="A2191" t="s">
        <v>6670</v>
      </c>
      <c r="B2191" t="s">
        <v>467</v>
      </c>
      <c r="C2191" t="s">
        <v>1890</v>
      </c>
      <c r="D2191" t="s">
        <v>4476</v>
      </c>
      <c r="E2191" t="s">
        <v>4473</v>
      </c>
      <c r="F2191" s="3">
        <v>45217</v>
      </c>
      <c r="G2191" s="3">
        <v>45217</v>
      </c>
      <c r="H2191">
        <v>7</v>
      </c>
      <c r="I2191">
        <v>8</v>
      </c>
      <c r="J2191" t="s">
        <v>4448</v>
      </c>
      <c r="K2191" t="s">
        <v>4441</v>
      </c>
      <c r="L2191" t="s">
        <v>4492</v>
      </c>
      <c r="M2191" t="s">
        <v>4446</v>
      </c>
    </row>
    <row r="2192" spans="1:14" x14ac:dyDescent="0.35">
      <c r="A2192" t="s">
        <v>6671</v>
      </c>
      <c r="B2192" t="s">
        <v>376</v>
      </c>
      <c r="C2192" t="s">
        <v>1890</v>
      </c>
      <c r="D2192" t="s">
        <v>4485</v>
      </c>
      <c r="E2192" t="s">
        <v>4456</v>
      </c>
      <c r="F2192" s="3">
        <v>45102</v>
      </c>
      <c r="G2192" s="3" t="s">
        <v>537</v>
      </c>
      <c r="I2192">
        <v>4</v>
      </c>
      <c r="J2192" t="s">
        <v>4440</v>
      </c>
      <c r="K2192" t="s">
        <v>4474</v>
      </c>
      <c r="L2192" t="s">
        <v>4533</v>
      </c>
      <c r="M2192" t="s">
        <v>4446</v>
      </c>
    </row>
    <row r="2193" spans="1:14" x14ac:dyDescent="0.35">
      <c r="A2193" t="s">
        <v>6672</v>
      </c>
      <c r="B2193" t="s">
        <v>349</v>
      </c>
      <c r="C2193" t="s">
        <v>1904</v>
      </c>
      <c r="D2193" t="s">
        <v>4469</v>
      </c>
      <c r="E2193" t="s">
        <v>4439</v>
      </c>
      <c r="F2193" s="3">
        <v>45415</v>
      </c>
      <c r="G2193" s="3">
        <v>45418</v>
      </c>
      <c r="H2193">
        <v>95.5</v>
      </c>
      <c r="I2193">
        <v>48</v>
      </c>
      <c r="J2193" t="s">
        <v>4440</v>
      </c>
      <c r="K2193" t="s">
        <v>4441</v>
      </c>
      <c r="L2193" t="s">
        <v>4470</v>
      </c>
      <c r="M2193" t="s">
        <v>1625</v>
      </c>
      <c r="N2193">
        <v>5</v>
      </c>
    </row>
    <row r="2194" spans="1:14" x14ac:dyDescent="0.35">
      <c r="A2194" t="s">
        <v>6673</v>
      </c>
      <c r="B2194" t="s">
        <v>406</v>
      </c>
      <c r="C2194" t="s">
        <v>1904</v>
      </c>
      <c r="D2194" t="s">
        <v>4464</v>
      </c>
      <c r="E2194" t="s">
        <v>4456</v>
      </c>
      <c r="F2194" s="3">
        <v>45291</v>
      </c>
      <c r="G2194" s="3" t="s">
        <v>537</v>
      </c>
      <c r="I2194">
        <v>4</v>
      </c>
      <c r="J2194" t="s">
        <v>4448</v>
      </c>
      <c r="K2194" t="s">
        <v>4474</v>
      </c>
      <c r="L2194" t="s">
        <v>4509</v>
      </c>
      <c r="M2194" t="s">
        <v>4450</v>
      </c>
    </row>
    <row r="2195" spans="1:14" x14ac:dyDescent="0.35">
      <c r="A2195" t="s">
        <v>6674</v>
      </c>
      <c r="B2195" t="s">
        <v>57</v>
      </c>
      <c r="C2195" t="s">
        <v>1915</v>
      </c>
      <c r="D2195" t="s">
        <v>4479</v>
      </c>
      <c r="E2195" t="s">
        <v>4444</v>
      </c>
      <c r="F2195" s="3">
        <v>44946</v>
      </c>
      <c r="G2195" s="3">
        <v>44946</v>
      </c>
      <c r="H2195">
        <v>10.5</v>
      </c>
      <c r="I2195">
        <v>24</v>
      </c>
      <c r="J2195" t="s">
        <v>4448</v>
      </c>
      <c r="K2195" t="s">
        <v>4441</v>
      </c>
      <c r="L2195" t="s">
        <v>4488</v>
      </c>
      <c r="M2195" t="s">
        <v>4450</v>
      </c>
    </row>
    <row r="2196" spans="1:14" x14ac:dyDescent="0.35">
      <c r="A2196" t="s">
        <v>6675</v>
      </c>
      <c r="B2196" t="s">
        <v>144</v>
      </c>
      <c r="C2196" t="s">
        <v>1927</v>
      </c>
      <c r="D2196" t="s">
        <v>4485</v>
      </c>
      <c r="E2196" t="s">
        <v>4444</v>
      </c>
      <c r="F2196" s="3">
        <v>45423</v>
      </c>
      <c r="G2196" s="3">
        <v>45424</v>
      </c>
      <c r="H2196">
        <v>46.4</v>
      </c>
      <c r="I2196">
        <v>24</v>
      </c>
      <c r="J2196" t="s">
        <v>4440</v>
      </c>
      <c r="K2196" t="s">
        <v>4441</v>
      </c>
      <c r="L2196" t="s">
        <v>4533</v>
      </c>
      <c r="M2196" t="s">
        <v>1625</v>
      </c>
      <c r="N2196">
        <v>5</v>
      </c>
    </row>
    <row r="2197" spans="1:14" x14ac:dyDescent="0.35">
      <c r="A2197" t="s">
        <v>6676</v>
      </c>
      <c r="B2197" t="s">
        <v>360</v>
      </c>
      <c r="C2197" t="s">
        <v>1927</v>
      </c>
      <c r="D2197" t="s">
        <v>4464</v>
      </c>
      <c r="E2197" t="s">
        <v>4444</v>
      </c>
      <c r="F2197" s="3">
        <v>45580</v>
      </c>
      <c r="G2197" s="3" t="s">
        <v>537</v>
      </c>
      <c r="I2197">
        <v>24</v>
      </c>
      <c r="J2197" t="s">
        <v>4448</v>
      </c>
      <c r="K2197" t="s">
        <v>4474</v>
      </c>
      <c r="L2197" t="s">
        <v>4509</v>
      </c>
      <c r="M2197" t="s">
        <v>4450</v>
      </c>
    </row>
    <row r="2198" spans="1:14" x14ac:dyDescent="0.35">
      <c r="A2198" t="s">
        <v>6677</v>
      </c>
      <c r="B2198" t="s">
        <v>378</v>
      </c>
      <c r="C2198" t="s">
        <v>1927</v>
      </c>
      <c r="D2198" t="s">
        <v>4490</v>
      </c>
      <c r="E2198" t="s">
        <v>4456</v>
      </c>
      <c r="F2198" s="3">
        <v>45348</v>
      </c>
      <c r="G2198" s="3" t="s">
        <v>537</v>
      </c>
      <c r="I2198">
        <v>4</v>
      </c>
      <c r="J2198" t="s">
        <v>4440</v>
      </c>
      <c r="K2198" t="s">
        <v>4453</v>
      </c>
      <c r="L2198" t="s">
        <v>4533</v>
      </c>
      <c r="M2198" t="s">
        <v>4462</v>
      </c>
    </row>
    <row r="2199" spans="1:14" x14ac:dyDescent="0.35">
      <c r="A2199" t="s">
        <v>6678</v>
      </c>
      <c r="B2199" t="s">
        <v>182</v>
      </c>
      <c r="C2199" t="s">
        <v>1899</v>
      </c>
      <c r="D2199" t="s">
        <v>4476</v>
      </c>
      <c r="E2199" t="s">
        <v>4444</v>
      </c>
      <c r="F2199" s="3">
        <v>45205</v>
      </c>
      <c r="G2199" s="3">
        <v>45205</v>
      </c>
      <c r="H2199">
        <v>4.5</v>
      </c>
      <c r="I2199">
        <v>24</v>
      </c>
      <c r="J2199" t="s">
        <v>4448</v>
      </c>
      <c r="K2199" t="s">
        <v>4441</v>
      </c>
      <c r="L2199" t="s">
        <v>4514</v>
      </c>
      <c r="M2199" t="s">
        <v>4450</v>
      </c>
      <c r="N2199">
        <v>3</v>
      </c>
    </row>
    <row r="2200" spans="1:14" x14ac:dyDescent="0.35">
      <c r="A2200" t="s">
        <v>6679</v>
      </c>
      <c r="B2200" t="s">
        <v>479</v>
      </c>
      <c r="C2200" t="s">
        <v>1883</v>
      </c>
      <c r="D2200" t="s">
        <v>4460</v>
      </c>
      <c r="E2200" t="s">
        <v>4439</v>
      </c>
      <c r="F2200" s="3">
        <v>45274</v>
      </c>
      <c r="G2200" s="3" t="s">
        <v>537</v>
      </c>
      <c r="I2200">
        <v>48</v>
      </c>
      <c r="J2200" t="s">
        <v>4440</v>
      </c>
      <c r="K2200" t="s">
        <v>4453</v>
      </c>
      <c r="L2200" t="s">
        <v>4533</v>
      </c>
      <c r="M2200" t="s">
        <v>4462</v>
      </c>
    </row>
    <row r="2201" spans="1:14" x14ac:dyDescent="0.35">
      <c r="A2201" t="s">
        <v>6680</v>
      </c>
      <c r="B2201" t="s">
        <v>184</v>
      </c>
      <c r="C2201" t="s">
        <v>1915</v>
      </c>
      <c r="D2201" t="s">
        <v>4460</v>
      </c>
      <c r="E2201" t="s">
        <v>4444</v>
      </c>
      <c r="F2201" s="3">
        <v>45702</v>
      </c>
      <c r="G2201" s="3" t="s">
        <v>537</v>
      </c>
      <c r="I2201">
        <v>24</v>
      </c>
      <c r="J2201" t="s">
        <v>4440</v>
      </c>
      <c r="K2201" t="s">
        <v>4457</v>
      </c>
      <c r="L2201" t="s">
        <v>4509</v>
      </c>
      <c r="M2201" t="s">
        <v>4462</v>
      </c>
    </row>
    <row r="2202" spans="1:14" x14ac:dyDescent="0.35">
      <c r="A2202" t="s">
        <v>6681</v>
      </c>
      <c r="B2202" t="s">
        <v>342</v>
      </c>
      <c r="C2202" t="s">
        <v>1927</v>
      </c>
      <c r="D2202" t="s">
        <v>4460</v>
      </c>
      <c r="E2202" t="s">
        <v>4444</v>
      </c>
      <c r="F2202" s="3">
        <v>45427</v>
      </c>
      <c r="G2202" s="3" t="s">
        <v>537</v>
      </c>
      <c r="I2202">
        <v>24</v>
      </c>
      <c r="J2202" t="s">
        <v>4440</v>
      </c>
      <c r="K2202" t="s">
        <v>4453</v>
      </c>
      <c r="L2202" t="s">
        <v>4492</v>
      </c>
      <c r="M2202" t="s">
        <v>4462</v>
      </c>
    </row>
    <row r="2203" spans="1:14" x14ac:dyDescent="0.35">
      <c r="A2203" t="s">
        <v>6682</v>
      </c>
      <c r="B2203" t="s">
        <v>124</v>
      </c>
      <c r="C2203" t="s">
        <v>1927</v>
      </c>
      <c r="D2203" t="s">
        <v>4438</v>
      </c>
      <c r="E2203" t="s">
        <v>4456</v>
      </c>
      <c r="F2203" s="3">
        <v>45029</v>
      </c>
      <c r="G2203" s="3">
        <v>45029</v>
      </c>
      <c r="H2203">
        <v>5</v>
      </c>
      <c r="I2203">
        <v>4</v>
      </c>
      <c r="J2203" t="s">
        <v>4440</v>
      </c>
      <c r="K2203" t="s">
        <v>4441</v>
      </c>
      <c r="L2203" t="s">
        <v>4454</v>
      </c>
      <c r="M2203" t="s">
        <v>4446</v>
      </c>
      <c r="N2203">
        <v>4</v>
      </c>
    </row>
    <row r="2204" spans="1:14" x14ac:dyDescent="0.35">
      <c r="A2204" t="s">
        <v>6683</v>
      </c>
      <c r="B2204" t="s">
        <v>152</v>
      </c>
      <c r="C2204" t="s">
        <v>1883</v>
      </c>
      <c r="D2204" t="s">
        <v>4485</v>
      </c>
      <c r="E2204" t="s">
        <v>4444</v>
      </c>
      <c r="F2204" s="3">
        <v>45532</v>
      </c>
      <c r="G2204" s="3" t="s">
        <v>537</v>
      </c>
      <c r="I2204">
        <v>24</v>
      </c>
      <c r="J2204" t="s">
        <v>4440</v>
      </c>
      <c r="K2204" t="s">
        <v>4457</v>
      </c>
      <c r="L2204" t="s">
        <v>4512</v>
      </c>
      <c r="M2204" t="s">
        <v>1625</v>
      </c>
    </row>
    <row r="2205" spans="1:14" x14ac:dyDescent="0.35">
      <c r="A2205" t="s">
        <v>6684</v>
      </c>
      <c r="B2205" t="s">
        <v>411</v>
      </c>
      <c r="C2205" t="s">
        <v>1927</v>
      </c>
      <c r="D2205" t="s">
        <v>4464</v>
      </c>
      <c r="E2205" t="s">
        <v>4444</v>
      </c>
      <c r="F2205" s="3">
        <v>45379</v>
      </c>
      <c r="G2205" s="3">
        <v>45379</v>
      </c>
      <c r="H2205">
        <v>0.8</v>
      </c>
      <c r="I2205">
        <v>24</v>
      </c>
      <c r="J2205" t="s">
        <v>4448</v>
      </c>
      <c r="K2205" t="s">
        <v>4441</v>
      </c>
      <c r="L2205" t="s">
        <v>4501</v>
      </c>
      <c r="M2205" t="s">
        <v>4450</v>
      </c>
      <c r="N2205">
        <v>4</v>
      </c>
    </row>
    <row r="2206" spans="1:14" x14ac:dyDescent="0.35">
      <c r="A2206" t="s">
        <v>6685</v>
      </c>
      <c r="B2206" t="s">
        <v>465</v>
      </c>
      <c r="C2206" t="s">
        <v>1927</v>
      </c>
      <c r="D2206" t="s">
        <v>4464</v>
      </c>
      <c r="E2206" t="s">
        <v>4456</v>
      </c>
      <c r="F2206" s="3">
        <v>45360</v>
      </c>
      <c r="G2206" s="3">
        <v>45360</v>
      </c>
      <c r="H2206">
        <v>3.6</v>
      </c>
      <c r="I2206">
        <v>4</v>
      </c>
      <c r="J2206" t="s">
        <v>4448</v>
      </c>
      <c r="K2206" t="s">
        <v>4441</v>
      </c>
      <c r="L2206" t="s">
        <v>4492</v>
      </c>
      <c r="M2206" t="s">
        <v>4446</v>
      </c>
    </row>
    <row r="2207" spans="1:14" x14ac:dyDescent="0.35">
      <c r="A2207" t="s">
        <v>6686</v>
      </c>
      <c r="B2207" t="s">
        <v>149</v>
      </c>
      <c r="C2207" t="s">
        <v>1899</v>
      </c>
      <c r="D2207" t="s">
        <v>4472</v>
      </c>
      <c r="E2207" t="s">
        <v>4473</v>
      </c>
      <c r="F2207" s="3">
        <v>45646</v>
      </c>
      <c r="G2207" s="3" t="s">
        <v>537</v>
      </c>
      <c r="I2207">
        <v>8</v>
      </c>
      <c r="J2207" t="s">
        <v>4448</v>
      </c>
      <c r="K2207" t="s">
        <v>4453</v>
      </c>
      <c r="L2207" t="s">
        <v>4533</v>
      </c>
      <c r="M2207" t="s">
        <v>4462</v>
      </c>
    </row>
    <row r="2208" spans="1:14" x14ac:dyDescent="0.35">
      <c r="A2208" t="s">
        <v>6687</v>
      </c>
      <c r="B2208" t="s">
        <v>243</v>
      </c>
      <c r="C2208" t="s">
        <v>1927</v>
      </c>
      <c r="D2208" t="s">
        <v>4485</v>
      </c>
      <c r="E2208" t="s">
        <v>4439</v>
      </c>
      <c r="F2208" s="3">
        <v>45603</v>
      </c>
      <c r="G2208" s="3">
        <v>45605</v>
      </c>
      <c r="H2208">
        <v>58.6</v>
      </c>
      <c r="I2208">
        <v>48</v>
      </c>
      <c r="J2208" t="s">
        <v>4440</v>
      </c>
      <c r="K2208" t="s">
        <v>4441</v>
      </c>
      <c r="L2208" t="s">
        <v>4461</v>
      </c>
      <c r="M2208" t="s">
        <v>4446</v>
      </c>
      <c r="N2208">
        <v>3</v>
      </c>
    </row>
    <row r="2209" spans="1:14" x14ac:dyDescent="0.35">
      <c r="A2209" t="s">
        <v>6688</v>
      </c>
      <c r="B2209" t="s">
        <v>86</v>
      </c>
      <c r="C2209" t="s">
        <v>1915</v>
      </c>
      <c r="D2209" t="s">
        <v>4460</v>
      </c>
      <c r="E2209" t="s">
        <v>4473</v>
      </c>
      <c r="F2209" s="3">
        <v>45387</v>
      </c>
      <c r="G2209" s="3" t="s">
        <v>537</v>
      </c>
      <c r="I2209">
        <v>8</v>
      </c>
      <c r="J2209" t="s">
        <v>4440</v>
      </c>
      <c r="K2209" t="s">
        <v>4474</v>
      </c>
      <c r="L2209" t="s">
        <v>4461</v>
      </c>
      <c r="M2209" t="s">
        <v>4446</v>
      </c>
    </row>
    <row r="2210" spans="1:14" x14ac:dyDescent="0.35">
      <c r="A2210" t="s">
        <v>6689</v>
      </c>
      <c r="B2210" t="s">
        <v>92</v>
      </c>
      <c r="C2210" t="s">
        <v>1915</v>
      </c>
      <c r="D2210" t="s">
        <v>4464</v>
      </c>
      <c r="E2210" t="s">
        <v>4473</v>
      </c>
      <c r="F2210" s="3">
        <v>44966</v>
      </c>
      <c r="G2210" s="3">
        <v>44966</v>
      </c>
      <c r="H2210">
        <v>19.8</v>
      </c>
      <c r="I2210">
        <v>8</v>
      </c>
      <c r="J2210" t="s">
        <v>4440</v>
      </c>
      <c r="K2210" t="s">
        <v>4441</v>
      </c>
      <c r="L2210" t="s">
        <v>4458</v>
      </c>
      <c r="M2210" t="s">
        <v>4462</v>
      </c>
      <c r="N2210">
        <v>4</v>
      </c>
    </row>
    <row r="2211" spans="1:14" x14ac:dyDescent="0.35">
      <c r="A2211" t="s">
        <v>6690</v>
      </c>
      <c r="B2211" t="s">
        <v>203</v>
      </c>
      <c r="C2211" t="s">
        <v>1890</v>
      </c>
      <c r="D2211" t="s">
        <v>4443</v>
      </c>
      <c r="E2211" t="s">
        <v>4473</v>
      </c>
      <c r="F2211" s="3">
        <v>45739</v>
      </c>
      <c r="G2211" s="3" t="s">
        <v>537</v>
      </c>
      <c r="I2211">
        <v>8</v>
      </c>
      <c r="J2211" t="s">
        <v>4440</v>
      </c>
      <c r="K2211" t="s">
        <v>4457</v>
      </c>
      <c r="L2211" t="s">
        <v>4488</v>
      </c>
      <c r="M2211" t="s">
        <v>4450</v>
      </c>
    </row>
    <row r="2212" spans="1:14" x14ac:dyDescent="0.35">
      <c r="A2212" t="s">
        <v>6691</v>
      </c>
      <c r="B2212" t="s">
        <v>236</v>
      </c>
      <c r="C2212" t="s">
        <v>1915</v>
      </c>
      <c r="D2212" t="s">
        <v>4479</v>
      </c>
      <c r="E2212" t="s">
        <v>4473</v>
      </c>
      <c r="F2212" s="3">
        <v>45105</v>
      </c>
      <c r="G2212" s="3">
        <v>45105</v>
      </c>
      <c r="H2212">
        <v>9.1</v>
      </c>
      <c r="I2212">
        <v>8</v>
      </c>
      <c r="J2212" t="s">
        <v>4440</v>
      </c>
      <c r="K2212" t="s">
        <v>4441</v>
      </c>
      <c r="L2212" t="s">
        <v>4445</v>
      </c>
      <c r="M2212" t="s">
        <v>1625</v>
      </c>
      <c r="N2212">
        <v>5</v>
      </c>
    </row>
    <row r="2213" spans="1:14" x14ac:dyDescent="0.35">
      <c r="A2213" t="s">
        <v>6692</v>
      </c>
      <c r="B2213" t="s">
        <v>366</v>
      </c>
      <c r="C2213" t="s">
        <v>1890</v>
      </c>
      <c r="D2213" t="s">
        <v>4472</v>
      </c>
      <c r="E2213" t="s">
        <v>4444</v>
      </c>
      <c r="F2213" s="3">
        <v>45728</v>
      </c>
      <c r="G2213" s="3" t="s">
        <v>537</v>
      </c>
      <c r="I2213">
        <v>24</v>
      </c>
      <c r="J2213" t="s">
        <v>4448</v>
      </c>
      <c r="K2213" t="s">
        <v>4453</v>
      </c>
      <c r="L2213" t="s">
        <v>4509</v>
      </c>
      <c r="M2213" t="s">
        <v>1625</v>
      </c>
    </row>
    <row r="2214" spans="1:14" x14ac:dyDescent="0.35">
      <c r="A2214" t="s">
        <v>6693</v>
      </c>
      <c r="B2214" t="s">
        <v>49</v>
      </c>
      <c r="C2214" t="s">
        <v>1899</v>
      </c>
      <c r="D2214" t="s">
        <v>4464</v>
      </c>
      <c r="E2214" t="s">
        <v>4444</v>
      </c>
      <c r="F2214" s="3">
        <v>45662</v>
      </c>
      <c r="G2214" s="3">
        <v>45664</v>
      </c>
      <c r="H2214">
        <v>51.6</v>
      </c>
      <c r="I2214">
        <v>24</v>
      </c>
      <c r="J2214" t="s">
        <v>4440</v>
      </c>
      <c r="K2214" t="s">
        <v>4441</v>
      </c>
      <c r="L2214" t="s">
        <v>4492</v>
      </c>
      <c r="M2214" t="s">
        <v>4450</v>
      </c>
      <c r="N2214">
        <v>2</v>
      </c>
    </row>
    <row r="2215" spans="1:14" x14ac:dyDescent="0.35">
      <c r="A2215" t="s">
        <v>6694</v>
      </c>
      <c r="B2215" t="s">
        <v>88</v>
      </c>
      <c r="C2215" t="s">
        <v>1927</v>
      </c>
      <c r="D2215" t="s">
        <v>4438</v>
      </c>
      <c r="E2215" t="s">
        <v>4444</v>
      </c>
      <c r="F2215" s="3">
        <v>45339</v>
      </c>
      <c r="G2215" s="3">
        <v>45341</v>
      </c>
      <c r="H2215">
        <v>50.9</v>
      </c>
      <c r="I2215">
        <v>24</v>
      </c>
      <c r="J2215" t="s">
        <v>4440</v>
      </c>
      <c r="K2215" t="s">
        <v>4441</v>
      </c>
      <c r="L2215" t="s">
        <v>4461</v>
      </c>
      <c r="M2215" t="s">
        <v>4446</v>
      </c>
      <c r="N2215">
        <v>2</v>
      </c>
    </row>
    <row r="2216" spans="1:14" x14ac:dyDescent="0.35">
      <c r="A2216" t="s">
        <v>6695</v>
      </c>
      <c r="B2216" t="s">
        <v>291</v>
      </c>
      <c r="C2216" t="s">
        <v>1915</v>
      </c>
      <c r="D2216" t="s">
        <v>4482</v>
      </c>
      <c r="E2216" t="s">
        <v>4444</v>
      </c>
      <c r="F2216" s="3">
        <v>45034</v>
      </c>
      <c r="G2216" s="3" t="s">
        <v>537</v>
      </c>
      <c r="I2216">
        <v>24</v>
      </c>
      <c r="J2216" t="s">
        <v>4440</v>
      </c>
      <c r="K2216" t="s">
        <v>4474</v>
      </c>
      <c r="L2216" t="s">
        <v>4454</v>
      </c>
      <c r="M2216" t="s">
        <v>1625</v>
      </c>
    </row>
    <row r="2217" spans="1:14" x14ac:dyDescent="0.35">
      <c r="A2217" t="s">
        <v>6696</v>
      </c>
      <c r="B2217" t="s">
        <v>484</v>
      </c>
      <c r="C2217" t="s">
        <v>1915</v>
      </c>
      <c r="D2217" t="s">
        <v>4469</v>
      </c>
      <c r="E2217" t="s">
        <v>4439</v>
      </c>
      <c r="F2217" s="3">
        <v>45495</v>
      </c>
      <c r="G2217" s="3" t="s">
        <v>537</v>
      </c>
      <c r="I2217">
        <v>48</v>
      </c>
      <c r="J2217" t="s">
        <v>4448</v>
      </c>
      <c r="K2217" t="s">
        <v>4474</v>
      </c>
      <c r="L2217" t="s">
        <v>4445</v>
      </c>
      <c r="M2217" t="s">
        <v>4450</v>
      </c>
    </row>
    <row r="2218" spans="1:14" x14ac:dyDescent="0.35">
      <c r="A2218" t="s">
        <v>6697</v>
      </c>
      <c r="B2218" t="s">
        <v>205</v>
      </c>
      <c r="C2218" t="s">
        <v>1915</v>
      </c>
      <c r="D2218" t="s">
        <v>4460</v>
      </c>
      <c r="E2218" t="s">
        <v>4439</v>
      </c>
      <c r="F2218" s="3">
        <v>45051</v>
      </c>
      <c r="G2218" s="3">
        <v>45055</v>
      </c>
      <c r="H2218">
        <v>101.9</v>
      </c>
      <c r="I2218">
        <v>48</v>
      </c>
      <c r="J2218" t="s">
        <v>4440</v>
      </c>
      <c r="K2218" t="s">
        <v>4441</v>
      </c>
      <c r="L2218" t="s">
        <v>4501</v>
      </c>
      <c r="M2218" t="s">
        <v>4462</v>
      </c>
      <c r="N2218">
        <v>4</v>
      </c>
    </row>
    <row r="2219" spans="1:14" x14ac:dyDescent="0.35">
      <c r="A2219" t="s">
        <v>6698</v>
      </c>
      <c r="B2219" t="s">
        <v>184</v>
      </c>
      <c r="C2219" t="s">
        <v>1899</v>
      </c>
      <c r="D2219" t="s">
        <v>4464</v>
      </c>
      <c r="E2219" t="s">
        <v>4473</v>
      </c>
      <c r="F2219" s="3">
        <v>45707</v>
      </c>
      <c r="G2219" s="3" t="s">
        <v>537</v>
      </c>
      <c r="I2219">
        <v>8</v>
      </c>
      <c r="J2219" t="s">
        <v>4440</v>
      </c>
      <c r="K2219" t="s">
        <v>4453</v>
      </c>
      <c r="L2219" t="s">
        <v>4445</v>
      </c>
      <c r="M2219" t="s">
        <v>1625</v>
      </c>
    </row>
    <row r="2220" spans="1:14" x14ac:dyDescent="0.35">
      <c r="A2220" t="s">
        <v>6699</v>
      </c>
      <c r="B2220" t="s">
        <v>330</v>
      </c>
      <c r="C2220" t="s">
        <v>1883</v>
      </c>
      <c r="D2220" t="s">
        <v>4479</v>
      </c>
      <c r="E2220" t="s">
        <v>4439</v>
      </c>
      <c r="F2220" s="3">
        <v>45158</v>
      </c>
      <c r="G2220" s="3">
        <v>45161</v>
      </c>
      <c r="H2220">
        <v>77.7</v>
      </c>
      <c r="I2220">
        <v>48</v>
      </c>
      <c r="J2220" t="s">
        <v>4440</v>
      </c>
      <c r="K2220" t="s">
        <v>4441</v>
      </c>
      <c r="L2220" t="s">
        <v>4467</v>
      </c>
      <c r="M2220" t="s">
        <v>4450</v>
      </c>
    </row>
    <row r="2221" spans="1:14" x14ac:dyDescent="0.35">
      <c r="A2221" t="s">
        <v>6700</v>
      </c>
      <c r="B2221" t="s">
        <v>273</v>
      </c>
      <c r="C2221" t="s">
        <v>1915</v>
      </c>
      <c r="D2221" t="s">
        <v>4482</v>
      </c>
      <c r="E2221" t="s">
        <v>4439</v>
      </c>
      <c r="F2221" s="3">
        <v>44952</v>
      </c>
      <c r="G2221" s="3">
        <v>44954</v>
      </c>
      <c r="H2221">
        <v>64.7</v>
      </c>
      <c r="I2221">
        <v>48</v>
      </c>
      <c r="J2221" t="s">
        <v>4440</v>
      </c>
      <c r="K2221" t="s">
        <v>4441</v>
      </c>
      <c r="L2221" t="s">
        <v>4445</v>
      </c>
      <c r="M2221" t="s">
        <v>4450</v>
      </c>
    </row>
    <row r="2222" spans="1:14" x14ac:dyDescent="0.35">
      <c r="A2222" t="s">
        <v>6701</v>
      </c>
      <c r="B2222" t="s">
        <v>257</v>
      </c>
      <c r="C2222" t="s">
        <v>1883</v>
      </c>
      <c r="D2222" t="s">
        <v>4472</v>
      </c>
      <c r="E2222" t="s">
        <v>4473</v>
      </c>
      <c r="F2222" s="3">
        <v>45001</v>
      </c>
      <c r="G2222" s="3" t="s">
        <v>537</v>
      </c>
      <c r="I2222">
        <v>8</v>
      </c>
      <c r="J2222" t="s">
        <v>4440</v>
      </c>
      <c r="K2222" t="s">
        <v>4457</v>
      </c>
      <c r="L2222" t="s">
        <v>4461</v>
      </c>
      <c r="M2222" t="s">
        <v>4450</v>
      </c>
    </row>
    <row r="2223" spans="1:14" x14ac:dyDescent="0.35">
      <c r="A2223" t="s">
        <v>6702</v>
      </c>
      <c r="B2223" t="s">
        <v>198</v>
      </c>
      <c r="C2223" t="s">
        <v>1899</v>
      </c>
      <c r="D2223" t="s">
        <v>4460</v>
      </c>
      <c r="E2223" t="s">
        <v>4439</v>
      </c>
      <c r="F2223" s="3">
        <v>44965</v>
      </c>
      <c r="G2223" s="3" t="s">
        <v>537</v>
      </c>
      <c r="I2223">
        <v>48</v>
      </c>
      <c r="J2223" t="s">
        <v>4440</v>
      </c>
      <c r="K2223" t="s">
        <v>4453</v>
      </c>
      <c r="L2223" t="s">
        <v>4480</v>
      </c>
      <c r="M2223" t="s">
        <v>4462</v>
      </c>
    </row>
    <row r="2224" spans="1:14" x14ac:dyDescent="0.35">
      <c r="A2224" t="s">
        <v>6703</v>
      </c>
      <c r="B2224" t="s">
        <v>263</v>
      </c>
      <c r="C2224" t="s">
        <v>1915</v>
      </c>
      <c r="D2224" t="s">
        <v>4464</v>
      </c>
      <c r="E2224" t="s">
        <v>4444</v>
      </c>
      <c r="F2224" s="3">
        <v>45604</v>
      </c>
      <c r="G2224" s="3" t="s">
        <v>537</v>
      </c>
      <c r="I2224">
        <v>24</v>
      </c>
      <c r="J2224" t="s">
        <v>4440</v>
      </c>
      <c r="K2224" t="s">
        <v>4453</v>
      </c>
      <c r="L2224" t="s">
        <v>4445</v>
      </c>
      <c r="M2224" t="s">
        <v>4462</v>
      </c>
    </row>
    <row r="2225" spans="1:14" x14ac:dyDescent="0.35">
      <c r="A2225" t="s">
        <v>6704</v>
      </c>
      <c r="B2225" t="s">
        <v>293</v>
      </c>
      <c r="C2225" t="s">
        <v>1904</v>
      </c>
      <c r="D2225" t="s">
        <v>4490</v>
      </c>
      <c r="E2225" t="s">
        <v>4473</v>
      </c>
      <c r="F2225" s="3">
        <v>45722</v>
      </c>
      <c r="G2225" s="3" t="s">
        <v>537</v>
      </c>
      <c r="I2225">
        <v>8</v>
      </c>
      <c r="J2225" t="s">
        <v>4448</v>
      </c>
      <c r="K2225" t="s">
        <v>4457</v>
      </c>
      <c r="L2225" t="s">
        <v>4483</v>
      </c>
      <c r="M2225" t="s">
        <v>4446</v>
      </c>
    </row>
    <row r="2226" spans="1:14" x14ac:dyDescent="0.35">
      <c r="A2226" t="s">
        <v>6705</v>
      </c>
      <c r="B2226" t="s">
        <v>175</v>
      </c>
      <c r="C2226" t="s">
        <v>1927</v>
      </c>
      <c r="D2226" t="s">
        <v>4443</v>
      </c>
      <c r="E2226" t="s">
        <v>4439</v>
      </c>
      <c r="F2226" s="3">
        <v>45720</v>
      </c>
      <c r="G2226" s="3">
        <v>45720</v>
      </c>
      <c r="H2226">
        <v>5.8</v>
      </c>
      <c r="I2226">
        <v>48</v>
      </c>
      <c r="J2226" t="s">
        <v>4448</v>
      </c>
      <c r="K2226" t="s">
        <v>4441</v>
      </c>
      <c r="L2226" t="s">
        <v>4449</v>
      </c>
      <c r="M2226" t="s">
        <v>4462</v>
      </c>
      <c r="N2226">
        <v>3</v>
      </c>
    </row>
    <row r="2227" spans="1:14" x14ac:dyDescent="0.35">
      <c r="A2227" t="s">
        <v>6706</v>
      </c>
      <c r="B2227" t="s">
        <v>85</v>
      </c>
      <c r="C2227" t="s">
        <v>1904</v>
      </c>
      <c r="D2227" t="s">
        <v>4476</v>
      </c>
      <c r="E2227" t="s">
        <v>4444</v>
      </c>
      <c r="F2227" s="3">
        <v>45639</v>
      </c>
      <c r="G2227" s="3">
        <v>45640</v>
      </c>
      <c r="H2227">
        <v>30</v>
      </c>
      <c r="I2227">
        <v>24</v>
      </c>
      <c r="J2227" t="s">
        <v>4440</v>
      </c>
      <c r="K2227" t="s">
        <v>4441</v>
      </c>
      <c r="L2227" t="s">
        <v>4449</v>
      </c>
      <c r="M2227" t="s">
        <v>4446</v>
      </c>
      <c r="N2227">
        <v>4</v>
      </c>
    </row>
    <row r="2228" spans="1:14" x14ac:dyDescent="0.35">
      <c r="A2228" t="s">
        <v>6707</v>
      </c>
      <c r="B2228" t="s">
        <v>260</v>
      </c>
      <c r="C2228" t="s">
        <v>1904</v>
      </c>
      <c r="D2228" t="s">
        <v>4460</v>
      </c>
      <c r="E2228" t="s">
        <v>4439</v>
      </c>
      <c r="F2228" s="3">
        <v>45102</v>
      </c>
      <c r="G2228" s="3">
        <v>45102</v>
      </c>
      <c r="H2228">
        <v>11.4</v>
      </c>
      <c r="I2228">
        <v>48</v>
      </c>
      <c r="J2228" t="s">
        <v>4448</v>
      </c>
      <c r="K2228" t="s">
        <v>4441</v>
      </c>
      <c r="L2228" t="s">
        <v>4492</v>
      </c>
      <c r="M2228" t="s">
        <v>4450</v>
      </c>
      <c r="N2228">
        <v>2</v>
      </c>
    </row>
    <row r="2229" spans="1:14" x14ac:dyDescent="0.35">
      <c r="A2229" t="s">
        <v>6708</v>
      </c>
      <c r="B2229" t="s">
        <v>71</v>
      </c>
      <c r="C2229" t="s">
        <v>1915</v>
      </c>
      <c r="D2229" t="s">
        <v>4469</v>
      </c>
      <c r="E2229" t="s">
        <v>4444</v>
      </c>
      <c r="F2229" s="3">
        <v>45004</v>
      </c>
      <c r="G2229" s="3">
        <v>45005</v>
      </c>
      <c r="H2229">
        <v>31</v>
      </c>
      <c r="I2229">
        <v>24</v>
      </c>
      <c r="J2229" t="s">
        <v>4440</v>
      </c>
      <c r="K2229" t="s">
        <v>4441</v>
      </c>
      <c r="L2229" t="s">
        <v>4488</v>
      </c>
      <c r="M2229" t="s">
        <v>4446</v>
      </c>
      <c r="N2229">
        <v>4</v>
      </c>
    </row>
    <row r="2230" spans="1:14" x14ac:dyDescent="0.35">
      <c r="A2230" t="s">
        <v>6709</v>
      </c>
      <c r="B2230" t="s">
        <v>365</v>
      </c>
      <c r="C2230" t="s">
        <v>1883</v>
      </c>
      <c r="D2230" t="s">
        <v>4469</v>
      </c>
      <c r="E2230" t="s">
        <v>4456</v>
      </c>
      <c r="F2230" s="3">
        <v>45648</v>
      </c>
      <c r="G2230" s="3">
        <v>45648</v>
      </c>
      <c r="H2230">
        <v>6.8</v>
      </c>
      <c r="I2230">
        <v>4</v>
      </c>
      <c r="J2230" t="s">
        <v>4440</v>
      </c>
      <c r="K2230" t="s">
        <v>4441</v>
      </c>
      <c r="L2230" t="s">
        <v>4449</v>
      </c>
      <c r="M2230" t="s">
        <v>4446</v>
      </c>
      <c r="N2230">
        <v>4</v>
      </c>
    </row>
    <row r="2231" spans="1:14" x14ac:dyDescent="0.35">
      <c r="A2231" t="s">
        <v>6710</v>
      </c>
      <c r="B2231" t="s">
        <v>472</v>
      </c>
      <c r="C2231" t="s">
        <v>1890</v>
      </c>
      <c r="D2231" t="s">
        <v>4472</v>
      </c>
      <c r="E2231" t="s">
        <v>4439</v>
      </c>
      <c r="F2231" s="3">
        <v>45462</v>
      </c>
      <c r="G2231" s="3">
        <v>45465</v>
      </c>
      <c r="H2231">
        <v>76.900000000000006</v>
      </c>
      <c r="I2231">
        <v>48</v>
      </c>
      <c r="J2231" t="s">
        <v>4440</v>
      </c>
      <c r="K2231" t="s">
        <v>4441</v>
      </c>
      <c r="L2231" t="s">
        <v>4470</v>
      </c>
      <c r="M2231" t="s">
        <v>4446</v>
      </c>
      <c r="N2231">
        <v>4</v>
      </c>
    </row>
    <row r="2232" spans="1:14" x14ac:dyDescent="0.35">
      <c r="A2232" t="s">
        <v>6711</v>
      </c>
      <c r="B2232" t="s">
        <v>238</v>
      </c>
      <c r="C2232" t="s">
        <v>1883</v>
      </c>
      <c r="D2232" t="s">
        <v>4490</v>
      </c>
      <c r="E2232" t="s">
        <v>4439</v>
      </c>
      <c r="F2232" s="3">
        <v>45131</v>
      </c>
      <c r="G2232" s="3">
        <v>45133</v>
      </c>
      <c r="H2232">
        <v>48.3</v>
      </c>
      <c r="I2232">
        <v>48</v>
      </c>
      <c r="J2232" t="s">
        <v>4440</v>
      </c>
      <c r="K2232" t="s">
        <v>4441</v>
      </c>
      <c r="L2232" t="s">
        <v>4467</v>
      </c>
      <c r="M2232" t="s">
        <v>4450</v>
      </c>
    </row>
    <row r="2233" spans="1:14" x14ac:dyDescent="0.35">
      <c r="A2233" t="s">
        <v>6712</v>
      </c>
      <c r="B2233" t="s">
        <v>120</v>
      </c>
      <c r="C2233" t="s">
        <v>1899</v>
      </c>
      <c r="D2233" t="s">
        <v>4464</v>
      </c>
      <c r="E2233" t="s">
        <v>4439</v>
      </c>
      <c r="F2233" s="3">
        <v>44940</v>
      </c>
      <c r="G2233" s="3">
        <v>44940</v>
      </c>
      <c r="H2233">
        <v>13.3</v>
      </c>
      <c r="I2233">
        <v>48</v>
      </c>
      <c r="J2233" t="s">
        <v>4448</v>
      </c>
      <c r="K2233" t="s">
        <v>4441</v>
      </c>
      <c r="L2233" t="s">
        <v>1907</v>
      </c>
      <c r="M2233" t="s">
        <v>4446</v>
      </c>
      <c r="N2233">
        <v>3</v>
      </c>
    </row>
    <row r="2234" spans="1:14" x14ac:dyDescent="0.35">
      <c r="A2234" t="s">
        <v>6713</v>
      </c>
      <c r="B2234" t="s">
        <v>245</v>
      </c>
      <c r="C2234" t="s">
        <v>1899</v>
      </c>
      <c r="D2234" t="s">
        <v>4464</v>
      </c>
      <c r="E2234" t="s">
        <v>4444</v>
      </c>
      <c r="F2234" s="3">
        <v>45690</v>
      </c>
      <c r="G2234" s="3">
        <v>45691</v>
      </c>
      <c r="H2234">
        <v>44.6</v>
      </c>
      <c r="I2234">
        <v>24</v>
      </c>
      <c r="J2234" t="s">
        <v>4440</v>
      </c>
      <c r="K2234" t="s">
        <v>4441</v>
      </c>
      <c r="L2234" t="s">
        <v>4465</v>
      </c>
      <c r="M2234" t="s">
        <v>4446</v>
      </c>
      <c r="N2234">
        <v>5</v>
      </c>
    </row>
    <row r="2235" spans="1:14" x14ac:dyDescent="0.35">
      <c r="A2235" t="s">
        <v>6714</v>
      </c>
      <c r="B2235" t="s">
        <v>300</v>
      </c>
      <c r="C2235" t="s">
        <v>1883</v>
      </c>
      <c r="D2235" t="s">
        <v>4443</v>
      </c>
      <c r="E2235" t="s">
        <v>4473</v>
      </c>
      <c r="F2235" s="3">
        <v>45022</v>
      </c>
      <c r="G2235" s="3">
        <v>45022</v>
      </c>
      <c r="H2235">
        <v>3.5</v>
      </c>
      <c r="I2235">
        <v>8</v>
      </c>
      <c r="J2235" t="s">
        <v>4448</v>
      </c>
      <c r="K2235" t="s">
        <v>4441</v>
      </c>
      <c r="L2235" t="s">
        <v>4512</v>
      </c>
      <c r="M2235" t="s">
        <v>4446</v>
      </c>
      <c r="N2235">
        <v>3</v>
      </c>
    </row>
    <row r="2236" spans="1:14" x14ac:dyDescent="0.35">
      <c r="A2236" t="s">
        <v>6715</v>
      </c>
      <c r="B2236" t="s">
        <v>245</v>
      </c>
      <c r="C2236" t="s">
        <v>1915</v>
      </c>
      <c r="D2236" t="s">
        <v>4438</v>
      </c>
      <c r="E2236" t="s">
        <v>4439</v>
      </c>
      <c r="F2236" s="3">
        <v>45166</v>
      </c>
      <c r="G2236" s="3">
        <v>45170</v>
      </c>
      <c r="H2236">
        <v>112.6</v>
      </c>
      <c r="I2236">
        <v>48</v>
      </c>
      <c r="J2236" t="s">
        <v>4440</v>
      </c>
      <c r="K2236" t="s">
        <v>4441</v>
      </c>
      <c r="L2236" t="s">
        <v>4449</v>
      </c>
      <c r="M2236" t="s">
        <v>4446</v>
      </c>
      <c r="N2236">
        <v>2</v>
      </c>
    </row>
    <row r="2237" spans="1:14" x14ac:dyDescent="0.35">
      <c r="A2237" t="s">
        <v>6716</v>
      </c>
      <c r="B2237" t="s">
        <v>94</v>
      </c>
      <c r="C2237" t="s">
        <v>1915</v>
      </c>
      <c r="D2237" t="s">
        <v>4482</v>
      </c>
      <c r="E2237" t="s">
        <v>4444</v>
      </c>
      <c r="F2237" s="3">
        <v>45240</v>
      </c>
      <c r="G2237" s="3">
        <v>45241</v>
      </c>
      <c r="H2237">
        <v>46.1</v>
      </c>
      <c r="I2237">
        <v>24</v>
      </c>
      <c r="J2237" t="s">
        <v>4440</v>
      </c>
      <c r="K2237" t="s">
        <v>4441</v>
      </c>
      <c r="L2237" t="s">
        <v>4501</v>
      </c>
      <c r="M2237" t="s">
        <v>4462</v>
      </c>
      <c r="N2237">
        <v>4</v>
      </c>
    </row>
    <row r="2238" spans="1:14" x14ac:dyDescent="0.35">
      <c r="A2238" t="s">
        <v>6717</v>
      </c>
      <c r="B2238" t="s">
        <v>86</v>
      </c>
      <c r="C2238" t="s">
        <v>1927</v>
      </c>
      <c r="D2238" t="s">
        <v>4443</v>
      </c>
      <c r="E2238" t="s">
        <v>4444</v>
      </c>
      <c r="F2238" s="3">
        <v>44997</v>
      </c>
      <c r="G2238" s="3">
        <v>44997</v>
      </c>
      <c r="H2238">
        <v>11.9</v>
      </c>
      <c r="I2238">
        <v>24</v>
      </c>
      <c r="J2238" t="s">
        <v>4448</v>
      </c>
      <c r="K2238" t="s">
        <v>4441</v>
      </c>
      <c r="L2238" t="s">
        <v>4514</v>
      </c>
      <c r="M2238" t="s">
        <v>4450</v>
      </c>
      <c r="N2238">
        <v>3</v>
      </c>
    </row>
    <row r="2239" spans="1:14" x14ac:dyDescent="0.35">
      <c r="A2239" t="s">
        <v>6718</v>
      </c>
      <c r="B2239" t="s">
        <v>462</v>
      </c>
      <c r="C2239" t="s">
        <v>1915</v>
      </c>
      <c r="D2239" t="s">
        <v>4482</v>
      </c>
      <c r="E2239" t="s">
        <v>4456</v>
      </c>
      <c r="F2239" s="3">
        <v>45148</v>
      </c>
      <c r="G2239" s="3">
        <v>45148</v>
      </c>
      <c r="H2239">
        <v>2.2999999999999998</v>
      </c>
      <c r="I2239">
        <v>4</v>
      </c>
      <c r="J2239" t="s">
        <v>4448</v>
      </c>
      <c r="K2239" t="s">
        <v>4441</v>
      </c>
      <c r="L2239" t="s">
        <v>4458</v>
      </c>
      <c r="M2239" t="s">
        <v>1625</v>
      </c>
      <c r="N2239">
        <v>3</v>
      </c>
    </row>
    <row r="2240" spans="1:14" x14ac:dyDescent="0.35">
      <c r="A2240" t="s">
        <v>6719</v>
      </c>
      <c r="B2240" t="s">
        <v>85</v>
      </c>
      <c r="C2240" t="s">
        <v>1927</v>
      </c>
      <c r="D2240" t="s">
        <v>4452</v>
      </c>
      <c r="E2240" t="s">
        <v>4473</v>
      </c>
      <c r="F2240" s="3">
        <v>45613</v>
      </c>
      <c r="G2240" s="3" t="s">
        <v>537</v>
      </c>
      <c r="I2240">
        <v>8</v>
      </c>
      <c r="J2240" t="s">
        <v>4440</v>
      </c>
      <c r="K2240" t="s">
        <v>4457</v>
      </c>
      <c r="L2240" t="s">
        <v>4514</v>
      </c>
      <c r="M2240" t="s">
        <v>4446</v>
      </c>
    </row>
    <row r="2241" spans="1:14" x14ac:dyDescent="0.35">
      <c r="A2241" t="s">
        <v>6720</v>
      </c>
      <c r="B2241" t="s">
        <v>399</v>
      </c>
      <c r="C2241" t="s">
        <v>1890</v>
      </c>
      <c r="D2241" t="s">
        <v>4443</v>
      </c>
      <c r="E2241" t="s">
        <v>4473</v>
      </c>
      <c r="F2241" s="3">
        <v>45715</v>
      </c>
      <c r="G2241" s="3">
        <v>45715</v>
      </c>
      <c r="H2241">
        <v>16.899999999999999</v>
      </c>
      <c r="I2241">
        <v>8</v>
      </c>
      <c r="J2241" t="s">
        <v>4440</v>
      </c>
      <c r="K2241" t="s">
        <v>4441</v>
      </c>
      <c r="L2241" t="s">
        <v>4527</v>
      </c>
      <c r="M2241" t="s">
        <v>4450</v>
      </c>
      <c r="N2241">
        <v>4</v>
      </c>
    </row>
    <row r="2242" spans="1:14" x14ac:dyDescent="0.35">
      <c r="A2242" t="s">
        <v>6721</v>
      </c>
      <c r="B2242" t="s">
        <v>482</v>
      </c>
      <c r="C2242" t="s">
        <v>1904</v>
      </c>
      <c r="D2242" t="s">
        <v>4479</v>
      </c>
      <c r="E2242" t="s">
        <v>4473</v>
      </c>
      <c r="F2242" s="3">
        <v>45451</v>
      </c>
      <c r="G2242" s="3">
        <v>45451</v>
      </c>
      <c r="H2242">
        <v>6.9</v>
      </c>
      <c r="I2242">
        <v>8</v>
      </c>
      <c r="J2242" t="s">
        <v>4448</v>
      </c>
      <c r="K2242" t="s">
        <v>4441</v>
      </c>
      <c r="L2242" t="s">
        <v>4527</v>
      </c>
      <c r="M2242" t="s">
        <v>4446</v>
      </c>
    </row>
    <row r="2243" spans="1:14" x14ac:dyDescent="0.35">
      <c r="A2243" t="s">
        <v>6722</v>
      </c>
      <c r="B2243" t="s">
        <v>305</v>
      </c>
      <c r="C2243" t="s">
        <v>1904</v>
      </c>
      <c r="D2243" t="s">
        <v>4476</v>
      </c>
      <c r="E2243" t="s">
        <v>4473</v>
      </c>
      <c r="F2243" s="3">
        <v>45494</v>
      </c>
      <c r="G2243" s="3" t="s">
        <v>537</v>
      </c>
      <c r="I2243">
        <v>8</v>
      </c>
      <c r="J2243" t="s">
        <v>4448</v>
      </c>
      <c r="K2243" t="s">
        <v>4453</v>
      </c>
      <c r="L2243" t="s">
        <v>4465</v>
      </c>
      <c r="M2243" t="s">
        <v>4446</v>
      </c>
    </row>
    <row r="2244" spans="1:14" x14ac:dyDescent="0.35">
      <c r="A2244" t="s">
        <v>6723</v>
      </c>
      <c r="B2244" t="s">
        <v>431</v>
      </c>
      <c r="C2244" t="s">
        <v>1927</v>
      </c>
      <c r="D2244" t="s">
        <v>4469</v>
      </c>
      <c r="E2244" t="s">
        <v>4473</v>
      </c>
      <c r="F2244" s="3">
        <v>45522</v>
      </c>
      <c r="G2244" s="3">
        <v>45522</v>
      </c>
      <c r="H2244">
        <v>7.7</v>
      </c>
      <c r="I2244">
        <v>8</v>
      </c>
      <c r="J2244" t="s">
        <v>4448</v>
      </c>
      <c r="K2244" t="s">
        <v>4441</v>
      </c>
      <c r="L2244" t="s">
        <v>4488</v>
      </c>
      <c r="M2244" t="s">
        <v>4446</v>
      </c>
      <c r="N2244">
        <v>3</v>
      </c>
    </row>
    <row r="2245" spans="1:14" x14ac:dyDescent="0.35">
      <c r="A2245" t="s">
        <v>6724</v>
      </c>
      <c r="B2245" t="s">
        <v>437</v>
      </c>
      <c r="C2245" t="s">
        <v>1890</v>
      </c>
      <c r="D2245" t="s">
        <v>4438</v>
      </c>
      <c r="E2245" t="s">
        <v>4439</v>
      </c>
      <c r="F2245" s="3">
        <v>45568</v>
      </c>
      <c r="G2245" s="3">
        <v>45572</v>
      </c>
      <c r="H2245">
        <v>97.3</v>
      </c>
      <c r="I2245">
        <v>48</v>
      </c>
      <c r="J2245" t="s">
        <v>1945</v>
      </c>
      <c r="K2245" t="s">
        <v>4441</v>
      </c>
      <c r="L2245" t="s">
        <v>4458</v>
      </c>
      <c r="M2245" t="s">
        <v>4462</v>
      </c>
    </row>
    <row r="2246" spans="1:14" x14ac:dyDescent="0.35">
      <c r="A2246" t="s">
        <v>6725</v>
      </c>
      <c r="B2246" t="s">
        <v>303</v>
      </c>
      <c r="C2246" t="s">
        <v>1883</v>
      </c>
      <c r="D2246" t="s">
        <v>4443</v>
      </c>
      <c r="E2246" t="s">
        <v>4439</v>
      </c>
      <c r="F2246" s="3">
        <v>45268</v>
      </c>
      <c r="G2246" s="3" t="s">
        <v>537</v>
      </c>
      <c r="I2246">
        <v>48</v>
      </c>
      <c r="J2246" t="s">
        <v>4448</v>
      </c>
      <c r="K2246" t="s">
        <v>4453</v>
      </c>
      <c r="L2246" t="s">
        <v>4461</v>
      </c>
      <c r="M2246" t="s">
        <v>1625</v>
      </c>
    </row>
    <row r="2247" spans="1:14" x14ac:dyDescent="0.35">
      <c r="A2247" t="s">
        <v>6726</v>
      </c>
      <c r="B2247" t="s">
        <v>154</v>
      </c>
      <c r="C2247" t="s">
        <v>1904</v>
      </c>
      <c r="D2247" t="s">
        <v>4482</v>
      </c>
      <c r="E2247" t="s">
        <v>4439</v>
      </c>
      <c r="F2247" s="3">
        <v>45372</v>
      </c>
      <c r="G2247" s="3" t="s">
        <v>537</v>
      </c>
      <c r="I2247">
        <v>48</v>
      </c>
      <c r="J2247" t="s">
        <v>4440</v>
      </c>
      <c r="K2247" t="s">
        <v>4474</v>
      </c>
      <c r="L2247" t="s">
        <v>4512</v>
      </c>
      <c r="M2247" t="s">
        <v>1625</v>
      </c>
    </row>
    <row r="2248" spans="1:14" x14ac:dyDescent="0.35">
      <c r="A2248" t="s">
        <v>6727</v>
      </c>
      <c r="B2248" t="s">
        <v>234</v>
      </c>
      <c r="C2248" t="s">
        <v>1915</v>
      </c>
      <c r="D2248" t="s">
        <v>4482</v>
      </c>
      <c r="E2248" t="s">
        <v>4439</v>
      </c>
      <c r="F2248" s="3">
        <v>45264</v>
      </c>
      <c r="G2248" s="3">
        <v>45268</v>
      </c>
      <c r="H2248">
        <v>101.6</v>
      </c>
      <c r="I2248">
        <v>48</v>
      </c>
      <c r="J2248" t="s">
        <v>4440</v>
      </c>
      <c r="K2248" t="s">
        <v>4441</v>
      </c>
      <c r="L2248" t="s">
        <v>4465</v>
      </c>
      <c r="M2248" t="s">
        <v>4462</v>
      </c>
      <c r="N2248">
        <v>3</v>
      </c>
    </row>
    <row r="2249" spans="1:14" x14ac:dyDescent="0.35">
      <c r="A2249" t="s">
        <v>6728</v>
      </c>
      <c r="B2249" t="s">
        <v>198</v>
      </c>
      <c r="C2249" t="s">
        <v>1904</v>
      </c>
      <c r="D2249" t="s">
        <v>4460</v>
      </c>
      <c r="E2249" t="s">
        <v>4473</v>
      </c>
      <c r="F2249" s="3">
        <v>45651</v>
      </c>
      <c r="G2249" s="3" t="s">
        <v>537</v>
      </c>
      <c r="I2249">
        <v>8</v>
      </c>
      <c r="J2249" t="s">
        <v>4440</v>
      </c>
      <c r="K2249" t="s">
        <v>4457</v>
      </c>
      <c r="L2249" t="s">
        <v>4514</v>
      </c>
      <c r="M2249" t="s">
        <v>4450</v>
      </c>
    </row>
    <row r="2250" spans="1:14" x14ac:dyDescent="0.35">
      <c r="A2250" t="s">
        <v>6729</v>
      </c>
      <c r="B2250" t="s">
        <v>228</v>
      </c>
      <c r="C2250" t="s">
        <v>1890</v>
      </c>
      <c r="D2250" t="s">
        <v>4476</v>
      </c>
      <c r="E2250" t="s">
        <v>4444</v>
      </c>
      <c r="F2250" s="3">
        <v>44999</v>
      </c>
      <c r="G2250" s="3" t="s">
        <v>537</v>
      </c>
      <c r="I2250">
        <v>24</v>
      </c>
      <c r="J2250" t="s">
        <v>4440</v>
      </c>
      <c r="K2250" t="s">
        <v>4453</v>
      </c>
      <c r="L2250" t="s">
        <v>4461</v>
      </c>
      <c r="M2250" t="s">
        <v>4462</v>
      </c>
    </row>
    <row r="2251" spans="1:14" x14ac:dyDescent="0.35">
      <c r="A2251" t="s">
        <v>6730</v>
      </c>
      <c r="B2251" t="s">
        <v>469</v>
      </c>
      <c r="C2251" t="s">
        <v>1915</v>
      </c>
      <c r="D2251" t="s">
        <v>4472</v>
      </c>
      <c r="E2251" t="s">
        <v>4439</v>
      </c>
      <c r="F2251" s="3">
        <v>45648</v>
      </c>
      <c r="G2251" s="3" t="s">
        <v>537</v>
      </c>
      <c r="I2251">
        <v>48</v>
      </c>
      <c r="J2251" t="s">
        <v>4448</v>
      </c>
      <c r="K2251" t="s">
        <v>4474</v>
      </c>
      <c r="L2251" t="s">
        <v>4514</v>
      </c>
      <c r="M2251" t="s">
        <v>4462</v>
      </c>
    </row>
    <row r="2252" spans="1:14" x14ac:dyDescent="0.35">
      <c r="A2252" t="s">
        <v>6731</v>
      </c>
      <c r="B2252" t="s">
        <v>116</v>
      </c>
      <c r="C2252" t="s">
        <v>1904</v>
      </c>
      <c r="D2252" t="s">
        <v>4482</v>
      </c>
      <c r="E2252" t="s">
        <v>4473</v>
      </c>
      <c r="F2252" s="3">
        <v>45338</v>
      </c>
      <c r="G2252" s="3">
        <v>45338</v>
      </c>
      <c r="H2252">
        <v>10.3</v>
      </c>
      <c r="I2252">
        <v>8</v>
      </c>
      <c r="J2252" t="s">
        <v>4440</v>
      </c>
      <c r="K2252" t="s">
        <v>4441</v>
      </c>
      <c r="L2252" t="s">
        <v>4527</v>
      </c>
      <c r="M2252" t="s">
        <v>4446</v>
      </c>
      <c r="N2252">
        <v>3</v>
      </c>
    </row>
    <row r="2253" spans="1:14" x14ac:dyDescent="0.35">
      <c r="A2253" t="s">
        <v>6732</v>
      </c>
      <c r="B2253" t="s">
        <v>243</v>
      </c>
      <c r="C2253" t="s">
        <v>1890</v>
      </c>
      <c r="D2253" t="s">
        <v>4476</v>
      </c>
      <c r="E2253" t="s">
        <v>4473</v>
      </c>
      <c r="F2253" s="3">
        <v>45659</v>
      </c>
      <c r="G2253" s="3">
        <v>45659</v>
      </c>
      <c r="H2253">
        <v>5.2</v>
      </c>
      <c r="I2253">
        <v>8</v>
      </c>
      <c r="J2253" t="s">
        <v>4448</v>
      </c>
      <c r="K2253" t="s">
        <v>4441</v>
      </c>
      <c r="L2253" t="s">
        <v>4501</v>
      </c>
      <c r="M2253" t="s">
        <v>4450</v>
      </c>
      <c r="N2253">
        <v>4</v>
      </c>
    </row>
    <row r="2254" spans="1:14" x14ac:dyDescent="0.35">
      <c r="A2254" t="s">
        <v>6733</v>
      </c>
      <c r="B2254" t="s">
        <v>321</v>
      </c>
      <c r="C2254" t="s">
        <v>1915</v>
      </c>
      <c r="D2254" t="s">
        <v>4443</v>
      </c>
      <c r="E2254" t="s">
        <v>4439</v>
      </c>
      <c r="F2254" s="3">
        <v>45468</v>
      </c>
      <c r="G2254" s="3">
        <v>45469</v>
      </c>
      <c r="H2254">
        <v>27.9</v>
      </c>
      <c r="I2254">
        <v>48</v>
      </c>
      <c r="J2254" t="s">
        <v>4448</v>
      </c>
      <c r="K2254" t="s">
        <v>4441</v>
      </c>
      <c r="L2254" t="s">
        <v>4483</v>
      </c>
      <c r="M2254" t="s">
        <v>4462</v>
      </c>
      <c r="N2254">
        <v>3</v>
      </c>
    </row>
    <row r="2255" spans="1:14" x14ac:dyDescent="0.35">
      <c r="A2255" t="s">
        <v>6734</v>
      </c>
      <c r="B2255" t="s">
        <v>118</v>
      </c>
      <c r="C2255" t="s">
        <v>1904</v>
      </c>
      <c r="D2255" t="s">
        <v>4438</v>
      </c>
      <c r="E2255" t="s">
        <v>4444</v>
      </c>
      <c r="F2255" s="3">
        <v>45331</v>
      </c>
      <c r="G2255" s="3" t="s">
        <v>537</v>
      </c>
      <c r="I2255">
        <v>24</v>
      </c>
      <c r="J2255" t="s">
        <v>4440</v>
      </c>
      <c r="K2255" t="s">
        <v>4453</v>
      </c>
      <c r="L2255" t="s">
        <v>4470</v>
      </c>
      <c r="M2255" t="s">
        <v>4450</v>
      </c>
    </row>
    <row r="2256" spans="1:14" x14ac:dyDescent="0.35">
      <c r="A2256" t="s">
        <v>6735</v>
      </c>
      <c r="B2256" t="s">
        <v>90</v>
      </c>
      <c r="C2256" t="s">
        <v>1915</v>
      </c>
      <c r="D2256" t="s">
        <v>4476</v>
      </c>
      <c r="E2256" t="s">
        <v>4444</v>
      </c>
      <c r="F2256" s="3">
        <v>44986</v>
      </c>
      <c r="G2256" s="3">
        <v>44986</v>
      </c>
      <c r="H2256">
        <v>18.2</v>
      </c>
      <c r="I2256">
        <v>24</v>
      </c>
      <c r="J2256" t="s">
        <v>1945</v>
      </c>
      <c r="K2256" t="s">
        <v>4441</v>
      </c>
      <c r="L2256" t="s">
        <v>4470</v>
      </c>
      <c r="M2256" t="s">
        <v>4462</v>
      </c>
      <c r="N2256">
        <v>4</v>
      </c>
    </row>
    <row r="2257" spans="1:14" x14ac:dyDescent="0.35">
      <c r="A2257" t="s">
        <v>6736</v>
      </c>
      <c r="B2257" t="s">
        <v>431</v>
      </c>
      <c r="C2257" t="s">
        <v>1904</v>
      </c>
      <c r="D2257" t="s">
        <v>4479</v>
      </c>
      <c r="E2257" t="s">
        <v>4473</v>
      </c>
      <c r="F2257" s="3">
        <v>45163</v>
      </c>
      <c r="G2257" s="3" t="s">
        <v>537</v>
      </c>
      <c r="I2257">
        <v>8</v>
      </c>
      <c r="J2257" t="s">
        <v>4440</v>
      </c>
      <c r="K2257" t="s">
        <v>4457</v>
      </c>
      <c r="L2257" t="s">
        <v>4461</v>
      </c>
      <c r="M2257" t="s">
        <v>4446</v>
      </c>
    </row>
    <row r="2258" spans="1:14" x14ac:dyDescent="0.35">
      <c r="A2258" t="s">
        <v>6737</v>
      </c>
      <c r="B2258" t="s">
        <v>310</v>
      </c>
      <c r="C2258" t="s">
        <v>1927</v>
      </c>
      <c r="D2258" t="s">
        <v>4443</v>
      </c>
      <c r="E2258" t="s">
        <v>4439</v>
      </c>
      <c r="F2258" s="3">
        <v>45337</v>
      </c>
      <c r="G2258" s="3">
        <v>45339</v>
      </c>
      <c r="H2258">
        <v>61.5</v>
      </c>
      <c r="I2258">
        <v>48</v>
      </c>
      <c r="J2258" t="s">
        <v>4440</v>
      </c>
      <c r="K2258" t="s">
        <v>4441</v>
      </c>
      <c r="L2258" t="s">
        <v>4483</v>
      </c>
      <c r="M2258" t="s">
        <v>4462</v>
      </c>
    </row>
    <row r="2259" spans="1:14" x14ac:dyDescent="0.35">
      <c r="A2259" t="s">
        <v>6738</v>
      </c>
      <c r="B2259" t="s">
        <v>334</v>
      </c>
      <c r="C2259" t="s">
        <v>1899</v>
      </c>
      <c r="D2259" t="s">
        <v>4438</v>
      </c>
      <c r="E2259" t="s">
        <v>4444</v>
      </c>
      <c r="F2259" s="3">
        <v>45715</v>
      </c>
      <c r="G2259" s="3" t="s">
        <v>537</v>
      </c>
      <c r="I2259">
        <v>24</v>
      </c>
      <c r="J2259" t="s">
        <v>4440</v>
      </c>
      <c r="K2259" t="s">
        <v>4453</v>
      </c>
      <c r="L2259" t="s">
        <v>4480</v>
      </c>
      <c r="M2259" t="s">
        <v>1625</v>
      </c>
    </row>
    <row r="2260" spans="1:14" x14ac:dyDescent="0.35">
      <c r="A2260" t="s">
        <v>6739</v>
      </c>
      <c r="B2260" t="s">
        <v>316</v>
      </c>
      <c r="C2260" t="s">
        <v>1890</v>
      </c>
      <c r="D2260" t="s">
        <v>4443</v>
      </c>
      <c r="E2260" t="s">
        <v>4473</v>
      </c>
      <c r="F2260" s="3">
        <v>45738</v>
      </c>
      <c r="G2260" s="3">
        <v>45738</v>
      </c>
      <c r="H2260">
        <v>16.399999999999999</v>
      </c>
      <c r="I2260">
        <v>8</v>
      </c>
      <c r="J2260" t="s">
        <v>4440</v>
      </c>
      <c r="K2260" t="s">
        <v>4441</v>
      </c>
      <c r="L2260" t="s">
        <v>4527</v>
      </c>
      <c r="M2260" t="s">
        <v>4450</v>
      </c>
      <c r="N2260">
        <v>3</v>
      </c>
    </row>
    <row r="2261" spans="1:14" x14ac:dyDescent="0.35">
      <c r="A2261" t="s">
        <v>6740</v>
      </c>
      <c r="B2261" t="s">
        <v>477</v>
      </c>
      <c r="C2261" t="s">
        <v>1904</v>
      </c>
      <c r="D2261" t="s">
        <v>4438</v>
      </c>
      <c r="E2261" t="s">
        <v>4444</v>
      </c>
      <c r="F2261" s="3">
        <v>45021</v>
      </c>
      <c r="G2261" s="3" t="s">
        <v>537</v>
      </c>
      <c r="I2261">
        <v>24</v>
      </c>
      <c r="J2261" t="s">
        <v>4448</v>
      </c>
      <c r="K2261" t="s">
        <v>4474</v>
      </c>
      <c r="L2261" t="s">
        <v>4501</v>
      </c>
      <c r="M2261" t="s">
        <v>4446</v>
      </c>
    </row>
    <row r="2262" spans="1:14" x14ac:dyDescent="0.35">
      <c r="A2262" t="s">
        <v>6741</v>
      </c>
      <c r="B2262" t="s">
        <v>459</v>
      </c>
      <c r="C2262" t="s">
        <v>1883</v>
      </c>
      <c r="D2262" t="s">
        <v>4460</v>
      </c>
      <c r="E2262" t="s">
        <v>4444</v>
      </c>
      <c r="F2262" s="3">
        <v>45505</v>
      </c>
      <c r="G2262" s="3" t="s">
        <v>537</v>
      </c>
      <c r="I2262">
        <v>24</v>
      </c>
      <c r="J2262" t="s">
        <v>4440</v>
      </c>
      <c r="K2262" t="s">
        <v>4474</v>
      </c>
      <c r="L2262" t="s">
        <v>4512</v>
      </c>
      <c r="M2262" t="s">
        <v>4462</v>
      </c>
    </row>
    <row r="2263" spans="1:14" x14ac:dyDescent="0.35">
      <c r="A2263" t="s">
        <v>6742</v>
      </c>
      <c r="B2263" t="s">
        <v>343</v>
      </c>
      <c r="C2263" t="s">
        <v>1890</v>
      </c>
      <c r="D2263" t="s">
        <v>4469</v>
      </c>
      <c r="E2263" t="s">
        <v>4444</v>
      </c>
      <c r="F2263" s="3">
        <v>45563</v>
      </c>
      <c r="G2263" s="3" t="s">
        <v>537</v>
      </c>
      <c r="I2263">
        <v>24</v>
      </c>
      <c r="J2263" t="s">
        <v>4440</v>
      </c>
      <c r="K2263" t="s">
        <v>4474</v>
      </c>
      <c r="L2263" t="s">
        <v>4501</v>
      </c>
      <c r="M2263" t="s">
        <v>4462</v>
      </c>
    </row>
    <row r="2264" spans="1:14" x14ac:dyDescent="0.35">
      <c r="A2264" t="s">
        <v>6743</v>
      </c>
      <c r="B2264" t="s">
        <v>164</v>
      </c>
      <c r="C2264" t="s">
        <v>1883</v>
      </c>
      <c r="D2264" t="s">
        <v>4476</v>
      </c>
      <c r="E2264" t="s">
        <v>4439</v>
      </c>
      <c r="F2264" s="3">
        <v>45560</v>
      </c>
      <c r="G2264" s="3" t="s">
        <v>537</v>
      </c>
      <c r="I2264">
        <v>48</v>
      </c>
      <c r="J2264" t="s">
        <v>4440</v>
      </c>
      <c r="K2264" t="s">
        <v>4474</v>
      </c>
      <c r="L2264" t="s">
        <v>4580</v>
      </c>
      <c r="M2264" t="s">
        <v>4450</v>
      </c>
    </row>
    <row r="2265" spans="1:14" x14ac:dyDescent="0.35">
      <c r="A2265" t="s">
        <v>6744</v>
      </c>
      <c r="B2265" t="s">
        <v>360</v>
      </c>
      <c r="C2265" t="s">
        <v>1890</v>
      </c>
      <c r="D2265" t="s">
        <v>4443</v>
      </c>
      <c r="E2265" t="s">
        <v>4444</v>
      </c>
      <c r="F2265" s="3">
        <v>45588</v>
      </c>
      <c r="G2265" s="3">
        <v>45589</v>
      </c>
      <c r="H2265">
        <v>26.5</v>
      </c>
      <c r="I2265">
        <v>24</v>
      </c>
      <c r="J2265" t="s">
        <v>4440</v>
      </c>
      <c r="K2265" t="s">
        <v>4441</v>
      </c>
      <c r="L2265" t="s">
        <v>4461</v>
      </c>
      <c r="M2265" t="s">
        <v>4450</v>
      </c>
      <c r="N2265">
        <v>4</v>
      </c>
    </row>
    <row r="2266" spans="1:14" x14ac:dyDescent="0.35">
      <c r="A2266" t="s">
        <v>6745</v>
      </c>
      <c r="B2266" t="s">
        <v>49</v>
      </c>
      <c r="C2266" t="s">
        <v>1899</v>
      </c>
      <c r="D2266" t="s">
        <v>4490</v>
      </c>
      <c r="E2266" t="s">
        <v>4439</v>
      </c>
      <c r="F2266" s="3">
        <v>45365</v>
      </c>
      <c r="G2266" s="3">
        <v>45369</v>
      </c>
      <c r="H2266">
        <v>103.5</v>
      </c>
      <c r="I2266">
        <v>48</v>
      </c>
      <c r="J2266" t="s">
        <v>4440</v>
      </c>
      <c r="K2266" t="s">
        <v>4441</v>
      </c>
      <c r="L2266" t="s">
        <v>4580</v>
      </c>
      <c r="M2266" t="s">
        <v>4450</v>
      </c>
      <c r="N2266">
        <v>5</v>
      </c>
    </row>
    <row r="2267" spans="1:14" x14ac:dyDescent="0.35">
      <c r="A2267" t="s">
        <v>6746</v>
      </c>
      <c r="B2267" t="s">
        <v>363</v>
      </c>
      <c r="C2267" t="s">
        <v>1927</v>
      </c>
      <c r="D2267" t="s">
        <v>4482</v>
      </c>
      <c r="E2267" t="s">
        <v>4439</v>
      </c>
      <c r="F2267" s="3">
        <v>45061</v>
      </c>
      <c r="G2267" s="3" t="s">
        <v>537</v>
      </c>
      <c r="I2267">
        <v>48</v>
      </c>
      <c r="J2267" t="s">
        <v>4448</v>
      </c>
      <c r="K2267" t="s">
        <v>4474</v>
      </c>
      <c r="L2267" t="s">
        <v>4483</v>
      </c>
      <c r="M2267" t="s">
        <v>4462</v>
      </c>
    </row>
    <row r="2268" spans="1:14" x14ac:dyDescent="0.35">
      <c r="A2268" t="s">
        <v>6747</v>
      </c>
      <c r="B2268" t="s">
        <v>307</v>
      </c>
      <c r="C2268" t="s">
        <v>1927</v>
      </c>
      <c r="D2268" t="s">
        <v>4443</v>
      </c>
      <c r="E2268" t="s">
        <v>4444</v>
      </c>
      <c r="F2268" s="3">
        <v>44982</v>
      </c>
      <c r="G2268" s="3">
        <v>44982</v>
      </c>
      <c r="H2268">
        <v>17.7</v>
      </c>
      <c r="I2268">
        <v>24</v>
      </c>
      <c r="J2268" t="s">
        <v>4448</v>
      </c>
      <c r="K2268" t="s">
        <v>4441</v>
      </c>
      <c r="L2268" t="s">
        <v>4458</v>
      </c>
      <c r="M2268" t="s">
        <v>4462</v>
      </c>
      <c r="N2268">
        <v>1</v>
      </c>
    </row>
    <row r="2269" spans="1:14" x14ac:dyDescent="0.35">
      <c r="A2269" t="s">
        <v>6748</v>
      </c>
      <c r="B2269" t="s">
        <v>167</v>
      </c>
      <c r="C2269" t="s">
        <v>1883</v>
      </c>
      <c r="D2269" t="s">
        <v>4469</v>
      </c>
      <c r="E2269" t="s">
        <v>4444</v>
      </c>
      <c r="F2269" s="3">
        <v>45599</v>
      </c>
      <c r="G2269" s="3" t="s">
        <v>537</v>
      </c>
      <c r="I2269">
        <v>24</v>
      </c>
      <c r="J2269" t="s">
        <v>4440</v>
      </c>
      <c r="K2269" t="s">
        <v>4457</v>
      </c>
      <c r="L2269" t="s">
        <v>4449</v>
      </c>
      <c r="M2269" t="s">
        <v>1625</v>
      </c>
    </row>
    <row r="2270" spans="1:14" x14ac:dyDescent="0.35">
      <c r="A2270" t="s">
        <v>6749</v>
      </c>
      <c r="B2270" t="s">
        <v>491</v>
      </c>
      <c r="C2270" t="s">
        <v>1899</v>
      </c>
      <c r="D2270" t="s">
        <v>4469</v>
      </c>
      <c r="E2270" t="s">
        <v>79</v>
      </c>
      <c r="F2270" s="3">
        <v>45480</v>
      </c>
      <c r="G2270" s="3">
        <v>45480</v>
      </c>
      <c r="H2270">
        <v>6.1</v>
      </c>
      <c r="I2270">
        <v>24</v>
      </c>
      <c r="J2270" t="s">
        <v>4448</v>
      </c>
      <c r="K2270" t="s">
        <v>4441</v>
      </c>
      <c r="L2270" t="s">
        <v>4483</v>
      </c>
      <c r="M2270" t="s">
        <v>4450</v>
      </c>
      <c r="N2270">
        <v>5</v>
      </c>
    </row>
    <row r="2271" spans="1:14" x14ac:dyDescent="0.35">
      <c r="A2271" t="s">
        <v>6750</v>
      </c>
      <c r="B2271" t="s">
        <v>82</v>
      </c>
      <c r="C2271" t="s">
        <v>1915</v>
      </c>
      <c r="D2271" t="s">
        <v>4469</v>
      </c>
      <c r="E2271" t="s">
        <v>4444</v>
      </c>
      <c r="F2271" s="3">
        <v>45286</v>
      </c>
      <c r="G2271" s="3">
        <v>45286</v>
      </c>
      <c r="H2271">
        <v>16.7</v>
      </c>
      <c r="I2271">
        <v>24</v>
      </c>
      <c r="J2271" t="s">
        <v>4448</v>
      </c>
      <c r="K2271" t="s">
        <v>4441</v>
      </c>
      <c r="L2271" t="s">
        <v>4445</v>
      </c>
      <c r="M2271" t="s">
        <v>4450</v>
      </c>
      <c r="N2271">
        <v>3</v>
      </c>
    </row>
    <row r="2272" spans="1:14" x14ac:dyDescent="0.35">
      <c r="A2272" t="s">
        <v>6751</v>
      </c>
      <c r="B2272" t="s">
        <v>456</v>
      </c>
      <c r="C2272" t="s">
        <v>1890</v>
      </c>
      <c r="D2272" t="s">
        <v>4464</v>
      </c>
      <c r="E2272" t="s">
        <v>4456</v>
      </c>
      <c r="F2272" s="3">
        <v>45541</v>
      </c>
      <c r="G2272" s="3" t="s">
        <v>537</v>
      </c>
      <c r="I2272">
        <v>4</v>
      </c>
      <c r="J2272" t="s">
        <v>4440</v>
      </c>
      <c r="K2272" t="s">
        <v>4453</v>
      </c>
      <c r="L2272" t="s">
        <v>4509</v>
      </c>
      <c r="M2272" t="s">
        <v>4446</v>
      </c>
    </row>
    <row r="2273" spans="1:14" x14ac:dyDescent="0.35">
      <c r="A2273" t="s">
        <v>6752</v>
      </c>
      <c r="B2273" t="s">
        <v>460</v>
      </c>
      <c r="C2273" t="s">
        <v>1915</v>
      </c>
      <c r="D2273" t="s">
        <v>4443</v>
      </c>
      <c r="E2273" t="s">
        <v>4444</v>
      </c>
      <c r="F2273" s="3">
        <v>45155</v>
      </c>
      <c r="G2273" s="3" t="s">
        <v>537</v>
      </c>
      <c r="I2273">
        <v>24</v>
      </c>
      <c r="J2273" t="s">
        <v>4440</v>
      </c>
      <c r="K2273" t="s">
        <v>4453</v>
      </c>
      <c r="L2273" t="s">
        <v>4509</v>
      </c>
      <c r="M2273" t="s">
        <v>4462</v>
      </c>
    </row>
    <row r="2274" spans="1:14" x14ac:dyDescent="0.35">
      <c r="A2274" t="s">
        <v>6753</v>
      </c>
      <c r="B2274" t="s">
        <v>476</v>
      </c>
      <c r="C2274" t="s">
        <v>1883</v>
      </c>
      <c r="D2274" t="s">
        <v>4482</v>
      </c>
      <c r="E2274" t="s">
        <v>4444</v>
      </c>
      <c r="F2274" s="3">
        <v>45316</v>
      </c>
      <c r="G2274" s="3">
        <v>45316</v>
      </c>
      <c r="H2274">
        <v>21.5</v>
      </c>
      <c r="I2274">
        <v>24</v>
      </c>
      <c r="J2274" t="s">
        <v>4448</v>
      </c>
      <c r="K2274" t="s">
        <v>4441</v>
      </c>
      <c r="L2274" t="s">
        <v>4449</v>
      </c>
      <c r="M2274" t="s">
        <v>4450</v>
      </c>
      <c r="N2274">
        <v>4</v>
      </c>
    </row>
    <row r="2275" spans="1:14" x14ac:dyDescent="0.35">
      <c r="A2275" t="s">
        <v>6754</v>
      </c>
      <c r="B2275" t="s">
        <v>433</v>
      </c>
      <c r="C2275" t="s">
        <v>1915</v>
      </c>
      <c r="D2275" t="s">
        <v>4452</v>
      </c>
      <c r="E2275" t="s">
        <v>4456</v>
      </c>
      <c r="F2275" s="3">
        <v>45081</v>
      </c>
      <c r="G2275" s="3" t="s">
        <v>537</v>
      </c>
      <c r="I2275">
        <v>4</v>
      </c>
      <c r="J2275" t="s">
        <v>4448</v>
      </c>
      <c r="K2275" t="s">
        <v>4453</v>
      </c>
      <c r="L2275" t="s">
        <v>4483</v>
      </c>
      <c r="M2275" t="s">
        <v>4462</v>
      </c>
    </row>
    <row r="2276" spans="1:14" x14ac:dyDescent="0.35">
      <c r="A2276" t="s">
        <v>6755</v>
      </c>
      <c r="B2276" t="s">
        <v>367</v>
      </c>
      <c r="C2276" t="s">
        <v>1927</v>
      </c>
      <c r="D2276" t="s">
        <v>4438</v>
      </c>
      <c r="E2276" t="s">
        <v>4456</v>
      </c>
      <c r="F2276" s="3">
        <v>45205</v>
      </c>
      <c r="G2276" s="3" t="s">
        <v>537</v>
      </c>
      <c r="I2276">
        <v>4</v>
      </c>
      <c r="J2276" t="s">
        <v>4440</v>
      </c>
      <c r="K2276" t="s">
        <v>4474</v>
      </c>
      <c r="L2276" t="s">
        <v>4454</v>
      </c>
      <c r="M2276" t="s">
        <v>1625</v>
      </c>
    </row>
    <row r="2277" spans="1:14" x14ac:dyDescent="0.35">
      <c r="A2277" t="s">
        <v>6756</v>
      </c>
      <c r="B2277" t="s">
        <v>319</v>
      </c>
      <c r="C2277" t="s">
        <v>1915</v>
      </c>
      <c r="D2277" t="s">
        <v>4479</v>
      </c>
      <c r="E2277" t="s">
        <v>4439</v>
      </c>
      <c r="F2277" s="3">
        <v>45484</v>
      </c>
      <c r="G2277" s="3">
        <v>45486</v>
      </c>
      <c r="H2277">
        <v>58.5</v>
      </c>
      <c r="I2277">
        <v>48</v>
      </c>
      <c r="J2277" t="s">
        <v>4440</v>
      </c>
      <c r="K2277" t="s">
        <v>4441</v>
      </c>
      <c r="L2277" t="s">
        <v>4467</v>
      </c>
      <c r="M2277" t="s">
        <v>4450</v>
      </c>
    </row>
    <row r="2278" spans="1:14" x14ac:dyDescent="0.35">
      <c r="A2278" t="s">
        <v>6757</v>
      </c>
      <c r="B2278" t="s">
        <v>138</v>
      </c>
      <c r="C2278" t="s">
        <v>1915</v>
      </c>
      <c r="D2278" t="s">
        <v>4452</v>
      </c>
      <c r="E2278" t="s">
        <v>4456</v>
      </c>
      <c r="F2278" s="3">
        <v>45519</v>
      </c>
      <c r="G2278" s="3">
        <v>45519</v>
      </c>
      <c r="H2278">
        <v>8.6</v>
      </c>
      <c r="I2278">
        <v>4</v>
      </c>
      <c r="J2278" t="s">
        <v>4440</v>
      </c>
      <c r="K2278" t="s">
        <v>4441</v>
      </c>
      <c r="L2278" t="s">
        <v>4461</v>
      </c>
      <c r="M2278" t="s">
        <v>4462</v>
      </c>
    </row>
    <row r="2279" spans="1:14" x14ac:dyDescent="0.35">
      <c r="A2279" t="s">
        <v>6758</v>
      </c>
      <c r="B2279" t="s">
        <v>167</v>
      </c>
      <c r="C2279" t="s">
        <v>1899</v>
      </c>
      <c r="D2279" t="s">
        <v>4452</v>
      </c>
      <c r="E2279" t="s">
        <v>4456</v>
      </c>
      <c r="F2279" s="3">
        <v>45234</v>
      </c>
      <c r="G2279" s="3" t="s">
        <v>537</v>
      </c>
      <c r="I2279">
        <v>4</v>
      </c>
      <c r="J2279" t="s">
        <v>4440</v>
      </c>
      <c r="K2279" t="s">
        <v>4474</v>
      </c>
      <c r="L2279" t="s">
        <v>4445</v>
      </c>
      <c r="M2279" t="s">
        <v>4462</v>
      </c>
    </row>
    <row r="2280" spans="1:14" x14ac:dyDescent="0.35">
      <c r="A2280" t="s">
        <v>6759</v>
      </c>
      <c r="B2280" t="s">
        <v>442</v>
      </c>
      <c r="C2280" t="s">
        <v>1883</v>
      </c>
      <c r="D2280" t="s">
        <v>4490</v>
      </c>
      <c r="E2280" t="s">
        <v>4473</v>
      </c>
      <c r="F2280" s="3">
        <v>45380</v>
      </c>
      <c r="G2280" s="3">
        <v>45380</v>
      </c>
      <c r="H2280">
        <v>6.5</v>
      </c>
      <c r="I2280">
        <v>8</v>
      </c>
      <c r="J2280" t="s">
        <v>4448</v>
      </c>
      <c r="K2280" t="s">
        <v>4441</v>
      </c>
      <c r="L2280" t="s">
        <v>4458</v>
      </c>
      <c r="M2280" t="s">
        <v>4450</v>
      </c>
      <c r="N2280">
        <v>5</v>
      </c>
    </row>
    <row r="2281" spans="1:14" x14ac:dyDescent="0.35">
      <c r="A2281" t="s">
        <v>6760</v>
      </c>
      <c r="B2281" t="s">
        <v>380</v>
      </c>
      <c r="C2281" t="s">
        <v>1915</v>
      </c>
      <c r="D2281" t="s">
        <v>4472</v>
      </c>
      <c r="E2281" t="s">
        <v>4444</v>
      </c>
      <c r="F2281" s="3">
        <v>44972</v>
      </c>
      <c r="G2281" s="3" t="s">
        <v>537</v>
      </c>
      <c r="I2281">
        <v>24</v>
      </c>
      <c r="J2281" t="s">
        <v>4448</v>
      </c>
      <c r="K2281" t="s">
        <v>4453</v>
      </c>
      <c r="L2281" t="s">
        <v>4580</v>
      </c>
      <c r="M2281" t="s">
        <v>4446</v>
      </c>
    </row>
    <row r="2282" spans="1:14" x14ac:dyDescent="0.35">
      <c r="A2282" t="s">
        <v>6761</v>
      </c>
      <c r="B2282" t="s">
        <v>449</v>
      </c>
      <c r="C2282" t="s">
        <v>1899</v>
      </c>
      <c r="D2282" t="s">
        <v>4452</v>
      </c>
      <c r="E2282" t="s">
        <v>4473</v>
      </c>
      <c r="F2282" s="3">
        <v>45224</v>
      </c>
      <c r="G2282" s="3">
        <v>45224</v>
      </c>
      <c r="H2282">
        <v>1</v>
      </c>
      <c r="I2282">
        <v>8</v>
      </c>
      <c r="J2282" t="s">
        <v>4448</v>
      </c>
      <c r="K2282" t="s">
        <v>4441</v>
      </c>
      <c r="L2282" t="s">
        <v>4512</v>
      </c>
      <c r="M2282" t="s">
        <v>1625</v>
      </c>
      <c r="N2282">
        <v>4</v>
      </c>
    </row>
    <row r="2283" spans="1:14" x14ac:dyDescent="0.35">
      <c r="A2283" t="s">
        <v>6762</v>
      </c>
      <c r="B2283" t="s">
        <v>182</v>
      </c>
      <c r="C2283" t="s">
        <v>1883</v>
      </c>
      <c r="D2283" t="s">
        <v>4472</v>
      </c>
      <c r="E2283" t="s">
        <v>4439</v>
      </c>
      <c r="F2283" s="3">
        <v>45316</v>
      </c>
      <c r="G2283" s="3" t="s">
        <v>537</v>
      </c>
      <c r="I2283">
        <v>48</v>
      </c>
      <c r="J2283" t="s">
        <v>4440</v>
      </c>
      <c r="K2283" t="s">
        <v>4457</v>
      </c>
      <c r="L2283" t="s">
        <v>4480</v>
      </c>
      <c r="M2283" t="s">
        <v>4450</v>
      </c>
    </row>
    <row r="2284" spans="1:14" x14ac:dyDescent="0.35">
      <c r="A2284" t="s">
        <v>6763</v>
      </c>
      <c r="B2284" t="s">
        <v>319</v>
      </c>
      <c r="C2284" t="s">
        <v>1904</v>
      </c>
      <c r="D2284" t="s">
        <v>4479</v>
      </c>
      <c r="E2284" t="s">
        <v>4444</v>
      </c>
      <c r="F2284" s="3">
        <v>45324</v>
      </c>
      <c r="G2284" s="3" t="s">
        <v>537</v>
      </c>
      <c r="I2284">
        <v>24</v>
      </c>
      <c r="J2284" t="s">
        <v>4448</v>
      </c>
      <c r="K2284" t="s">
        <v>4457</v>
      </c>
      <c r="L2284" t="s">
        <v>4512</v>
      </c>
      <c r="M2284" t="s">
        <v>4446</v>
      </c>
    </row>
    <row r="2285" spans="1:14" x14ac:dyDescent="0.35">
      <c r="A2285" t="s">
        <v>6764</v>
      </c>
      <c r="B2285" t="s">
        <v>408</v>
      </c>
      <c r="C2285" t="s">
        <v>1927</v>
      </c>
      <c r="D2285" t="s">
        <v>4464</v>
      </c>
      <c r="E2285" t="s">
        <v>4444</v>
      </c>
      <c r="F2285" s="3">
        <v>45330</v>
      </c>
      <c r="G2285" s="3" t="s">
        <v>537</v>
      </c>
      <c r="I2285">
        <v>24</v>
      </c>
      <c r="J2285" t="s">
        <v>4440</v>
      </c>
      <c r="K2285" t="s">
        <v>4457</v>
      </c>
      <c r="L2285" t="s">
        <v>4492</v>
      </c>
      <c r="M2285" t="s">
        <v>4462</v>
      </c>
    </row>
    <row r="2286" spans="1:14" x14ac:dyDescent="0.35">
      <c r="A2286" t="s">
        <v>6765</v>
      </c>
      <c r="B2286" t="s">
        <v>434</v>
      </c>
      <c r="C2286" t="s">
        <v>1915</v>
      </c>
      <c r="D2286" t="s">
        <v>4490</v>
      </c>
      <c r="E2286" t="s">
        <v>4444</v>
      </c>
      <c r="F2286" s="3">
        <v>45018</v>
      </c>
      <c r="G2286" s="3" t="s">
        <v>537</v>
      </c>
      <c r="I2286">
        <v>24</v>
      </c>
      <c r="J2286" t="s">
        <v>4448</v>
      </c>
      <c r="K2286" t="s">
        <v>4474</v>
      </c>
      <c r="L2286" t="s">
        <v>4470</v>
      </c>
      <c r="M2286" t="s">
        <v>4462</v>
      </c>
    </row>
    <row r="2287" spans="1:14" x14ac:dyDescent="0.35">
      <c r="A2287" t="s">
        <v>6766</v>
      </c>
      <c r="B2287" t="s">
        <v>273</v>
      </c>
      <c r="C2287" t="s">
        <v>1883</v>
      </c>
      <c r="D2287" t="s">
        <v>4469</v>
      </c>
      <c r="E2287" t="s">
        <v>4444</v>
      </c>
      <c r="F2287" s="3">
        <v>45655</v>
      </c>
      <c r="G2287" s="3" t="s">
        <v>537</v>
      </c>
      <c r="I2287">
        <v>24</v>
      </c>
      <c r="J2287" t="s">
        <v>4440</v>
      </c>
      <c r="K2287" t="s">
        <v>4457</v>
      </c>
      <c r="L2287" t="s">
        <v>4512</v>
      </c>
      <c r="M2287" t="s">
        <v>1625</v>
      </c>
    </row>
    <row r="2288" spans="1:14" x14ac:dyDescent="0.35">
      <c r="A2288" t="s">
        <v>6767</v>
      </c>
      <c r="B2288" t="s">
        <v>415</v>
      </c>
      <c r="C2288" t="s">
        <v>1883</v>
      </c>
      <c r="D2288" t="s">
        <v>4438</v>
      </c>
      <c r="E2288" t="s">
        <v>4439</v>
      </c>
      <c r="F2288" s="3">
        <v>45600</v>
      </c>
      <c r="G2288" s="3">
        <v>45602</v>
      </c>
      <c r="H2288">
        <v>53.4</v>
      </c>
      <c r="I2288">
        <v>48</v>
      </c>
      <c r="J2288" t="s">
        <v>4440</v>
      </c>
      <c r="K2288" t="s">
        <v>4441</v>
      </c>
      <c r="L2288" t="s">
        <v>4449</v>
      </c>
      <c r="M2288" t="s">
        <v>4446</v>
      </c>
      <c r="N2288">
        <v>3</v>
      </c>
    </row>
    <row r="2289" spans="1:14" x14ac:dyDescent="0.35">
      <c r="A2289" t="s">
        <v>6768</v>
      </c>
      <c r="B2289" t="s">
        <v>488</v>
      </c>
      <c r="C2289" t="s">
        <v>1927</v>
      </c>
      <c r="D2289" t="s">
        <v>4490</v>
      </c>
      <c r="E2289" t="s">
        <v>4439</v>
      </c>
      <c r="F2289" s="3">
        <v>45291</v>
      </c>
      <c r="G2289" s="3" t="s">
        <v>537</v>
      </c>
      <c r="I2289">
        <v>48</v>
      </c>
      <c r="J2289" t="s">
        <v>4448</v>
      </c>
      <c r="K2289" t="s">
        <v>4453</v>
      </c>
      <c r="L2289" t="s">
        <v>4483</v>
      </c>
      <c r="M2289" t="s">
        <v>4462</v>
      </c>
    </row>
    <row r="2290" spans="1:14" x14ac:dyDescent="0.35">
      <c r="A2290" t="s">
        <v>6769</v>
      </c>
      <c r="B2290" t="s">
        <v>295</v>
      </c>
      <c r="C2290" t="s">
        <v>1904</v>
      </c>
      <c r="D2290" t="s">
        <v>4460</v>
      </c>
      <c r="E2290" t="s">
        <v>4473</v>
      </c>
      <c r="F2290" s="3">
        <v>45360</v>
      </c>
      <c r="G2290" s="3" t="s">
        <v>537</v>
      </c>
      <c r="I2290">
        <v>8</v>
      </c>
      <c r="J2290" t="s">
        <v>4440</v>
      </c>
      <c r="K2290" t="s">
        <v>4457</v>
      </c>
      <c r="L2290" t="s">
        <v>4465</v>
      </c>
      <c r="M2290" t="s">
        <v>4446</v>
      </c>
    </row>
    <row r="2291" spans="1:14" x14ac:dyDescent="0.35">
      <c r="A2291" t="s">
        <v>6770</v>
      </c>
      <c r="B2291" t="s">
        <v>358</v>
      </c>
      <c r="C2291" t="s">
        <v>1927</v>
      </c>
      <c r="D2291" t="s">
        <v>4482</v>
      </c>
      <c r="E2291" t="s">
        <v>79</v>
      </c>
      <c r="F2291" s="3">
        <v>45406</v>
      </c>
      <c r="G2291" s="3">
        <v>45408</v>
      </c>
      <c r="H2291">
        <v>57.5</v>
      </c>
      <c r="I2291">
        <v>48</v>
      </c>
      <c r="J2291" t="s">
        <v>4440</v>
      </c>
      <c r="K2291" t="s">
        <v>4441</v>
      </c>
      <c r="L2291" t="s">
        <v>4488</v>
      </c>
      <c r="M2291" t="s">
        <v>4446</v>
      </c>
      <c r="N2291">
        <v>3</v>
      </c>
    </row>
    <row r="2292" spans="1:14" x14ac:dyDescent="0.35">
      <c r="A2292" t="s">
        <v>6771</v>
      </c>
      <c r="B2292" t="s">
        <v>328</v>
      </c>
      <c r="C2292" t="s">
        <v>1883</v>
      </c>
      <c r="D2292" t="s">
        <v>4438</v>
      </c>
      <c r="E2292" t="s">
        <v>4439</v>
      </c>
      <c r="F2292" s="3">
        <v>45211</v>
      </c>
      <c r="G2292" s="3">
        <v>45215</v>
      </c>
      <c r="H2292">
        <v>119.2</v>
      </c>
      <c r="I2292">
        <v>48</v>
      </c>
      <c r="J2292" t="s">
        <v>4440</v>
      </c>
      <c r="K2292" t="s">
        <v>4441</v>
      </c>
      <c r="L2292" t="s">
        <v>4470</v>
      </c>
      <c r="M2292" t="s">
        <v>4462</v>
      </c>
      <c r="N2292">
        <v>3</v>
      </c>
    </row>
    <row r="2293" spans="1:14" x14ac:dyDescent="0.35">
      <c r="A2293" t="s">
        <v>6772</v>
      </c>
      <c r="B2293" t="s">
        <v>178</v>
      </c>
      <c r="C2293" t="s">
        <v>1890</v>
      </c>
      <c r="D2293" t="s">
        <v>4469</v>
      </c>
      <c r="E2293" t="s">
        <v>4473</v>
      </c>
      <c r="F2293" s="3">
        <v>45275</v>
      </c>
      <c r="G2293" s="3">
        <v>45275</v>
      </c>
      <c r="H2293">
        <v>9.6999999999999993</v>
      </c>
      <c r="I2293">
        <v>8</v>
      </c>
      <c r="J2293" t="s">
        <v>4440</v>
      </c>
      <c r="K2293" t="s">
        <v>4441</v>
      </c>
      <c r="L2293" t="s">
        <v>4449</v>
      </c>
      <c r="M2293" t="s">
        <v>1625</v>
      </c>
      <c r="N2293">
        <v>3</v>
      </c>
    </row>
    <row r="2294" spans="1:14" x14ac:dyDescent="0.35">
      <c r="A2294" t="s">
        <v>6773</v>
      </c>
      <c r="B2294" t="s">
        <v>296</v>
      </c>
      <c r="C2294" t="s">
        <v>1915</v>
      </c>
      <c r="D2294" t="s">
        <v>4469</v>
      </c>
      <c r="E2294" t="s">
        <v>4444</v>
      </c>
      <c r="F2294" s="3">
        <v>45556</v>
      </c>
      <c r="G2294" s="3" t="s">
        <v>537</v>
      </c>
      <c r="I2294">
        <v>24</v>
      </c>
      <c r="J2294" t="s">
        <v>4440</v>
      </c>
      <c r="K2294" t="s">
        <v>4474</v>
      </c>
      <c r="L2294" t="s">
        <v>4470</v>
      </c>
      <c r="M2294" t="s">
        <v>4446</v>
      </c>
    </row>
    <row r="2295" spans="1:14" x14ac:dyDescent="0.35">
      <c r="A2295" t="s">
        <v>6774</v>
      </c>
      <c r="B2295" t="s">
        <v>82</v>
      </c>
      <c r="C2295" t="s">
        <v>1927</v>
      </c>
      <c r="D2295" t="s">
        <v>4469</v>
      </c>
      <c r="E2295" t="s">
        <v>4444</v>
      </c>
      <c r="F2295" s="3">
        <v>45198</v>
      </c>
      <c r="G2295" s="3">
        <v>45199</v>
      </c>
      <c r="H2295">
        <v>41.6</v>
      </c>
      <c r="I2295">
        <v>24</v>
      </c>
      <c r="J2295" t="s">
        <v>4440</v>
      </c>
      <c r="K2295" t="s">
        <v>4441</v>
      </c>
      <c r="L2295" t="s">
        <v>1907</v>
      </c>
      <c r="M2295" t="s">
        <v>1625</v>
      </c>
    </row>
    <row r="2296" spans="1:14" x14ac:dyDescent="0.35">
      <c r="A2296" t="s">
        <v>6775</v>
      </c>
      <c r="B2296" t="s">
        <v>447</v>
      </c>
      <c r="C2296" t="s">
        <v>1915</v>
      </c>
      <c r="D2296" t="s">
        <v>4476</v>
      </c>
      <c r="E2296" t="s">
        <v>4439</v>
      </c>
      <c r="F2296" s="3">
        <v>45708</v>
      </c>
      <c r="G2296" s="3">
        <v>45708</v>
      </c>
      <c r="H2296">
        <v>11.9</v>
      </c>
      <c r="I2296">
        <v>48</v>
      </c>
      <c r="J2296" t="s">
        <v>4448</v>
      </c>
      <c r="K2296" t="s">
        <v>4441</v>
      </c>
      <c r="L2296" t="s">
        <v>4488</v>
      </c>
      <c r="M2296" t="s">
        <v>4446</v>
      </c>
      <c r="N2296">
        <v>2</v>
      </c>
    </row>
    <row r="2297" spans="1:14" x14ac:dyDescent="0.35">
      <c r="A2297" t="s">
        <v>6776</v>
      </c>
      <c r="B2297" t="s">
        <v>193</v>
      </c>
      <c r="C2297" t="s">
        <v>1883</v>
      </c>
      <c r="D2297" t="s">
        <v>4482</v>
      </c>
      <c r="E2297" t="s">
        <v>4473</v>
      </c>
      <c r="F2297" s="3">
        <v>44979</v>
      </c>
      <c r="G2297" s="3">
        <v>44979</v>
      </c>
      <c r="H2297">
        <v>1.5</v>
      </c>
      <c r="I2297">
        <v>8</v>
      </c>
      <c r="J2297" t="s">
        <v>4448</v>
      </c>
      <c r="K2297" t="s">
        <v>4441</v>
      </c>
      <c r="L2297" t="s">
        <v>4488</v>
      </c>
      <c r="M2297" t="s">
        <v>4446</v>
      </c>
      <c r="N2297">
        <v>4</v>
      </c>
    </row>
    <row r="2298" spans="1:14" x14ac:dyDescent="0.35">
      <c r="A2298" t="s">
        <v>6777</v>
      </c>
      <c r="B2298" t="s">
        <v>11</v>
      </c>
      <c r="C2298" t="s">
        <v>1915</v>
      </c>
      <c r="D2298" t="s">
        <v>4460</v>
      </c>
      <c r="E2298" t="s">
        <v>4456</v>
      </c>
      <c r="F2298" s="3">
        <v>45066</v>
      </c>
      <c r="G2298" s="3">
        <v>45066</v>
      </c>
      <c r="H2298">
        <v>1.4</v>
      </c>
      <c r="I2298">
        <v>4</v>
      </c>
      <c r="J2298" t="s">
        <v>4448</v>
      </c>
      <c r="K2298" t="s">
        <v>4441</v>
      </c>
      <c r="L2298" t="s">
        <v>4454</v>
      </c>
      <c r="M2298" t="s">
        <v>4450</v>
      </c>
      <c r="N2298">
        <v>4</v>
      </c>
    </row>
    <row r="2299" spans="1:14" x14ac:dyDescent="0.35">
      <c r="A2299" t="s">
        <v>6778</v>
      </c>
      <c r="B2299" t="s">
        <v>68</v>
      </c>
      <c r="C2299" t="s">
        <v>1899</v>
      </c>
      <c r="D2299" t="s">
        <v>4464</v>
      </c>
      <c r="E2299" t="s">
        <v>4444</v>
      </c>
      <c r="F2299" s="3">
        <v>45123</v>
      </c>
      <c r="G2299" s="3" t="s">
        <v>537</v>
      </c>
      <c r="I2299">
        <v>24</v>
      </c>
      <c r="J2299" t="s">
        <v>4440</v>
      </c>
      <c r="K2299" t="s">
        <v>4453</v>
      </c>
      <c r="L2299" t="s">
        <v>4492</v>
      </c>
      <c r="M2299" t="s">
        <v>1625</v>
      </c>
    </row>
    <row r="2300" spans="1:14" x14ac:dyDescent="0.35">
      <c r="A2300" t="s">
        <v>6779</v>
      </c>
      <c r="B2300" t="s">
        <v>305</v>
      </c>
      <c r="C2300" t="s">
        <v>1904</v>
      </c>
      <c r="D2300" t="s">
        <v>4485</v>
      </c>
      <c r="E2300" t="s">
        <v>4444</v>
      </c>
      <c r="F2300" s="3">
        <v>45275</v>
      </c>
      <c r="G2300" s="3">
        <v>45277</v>
      </c>
      <c r="H2300">
        <v>59.5</v>
      </c>
      <c r="I2300">
        <v>24</v>
      </c>
      <c r="J2300" t="s">
        <v>4440</v>
      </c>
      <c r="K2300" t="s">
        <v>4441</v>
      </c>
      <c r="L2300" t="s">
        <v>4580</v>
      </c>
      <c r="M2300" t="s">
        <v>4446</v>
      </c>
      <c r="N2300">
        <v>4</v>
      </c>
    </row>
    <row r="2301" spans="1:14" x14ac:dyDescent="0.35">
      <c r="A2301" t="s">
        <v>6780</v>
      </c>
      <c r="B2301" t="s">
        <v>307</v>
      </c>
      <c r="C2301" t="s">
        <v>1890</v>
      </c>
      <c r="D2301" t="s">
        <v>4472</v>
      </c>
      <c r="E2301" t="s">
        <v>4473</v>
      </c>
      <c r="F2301" s="3">
        <v>45655</v>
      </c>
      <c r="G2301" s="3">
        <v>45655</v>
      </c>
      <c r="H2301">
        <v>16</v>
      </c>
      <c r="I2301">
        <v>8</v>
      </c>
      <c r="J2301" t="s">
        <v>4440</v>
      </c>
      <c r="K2301" t="s">
        <v>4441</v>
      </c>
      <c r="L2301" t="s">
        <v>4465</v>
      </c>
      <c r="M2301" t="s">
        <v>4446</v>
      </c>
      <c r="N2301">
        <v>3</v>
      </c>
    </row>
    <row r="2302" spans="1:14" x14ac:dyDescent="0.35">
      <c r="A2302" t="s">
        <v>6781</v>
      </c>
      <c r="B2302" t="s">
        <v>222</v>
      </c>
      <c r="C2302" t="s">
        <v>1915</v>
      </c>
      <c r="D2302" t="s">
        <v>4485</v>
      </c>
      <c r="E2302" t="s">
        <v>4444</v>
      </c>
      <c r="F2302" s="3">
        <v>45687</v>
      </c>
      <c r="G2302" s="3">
        <v>45687</v>
      </c>
      <c r="H2302">
        <v>1.3</v>
      </c>
      <c r="I2302">
        <v>24</v>
      </c>
      <c r="J2302" t="s">
        <v>4448</v>
      </c>
      <c r="K2302" t="s">
        <v>4441</v>
      </c>
      <c r="L2302" t="s">
        <v>4483</v>
      </c>
      <c r="M2302" t="s">
        <v>4450</v>
      </c>
      <c r="N2302">
        <v>5</v>
      </c>
    </row>
    <row r="2303" spans="1:14" x14ac:dyDescent="0.35">
      <c r="A2303" t="s">
        <v>6782</v>
      </c>
      <c r="B2303" t="s">
        <v>349</v>
      </c>
      <c r="C2303" t="s">
        <v>1927</v>
      </c>
      <c r="D2303" t="s">
        <v>4443</v>
      </c>
      <c r="E2303" t="s">
        <v>4439</v>
      </c>
      <c r="F2303" s="3">
        <v>45256</v>
      </c>
      <c r="G2303" s="3" t="s">
        <v>537</v>
      </c>
      <c r="I2303">
        <v>48</v>
      </c>
      <c r="J2303" t="s">
        <v>4448</v>
      </c>
      <c r="K2303" t="s">
        <v>4474</v>
      </c>
      <c r="L2303" t="s">
        <v>4470</v>
      </c>
      <c r="M2303" t="s">
        <v>4462</v>
      </c>
    </row>
    <row r="2304" spans="1:14" x14ac:dyDescent="0.35">
      <c r="A2304" t="s">
        <v>6783</v>
      </c>
      <c r="B2304" t="s">
        <v>101</v>
      </c>
      <c r="C2304" t="s">
        <v>1927</v>
      </c>
      <c r="D2304" t="s">
        <v>4485</v>
      </c>
      <c r="E2304" t="s">
        <v>4444</v>
      </c>
      <c r="F2304" s="3">
        <v>44965</v>
      </c>
      <c r="G2304" s="3" t="s">
        <v>537</v>
      </c>
      <c r="I2304">
        <v>24</v>
      </c>
      <c r="J2304" t="s">
        <v>4440</v>
      </c>
      <c r="K2304" t="s">
        <v>4457</v>
      </c>
      <c r="L2304" t="s">
        <v>4580</v>
      </c>
      <c r="M2304" t="s">
        <v>4450</v>
      </c>
    </row>
    <row r="2305" spans="1:14" x14ac:dyDescent="0.35">
      <c r="A2305" t="s">
        <v>6784</v>
      </c>
      <c r="B2305" t="s">
        <v>426</v>
      </c>
      <c r="C2305" t="s">
        <v>1927</v>
      </c>
      <c r="D2305" t="s">
        <v>8506</v>
      </c>
      <c r="E2305" t="s">
        <v>4439</v>
      </c>
      <c r="F2305" s="3">
        <v>45672</v>
      </c>
      <c r="G2305" s="3">
        <v>45676</v>
      </c>
      <c r="H2305">
        <v>114.6</v>
      </c>
      <c r="I2305">
        <v>48</v>
      </c>
      <c r="J2305" t="s">
        <v>4440</v>
      </c>
      <c r="K2305" t="s">
        <v>4441</v>
      </c>
      <c r="L2305" t="s">
        <v>4501</v>
      </c>
      <c r="M2305" t="s">
        <v>4446</v>
      </c>
      <c r="N2305">
        <v>3</v>
      </c>
    </row>
    <row r="2306" spans="1:14" x14ac:dyDescent="0.35">
      <c r="A2306" t="s">
        <v>6785</v>
      </c>
      <c r="B2306" t="s">
        <v>247</v>
      </c>
      <c r="C2306" t="s">
        <v>1890</v>
      </c>
      <c r="D2306" t="s">
        <v>4476</v>
      </c>
      <c r="E2306" t="s">
        <v>4444</v>
      </c>
      <c r="F2306" s="3">
        <v>45424</v>
      </c>
      <c r="G2306" s="3">
        <v>45424</v>
      </c>
      <c r="H2306">
        <v>10.6</v>
      </c>
      <c r="I2306">
        <v>24</v>
      </c>
      <c r="J2306" t="s">
        <v>4448</v>
      </c>
      <c r="K2306" t="s">
        <v>4441</v>
      </c>
      <c r="L2306" t="s">
        <v>4580</v>
      </c>
      <c r="M2306" t="s">
        <v>1625</v>
      </c>
      <c r="N2306">
        <v>4</v>
      </c>
    </row>
    <row r="2307" spans="1:14" x14ac:dyDescent="0.35">
      <c r="A2307" t="s">
        <v>6786</v>
      </c>
      <c r="B2307" t="s">
        <v>38</v>
      </c>
      <c r="C2307" t="s">
        <v>1883</v>
      </c>
      <c r="D2307" t="s">
        <v>4464</v>
      </c>
      <c r="E2307" t="s">
        <v>4473</v>
      </c>
      <c r="F2307" s="3">
        <v>45218</v>
      </c>
      <c r="G2307" s="3">
        <v>45218</v>
      </c>
      <c r="H2307">
        <v>16.5</v>
      </c>
      <c r="I2307">
        <v>8</v>
      </c>
      <c r="J2307" t="s">
        <v>4440</v>
      </c>
      <c r="K2307" t="s">
        <v>4441</v>
      </c>
      <c r="L2307" t="s">
        <v>4461</v>
      </c>
      <c r="M2307" t="s">
        <v>4446</v>
      </c>
      <c r="N2307">
        <v>5</v>
      </c>
    </row>
    <row r="2308" spans="1:14" x14ac:dyDescent="0.35">
      <c r="A2308" t="s">
        <v>6787</v>
      </c>
      <c r="B2308" t="s">
        <v>77</v>
      </c>
      <c r="C2308" t="s">
        <v>1890</v>
      </c>
      <c r="D2308" t="s">
        <v>4460</v>
      </c>
      <c r="E2308" t="s">
        <v>4439</v>
      </c>
      <c r="F2308" s="3">
        <v>45461</v>
      </c>
      <c r="G2308" s="3">
        <v>45463</v>
      </c>
      <c r="H2308">
        <v>63.4</v>
      </c>
      <c r="I2308">
        <v>48</v>
      </c>
      <c r="J2308" t="s">
        <v>4440</v>
      </c>
      <c r="K2308" t="s">
        <v>4441</v>
      </c>
      <c r="L2308" t="s">
        <v>4527</v>
      </c>
      <c r="M2308" t="s">
        <v>4450</v>
      </c>
      <c r="N2308">
        <v>3</v>
      </c>
    </row>
    <row r="2309" spans="1:14" x14ac:dyDescent="0.35">
      <c r="A2309" t="s">
        <v>6788</v>
      </c>
      <c r="B2309" t="s">
        <v>144</v>
      </c>
      <c r="C2309" t="s">
        <v>1915</v>
      </c>
      <c r="D2309" t="s">
        <v>4452</v>
      </c>
      <c r="E2309" t="s">
        <v>4473</v>
      </c>
      <c r="F2309" s="3">
        <v>45305</v>
      </c>
      <c r="G2309" s="3">
        <v>45305</v>
      </c>
      <c r="H2309">
        <v>5.3</v>
      </c>
      <c r="I2309">
        <v>8</v>
      </c>
      <c r="J2309" t="s">
        <v>4448</v>
      </c>
      <c r="K2309" t="s">
        <v>4441</v>
      </c>
      <c r="L2309" t="s">
        <v>4483</v>
      </c>
      <c r="M2309" t="s">
        <v>4462</v>
      </c>
      <c r="N2309">
        <v>4</v>
      </c>
    </row>
    <row r="2310" spans="1:14" x14ac:dyDescent="0.35">
      <c r="A2310" t="s">
        <v>6789</v>
      </c>
      <c r="B2310" t="s">
        <v>319</v>
      </c>
      <c r="C2310" t="s">
        <v>1890</v>
      </c>
      <c r="D2310" t="s">
        <v>4476</v>
      </c>
      <c r="E2310" t="s">
        <v>4444</v>
      </c>
      <c r="F2310" s="3">
        <v>45026</v>
      </c>
      <c r="G2310" s="3">
        <v>45026</v>
      </c>
      <c r="H2310">
        <v>14.1</v>
      </c>
      <c r="I2310">
        <v>24</v>
      </c>
      <c r="J2310" t="s">
        <v>4448</v>
      </c>
      <c r="K2310" t="s">
        <v>4441</v>
      </c>
      <c r="L2310" t="s">
        <v>4483</v>
      </c>
      <c r="M2310" t="s">
        <v>4450</v>
      </c>
    </row>
    <row r="2311" spans="1:14" x14ac:dyDescent="0.35">
      <c r="A2311" t="s">
        <v>6790</v>
      </c>
      <c r="B2311" t="s">
        <v>383</v>
      </c>
      <c r="C2311" t="s">
        <v>1904</v>
      </c>
      <c r="D2311" t="s">
        <v>4485</v>
      </c>
      <c r="E2311" t="s">
        <v>4444</v>
      </c>
      <c r="F2311" s="3">
        <v>45102</v>
      </c>
      <c r="G2311" s="3">
        <v>45103</v>
      </c>
      <c r="H2311">
        <v>45.9</v>
      </c>
      <c r="I2311">
        <v>24</v>
      </c>
      <c r="J2311" t="s">
        <v>4440</v>
      </c>
      <c r="K2311" t="s">
        <v>4441</v>
      </c>
      <c r="L2311" t="s">
        <v>4492</v>
      </c>
      <c r="M2311" t="s">
        <v>1625</v>
      </c>
    </row>
    <row r="2312" spans="1:14" x14ac:dyDescent="0.35">
      <c r="A2312" t="s">
        <v>6791</v>
      </c>
      <c r="B2312" t="s">
        <v>426</v>
      </c>
      <c r="C2312" t="s">
        <v>1927</v>
      </c>
      <c r="D2312" t="s">
        <v>4490</v>
      </c>
      <c r="E2312" t="s">
        <v>4473</v>
      </c>
      <c r="F2312" s="3">
        <v>45584</v>
      </c>
      <c r="G2312" s="3">
        <v>45584</v>
      </c>
      <c r="H2312">
        <v>9.1</v>
      </c>
      <c r="I2312">
        <v>8</v>
      </c>
      <c r="J2312" t="s">
        <v>4440</v>
      </c>
      <c r="K2312" t="s">
        <v>4441</v>
      </c>
      <c r="L2312" t="s">
        <v>4454</v>
      </c>
      <c r="M2312" t="s">
        <v>4446</v>
      </c>
      <c r="N2312">
        <v>4</v>
      </c>
    </row>
    <row r="2313" spans="1:14" x14ac:dyDescent="0.35">
      <c r="A2313" t="s">
        <v>6792</v>
      </c>
      <c r="B2313" t="s">
        <v>85</v>
      </c>
      <c r="C2313" t="s">
        <v>1915</v>
      </c>
      <c r="D2313" t="s">
        <v>4469</v>
      </c>
      <c r="E2313" t="s">
        <v>79</v>
      </c>
      <c r="F2313" s="3">
        <v>45370</v>
      </c>
      <c r="G2313" s="3" t="s">
        <v>537</v>
      </c>
      <c r="I2313">
        <v>8</v>
      </c>
      <c r="J2313" t="s">
        <v>4440</v>
      </c>
      <c r="K2313" t="s">
        <v>4457</v>
      </c>
      <c r="L2313" t="s">
        <v>4458</v>
      </c>
      <c r="M2313" t="s">
        <v>4450</v>
      </c>
    </row>
    <row r="2314" spans="1:14" x14ac:dyDescent="0.35">
      <c r="A2314" t="s">
        <v>6793</v>
      </c>
      <c r="B2314" t="s">
        <v>273</v>
      </c>
      <c r="C2314" t="s">
        <v>1927</v>
      </c>
      <c r="D2314" t="s">
        <v>4479</v>
      </c>
      <c r="E2314" t="s">
        <v>4444</v>
      </c>
      <c r="F2314" s="3">
        <v>45254</v>
      </c>
      <c r="G2314" s="3">
        <v>45255</v>
      </c>
      <c r="H2314">
        <v>38.6</v>
      </c>
      <c r="I2314">
        <v>24</v>
      </c>
      <c r="J2314" t="s">
        <v>4440</v>
      </c>
      <c r="K2314" t="s">
        <v>4441</v>
      </c>
      <c r="L2314" t="s">
        <v>4449</v>
      </c>
      <c r="M2314" t="s">
        <v>4450</v>
      </c>
      <c r="N2314">
        <v>5</v>
      </c>
    </row>
    <row r="2315" spans="1:14" x14ac:dyDescent="0.35">
      <c r="A2315" t="s">
        <v>6794</v>
      </c>
      <c r="B2315" t="s">
        <v>52</v>
      </c>
      <c r="C2315" t="s">
        <v>1904</v>
      </c>
      <c r="D2315" t="s">
        <v>4469</v>
      </c>
      <c r="E2315" t="s">
        <v>4473</v>
      </c>
      <c r="F2315" s="3">
        <v>45457</v>
      </c>
      <c r="G2315" s="3" t="s">
        <v>537</v>
      </c>
      <c r="I2315">
        <v>8</v>
      </c>
      <c r="J2315" t="s">
        <v>4440</v>
      </c>
      <c r="K2315" t="s">
        <v>4474</v>
      </c>
      <c r="L2315" t="s">
        <v>4449</v>
      </c>
      <c r="M2315" t="s">
        <v>1625</v>
      </c>
    </row>
    <row r="2316" spans="1:14" x14ac:dyDescent="0.35">
      <c r="A2316" t="s">
        <v>6795</v>
      </c>
      <c r="B2316" t="s">
        <v>348</v>
      </c>
      <c r="C2316" t="s">
        <v>1899</v>
      </c>
      <c r="D2316" t="s">
        <v>4443</v>
      </c>
      <c r="E2316" t="s">
        <v>4444</v>
      </c>
      <c r="F2316" s="3">
        <v>45622</v>
      </c>
      <c r="G2316" s="3" t="s">
        <v>537</v>
      </c>
      <c r="I2316">
        <v>24</v>
      </c>
      <c r="J2316" t="s">
        <v>4448</v>
      </c>
      <c r="K2316" t="s">
        <v>4453</v>
      </c>
      <c r="L2316" t="s">
        <v>4512</v>
      </c>
      <c r="M2316" t="s">
        <v>1625</v>
      </c>
    </row>
    <row r="2317" spans="1:14" x14ac:dyDescent="0.35">
      <c r="A2317" t="s">
        <v>6796</v>
      </c>
      <c r="B2317" t="s">
        <v>466</v>
      </c>
      <c r="C2317" t="s">
        <v>1904</v>
      </c>
      <c r="D2317" t="s">
        <v>4460</v>
      </c>
      <c r="E2317" t="s">
        <v>4473</v>
      </c>
      <c r="F2317" s="3">
        <v>45419</v>
      </c>
      <c r="G2317" s="3" t="s">
        <v>537</v>
      </c>
      <c r="I2317">
        <v>8</v>
      </c>
      <c r="J2317" t="s">
        <v>4440</v>
      </c>
      <c r="K2317" t="s">
        <v>4457</v>
      </c>
      <c r="L2317" t="s">
        <v>4467</v>
      </c>
      <c r="M2317" t="s">
        <v>4450</v>
      </c>
    </row>
    <row r="2318" spans="1:14" x14ac:dyDescent="0.35">
      <c r="A2318" t="s">
        <v>6797</v>
      </c>
      <c r="B2318" t="s">
        <v>230</v>
      </c>
      <c r="C2318" t="s">
        <v>1899</v>
      </c>
      <c r="D2318" t="s">
        <v>4476</v>
      </c>
      <c r="E2318" t="s">
        <v>4439</v>
      </c>
      <c r="F2318" s="3">
        <v>45653</v>
      </c>
      <c r="G2318" s="3">
        <v>45654</v>
      </c>
      <c r="H2318">
        <v>41.4</v>
      </c>
      <c r="I2318">
        <v>48</v>
      </c>
      <c r="J2318" t="s">
        <v>4448</v>
      </c>
      <c r="K2318" t="s">
        <v>4441</v>
      </c>
      <c r="L2318" t="s">
        <v>4527</v>
      </c>
      <c r="M2318" t="s">
        <v>4450</v>
      </c>
      <c r="N2318">
        <v>3</v>
      </c>
    </row>
    <row r="2319" spans="1:14" x14ac:dyDescent="0.35">
      <c r="A2319" t="s">
        <v>6798</v>
      </c>
      <c r="B2319" t="s">
        <v>255</v>
      </c>
      <c r="C2319" t="s">
        <v>1890</v>
      </c>
      <c r="D2319" t="s">
        <v>4476</v>
      </c>
      <c r="E2319" t="s">
        <v>4473</v>
      </c>
      <c r="F2319" s="3">
        <v>45473</v>
      </c>
      <c r="G2319" s="3" t="s">
        <v>537</v>
      </c>
      <c r="I2319">
        <v>8</v>
      </c>
      <c r="J2319" t="s">
        <v>4440</v>
      </c>
      <c r="K2319" t="s">
        <v>4453</v>
      </c>
      <c r="L2319" t="s">
        <v>4501</v>
      </c>
      <c r="M2319" t="s">
        <v>1625</v>
      </c>
    </row>
    <row r="2320" spans="1:14" x14ac:dyDescent="0.35">
      <c r="A2320" t="s">
        <v>6799</v>
      </c>
      <c r="B2320" t="s">
        <v>211</v>
      </c>
      <c r="C2320" t="s">
        <v>1915</v>
      </c>
      <c r="D2320" t="s">
        <v>4482</v>
      </c>
      <c r="E2320" t="s">
        <v>4444</v>
      </c>
      <c r="F2320" s="3">
        <v>45704</v>
      </c>
      <c r="G2320" s="3" t="s">
        <v>537</v>
      </c>
      <c r="I2320">
        <v>24</v>
      </c>
      <c r="J2320" t="s">
        <v>4448</v>
      </c>
      <c r="K2320" t="s">
        <v>4474</v>
      </c>
      <c r="L2320" t="s">
        <v>4483</v>
      </c>
      <c r="M2320" t="s">
        <v>1625</v>
      </c>
    </row>
    <row r="2321" spans="1:14" x14ac:dyDescent="0.35">
      <c r="A2321" t="s">
        <v>6800</v>
      </c>
      <c r="B2321" t="s">
        <v>97</v>
      </c>
      <c r="C2321" t="s">
        <v>1915</v>
      </c>
      <c r="D2321" t="s">
        <v>4469</v>
      </c>
      <c r="E2321" t="s">
        <v>4456</v>
      </c>
      <c r="F2321" s="3">
        <v>45465</v>
      </c>
      <c r="G2321" s="3">
        <v>45465</v>
      </c>
      <c r="H2321">
        <v>2.8</v>
      </c>
      <c r="I2321">
        <v>4</v>
      </c>
      <c r="J2321" t="s">
        <v>4448</v>
      </c>
      <c r="K2321" t="s">
        <v>4441</v>
      </c>
      <c r="L2321" t="s">
        <v>4461</v>
      </c>
      <c r="M2321" t="s">
        <v>4446</v>
      </c>
      <c r="N2321">
        <v>3</v>
      </c>
    </row>
    <row r="2322" spans="1:14" x14ac:dyDescent="0.35">
      <c r="A2322" t="s">
        <v>6801</v>
      </c>
      <c r="B2322" t="s">
        <v>451</v>
      </c>
      <c r="C2322" t="s">
        <v>1883</v>
      </c>
      <c r="D2322" t="s">
        <v>4460</v>
      </c>
      <c r="E2322" t="s">
        <v>4473</v>
      </c>
      <c r="F2322" s="3">
        <v>45066</v>
      </c>
      <c r="G2322" s="3">
        <v>45066</v>
      </c>
      <c r="H2322">
        <v>18.3</v>
      </c>
      <c r="I2322">
        <v>8</v>
      </c>
      <c r="J2322" t="s">
        <v>4440</v>
      </c>
      <c r="K2322" t="s">
        <v>4441</v>
      </c>
      <c r="L2322" t="s">
        <v>4467</v>
      </c>
      <c r="M2322" t="s">
        <v>4450</v>
      </c>
      <c r="N2322">
        <v>1</v>
      </c>
    </row>
    <row r="2323" spans="1:14" x14ac:dyDescent="0.35">
      <c r="A2323" t="s">
        <v>6802</v>
      </c>
      <c r="B2323" t="s">
        <v>71</v>
      </c>
      <c r="C2323" t="s">
        <v>1883</v>
      </c>
      <c r="D2323" t="s">
        <v>4464</v>
      </c>
      <c r="E2323" t="s">
        <v>4473</v>
      </c>
      <c r="F2323" s="3">
        <v>45540</v>
      </c>
      <c r="G2323" s="3" t="s">
        <v>537</v>
      </c>
      <c r="I2323">
        <v>8</v>
      </c>
      <c r="J2323" t="s">
        <v>4440</v>
      </c>
      <c r="K2323" t="s">
        <v>4457</v>
      </c>
      <c r="L2323" t="s">
        <v>4449</v>
      </c>
      <c r="M2323" t="s">
        <v>1625</v>
      </c>
    </row>
    <row r="2324" spans="1:14" x14ac:dyDescent="0.35">
      <c r="A2324" t="s">
        <v>6803</v>
      </c>
      <c r="B2324" t="s">
        <v>417</v>
      </c>
      <c r="C2324" t="s">
        <v>1899</v>
      </c>
      <c r="D2324" t="s">
        <v>4476</v>
      </c>
      <c r="E2324" t="s">
        <v>4444</v>
      </c>
      <c r="F2324" s="3">
        <v>45538</v>
      </c>
      <c r="G2324" s="3" t="s">
        <v>537</v>
      </c>
      <c r="I2324">
        <v>24</v>
      </c>
      <c r="J2324" t="s">
        <v>4440</v>
      </c>
      <c r="K2324" t="s">
        <v>4453</v>
      </c>
      <c r="L2324" t="s">
        <v>4527</v>
      </c>
      <c r="M2324" t="s">
        <v>4462</v>
      </c>
    </row>
    <row r="2325" spans="1:14" x14ac:dyDescent="0.35">
      <c r="A2325" t="s">
        <v>6804</v>
      </c>
      <c r="B2325" t="s">
        <v>230</v>
      </c>
      <c r="C2325" t="s">
        <v>1927</v>
      </c>
      <c r="D2325" t="s">
        <v>4464</v>
      </c>
      <c r="E2325" t="s">
        <v>4444</v>
      </c>
      <c r="F2325" s="3">
        <v>45548</v>
      </c>
      <c r="G2325" s="3" t="s">
        <v>537</v>
      </c>
      <c r="I2325">
        <v>24</v>
      </c>
      <c r="J2325" t="s">
        <v>4448</v>
      </c>
      <c r="K2325" t="s">
        <v>4474</v>
      </c>
      <c r="L2325" t="s">
        <v>4445</v>
      </c>
      <c r="M2325" t="s">
        <v>1625</v>
      </c>
    </row>
    <row r="2326" spans="1:14" x14ac:dyDescent="0.35">
      <c r="A2326" t="s">
        <v>6805</v>
      </c>
      <c r="B2326" t="s">
        <v>57</v>
      </c>
      <c r="C2326" t="s">
        <v>1915</v>
      </c>
      <c r="D2326" t="s">
        <v>4490</v>
      </c>
      <c r="E2326" t="s">
        <v>4444</v>
      </c>
      <c r="F2326" s="3">
        <v>45645</v>
      </c>
      <c r="G2326" s="3">
        <v>45645</v>
      </c>
      <c r="H2326">
        <v>16.8</v>
      </c>
      <c r="I2326">
        <v>24</v>
      </c>
      <c r="J2326" t="s">
        <v>4448</v>
      </c>
      <c r="K2326" t="s">
        <v>4441</v>
      </c>
      <c r="L2326" t="s">
        <v>4488</v>
      </c>
      <c r="M2326" t="s">
        <v>4462</v>
      </c>
      <c r="N2326">
        <v>5</v>
      </c>
    </row>
    <row r="2327" spans="1:14" x14ac:dyDescent="0.35">
      <c r="A2327" t="s">
        <v>6806</v>
      </c>
      <c r="B2327" t="s">
        <v>358</v>
      </c>
      <c r="C2327" t="s">
        <v>1915</v>
      </c>
      <c r="D2327" t="s">
        <v>4452</v>
      </c>
      <c r="E2327" t="s">
        <v>4439</v>
      </c>
      <c r="F2327" s="3">
        <v>45726</v>
      </c>
      <c r="G2327" s="3">
        <v>45729</v>
      </c>
      <c r="H2327">
        <v>81.5</v>
      </c>
      <c r="I2327">
        <v>48</v>
      </c>
      <c r="J2327" t="s">
        <v>4440</v>
      </c>
      <c r="K2327" t="s">
        <v>4441</v>
      </c>
      <c r="L2327" t="s">
        <v>4492</v>
      </c>
      <c r="M2327" t="s">
        <v>4462</v>
      </c>
      <c r="N2327">
        <v>5</v>
      </c>
    </row>
    <row r="2328" spans="1:14" x14ac:dyDescent="0.35">
      <c r="A2328" t="s">
        <v>6807</v>
      </c>
      <c r="B2328" t="s">
        <v>326</v>
      </c>
      <c r="C2328" t="s">
        <v>1915</v>
      </c>
      <c r="D2328" t="s">
        <v>4479</v>
      </c>
      <c r="E2328" t="s">
        <v>4439</v>
      </c>
      <c r="F2328" s="3">
        <v>45631</v>
      </c>
      <c r="G2328" s="3" t="s">
        <v>537</v>
      </c>
      <c r="I2328">
        <v>48</v>
      </c>
      <c r="J2328" t="s">
        <v>4440</v>
      </c>
      <c r="K2328" t="s">
        <v>4453</v>
      </c>
      <c r="L2328" t="s">
        <v>4527</v>
      </c>
      <c r="M2328" t="s">
        <v>4450</v>
      </c>
    </row>
    <row r="2329" spans="1:14" x14ac:dyDescent="0.35">
      <c r="A2329" t="s">
        <v>6808</v>
      </c>
      <c r="B2329" t="s">
        <v>491</v>
      </c>
      <c r="C2329" t="s">
        <v>1883</v>
      </c>
      <c r="D2329" t="s">
        <v>4438</v>
      </c>
      <c r="E2329" t="s">
        <v>4473</v>
      </c>
      <c r="F2329" s="3">
        <v>45704</v>
      </c>
      <c r="G2329" s="3" t="s">
        <v>537</v>
      </c>
      <c r="I2329">
        <v>8</v>
      </c>
      <c r="J2329" t="s">
        <v>4440</v>
      </c>
      <c r="K2329" t="s">
        <v>4457</v>
      </c>
      <c r="L2329" t="s">
        <v>4449</v>
      </c>
      <c r="M2329" t="s">
        <v>4450</v>
      </c>
    </row>
    <row r="2330" spans="1:14" x14ac:dyDescent="0.35">
      <c r="A2330" t="s">
        <v>6809</v>
      </c>
      <c r="B2330" t="s">
        <v>309</v>
      </c>
      <c r="C2330" t="s">
        <v>1904</v>
      </c>
      <c r="D2330" t="s">
        <v>4472</v>
      </c>
      <c r="E2330" t="s">
        <v>4444</v>
      </c>
      <c r="F2330" s="3">
        <v>45529</v>
      </c>
      <c r="G2330" s="3" t="s">
        <v>537</v>
      </c>
      <c r="I2330">
        <v>24</v>
      </c>
      <c r="J2330" t="s">
        <v>4440</v>
      </c>
      <c r="K2330" t="s">
        <v>4453</v>
      </c>
      <c r="L2330" t="s">
        <v>4514</v>
      </c>
      <c r="M2330" t="s">
        <v>4462</v>
      </c>
    </row>
    <row r="2331" spans="1:14" x14ac:dyDescent="0.35">
      <c r="A2331" t="s">
        <v>6810</v>
      </c>
      <c r="B2331" t="s">
        <v>97</v>
      </c>
      <c r="C2331" t="s">
        <v>1904</v>
      </c>
      <c r="D2331" t="s">
        <v>4479</v>
      </c>
      <c r="E2331" t="s">
        <v>4473</v>
      </c>
      <c r="F2331" s="3">
        <v>45054</v>
      </c>
      <c r="G2331" s="3" t="s">
        <v>537</v>
      </c>
      <c r="I2331">
        <v>8</v>
      </c>
      <c r="J2331" t="s">
        <v>4440</v>
      </c>
      <c r="K2331" t="s">
        <v>4474</v>
      </c>
      <c r="L2331" t="s">
        <v>4488</v>
      </c>
      <c r="M2331" t="s">
        <v>4450</v>
      </c>
    </row>
    <row r="2332" spans="1:14" x14ac:dyDescent="0.35">
      <c r="A2332" t="s">
        <v>6811</v>
      </c>
      <c r="B2332" t="s">
        <v>160</v>
      </c>
      <c r="C2332" t="s">
        <v>1904</v>
      </c>
      <c r="D2332" t="s">
        <v>4469</v>
      </c>
      <c r="E2332" t="s">
        <v>4439</v>
      </c>
      <c r="F2332" s="3">
        <v>45633</v>
      </c>
      <c r="G2332" s="3">
        <v>45633</v>
      </c>
      <c r="H2332">
        <v>6.4</v>
      </c>
      <c r="I2332">
        <v>48</v>
      </c>
      <c r="J2332" t="s">
        <v>4448</v>
      </c>
      <c r="K2332" t="s">
        <v>4441</v>
      </c>
      <c r="L2332" t="s">
        <v>4580</v>
      </c>
      <c r="M2332" t="s">
        <v>4450</v>
      </c>
      <c r="N2332">
        <v>5</v>
      </c>
    </row>
    <row r="2333" spans="1:14" x14ac:dyDescent="0.35">
      <c r="A2333" t="s">
        <v>6812</v>
      </c>
      <c r="B2333" t="s">
        <v>124</v>
      </c>
      <c r="C2333" t="s">
        <v>1927</v>
      </c>
      <c r="D2333" t="s">
        <v>4460</v>
      </c>
      <c r="E2333" t="s">
        <v>4444</v>
      </c>
      <c r="F2333" s="3">
        <v>45441</v>
      </c>
      <c r="G2333" s="3" t="s">
        <v>537</v>
      </c>
      <c r="I2333">
        <v>24</v>
      </c>
      <c r="J2333" t="s">
        <v>4448</v>
      </c>
      <c r="K2333" t="s">
        <v>4457</v>
      </c>
      <c r="L2333" t="s">
        <v>4454</v>
      </c>
      <c r="M2333" t="s">
        <v>1625</v>
      </c>
    </row>
    <row r="2334" spans="1:14" x14ac:dyDescent="0.35">
      <c r="A2334" t="s">
        <v>6813</v>
      </c>
      <c r="B2334" t="s">
        <v>292</v>
      </c>
      <c r="C2334" t="s">
        <v>1927</v>
      </c>
      <c r="D2334" t="s">
        <v>4485</v>
      </c>
      <c r="E2334" t="s">
        <v>4444</v>
      </c>
      <c r="F2334" s="3">
        <v>44997</v>
      </c>
      <c r="G2334" s="3">
        <v>44998</v>
      </c>
      <c r="H2334">
        <v>26.4</v>
      </c>
      <c r="I2334">
        <v>24</v>
      </c>
      <c r="J2334" t="s">
        <v>4440</v>
      </c>
      <c r="K2334" t="s">
        <v>4441</v>
      </c>
      <c r="L2334" t="s">
        <v>1907</v>
      </c>
      <c r="M2334" t="s">
        <v>4462</v>
      </c>
      <c r="N2334">
        <v>4</v>
      </c>
    </row>
    <row r="2335" spans="1:14" x14ac:dyDescent="0.35">
      <c r="A2335" t="s">
        <v>6814</v>
      </c>
      <c r="B2335" t="s">
        <v>18</v>
      </c>
      <c r="C2335" t="s">
        <v>1927</v>
      </c>
      <c r="D2335" t="s">
        <v>4479</v>
      </c>
      <c r="E2335" t="s">
        <v>4439</v>
      </c>
      <c r="F2335" s="3">
        <v>45181</v>
      </c>
      <c r="G2335" s="3">
        <v>45182</v>
      </c>
      <c r="H2335">
        <v>35.799999999999997</v>
      </c>
      <c r="I2335">
        <v>48</v>
      </c>
      <c r="J2335" t="s">
        <v>4448</v>
      </c>
      <c r="K2335" t="s">
        <v>4441</v>
      </c>
      <c r="L2335" t="s">
        <v>4465</v>
      </c>
      <c r="M2335" t="s">
        <v>4446</v>
      </c>
      <c r="N2335">
        <v>4</v>
      </c>
    </row>
    <row r="2336" spans="1:14" x14ac:dyDescent="0.35">
      <c r="A2336" t="s">
        <v>6815</v>
      </c>
      <c r="B2336" t="s">
        <v>372</v>
      </c>
      <c r="C2336" t="s">
        <v>1904</v>
      </c>
      <c r="D2336" t="s">
        <v>4469</v>
      </c>
      <c r="E2336" t="s">
        <v>4444</v>
      </c>
      <c r="F2336" s="3">
        <v>45155</v>
      </c>
      <c r="G2336" s="3">
        <v>45157</v>
      </c>
      <c r="H2336">
        <v>49.4</v>
      </c>
      <c r="I2336">
        <v>24</v>
      </c>
      <c r="J2336" t="s">
        <v>4440</v>
      </c>
      <c r="K2336" t="s">
        <v>4441</v>
      </c>
      <c r="L2336" t="s">
        <v>4467</v>
      </c>
      <c r="M2336" t="s">
        <v>1625</v>
      </c>
      <c r="N2336">
        <v>4</v>
      </c>
    </row>
    <row r="2337" spans="1:14" x14ac:dyDescent="0.35">
      <c r="A2337" t="s">
        <v>6816</v>
      </c>
      <c r="B2337" t="s">
        <v>428</v>
      </c>
      <c r="C2337" t="s">
        <v>1915</v>
      </c>
      <c r="D2337" t="s">
        <v>4485</v>
      </c>
      <c r="E2337" t="s">
        <v>79</v>
      </c>
      <c r="F2337" s="3">
        <v>45387</v>
      </c>
      <c r="G2337" s="3" t="s">
        <v>537</v>
      </c>
      <c r="I2337">
        <v>4</v>
      </c>
      <c r="J2337" t="s">
        <v>4440</v>
      </c>
      <c r="K2337" t="s">
        <v>4453</v>
      </c>
      <c r="L2337" t="s">
        <v>4512</v>
      </c>
      <c r="M2337" t="s">
        <v>4462</v>
      </c>
    </row>
    <row r="2338" spans="1:14" x14ac:dyDescent="0.35">
      <c r="A2338" t="s">
        <v>6817</v>
      </c>
      <c r="B2338" t="s">
        <v>219</v>
      </c>
      <c r="C2338" t="s">
        <v>1904</v>
      </c>
      <c r="D2338" t="s">
        <v>4482</v>
      </c>
      <c r="E2338" t="s">
        <v>4444</v>
      </c>
      <c r="F2338" s="3">
        <v>45204</v>
      </c>
      <c r="G2338" s="3" t="s">
        <v>537</v>
      </c>
      <c r="I2338">
        <v>24</v>
      </c>
      <c r="J2338" t="s">
        <v>4440</v>
      </c>
      <c r="K2338" t="s">
        <v>4474</v>
      </c>
      <c r="L2338" t="s">
        <v>4467</v>
      </c>
      <c r="M2338" t="s">
        <v>1625</v>
      </c>
    </row>
    <row r="2339" spans="1:14" x14ac:dyDescent="0.35">
      <c r="A2339" t="s">
        <v>6818</v>
      </c>
      <c r="B2339" t="s">
        <v>301</v>
      </c>
      <c r="C2339" t="s">
        <v>1904</v>
      </c>
      <c r="D2339" t="s">
        <v>4464</v>
      </c>
      <c r="E2339" t="s">
        <v>4439</v>
      </c>
      <c r="F2339" s="3">
        <v>44980</v>
      </c>
      <c r="G2339" s="3" t="s">
        <v>537</v>
      </c>
      <c r="I2339">
        <v>48</v>
      </c>
      <c r="J2339" t="s">
        <v>4440</v>
      </c>
      <c r="K2339" t="s">
        <v>4474</v>
      </c>
      <c r="L2339" t="s">
        <v>4445</v>
      </c>
      <c r="M2339" t="s">
        <v>4462</v>
      </c>
    </row>
    <row r="2340" spans="1:14" x14ac:dyDescent="0.35">
      <c r="A2340" t="s">
        <v>6819</v>
      </c>
      <c r="B2340" t="s">
        <v>130</v>
      </c>
      <c r="C2340" t="s">
        <v>1899</v>
      </c>
      <c r="D2340" t="s">
        <v>4438</v>
      </c>
      <c r="E2340" t="s">
        <v>4444</v>
      </c>
      <c r="F2340" s="3">
        <v>45560</v>
      </c>
      <c r="G2340" s="3">
        <v>45560</v>
      </c>
      <c r="H2340">
        <v>3.6</v>
      </c>
      <c r="I2340">
        <v>24</v>
      </c>
      <c r="J2340" t="s">
        <v>4448</v>
      </c>
      <c r="K2340" t="s">
        <v>4441</v>
      </c>
      <c r="L2340" t="s">
        <v>4458</v>
      </c>
      <c r="M2340" t="s">
        <v>4450</v>
      </c>
      <c r="N2340">
        <v>2</v>
      </c>
    </row>
    <row r="2341" spans="1:14" x14ac:dyDescent="0.35">
      <c r="A2341" t="s">
        <v>6820</v>
      </c>
      <c r="B2341" t="s">
        <v>368</v>
      </c>
      <c r="C2341" t="s">
        <v>1890</v>
      </c>
      <c r="D2341" t="s">
        <v>4490</v>
      </c>
      <c r="E2341" t="s">
        <v>4444</v>
      </c>
      <c r="F2341" s="3">
        <v>44972</v>
      </c>
      <c r="G2341" s="3">
        <v>44973</v>
      </c>
      <c r="H2341">
        <v>43.9</v>
      </c>
      <c r="I2341">
        <v>24</v>
      </c>
      <c r="J2341" t="s">
        <v>4440</v>
      </c>
      <c r="K2341" t="s">
        <v>4441</v>
      </c>
      <c r="L2341" t="s">
        <v>4449</v>
      </c>
      <c r="M2341" t="s">
        <v>4462</v>
      </c>
      <c r="N2341">
        <v>5</v>
      </c>
    </row>
    <row r="2342" spans="1:14" x14ac:dyDescent="0.35">
      <c r="A2342" t="s">
        <v>6821</v>
      </c>
      <c r="B2342" t="s">
        <v>396</v>
      </c>
      <c r="C2342" t="s">
        <v>1904</v>
      </c>
      <c r="D2342" t="s">
        <v>4443</v>
      </c>
      <c r="E2342" t="s">
        <v>4473</v>
      </c>
      <c r="F2342" s="3">
        <v>45571</v>
      </c>
      <c r="G2342" s="3">
        <v>45571</v>
      </c>
      <c r="H2342">
        <v>11</v>
      </c>
      <c r="I2342">
        <v>8</v>
      </c>
      <c r="J2342" t="s">
        <v>4440</v>
      </c>
      <c r="K2342" t="s">
        <v>4441</v>
      </c>
      <c r="L2342" t="s">
        <v>4454</v>
      </c>
      <c r="M2342" t="s">
        <v>4462</v>
      </c>
      <c r="N2342">
        <v>4</v>
      </c>
    </row>
    <row r="2343" spans="1:14" x14ac:dyDescent="0.35">
      <c r="A2343" t="s">
        <v>6822</v>
      </c>
      <c r="B2343" t="s">
        <v>483</v>
      </c>
      <c r="C2343" t="s">
        <v>1899</v>
      </c>
      <c r="D2343" t="s">
        <v>4476</v>
      </c>
      <c r="E2343" t="s">
        <v>4456</v>
      </c>
      <c r="F2343" s="3">
        <v>45005</v>
      </c>
      <c r="G2343" s="3">
        <v>45005</v>
      </c>
      <c r="H2343">
        <v>5.8</v>
      </c>
      <c r="I2343">
        <v>4</v>
      </c>
      <c r="J2343" t="s">
        <v>4440</v>
      </c>
      <c r="K2343" t="s">
        <v>4441</v>
      </c>
      <c r="L2343" t="s">
        <v>4458</v>
      </c>
      <c r="M2343" t="s">
        <v>4446</v>
      </c>
      <c r="N2343">
        <v>4</v>
      </c>
    </row>
    <row r="2344" spans="1:14" x14ac:dyDescent="0.35">
      <c r="A2344" t="s">
        <v>6823</v>
      </c>
      <c r="B2344" t="s">
        <v>353</v>
      </c>
      <c r="C2344" t="s">
        <v>1890</v>
      </c>
      <c r="D2344" t="s">
        <v>4438</v>
      </c>
      <c r="E2344" t="s">
        <v>4439</v>
      </c>
      <c r="F2344" s="3">
        <v>45534</v>
      </c>
      <c r="G2344" s="3" t="s">
        <v>537</v>
      </c>
      <c r="I2344">
        <v>48</v>
      </c>
      <c r="J2344" t="s">
        <v>4448</v>
      </c>
      <c r="K2344" t="s">
        <v>4457</v>
      </c>
      <c r="L2344" t="s">
        <v>4580</v>
      </c>
      <c r="M2344" t="s">
        <v>4462</v>
      </c>
    </row>
    <row r="2345" spans="1:14" x14ac:dyDescent="0.35">
      <c r="A2345" t="s">
        <v>6824</v>
      </c>
      <c r="B2345" t="s">
        <v>296</v>
      </c>
      <c r="C2345" t="s">
        <v>1890</v>
      </c>
      <c r="D2345" t="s">
        <v>4460</v>
      </c>
      <c r="E2345" t="s">
        <v>4444</v>
      </c>
      <c r="F2345" s="3">
        <v>45305</v>
      </c>
      <c r="G2345" s="3">
        <v>45305</v>
      </c>
      <c r="H2345">
        <v>6.5</v>
      </c>
      <c r="I2345">
        <v>24</v>
      </c>
      <c r="J2345" t="s">
        <v>4448</v>
      </c>
      <c r="K2345" t="s">
        <v>4441</v>
      </c>
      <c r="L2345" t="s">
        <v>4480</v>
      </c>
      <c r="M2345" t="s">
        <v>4462</v>
      </c>
      <c r="N2345">
        <v>4</v>
      </c>
    </row>
    <row r="2346" spans="1:14" x14ac:dyDescent="0.35">
      <c r="A2346" t="s">
        <v>6825</v>
      </c>
      <c r="B2346" t="s">
        <v>483</v>
      </c>
      <c r="C2346" t="s">
        <v>1899</v>
      </c>
      <c r="D2346" t="s">
        <v>4479</v>
      </c>
      <c r="E2346" t="s">
        <v>4439</v>
      </c>
      <c r="F2346" s="3">
        <v>45446</v>
      </c>
      <c r="G2346" s="3">
        <v>45448</v>
      </c>
      <c r="H2346">
        <v>66.7</v>
      </c>
      <c r="I2346">
        <v>48</v>
      </c>
      <c r="J2346" t="s">
        <v>4440</v>
      </c>
      <c r="K2346" t="s">
        <v>4441</v>
      </c>
      <c r="L2346" t="s">
        <v>4492</v>
      </c>
      <c r="M2346" t="s">
        <v>4446</v>
      </c>
      <c r="N2346">
        <v>5</v>
      </c>
    </row>
    <row r="2347" spans="1:14" x14ac:dyDescent="0.35">
      <c r="A2347" t="s">
        <v>6826</v>
      </c>
      <c r="B2347" t="s">
        <v>408</v>
      </c>
      <c r="C2347" t="s">
        <v>1915</v>
      </c>
      <c r="D2347" t="s">
        <v>4479</v>
      </c>
      <c r="E2347" t="s">
        <v>4444</v>
      </c>
      <c r="F2347" s="3">
        <v>45487</v>
      </c>
      <c r="G2347" s="3" t="s">
        <v>537</v>
      </c>
      <c r="I2347">
        <v>24</v>
      </c>
      <c r="J2347" t="s">
        <v>4440</v>
      </c>
      <c r="K2347" t="s">
        <v>4457</v>
      </c>
      <c r="L2347" t="s">
        <v>4449</v>
      </c>
      <c r="M2347" t="s">
        <v>4450</v>
      </c>
    </row>
    <row r="2348" spans="1:14" x14ac:dyDescent="0.35">
      <c r="A2348" t="s">
        <v>6827</v>
      </c>
      <c r="B2348" t="s">
        <v>242</v>
      </c>
      <c r="C2348" t="s">
        <v>1904</v>
      </c>
      <c r="D2348" t="s">
        <v>4443</v>
      </c>
      <c r="E2348" t="s">
        <v>4473</v>
      </c>
      <c r="F2348" s="3">
        <v>45199</v>
      </c>
      <c r="G2348" s="3">
        <v>45199</v>
      </c>
      <c r="H2348">
        <v>5.7</v>
      </c>
      <c r="I2348">
        <v>8</v>
      </c>
      <c r="J2348" t="s">
        <v>4448</v>
      </c>
      <c r="K2348" t="s">
        <v>4441</v>
      </c>
      <c r="L2348" t="s">
        <v>4514</v>
      </c>
      <c r="M2348" t="s">
        <v>1625</v>
      </c>
    </row>
    <row r="2349" spans="1:14" x14ac:dyDescent="0.35">
      <c r="A2349" t="s">
        <v>6828</v>
      </c>
      <c r="B2349" t="s">
        <v>128</v>
      </c>
      <c r="C2349" t="s">
        <v>1899</v>
      </c>
      <c r="D2349" t="s">
        <v>4476</v>
      </c>
      <c r="E2349" t="s">
        <v>4439</v>
      </c>
      <c r="F2349" s="3">
        <v>45655</v>
      </c>
      <c r="G2349" s="3" t="s">
        <v>537</v>
      </c>
      <c r="I2349">
        <v>48</v>
      </c>
      <c r="J2349" t="s">
        <v>4448</v>
      </c>
      <c r="K2349" t="s">
        <v>4474</v>
      </c>
      <c r="L2349" t="s">
        <v>4514</v>
      </c>
      <c r="M2349" t="s">
        <v>4446</v>
      </c>
    </row>
    <row r="2350" spans="1:14" x14ac:dyDescent="0.35">
      <c r="A2350" t="s">
        <v>6829</v>
      </c>
      <c r="B2350" t="s">
        <v>295</v>
      </c>
      <c r="C2350" t="s">
        <v>1915</v>
      </c>
      <c r="D2350" t="s">
        <v>4438</v>
      </c>
      <c r="E2350" t="s">
        <v>4439</v>
      </c>
      <c r="F2350" s="3">
        <v>45036</v>
      </c>
      <c r="G2350" s="3" t="s">
        <v>537</v>
      </c>
      <c r="I2350">
        <v>48</v>
      </c>
      <c r="J2350" t="s">
        <v>4440</v>
      </c>
      <c r="K2350" t="s">
        <v>4457</v>
      </c>
      <c r="L2350" t="s">
        <v>4580</v>
      </c>
      <c r="M2350" t="s">
        <v>4446</v>
      </c>
    </row>
    <row r="2351" spans="1:14" x14ac:dyDescent="0.35">
      <c r="A2351" t="s">
        <v>6830</v>
      </c>
      <c r="B2351" t="s">
        <v>293</v>
      </c>
      <c r="C2351" t="s">
        <v>1890</v>
      </c>
      <c r="D2351" t="s">
        <v>4443</v>
      </c>
      <c r="E2351" t="s">
        <v>4473</v>
      </c>
      <c r="F2351" s="3">
        <v>45259</v>
      </c>
      <c r="G2351" s="3" t="s">
        <v>537</v>
      </c>
      <c r="I2351">
        <v>8</v>
      </c>
      <c r="J2351" t="s">
        <v>4448</v>
      </c>
      <c r="K2351" t="s">
        <v>4474</v>
      </c>
      <c r="L2351" t="s">
        <v>4492</v>
      </c>
      <c r="M2351" t="s">
        <v>4450</v>
      </c>
    </row>
    <row r="2352" spans="1:14" x14ac:dyDescent="0.35">
      <c r="A2352" t="s">
        <v>6831</v>
      </c>
      <c r="B2352" t="s">
        <v>308</v>
      </c>
      <c r="C2352" t="s">
        <v>1899</v>
      </c>
      <c r="D2352" t="s">
        <v>4485</v>
      </c>
      <c r="E2352" t="s">
        <v>4444</v>
      </c>
      <c r="F2352" s="3">
        <v>45410</v>
      </c>
      <c r="G2352" s="3">
        <v>45411</v>
      </c>
      <c r="H2352">
        <v>29.1</v>
      </c>
      <c r="I2352">
        <v>24</v>
      </c>
      <c r="J2352" t="s">
        <v>4440</v>
      </c>
      <c r="K2352" t="s">
        <v>4441</v>
      </c>
      <c r="L2352" t="s">
        <v>4449</v>
      </c>
      <c r="M2352" t="s">
        <v>4446</v>
      </c>
      <c r="N2352">
        <v>5</v>
      </c>
    </row>
    <row r="2353" spans="1:14" x14ac:dyDescent="0.35">
      <c r="A2353" t="s">
        <v>6832</v>
      </c>
      <c r="B2353" t="s">
        <v>496</v>
      </c>
      <c r="C2353" t="s">
        <v>1915</v>
      </c>
      <c r="D2353" t="s">
        <v>4452</v>
      </c>
      <c r="E2353" t="s">
        <v>4473</v>
      </c>
      <c r="F2353" s="3">
        <v>45465</v>
      </c>
      <c r="G2353" s="3">
        <v>45465</v>
      </c>
      <c r="H2353">
        <v>9.1999999999999993</v>
      </c>
      <c r="I2353">
        <v>8</v>
      </c>
      <c r="J2353" t="s">
        <v>4440</v>
      </c>
      <c r="K2353" t="s">
        <v>4441</v>
      </c>
      <c r="L2353" t="s">
        <v>4465</v>
      </c>
      <c r="M2353" t="s">
        <v>4450</v>
      </c>
      <c r="N2353">
        <v>5</v>
      </c>
    </row>
    <row r="2354" spans="1:14" x14ac:dyDescent="0.35">
      <c r="A2354" t="s">
        <v>6833</v>
      </c>
      <c r="B2354" t="s">
        <v>60</v>
      </c>
      <c r="C2354" t="s">
        <v>1915</v>
      </c>
      <c r="D2354" t="s">
        <v>4469</v>
      </c>
      <c r="E2354" t="s">
        <v>4444</v>
      </c>
      <c r="F2354" s="3">
        <v>45652</v>
      </c>
      <c r="G2354" s="3">
        <v>45652</v>
      </c>
      <c r="H2354">
        <v>7.1</v>
      </c>
      <c r="I2354">
        <v>24</v>
      </c>
      <c r="J2354" t="s">
        <v>4448</v>
      </c>
      <c r="K2354" t="s">
        <v>4441</v>
      </c>
      <c r="L2354" t="s">
        <v>4580</v>
      </c>
      <c r="M2354" t="s">
        <v>4450</v>
      </c>
      <c r="N2354">
        <v>2</v>
      </c>
    </row>
    <row r="2355" spans="1:14" x14ac:dyDescent="0.35">
      <c r="A2355" t="s">
        <v>6834</v>
      </c>
      <c r="B2355" t="s">
        <v>466</v>
      </c>
      <c r="C2355" t="s">
        <v>1915</v>
      </c>
      <c r="D2355" t="s">
        <v>4476</v>
      </c>
      <c r="E2355" t="s">
        <v>4473</v>
      </c>
      <c r="F2355" s="3">
        <v>45558</v>
      </c>
      <c r="G2355" s="3">
        <v>45558</v>
      </c>
      <c r="H2355">
        <v>11</v>
      </c>
      <c r="I2355">
        <v>8</v>
      </c>
      <c r="J2355" t="s">
        <v>4440</v>
      </c>
      <c r="K2355" t="s">
        <v>4441</v>
      </c>
      <c r="L2355" t="s">
        <v>4509</v>
      </c>
      <c r="M2355" t="s">
        <v>4462</v>
      </c>
      <c r="N2355">
        <v>5</v>
      </c>
    </row>
    <row r="2356" spans="1:14" x14ac:dyDescent="0.35">
      <c r="A2356" t="s">
        <v>6835</v>
      </c>
      <c r="B2356" t="s">
        <v>131</v>
      </c>
      <c r="C2356" t="s">
        <v>1883</v>
      </c>
      <c r="D2356" t="s">
        <v>4482</v>
      </c>
      <c r="E2356" t="s">
        <v>4444</v>
      </c>
      <c r="F2356" s="3">
        <v>45037</v>
      </c>
      <c r="G2356" s="3">
        <v>45038</v>
      </c>
      <c r="H2356">
        <v>43</v>
      </c>
      <c r="I2356">
        <v>24</v>
      </c>
      <c r="J2356" t="s">
        <v>4440</v>
      </c>
      <c r="K2356" t="s">
        <v>4441</v>
      </c>
      <c r="L2356" t="s">
        <v>4483</v>
      </c>
      <c r="M2356" t="s">
        <v>1625</v>
      </c>
      <c r="N2356">
        <v>5</v>
      </c>
    </row>
    <row r="2357" spans="1:14" x14ac:dyDescent="0.35">
      <c r="A2357" t="s">
        <v>6836</v>
      </c>
      <c r="B2357" t="s">
        <v>176</v>
      </c>
      <c r="C2357" t="s">
        <v>1883</v>
      </c>
      <c r="D2357" t="s">
        <v>4476</v>
      </c>
      <c r="E2357" t="s">
        <v>4444</v>
      </c>
      <c r="F2357" s="3">
        <v>44937</v>
      </c>
      <c r="G2357" s="3">
        <v>44937</v>
      </c>
      <c r="H2357">
        <v>23</v>
      </c>
      <c r="I2357">
        <v>24</v>
      </c>
      <c r="J2357" t="s">
        <v>1945</v>
      </c>
      <c r="K2357" t="s">
        <v>4441</v>
      </c>
      <c r="L2357" t="s">
        <v>4533</v>
      </c>
      <c r="M2357" t="s">
        <v>1625</v>
      </c>
      <c r="N2357">
        <v>4</v>
      </c>
    </row>
    <row r="2358" spans="1:14" x14ac:dyDescent="0.35">
      <c r="A2358" t="s">
        <v>6837</v>
      </c>
      <c r="B2358" t="s">
        <v>312</v>
      </c>
      <c r="C2358" t="s">
        <v>1927</v>
      </c>
      <c r="D2358" t="s">
        <v>4472</v>
      </c>
      <c r="E2358" t="s">
        <v>4456</v>
      </c>
      <c r="F2358" s="3">
        <v>44988</v>
      </c>
      <c r="G2358" s="3">
        <v>44988</v>
      </c>
      <c r="H2358">
        <v>5.5</v>
      </c>
      <c r="I2358">
        <v>4</v>
      </c>
      <c r="J2358" t="s">
        <v>4440</v>
      </c>
      <c r="K2358" t="s">
        <v>4441</v>
      </c>
      <c r="L2358" t="s">
        <v>4580</v>
      </c>
      <c r="M2358" t="s">
        <v>4450</v>
      </c>
    </row>
    <row r="2359" spans="1:14" x14ac:dyDescent="0.35">
      <c r="A2359" t="s">
        <v>6838</v>
      </c>
      <c r="B2359" t="s">
        <v>94</v>
      </c>
      <c r="C2359" t="s">
        <v>1915</v>
      </c>
      <c r="D2359" t="s">
        <v>4460</v>
      </c>
      <c r="E2359" t="s">
        <v>4444</v>
      </c>
      <c r="F2359" s="3">
        <v>45558</v>
      </c>
      <c r="G2359" s="3">
        <v>45558</v>
      </c>
      <c r="H2359">
        <v>23.1</v>
      </c>
      <c r="I2359">
        <v>24</v>
      </c>
      <c r="J2359" t="s">
        <v>4448</v>
      </c>
      <c r="K2359" t="s">
        <v>4441</v>
      </c>
      <c r="L2359" t="s">
        <v>4458</v>
      </c>
      <c r="M2359" t="s">
        <v>1625</v>
      </c>
      <c r="N2359">
        <v>5</v>
      </c>
    </row>
    <row r="2360" spans="1:14" x14ac:dyDescent="0.35">
      <c r="A2360" t="s">
        <v>6839</v>
      </c>
      <c r="B2360" t="s">
        <v>466</v>
      </c>
      <c r="C2360" t="s">
        <v>1915</v>
      </c>
      <c r="D2360" t="s">
        <v>4485</v>
      </c>
      <c r="E2360" t="s">
        <v>4439</v>
      </c>
      <c r="F2360" s="3">
        <v>45414</v>
      </c>
      <c r="G2360" s="3">
        <v>45415</v>
      </c>
      <c r="H2360">
        <v>39.1</v>
      </c>
      <c r="I2360">
        <v>48</v>
      </c>
      <c r="J2360" t="s">
        <v>4448</v>
      </c>
      <c r="K2360" t="s">
        <v>4441</v>
      </c>
      <c r="L2360" t="s">
        <v>4445</v>
      </c>
      <c r="M2360" t="s">
        <v>4462</v>
      </c>
      <c r="N2360">
        <v>5</v>
      </c>
    </row>
    <row r="2361" spans="1:14" x14ac:dyDescent="0.35">
      <c r="A2361" t="s">
        <v>6840</v>
      </c>
      <c r="B2361" t="s">
        <v>268</v>
      </c>
      <c r="C2361" t="s">
        <v>1915</v>
      </c>
      <c r="D2361" t="s">
        <v>4469</v>
      </c>
      <c r="E2361" t="s">
        <v>4473</v>
      </c>
      <c r="F2361" s="3">
        <v>45294</v>
      </c>
      <c r="G2361" s="3" t="s">
        <v>537</v>
      </c>
      <c r="I2361">
        <v>8</v>
      </c>
      <c r="J2361" t="s">
        <v>4440</v>
      </c>
      <c r="K2361" t="s">
        <v>4474</v>
      </c>
      <c r="L2361" t="s">
        <v>4470</v>
      </c>
      <c r="M2361" t="s">
        <v>4446</v>
      </c>
    </row>
    <row r="2362" spans="1:14" x14ac:dyDescent="0.35">
      <c r="A2362" t="s">
        <v>6841</v>
      </c>
      <c r="B2362" t="s">
        <v>447</v>
      </c>
      <c r="C2362" t="s">
        <v>1904</v>
      </c>
      <c r="D2362" t="s">
        <v>4464</v>
      </c>
      <c r="E2362" t="s">
        <v>4473</v>
      </c>
      <c r="F2362" s="3">
        <v>45667</v>
      </c>
      <c r="G2362" s="3" t="s">
        <v>537</v>
      </c>
      <c r="I2362">
        <v>8</v>
      </c>
      <c r="J2362" t="s">
        <v>4448</v>
      </c>
      <c r="K2362" t="s">
        <v>4457</v>
      </c>
      <c r="L2362" t="s">
        <v>4483</v>
      </c>
      <c r="M2362" t="s">
        <v>4450</v>
      </c>
    </row>
    <row r="2363" spans="1:14" x14ac:dyDescent="0.35">
      <c r="A2363" t="s">
        <v>6842</v>
      </c>
      <c r="B2363" t="s">
        <v>384</v>
      </c>
      <c r="C2363" t="s">
        <v>1904</v>
      </c>
      <c r="D2363" t="s">
        <v>4472</v>
      </c>
      <c r="E2363" t="s">
        <v>4456</v>
      </c>
      <c r="F2363" s="3">
        <v>45507</v>
      </c>
      <c r="G2363" s="3">
        <v>45507</v>
      </c>
      <c r="H2363">
        <v>7.3</v>
      </c>
      <c r="I2363">
        <v>4</v>
      </c>
      <c r="J2363" t="s">
        <v>4440</v>
      </c>
      <c r="K2363" t="s">
        <v>4441</v>
      </c>
      <c r="L2363" t="s">
        <v>4449</v>
      </c>
      <c r="M2363" t="s">
        <v>4462</v>
      </c>
      <c r="N2363">
        <v>2</v>
      </c>
    </row>
    <row r="2364" spans="1:14" x14ac:dyDescent="0.35">
      <c r="A2364" t="s">
        <v>6843</v>
      </c>
      <c r="B2364" t="s">
        <v>245</v>
      </c>
      <c r="C2364" t="s">
        <v>1883</v>
      </c>
      <c r="D2364" t="s">
        <v>4490</v>
      </c>
      <c r="E2364" t="s">
        <v>4444</v>
      </c>
      <c r="F2364" s="3">
        <v>45080</v>
      </c>
      <c r="G2364" s="3">
        <v>45080</v>
      </c>
      <c r="H2364">
        <v>21.3</v>
      </c>
      <c r="I2364">
        <v>24</v>
      </c>
      <c r="J2364" t="s">
        <v>4448</v>
      </c>
      <c r="K2364" t="s">
        <v>4441</v>
      </c>
      <c r="L2364" t="s">
        <v>4458</v>
      </c>
      <c r="M2364" t="s">
        <v>4462</v>
      </c>
    </row>
    <row r="2365" spans="1:14" x14ac:dyDescent="0.35">
      <c r="A2365" t="s">
        <v>6844</v>
      </c>
      <c r="B2365" t="s">
        <v>101</v>
      </c>
      <c r="C2365" t="s">
        <v>1904</v>
      </c>
      <c r="D2365" t="s">
        <v>4482</v>
      </c>
      <c r="E2365" t="s">
        <v>4444</v>
      </c>
      <c r="F2365" s="3">
        <v>45243</v>
      </c>
      <c r="G2365" s="3" t="s">
        <v>537</v>
      </c>
      <c r="I2365">
        <v>24</v>
      </c>
      <c r="J2365" t="s">
        <v>4448</v>
      </c>
      <c r="K2365" t="s">
        <v>4474</v>
      </c>
      <c r="L2365" t="s">
        <v>4580</v>
      </c>
      <c r="M2365" t="s">
        <v>4446</v>
      </c>
    </row>
    <row r="2366" spans="1:14" x14ac:dyDescent="0.35">
      <c r="A2366" t="s">
        <v>6845</v>
      </c>
      <c r="B2366" t="s">
        <v>343</v>
      </c>
      <c r="C2366" t="s">
        <v>1915</v>
      </c>
      <c r="D2366" t="s">
        <v>4482</v>
      </c>
      <c r="E2366" t="s">
        <v>4456</v>
      </c>
      <c r="F2366" s="3">
        <v>45539</v>
      </c>
      <c r="G2366" s="3">
        <v>45539</v>
      </c>
      <c r="H2366">
        <v>6.2</v>
      </c>
      <c r="I2366">
        <v>4</v>
      </c>
      <c r="J2366" t="s">
        <v>4440</v>
      </c>
      <c r="K2366" t="s">
        <v>4441</v>
      </c>
      <c r="L2366" t="s">
        <v>4514</v>
      </c>
      <c r="M2366" t="s">
        <v>4450</v>
      </c>
      <c r="N2366">
        <v>4</v>
      </c>
    </row>
    <row r="2367" spans="1:14" x14ac:dyDescent="0.35">
      <c r="A2367" t="s">
        <v>6846</v>
      </c>
      <c r="B2367" t="s">
        <v>296</v>
      </c>
      <c r="C2367" t="s">
        <v>1915</v>
      </c>
      <c r="D2367" t="s">
        <v>4472</v>
      </c>
      <c r="E2367" t="s">
        <v>4444</v>
      </c>
      <c r="F2367" s="3">
        <v>45316</v>
      </c>
      <c r="G2367" s="3">
        <v>45316</v>
      </c>
      <c r="H2367">
        <v>1.6</v>
      </c>
      <c r="I2367">
        <v>24</v>
      </c>
      <c r="J2367" t="s">
        <v>4448</v>
      </c>
      <c r="K2367" t="s">
        <v>4441</v>
      </c>
      <c r="L2367" t="s">
        <v>4467</v>
      </c>
      <c r="M2367" t="s">
        <v>4446</v>
      </c>
      <c r="N2367">
        <v>4</v>
      </c>
    </row>
    <row r="2368" spans="1:14" x14ac:dyDescent="0.35">
      <c r="A2368" t="s">
        <v>6847</v>
      </c>
      <c r="B2368" t="s">
        <v>133</v>
      </c>
      <c r="C2368" t="s">
        <v>1927</v>
      </c>
      <c r="D2368" t="s">
        <v>4490</v>
      </c>
      <c r="E2368" t="s">
        <v>4456</v>
      </c>
      <c r="F2368" s="3">
        <v>45007</v>
      </c>
      <c r="G2368" s="3">
        <v>45007</v>
      </c>
      <c r="H2368">
        <v>4.4000000000000004</v>
      </c>
      <c r="I2368">
        <v>4</v>
      </c>
      <c r="J2368" t="s">
        <v>4440</v>
      </c>
      <c r="K2368" t="s">
        <v>4441</v>
      </c>
      <c r="L2368" t="s">
        <v>4488</v>
      </c>
      <c r="M2368" t="s">
        <v>4446</v>
      </c>
      <c r="N2368">
        <v>5</v>
      </c>
    </row>
    <row r="2369" spans="1:14" x14ac:dyDescent="0.35">
      <c r="A2369" t="s">
        <v>6848</v>
      </c>
      <c r="B2369" t="s">
        <v>66</v>
      </c>
      <c r="C2369" t="s">
        <v>1899</v>
      </c>
      <c r="D2369" t="s">
        <v>4464</v>
      </c>
      <c r="E2369" t="s">
        <v>4456</v>
      </c>
      <c r="F2369" s="3">
        <v>45678</v>
      </c>
      <c r="G2369" s="3" t="s">
        <v>537</v>
      </c>
      <c r="I2369">
        <v>4</v>
      </c>
      <c r="J2369" t="s">
        <v>4440</v>
      </c>
      <c r="K2369" t="s">
        <v>4453</v>
      </c>
      <c r="L2369" t="s">
        <v>4445</v>
      </c>
      <c r="M2369" t="s">
        <v>1625</v>
      </c>
    </row>
    <row r="2370" spans="1:14" x14ac:dyDescent="0.35">
      <c r="A2370" t="s">
        <v>6849</v>
      </c>
      <c r="B2370" t="s">
        <v>162</v>
      </c>
      <c r="C2370" t="s">
        <v>1915</v>
      </c>
      <c r="D2370" t="s">
        <v>4460</v>
      </c>
      <c r="E2370" t="s">
        <v>4439</v>
      </c>
      <c r="F2370" s="3">
        <v>45437</v>
      </c>
      <c r="G2370" s="3" t="s">
        <v>537</v>
      </c>
      <c r="I2370">
        <v>48</v>
      </c>
      <c r="J2370" t="s">
        <v>4440</v>
      </c>
      <c r="K2370" t="s">
        <v>4457</v>
      </c>
      <c r="L2370" t="s">
        <v>4449</v>
      </c>
      <c r="M2370" t="s">
        <v>1625</v>
      </c>
    </row>
    <row r="2371" spans="1:14" x14ac:dyDescent="0.35">
      <c r="A2371" t="s">
        <v>6850</v>
      </c>
      <c r="B2371" t="s">
        <v>268</v>
      </c>
      <c r="C2371" t="s">
        <v>1904</v>
      </c>
      <c r="D2371" t="s">
        <v>4469</v>
      </c>
      <c r="E2371" t="s">
        <v>4444</v>
      </c>
      <c r="F2371" s="3">
        <v>45707</v>
      </c>
      <c r="G2371" s="3" t="s">
        <v>537</v>
      </c>
      <c r="I2371">
        <v>24</v>
      </c>
      <c r="J2371" t="s">
        <v>4440</v>
      </c>
      <c r="K2371" t="s">
        <v>4457</v>
      </c>
      <c r="L2371" t="s">
        <v>4514</v>
      </c>
      <c r="M2371" t="s">
        <v>1625</v>
      </c>
    </row>
    <row r="2372" spans="1:14" x14ac:dyDescent="0.35">
      <c r="A2372" t="s">
        <v>6851</v>
      </c>
      <c r="B2372" t="s">
        <v>236</v>
      </c>
      <c r="C2372" t="s">
        <v>1890</v>
      </c>
      <c r="D2372" t="s">
        <v>4438</v>
      </c>
      <c r="E2372" t="s">
        <v>4444</v>
      </c>
      <c r="F2372" s="3">
        <v>45044</v>
      </c>
      <c r="G2372" s="3" t="s">
        <v>537</v>
      </c>
      <c r="I2372">
        <v>24</v>
      </c>
      <c r="J2372" t="s">
        <v>4440</v>
      </c>
      <c r="K2372" t="s">
        <v>4457</v>
      </c>
      <c r="L2372" t="s">
        <v>4449</v>
      </c>
      <c r="M2372" t="s">
        <v>4450</v>
      </c>
    </row>
    <row r="2373" spans="1:14" x14ac:dyDescent="0.35">
      <c r="A2373" t="s">
        <v>6852</v>
      </c>
      <c r="B2373" t="s">
        <v>260</v>
      </c>
      <c r="C2373" t="s">
        <v>1883</v>
      </c>
      <c r="D2373" t="s">
        <v>4485</v>
      </c>
      <c r="E2373" t="s">
        <v>4444</v>
      </c>
      <c r="F2373" s="3">
        <v>45316</v>
      </c>
      <c r="G2373" s="3" t="s">
        <v>537</v>
      </c>
      <c r="I2373">
        <v>24</v>
      </c>
      <c r="J2373" t="s">
        <v>4448</v>
      </c>
      <c r="K2373" t="s">
        <v>4453</v>
      </c>
      <c r="L2373" t="s">
        <v>4465</v>
      </c>
      <c r="M2373" t="s">
        <v>4446</v>
      </c>
    </row>
    <row r="2374" spans="1:14" x14ac:dyDescent="0.35">
      <c r="A2374" t="s">
        <v>6853</v>
      </c>
      <c r="B2374" t="s">
        <v>82</v>
      </c>
      <c r="C2374" t="s">
        <v>1904</v>
      </c>
      <c r="D2374" t="s">
        <v>4479</v>
      </c>
      <c r="E2374" t="s">
        <v>4444</v>
      </c>
      <c r="F2374" s="3">
        <v>45165</v>
      </c>
      <c r="G2374" s="3">
        <v>45165</v>
      </c>
      <c r="H2374">
        <v>17.8</v>
      </c>
      <c r="I2374">
        <v>24</v>
      </c>
      <c r="J2374" t="s">
        <v>4448</v>
      </c>
      <c r="K2374" t="s">
        <v>4441</v>
      </c>
      <c r="L2374" t="s">
        <v>4467</v>
      </c>
      <c r="M2374" t="s">
        <v>4462</v>
      </c>
      <c r="N2374">
        <v>5</v>
      </c>
    </row>
    <row r="2375" spans="1:14" x14ac:dyDescent="0.35">
      <c r="A2375" t="s">
        <v>6854</v>
      </c>
      <c r="B2375" t="s">
        <v>57</v>
      </c>
      <c r="C2375" t="s">
        <v>1890</v>
      </c>
      <c r="D2375" t="s">
        <v>4460</v>
      </c>
      <c r="E2375" t="s">
        <v>4444</v>
      </c>
      <c r="F2375" s="3">
        <v>45317</v>
      </c>
      <c r="G2375" s="3">
        <v>45318</v>
      </c>
      <c r="H2375">
        <v>46</v>
      </c>
      <c r="I2375">
        <v>24</v>
      </c>
      <c r="J2375" t="s">
        <v>4440</v>
      </c>
      <c r="K2375" t="s">
        <v>4441</v>
      </c>
      <c r="L2375" t="s">
        <v>4501</v>
      </c>
      <c r="M2375" t="s">
        <v>4446</v>
      </c>
    </row>
    <row r="2376" spans="1:14" x14ac:dyDescent="0.35">
      <c r="A2376" t="s">
        <v>6855</v>
      </c>
      <c r="B2376" t="s">
        <v>175</v>
      </c>
      <c r="C2376" t="s">
        <v>1904</v>
      </c>
      <c r="D2376" t="s">
        <v>4469</v>
      </c>
      <c r="E2376" t="s">
        <v>4473</v>
      </c>
      <c r="F2376" s="3">
        <v>45044</v>
      </c>
      <c r="G2376" s="3" t="s">
        <v>537</v>
      </c>
      <c r="I2376">
        <v>8</v>
      </c>
      <c r="J2376" t="s">
        <v>4448</v>
      </c>
      <c r="K2376" t="s">
        <v>4474</v>
      </c>
      <c r="L2376" t="s">
        <v>4527</v>
      </c>
      <c r="M2376" t="s">
        <v>4450</v>
      </c>
    </row>
    <row r="2377" spans="1:14" x14ac:dyDescent="0.35">
      <c r="A2377" t="s">
        <v>6856</v>
      </c>
      <c r="B2377" t="s">
        <v>305</v>
      </c>
      <c r="C2377" t="s">
        <v>1890</v>
      </c>
      <c r="D2377" t="s">
        <v>4485</v>
      </c>
      <c r="E2377" t="s">
        <v>4439</v>
      </c>
      <c r="F2377" s="3">
        <v>45233</v>
      </c>
      <c r="G2377" s="3">
        <v>45236</v>
      </c>
      <c r="H2377">
        <v>73.5</v>
      </c>
      <c r="I2377">
        <v>48</v>
      </c>
      <c r="J2377" t="s">
        <v>4440</v>
      </c>
      <c r="K2377" t="s">
        <v>4441</v>
      </c>
      <c r="L2377" t="s">
        <v>4470</v>
      </c>
      <c r="M2377" t="s">
        <v>4446</v>
      </c>
      <c r="N2377">
        <v>4</v>
      </c>
    </row>
    <row r="2378" spans="1:14" x14ac:dyDescent="0.35">
      <c r="A2378" t="s">
        <v>6857</v>
      </c>
      <c r="B2378" t="s">
        <v>390</v>
      </c>
      <c r="C2378" t="s">
        <v>1915</v>
      </c>
      <c r="D2378" t="s">
        <v>4476</v>
      </c>
      <c r="E2378" t="s">
        <v>4456</v>
      </c>
      <c r="F2378" s="3">
        <v>45403</v>
      </c>
      <c r="G2378" s="3">
        <v>45403</v>
      </c>
      <c r="H2378">
        <v>1.7</v>
      </c>
      <c r="I2378">
        <v>4</v>
      </c>
      <c r="J2378" t="s">
        <v>4448</v>
      </c>
      <c r="K2378" t="s">
        <v>4441</v>
      </c>
      <c r="L2378" t="s">
        <v>4449</v>
      </c>
      <c r="M2378" t="s">
        <v>4446</v>
      </c>
      <c r="N2378">
        <v>4</v>
      </c>
    </row>
    <row r="2379" spans="1:14" x14ac:dyDescent="0.35">
      <c r="A2379" t="s">
        <v>6858</v>
      </c>
      <c r="B2379" t="s">
        <v>293</v>
      </c>
      <c r="C2379" t="s">
        <v>1899</v>
      </c>
      <c r="D2379" t="s">
        <v>4438</v>
      </c>
      <c r="E2379" t="s">
        <v>4444</v>
      </c>
      <c r="F2379" s="3">
        <v>45389</v>
      </c>
      <c r="G2379" s="3">
        <v>45390</v>
      </c>
      <c r="H2379">
        <v>27.9</v>
      </c>
      <c r="I2379">
        <v>24</v>
      </c>
      <c r="J2379" t="s">
        <v>4440</v>
      </c>
      <c r="K2379" t="s">
        <v>4441</v>
      </c>
      <c r="L2379" t="s">
        <v>4467</v>
      </c>
      <c r="M2379" t="s">
        <v>4450</v>
      </c>
      <c r="N2379">
        <v>4</v>
      </c>
    </row>
    <row r="2380" spans="1:14" x14ac:dyDescent="0.35">
      <c r="A2380" t="s">
        <v>6859</v>
      </c>
      <c r="B2380" t="s">
        <v>293</v>
      </c>
      <c r="C2380" t="s">
        <v>1915</v>
      </c>
      <c r="D2380" t="s">
        <v>4438</v>
      </c>
      <c r="E2380" t="s">
        <v>79</v>
      </c>
      <c r="F2380" s="3">
        <v>45147</v>
      </c>
      <c r="G2380" s="3">
        <v>45148</v>
      </c>
      <c r="H2380">
        <v>39.6</v>
      </c>
      <c r="I2380">
        <v>48</v>
      </c>
      <c r="J2380" t="s">
        <v>4448</v>
      </c>
      <c r="K2380" t="s">
        <v>4441</v>
      </c>
      <c r="L2380" t="s">
        <v>1907</v>
      </c>
      <c r="M2380" t="s">
        <v>4446</v>
      </c>
      <c r="N2380">
        <v>4</v>
      </c>
    </row>
    <row r="2381" spans="1:14" x14ac:dyDescent="0.35">
      <c r="A2381" t="s">
        <v>6860</v>
      </c>
      <c r="B2381" t="s">
        <v>494</v>
      </c>
      <c r="C2381" t="s">
        <v>1899</v>
      </c>
      <c r="D2381" t="s">
        <v>4464</v>
      </c>
      <c r="E2381" t="s">
        <v>4444</v>
      </c>
      <c r="F2381" s="3">
        <v>45405</v>
      </c>
      <c r="G2381" s="3">
        <v>45407</v>
      </c>
      <c r="H2381">
        <v>59.6</v>
      </c>
      <c r="I2381">
        <v>24</v>
      </c>
      <c r="J2381" t="s">
        <v>4440</v>
      </c>
      <c r="K2381" t="s">
        <v>4441</v>
      </c>
      <c r="L2381" t="s">
        <v>4514</v>
      </c>
      <c r="M2381" t="s">
        <v>4462</v>
      </c>
      <c r="N2381">
        <v>4</v>
      </c>
    </row>
    <row r="2382" spans="1:14" x14ac:dyDescent="0.35">
      <c r="A2382" t="s">
        <v>6861</v>
      </c>
      <c r="B2382" t="s">
        <v>138</v>
      </c>
      <c r="C2382" t="s">
        <v>1883</v>
      </c>
      <c r="D2382" t="s">
        <v>4472</v>
      </c>
      <c r="E2382" t="s">
        <v>4473</v>
      </c>
      <c r="F2382" s="3">
        <v>45498</v>
      </c>
      <c r="G2382" s="3">
        <v>45498</v>
      </c>
      <c r="H2382">
        <v>8</v>
      </c>
      <c r="I2382">
        <v>8</v>
      </c>
      <c r="J2382" t="s">
        <v>4448</v>
      </c>
      <c r="K2382" t="s">
        <v>4441</v>
      </c>
      <c r="L2382" t="s">
        <v>4461</v>
      </c>
      <c r="M2382" t="s">
        <v>4462</v>
      </c>
      <c r="N2382">
        <v>5</v>
      </c>
    </row>
    <row r="2383" spans="1:14" x14ac:dyDescent="0.35">
      <c r="A2383" t="s">
        <v>6862</v>
      </c>
      <c r="B2383" t="s">
        <v>243</v>
      </c>
      <c r="C2383" t="s">
        <v>1927</v>
      </c>
      <c r="D2383" t="s">
        <v>4482</v>
      </c>
      <c r="E2383" t="s">
        <v>4444</v>
      </c>
      <c r="F2383" s="3">
        <v>45575</v>
      </c>
      <c r="G2383" s="3">
        <v>45576</v>
      </c>
      <c r="H2383">
        <v>28.4</v>
      </c>
      <c r="I2383">
        <v>24</v>
      </c>
      <c r="J2383" t="s">
        <v>4440</v>
      </c>
      <c r="K2383" t="s">
        <v>4441</v>
      </c>
      <c r="L2383" t="s">
        <v>4449</v>
      </c>
      <c r="M2383" t="s">
        <v>4462</v>
      </c>
      <c r="N2383">
        <v>3</v>
      </c>
    </row>
    <row r="2384" spans="1:14" x14ac:dyDescent="0.35">
      <c r="A2384" t="s">
        <v>6863</v>
      </c>
      <c r="B2384" t="s">
        <v>263</v>
      </c>
      <c r="C2384" t="s">
        <v>1890</v>
      </c>
      <c r="D2384" t="s">
        <v>4476</v>
      </c>
      <c r="E2384" t="s">
        <v>4444</v>
      </c>
      <c r="F2384" s="3">
        <v>45129</v>
      </c>
      <c r="G2384" s="3" t="s">
        <v>537</v>
      </c>
      <c r="I2384">
        <v>24</v>
      </c>
      <c r="J2384" t="s">
        <v>1945</v>
      </c>
      <c r="K2384" t="s">
        <v>4474</v>
      </c>
      <c r="L2384" t="s">
        <v>4461</v>
      </c>
      <c r="M2384" t="s">
        <v>1625</v>
      </c>
    </row>
    <row r="2385" spans="1:14" x14ac:dyDescent="0.35">
      <c r="A2385" t="s">
        <v>6864</v>
      </c>
      <c r="B2385" t="s">
        <v>494</v>
      </c>
      <c r="C2385" t="s">
        <v>1927</v>
      </c>
      <c r="D2385" t="s">
        <v>4452</v>
      </c>
      <c r="E2385" t="s">
        <v>4473</v>
      </c>
      <c r="F2385" s="3">
        <v>45349</v>
      </c>
      <c r="G2385" s="3">
        <v>45349</v>
      </c>
      <c r="H2385">
        <v>3</v>
      </c>
      <c r="I2385">
        <v>8</v>
      </c>
      <c r="J2385" t="s">
        <v>4448</v>
      </c>
      <c r="K2385" t="s">
        <v>4441</v>
      </c>
      <c r="L2385" t="s">
        <v>4501</v>
      </c>
      <c r="M2385" t="s">
        <v>1625</v>
      </c>
      <c r="N2385">
        <v>4</v>
      </c>
    </row>
    <row r="2386" spans="1:14" x14ac:dyDescent="0.35">
      <c r="A2386" t="s">
        <v>6865</v>
      </c>
      <c r="B2386" t="s">
        <v>380</v>
      </c>
      <c r="C2386" t="s">
        <v>1915</v>
      </c>
      <c r="D2386" t="s">
        <v>4438</v>
      </c>
      <c r="E2386" t="s">
        <v>4439</v>
      </c>
      <c r="F2386" s="3">
        <v>44932</v>
      </c>
      <c r="G2386" s="3" t="s">
        <v>537</v>
      </c>
      <c r="I2386">
        <v>48</v>
      </c>
      <c r="J2386" t="s">
        <v>4448</v>
      </c>
      <c r="K2386" t="s">
        <v>4457</v>
      </c>
      <c r="L2386" t="s">
        <v>4514</v>
      </c>
      <c r="M2386" t="s">
        <v>1625</v>
      </c>
    </row>
    <row r="2387" spans="1:14" x14ac:dyDescent="0.35">
      <c r="A2387" t="s">
        <v>6866</v>
      </c>
      <c r="B2387" t="s">
        <v>492</v>
      </c>
      <c r="C2387" t="s">
        <v>1904</v>
      </c>
      <c r="D2387" t="s">
        <v>4490</v>
      </c>
      <c r="E2387" t="s">
        <v>4444</v>
      </c>
      <c r="F2387" s="3">
        <v>45575</v>
      </c>
      <c r="G2387" s="3">
        <v>45576</v>
      </c>
      <c r="H2387">
        <v>35.6</v>
      </c>
      <c r="I2387">
        <v>24</v>
      </c>
      <c r="J2387" t="s">
        <v>4440</v>
      </c>
      <c r="K2387" t="s">
        <v>4441</v>
      </c>
      <c r="L2387" t="s">
        <v>4449</v>
      </c>
      <c r="M2387" t="s">
        <v>4446</v>
      </c>
      <c r="N2387">
        <v>3</v>
      </c>
    </row>
    <row r="2388" spans="1:14" x14ac:dyDescent="0.35">
      <c r="A2388" t="s">
        <v>6867</v>
      </c>
      <c r="B2388" t="s">
        <v>201</v>
      </c>
      <c r="C2388" t="s">
        <v>1915</v>
      </c>
      <c r="D2388" t="s">
        <v>4464</v>
      </c>
      <c r="E2388" t="s">
        <v>4473</v>
      </c>
      <c r="F2388" s="3">
        <v>45582</v>
      </c>
      <c r="G2388" s="3">
        <v>45582</v>
      </c>
      <c r="H2388">
        <v>5</v>
      </c>
      <c r="I2388">
        <v>8</v>
      </c>
      <c r="J2388" t="s">
        <v>4448</v>
      </c>
      <c r="K2388" t="s">
        <v>4441</v>
      </c>
      <c r="L2388" t="s">
        <v>4449</v>
      </c>
      <c r="M2388" t="s">
        <v>4450</v>
      </c>
      <c r="N2388">
        <v>4</v>
      </c>
    </row>
    <row r="2389" spans="1:14" x14ac:dyDescent="0.35">
      <c r="A2389" t="s">
        <v>6868</v>
      </c>
      <c r="B2389" t="s">
        <v>356</v>
      </c>
      <c r="C2389" t="s">
        <v>1890</v>
      </c>
      <c r="D2389" t="s">
        <v>4485</v>
      </c>
      <c r="E2389" t="s">
        <v>4444</v>
      </c>
      <c r="F2389" s="3">
        <v>45716</v>
      </c>
      <c r="G2389" s="3">
        <v>45717</v>
      </c>
      <c r="H2389">
        <v>24.4</v>
      </c>
      <c r="I2389">
        <v>24</v>
      </c>
      <c r="J2389" t="s">
        <v>4440</v>
      </c>
      <c r="K2389" t="s">
        <v>4441</v>
      </c>
      <c r="L2389" t="s">
        <v>4454</v>
      </c>
      <c r="M2389" t="s">
        <v>4462</v>
      </c>
      <c r="N2389">
        <v>2</v>
      </c>
    </row>
    <row r="2390" spans="1:14" x14ac:dyDescent="0.35">
      <c r="A2390" t="s">
        <v>6869</v>
      </c>
      <c r="B2390" t="s">
        <v>106</v>
      </c>
      <c r="C2390" t="s">
        <v>1915</v>
      </c>
      <c r="D2390" t="s">
        <v>4469</v>
      </c>
      <c r="E2390" t="s">
        <v>4444</v>
      </c>
      <c r="F2390" s="3">
        <v>45184</v>
      </c>
      <c r="G2390" s="3">
        <v>45186</v>
      </c>
      <c r="H2390">
        <v>57.3</v>
      </c>
      <c r="I2390">
        <v>24</v>
      </c>
      <c r="J2390" t="s">
        <v>4440</v>
      </c>
      <c r="K2390" t="s">
        <v>4441</v>
      </c>
      <c r="L2390" t="s">
        <v>4512</v>
      </c>
      <c r="M2390" t="s">
        <v>1625</v>
      </c>
    </row>
    <row r="2391" spans="1:14" x14ac:dyDescent="0.35">
      <c r="A2391" t="s">
        <v>6870</v>
      </c>
      <c r="B2391" t="s">
        <v>423</v>
      </c>
      <c r="C2391" t="s">
        <v>1890</v>
      </c>
      <c r="D2391" t="s">
        <v>4472</v>
      </c>
      <c r="E2391" t="s">
        <v>4473</v>
      </c>
      <c r="F2391" s="3">
        <v>45229</v>
      </c>
      <c r="G2391" s="3" t="s">
        <v>537</v>
      </c>
      <c r="I2391">
        <v>8</v>
      </c>
      <c r="J2391" t="s">
        <v>4440</v>
      </c>
      <c r="K2391" t="s">
        <v>4474</v>
      </c>
      <c r="L2391" t="s">
        <v>4527</v>
      </c>
      <c r="M2391" t="s">
        <v>4462</v>
      </c>
    </row>
    <row r="2392" spans="1:14" x14ac:dyDescent="0.35">
      <c r="A2392" t="s">
        <v>6871</v>
      </c>
      <c r="B2392" t="s">
        <v>149</v>
      </c>
      <c r="C2392" t="s">
        <v>1927</v>
      </c>
      <c r="D2392" t="s">
        <v>4476</v>
      </c>
      <c r="E2392" t="s">
        <v>79</v>
      </c>
      <c r="F2392" s="3">
        <v>45061</v>
      </c>
      <c r="G2392" s="3">
        <v>45062</v>
      </c>
      <c r="H2392">
        <v>39.200000000000003</v>
      </c>
      <c r="I2392">
        <v>24</v>
      </c>
      <c r="J2392" t="s">
        <v>4440</v>
      </c>
      <c r="K2392" t="s">
        <v>4441</v>
      </c>
      <c r="L2392" t="s">
        <v>4580</v>
      </c>
      <c r="M2392" t="s">
        <v>1625</v>
      </c>
      <c r="N2392">
        <v>4</v>
      </c>
    </row>
    <row r="2393" spans="1:14" x14ac:dyDescent="0.35">
      <c r="A2393" t="s">
        <v>6872</v>
      </c>
      <c r="B2393" t="s">
        <v>97</v>
      </c>
      <c r="C2393" t="s">
        <v>1890</v>
      </c>
      <c r="D2393" t="s">
        <v>4460</v>
      </c>
      <c r="E2393" t="s">
        <v>4456</v>
      </c>
      <c r="F2393" s="3">
        <v>45467</v>
      </c>
      <c r="G2393" s="3">
        <v>45467</v>
      </c>
      <c r="H2393">
        <v>7.3</v>
      </c>
      <c r="I2393">
        <v>4</v>
      </c>
      <c r="J2393" t="s">
        <v>4440</v>
      </c>
      <c r="K2393" t="s">
        <v>4441</v>
      </c>
      <c r="L2393" t="s">
        <v>1907</v>
      </c>
      <c r="M2393" t="s">
        <v>4446</v>
      </c>
      <c r="N2393">
        <v>3</v>
      </c>
    </row>
    <row r="2394" spans="1:14" x14ac:dyDescent="0.35">
      <c r="A2394" t="s">
        <v>6873</v>
      </c>
      <c r="B2394" t="s">
        <v>499</v>
      </c>
      <c r="C2394" t="s">
        <v>1927</v>
      </c>
      <c r="D2394" t="s">
        <v>4438</v>
      </c>
      <c r="E2394" t="s">
        <v>4444</v>
      </c>
      <c r="F2394" s="3">
        <v>45723</v>
      </c>
      <c r="G2394" s="3">
        <v>45723</v>
      </c>
      <c r="H2394">
        <v>20.6</v>
      </c>
      <c r="I2394">
        <v>24</v>
      </c>
      <c r="J2394" t="s">
        <v>4448</v>
      </c>
      <c r="K2394" t="s">
        <v>4441</v>
      </c>
      <c r="L2394" t="s">
        <v>4480</v>
      </c>
      <c r="M2394" t="s">
        <v>1625</v>
      </c>
      <c r="N2394">
        <v>2</v>
      </c>
    </row>
    <row r="2395" spans="1:14" x14ac:dyDescent="0.35">
      <c r="A2395" t="s">
        <v>6874</v>
      </c>
      <c r="B2395" t="s">
        <v>299</v>
      </c>
      <c r="C2395" t="s">
        <v>1899</v>
      </c>
      <c r="D2395" t="s">
        <v>4490</v>
      </c>
      <c r="E2395" t="s">
        <v>4444</v>
      </c>
      <c r="F2395" s="3">
        <v>45263</v>
      </c>
      <c r="G2395" s="3" t="s">
        <v>537</v>
      </c>
      <c r="I2395">
        <v>24</v>
      </c>
      <c r="J2395" t="s">
        <v>1945</v>
      </c>
      <c r="K2395" t="s">
        <v>4457</v>
      </c>
      <c r="L2395" t="s">
        <v>4467</v>
      </c>
      <c r="M2395" t="s">
        <v>1625</v>
      </c>
    </row>
    <row r="2396" spans="1:14" x14ac:dyDescent="0.35">
      <c r="A2396" t="s">
        <v>6875</v>
      </c>
      <c r="B2396" t="s">
        <v>62</v>
      </c>
      <c r="C2396" t="s">
        <v>1883</v>
      </c>
      <c r="D2396" t="s">
        <v>4469</v>
      </c>
      <c r="E2396" t="s">
        <v>4444</v>
      </c>
      <c r="F2396" s="3">
        <v>45531</v>
      </c>
      <c r="G2396" s="3">
        <v>45533</v>
      </c>
      <c r="H2396">
        <v>58.4</v>
      </c>
      <c r="I2396">
        <v>24</v>
      </c>
      <c r="J2396" t="s">
        <v>4440</v>
      </c>
      <c r="K2396" t="s">
        <v>4441</v>
      </c>
      <c r="L2396" t="s">
        <v>4514</v>
      </c>
      <c r="M2396" t="s">
        <v>4462</v>
      </c>
      <c r="N2396">
        <v>5</v>
      </c>
    </row>
    <row r="2397" spans="1:14" x14ac:dyDescent="0.35">
      <c r="A2397" t="s">
        <v>6876</v>
      </c>
      <c r="B2397" t="s">
        <v>252</v>
      </c>
      <c r="C2397" t="s">
        <v>1915</v>
      </c>
      <c r="D2397" t="s">
        <v>4464</v>
      </c>
      <c r="E2397" t="s">
        <v>4444</v>
      </c>
      <c r="F2397" s="3">
        <v>45367</v>
      </c>
      <c r="G2397" s="3" t="s">
        <v>537</v>
      </c>
      <c r="I2397">
        <v>24</v>
      </c>
      <c r="J2397" t="s">
        <v>4448</v>
      </c>
      <c r="K2397" t="s">
        <v>4474</v>
      </c>
      <c r="L2397" t="s">
        <v>4527</v>
      </c>
      <c r="M2397" t="s">
        <v>4462</v>
      </c>
    </row>
    <row r="2398" spans="1:14" x14ac:dyDescent="0.35">
      <c r="A2398" t="s">
        <v>6877</v>
      </c>
      <c r="B2398" t="s">
        <v>449</v>
      </c>
      <c r="C2398" t="s">
        <v>1927</v>
      </c>
      <c r="D2398" t="s">
        <v>4485</v>
      </c>
      <c r="E2398" t="s">
        <v>4444</v>
      </c>
      <c r="F2398" s="3">
        <v>45069</v>
      </c>
      <c r="G2398" s="3">
        <v>45069</v>
      </c>
      <c r="H2398">
        <v>3.6</v>
      </c>
      <c r="I2398">
        <v>24</v>
      </c>
      <c r="J2398" t="s">
        <v>4448</v>
      </c>
      <c r="K2398" t="s">
        <v>4441</v>
      </c>
      <c r="L2398" t="s">
        <v>1907</v>
      </c>
      <c r="M2398" t="s">
        <v>4446</v>
      </c>
      <c r="N2398">
        <v>3</v>
      </c>
    </row>
    <row r="2399" spans="1:14" x14ac:dyDescent="0.35">
      <c r="A2399" t="s">
        <v>6878</v>
      </c>
      <c r="B2399" t="s">
        <v>308</v>
      </c>
      <c r="C2399" t="s">
        <v>1915</v>
      </c>
      <c r="D2399" t="s">
        <v>4464</v>
      </c>
      <c r="E2399" t="s">
        <v>4456</v>
      </c>
      <c r="F2399" s="3">
        <v>45449</v>
      </c>
      <c r="G2399" s="3">
        <v>45449</v>
      </c>
      <c r="H2399">
        <v>9</v>
      </c>
      <c r="I2399">
        <v>4</v>
      </c>
      <c r="J2399" t="s">
        <v>4440</v>
      </c>
      <c r="K2399" t="s">
        <v>4441</v>
      </c>
      <c r="L2399" t="s">
        <v>4449</v>
      </c>
      <c r="M2399" t="s">
        <v>4446</v>
      </c>
      <c r="N2399">
        <v>3</v>
      </c>
    </row>
    <row r="2400" spans="1:14" x14ac:dyDescent="0.35">
      <c r="A2400" t="s">
        <v>6879</v>
      </c>
      <c r="B2400" t="s">
        <v>32</v>
      </c>
      <c r="C2400" t="s">
        <v>1890</v>
      </c>
      <c r="D2400" t="s">
        <v>4464</v>
      </c>
      <c r="E2400" t="s">
        <v>4473</v>
      </c>
      <c r="F2400" s="3">
        <v>45495</v>
      </c>
      <c r="G2400" s="3">
        <v>45495</v>
      </c>
      <c r="H2400">
        <v>14.2</v>
      </c>
      <c r="I2400">
        <v>8</v>
      </c>
      <c r="J2400" t="s">
        <v>4440</v>
      </c>
      <c r="K2400" t="s">
        <v>4441</v>
      </c>
      <c r="L2400" t="s">
        <v>4488</v>
      </c>
      <c r="M2400" t="s">
        <v>4446</v>
      </c>
    </row>
    <row r="2401" spans="1:14" x14ac:dyDescent="0.35">
      <c r="A2401" t="s">
        <v>6880</v>
      </c>
      <c r="B2401" t="s">
        <v>458</v>
      </c>
      <c r="C2401" t="s">
        <v>1927</v>
      </c>
      <c r="D2401" t="s">
        <v>4438</v>
      </c>
      <c r="E2401" t="s">
        <v>4439</v>
      </c>
      <c r="F2401" s="3">
        <v>45239</v>
      </c>
      <c r="G2401" s="3">
        <v>45241</v>
      </c>
      <c r="H2401">
        <v>52.6</v>
      </c>
      <c r="I2401">
        <v>48</v>
      </c>
      <c r="J2401" t="s">
        <v>4440</v>
      </c>
      <c r="K2401" t="s">
        <v>4441</v>
      </c>
      <c r="L2401" t="s">
        <v>4445</v>
      </c>
      <c r="M2401" t="s">
        <v>4450</v>
      </c>
      <c r="N2401">
        <v>5</v>
      </c>
    </row>
    <row r="2402" spans="1:14" x14ac:dyDescent="0.35">
      <c r="A2402" t="s">
        <v>6881</v>
      </c>
      <c r="B2402" t="s">
        <v>406</v>
      </c>
      <c r="C2402" t="s">
        <v>1904</v>
      </c>
      <c r="D2402" t="s">
        <v>4490</v>
      </c>
      <c r="E2402" t="s">
        <v>4473</v>
      </c>
      <c r="F2402" s="3">
        <v>44944</v>
      </c>
      <c r="G2402" s="3">
        <v>44944</v>
      </c>
      <c r="H2402">
        <v>2.9</v>
      </c>
      <c r="I2402">
        <v>8</v>
      </c>
      <c r="J2402" t="s">
        <v>4448</v>
      </c>
      <c r="K2402" t="s">
        <v>4441</v>
      </c>
      <c r="L2402" t="s">
        <v>4483</v>
      </c>
      <c r="M2402" t="s">
        <v>4450</v>
      </c>
    </row>
    <row r="2403" spans="1:14" x14ac:dyDescent="0.35">
      <c r="A2403" t="s">
        <v>6882</v>
      </c>
      <c r="B2403" t="s">
        <v>52</v>
      </c>
      <c r="C2403" t="s">
        <v>1899</v>
      </c>
      <c r="D2403" t="s">
        <v>4443</v>
      </c>
      <c r="E2403" t="s">
        <v>4444</v>
      </c>
      <c r="F2403" s="3">
        <v>45111</v>
      </c>
      <c r="G2403" s="3">
        <v>45112</v>
      </c>
      <c r="H2403">
        <v>47.8</v>
      </c>
      <c r="I2403">
        <v>24</v>
      </c>
      <c r="J2403" t="s">
        <v>4440</v>
      </c>
      <c r="K2403" t="s">
        <v>4441</v>
      </c>
      <c r="L2403" t="s">
        <v>4580</v>
      </c>
      <c r="M2403" t="s">
        <v>4446</v>
      </c>
      <c r="N2403">
        <v>5</v>
      </c>
    </row>
    <row r="2404" spans="1:14" x14ac:dyDescent="0.35">
      <c r="A2404" t="s">
        <v>6883</v>
      </c>
      <c r="B2404" t="s">
        <v>426</v>
      </c>
      <c r="C2404" t="s">
        <v>1883</v>
      </c>
      <c r="D2404" t="s">
        <v>4490</v>
      </c>
      <c r="E2404" t="s">
        <v>4473</v>
      </c>
      <c r="F2404" s="3">
        <v>45457</v>
      </c>
      <c r="G2404" s="3" t="s">
        <v>537</v>
      </c>
      <c r="I2404">
        <v>8</v>
      </c>
      <c r="J2404" t="s">
        <v>4440</v>
      </c>
      <c r="K2404" t="s">
        <v>4457</v>
      </c>
      <c r="L2404" t="s">
        <v>4514</v>
      </c>
      <c r="M2404" t="s">
        <v>4450</v>
      </c>
    </row>
    <row r="2405" spans="1:14" x14ac:dyDescent="0.35">
      <c r="A2405" t="s">
        <v>6884</v>
      </c>
      <c r="B2405" t="s">
        <v>337</v>
      </c>
      <c r="C2405" t="s">
        <v>1890</v>
      </c>
      <c r="D2405" t="s">
        <v>4460</v>
      </c>
      <c r="E2405" t="s">
        <v>4439</v>
      </c>
      <c r="F2405" s="3">
        <v>45294</v>
      </c>
      <c r="G2405" s="3" t="s">
        <v>537</v>
      </c>
      <c r="I2405">
        <v>48</v>
      </c>
      <c r="J2405" t="s">
        <v>4448</v>
      </c>
      <c r="K2405" t="s">
        <v>4457</v>
      </c>
      <c r="L2405" t="s">
        <v>4449</v>
      </c>
      <c r="M2405" t="s">
        <v>1625</v>
      </c>
    </row>
    <row r="2406" spans="1:14" x14ac:dyDescent="0.35">
      <c r="A2406" t="s">
        <v>6885</v>
      </c>
      <c r="B2406" t="s">
        <v>395</v>
      </c>
      <c r="C2406" t="s">
        <v>1883</v>
      </c>
      <c r="D2406" t="s">
        <v>4443</v>
      </c>
      <c r="E2406" t="s">
        <v>4444</v>
      </c>
      <c r="F2406" s="3">
        <v>44969</v>
      </c>
      <c r="G2406" s="3">
        <v>44970</v>
      </c>
      <c r="H2406">
        <v>40.200000000000003</v>
      </c>
      <c r="I2406">
        <v>24</v>
      </c>
      <c r="J2406" t="s">
        <v>4440</v>
      </c>
      <c r="K2406" t="s">
        <v>4441</v>
      </c>
      <c r="L2406" t="s">
        <v>1907</v>
      </c>
      <c r="M2406" t="s">
        <v>1625</v>
      </c>
      <c r="N2406">
        <v>2</v>
      </c>
    </row>
    <row r="2407" spans="1:14" x14ac:dyDescent="0.35">
      <c r="A2407" t="s">
        <v>6886</v>
      </c>
      <c r="B2407" t="s">
        <v>175</v>
      </c>
      <c r="C2407" t="s">
        <v>1927</v>
      </c>
      <c r="D2407" t="s">
        <v>4460</v>
      </c>
      <c r="E2407" t="s">
        <v>4444</v>
      </c>
      <c r="F2407" s="3">
        <v>45378</v>
      </c>
      <c r="G2407" s="3">
        <v>45378</v>
      </c>
      <c r="H2407">
        <v>19.100000000000001</v>
      </c>
      <c r="I2407">
        <v>24</v>
      </c>
      <c r="J2407" t="s">
        <v>4448</v>
      </c>
      <c r="K2407" t="s">
        <v>4441</v>
      </c>
      <c r="L2407" t="s">
        <v>4465</v>
      </c>
      <c r="M2407" t="s">
        <v>4446</v>
      </c>
      <c r="N2407">
        <v>3</v>
      </c>
    </row>
    <row r="2408" spans="1:14" x14ac:dyDescent="0.35">
      <c r="A2408" t="s">
        <v>6887</v>
      </c>
      <c r="B2408" t="s">
        <v>210</v>
      </c>
      <c r="C2408" t="s">
        <v>1883</v>
      </c>
      <c r="D2408" t="s">
        <v>4452</v>
      </c>
      <c r="E2408" t="s">
        <v>4444</v>
      </c>
      <c r="F2408" s="3">
        <v>45188</v>
      </c>
      <c r="G2408" s="3">
        <v>45189</v>
      </c>
      <c r="H2408">
        <v>27.9</v>
      </c>
      <c r="I2408">
        <v>24</v>
      </c>
      <c r="J2408" t="s">
        <v>4440</v>
      </c>
      <c r="K2408" t="s">
        <v>4441</v>
      </c>
      <c r="L2408" t="s">
        <v>4445</v>
      </c>
      <c r="M2408" t="s">
        <v>4446</v>
      </c>
      <c r="N2408">
        <v>3</v>
      </c>
    </row>
    <row r="2409" spans="1:14" x14ac:dyDescent="0.35">
      <c r="A2409" t="s">
        <v>6888</v>
      </c>
      <c r="B2409" t="s">
        <v>415</v>
      </c>
      <c r="C2409" t="s">
        <v>1899</v>
      </c>
      <c r="D2409" t="s">
        <v>4464</v>
      </c>
      <c r="E2409" t="s">
        <v>4473</v>
      </c>
      <c r="F2409" s="3">
        <v>45746</v>
      </c>
      <c r="G2409" s="3" t="s">
        <v>537</v>
      </c>
      <c r="I2409">
        <v>8</v>
      </c>
      <c r="J2409" t="s">
        <v>4440</v>
      </c>
      <c r="K2409" t="s">
        <v>4474</v>
      </c>
      <c r="L2409" t="s">
        <v>1907</v>
      </c>
      <c r="M2409" t="s">
        <v>4446</v>
      </c>
    </row>
    <row r="2410" spans="1:14" x14ac:dyDescent="0.35">
      <c r="A2410" t="s">
        <v>6889</v>
      </c>
      <c r="B2410" t="s">
        <v>230</v>
      </c>
      <c r="C2410" t="s">
        <v>1899</v>
      </c>
      <c r="D2410" t="s">
        <v>4490</v>
      </c>
      <c r="E2410" t="s">
        <v>4439</v>
      </c>
      <c r="F2410" s="3">
        <v>45177</v>
      </c>
      <c r="G2410" s="3" t="s">
        <v>537</v>
      </c>
      <c r="I2410">
        <v>48</v>
      </c>
      <c r="J2410" t="s">
        <v>4448</v>
      </c>
      <c r="K2410" t="s">
        <v>4453</v>
      </c>
      <c r="L2410" t="s">
        <v>4461</v>
      </c>
      <c r="M2410" t="s">
        <v>4450</v>
      </c>
    </row>
    <row r="2411" spans="1:14" x14ac:dyDescent="0.35">
      <c r="A2411" t="s">
        <v>6890</v>
      </c>
      <c r="B2411" t="s">
        <v>42</v>
      </c>
      <c r="C2411" t="s">
        <v>1927</v>
      </c>
      <c r="D2411" t="s">
        <v>4469</v>
      </c>
      <c r="E2411" t="s">
        <v>4444</v>
      </c>
      <c r="F2411" s="3">
        <v>45532</v>
      </c>
      <c r="G2411" s="3">
        <v>45532</v>
      </c>
      <c r="H2411">
        <v>5</v>
      </c>
      <c r="I2411">
        <v>24</v>
      </c>
      <c r="J2411" t="s">
        <v>1945</v>
      </c>
      <c r="K2411" t="s">
        <v>4441</v>
      </c>
      <c r="L2411" t="s">
        <v>4458</v>
      </c>
      <c r="M2411" t="s">
        <v>1625</v>
      </c>
      <c r="N2411">
        <v>4</v>
      </c>
    </row>
    <row r="2412" spans="1:14" x14ac:dyDescent="0.35">
      <c r="A2412" t="s">
        <v>6891</v>
      </c>
      <c r="B2412" t="s">
        <v>328</v>
      </c>
      <c r="C2412" t="s">
        <v>1883</v>
      </c>
      <c r="D2412" t="s">
        <v>4472</v>
      </c>
      <c r="E2412" t="s">
        <v>4473</v>
      </c>
      <c r="F2412" s="3">
        <v>45369</v>
      </c>
      <c r="G2412" s="3" t="s">
        <v>537</v>
      </c>
      <c r="I2412">
        <v>8</v>
      </c>
      <c r="J2412" t="s">
        <v>4448</v>
      </c>
      <c r="K2412" t="s">
        <v>4474</v>
      </c>
      <c r="L2412" t="s">
        <v>4480</v>
      </c>
      <c r="M2412" t="s">
        <v>4446</v>
      </c>
    </row>
    <row r="2413" spans="1:14" x14ac:dyDescent="0.35">
      <c r="A2413" t="s">
        <v>6892</v>
      </c>
      <c r="B2413" t="s">
        <v>428</v>
      </c>
      <c r="C2413" t="s">
        <v>1927</v>
      </c>
      <c r="D2413" t="s">
        <v>4479</v>
      </c>
      <c r="E2413" t="s">
        <v>4444</v>
      </c>
      <c r="F2413" s="3">
        <v>45583</v>
      </c>
      <c r="G2413" s="3">
        <v>45584</v>
      </c>
      <c r="H2413">
        <v>46.1</v>
      </c>
      <c r="I2413">
        <v>24</v>
      </c>
      <c r="J2413" t="s">
        <v>4440</v>
      </c>
      <c r="K2413" t="s">
        <v>4441</v>
      </c>
      <c r="L2413" t="s">
        <v>4512</v>
      </c>
      <c r="M2413" t="s">
        <v>1625</v>
      </c>
      <c r="N2413">
        <v>3</v>
      </c>
    </row>
    <row r="2414" spans="1:14" x14ac:dyDescent="0.35">
      <c r="A2414" t="s">
        <v>6893</v>
      </c>
      <c r="B2414" t="s">
        <v>458</v>
      </c>
      <c r="C2414" t="s">
        <v>1883</v>
      </c>
      <c r="D2414" t="s">
        <v>4460</v>
      </c>
      <c r="E2414" t="s">
        <v>4473</v>
      </c>
      <c r="F2414" s="3">
        <v>45283</v>
      </c>
      <c r="G2414" s="3">
        <v>45283</v>
      </c>
      <c r="H2414">
        <v>10</v>
      </c>
      <c r="I2414">
        <v>8</v>
      </c>
      <c r="J2414" t="s">
        <v>4440</v>
      </c>
      <c r="K2414" t="s">
        <v>4441</v>
      </c>
      <c r="L2414" t="s">
        <v>4580</v>
      </c>
      <c r="M2414" t="s">
        <v>1625</v>
      </c>
      <c r="N2414">
        <v>3</v>
      </c>
    </row>
    <row r="2415" spans="1:14" x14ac:dyDescent="0.35">
      <c r="A2415" t="s">
        <v>6894</v>
      </c>
      <c r="B2415" t="s">
        <v>269</v>
      </c>
      <c r="C2415" t="s">
        <v>1927</v>
      </c>
      <c r="D2415" t="s">
        <v>4482</v>
      </c>
      <c r="E2415" t="s">
        <v>4444</v>
      </c>
      <c r="F2415" s="3">
        <v>44955</v>
      </c>
      <c r="G2415" s="3" t="s">
        <v>537</v>
      </c>
      <c r="I2415">
        <v>24</v>
      </c>
      <c r="J2415" t="s">
        <v>4440</v>
      </c>
      <c r="K2415" t="s">
        <v>4474</v>
      </c>
      <c r="L2415" t="s">
        <v>1907</v>
      </c>
      <c r="M2415" t="s">
        <v>4450</v>
      </c>
    </row>
    <row r="2416" spans="1:14" x14ac:dyDescent="0.35">
      <c r="A2416" t="s">
        <v>6895</v>
      </c>
      <c r="B2416" t="s">
        <v>462</v>
      </c>
      <c r="C2416" t="s">
        <v>1915</v>
      </c>
      <c r="D2416" t="s">
        <v>4452</v>
      </c>
      <c r="E2416" t="s">
        <v>4439</v>
      </c>
      <c r="F2416" s="3">
        <v>45126</v>
      </c>
      <c r="G2416" s="3" t="s">
        <v>537</v>
      </c>
      <c r="I2416">
        <v>48</v>
      </c>
      <c r="J2416" t="s">
        <v>4448</v>
      </c>
      <c r="K2416" t="s">
        <v>4474</v>
      </c>
      <c r="L2416" t="s">
        <v>4488</v>
      </c>
      <c r="M2416" t="s">
        <v>1625</v>
      </c>
    </row>
    <row r="2417" spans="1:14" x14ac:dyDescent="0.35">
      <c r="A2417" t="s">
        <v>6896</v>
      </c>
      <c r="B2417" t="s">
        <v>255</v>
      </c>
      <c r="C2417" t="s">
        <v>1927</v>
      </c>
      <c r="D2417" t="s">
        <v>4490</v>
      </c>
      <c r="E2417" t="s">
        <v>4444</v>
      </c>
      <c r="F2417" s="3">
        <v>45715</v>
      </c>
      <c r="G2417" s="3">
        <v>45715</v>
      </c>
      <c r="H2417">
        <v>16.600000000000001</v>
      </c>
      <c r="I2417">
        <v>24</v>
      </c>
      <c r="J2417" t="s">
        <v>4448</v>
      </c>
      <c r="K2417" t="s">
        <v>4441</v>
      </c>
      <c r="L2417" t="s">
        <v>4461</v>
      </c>
      <c r="M2417" t="s">
        <v>4450</v>
      </c>
      <c r="N2417">
        <v>3</v>
      </c>
    </row>
    <row r="2418" spans="1:14" x14ac:dyDescent="0.35">
      <c r="A2418" t="s">
        <v>6897</v>
      </c>
      <c r="B2418" t="s">
        <v>364</v>
      </c>
      <c r="C2418" t="s">
        <v>1883</v>
      </c>
      <c r="D2418" t="s">
        <v>4490</v>
      </c>
      <c r="E2418" t="s">
        <v>4444</v>
      </c>
      <c r="F2418" s="3">
        <v>45141</v>
      </c>
      <c r="G2418" s="3">
        <v>45143</v>
      </c>
      <c r="H2418">
        <v>54.8</v>
      </c>
      <c r="I2418">
        <v>24</v>
      </c>
      <c r="J2418" t="s">
        <v>4440</v>
      </c>
      <c r="K2418" t="s">
        <v>4441</v>
      </c>
      <c r="L2418" t="s">
        <v>4488</v>
      </c>
      <c r="M2418" t="s">
        <v>1625</v>
      </c>
      <c r="N2418">
        <v>4</v>
      </c>
    </row>
    <row r="2419" spans="1:14" x14ac:dyDescent="0.35">
      <c r="A2419" t="s">
        <v>6898</v>
      </c>
      <c r="B2419" t="s">
        <v>330</v>
      </c>
      <c r="C2419" t="s">
        <v>1915</v>
      </c>
      <c r="D2419" t="s">
        <v>4472</v>
      </c>
      <c r="E2419" t="s">
        <v>4456</v>
      </c>
      <c r="F2419" s="3">
        <v>45382</v>
      </c>
      <c r="G2419" s="3" t="s">
        <v>537</v>
      </c>
      <c r="I2419">
        <v>4</v>
      </c>
      <c r="J2419" t="s">
        <v>4448</v>
      </c>
      <c r="K2419" t="s">
        <v>4457</v>
      </c>
      <c r="L2419" t="s">
        <v>4461</v>
      </c>
      <c r="M2419" t="s">
        <v>1625</v>
      </c>
    </row>
    <row r="2420" spans="1:14" x14ac:dyDescent="0.35">
      <c r="A2420" t="s">
        <v>6899</v>
      </c>
      <c r="B2420" t="s">
        <v>271</v>
      </c>
      <c r="C2420" t="s">
        <v>1904</v>
      </c>
      <c r="D2420" t="s">
        <v>4438</v>
      </c>
      <c r="E2420" t="s">
        <v>4456</v>
      </c>
      <c r="F2420" s="3">
        <v>45267</v>
      </c>
      <c r="G2420" s="3">
        <v>45267</v>
      </c>
      <c r="H2420">
        <v>5.8</v>
      </c>
      <c r="I2420">
        <v>4</v>
      </c>
      <c r="J2420" t="s">
        <v>4440</v>
      </c>
      <c r="K2420" t="s">
        <v>4441</v>
      </c>
      <c r="L2420" t="s">
        <v>4449</v>
      </c>
      <c r="M2420" t="s">
        <v>4446</v>
      </c>
    </row>
    <row r="2421" spans="1:14" x14ac:dyDescent="0.35">
      <c r="A2421" t="s">
        <v>6900</v>
      </c>
      <c r="B2421" t="s">
        <v>433</v>
      </c>
      <c r="C2421" t="s">
        <v>1890</v>
      </c>
      <c r="D2421" t="s">
        <v>8507</v>
      </c>
      <c r="E2421" t="s">
        <v>4444</v>
      </c>
      <c r="F2421" s="3">
        <v>45366</v>
      </c>
      <c r="G2421" s="3">
        <v>45366</v>
      </c>
      <c r="H2421">
        <v>20.2</v>
      </c>
      <c r="I2421">
        <v>24</v>
      </c>
      <c r="J2421" t="s">
        <v>4448</v>
      </c>
      <c r="K2421" t="s">
        <v>4441</v>
      </c>
      <c r="L2421" t="s">
        <v>4480</v>
      </c>
      <c r="M2421" t="s">
        <v>4446</v>
      </c>
      <c r="N2421">
        <v>4</v>
      </c>
    </row>
    <row r="2422" spans="1:14" x14ac:dyDescent="0.35">
      <c r="A2422" t="s">
        <v>6901</v>
      </c>
      <c r="B2422" t="s">
        <v>370</v>
      </c>
      <c r="C2422" t="s">
        <v>1883</v>
      </c>
      <c r="D2422" t="s">
        <v>4438</v>
      </c>
      <c r="E2422" t="s">
        <v>4439</v>
      </c>
      <c r="F2422" s="3">
        <v>45154</v>
      </c>
      <c r="G2422" s="3" t="s">
        <v>537</v>
      </c>
      <c r="I2422">
        <v>48</v>
      </c>
      <c r="J2422" t="s">
        <v>4448</v>
      </c>
      <c r="K2422" t="s">
        <v>4474</v>
      </c>
      <c r="L2422" t="s">
        <v>4580</v>
      </c>
      <c r="M2422" t="s">
        <v>1625</v>
      </c>
    </row>
    <row r="2423" spans="1:14" x14ac:dyDescent="0.35">
      <c r="A2423" t="s">
        <v>6902</v>
      </c>
      <c r="B2423" t="s">
        <v>470</v>
      </c>
      <c r="C2423" t="s">
        <v>1904</v>
      </c>
      <c r="D2423" t="s">
        <v>4485</v>
      </c>
      <c r="E2423" t="s">
        <v>4444</v>
      </c>
      <c r="F2423" s="3">
        <v>45627</v>
      </c>
      <c r="G2423" s="3">
        <v>45628</v>
      </c>
      <c r="H2423">
        <v>34.1</v>
      </c>
      <c r="I2423">
        <v>24</v>
      </c>
      <c r="J2423" t="s">
        <v>4440</v>
      </c>
      <c r="K2423" t="s">
        <v>4441</v>
      </c>
      <c r="L2423" t="s">
        <v>1907</v>
      </c>
      <c r="M2423" t="s">
        <v>4446</v>
      </c>
      <c r="N2423">
        <v>5</v>
      </c>
    </row>
    <row r="2424" spans="1:14" x14ac:dyDescent="0.35">
      <c r="A2424" t="s">
        <v>6903</v>
      </c>
      <c r="B2424" t="s">
        <v>293</v>
      </c>
      <c r="C2424" t="s">
        <v>1899</v>
      </c>
      <c r="D2424" t="s">
        <v>4490</v>
      </c>
      <c r="E2424" t="s">
        <v>4444</v>
      </c>
      <c r="F2424" s="3">
        <v>45746</v>
      </c>
      <c r="G2424" s="3" t="s">
        <v>537</v>
      </c>
      <c r="I2424">
        <v>24</v>
      </c>
      <c r="J2424" t="s">
        <v>4440</v>
      </c>
      <c r="K2424" t="s">
        <v>4474</v>
      </c>
      <c r="L2424" t="s">
        <v>4488</v>
      </c>
      <c r="M2424" t="s">
        <v>4462</v>
      </c>
    </row>
    <row r="2425" spans="1:14" x14ac:dyDescent="0.35">
      <c r="A2425" t="s">
        <v>6904</v>
      </c>
      <c r="B2425" t="s">
        <v>335</v>
      </c>
      <c r="C2425" t="s">
        <v>1899</v>
      </c>
      <c r="D2425" t="s">
        <v>4443</v>
      </c>
      <c r="E2425" t="s">
        <v>4444</v>
      </c>
      <c r="F2425" s="3">
        <v>44952</v>
      </c>
      <c r="G2425" s="3">
        <v>44953</v>
      </c>
      <c r="H2425">
        <v>41.1</v>
      </c>
      <c r="I2425">
        <v>24</v>
      </c>
      <c r="J2425" t="s">
        <v>4440</v>
      </c>
      <c r="K2425" t="s">
        <v>4441</v>
      </c>
      <c r="L2425" t="s">
        <v>4465</v>
      </c>
      <c r="M2425" t="s">
        <v>4446</v>
      </c>
    </row>
    <row r="2426" spans="1:14" x14ac:dyDescent="0.35">
      <c r="A2426" t="s">
        <v>6905</v>
      </c>
      <c r="B2426" t="s">
        <v>94</v>
      </c>
      <c r="C2426" t="s">
        <v>1883</v>
      </c>
      <c r="D2426" t="s">
        <v>4476</v>
      </c>
      <c r="E2426" t="s">
        <v>4439</v>
      </c>
      <c r="F2426" s="3">
        <v>45552</v>
      </c>
      <c r="G2426" s="3" t="s">
        <v>537</v>
      </c>
      <c r="I2426">
        <v>48</v>
      </c>
      <c r="J2426" t="s">
        <v>4440</v>
      </c>
      <c r="K2426" t="s">
        <v>4474</v>
      </c>
      <c r="L2426" t="s">
        <v>4461</v>
      </c>
      <c r="M2426" t="s">
        <v>4450</v>
      </c>
    </row>
    <row r="2427" spans="1:14" x14ac:dyDescent="0.35">
      <c r="A2427" t="s">
        <v>6906</v>
      </c>
      <c r="B2427" t="s">
        <v>387</v>
      </c>
      <c r="C2427" t="s">
        <v>1899</v>
      </c>
      <c r="D2427" t="s">
        <v>4464</v>
      </c>
      <c r="E2427" t="s">
        <v>4473</v>
      </c>
      <c r="F2427" s="3">
        <v>45123</v>
      </c>
      <c r="G2427" s="3" t="s">
        <v>537</v>
      </c>
      <c r="I2427">
        <v>8</v>
      </c>
      <c r="J2427" t="s">
        <v>4440</v>
      </c>
      <c r="K2427" t="s">
        <v>4474</v>
      </c>
      <c r="L2427" t="s">
        <v>1907</v>
      </c>
      <c r="M2427" t="s">
        <v>4450</v>
      </c>
    </row>
    <row r="2428" spans="1:14" x14ac:dyDescent="0.35">
      <c r="A2428" t="s">
        <v>6907</v>
      </c>
      <c r="B2428" t="s">
        <v>295</v>
      </c>
      <c r="C2428" t="s">
        <v>1915</v>
      </c>
      <c r="D2428" t="s">
        <v>4438</v>
      </c>
      <c r="E2428" t="s">
        <v>4439</v>
      </c>
      <c r="F2428" s="3">
        <v>45305</v>
      </c>
      <c r="G2428" s="3">
        <v>45307</v>
      </c>
      <c r="H2428">
        <v>50.1</v>
      </c>
      <c r="I2428">
        <v>48</v>
      </c>
      <c r="J2428" t="s">
        <v>4440</v>
      </c>
      <c r="K2428" t="s">
        <v>4441</v>
      </c>
      <c r="L2428" t="s">
        <v>4483</v>
      </c>
      <c r="M2428" t="s">
        <v>4450</v>
      </c>
      <c r="N2428">
        <v>3</v>
      </c>
    </row>
    <row r="2429" spans="1:14" x14ac:dyDescent="0.35">
      <c r="A2429" t="s">
        <v>6908</v>
      </c>
      <c r="B2429" t="s">
        <v>426</v>
      </c>
      <c r="C2429" t="s">
        <v>1883</v>
      </c>
      <c r="D2429" t="s">
        <v>4464</v>
      </c>
      <c r="E2429" t="s">
        <v>4444</v>
      </c>
      <c r="F2429" s="3">
        <v>45259</v>
      </c>
      <c r="G2429" s="3">
        <v>45261</v>
      </c>
      <c r="H2429">
        <v>53.8</v>
      </c>
      <c r="I2429">
        <v>24</v>
      </c>
      <c r="J2429" t="s">
        <v>4440</v>
      </c>
      <c r="K2429" t="s">
        <v>4441</v>
      </c>
      <c r="L2429" t="s">
        <v>4509</v>
      </c>
      <c r="M2429" t="s">
        <v>4462</v>
      </c>
      <c r="N2429">
        <v>4</v>
      </c>
    </row>
    <row r="2430" spans="1:14" x14ac:dyDescent="0.35">
      <c r="A2430" t="s">
        <v>6909</v>
      </c>
      <c r="B2430" t="s">
        <v>364</v>
      </c>
      <c r="C2430" t="s">
        <v>1890</v>
      </c>
      <c r="D2430" t="s">
        <v>4443</v>
      </c>
      <c r="E2430" t="s">
        <v>4444</v>
      </c>
      <c r="F2430" s="3">
        <v>45644</v>
      </c>
      <c r="G2430" s="3">
        <v>45644</v>
      </c>
      <c r="H2430">
        <v>12.3</v>
      </c>
      <c r="I2430">
        <v>24</v>
      </c>
      <c r="J2430" t="s">
        <v>4448</v>
      </c>
      <c r="K2430" t="s">
        <v>4441</v>
      </c>
      <c r="L2430" t="s">
        <v>4527</v>
      </c>
      <c r="M2430" t="s">
        <v>1625</v>
      </c>
      <c r="N2430">
        <v>4</v>
      </c>
    </row>
    <row r="2431" spans="1:14" x14ac:dyDescent="0.35">
      <c r="A2431" t="s">
        <v>6910</v>
      </c>
      <c r="B2431" t="s">
        <v>456</v>
      </c>
      <c r="C2431" t="s">
        <v>1927</v>
      </c>
      <c r="D2431" t="s">
        <v>4438</v>
      </c>
      <c r="E2431" t="s">
        <v>4444</v>
      </c>
      <c r="F2431" s="3">
        <v>45455</v>
      </c>
      <c r="G2431" s="3" t="s">
        <v>537</v>
      </c>
      <c r="I2431">
        <v>24</v>
      </c>
      <c r="J2431" t="s">
        <v>4440</v>
      </c>
      <c r="K2431" t="s">
        <v>4453</v>
      </c>
      <c r="L2431" t="s">
        <v>4480</v>
      </c>
      <c r="M2431" t="s">
        <v>4446</v>
      </c>
    </row>
    <row r="2432" spans="1:14" x14ac:dyDescent="0.35">
      <c r="A2432" t="s">
        <v>6911</v>
      </c>
      <c r="B2432" t="s">
        <v>175</v>
      </c>
      <c r="C2432" t="s">
        <v>1927</v>
      </c>
      <c r="D2432" t="s">
        <v>4452</v>
      </c>
      <c r="E2432" t="s">
        <v>4473</v>
      </c>
      <c r="F2432" s="3">
        <v>44939</v>
      </c>
      <c r="G2432" s="3" t="s">
        <v>537</v>
      </c>
      <c r="I2432">
        <v>8</v>
      </c>
      <c r="J2432" t="s">
        <v>4440</v>
      </c>
      <c r="K2432" t="s">
        <v>4453</v>
      </c>
      <c r="L2432" t="s">
        <v>4445</v>
      </c>
      <c r="M2432" t="s">
        <v>4462</v>
      </c>
    </row>
    <row r="2433" spans="1:14" x14ac:dyDescent="0.35">
      <c r="A2433" t="s">
        <v>6912</v>
      </c>
      <c r="B2433" t="s">
        <v>71</v>
      </c>
      <c r="C2433" t="s">
        <v>1899</v>
      </c>
      <c r="D2433" t="s">
        <v>4485</v>
      </c>
      <c r="E2433" t="s">
        <v>4439</v>
      </c>
      <c r="F2433" s="3">
        <v>45275</v>
      </c>
      <c r="G2433" s="3" t="s">
        <v>537</v>
      </c>
      <c r="I2433">
        <v>48</v>
      </c>
      <c r="J2433" t="s">
        <v>4440</v>
      </c>
      <c r="K2433" t="s">
        <v>4474</v>
      </c>
      <c r="L2433" t="s">
        <v>4461</v>
      </c>
      <c r="M2433" t="s">
        <v>4446</v>
      </c>
    </row>
    <row r="2434" spans="1:14" x14ac:dyDescent="0.35">
      <c r="A2434" t="s">
        <v>6913</v>
      </c>
      <c r="B2434" t="s">
        <v>293</v>
      </c>
      <c r="C2434" t="s">
        <v>1904</v>
      </c>
      <c r="D2434" t="s">
        <v>4438</v>
      </c>
      <c r="E2434" t="s">
        <v>4456</v>
      </c>
      <c r="F2434" s="3">
        <v>45706</v>
      </c>
      <c r="G2434" s="3" t="s">
        <v>537</v>
      </c>
      <c r="I2434">
        <v>4</v>
      </c>
      <c r="J2434" t="s">
        <v>4448</v>
      </c>
      <c r="K2434" t="s">
        <v>4453</v>
      </c>
      <c r="L2434" t="s">
        <v>4465</v>
      </c>
      <c r="M2434" t="s">
        <v>4462</v>
      </c>
    </row>
    <row r="2435" spans="1:14" x14ac:dyDescent="0.35">
      <c r="A2435" t="s">
        <v>6914</v>
      </c>
      <c r="B2435" t="s">
        <v>450</v>
      </c>
      <c r="C2435" t="s">
        <v>1915</v>
      </c>
      <c r="D2435" t="s">
        <v>4476</v>
      </c>
      <c r="E2435" t="s">
        <v>4473</v>
      </c>
      <c r="F2435" s="3">
        <v>45152</v>
      </c>
      <c r="G2435" s="3" t="s">
        <v>537</v>
      </c>
      <c r="I2435">
        <v>8</v>
      </c>
      <c r="J2435" t="s">
        <v>4448</v>
      </c>
      <c r="K2435" t="s">
        <v>4453</v>
      </c>
      <c r="L2435" t="s">
        <v>4501</v>
      </c>
      <c r="M2435" t="s">
        <v>4446</v>
      </c>
    </row>
    <row r="2436" spans="1:14" x14ac:dyDescent="0.35">
      <c r="A2436" t="s">
        <v>6915</v>
      </c>
      <c r="B2436" t="s">
        <v>329</v>
      </c>
      <c r="C2436" t="s">
        <v>1883</v>
      </c>
      <c r="D2436" t="s">
        <v>4472</v>
      </c>
      <c r="E2436" t="s">
        <v>4439</v>
      </c>
      <c r="F2436" s="3">
        <v>45281</v>
      </c>
      <c r="G2436" s="3" t="s">
        <v>537</v>
      </c>
      <c r="I2436">
        <v>48</v>
      </c>
      <c r="J2436" t="s">
        <v>4448</v>
      </c>
      <c r="K2436" t="s">
        <v>4457</v>
      </c>
      <c r="L2436" t="s">
        <v>4467</v>
      </c>
      <c r="M2436" t="s">
        <v>4450</v>
      </c>
    </row>
    <row r="2437" spans="1:14" x14ac:dyDescent="0.35">
      <c r="A2437" t="s">
        <v>6916</v>
      </c>
      <c r="B2437" t="s">
        <v>11</v>
      </c>
      <c r="C2437" t="s">
        <v>1890</v>
      </c>
      <c r="D2437" t="s">
        <v>4460</v>
      </c>
      <c r="E2437" t="s">
        <v>4473</v>
      </c>
      <c r="F2437" s="3">
        <v>45060</v>
      </c>
      <c r="G2437" s="3">
        <v>45060</v>
      </c>
      <c r="H2437">
        <v>13.7</v>
      </c>
      <c r="I2437">
        <v>8</v>
      </c>
      <c r="J2437" t="s">
        <v>4440</v>
      </c>
      <c r="K2437" t="s">
        <v>4441</v>
      </c>
      <c r="L2437" t="s">
        <v>4445</v>
      </c>
      <c r="M2437" t="s">
        <v>1625</v>
      </c>
      <c r="N2437">
        <v>3</v>
      </c>
    </row>
    <row r="2438" spans="1:14" x14ac:dyDescent="0.35">
      <c r="A2438" t="s">
        <v>6917</v>
      </c>
      <c r="B2438" t="s">
        <v>71</v>
      </c>
      <c r="C2438" t="s">
        <v>1890</v>
      </c>
      <c r="D2438" t="s">
        <v>4482</v>
      </c>
      <c r="E2438" t="s">
        <v>4439</v>
      </c>
      <c r="F2438" s="3">
        <v>45724</v>
      </c>
      <c r="G2438" s="3">
        <v>45726</v>
      </c>
      <c r="H2438">
        <v>58.7</v>
      </c>
      <c r="I2438">
        <v>48</v>
      </c>
      <c r="J2438" t="s">
        <v>4440</v>
      </c>
      <c r="K2438" t="s">
        <v>4441</v>
      </c>
      <c r="L2438" t="s">
        <v>4445</v>
      </c>
      <c r="M2438" t="s">
        <v>1625</v>
      </c>
    </row>
    <row r="2439" spans="1:14" x14ac:dyDescent="0.35">
      <c r="A2439" t="s">
        <v>6918</v>
      </c>
      <c r="B2439" t="s">
        <v>376</v>
      </c>
      <c r="C2439" t="s">
        <v>1904</v>
      </c>
      <c r="D2439" t="s">
        <v>4452</v>
      </c>
      <c r="E2439" t="s">
        <v>4444</v>
      </c>
      <c r="F2439" s="3">
        <v>45120</v>
      </c>
      <c r="G2439" s="3" t="s">
        <v>537</v>
      </c>
      <c r="I2439">
        <v>24</v>
      </c>
      <c r="J2439" t="s">
        <v>4448</v>
      </c>
      <c r="K2439" t="s">
        <v>4457</v>
      </c>
      <c r="L2439" t="s">
        <v>4580</v>
      </c>
      <c r="M2439" t="s">
        <v>1625</v>
      </c>
    </row>
    <row r="2440" spans="1:14" x14ac:dyDescent="0.35">
      <c r="A2440" t="s">
        <v>6919</v>
      </c>
      <c r="B2440" t="s">
        <v>301</v>
      </c>
      <c r="C2440" t="s">
        <v>1904</v>
      </c>
      <c r="D2440" t="s">
        <v>4438</v>
      </c>
      <c r="E2440" t="s">
        <v>4439</v>
      </c>
      <c r="F2440" s="3">
        <v>45566</v>
      </c>
      <c r="G2440" s="3" t="s">
        <v>537</v>
      </c>
      <c r="I2440">
        <v>48</v>
      </c>
      <c r="J2440" t="s">
        <v>4448</v>
      </c>
      <c r="K2440" t="s">
        <v>4474</v>
      </c>
      <c r="L2440" t="s">
        <v>4512</v>
      </c>
      <c r="M2440" t="s">
        <v>1625</v>
      </c>
    </row>
    <row r="2441" spans="1:14" x14ac:dyDescent="0.35">
      <c r="A2441" t="s">
        <v>6920</v>
      </c>
      <c r="B2441" t="s">
        <v>224</v>
      </c>
      <c r="C2441" t="s">
        <v>1915</v>
      </c>
      <c r="D2441" t="s">
        <v>4469</v>
      </c>
      <c r="E2441" t="s">
        <v>4444</v>
      </c>
      <c r="F2441" s="3">
        <v>45714</v>
      </c>
      <c r="G2441" s="3">
        <v>45714</v>
      </c>
      <c r="H2441">
        <v>16.8</v>
      </c>
      <c r="I2441">
        <v>24</v>
      </c>
      <c r="J2441" t="s">
        <v>4448</v>
      </c>
      <c r="K2441" t="s">
        <v>4441</v>
      </c>
      <c r="L2441" t="s">
        <v>4449</v>
      </c>
      <c r="M2441" t="s">
        <v>4450</v>
      </c>
      <c r="N2441">
        <v>5</v>
      </c>
    </row>
    <row r="2442" spans="1:14" x14ac:dyDescent="0.35">
      <c r="A2442" t="s">
        <v>6921</v>
      </c>
      <c r="B2442" t="s">
        <v>493</v>
      </c>
      <c r="C2442" t="s">
        <v>1883</v>
      </c>
      <c r="D2442" t="s">
        <v>4438</v>
      </c>
      <c r="E2442" t="s">
        <v>4456</v>
      </c>
      <c r="F2442" s="3">
        <v>45490</v>
      </c>
      <c r="G2442" s="3" t="s">
        <v>537</v>
      </c>
      <c r="I2442">
        <v>4</v>
      </c>
      <c r="J2442" t="s">
        <v>4440</v>
      </c>
      <c r="K2442" t="s">
        <v>4474</v>
      </c>
      <c r="L2442" t="s">
        <v>4467</v>
      </c>
      <c r="M2442" t="s">
        <v>4450</v>
      </c>
    </row>
    <row r="2443" spans="1:14" x14ac:dyDescent="0.35">
      <c r="A2443" t="s">
        <v>6922</v>
      </c>
      <c r="B2443" t="s">
        <v>156</v>
      </c>
      <c r="C2443" t="s">
        <v>1899</v>
      </c>
      <c r="D2443" t="s">
        <v>4460</v>
      </c>
      <c r="E2443" t="s">
        <v>4444</v>
      </c>
      <c r="F2443" s="3">
        <v>45128</v>
      </c>
      <c r="G2443" s="3" t="s">
        <v>537</v>
      </c>
      <c r="I2443">
        <v>24</v>
      </c>
      <c r="J2443" t="s">
        <v>4440</v>
      </c>
      <c r="K2443" t="s">
        <v>4453</v>
      </c>
      <c r="L2443" t="s">
        <v>4514</v>
      </c>
      <c r="M2443" t="s">
        <v>1625</v>
      </c>
    </row>
    <row r="2444" spans="1:14" x14ac:dyDescent="0.35">
      <c r="A2444" t="s">
        <v>6923</v>
      </c>
      <c r="B2444" t="s">
        <v>384</v>
      </c>
      <c r="C2444" t="s">
        <v>1904</v>
      </c>
      <c r="D2444" t="s">
        <v>4476</v>
      </c>
      <c r="E2444" t="s">
        <v>4473</v>
      </c>
      <c r="F2444" s="3">
        <v>45372</v>
      </c>
      <c r="G2444" s="3">
        <v>45372</v>
      </c>
      <c r="H2444">
        <v>5.8</v>
      </c>
      <c r="I2444">
        <v>8</v>
      </c>
      <c r="J2444" t="s">
        <v>4448</v>
      </c>
      <c r="K2444" t="s">
        <v>4441</v>
      </c>
      <c r="L2444" t="s">
        <v>4454</v>
      </c>
      <c r="M2444" t="s">
        <v>4450</v>
      </c>
    </row>
    <row r="2445" spans="1:14" x14ac:dyDescent="0.35">
      <c r="A2445" t="s">
        <v>6924</v>
      </c>
      <c r="B2445" t="s">
        <v>395</v>
      </c>
      <c r="C2445" t="s">
        <v>1915</v>
      </c>
      <c r="D2445" t="s">
        <v>4438</v>
      </c>
      <c r="E2445" t="s">
        <v>4456</v>
      </c>
      <c r="F2445" s="3">
        <v>45587</v>
      </c>
      <c r="G2445" s="3">
        <v>45587</v>
      </c>
      <c r="H2445">
        <v>2.5</v>
      </c>
      <c r="I2445">
        <v>4</v>
      </c>
      <c r="J2445" t="s">
        <v>4448</v>
      </c>
      <c r="K2445" t="s">
        <v>4441</v>
      </c>
      <c r="L2445" t="s">
        <v>4445</v>
      </c>
      <c r="M2445" t="s">
        <v>1625</v>
      </c>
      <c r="N2445">
        <v>3</v>
      </c>
    </row>
    <row r="2446" spans="1:14" x14ac:dyDescent="0.35">
      <c r="A2446" t="s">
        <v>6925</v>
      </c>
      <c r="B2446" t="s">
        <v>470</v>
      </c>
      <c r="C2446" t="s">
        <v>1904</v>
      </c>
      <c r="D2446" t="s">
        <v>4476</v>
      </c>
      <c r="E2446" t="s">
        <v>4444</v>
      </c>
      <c r="F2446" s="3">
        <v>45028</v>
      </c>
      <c r="G2446" s="3">
        <v>45029</v>
      </c>
      <c r="H2446">
        <v>31.5</v>
      </c>
      <c r="I2446">
        <v>24</v>
      </c>
      <c r="J2446" t="s">
        <v>4440</v>
      </c>
      <c r="K2446" t="s">
        <v>4441</v>
      </c>
      <c r="L2446" t="s">
        <v>4483</v>
      </c>
      <c r="M2446" t="s">
        <v>4446</v>
      </c>
      <c r="N2446">
        <v>3</v>
      </c>
    </row>
    <row r="2447" spans="1:14" x14ac:dyDescent="0.35">
      <c r="A2447" t="s">
        <v>6926</v>
      </c>
      <c r="B2447" t="s">
        <v>222</v>
      </c>
      <c r="C2447" t="s">
        <v>1899</v>
      </c>
      <c r="D2447" t="s">
        <v>4438</v>
      </c>
      <c r="E2447" t="s">
        <v>4439</v>
      </c>
      <c r="F2447" s="3">
        <v>45486</v>
      </c>
      <c r="G2447" s="3">
        <v>45488</v>
      </c>
      <c r="H2447">
        <v>71.599999999999994</v>
      </c>
      <c r="I2447">
        <v>48</v>
      </c>
      <c r="J2447" t="s">
        <v>4440</v>
      </c>
      <c r="K2447" t="s">
        <v>4441</v>
      </c>
      <c r="L2447" t="s">
        <v>4454</v>
      </c>
      <c r="M2447" t="s">
        <v>1625</v>
      </c>
      <c r="N2447">
        <v>4</v>
      </c>
    </row>
    <row r="2448" spans="1:14" x14ac:dyDescent="0.35">
      <c r="A2448" t="s">
        <v>6927</v>
      </c>
      <c r="B2448" t="s">
        <v>494</v>
      </c>
      <c r="C2448" t="s">
        <v>1915</v>
      </c>
      <c r="D2448" t="s">
        <v>4472</v>
      </c>
      <c r="E2448" t="s">
        <v>4444</v>
      </c>
      <c r="F2448" s="3">
        <v>45469</v>
      </c>
      <c r="G2448" s="3" t="s">
        <v>537</v>
      </c>
      <c r="I2448">
        <v>24</v>
      </c>
      <c r="J2448" t="s">
        <v>4448</v>
      </c>
      <c r="K2448" t="s">
        <v>4453</v>
      </c>
      <c r="L2448" t="s">
        <v>4492</v>
      </c>
      <c r="M2448" t="s">
        <v>4450</v>
      </c>
    </row>
    <row r="2449" spans="1:14" x14ac:dyDescent="0.35">
      <c r="A2449" t="s">
        <v>6928</v>
      </c>
      <c r="B2449" t="s">
        <v>392</v>
      </c>
      <c r="C2449" t="s">
        <v>1899</v>
      </c>
      <c r="D2449" t="s">
        <v>4490</v>
      </c>
      <c r="E2449" t="s">
        <v>4473</v>
      </c>
      <c r="F2449" s="3">
        <v>44948</v>
      </c>
      <c r="G2449" s="3">
        <v>44948</v>
      </c>
      <c r="H2449">
        <v>16.2</v>
      </c>
      <c r="I2449">
        <v>8</v>
      </c>
      <c r="J2449" t="s">
        <v>4440</v>
      </c>
      <c r="K2449" t="s">
        <v>4441</v>
      </c>
      <c r="L2449" t="s">
        <v>4580</v>
      </c>
      <c r="M2449" t="s">
        <v>4450</v>
      </c>
    </row>
    <row r="2450" spans="1:14" x14ac:dyDescent="0.35">
      <c r="A2450" t="s">
        <v>6929</v>
      </c>
      <c r="B2450" t="s">
        <v>466</v>
      </c>
      <c r="C2450" t="s">
        <v>1904</v>
      </c>
      <c r="D2450" t="s">
        <v>4479</v>
      </c>
      <c r="E2450" t="s">
        <v>4444</v>
      </c>
      <c r="F2450" s="3">
        <v>45045</v>
      </c>
      <c r="G2450" s="3">
        <v>45047</v>
      </c>
      <c r="H2450">
        <v>56.3</v>
      </c>
      <c r="I2450">
        <v>24</v>
      </c>
      <c r="J2450" t="s">
        <v>4440</v>
      </c>
      <c r="K2450" t="s">
        <v>4441</v>
      </c>
      <c r="L2450" t="s">
        <v>4461</v>
      </c>
      <c r="M2450" t="s">
        <v>4450</v>
      </c>
      <c r="N2450">
        <v>3</v>
      </c>
    </row>
    <row r="2451" spans="1:14" x14ac:dyDescent="0.35">
      <c r="A2451" t="s">
        <v>6930</v>
      </c>
      <c r="B2451" t="s">
        <v>474</v>
      </c>
      <c r="C2451" t="s">
        <v>1883</v>
      </c>
      <c r="D2451" t="s">
        <v>4452</v>
      </c>
      <c r="E2451" t="s">
        <v>4473</v>
      </c>
      <c r="F2451" s="3">
        <v>45665</v>
      </c>
      <c r="G2451" s="3">
        <v>45665</v>
      </c>
      <c r="H2451">
        <v>14.7</v>
      </c>
      <c r="I2451">
        <v>8</v>
      </c>
      <c r="J2451" t="s">
        <v>4440</v>
      </c>
      <c r="K2451" t="s">
        <v>4441</v>
      </c>
      <c r="L2451" t="s">
        <v>4458</v>
      </c>
      <c r="M2451" t="s">
        <v>1625</v>
      </c>
      <c r="N2451">
        <v>4</v>
      </c>
    </row>
    <row r="2452" spans="1:14" x14ac:dyDescent="0.35">
      <c r="A2452" t="s">
        <v>6931</v>
      </c>
      <c r="B2452" t="s">
        <v>299</v>
      </c>
      <c r="C2452" t="s">
        <v>1899</v>
      </c>
      <c r="D2452" t="s">
        <v>4452</v>
      </c>
      <c r="E2452" t="s">
        <v>4473</v>
      </c>
      <c r="F2452" s="3">
        <v>45481</v>
      </c>
      <c r="G2452" s="3" t="s">
        <v>537</v>
      </c>
      <c r="I2452">
        <v>8</v>
      </c>
      <c r="J2452" t="s">
        <v>4448</v>
      </c>
      <c r="K2452" t="s">
        <v>4453</v>
      </c>
      <c r="L2452" t="s">
        <v>4445</v>
      </c>
      <c r="M2452" t="s">
        <v>1625</v>
      </c>
    </row>
    <row r="2453" spans="1:14" x14ac:dyDescent="0.35">
      <c r="A2453" t="s">
        <v>6932</v>
      </c>
      <c r="B2453" t="s">
        <v>211</v>
      </c>
      <c r="C2453" t="s">
        <v>1899</v>
      </c>
      <c r="D2453" t="s">
        <v>4438</v>
      </c>
      <c r="E2453" t="s">
        <v>4444</v>
      </c>
      <c r="F2453" s="3">
        <v>45141</v>
      </c>
      <c r="G2453" s="3" t="s">
        <v>537</v>
      </c>
      <c r="I2453">
        <v>24</v>
      </c>
      <c r="J2453" t="s">
        <v>4448</v>
      </c>
      <c r="K2453" t="s">
        <v>4474</v>
      </c>
      <c r="L2453" t="s">
        <v>4527</v>
      </c>
      <c r="M2453" t="s">
        <v>1625</v>
      </c>
    </row>
    <row r="2454" spans="1:14" x14ac:dyDescent="0.35">
      <c r="A2454" t="s">
        <v>6933</v>
      </c>
      <c r="B2454" t="s">
        <v>439</v>
      </c>
      <c r="C2454" t="s">
        <v>1915</v>
      </c>
      <c r="D2454" t="s">
        <v>4485</v>
      </c>
      <c r="E2454" t="s">
        <v>4473</v>
      </c>
      <c r="F2454" s="3">
        <v>45437</v>
      </c>
      <c r="G2454" s="3">
        <v>45437</v>
      </c>
      <c r="H2454">
        <v>16.399999999999999</v>
      </c>
      <c r="I2454">
        <v>8</v>
      </c>
      <c r="J2454" t="s">
        <v>4440</v>
      </c>
      <c r="K2454" t="s">
        <v>4441</v>
      </c>
      <c r="L2454" t="s">
        <v>4458</v>
      </c>
      <c r="M2454" t="s">
        <v>1625</v>
      </c>
      <c r="N2454">
        <v>4</v>
      </c>
    </row>
    <row r="2455" spans="1:14" x14ac:dyDescent="0.35">
      <c r="A2455" t="s">
        <v>6934</v>
      </c>
      <c r="B2455" t="s">
        <v>394</v>
      </c>
      <c r="C2455" t="s">
        <v>1883</v>
      </c>
      <c r="D2455" t="s">
        <v>4464</v>
      </c>
      <c r="E2455" t="s">
        <v>4439</v>
      </c>
      <c r="F2455" s="3">
        <v>45564</v>
      </c>
      <c r="G2455" s="3">
        <v>45567</v>
      </c>
      <c r="H2455">
        <v>73.5</v>
      </c>
      <c r="I2455">
        <v>48</v>
      </c>
      <c r="J2455" t="s">
        <v>4440</v>
      </c>
      <c r="K2455" t="s">
        <v>4441</v>
      </c>
      <c r="L2455" t="s">
        <v>4483</v>
      </c>
      <c r="M2455" t="s">
        <v>4446</v>
      </c>
      <c r="N2455">
        <v>3</v>
      </c>
    </row>
    <row r="2456" spans="1:14" x14ac:dyDescent="0.35">
      <c r="A2456" t="s">
        <v>6935</v>
      </c>
      <c r="B2456" t="s">
        <v>110</v>
      </c>
      <c r="C2456" t="s">
        <v>1899</v>
      </c>
      <c r="D2456" t="s">
        <v>4485</v>
      </c>
      <c r="E2456" t="s">
        <v>4444</v>
      </c>
      <c r="F2456" s="3">
        <v>45191</v>
      </c>
      <c r="G2456" s="3">
        <v>45193</v>
      </c>
      <c r="H2456">
        <v>57.5</v>
      </c>
      <c r="I2456">
        <v>24</v>
      </c>
      <c r="J2456" t="s">
        <v>4440</v>
      </c>
      <c r="K2456" t="s">
        <v>4441</v>
      </c>
      <c r="L2456" t="s">
        <v>4533</v>
      </c>
      <c r="M2456" t="s">
        <v>4446</v>
      </c>
      <c r="N2456">
        <v>1</v>
      </c>
    </row>
    <row r="2457" spans="1:14" x14ac:dyDescent="0.35">
      <c r="A2457" t="s">
        <v>6936</v>
      </c>
      <c r="B2457" t="s">
        <v>295</v>
      </c>
      <c r="C2457" t="s">
        <v>1927</v>
      </c>
      <c r="D2457" t="s">
        <v>4460</v>
      </c>
      <c r="E2457" t="s">
        <v>4473</v>
      </c>
      <c r="F2457" s="3">
        <v>45377</v>
      </c>
      <c r="G2457" s="3">
        <v>45377</v>
      </c>
      <c r="H2457">
        <v>12.3</v>
      </c>
      <c r="I2457">
        <v>8</v>
      </c>
      <c r="J2457" t="s">
        <v>4440</v>
      </c>
      <c r="K2457" t="s">
        <v>4441</v>
      </c>
      <c r="L2457" t="s">
        <v>4470</v>
      </c>
      <c r="M2457" t="s">
        <v>4462</v>
      </c>
      <c r="N2457">
        <v>3</v>
      </c>
    </row>
    <row r="2458" spans="1:14" x14ac:dyDescent="0.35">
      <c r="A2458" t="s">
        <v>6937</v>
      </c>
      <c r="B2458" t="s">
        <v>86</v>
      </c>
      <c r="C2458" t="s">
        <v>1915</v>
      </c>
      <c r="D2458" t="s">
        <v>4479</v>
      </c>
      <c r="E2458" t="s">
        <v>4473</v>
      </c>
      <c r="F2458" s="3">
        <v>45586</v>
      </c>
      <c r="G2458" s="3">
        <v>45586</v>
      </c>
      <c r="H2458">
        <v>11.9</v>
      </c>
      <c r="I2458">
        <v>8</v>
      </c>
      <c r="J2458" t="s">
        <v>4440</v>
      </c>
      <c r="K2458" t="s">
        <v>4441</v>
      </c>
      <c r="L2458" t="s">
        <v>4480</v>
      </c>
      <c r="M2458" t="s">
        <v>4446</v>
      </c>
      <c r="N2458">
        <v>5</v>
      </c>
    </row>
    <row r="2459" spans="1:14" x14ac:dyDescent="0.35">
      <c r="A2459" t="s">
        <v>6938</v>
      </c>
      <c r="B2459" t="s">
        <v>486</v>
      </c>
      <c r="C2459" t="s">
        <v>1899</v>
      </c>
      <c r="D2459" t="s">
        <v>4482</v>
      </c>
      <c r="E2459" t="s">
        <v>4456</v>
      </c>
      <c r="F2459" s="3">
        <v>45024</v>
      </c>
      <c r="G2459" s="3">
        <v>45024</v>
      </c>
      <c r="H2459">
        <v>3.9</v>
      </c>
      <c r="I2459">
        <v>4</v>
      </c>
      <c r="J2459" t="s">
        <v>4448</v>
      </c>
      <c r="K2459" t="s">
        <v>4441</v>
      </c>
      <c r="L2459" t="s">
        <v>4580</v>
      </c>
      <c r="M2459" t="s">
        <v>4446</v>
      </c>
      <c r="N2459">
        <v>2</v>
      </c>
    </row>
    <row r="2460" spans="1:14" x14ac:dyDescent="0.35">
      <c r="A2460" t="s">
        <v>6939</v>
      </c>
      <c r="B2460" t="s">
        <v>401</v>
      </c>
      <c r="C2460" t="s">
        <v>1915</v>
      </c>
      <c r="D2460" t="s">
        <v>4482</v>
      </c>
      <c r="E2460" t="s">
        <v>4439</v>
      </c>
      <c r="F2460" s="3">
        <v>45513</v>
      </c>
      <c r="G2460" s="3" t="s">
        <v>537</v>
      </c>
      <c r="I2460">
        <v>48</v>
      </c>
      <c r="J2460" t="s">
        <v>4440</v>
      </c>
      <c r="K2460" t="s">
        <v>4457</v>
      </c>
      <c r="L2460" t="s">
        <v>4470</v>
      </c>
      <c r="M2460" t="s">
        <v>4462</v>
      </c>
    </row>
    <row r="2461" spans="1:14" x14ac:dyDescent="0.35">
      <c r="A2461" t="s">
        <v>6940</v>
      </c>
      <c r="B2461" t="s">
        <v>142</v>
      </c>
      <c r="C2461" t="s">
        <v>1890</v>
      </c>
      <c r="D2461" t="s">
        <v>4469</v>
      </c>
      <c r="E2461" t="s">
        <v>4439</v>
      </c>
      <c r="F2461" s="3">
        <v>45577</v>
      </c>
      <c r="G2461" s="3">
        <v>45579</v>
      </c>
      <c r="H2461">
        <v>60.8</v>
      </c>
      <c r="I2461">
        <v>48</v>
      </c>
      <c r="J2461" t="s">
        <v>4440</v>
      </c>
      <c r="K2461" t="s">
        <v>4441</v>
      </c>
      <c r="L2461" t="s">
        <v>4465</v>
      </c>
      <c r="M2461" t="s">
        <v>1625</v>
      </c>
      <c r="N2461">
        <v>2</v>
      </c>
    </row>
    <row r="2462" spans="1:14" x14ac:dyDescent="0.35">
      <c r="A2462" t="s">
        <v>6941</v>
      </c>
      <c r="B2462" t="s">
        <v>337</v>
      </c>
      <c r="C2462" t="s">
        <v>1915</v>
      </c>
      <c r="D2462" t="s">
        <v>4490</v>
      </c>
      <c r="E2462" t="s">
        <v>4473</v>
      </c>
      <c r="F2462" s="3">
        <v>45739</v>
      </c>
      <c r="G2462" s="3" t="s">
        <v>537</v>
      </c>
      <c r="I2462">
        <v>8</v>
      </c>
      <c r="J2462" t="s">
        <v>4440</v>
      </c>
      <c r="K2462" t="s">
        <v>4453</v>
      </c>
      <c r="L2462" t="s">
        <v>4580</v>
      </c>
      <c r="M2462" t="s">
        <v>1625</v>
      </c>
    </row>
    <row r="2463" spans="1:14" x14ac:dyDescent="0.35">
      <c r="A2463" t="s">
        <v>6942</v>
      </c>
      <c r="B2463" t="s">
        <v>362</v>
      </c>
      <c r="C2463" t="s">
        <v>1927</v>
      </c>
      <c r="D2463" t="s">
        <v>4469</v>
      </c>
      <c r="E2463" t="s">
        <v>4439</v>
      </c>
      <c r="F2463" s="3">
        <v>45164</v>
      </c>
      <c r="G2463" s="3" t="s">
        <v>537</v>
      </c>
      <c r="I2463">
        <v>48</v>
      </c>
      <c r="J2463" t="s">
        <v>4448</v>
      </c>
      <c r="K2463" t="s">
        <v>4453</v>
      </c>
      <c r="L2463" t="s">
        <v>4501</v>
      </c>
      <c r="M2463" t="s">
        <v>4462</v>
      </c>
    </row>
    <row r="2464" spans="1:14" x14ac:dyDescent="0.35">
      <c r="A2464" t="s">
        <v>6943</v>
      </c>
      <c r="B2464" t="s">
        <v>82</v>
      </c>
      <c r="C2464" t="s">
        <v>1915</v>
      </c>
      <c r="D2464" t="s">
        <v>4443</v>
      </c>
      <c r="E2464" t="s">
        <v>4444</v>
      </c>
      <c r="F2464" s="3">
        <v>45409</v>
      </c>
      <c r="G2464" s="3" t="s">
        <v>537</v>
      </c>
      <c r="I2464">
        <v>24</v>
      </c>
      <c r="J2464" t="s">
        <v>4448</v>
      </c>
      <c r="K2464" t="s">
        <v>4474</v>
      </c>
      <c r="L2464" t="s">
        <v>1907</v>
      </c>
      <c r="M2464" t="s">
        <v>4462</v>
      </c>
    </row>
    <row r="2465" spans="1:14" x14ac:dyDescent="0.35">
      <c r="A2465" t="s">
        <v>6944</v>
      </c>
      <c r="B2465" t="s">
        <v>370</v>
      </c>
      <c r="C2465" t="s">
        <v>1883</v>
      </c>
      <c r="D2465" t="s">
        <v>4490</v>
      </c>
      <c r="E2465" t="s">
        <v>4473</v>
      </c>
      <c r="F2465" s="3">
        <v>45725</v>
      </c>
      <c r="G2465" s="3" t="s">
        <v>537</v>
      </c>
      <c r="I2465">
        <v>8</v>
      </c>
      <c r="J2465" t="s">
        <v>4440</v>
      </c>
      <c r="K2465" t="s">
        <v>4457</v>
      </c>
      <c r="L2465" t="s">
        <v>4509</v>
      </c>
      <c r="M2465" t="s">
        <v>4450</v>
      </c>
    </row>
    <row r="2466" spans="1:14" x14ac:dyDescent="0.35">
      <c r="A2466" t="s">
        <v>6945</v>
      </c>
      <c r="B2466" t="s">
        <v>260</v>
      </c>
      <c r="C2466" t="s">
        <v>1899</v>
      </c>
      <c r="D2466" t="s">
        <v>4479</v>
      </c>
      <c r="E2466" t="s">
        <v>4439</v>
      </c>
      <c r="F2466" s="3">
        <v>45603</v>
      </c>
      <c r="G2466" s="3">
        <v>45603</v>
      </c>
      <c r="H2466">
        <v>2.6</v>
      </c>
      <c r="I2466">
        <v>48</v>
      </c>
      <c r="J2466" t="s">
        <v>4448</v>
      </c>
      <c r="K2466" t="s">
        <v>4441</v>
      </c>
      <c r="L2466" t="s">
        <v>4449</v>
      </c>
      <c r="M2466" t="s">
        <v>4462</v>
      </c>
    </row>
    <row r="2467" spans="1:14" x14ac:dyDescent="0.35">
      <c r="A2467" t="s">
        <v>6946</v>
      </c>
      <c r="B2467" t="s">
        <v>313</v>
      </c>
      <c r="C2467" t="s">
        <v>1904</v>
      </c>
      <c r="D2467" t="s">
        <v>4485</v>
      </c>
      <c r="E2467" t="s">
        <v>4473</v>
      </c>
      <c r="F2467" s="3">
        <v>45198</v>
      </c>
      <c r="G2467" s="3">
        <v>45198</v>
      </c>
      <c r="H2467">
        <v>15.2</v>
      </c>
      <c r="I2467">
        <v>8</v>
      </c>
      <c r="J2467" t="s">
        <v>4440</v>
      </c>
      <c r="K2467" t="s">
        <v>4441</v>
      </c>
      <c r="L2467" t="s">
        <v>4488</v>
      </c>
      <c r="M2467" t="s">
        <v>4450</v>
      </c>
      <c r="N2467">
        <v>4</v>
      </c>
    </row>
    <row r="2468" spans="1:14" x14ac:dyDescent="0.35">
      <c r="A2468" t="s">
        <v>6947</v>
      </c>
      <c r="B2468" t="s">
        <v>488</v>
      </c>
      <c r="C2468" t="s">
        <v>1915</v>
      </c>
      <c r="D2468" t="s">
        <v>4476</v>
      </c>
      <c r="E2468" t="s">
        <v>4444</v>
      </c>
      <c r="F2468" s="3">
        <v>45078</v>
      </c>
      <c r="G2468" s="3" t="s">
        <v>537</v>
      </c>
      <c r="I2468">
        <v>24</v>
      </c>
      <c r="J2468" t="s">
        <v>4440</v>
      </c>
      <c r="K2468" t="s">
        <v>4474</v>
      </c>
      <c r="L2468" t="s">
        <v>4445</v>
      </c>
      <c r="M2468" t="s">
        <v>1625</v>
      </c>
    </row>
    <row r="2469" spans="1:14" x14ac:dyDescent="0.35">
      <c r="A2469" t="s">
        <v>6948</v>
      </c>
      <c r="B2469" t="s">
        <v>451</v>
      </c>
      <c r="C2469" t="s">
        <v>1927</v>
      </c>
      <c r="D2469" t="s">
        <v>4479</v>
      </c>
      <c r="E2469" t="s">
        <v>4473</v>
      </c>
      <c r="F2469" s="3">
        <v>45508</v>
      </c>
      <c r="G2469" s="3">
        <v>45508</v>
      </c>
      <c r="H2469">
        <v>18.100000000000001</v>
      </c>
      <c r="I2469">
        <v>8</v>
      </c>
      <c r="J2469" t="s">
        <v>4440</v>
      </c>
      <c r="K2469" t="s">
        <v>4441</v>
      </c>
      <c r="L2469" t="s">
        <v>1907</v>
      </c>
      <c r="M2469" t="s">
        <v>1625</v>
      </c>
    </row>
    <row r="2470" spans="1:14" x14ac:dyDescent="0.35">
      <c r="A2470" t="s">
        <v>6949</v>
      </c>
      <c r="B2470" t="s">
        <v>419</v>
      </c>
      <c r="C2470" t="s">
        <v>1915</v>
      </c>
      <c r="D2470" t="s">
        <v>4476</v>
      </c>
      <c r="E2470" t="s">
        <v>4439</v>
      </c>
      <c r="F2470" s="3">
        <v>45329</v>
      </c>
      <c r="G2470" s="3" t="s">
        <v>537</v>
      </c>
      <c r="I2470">
        <v>48</v>
      </c>
      <c r="J2470" t="s">
        <v>4448</v>
      </c>
      <c r="K2470" t="s">
        <v>4457</v>
      </c>
      <c r="L2470" t="s">
        <v>4533</v>
      </c>
      <c r="M2470" t="s">
        <v>4462</v>
      </c>
    </row>
    <row r="2471" spans="1:14" x14ac:dyDescent="0.35">
      <c r="A2471" t="s">
        <v>6950</v>
      </c>
      <c r="B2471" t="s">
        <v>312</v>
      </c>
      <c r="C2471" t="s">
        <v>1915</v>
      </c>
      <c r="D2471" t="s">
        <v>4472</v>
      </c>
      <c r="E2471" t="s">
        <v>4444</v>
      </c>
      <c r="F2471" s="3">
        <v>44959</v>
      </c>
      <c r="G2471" s="3" t="s">
        <v>537</v>
      </c>
      <c r="I2471">
        <v>24</v>
      </c>
      <c r="J2471" t="s">
        <v>4448</v>
      </c>
      <c r="K2471" t="s">
        <v>4453</v>
      </c>
      <c r="L2471" t="s">
        <v>4467</v>
      </c>
      <c r="M2471" t="s">
        <v>1625</v>
      </c>
    </row>
    <row r="2472" spans="1:14" x14ac:dyDescent="0.35">
      <c r="A2472" t="s">
        <v>6951</v>
      </c>
      <c r="B2472" t="s">
        <v>114</v>
      </c>
      <c r="C2472" t="s">
        <v>1904</v>
      </c>
      <c r="D2472" t="s">
        <v>4443</v>
      </c>
      <c r="E2472" t="s">
        <v>4439</v>
      </c>
      <c r="F2472" s="3">
        <v>45548</v>
      </c>
      <c r="G2472" s="3" t="s">
        <v>537</v>
      </c>
      <c r="I2472">
        <v>48</v>
      </c>
      <c r="J2472" t="s">
        <v>4440</v>
      </c>
      <c r="K2472" t="s">
        <v>4453</v>
      </c>
      <c r="L2472" t="s">
        <v>4492</v>
      </c>
      <c r="M2472" t="s">
        <v>4450</v>
      </c>
    </row>
    <row r="2473" spans="1:14" x14ac:dyDescent="0.35">
      <c r="A2473" t="s">
        <v>6952</v>
      </c>
      <c r="B2473" t="s">
        <v>149</v>
      </c>
      <c r="C2473" t="s">
        <v>1927</v>
      </c>
      <c r="D2473" t="s">
        <v>4438</v>
      </c>
      <c r="E2473" t="s">
        <v>4473</v>
      </c>
      <c r="F2473" s="3">
        <v>45683</v>
      </c>
      <c r="G2473" s="3">
        <v>45683</v>
      </c>
      <c r="H2473">
        <v>17.8</v>
      </c>
      <c r="I2473">
        <v>8</v>
      </c>
      <c r="J2473" t="s">
        <v>4440</v>
      </c>
      <c r="K2473" t="s">
        <v>4441</v>
      </c>
      <c r="L2473" t="s">
        <v>4470</v>
      </c>
      <c r="M2473" t="s">
        <v>1625</v>
      </c>
      <c r="N2473">
        <v>4</v>
      </c>
    </row>
    <row r="2474" spans="1:14" x14ac:dyDescent="0.35">
      <c r="A2474" t="s">
        <v>6953</v>
      </c>
      <c r="B2474" t="s">
        <v>429</v>
      </c>
      <c r="C2474" t="s">
        <v>1904</v>
      </c>
      <c r="D2474" t="s">
        <v>4438</v>
      </c>
      <c r="E2474" t="s">
        <v>4473</v>
      </c>
      <c r="F2474" s="3">
        <v>45358</v>
      </c>
      <c r="G2474" s="3" t="s">
        <v>537</v>
      </c>
      <c r="I2474">
        <v>8</v>
      </c>
      <c r="J2474" t="s">
        <v>4448</v>
      </c>
      <c r="K2474" t="s">
        <v>4457</v>
      </c>
      <c r="L2474" t="s">
        <v>4514</v>
      </c>
      <c r="M2474" t="s">
        <v>4450</v>
      </c>
    </row>
    <row r="2475" spans="1:14" x14ac:dyDescent="0.35">
      <c r="A2475" t="s">
        <v>6954</v>
      </c>
      <c r="B2475" t="s">
        <v>370</v>
      </c>
      <c r="C2475" t="s">
        <v>1915</v>
      </c>
      <c r="D2475" t="s">
        <v>4464</v>
      </c>
      <c r="E2475" t="s">
        <v>4444</v>
      </c>
      <c r="F2475" s="3">
        <v>45128</v>
      </c>
      <c r="G2475" s="3">
        <v>45128</v>
      </c>
      <c r="H2475">
        <v>18.600000000000001</v>
      </c>
      <c r="I2475">
        <v>24</v>
      </c>
      <c r="J2475" t="s">
        <v>4448</v>
      </c>
      <c r="K2475" t="s">
        <v>4441</v>
      </c>
      <c r="L2475" t="s">
        <v>4458</v>
      </c>
      <c r="M2475" t="s">
        <v>4462</v>
      </c>
      <c r="N2475">
        <v>2</v>
      </c>
    </row>
    <row r="2476" spans="1:14" x14ac:dyDescent="0.35">
      <c r="A2476" t="s">
        <v>6955</v>
      </c>
      <c r="B2476" t="s">
        <v>66</v>
      </c>
      <c r="C2476" t="s">
        <v>1927</v>
      </c>
      <c r="D2476" t="s">
        <v>4452</v>
      </c>
      <c r="E2476" t="s">
        <v>4473</v>
      </c>
      <c r="F2476" s="3">
        <v>45385</v>
      </c>
      <c r="G2476" s="3">
        <v>45385</v>
      </c>
      <c r="H2476">
        <v>3.4</v>
      </c>
      <c r="I2476">
        <v>8</v>
      </c>
      <c r="J2476" t="s">
        <v>4448</v>
      </c>
      <c r="K2476" t="s">
        <v>4441</v>
      </c>
      <c r="L2476" t="s">
        <v>4467</v>
      </c>
      <c r="M2476" t="s">
        <v>4462</v>
      </c>
      <c r="N2476">
        <v>4</v>
      </c>
    </row>
    <row r="2477" spans="1:14" x14ac:dyDescent="0.35">
      <c r="A2477" t="s">
        <v>6956</v>
      </c>
      <c r="B2477" t="s">
        <v>152</v>
      </c>
      <c r="C2477" t="s">
        <v>1883</v>
      </c>
      <c r="D2477" t="s">
        <v>4469</v>
      </c>
      <c r="E2477" t="s">
        <v>4473</v>
      </c>
      <c r="F2477" s="3">
        <v>45179</v>
      </c>
      <c r="G2477" s="3">
        <v>45179</v>
      </c>
      <c r="H2477">
        <v>19.100000000000001</v>
      </c>
      <c r="I2477">
        <v>8</v>
      </c>
      <c r="J2477" t="s">
        <v>4440</v>
      </c>
      <c r="K2477" t="s">
        <v>4441</v>
      </c>
      <c r="L2477" t="s">
        <v>4580</v>
      </c>
      <c r="M2477" t="s">
        <v>4462</v>
      </c>
    </row>
    <row r="2478" spans="1:14" x14ac:dyDescent="0.35">
      <c r="A2478" t="s">
        <v>6957</v>
      </c>
      <c r="B2478" t="s">
        <v>154</v>
      </c>
      <c r="C2478" t="s">
        <v>1927</v>
      </c>
      <c r="D2478" t="s">
        <v>4490</v>
      </c>
      <c r="E2478" t="s">
        <v>4473</v>
      </c>
      <c r="F2478" s="3">
        <v>45333</v>
      </c>
      <c r="G2478" s="3">
        <v>45333</v>
      </c>
      <c r="H2478">
        <v>19</v>
      </c>
      <c r="I2478">
        <v>8</v>
      </c>
      <c r="J2478" t="s">
        <v>4440</v>
      </c>
      <c r="K2478" t="s">
        <v>4441</v>
      </c>
      <c r="L2478" t="s">
        <v>4465</v>
      </c>
      <c r="M2478" t="s">
        <v>1625</v>
      </c>
      <c r="N2478">
        <v>5</v>
      </c>
    </row>
    <row r="2479" spans="1:14" x14ac:dyDescent="0.35">
      <c r="A2479" t="s">
        <v>6958</v>
      </c>
      <c r="B2479" t="s">
        <v>82</v>
      </c>
      <c r="C2479" t="s">
        <v>1899</v>
      </c>
      <c r="D2479" t="s">
        <v>4476</v>
      </c>
      <c r="E2479" t="s">
        <v>4439</v>
      </c>
      <c r="F2479" s="3">
        <v>45033</v>
      </c>
      <c r="G2479" s="3">
        <v>45037</v>
      </c>
      <c r="H2479">
        <v>109.8</v>
      </c>
      <c r="I2479">
        <v>48</v>
      </c>
      <c r="J2479" t="s">
        <v>4440</v>
      </c>
      <c r="K2479" t="s">
        <v>4441</v>
      </c>
      <c r="L2479" t="s">
        <v>4512</v>
      </c>
      <c r="M2479" t="s">
        <v>4462</v>
      </c>
      <c r="N2479">
        <v>5</v>
      </c>
    </row>
    <row r="2480" spans="1:14" x14ac:dyDescent="0.35">
      <c r="A2480" t="s">
        <v>6959</v>
      </c>
      <c r="B2480" t="s">
        <v>144</v>
      </c>
      <c r="C2480" t="s">
        <v>1927</v>
      </c>
      <c r="D2480" t="s">
        <v>4479</v>
      </c>
      <c r="E2480" t="s">
        <v>4444</v>
      </c>
      <c r="F2480" s="3">
        <v>45110</v>
      </c>
      <c r="G2480" s="3">
        <v>45111</v>
      </c>
      <c r="H2480">
        <v>28</v>
      </c>
      <c r="I2480">
        <v>24</v>
      </c>
      <c r="J2480" t="s">
        <v>4440</v>
      </c>
      <c r="K2480" t="s">
        <v>4441</v>
      </c>
      <c r="L2480" t="s">
        <v>4461</v>
      </c>
      <c r="M2480" t="s">
        <v>4462</v>
      </c>
      <c r="N2480">
        <v>4</v>
      </c>
    </row>
    <row r="2481" spans="1:14" x14ac:dyDescent="0.35">
      <c r="A2481" t="s">
        <v>6960</v>
      </c>
      <c r="B2481" t="s">
        <v>394</v>
      </c>
      <c r="C2481" t="s">
        <v>1915</v>
      </c>
      <c r="D2481" t="s">
        <v>4443</v>
      </c>
      <c r="E2481" t="s">
        <v>4444</v>
      </c>
      <c r="F2481" s="3">
        <v>45213</v>
      </c>
      <c r="G2481" s="3">
        <v>45215</v>
      </c>
      <c r="H2481">
        <v>58</v>
      </c>
      <c r="I2481">
        <v>24</v>
      </c>
      <c r="J2481" t="s">
        <v>4440</v>
      </c>
      <c r="K2481" t="s">
        <v>4441</v>
      </c>
      <c r="L2481" t="s">
        <v>4509</v>
      </c>
      <c r="M2481" t="s">
        <v>4450</v>
      </c>
      <c r="N2481">
        <v>2</v>
      </c>
    </row>
    <row r="2482" spans="1:14" x14ac:dyDescent="0.35">
      <c r="A2482" t="s">
        <v>6961</v>
      </c>
      <c r="B2482" t="s">
        <v>356</v>
      </c>
      <c r="C2482" t="s">
        <v>1915</v>
      </c>
      <c r="D2482" t="s">
        <v>4438</v>
      </c>
      <c r="E2482" t="s">
        <v>4439</v>
      </c>
      <c r="F2482" s="3">
        <v>45533</v>
      </c>
      <c r="G2482" s="3">
        <v>45537</v>
      </c>
      <c r="H2482">
        <v>96.1</v>
      </c>
      <c r="I2482">
        <v>48</v>
      </c>
      <c r="J2482" t="s">
        <v>4440</v>
      </c>
      <c r="K2482" t="s">
        <v>4441</v>
      </c>
      <c r="L2482" t="s">
        <v>4512</v>
      </c>
      <c r="M2482" t="s">
        <v>4450</v>
      </c>
      <c r="N2482">
        <v>2</v>
      </c>
    </row>
    <row r="2483" spans="1:14" x14ac:dyDescent="0.35">
      <c r="A2483" t="s">
        <v>6962</v>
      </c>
      <c r="B2483" t="s">
        <v>142</v>
      </c>
      <c r="C2483" t="s">
        <v>1899</v>
      </c>
      <c r="D2483" t="s">
        <v>4472</v>
      </c>
      <c r="E2483" t="s">
        <v>4439</v>
      </c>
      <c r="F2483" s="3">
        <v>45600</v>
      </c>
      <c r="G2483" s="3">
        <v>45600</v>
      </c>
      <c r="H2483">
        <v>8.3000000000000007</v>
      </c>
      <c r="I2483">
        <v>48</v>
      </c>
      <c r="J2483" t="s">
        <v>4448</v>
      </c>
      <c r="K2483" t="s">
        <v>4441</v>
      </c>
      <c r="L2483" t="s">
        <v>4533</v>
      </c>
      <c r="M2483" t="s">
        <v>4446</v>
      </c>
    </row>
    <row r="2484" spans="1:14" x14ac:dyDescent="0.35">
      <c r="A2484" t="s">
        <v>6963</v>
      </c>
      <c r="B2484" t="s">
        <v>382</v>
      </c>
      <c r="C2484" t="s">
        <v>1904</v>
      </c>
      <c r="D2484" t="s">
        <v>4452</v>
      </c>
      <c r="E2484" t="s">
        <v>4444</v>
      </c>
      <c r="F2484" s="3">
        <v>45218</v>
      </c>
      <c r="G2484" s="3">
        <v>45219</v>
      </c>
      <c r="H2484">
        <v>25.5</v>
      </c>
      <c r="I2484">
        <v>24</v>
      </c>
      <c r="J2484" t="s">
        <v>4440</v>
      </c>
      <c r="K2484" t="s">
        <v>4441</v>
      </c>
      <c r="L2484" t="s">
        <v>4514</v>
      </c>
      <c r="M2484" t="s">
        <v>1625</v>
      </c>
      <c r="N2484">
        <v>5</v>
      </c>
    </row>
    <row r="2485" spans="1:14" x14ac:dyDescent="0.35">
      <c r="A2485" t="s">
        <v>6964</v>
      </c>
      <c r="B2485" t="s">
        <v>173</v>
      </c>
      <c r="C2485" t="s">
        <v>1915</v>
      </c>
      <c r="D2485" t="s">
        <v>4469</v>
      </c>
      <c r="E2485" t="s">
        <v>4473</v>
      </c>
      <c r="F2485" s="3">
        <v>45071</v>
      </c>
      <c r="G2485" s="3" t="s">
        <v>537</v>
      </c>
      <c r="I2485">
        <v>8</v>
      </c>
      <c r="J2485" t="s">
        <v>4440</v>
      </c>
      <c r="K2485" t="s">
        <v>4474</v>
      </c>
      <c r="L2485" t="s">
        <v>4458</v>
      </c>
      <c r="M2485" t="s">
        <v>1625</v>
      </c>
    </row>
    <row r="2486" spans="1:14" x14ac:dyDescent="0.35">
      <c r="A2486" t="s">
        <v>6965</v>
      </c>
      <c r="B2486" t="s">
        <v>201</v>
      </c>
      <c r="C2486" t="s">
        <v>1883</v>
      </c>
      <c r="D2486" t="s">
        <v>4464</v>
      </c>
      <c r="E2486" t="s">
        <v>4473</v>
      </c>
      <c r="F2486" s="3">
        <v>45127</v>
      </c>
      <c r="G2486" s="3">
        <v>45127</v>
      </c>
      <c r="H2486">
        <v>1.5</v>
      </c>
      <c r="I2486">
        <v>8</v>
      </c>
      <c r="J2486" t="s">
        <v>4448</v>
      </c>
      <c r="K2486" t="s">
        <v>4441</v>
      </c>
      <c r="L2486" t="s">
        <v>1907</v>
      </c>
      <c r="M2486" t="s">
        <v>4450</v>
      </c>
      <c r="N2486">
        <v>4</v>
      </c>
    </row>
    <row r="2487" spans="1:14" x14ac:dyDescent="0.35">
      <c r="A2487" t="s">
        <v>6966</v>
      </c>
      <c r="B2487" t="s">
        <v>178</v>
      </c>
      <c r="C2487" t="s">
        <v>1915</v>
      </c>
      <c r="D2487" t="s">
        <v>4443</v>
      </c>
      <c r="E2487" t="s">
        <v>4473</v>
      </c>
      <c r="F2487" s="3">
        <v>45509</v>
      </c>
      <c r="G2487" s="3">
        <v>45509</v>
      </c>
      <c r="H2487">
        <v>13.3</v>
      </c>
      <c r="I2487">
        <v>8</v>
      </c>
      <c r="J2487" t="s">
        <v>4440</v>
      </c>
      <c r="K2487" t="s">
        <v>4441</v>
      </c>
      <c r="L2487" t="s">
        <v>4580</v>
      </c>
      <c r="M2487" t="s">
        <v>4462</v>
      </c>
    </row>
    <row r="2488" spans="1:14" x14ac:dyDescent="0.35">
      <c r="A2488" t="s">
        <v>6967</v>
      </c>
      <c r="B2488" t="s">
        <v>414</v>
      </c>
      <c r="C2488" t="s">
        <v>1899</v>
      </c>
      <c r="D2488" t="s">
        <v>4472</v>
      </c>
      <c r="E2488" t="s">
        <v>4444</v>
      </c>
      <c r="F2488" s="3">
        <v>45621</v>
      </c>
      <c r="G2488" s="3">
        <v>45622</v>
      </c>
      <c r="H2488">
        <v>27.5</v>
      </c>
      <c r="I2488">
        <v>24</v>
      </c>
      <c r="J2488" t="s">
        <v>4440</v>
      </c>
      <c r="K2488" t="s">
        <v>4441</v>
      </c>
      <c r="L2488" t="s">
        <v>4465</v>
      </c>
      <c r="M2488" t="s">
        <v>1625</v>
      </c>
      <c r="N2488">
        <v>5</v>
      </c>
    </row>
    <row r="2489" spans="1:14" x14ac:dyDescent="0.35">
      <c r="A2489" t="s">
        <v>6968</v>
      </c>
      <c r="B2489" t="s">
        <v>120</v>
      </c>
      <c r="C2489" t="s">
        <v>1904</v>
      </c>
      <c r="D2489" t="s">
        <v>4460</v>
      </c>
      <c r="E2489" t="s">
        <v>4439</v>
      </c>
      <c r="F2489" s="3">
        <v>45116</v>
      </c>
      <c r="G2489" s="3">
        <v>45117</v>
      </c>
      <c r="H2489">
        <v>37.6</v>
      </c>
      <c r="I2489">
        <v>48</v>
      </c>
      <c r="J2489" t="s">
        <v>4448</v>
      </c>
      <c r="K2489" t="s">
        <v>4441</v>
      </c>
      <c r="L2489" t="s">
        <v>4533</v>
      </c>
      <c r="M2489" t="s">
        <v>4462</v>
      </c>
      <c r="N2489">
        <v>3</v>
      </c>
    </row>
    <row r="2490" spans="1:14" x14ac:dyDescent="0.35">
      <c r="A2490" t="s">
        <v>6969</v>
      </c>
      <c r="B2490" t="s">
        <v>321</v>
      </c>
      <c r="C2490" t="s">
        <v>1899</v>
      </c>
      <c r="D2490" t="s">
        <v>4443</v>
      </c>
      <c r="E2490" t="s">
        <v>4439</v>
      </c>
      <c r="F2490" s="3">
        <v>45567</v>
      </c>
      <c r="G2490" s="3" t="s">
        <v>537</v>
      </c>
      <c r="I2490">
        <v>48</v>
      </c>
      <c r="J2490" t="s">
        <v>4440</v>
      </c>
      <c r="K2490" t="s">
        <v>4474</v>
      </c>
      <c r="L2490" t="s">
        <v>4533</v>
      </c>
      <c r="M2490" t="s">
        <v>4462</v>
      </c>
    </row>
    <row r="2491" spans="1:14" x14ac:dyDescent="0.35">
      <c r="A2491" t="s">
        <v>6970</v>
      </c>
      <c r="B2491" t="s">
        <v>496</v>
      </c>
      <c r="C2491" t="s">
        <v>1899</v>
      </c>
      <c r="D2491" t="s">
        <v>4452</v>
      </c>
      <c r="E2491" t="s">
        <v>4473</v>
      </c>
      <c r="F2491" s="3">
        <v>45729</v>
      </c>
      <c r="G2491" s="3" t="s">
        <v>537</v>
      </c>
      <c r="I2491">
        <v>8</v>
      </c>
      <c r="J2491" t="s">
        <v>4440</v>
      </c>
      <c r="K2491" t="s">
        <v>4474</v>
      </c>
      <c r="L2491" t="s">
        <v>4470</v>
      </c>
      <c r="M2491" t="s">
        <v>4450</v>
      </c>
    </row>
    <row r="2492" spans="1:14" x14ac:dyDescent="0.35">
      <c r="A2492" t="s">
        <v>6971</v>
      </c>
      <c r="B2492" t="s">
        <v>94</v>
      </c>
      <c r="C2492" t="s">
        <v>1927</v>
      </c>
      <c r="D2492" t="s">
        <v>4438</v>
      </c>
      <c r="E2492" t="s">
        <v>4456</v>
      </c>
      <c r="F2492" s="3">
        <v>45084</v>
      </c>
      <c r="G2492" s="3">
        <v>45084</v>
      </c>
      <c r="H2492">
        <v>5.9</v>
      </c>
      <c r="I2492">
        <v>4</v>
      </c>
      <c r="J2492" t="s">
        <v>4440</v>
      </c>
      <c r="K2492" t="s">
        <v>4441</v>
      </c>
      <c r="L2492" t="s">
        <v>4449</v>
      </c>
      <c r="M2492" t="s">
        <v>4462</v>
      </c>
      <c r="N2492">
        <v>2</v>
      </c>
    </row>
    <row r="2493" spans="1:14" x14ac:dyDescent="0.35">
      <c r="A2493" t="s">
        <v>6972</v>
      </c>
      <c r="B2493" t="s">
        <v>471</v>
      </c>
      <c r="C2493" t="s">
        <v>1883</v>
      </c>
      <c r="D2493" t="s">
        <v>8506</v>
      </c>
      <c r="E2493" t="s">
        <v>4473</v>
      </c>
      <c r="F2493" s="3">
        <v>45416</v>
      </c>
      <c r="G2493" s="3">
        <v>45416</v>
      </c>
      <c r="H2493">
        <v>19.3</v>
      </c>
      <c r="I2493">
        <v>8</v>
      </c>
      <c r="J2493" t="s">
        <v>4440</v>
      </c>
      <c r="K2493" t="s">
        <v>4441</v>
      </c>
      <c r="L2493" t="s">
        <v>4467</v>
      </c>
      <c r="M2493" t="s">
        <v>4450</v>
      </c>
      <c r="N2493">
        <v>4</v>
      </c>
    </row>
    <row r="2494" spans="1:14" x14ac:dyDescent="0.35">
      <c r="A2494" t="s">
        <v>6973</v>
      </c>
      <c r="B2494" t="s">
        <v>11</v>
      </c>
      <c r="C2494" t="s">
        <v>1927</v>
      </c>
      <c r="D2494" t="s">
        <v>4482</v>
      </c>
      <c r="E2494" t="s">
        <v>4456</v>
      </c>
      <c r="F2494" s="3">
        <v>44986</v>
      </c>
      <c r="G2494" s="3" t="s">
        <v>537</v>
      </c>
      <c r="I2494">
        <v>4</v>
      </c>
      <c r="J2494" t="s">
        <v>4440</v>
      </c>
      <c r="K2494" t="s">
        <v>4457</v>
      </c>
      <c r="L2494" t="s">
        <v>4461</v>
      </c>
      <c r="M2494" t="s">
        <v>1625</v>
      </c>
    </row>
    <row r="2495" spans="1:14" x14ac:dyDescent="0.35">
      <c r="A2495" t="s">
        <v>6974</v>
      </c>
      <c r="B2495" t="s">
        <v>169</v>
      </c>
      <c r="C2495" t="s">
        <v>1927</v>
      </c>
      <c r="D2495" t="s">
        <v>4443</v>
      </c>
      <c r="E2495" t="s">
        <v>4456</v>
      </c>
      <c r="F2495" s="3">
        <v>45286</v>
      </c>
      <c r="G2495" s="3" t="s">
        <v>537</v>
      </c>
      <c r="I2495">
        <v>4</v>
      </c>
      <c r="J2495" t="s">
        <v>4440</v>
      </c>
      <c r="K2495" t="s">
        <v>4457</v>
      </c>
      <c r="L2495" t="s">
        <v>4465</v>
      </c>
      <c r="M2495" t="s">
        <v>1625</v>
      </c>
    </row>
    <row r="2496" spans="1:14" x14ac:dyDescent="0.35">
      <c r="A2496" t="s">
        <v>6975</v>
      </c>
      <c r="B2496" t="s">
        <v>74</v>
      </c>
      <c r="C2496" t="s">
        <v>1904</v>
      </c>
      <c r="D2496" t="s">
        <v>4452</v>
      </c>
      <c r="E2496" t="s">
        <v>4473</v>
      </c>
      <c r="F2496" s="3">
        <v>45347</v>
      </c>
      <c r="G2496" s="3">
        <v>45347</v>
      </c>
      <c r="H2496">
        <v>15.1</v>
      </c>
      <c r="I2496">
        <v>8</v>
      </c>
      <c r="J2496" t="s">
        <v>4440</v>
      </c>
      <c r="K2496" t="s">
        <v>4441</v>
      </c>
      <c r="L2496" t="s">
        <v>4461</v>
      </c>
      <c r="M2496" t="s">
        <v>4446</v>
      </c>
      <c r="N2496">
        <v>5</v>
      </c>
    </row>
    <row r="2497" spans="1:14" x14ac:dyDescent="0.35">
      <c r="A2497" t="s">
        <v>6976</v>
      </c>
      <c r="B2497" t="s">
        <v>460</v>
      </c>
      <c r="C2497" t="s">
        <v>1899</v>
      </c>
      <c r="D2497" t="s">
        <v>4452</v>
      </c>
      <c r="E2497" t="s">
        <v>4456</v>
      </c>
      <c r="F2497" s="3">
        <v>45004</v>
      </c>
      <c r="G2497" s="3">
        <v>45004</v>
      </c>
      <c r="H2497">
        <v>5.5</v>
      </c>
      <c r="I2497">
        <v>4</v>
      </c>
      <c r="J2497" t="s">
        <v>4440</v>
      </c>
      <c r="K2497" t="s">
        <v>4441</v>
      </c>
      <c r="L2497" t="s">
        <v>4461</v>
      </c>
      <c r="M2497" t="s">
        <v>4450</v>
      </c>
      <c r="N2497">
        <v>5</v>
      </c>
    </row>
    <row r="2498" spans="1:14" x14ac:dyDescent="0.35">
      <c r="A2498" t="s">
        <v>6977</v>
      </c>
      <c r="B2498" t="s">
        <v>38</v>
      </c>
      <c r="C2498" t="s">
        <v>1899</v>
      </c>
      <c r="D2498" t="s">
        <v>4460</v>
      </c>
      <c r="E2498" t="s">
        <v>4473</v>
      </c>
      <c r="F2498" s="3">
        <v>45705</v>
      </c>
      <c r="G2498" s="3">
        <v>45705</v>
      </c>
      <c r="H2498">
        <v>18.8</v>
      </c>
      <c r="I2498">
        <v>8</v>
      </c>
      <c r="J2498" t="s">
        <v>4440</v>
      </c>
      <c r="K2498" t="s">
        <v>4441</v>
      </c>
      <c r="L2498" t="s">
        <v>1907</v>
      </c>
      <c r="M2498" t="s">
        <v>4450</v>
      </c>
      <c r="N2498">
        <v>4</v>
      </c>
    </row>
    <row r="2499" spans="1:14" x14ac:dyDescent="0.35">
      <c r="A2499" t="s">
        <v>6978</v>
      </c>
      <c r="B2499" t="s">
        <v>90</v>
      </c>
      <c r="C2499" t="s">
        <v>1904</v>
      </c>
      <c r="D2499" t="s">
        <v>4443</v>
      </c>
      <c r="E2499" t="s">
        <v>4439</v>
      </c>
      <c r="F2499" s="3">
        <v>45117</v>
      </c>
      <c r="G2499" s="3" t="s">
        <v>537</v>
      </c>
      <c r="I2499">
        <v>48</v>
      </c>
      <c r="J2499" t="s">
        <v>4448</v>
      </c>
      <c r="K2499" t="s">
        <v>4474</v>
      </c>
      <c r="L2499" t="s">
        <v>4492</v>
      </c>
      <c r="M2499" t="s">
        <v>4450</v>
      </c>
    </row>
    <row r="2500" spans="1:14" x14ac:dyDescent="0.35">
      <c r="A2500" t="s">
        <v>6979</v>
      </c>
      <c r="B2500" t="s">
        <v>234</v>
      </c>
      <c r="C2500" t="s">
        <v>1915</v>
      </c>
      <c r="D2500" t="s">
        <v>4472</v>
      </c>
      <c r="E2500" t="s">
        <v>4444</v>
      </c>
      <c r="F2500" s="3">
        <v>45263</v>
      </c>
      <c r="G2500" s="3" t="s">
        <v>537</v>
      </c>
      <c r="I2500">
        <v>24</v>
      </c>
      <c r="J2500" t="s">
        <v>4448</v>
      </c>
      <c r="K2500" t="s">
        <v>4457</v>
      </c>
      <c r="L2500" t="s">
        <v>4458</v>
      </c>
      <c r="M2500" t="s">
        <v>4462</v>
      </c>
    </row>
    <row r="2501" spans="1:14" x14ac:dyDescent="0.35">
      <c r="A2501" t="s">
        <v>6980</v>
      </c>
      <c r="B2501" t="s">
        <v>384</v>
      </c>
      <c r="C2501" t="s">
        <v>1915</v>
      </c>
      <c r="D2501" t="s">
        <v>4438</v>
      </c>
      <c r="E2501" t="s">
        <v>4473</v>
      </c>
      <c r="F2501" s="3">
        <v>45071</v>
      </c>
      <c r="G2501" s="3">
        <v>45071</v>
      </c>
      <c r="H2501">
        <v>17</v>
      </c>
      <c r="I2501">
        <v>8</v>
      </c>
      <c r="J2501" t="s">
        <v>4440</v>
      </c>
      <c r="K2501" t="s">
        <v>4441</v>
      </c>
      <c r="L2501" t="s">
        <v>4509</v>
      </c>
      <c r="M2501" t="s">
        <v>4446</v>
      </c>
      <c r="N2501">
        <v>4</v>
      </c>
    </row>
    <row r="2502" spans="1:14" x14ac:dyDescent="0.35">
      <c r="A2502" t="s">
        <v>6981</v>
      </c>
      <c r="B2502" t="s">
        <v>388</v>
      </c>
      <c r="C2502" t="s">
        <v>1899</v>
      </c>
      <c r="D2502" t="s">
        <v>4464</v>
      </c>
      <c r="E2502" t="s">
        <v>4473</v>
      </c>
      <c r="F2502" s="3">
        <v>45548</v>
      </c>
      <c r="G2502" s="3">
        <v>45548</v>
      </c>
      <c r="H2502">
        <v>13.1</v>
      </c>
      <c r="I2502">
        <v>8</v>
      </c>
      <c r="J2502" t="s">
        <v>4440</v>
      </c>
      <c r="K2502" t="s">
        <v>4441</v>
      </c>
      <c r="L2502" t="s">
        <v>4454</v>
      </c>
      <c r="M2502" t="s">
        <v>4450</v>
      </c>
    </row>
    <row r="2503" spans="1:14" x14ac:dyDescent="0.35">
      <c r="A2503" t="s">
        <v>6982</v>
      </c>
      <c r="B2503" t="s">
        <v>314</v>
      </c>
      <c r="C2503" t="s">
        <v>1904</v>
      </c>
      <c r="D2503" t="s">
        <v>4472</v>
      </c>
      <c r="E2503" t="s">
        <v>4444</v>
      </c>
      <c r="F2503" s="3">
        <v>45668</v>
      </c>
      <c r="G2503" s="3" t="s">
        <v>537</v>
      </c>
      <c r="I2503">
        <v>24</v>
      </c>
      <c r="J2503" t="s">
        <v>4440</v>
      </c>
      <c r="K2503" t="s">
        <v>4453</v>
      </c>
      <c r="L2503" t="s">
        <v>4488</v>
      </c>
      <c r="M2503" t="s">
        <v>4446</v>
      </c>
    </row>
    <row r="2504" spans="1:14" x14ac:dyDescent="0.35">
      <c r="A2504" t="s">
        <v>6983</v>
      </c>
      <c r="B2504" t="s">
        <v>152</v>
      </c>
      <c r="C2504" t="s">
        <v>1883</v>
      </c>
      <c r="D2504" t="s">
        <v>4472</v>
      </c>
      <c r="E2504" t="s">
        <v>4444</v>
      </c>
      <c r="F2504" s="3">
        <v>45600</v>
      </c>
      <c r="G2504" s="3" t="s">
        <v>537</v>
      </c>
      <c r="I2504">
        <v>24</v>
      </c>
      <c r="J2504" t="s">
        <v>4440</v>
      </c>
      <c r="K2504" t="s">
        <v>4457</v>
      </c>
      <c r="L2504" t="s">
        <v>4488</v>
      </c>
      <c r="M2504" t="s">
        <v>4462</v>
      </c>
    </row>
    <row r="2505" spans="1:14" x14ac:dyDescent="0.35">
      <c r="A2505" t="s">
        <v>6984</v>
      </c>
      <c r="B2505" t="s">
        <v>319</v>
      </c>
      <c r="C2505" t="s">
        <v>1890</v>
      </c>
      <c r="D2505" t="s">
        <v>4479</v>
      </c>
      <c r="E2505" t="s">
        <v>4444</v>
      </c>
      <c r="F2505" s="3">
        <v>45190</v>
      </c>
      <c r="G2505" s="3">
        <v>45190</v>
      </c>
      <c r="H2505">
        <v>3.1</v>
      </c>
      <c r="I2505">
        <v>24</v>
      </c>
      <c r="J2505" t="s">
        <v>4448</v>
      </c>
      <c r="K2505" t="s">
        <v>4441</v>
      </c>
      <c r="L2505" t="s">
        <v>4488</v>
      </c>
      <c r="M2505" t="s">
        <v>4446</v>
      </c>
      <c r="N2505">
        <v>3</v>
      </c>
    </row>
    <row r="2506" spans="1:14" x14ac:dyDescent="0.35">
      <c r="A2506" t="s">
        <v>6985</v>
      </c>
      <c r="B2506" t="s">
        <v>425</v>
      </c>
      <c r="C2506" t="s">
        <v>1899</v>
      </c>
      <c r="D2506" t="s">
        <v>4476</v>
      </c>
      <c r="E2506" t="s">
        <v>4439</v>
      </c>
      <c r="F2506" s="3">
        <v>45705</v>
      </c>
      <c r="G2506" s="3">
        <v>45706</v>
      </c>
      <c r="H2506">
        <v>29.5</v>
      </c>
      <c r="I2506">
        <v>48</v>
      </c>
      <c r="J2506" t="s">
        <v>4448</v>
      </c>
      <c r="K2506" t="s">
        <v>4441</v>
      </c>
      <c r="L2506" t="s">
        <v>4454</v>
      </c>
      <c r="M2506" t="s">
        <v>4446</v>
      </c>
      <c r="N2506">
        <v>4</v>
      </c>
    </row>
    <row r="2507" spans="1:14" x14ac:dyDescent="0.35">
      <c r="A2507" t="s">
        <v>6986</v>
      </c>
      <c r="B2507" t="s">
        <v>266</v>
      </c>
      <c r="C2507" t="s">
        <v>1915</v>
      </c>
      <c r="D2507" t="s">
        <v>4485</v>
      </c>
      <c r="E2507" t="s">
        <v>4444</v>
      </c>
      <c r="F2507" s="3">
        <v>45048</v>
      </c>
      <c r="G2507" s="3">
        <v>45050</v>
      </c>
      <c r="H2507">
        <v>52.7</v>
      </c>
      <c r="I2507">
        <v>24</v>
      </c>
      <c r="J2507" t="s">
        <v>4440</v>
      </c>
      <c r="K2507" t="s">
        <v>4441</v>
      </c>
      <c r="L2507" t="s">
        <v>4458</v>
      </c>
      <c r="M2507" t="s">
        <v>4462</v>
      </c>
      <c r="N2507">
        <v>3</v>
      </c>
    </row>
    <row r="2508" spans="1:14" x14ac:dyDescent="0.35">
      <c r="A2508" t="s">
        <v>6987</v>
      </c>
      <c r="B2508" t="s">
        <v>394</v>
      </c>
      <c r="C2508" t="s">
        <v>1927</v>
      </c>
      <c r="D2508" t="s">
        <v>4460</v>
      </c>
      <c r="E2508" t="s">
        <v>4473</v>
      </c>
      <c r="F2508" s="3">
        <v>45471</v>
      </c>
      <c r="G2508" s="3" t="s">
        <v>537</v>
      </c>
      <c r="I2508">
        <v>8</v>
      </c>
      <c r="J2508" t="s">
        <v>1945</v>
      </c>
      <c r="K2508" t="s">
        <v>4474</v>
      </c>
      <c r="L2508" t="s">
        <v>4483</v>
      </c>
      <c r="M2508" t="s">
        <v>4446</v>
      </c>
    </row>
    <row r="2509" spans="1:14" x14ac:dyDescent="0.35">
      <c r="A2509" t="s">
        <v>6988</v>
      </c>
      <c r="B2509" t="s">
        <v>112</v>
      </c>
      <c r="C2509" t="s">
        <v>1904</v>
      </c>
      <c r="D2509" t="s">
        <v>4443</v>
      </c>
      <c r="E2509" t="s">
        <v>4439</v>
      </c>
      <c r="F2509" s="3">
        <v>45041</v>
      </c>
      <c r="G2509" s="3">
        <v>45041</v>
      </c>
      <c r="H2509">
        <v>0.5</v>
      </c>
      <c r="I2509">
        <v>48</v>
      </c>
      <c r="J2509" t="s">
        <v>4448</v>
      </c>
      <c r="K2509" t="s">
        <v>4441</v>
      </c>
      <c r="L2509" t="s">
        <v>4492</v>
      </c>
      <c r="M2509" t="s">
        <v>4446</v>
      </c>
      <c r="N2509">
        <v>5</v>
      </c>
    </row>
    <row r="2510" spans="1:14" x14ac:dyDescent="0.35">
      <c r="A2510" t="s">
        <v>6989</v>
      </c>
      <c r="B2510" t="s">
        <v>300</v>
      </c>
      <c r="C2510" t="s">
        <v>1899</v>
      </c>
      <c r="D2510" t="s">
        <v>4476</v>
      </c>
      <c r="E2510" t="s">
        <v>4439</v>
      </c>
      <c r="F2510" s="3">
        <v>45659</v>
      </c>
      <c r="G2510" s="3">
        <v>45659</v>
      </c>
      <c r="H2510">
        <v>22.6</v>
      </c>
      <c r="I2510">
        <v>48</v>
      </c>
      <c r="J2510" t="s">
        <v>4448</v>
      </c>
      <c r="K2510" t="s">
        <v>4441</v>
      </c>
      <c r="L2510" t="s">
        <v>4483</v>
      </c>
      <c r="M2510" t="s">
        <v>1625</v>
      </c>
    </row>
    <row r="2511" spans="1:14" x14ac:dyDescent="0.35">
      <c r="A2511" t="s">
        <v>6990</v>
      </c>
      <c r="B2511" t="s">
        <v>372</v>
      </c>
      <c r="C2511" t="s">
        <v>1899</v>
      </c>
      <c r="D2511" t="s">
        <v>4438</v>
      </c>
      <c r="E2511" t="s">
        <v>4444</v>
      </c>
      <c r="F2511" s="3">
        <v>45508</v>
      </c>
      <c r="G2511" s="3">
        <v>45508</v>
      </c>
      <c r="H2511">
        <v>9.8000000000000007</v>
      </c>
      <c r="I2511">
        <v>24</v>
      </c>
      <c r="J2511" t="s">
        <v>4448</v>
      </c>
      <c r="K2511" t="s">
        <v>4441</v>
      </c>
      <c r="L2511" t="s">
        <v>4454</v>
      </c>
      <c r="M2511" t="s">
        <v>4446</v>
      </c>
      <c r="N2511">
        <v>2</v>
      </c>
    </row>
    <row r="2512" spans="1:14" x14ac:dyDescent="0.35">
      <c r="A2512" t="s">
        <v>6991</v>
      </c>
      <c r="B2512" t="s">
        <v>331</v>
      </c>
      <c r="C2512" t="s">
        <v>1927</v>
      </c>
      <c r="D2512" t="s">
        <v>4490</v>
      </c>
      <c r="E2512" t="s">
        <v>4444</v>
      </c>
      <c r="F2512" s="3">
        <v>45595</v>
      </c>
      <c r="G2512" s="3" t="s">
        <v>537</v>
      </c>
      <c r="I2512">
        <v>24</v>
      </c>
      <c r="J2512" t="s">
        <v>4440</v>
      </c>
      <c r="K2512" t="s">
        <v>4474</v>
      </c>
      <c r="L2512" t="s">
        <v>4454</v>
      </c>
      <c r="M2512" t="s">
        <v>1625</v>
      </c>
    </row>
    <row r="2513" spans="1:14" x14ac:dyDescent="0.35">
      <c r="A2513" t="s">
        <v>6992</v>
      </c>
      <c r="B2513" t="s">
        <v>474</v>
      </c>
      <c r="C2513" t="s">
        <v>1883</v>
      </c>
      <c r="D2513" t="s">
        <v>4476</v>
      </c>
      <c r="E2513" t="s">
        <v>4456</v>
      </c>
      <c r="F2513" s="3">
        <v>45150</v>
      </c>
      <c r="G2513" s="3">
        <v>45150</v>
      </c>
      <c r="H2513">
        <v>7.7</v>
      </c>
      <c r="I2513">
        <v>4</v>
      </c>
      <c r="J2513" t="s">
        <v>4440</v>
      </c>
      <c r="K2513" t="s">
        <v>4441</v>
      </c>
      <c r="L2513" t="s">
        <v>4454</v>
      </c>
      <c r="M2513" t="s">
        <v>1625</v>
      </c>
      <c r="N2513">
        <v>5</v>
      </c>
    </row>
    <row r="2514" spans="1:14" x14ac:dyDescent="0.35">
      <c r="A2514" t="s">
        <v>6993</v>
      </c>
      <c r="B2514" t="s">
        <v>417</v>
      </c>
      <c r="C2514" t="s">
        <v>1883</v>
      </c>
      <c r="D2514" t="s">
        <v>4479</v>
      </c>
      <c r="E2514" t="s">
        <v>4444</v>
      </c>
      <c r="F2514" s="3">
        <v>45555</v>
      </c>
      <c r="G2514" s="3">
        <v>45557</v>
      </c>
      <c r="H2514">
        <v>55</v>
      </c>
      <c r="I2514">
        <v>24</v>
      </c>
      <c r="J2514" t="s">
        <v>4440</v>
      </c>
      <c r="K2514" t="s">
        <v>4441</v>
      </c>
      <c r="L2514" t="s">
        <v>4454</v>
      </c>
      <c r="M2514" t="s">
        <v>4462</v>
      </c>
      <c r="N2514">
        <v>1</v>
      </c>
    </row>
    <row r="2515" spans="1:14" x14ac:dyDescent="0.35">
      <c r="A2515" t="s">
        <v>6994</v>
      </c>
      <c r="B2515" t="s">
        <v>182</v>
      </c>
      <c r="C2515" t="s">
        <v>1927</v>
      </c>
      <c r="D2515" t="s">
        <v>4479</v>
      </c>
      <c r="E2515" t="s">
        <v>4473</v>
      </c>
      <c r="F2515" s="3">
        <v>45443</v>
      </c>
      <c r="G2515" s="3" t="s">
        <v>537</v>
      </c>
      <c r="I2515">
        <v>8</v>
      </c>
      <c r="J2515" t="s">
        <v>4448</v>
      </c>
      <c r="K2515" t="s">
        <v>4474</v>
      </c>
      <c r="L2515" t="s">
        <v>4509</v>
      </c>
      <c r="M2515" t="s">
        <v>1625</v>
      </c>
    </row>
    <row r="2516" spans="1:14" x14ac:dyDescent="0.35">
      <c r="A2516" t="s">
        <v>6995</v>
      </c>
      <c r="B2516" t="s">
        <v>341</v>
      </c>
      <c r="C2516" t="s">
        <v>1927</v>
      </c>
      <c r="D2516" t="s">
        <v>4485</v>
      </c>
      <c r="E2516" t="s">
        <v>4444</v>
      </c>
      <c r="F2516" s="3">
        <v>45035</v>
      </c>
      <c r="G2516" s="3">
        <v>45036</v>
      </c>
      <c r="H2516">
        <v>35</v>
      </c>
      <c r="I2516">
        <v>24</v>
      </c>
      <c r="J2516" t="s">
        <v>4440</v>
      </c>
      <c r="K2516" t="s">
        <v>4441</v>
      </c>
      <c r="L2516" t="s">
        <v>4449</v>
      </c>
      <c r="M2516" t="s">
        <v>1625</v>
      </c>
      <c r="N2516">
        <v>5</v>
      </c>
    </row>
    <row r="2517" spans="1:14" x14ac:dyDescent="0.35">
      <c r="A2517" t="s">
        <v>6996</v>
      </c>
      <c r="B2517" t="s">
        <v>437</v>
      </c>
      <c r="C2517" t="s">
        <v>1927</v>
      </c>
      <c r="D2517" t="s">
        <v>4460</v>
      </c>
      <c r="E2517" t="s">
        <v>4473</v>
      </c>
      <c r="F2517" s="3">
        <v>45166</v>
      </c>
      <c r="G2517" s="3">
        <v>45166</v>
      </c>
      <c r="H2517">
        <v>6.6</v>
      </c>
      <c r="I2517">
        <v>8</v>
      </c>
      <c r="J2517" t="s">
        <v>4448</v>
      </c>
      <c r="K2517" t="s">
        <v>4441</v>
      </c>
      <c r="L2517" t="s">
        <v>4512</v>
      </c>
      <c r="M2517" t="s">
        <v>4446</v>
      </c>
      <c r="N2517">
        <v>3</v>
      </c>
    </row>
    <row r="2518" spans="1:14" x14ac:dyDescent="0.35">
      <c r="A2518" t="s">
        <v>6997</v>
      </c>
      <c r="B2518" t="s">
        <v>355</v>
      </c>
      <c r="C2518" t="s">
        <v>1904</v>
      </c>
      <c r="D2518" t="s">
        <v>4443</v>
      </c>
      <c r="E2518" t="s">
        <v>4444</v>
      </c>
      <c r="F2518" s="3">
        <v>45281</v>
      </c>
      <c r="G2518" s="3" t="s">
        <v>537</v>
      </c>
      <c r="I2518">
        <v>24</v>
      </c>
      <c r="J2518" t="s">
        <v>4448</v>
      </c>
      <c r="K2518" t="s">
        <v>4474</v>
      </c>
      <c r="L2518" t="s">
        <v>4527</v>
      </c>
      <c r="M2518" t="s">
        <v>4462</v>
      </c>
    </row>
    <row r="2519" spans="1:14" x14ac:dyDescent="0.35">
      <c r="A2519" t="s">
        <v>6998</v>
      </c>
      <c r="B2519" t="s">
        <v>228</v>
      </c>
      <c r="C2519" t="s">
        <v>1883</v>
      </c>
      <c r="D2519" t="s">
        <v>4469</v>
      </c>
      <c r="E2519" t="s">
        <v>4473</v>
      </c>
      <c r="F2519" s="3">
        <v>45392</v>
      </c>
      <c r="G2519" s="3">
        <v>45392</v>
      </c>
      <c r="H2519">
        <v>4.2</v>
      </c>
      <c r="I2519">
        <v>8</v>
      </c>
      <c r="J2519" t="s">
        <v>4448</v>
      </c>
      <c r="K2519" t="s">
        <v>4441</v>
      </c>
      <c r="L2519" t="s">
        <v>4488</v>
      </c>
      <c r="M2519" t="s">
        <v>1625</v>
      </c>
    </row>
    <row r="2520" spans="1:14" x14ac:dyDescent="0.35">
      <c r="A2520" t="s">
        <v>6999</v>
      </c>
      <c r="B2520" t="s">
        <v>348</v>
      </c>
      <c r="C2520" t="s">
        <v>1899</v>
      </c>
      <c r="D2520" t="s">
        <v>4485</v>
      </c>
      <c r="E2520" t="s">
        <v>4444</v>
      </c>
      <c r="F2520" s="3">
        <v>45356</v>
      </c>
      <c r="G2520" s="3">
        <v>45356</v>
      </c>
      <c r="H2520">
        <v>1.1000000000000001</v>
      </c>
      <c r="I2520">
        <v>24</v>
      </c>
      <c r="J2520" t="s">
        <v>4448</v>
      </c>
      <c r="K2520" t="s">
        <v>4441</v>
      </c>
      <c r="L2520" t="s">
        <v>4533</v>
      </c>
      <c r="M2520" t="s">
        <v>4446</v>
      </c>
    </row>
    <row r="2521" spans="1:14" x14ac:dyDescent="0.35">
      <c r="A2521" t="s">
        <v>7000</v>
      </c>
      <c r="B2521" t="s">
        <v>188</v>
      </c>
      <c r="C2521" t="s">
        <v>1915</v>
      </c>
      <c r="D2521" t="s">
        <v>4482</v>
      </c>
      <c r="E2521" t="s">
        <v>4444</v>
      </c>
      <c r="F2521" s="3">
        <v>45195</v>
      </c>
      <c r="G2521" s="3">
        <v>45196</v>
      </c>
      <c r="H2521">
        <v>46.4</v>
      </c>
      <c r="I2521">
        <v>24</v>
      </c>
      <c r="J2521" t="s">
        <v>4440</v>
      </c>
      <c r="K2521" t="s">
        <v>4441</v>
      </c>
      <c r="L2521" t="s">
        <v>4445</v>
      </c>
      <c r="M2521" t="s">
        <v>4450</v>
      </c>
      <c r="N2521">
        <v>3</v>
      </c>
    </row>
    <row r="2522" spans="1:14" x14ac:dyDescent="0.35">
      <c r="A2522" t="s">
        <v>7001</v>
      </c>
      <c r="B2522" t="s">
        <v>357</v>
      </c>
      <c r="C2522" t="s">
        <v>1904</v>
      </c>
      <c r="D2522" t="s">
        <v>4479</v>
      </c>
      <c r="E2522" t="s">
        <v>4473</v>
      </c>
      <c r="F2522" s="3">
        <v>45740</v>
      </c>
      <c r="G2522" s="3">
        <v>45740</v>
      </c>
      <c r="H2522">
        <v>4.8</v>
      </c>
      <c r="I2522">
        <v>8</v>
      </c>
      <c r="J2522" t="s">
        <v>4448</v>
      </c>
      <c r="K2522" t="s">
        <v>4441</v>
      </c>
      <c r="L2522" t="s">
        <v>4492</v>
      </c>
      <c r="M2522" t="s">
        <v>4450</v>
      </c>
      <c r="N2522">
        <v>5</v>
      </c>
    </row>
    <row r="2523" spans="1:14" x14ac:dyDescent="0.35">
      <c r="A2523" t="s">
        <v>7002</v>
      </c>
      <c r="B2523" t="s">
        <v>499</v>
      </c>
      <c r="C2523" t="s">
        <v>1927</v>
      </c>
      <c r="D2523" t="s">
        <v>4485</v>
      </c>
      <c r="E2523" t="s">
        <v>4444</v>
      </c>
      <c r="F2523" s="3">
        <v>45571</v>
      </c>
      <c r="G2523" s="3">
        <v>45572</v>
      </c>
      <c r="H2523">
        <v>33.200000000000003</v>
      </c>
      <c r="I2523">
        <v>24</v>
      </c>
      <c r="J2523" t="s">
        <v>4440</v>
      </c>
      <c r="K2523" t="s">
        <v>4441</v>
      </c>
      <c r="L2523" t="s">
        <v>4470</v>
      </c>
      <c r="M2523" t="s">
        <v>4450</v>
      </c>
      <c r="N2523">
        <v>4</v>
      </c>
    </row>
    <row r="2524" spans="1:14" x14ac:dyDescent="0.35">
      <c r="A2524" t="s">
        <v>7003</v>
      </c>
      <c r="B2524" t="s">
        <v>224</v>
      </c>
      <c r="C2524" t="s">
        <v>1915</v>
      </c>
      <c r="D2524" t="s">
        <v>4438</v>
      </c>
      <c r="E2524" t="s">
        <v>4439</v>
      </c>
      <c r="F2524" s="3">
        <v>45351</v>
      </c>
      <c r="G2524" s="3">
        <v>45352</v>
      </c>
      <c r="H2524">
        <v>43.6</v>
      </c>
      <c r="I2524">
        <v>48</v>
      </c>
      <c r="J2524" t="s">
        <v>4448</v>
      </c>
      <c r="K2524" t="s">
        <v>4441</v>
      </c>
      <c r="L2524" t="s">
        <v>4480</v>
      </c>
      <c r="M2524" t="s">
        <v>4450</v>
      </c>
    </row>
    <row r="2525" spans="1:14" x14ac:dyDescent="0.35">
      <c r="A2525" t="s">
        <v>7004</v>
      </c>
      <c r="B2525" t="s">
        <v>295</v>
      </c>
      <c r="C2525" t="s">
        <v>1899</v>
      </c>
      <c r="D2525" t="s">
        <v>4482</v>
      </c>
      <c r="E2525" t="s">
        <v>4444</v>
      </c>
      <c r="F2525" s="3">
        <v>45331</v>
      </c>
      <c r="G2525" s="3">
        <v>45333</v>
      </c>
      <c r="H2525">
        <v>50.6</v>
      </c>
      <c r="I2525">
        <v>24</v>
      </c>
      <c r="J2525" t="s">
        <v>4440</v>
      </c>
      <c r="K2525" t="s">
        <v>4441</v>
      </c>
      <c r="L2525" t="s">
        <v>1907</v>
      </c>
      <c r="M2525" t="s">
        <v>4446</v>
      </c>
      <c r="N2525">
        <v>3</v>
      </c>
    </row>
    <row r="2526" spans="1:14" x14ac:dyDescent="0.35">
      <c r="A2526" t="s">
        <v>7005</v>
      </c>
      <c r="B2526" t="s">
        <v>408</v>
      </c>
      <c r="C2526" t="s">
        <v>1915</v>
      </c>
      <c r="D2526" t="s">
        <v>4485</v>
      </c>
      <c r="E2526" t="s">
        <v>4456</v>
      </c>
      <c r="F2526" s="3">
        <v>45167</v>
      </c>
      <c r="G2526" s="3">
        <v>45167</v>
      </c>
      <c r="H2526">
        <v>5.9</v>
      </c>
      <c r="I2526">
        <v>4</v>
      </c>
      <c r="J2526" t="s">
        <v>4440</v>
      </c>
      <c r="K2526" t="s">
        <v>4441</v>
      </c>
      <c r="L2526" t="s">
        <v>4533</v>
      </c>
      <c r="M2526" t="s">
        <v>4446</v>
      </c>
    </row>
    <row r="2527" spans="1:14" x14ac:dyDescent="0.35">
      <c r="A2527" t="s">
        <v>7006</v>
      </c>
      <c r="B2527" t="s">
        <v>284</v>
      </c>
      <c r="C2527" t="s">
        <v>1915</v>
      </c>
      <c r="D2527" t="s">
        <v>4482</v>
      </c>
      <c r="E2527" t="s">
        <v>4473</v>
      </c>
      <c r="F2527" s="3">
        <v>45127</v>
      </c>
      <c r="G2527" s="3">
        <v>45127</v>
      </c>
      <c r="H2527">
        <v>0.6</v>
      </c>
      <c r="I2527">
        <v>8</v>
      </c>
      <c r="J2527" t="s">
        <v>4448</v>
      </c>
      <c r="K2527" t="s">
        <v>4441</v>
      </c>
      <c r="L2527" t="s">
        <v>4458</v>
      </c>
      <c r="M2527" t="s">
        <v>4450</v>
      </c>
      <c r="N2527">
        <v>3</v>
      </c>
    </row>
    <row r="2528" spans="1:14" x14ac:dyDescent="0.35">
      <c r="A2528" t="s">
        <v>7007</v>
      </c>
      <c r="B2528" t="s">
        <v>112</v>
      </c>
      <c r="C2528" t="s">
        <v>1927</v>
      </c>
      <c r="D2528" t="s">
        <v>4482</v>
      </c>
      <c r="E2528" t="s">
        <v>4439</v>
      </c>
      <c r="F2528" s="3">
        <v>44951</v>
      </c>
      <c r="G2528" s="3" t="s">
        <v>537</v>
      </c>
      <c r="I2528">
        <v>48</v>
      </c>
      <c r="J2528" t="s">
        <v>4448</v>
      </c>
      <c r="K2528" t="s">
        <v>4453</v>
      </c>
      <c r="L2528" t="s">
        <v>4449</v>
      </c>
      <c r="M2528" t="s">
        <v>4446</v>
      </c>
    </row>
    <row r="2529" spans="1:14" x14ac:dyDescent="0.35">
      <c r="A2529" t="s">
        <v>7008</v>
      </c>
      <c r="B2529" t="s">
        <v>424</v>
      </c>
      <c r="C2529" t="s">
        <v>1904</v>
      </c>
      <c r="D2529" t="s">
        <v>4460</v>
      </c>
      <c r="E2529" t="s">
        <v>4439</v>
      </c>
      <c r="F2529" s="3">
        <v>45502</v>
      </c>
      <c r="G2529" s="3">
        <v>45504</v>
      </c>
      <c r="H2529">
        <v>52.2</v>
      </c>
      <c r="I2529">
        <v>48</v>
      </c>
      <c r="J2529" t="s">
        <v>4440</v>
      </c>
      <c r="K2529" t="s">
        <v>4441</v>
      </c>
      <c r="L2529" t="s">
        <v>4449</v>
      </c>
      <c r="M2529" t="s">
        <v>4450</v>
      </c>
      <c r="N2529">
        <v>5</v>
      </c>
    </row>
    <row r="2530" spans="1:14" x14ac:dyDescent="0.35">
      <c r="A2530" t="s">
        <v>7009</v>
      </c>
      <c r="B2530" t="s">
        <v>453</v>
      </c>
      <c r="C2530" t="s">
        <v>1904</v>
      </c>
      <c r="D2530" t="s">
        <v>4443</v>
      </c>
      <c r="E2530" t="s">
        <v>4456</v>
      </c>
      <c r="F2530" s="3">
        <v>45093</v>
      </c>
      <c r="G2530" s="3">
        <v>45093</v>
      </c>
      <c r="H2530">
        <v>8.1999999999999993</v>
      </c>
      <c r="I2530">
        <v>4</v>
      </c>
      <c r="J2530" t="s">
        <v>4440</v>
      </c>
      <c r="K2530" t="s">
        <v>4441</v>
      </c>
      <c r="L2530" t="s">
        <v>4514</v>
      </c>
      <c r="M2530" t="s">
        <v>1625</v>
      </c>
      <c r="N2530">
        <v>4</v>
      </c>
    </row>
    <row r="2531" spans="1:14" x14ac:dyDescent="0.35">
      <c r="A2531" t="s">
        <v>7010</v>
      </c>
      <c r="B2531" t="s">
        <v>429</v>
      </c>
      <c r="C2531" t="s">
        <v>1915</v>
      </c>
      <c r="D2531" t="s">
        <v>4469</v>
      </c>
      <c r="E2531" t="s">
        <v>4444</v>
      </c>
      <c r="F2531" s="3">
        <v>45131</v>
      </c>
      <c r="G2531" s="3" t="s">
        <v>537</v>
      </c>
      <c r="I2531">
        <v>24</v>
      </c>
      <c r="J2531" t="s">
        <v>4448</v>
      </c>
      <c r="K2531" t="s">
        <v>4457</v>
      </c>
      <c r="L2531" t="s">
        <v>4533</v>
      </c>
      <c r="M2531" t="s">
        <v>1625</v>
      </c>
    </row>
    <row r="2532" spans="1:14" x14ac:dyDescent="0.35">
      <c r="A2532" t="s">
        <v>7011</v>
      </c>
      <c r="B2532" t="s">
        <v>158</v>
      </c>
      <c r="C2532" t="s">
        <v>1883</v>
      </c>
      <c r="D2532" t="s">
        <v>4472</v>
      </c>
      <c r="E2532" t="s">
        <v>4473</v>
      </c>
      <c r="F2532" s="3">
        <v>45101</v>
      </c>
      <c r="G2532" s="3">
        <v>45101</v>
      </c>
      <c r="H2532">
        <v>16.5</v>
      </c>
      <c r="I2532">
        <v>8</v>
      </c>
      <c r="J2532" t="s">
        <v>4440</v>
      </c>
      <c r="K2532" t="s">
        <v>4441</v>
      </c>
      <c r="L2532" t="s">
        <v>4488</v>
      </c>
      <c r="M2532" t="s">
        <v>4450</v>
      </c>
    </row>
    <row r="2533" spans="1:14" x14ac:dyDescent="0.35">
      <c r="A2533" t="s">
        <v>7012</v>
      </c>
      <c r="B2533" t="s">
        <v>492</v>
      </c>
      <c r="C2533" t="s">
        <v>1904</v>
      </c>
      <c r="D2533" t="s">
        <v>4464</v>
      </c>
      <c r="E2533" t="s">
        <v>4439</v>
      </c>
      <c r="F2533" s="3">
        <v>45006</v>
      </c>
      <c r="G2533" s="3">
        <v>45006</v>
      </c>
      <c r="H2533">
        <v>6.5</v>
      </c>
      <c r="I2533">
        <v>48</v>
      </c>
      <c r="J2533" t="s">
        <v>4448</v>
      </c>
      <c r="K2533" t="s">
        <v>4441</v>
      </c>
      <c r="L2533" t="s">
        <v>4467</v>
      </c>
      <c r="M2533" t="s">
        <v>4446</v>
      </c>
      <c r="N2533">
        <v>5</v>
      </c>
    </row>
    <row r="2534" spans="1:14" x14ac:dyDescent="0.35">
      <c r="A2534" t="s">
        <v>7013</v>
      </c>
      <c r="B2534" t="s">
        <v>328</v>
      </c>
      <c r="C2534" t="s">
        <v>1883</v>
      </c>
      <c r="D2534" t="s">
        <v>4479</v>
      </c>
      <c r="E2534" t="s">
        <v>4456</v>
      </c>
      <c r="F2534" s="3">
        <v>45180</v>
      </c>
      <c r="G2534" s="3" t="s">
        <v>537</v>
      </c>
      <c r="I2534">
        <v>4</v>
      </c>
      <c r="J2534" t="s">
        <v>4440</v>
      </c>
      <c r="K2534" t="s">
        <v>4457</v>
      </c>
      <c r="L2534" t="s">
        <v>4449</v>
      </c>
      <c r="M2534" t="s">
        <v>4450</v>
      </c>
    </row>
    <row r="2535" spans="1:14" x14ac:dyDescent="0.35">
      <c r="A2535" t="s">
        <v>7014</v>
      </c>
      <c r="B2535" t="s">
        <v>450</v>
      </c>
      <c r="C2535" t="s">
        <v>1890</v>
      </c>
      <c r="D2535" t="s">
        <v>4482</v>
      </c>
      <c r="E2535" t="s">
        <v>4473</v>
      </c>
      <c r="F2535" s="3">
        <v>44934</v>
      </c>
      <c r="G2535" s="3">
        <v>44934</v>
      </c>
      <c r="H2535">
        <v>1.2</v>
      </c>
      <c r="I2535">
        <v>8</v>
      </c>
      <c r="J2535" t="s">
        <v>4448</v>
      </c>
      <c r="K2535" t="s">
        <v>4441</v>
      </c>
      <c r="L2535" t="s">
        <v>4449</v>
      </c>
      <c r="M2535" t="s">
        <v>4446</v>
      </c>
      <c r="N2535">
        <v>3</v>
      </c>
    </row>
    <row r="2536" spans="1:14" x14ac:dyDescent="0.35">
      <c r="A2536" t="s">
        <v>7015</v>
      </c>
      <c r="B2536" t="s">
        <v>423</v>
      </c>
      <c r="C2536" t="s">
        <v>1927</v>
      </c>
      <c r="D2536" t="s">
        <v>4479</v>
      </c>
      <c r="E2536" t="s">
        <v>4456</v>
      </c>
      <c r="F2536" s="3">
        <v>45500</v>
      </c>
      <c r="G2536" s="3">
        <v>45500</v>
      </c>
      <c r="H2536">
        <v>5.0999999999999996</v>
      </c>
      <c r="I2536">
        <v>4</v>
      </c>
      <c r="J2536" t="s">
        <v>4440</v>
      </c>
      <c r="K2536" t="s">
        <v>4441</v>
      </c>
      <c r="L2536" t="s">
        <v>4527</v>
      </c>
      <c r="M2536" t="s">
        <v>4462</v>
      </c>
      <c r="N2536">
        <v>3</v>
      </c>
    </row>
    <row r="2537" spans="1:14" x14ac:dyDescent="0.35">
      <c r="A2537" t="s">
        <v>7016</v>
      </c>
      <c r="B2537" t="s">
        <v>300</v>
      </c>
      <c r="C2537" t="s">
        <v>1915</v>
      </c>
      <c r="D2537" t="s">
        <v>4472</v>
      </c>
      <c r="E2537" t="s">
        <v>4439</v>
      </c>
      <c r="F2537" s="3">
        <v>45276</v>
      </c>
      <c r="G2537" s="3">
        <v>45279</v>
      </c>
      <c r="H2537">
        <v>79.8</v>
      </c>
      <c r="I2537">
        <v>48</v>
      </c>
      <c r="J2537" t="s">
        <v>4440</v>
      </c>
      <c r="K2537" t="s">
        <v>4441</v>
      </c>
      <c r="L2537" t="s">
        <v>4461</v>
      </c>
      <c r="M2537" t="s">
        <v>4450</v>
      </c>
      <c r="N2537">
        <v>2</v>
      </c>
    </row>
    <row r="2538" spans="1:14" x14ac:dyDescent="0.35">
      <c r="A2538" t="s">
        <v>7017</v>
      </c>
      <c r="B2538" t="s">
        <v>400</v>
      </c>
      <c r="C2538" t="s">
        <v>1927</v>
      </c>
      <c r="D2538" t="s">
        <v>4438</v>
      </c>
      <c r="E2538" t="s">
        <v>4444</v>
      </c>
      <c r="F2538" s="3">
        <v>45661</v>
      </c>
      <c r="G2538" s="3">
        <v>45663</v>
      </c>
      <c r="H2538">
        <v>50.8</v>
      </c>
      <c r="I2538">
        <v>24</v>
      </c>
      <c r="J2538" t="s">
        <v>4440</v>
      </c>
      <c r="K2538" t="s">
        <v>4441</v>
      </c>
      <c r="L2538" t="s">
        <v>4454</v>
      </c>
      <c r="M2538" t="s">
        <v>4446</v>
      </c>
      <c r="N2538">
        <v>4</v>
      </c>
    </row>
    <row r="2539" spans="1:14" x14ac:dyDescent="0.35">
      <c r="A2539" t="s">
        <v>7018</v>
      </c>
      <c r="B2539" t="s">
        <v>382</v>
      </c>
      <c r="C2539" t="s">
        <v>1883</v>
      </c>
      <c r="D2539" t="s">
        <v>4490</v>
      </c>
      <c r="E2539" t="s">
        <v>4456</v>
      </c>
      <c r="F2539" s="3">
        <v>45152</v>
      </c>
      <c r="G2539" s="3">
        <v>45152</v>
      </c>
      <c r="H2539">
        <v>3.3</v>
      </c>
      <c r="I2539">
        <v>4</v>
      </c>
      <c r="J2539" t="s">
        <v>4448</v>
      </c>
      <c r="K2539" t="s">
        <v>4441</v>
      </c>
      <c r="L2539" t="s">
        <v>4483</v>
      </c>
      <c r="M2539" t="s">
        <v>4450</v>
      </c>
      <c r="N2539">
        <v>5</v>
      </c>
    </row>
    <row r="2540" spans="1:14" x14ac:dyDescent="0.35">
      <c r="A2540" t="s">
        <v>7019</v>
      </c>
      <c r="B2540" t="s">
        <v>456</v>
      </c>
      <c r="C2540" t="s">
        <v>1899</v>
      </c>
      <c r="D2540" t="s">
        <v>4460</v>
      </c>
      <c r="E2540" t="s">
        <v>4439</v>
      </c>
      <c r="F2540" s="3">
        <v>45206</v>
      </c>
      <c r="G2540" s="3">
        <v>45206</v>
      </c>
      <c r="H2540">
        <v>7</v>
      </c>
      <c r="I2540">
        <v>48</v>
      </c>
      <c r="J2540" t="s">
        <v>4448</v>
      </c>
      <c r="K2540" t="s">
        <v>4441</v>
      </c>
      <c r="L2540" t="s">
        <v>4480</v>
      </c>
      <c r="M2540" t="s">
        <v>4462</v>
      </c>
      <c r="N2540">
        <v>5</v>
      </c>
    </row>
    <row r="2541" spans="1:14" x14ac:dyDescent="0.35">
      <c r="A2541" t="s">
        <v>7020</v>
      </c>
      <c r="B2541" t="s">
        <v>421</v>
      </c>
      <c r="C2541" t="s">
        <v>1883</v>
      </c>
      <c r="D2541" t="s">
        <v>4482</v>
      </c>
      <c r="E2541" t="s">
        <v>4473</v>
      </c>
      <c r="F2541" s="3">
        <v>45481</v>
      </c>
      <c r="G2541" s="3">
        <v>45481</v>
      </c>
      <c r="H2541">
        <v>15.8</v>
      </c>
      <c r="I2541">
        <v>8</v>
      </c>
      <c r="J2541" t="s">
        <v>4440</v>
      </c>
      <c r="K2541" t="s">
        <v>4441</v>
      </c>
      <c r="L2541" t="s">
        <v>4454</v>
      </c>
      <c r="M2541" t="s">
        <v>1625</v>
      </c>
      <c r="N2541">
        <v>4</v>
      </c>
    </row>
    <row r="2542" spans="1:14" x14ac:dyDescent="0.35">
      <c r="A2542" t="s">
        <v>7021</v>
      </c>
      <c r="B2542" t="s">
        <v>439</v>
      </c>
      <c r="C2542" t="s">
        <v>1899</v>
      </c>
      <c r="D2542" t="s">
        <v>4490</v>
      </c>
      <c r="E2542" t="s">
        <v>4444</v>
      </c>
      <c r="F2542" s="3">
        <v>45099</v>
      </c>
      <c r="G2542" s="3">
        <v>45101</v>
      </c>
      <c r="H2542">
        <v>49.8</v>
      </c>
      <c r="I2542">
        <v>24</v>
      </c>
      <c r="J2542" t="s">
        <v>4440</v>
      </c>
      <c r="K2542" t="s">
        <v>4441</v>
      </c>
      <c r="L2542" t="s">
        <v>4533</v>
      </c>
      <c r="M2542" t="s">
        <v>4446</v>
      </c>
      <c r="N2542">
        <v>4</v>
      </c>
    </row>
    <row r="2543" spans="1:14" x14ac:dyDescent="0.35">
      <c r="A2543" t="s">
        <v>7022</v>
      </c>
      <c r="B2543" t="s">
        <v>194</v>
      </c>
      <c r="C2543" t="s">
        <v>1899</v>
      </c>
      <c r="D2543" t="s">
        <v>8512</v>
      </c>
      <c r="E2543" t="s">
        <v>4473</v>
      </c>
      <c r="F2543" s="3">
        <v>45725</v>
      </c>
      <c r="G2543" s="3">
        <v>45725</v>
      </c>
      <c r="H2543">
        <v>9.3000000000000007</v>
      </c>
      <c r="I2543">
        <v>8</v>
      </c>
      <c r="J2543" t="s">
        <v>4440</v>
      </c>
      <c r="K2543" t="s">
        <v>4441</v>
      </c>
      <c r="L2543" t="s">
        <v>4449</v>
      </c>
      <c r="M2543" t="s">
        <v>1625</v>
      </c>
      <c r="N2543">
        <v>1</v>
      </c>
    </row>
    <row r="2544" spans="1:14" x14ac:dyDescent="0.35">
      <c r="A2544" t="s">
        <v>7023</v>
      </c>
      <c r="B2544" t="s">
        <v>124</v>
      </c>
      <c r="C2544" t="s">
        <v>1899</v>
      </c>
      <c r="D2544" t="s">
        <v>4438</v>
      </c>
      <c r="E2544" t="s">
        <v>4439</v>
      </c>
      <c r="F2544" s="3">
        <v>44969</v>
      </c>
      <c r="G2544" s="3" t="s">
        <v>537</v>
      </c>
      <c r="I2544">
        <v>48</v>
      </c>
      <c r="J2544" t="s">
        <v>4440</v>
      </c>
      <c r="K2544" t="s">
        <v>4453</v>
      </c>
      <c r="L2544" t="s">
        <v>4458</v>
      </c>
      <c r="M2544" t="s">
        <v>1625</v>
      </c>
    </row>
    <row r="2545" spans="1:14" x14ac:dyDescent="0.35">
      <c r="A2545" t="s">
        <v>7024</v>
      </c>
      <c r="B2545" t="s">
        <v>94</v>
      </c>
      <c r="C2545" t="s">
        <v>1890</v>
      </c>
      <c r="D2545" t="s">
        <v>4490</v>
      </c>
      <c r="E2545" t="s">
        <v>79</v>
      </c>
      <c r="F2545" s="3">
        <v>45186</v>
      </c>
      <c r="G2545" s="3">
        <v>45188</v>
      </c>
      <c r="H2545">
        <v>61.5</v>
      </c>
      <c r="I2545">
        <v>48</v>
      </c>
      <c r="J2545" t="s">
        <v>4440</v>
      </c>
      <c r="K2545" t="s">
        <v>4441</v>
      </c>
      <c r="L2545" t="s">
        <v>1907</v>
      </c>
      <c r="M2545" t="s">
        <v>1625</v>
      </c>
      <c r="N2545">
        <v>3</v>
      </c>
    </row>
    <row r="2546" spans="1:14" x14ac:dyDescent="0.35">
      <c r="A2546" t="s">
        <v>7025</v>
      </c>
      <c r="B2546" t="s">
        <v>82</v>
      </c>
      <c r="C2546" t="s">
        <v>1899</v>
      </c>
      <c r="D2546" t="s">
        <v>8508</v>
      </c>
      <c r="E2546" t="s">
        <v>4444</v>
      </c>
      <c r="F2546" s="3">
        <v>45245</v>
      </c>
      <c r="G2546" s="3" t="s">
        <v>537</v>
      </c>
      <c r="I2546">
        <v>24</v>
      </c>
      <c r="J2546" t="s">
        <v>4448</v>
      </c>
      <c r="K2546" t="s">
        <v>4453</v>
      </c>
      <c r="L2546" t="s">
        <v>4527</v>
      </c>
      <c r="M2546" t="s">
        <v>4446</v>
      </c>
    </row>
    <row r="2547" spans="1:14" x14ac:dyDescent="0.35">
      <c r="A2547" t="s">
        <v>7026</v>
      </c>
      <c r="B2547" t="s">
        <v>360</v>
      </c>
      <c r="C2547" t="s">
        <v>1915</v>
      </c>
      <c r="D2547" t="s">
        <v>4472</v>
      </c>
      <c r="E2547" t="s">
        <v>4444</v>
      </c>
      <c r="F2547" s="3">
        <v>45167</v>
      </c>
      <c r="G2547" s="3">
        <v>45168</v>
      </c>
      <c r="H2547">
        <v>35</v>
      </c>
      <c r="I2547">
        <v>24</v>
      </c>
      <c r="J2547" t="s">
        <v>4440</v>
      </c>
      <c r="K2547" t="s">
        <v>4441</v>
      </c>
      <c r="L2547" t="s">
        <v>4501</v>
      </c>
      <c r="M2547" t="s">
        <v>4446</v>
      </c>
      <c r="N2547">
        <v>3</v>
      </c>
    </row>
    <row r="2548" spans="1:14" x14ac:dyDescent="0.35">
      <c r="A2548" t="s">
        <v>7027</v>
      </c>
      <c r="B2548" t="s">
        <v>140</v>
      </c>
      <c r="C2548" t="s">
        <v>1883</v>
      </c>
      <c r="D2548" t="s">
        <v>4482</v>
      </c>
      <c r="E2548" t="s">
        <v>4444</v>
      </c>
      <c r="F2548" s="3">
        <v>44978</v>
      </c>
      <c r="G2548" s="3" t="s">
        <v>537</v>
      </c>
      <c r="I2548">
        <v>24</v>
      </c>
      <c r="J2548" t="s">
        <v>4440</v>
      </c>
      <c r="K2548" t="s">
        <v>4474</v>
      </c>
      <c r="L2548" t="s">
        <v>4580</v>
      </c>
      <c r="M2548" t="s">
        <v>1625</v>
      </c>
    </row>
    <row r="2549" spans="1:14" x14ac:dyDescent="0.35">
      <c r="A2549" t="s">
        <v>7028</v>
      </c>
      <c r="B2549" t="s">
        <v>252</v>
      </c>
      <c r="C2549" t="s">
        <v>1927</v>
      </c>
      <c r="D2549" t="s">
        <v>8512</v>
      </c>
      <c r="E2549" t="s">
        <v>4473</v>
      </c>
      <c r="F2549" s="3">
        <v>45402</v>
      </c>
      <c r="G2549" s="3" t="s">
        <v>537</v>
      </c>
      <c r="I2549">
        <v>8</v>
      </c>
      <c r="J2549" t="s">
        <v>4440</v>
      </c>
      <c r="K2549" t="s">
        <v>4457</v>
      </c>
      <c r="L2549" t="s">
        <v>4514</v>
      </c>
      <c r="M2549" t="s">
        <v>4450</v>
      </c>
    </row>
    <row r="2550" spans="1:14" x14ac:dyDescent="0.35">
      <c r="A2550" t="s">
        <v>7029</v>
      </c>
      <c r="B2550" t="s">
        <v>395</v>
      </c>
      <c r="C2550" t="s">
        <v>1915</v>
      </c>
      <c r="D2550" t="s">
        <v>4479</v>
      </c>
      <c r="E2550" t="s">
        <v>4456</v>
      </c>
      <c r="F2550" s="3">
        <v>45184</v>
      </c>
      <c r="G2550" s="3">
        <v>45184</v>
      </c>
      <c r="H2550">
        <v>5</v>
      </c>
      <c r="I2550">
        <v>4</v>
      </c>
      <c r="J2550" t="s">
        <v>4440</v>
      </c>
      <c r="K2550" t="s">
        <v>4441</v>
      </c>
      <c r="L2550" t="s">
        <v>4470</v>
      </c>
      <c r="M2550" t="s">
        <v>4446</v>
      </c>
      <c r="N2550">
        <v>3</v>
      </c>
    </row>
    <row r="2551" spans="1:14" x14ac:dyDescent="0.35">
      <c r="A2551" t="s">
        <v>7030</v>
      </c>
      <c r="B2551" t="s">
        <v>18</v>
      </c>
      <c r="C2551" t="s">
        <v>1899</v>
      </c>
      <c r="D2551" t="s">
        <v>4464</v>
      </c>
      <c r="E2551" t="s">
        <v>4444</v>
      </c>
      <c r="F2551" s="3">
        <v>45428</v>
      </c>
      <c r="G2551" s="3" t="s">
        <v>537</v>
      </c>
      <c r="I2551">
        <v>24</v>
      </c>
      <c r="J2551" t="s">
        <v>4448</v>
      </c>
      <c r="K2551" t="s">
        <v>4474</v>
      </c>
      <c r="L2551" t="s">
        <v>4492</v>
      </c>
      <c r="M2551" t="s">
        <v>1625</v>
      </c>
    </row>
    <row r="2552" spans="1:14" x14ac:dyDescent="0.35">
      <c r="A2552" t="s">
        <v>7031</v>
      </c>
      <c r="B2552" t="s">
        <v>62</v>
      </c>
      <c r="C2552" t="s">
        <v>1890</v>
      </c>
      <c r="D2552" t="s">
        <v>4443</v>
      </c>
      <c r="E2552" t="s">
        <v>4444</v>
      </c>
      <c r="F2552" s="3">
        <v>45406</v>
      </c>
      <c r="G2552" s="3">
        <v>45406</v>
      </c>
      <c r="H2552">
        <v>20.3</v>
      </c>
      <c r="I2552">
        <v>24</v>
      </c>
      <c r="J2552" t="s">
        <v>4448</v>
      </c>
      <c r="K2552" t="s">
        <v>4441</v>
      </c>
      <c r="L2552" t="s">
        <v>4501</v>
      </c>
      <c r="M2552" t="s">
        <v>4446</v>
      </c>
      <c r="N2552">
        <v>4</v>
      </c>
    </row>
    <row r="2553" spans="1:14" x14ac:dyDescent="0.35">
      <c r="A2553" t="s">
        <v>7032</v>
      </c>
      <c r="B2553" t="s">
        <v>305</v>
      </c>
      <c r="C2553" t="s">
        <v>1899</v>
      </c>
      <c r="D2553" t="s">
        <v>4464</v>
      </c>
      <c r="E2553" t="s">
        <v>4444</v>
      </c>
      <c r="F2553" s="3">
        <v>45451</v>
      </c>
      <c r="G2553" s="3">
        <v>45453</v>
      </c>
      <c r="H2553">
        <v>54.5</v>
      </c>
      <c r="I2553">
        <v>24</v>
      </c>
      <c r="J2553" t="s">
        <v>4440</v>
      </c>
      <c r="K2553" t="s">
        <v>4441</v>
      </c>
      <c r="L2553" t="s">
        <v>4512</v>
      </c>
      <c r="M2553" t="s">
        <v>4446</v>
      </c>
      <c r="N2553">
        <v>3</v>
      </c>
    </row>
    <row r="2554" spans="1:14" x14ac:dyDescent="0.35">
      <c r="A2554" t="s">
        <v>7033</v>
      </c>
      <c r="B2554" t="s">
        <v>82</v>
      </c>
      <c r="C2554" t="s">
        <v>1890</v>
      </c>
      <c r="D2554" t="s">
        <v>4469</v>
      </c>
      <c r="E2554" t="s">
        <v>4473</v>
      </c>
      <c r="F2554" s="3">
        <v>45483</v>
      </c>
      <c r="G2554" s="3">
        <v>45483</v>
      </c>
      <c r="H2554">
        <v>7.4</v>
      </c>
      <c r="I2554">
        <v>8</v>
      </c>
      <c r="J2554" t="s">
        <v>4448</v>
      </c>
      <c r="K2554" t="s">
        <v>4441</v>
      </c>
      <c r="L2554" t="s">
        <v>4488</v>
      </c>
      <c r="M2554" t="s">
        <v>4446</v>
      </c>
      <c r="N2554">
        <v>4</v>
      </c>
    </row>
    <row r="2555" spans="1:14" x14ac:dyDescent="0.35">
      <c r="A2555" t="s">
        <v>7034</v>
      </c>
      <c r="B2555" t="s">
        <v>106</v>
      </c>
      <c r="C2555" t="s">
        <v>1883</v>
      </c>
      <c r="D2555" t="s">
        <v>4472</v>
      </c>
      <c r="E2555" t="s">
        <v>4473</v>
      </c>
      <c r="F2555" s="3">
        <v>45538</v>
      </c>
      <c r="G2555" s="3" t="s">
        <v>537</v>
      </c>
      <c r="I2555">
        <v>8</v>
      </c>
      <c r="J2555" t="s">
        <v>4440</v>
      </c>
      <c r="K2555" t="s">
        <v>4457</v>
      </c>
      <c r="L2555" t="s">
        <v>4461</v>
      </c>
      <c r="M2555" t="s">
        <v>1625</v>
      </c>
    </row>
    <row r="2556" spans="1:14" x14ac:dyDescent="0.35">
      <c r="A2556" t="s">
        <v>7035</v>
      </c>
      <c r="B2556" t="s">
        <v>211</v>
      </c>
      <c r="C2556" t="s">
        <v>1899</v>
      </c>
      <c r="D2556" t="s">
        <v>4476</v>
      </c>
      <c r="E2556" t="s">
        <v>4444</v>
      </c>
      <c r="F2556" s="3">
        <v>44938</v>
      </c>
      <c r="G2556" s="3">
        <v>44938</v>
      </c>
      <c r="H2556">
        <v>19</v>
      </c>
      <c r="I2556">
        <v>24</v>
      </c>
      <c r="J2556" t="s">
        <v>4448</v>
      </c>
      <c r="K2556" t="s">
        <v>4441</v>
      </c>
      <c r="L2556" t="s">
        <v>4480</v>
      </c>
      <c r="M2556" t="s">
        <v>1625</v>
      </c>
      <c r="N2556">
        <v>3</v>
      </c>
    </row>
    <row r="2557" spans="1:14" x14ac:dyDescent="0.35">
      <c r="A2557" t="s">
        <v>7036</v>
      </c>
      <c r="B2557" t="s">
        <v>392</v>
      </c>
      <c r="C2557" t="s">
        <v>1904</v>
      </c>
      <c r="D2557" t="s">
        <v>4476</v>
      </c>
      <c r="E2557" t="s">
        <v>4439</v>
      </c>
      <c r="F2557" s="3">
        <v>45197</v>
      </c>
      <c r="G2557" s="3">
        <v>45197</v>
      </c>
      <c r="H2557">
        <v>5.4</v>
      </c>
      <c r="I2557">
        <v>48</v>
      </c>
      <c r="J2557" t="s">
        <v>4448</v>
      </c>
      <c r="K2557" t="s">
        <v>4441</v>
      </c>
      <c r="L2557" t="s">
        <v>4465</v>
      </c>
      <c r="M2557" t="s">
        <v>1625</v>
      </c>
      <c r="N2557">
        <v>1</v>
      </c>
    </row>
    <row r="2558" spans="1:14" x14ac:dyDescent="0.35">
      <c r="A2558" t="s">
        <v>7037</v>
      </c>
      <c r="B2558" t="s">
        <v>457</v>
      </c>
      <c r="C2558" t="s">
        <v>1890</v>
      </c>
      <c r="D2558" t="s">
        <v>4443</v>
      </c>
      <c r="E2558" t="s">
        <v>4444</v>
      </c>
      <c r="F2558" s="3">
        <v>45598</v>
      </c>
      <c r="G2558" s="3">
        <v>45598</v>
      </c>
      <c r="H2558">
        <v>16.899999999999999</v>
      </c>
      <c r="I2558">
        <v>24</v>
      </c>
      <c r="J2558" t="s">
        <v>4448</v>
      </c>
      <c r="K2558" t="s">
        <v>4441</v>
      </c>
      <c r="L2558" t="s">
        <v>4514</v>
      </c>
      <c r="M2558" t="s">
        <v>4446</v>
      </c>
      <c r="N2558">
        <v>4</v>
      </c>
    </row>
    <row r="2559" spans="1:14" x14ac:dyDescent="0.35">
      <c r="A2559" t="s">
        <v>7038</v>
      </c>
      <c r="B2559" t="s">
        <v>341</v>
      </c>
      <c r="C2559" t="s">
        <v>1904</v>
      </c>
      <c r="D2559" t="s">
        <v>4469</v>
      </c>
      <c r="E2559" t="s">
        <v>4456</v>
      </c>
      <c r="F2559" s="3">
        <v>45588</v>
      </c>
      <c r="G2559" s="3">
        <v>45588</v>
      </c>
      <c r="H2559">
        <v>0.8</v>
      </c>
      <c r="I2559">
        <v>4</v>
      </c>
      <c r="J2559" t="s">
        <v>4448</v>
      </c>
      <c r="K2559" t="s">
        <v>4441</v>
      </c>
      <c r="L2559" t="s">
        <v>4533</v>
      </c>
      <c r="M2559" t="s">
        <v>1625</v>
      </c>
    </row>
    <row r="2560" spans="1:14" x14ac:dyDescent="0.35">
      <c r="A2560" t="s">
        <v>7039</v>
      </c>
      <c r="B2560" t="s">
        <v>404</v>
      </c>
      <c r="C2560" t="s">
        <v>1890</v>
      </c>
      <c r="D2560" t="s">
        <v>4464</v>
      </c>
      <c r="E2560" t="s">
        <v>4439</v>
      </c>
      <c r="F2560" s="3">
        <v>45302</v>
      </c>
      <c r="G2560" s="3">
        <v>45304</v>
      </c>
      <c r="H2560">
        <v>50.9</v>
      </c>
      <c r="I2560">
        <v>48</v>
      </c>
      <c r="J2560" t="s">
        <v>4440</v>
      </c>
      <c r="K2560" t="s">
        <v>4441</v>
      </c>
      <c r="L2560" t="s">
        <v>4465</v>
      </c>
      <c r="M2560" t="s">
        <v>1625</v>
      </c>
    </row>
    <row r="2561" spans="1:14" x14ac:dyDescent="0.35">
      <c r="A2561" t="s">
        <v>7040</v>
      </c>
      <c r="B2561" t="s">
        <v>247</v>
      </c>
      <c r="C2561" t="s">
        <v>1927</v>
      </c>
      <c r="D2561" t="s">
        <v>4485</v>
      </c>
      <c r="E2561" t="s">
        <v>79</v>
      </c>
      <c r="F2561" s="3">
        <v>45042</v>
      </c>
      <c r="G2561" s="3" t="s">
        <v>537</v>
      </c>
      <c r="I2561">
        <v>24</v>
      </c>
      <c r="J2561" t="s">
        <v>4440</v>
      </c>
      <c r="K2561" t="s">
        <v>4457</v>
      </c>
      <c r="L2561" t="s">
        <v>4461</v>
      </c>
      <c r="M2561" t="s">
        <v>4446</v>
      </c>
    </row>
    <row r="2562" spans="1:14" x14ac:dyDescent="0.35">
      <c r="A2562" t="s">
        <v>7041</v>
      </c>
      <c r="B2562" t="s">
        <v>147</v>
      </c>
      <c r="C2562" t="s">
        <v>1899</v>
      </c>
      <c r="D2562" t="s">
        <v>4479</v>
      </c>
      <c r="E2562" t="s">
        <v>4444</v>
      </c>
      <c r="F2562" s="3">
        <v>45366</v>
      </c>
      <c r="G2562" s="3" t="s">
        <v>537</v>
      </c>
      <c r="I2562">
        <v>24</v>
      </c>
      <c r="J2562" t="s">
        <v>4440</v>
      </c>
      <c r="K2562" t="s">
        <v>4474</v>
      </c>
      <c r="L2562" t="s">
        <v>4509</v>
      </c>
      <c r="M2562" t="s">
        <v>4450</v>
      </c>
    </row>
    <row r="2563" spans="1:14" x14ac:dyDescent="0.35">
      <c r="A2563" t="s">
        <v>7042</v>
      </c>
      <c r="B2563" t="s">
        <v>32</v>
      </c>
      <c r="C2563" t="s">
        <v>1904</v>
      </c>
      <c r="D2563" t="s">
        <v>4479</v>
      </c>
      <c r="E2563" t="s">
        <v>4439</v>
      </c>
      <c r="F2563" s="3">
        <v>45579</v>
      </c>
      <c r="G2563" s="3">
        <v>45581</v>
      </c>
      <c r="H2563">
        <v>62.7</v>
      </c>
      <c r="I2563">
        <v>48</v>
      </c>
      <c r="J2563" t="s">
        <v>4440</v>
      </c>
      <c r="K2563" t="s">
        <v>4441</v>
      </c>
      <c r="L2563" t="s">
        <v>4527</v>
      </c>
      <c r="M2563" t="s">
        <v>4462</v>
      </c>
    </row>
    <row r="2564" spans="1:14" x14ac:dyDescent="0.35">
      <c r="A2564" t="s">
        <v>7043</v>
      </c>
      <c r="B2564" t="s">
        <v>260</v>
      </c>
      <c r="C2564" t="s">
        <v>1899</v>
      </c>
      <c r="D2564" t="s">
        <v>4460</v>
      </c>
      <c r="E2564" t="s">
        <v>4473</v>
      </c>
      <c r="F2564" s="3">
        <v>45504</v>
      </c>
      <c r="G2564" s="3" t="s">
        <v>537</v>
      </c>
      <c r="I2564">
        <v>8</v>
      </c>
      <c r="J2564" t="s">
        <v>4440</v>
      </c>
      <c r="K2564" t="s">
        <v>4474</v>
      </c>
      <c r="L2564" t="s">
        <v>4458</v>
      </c>
      <c r="M2564" t="s">
        <v>4462</v>
      </c>
    </row>
    <row r="2565" spans="1:14" x14ac:dyDescent="0.35">
      <c r="A2565" t="s">
        <v>7044</v>
      </c>
      <c r="B2565" t="s">
        <v>316</v>
      </c>
      <c r="C2565" t="s">
        <v>1927</v>
      </c>
      <c r="D2565" t="s">
        <v>4443</v>
      </c>
      <c r="E2565" t="s">
        <v>4444</v>
      </c>
      <c r="F2565" s="3">
        <v>45136</v>
      </c>
      <c r="G2565" s="3">
        <v>45137</v>
      </c>
      <c r="H2565">
        <v>24.7</v>
      </c>
      <c r="I2565">
        <v>24</v>
      </c>
      <c r="J2565" t="s">
        <v>4440</v>
      </c>
      <c r="K2565" t="s">
        <v>4441</v>
      </c>
      <c r="L2565" t="s">
        <v>4454</v>
      </c>
      <c r="M2565" t="s">
        <v>1625</v>
      </c>
      <c r="N2565">
        <v>5</v>
      </c>
    </row>
    <row r="2566" spans="1:14" x14ac:dyDescent="0.35">
      <c r="A2566" t="s">
        <v>7045</v>
      </c>
      <c r="B2566" t="s">
        <v>280</v>
      </c>
      <c r="C2566" t="s">
        <v>1899</v>
      </c>
      <c r="D2566" t="s">
        <v>4490</v>
      </c>
      <c r="E2566" t="s">
        <v>4439</v>
      </c>
      <c r="F2566" s="3">
        <v>45058</v>
      </c>
      <c r="G2566" s="3" t="s">
        <v>537</v>
      </c>
      <c r="I2566">
        <v>48</v>
      </c>
      <c r="J2566" t="s">
        <v>4440</v>
      </c>
      <c r="K2566" t="s">
        <v>4453</v>
      </c>
      <c r="L2566" t="s">
        <v>4512</v>
      </c>
      <c r="M2566" t="s">
        <v>4462</v>
      </c>
    </row>
    <row r="2567" spans="1:14" x14ac:dyDescent="0.35">
      <c r="A2567" t="s">
        <v>7046</v>
      </c>
      <c r="B2567" t="s">
        <v>453</v>
      </c>
      <c r="C2567" t="s">
        <v>1899</v>
      </c>
      <c r="D2567" t="s">
        <v>4452</v>
      </c>
      <c r="E2567" t="s">
        <v>4444</v>
      </c>
      <c r="F2567" s="3">
        <v>45264</v>
      </c>
      <c r="G2567" s="3">
        <v>45265</v>
      </c>
      <c r="H2567">
        <v>28.4</v>
      </c>
      <c r="I2567">
        <v>24</v>
      </c>
      <c r="J2567" t="s">
        <v>4440</v>
      </c>
      <c r="K2567" t="s">
        <v>4441</v>
      </c>
      <c r="L2567" t="s">
        <v>4501</v>
      </c>
      <c r="M2567" t="s">
        <v>4450</v>
      </c>
      <c r="N2567">
        <v>3</v>
      </c>
    </row>
    <row r="2568" spans="1:14" x14ac:dyDescent="0.35">
      <c r="A2568" t="s">
        <v>7047</v>
      </c>
      <c r="B2568" t="s">
        <v>284</v>
      </c>
      <c r="C2568" t="s">
        <v>1915</v>
      </c>
      <c r="D2568" t="s">
        <v>4452</v>
      </c>
      <c r="E2568" t="s">
        <v>4439</v>
      </c>
      <c r="F2568" s="3">
        <v>45046</v>
      </c>
      <c r="G2568" s="3">
        <v>45049</v>
      </c>
      <c r="H2568">
        <v>73.099999999999994</v>
      </c>
      <c r="I2568">
        <v>48</v>
      </c>
      <c r="J2568" t="s">
        <v>4440</v>
      </c>
      <c r="K2568" t="s">
        <v>4441</v>
      </c>
      <c r="L2568" t="s">
        <v>4501</v>
      </c>
      <c r="M2568" t="s">
        <v>4446</v>
      </c>
      <c r="N2568">
        <v>2</v>
      </c>
    </row>
    <row r="2569" spans="1:14" x14ac:dyDescent="0.35">
      <c r="A2569" t="s">
        <v>7048</v>
      </c>
      <c r="B2569" t="s">
        <v>426</v>
      </c>
      <c r="C2569" t="s">
        <v>1915</v>
      </c>
      <c r="D2569" t="s">
        <v>4476</v>
      </c>
      <c r="E2569" t="s">
        <v>4444</v>
      </c>
      <c r="F2569" s="3">
        <v>45405</v>
      </c>
      <c r="G2569" s="3">
        <v>45405</v>
      </c>
      <c r="H2569">
        <v>12.9</v>
      </c>
      <c r="I2569">
        <v>24</v>
      </c>
      <c r="J2569" t="s">
        <v>4448</v>
      </c>
      <c r="K2569" t="s">
        <v>4441</v>
      </c>
      <c r="L2569" t="s">
        <v>4461</v>
      </c>
      <c r="M2569" t="s">
        <v>4450</v>
      </c>
      <c r="N2569">
        <v>2</v>
      </c>
    </row>
    <row r="2570" spans="1:14" x14ac:dyDescent="0.35">
      <c r="A2570" t="s">
        <v>7049</v>
      </c>
      <c r="B2570" t="s">
        <v>451</v>
      </c>
      <c r="C2570" t="s">
        <v>1927</v>
      </c>
      <c r="D2570" t="s">
        <v>4464</v>
      </c>
      <c r="E2570" t="s">
        <v>4473</v>
      </c>
      <c r="F2570" s="3">
        <v>45594</v>
      </c>
      <c r="G2570" s="3">
        <v>45594</v>
      </c>
      <c r="H2570">
        <v>13.8</v>
      </c>
      <c r="I2570">
        <v>8</v>
      </c>
      <c r="J2570" t="s">
        <v>4440</v>
      </c>
      <c r="K2570" t="s">
        <v>4441</v>
      </c>
      <c r="L2570" t="s">
        <v>4458</v>
      </c>
      <c r="M2570" t="s">
        <v>4450</v>
      </c>
      <c r="N2570">
        <v>1</v>
      </c>
    </row>
    <row r="2571" spans="1:14" x14ac:dyDescent="0.35">
      <c r="A2571" t="s">
        <v>7050</v>
      </c>
      <c r="B2571" t="s">
        <v>411</v>
      </c>
      <c r="C2571" t="s">
        <v>1927</v>
      </c>
      <c r="D2571" t="s">
        <v>4438</v>
      </c>
      <c r="E2571" t="s">
        <v>4444</v>
      </c>
      <c r="F2571" s="3">
        <v>45197</v>
      </c>
      <c r="G2571" s="3">
        <v>45198</v>
      </c>
      <c r="H2571">
        <v>44.8</v>
      </c>
      <c r="I2571">
        <v>24</v>
      </c>
      <c r="J2571" t="s">
        <v>4440</v>
      </c>
      <c r="K2571" t="s">
        <v>4441</v>
      </c>
      <c r="L2571" t="s">
        <v>4465</v>
      </c>
      <c r="M2571" t="s">
        <v>1625</v>
      </c>
      <c r="N2571">
        <v>4</v>
      </c>
    </row>
    <row r="2572" spans="1:14" x14ac:dyDescent="0.35">
      <c r="A2572" t="s">
        <v>7051</v>
      </c>
      <c r="B2572" t="s">
        <v>277</v>
      </c>
      <c r="C2572" t="s">
        <v>1890</v>
      </c>
      <c r="D2572" t="s">
        <v>4469</v>
      </c>
      <c r="E2572" t="s">
        <v>4439</v>
      </c>
      <c r="F2572" s="3">
        <v>45213</v>
      </c>
      <c r="G2572" s="3" t="s">
        <v>537</v>
      </c>
      <c r="I2572">
        <v>48</v>
      </c>
      <c r="J2572" t="s">
        <v>4448</v>
      </c>
      <c r="K2572" t="s">
        <v>4453</v>
      </c>
      <c r="L2572" t="s">
        <v>4488</v>
      </c>
      <c r="M2572" t="s">
        <v>4462</v>
      </c>
    </row>
    <row r="2573" spans="1:14" x14ac:dyDescent="0.35">
      <c r="A2573" t="s">
        <v>7052</v>
      </c>
      <c r="B2573" t="s">
        <v>376</v>
      </c>
      <c r="C2573" t="s">
        <v>1904</v>
      </c>
      <c r="D2573" t="s">
        <v>4438</v>
      </c>
      <c r="E2573" t="s">
        <v>4439</v>
      </c>
      <c r="F2573" s="3">
        <v>45580</v>
      </c>
      <c r="G2573" s="3" t="s">
        <v>537</v>
      </c>
      <c r="I2573">
        <v>48</v>
      </c>
      <c r="J2573" t="s">
        <v>4440</v>
      </c>
      <c r="K2573" t="s">
        <v>4457</v>
      </c>
      <c r="L2573" t="s">
        <v>4483</v>
      </c>
      <c r="M2573" t="s">
        <v>4446</v>
      </c>
    </row>
    <row r="2574" spans="1:14" x14ac:dyDescent="0.35">
      <c r="A2574" t="s">
        <v>7053</v>
      </c>
      <c r="B2574" t="s">
        <v>130</v>
      </c>
      <c r="C2574" t="s">
        <v>1890</v>
      </c>
      <c r="D2574" t="s">
        <v>4476</v>
      </c>
      <c r="E2574" t="s">
        <v>4456</v>
      </c>
      <c r="F2574" s="3">
        <v>45202</v>
      </c>
      <c r="G2574" s="3">
        <v>45202</v>
      </c>
      <c r="H2574">
        <v>7.6</v>
      </c>
      <c r="I2574">
        <v>4</v>
      </c>
      <c r="J2574" t="s">
        <v>4440</v>
      </c>
      <c r="K2574" t="s">
        <v>4441</v>
      </c>
      <c r="L2574" t="s">
        <v>4527</v>
      </c>
      <c r="M2574" t="s">
        <v>4446</v>
      </c>
    </row>
    <row r="2575" spans="1:14" x14ac:dyDescent="0.35">
      <c r="A2575" t="s">
        <v>7054</v>
      </c>
      <c r="B2575" t="s">
        <v>164</v>
      </c>
      <c r="C2575" t="s">
        <v>1915</v>
      </c>
      <c r="D2575" t="s">
        <v>4464</v>
      </c>
      <c r="E2575" t="s">
        <v>4444</v>
      </c>
      <c r="F2575" s="3">
        <v>45235</v>
      </c>
      <c r="G2575" s="3">
        <v>45236</v>
      </c>
      <c r="H2575">
        <v>29.7</v>
      </c>
      <c r="I2575">
        <v>24</v>
      </c>
      <c r="J2575" t="s">
        <v>4440</v>
      </c>
      <c r="K2575" t="s">
        <v>4441</v>
      </c>
      <c r="L2575" t="s">
        <v>4483</v>
      </c>
      <c r="M2575" t="s">
        <v>1625</v>
      </c>
      <c r="N2575">
        <v>4</v>
      </c>
    </row>
    <row r="2576" spans="1:14" x14ac:dyDescent="0.35">
      <c r="A2576" t="s">
        <v>7055</v>
      </c>
      <c r="B2576" t="s">
        <v>82</v>
      </c>
      <c r="C2576" t="s">
        <v>1883</v>
      </c>
      <c r="D2576" t="s">
        <v>4469</v>
      </c>
      <c r="E2576" t="s">
        <v>4444</v>
      </c>
      <c r="F2576" s="3">
        <v>45017</v>
      </c>
      <c r="G2576" s="3" t="s">
        <v>537</v>
      </c>
      <c r="I2576">
        <v>24</v>
      </c>
      <c r="J2576" t="s">
        <v>4440</v>
      </c>
      <c r="K2576" t="s">
        <v>4457</v>
      </c>
      <c r="L2576" t="s">
        <v>4465</v>
      </c>
      <c r="M2576" t="s">
        <v>4462</v>
      </c>
    </row>
    <row r="2577" spans="1:14" x14ac:dyDescent="0.35">
      <c r="A2577" t="s">
        <v>7056</v>
      </c>
      <c r="B2577" t="s">
        <v>86</v>
      </c>
      <c r="C2577" t="s">
        <v>1883</v>
      </c>
      <c r="D2577" t="s">
        <v>4482</v>
      </c>
      <c r="E2577" t="s">
        <v>4444</v>
      </c>
      <c r="F2577" s="3">
        <v>45699</v>
      </c>
      <c r="G2577" s="3">
        <v>45701</v>
      </c>
      <c r="H2577">
        <v>55.1</v>
      </c>
      <c r="I2577">
        <v>24</v>
      </c>
      <c r="J2577" t="s">
        <v>4440</v>
      </c>
      <c r="K2577" t="s">
        <v>4441</v>
      </c>
      <c r="L2577" t="s">
        <v>4458</v>
      </c>
      <c r="M2577" t="s">
        <v>1625</v>
      </c>
      <c r="N2577">
        <v>3</v>
      </c>
    </row>
    <row r="2578" spans="1:14" x14ac:dyDescent="0.35">
      <c r="A2578" t="s">
        <v>7057</v>
      </c>
      <c r="B2578" t="s">
        <v>116</v>
      </c>
      <c r="C2578" t="s">
        <v>1899</v>
      </c>
      <c r="D2578" t="s">
        <v>4438</v>
      </c>
      <c r="E2578" t="s">
        <v>4439</v>
      </c>
      <c r="F2578" s="3">
        <v>45520</v>
      </c>
      <c r="G2578" s="3" t="s">
        <v>537</v>
      </c>
      <c r="I2578">
        <v>48</v>
      </c>
      <c r="J2578" t="s">
        <v>4448</v>
      </c>
      <c r="K2578" t="s">
        <v>4474</v>
      </c>
      <c r="L2578" t="s">
        <v>4580</v>
      </c>
      <c r="M2578" t="s">
        <v>1625</v>
      </c>
    </row>
    <row r="2579" spans="1:14" x14ac:dyDescent="0.35">
      <c r="A2579" t="s">
        <v>7058</v>
      </c>
      <c r="B2579" t="s">
        <v>234</v>
      </c>
      <c r="C2579" t="s">
        <v>1883</v>
      </c>
      <c r="D2579" t="s">
        <v>4482</v>
      </c>
      <c r="E2579" t="s">
        <v>4473</v>
      </c>
      <c r="F2579" s="3">
        <v>45385</v>
      </c>
      <c r="G2579" s="3" t="s">
        <v>537</v>
      </c>
      <c r="I2579">
        <v>8</v>
      </c>
      <c r="J2579" t="s">
        <v>4448</v>
      </c>
      <c r="K2579" t="s">
        <v>4457</v>
      </c>
      <c r="L2579" t="s">
        <v>4449</v>
      </c>
      <c r="M2579" t="s">
        <v>4450</v>
      </c>
    </row>
    <row r="2580" spans="1:14" x14ac:dyDescent="0.35">
      <c r="A2580" t="s">
        <v>7059</v>
      </c>
      <c r="B2580" t="s">
        <v>280</v>
      </c>
      <c r="C2580" t="s">
        <v>1890</v>
      </c>
      <c r="D2580" t="s">
        <v>4479</v>
      </c>
      <c r="E2580" t="s">
        <v>4444</v>
      </c>
      <c r="F2580" s="3">
        <v>45352</v>
      </c>
      <c r="G2580" s="3">
        <v>45354</v>
      </c>
      <c r="H2580">
        <v>59.5</v>
      </c>
      <c r="I2580">
        <v>24</v>
      </c>
      <c r="J2580" t="s">
        <v>4440</v>
      </c>
      <c r="K2580" t="s">
        <v>4441</v>
      </c>
      <c r="L2580" t="s">
        <v>1907</v>
      </c>
      <c r="M2580" t="s">
        <v>4462</v>
      </c>
      <c r="N2580">
        <v>4</v>
      </c>
    </row>
    <row r="2581" spans="1:14" x14ac:dyDescent="0.35">
      <c r="A2581" t="s">
        <v>7060</v>
      </c>
      <c r="B2581" t="s">
        <v>293</v>
      </c>
      <c r="C2581" t="s">
        <v>1899</v>
      </c>
      <c r="D2581" t="s">
        <v>4438</v>
      </c>
      <c r="E2581" t="s">
        <v>4444</v>
      </c>
      <c r="F2581" s="3">
        <v>44964</v>
      </c>
      <c r="G2581" s="3">
        <v>44966</v>
      </c>
      <c r="H2581">
        <v>55.5</v>
      </c>
      <c r="I2581">
        <v>24</v>
      </c>
      <c r="J2581" t="s">
        <v>4440</v>
      </c>
      <c r="K2581" t="s">
        <v>4441</v>
      </c>
      <c r="L2581" t="s">
        <v>4488</v>
      </c>
      <c r="M2581" t="s">
        <v>4446</v>
      </c>
      <c r="N2581">
        <v>2</v>
      </c>
    </row>
    <row r="2582" spans="1:14" x14ac:dyDescent="0.35">
      <c r="A2582" t="s">
        <v>7061</v>
      </c>
      <c r="B2582" t="s">
        <v>178</v>
      </c>
      <c r="C2582" t="s">
        <v>1883</v>
      </c>
      <c r="D2582" t="s">
        <v>4452</v>
      </c>
      <c r="E2582" t="s">
        <v>4473</v>
      </c>
      <c r="F2582" s="3">
        <v>45542</v>
      </c>
      <c r="G2582" s="3" t="s">
        <v>537</v>
      </c>
      <c r="I2582">
        <v>8</v>
      </c>
      <c r="J2582" t="s">
        <v>4448</v>
      </c>
      <c r="K2582" t="s">
        <v>4453</v>
      </c>
      <c r="L2582" t="s">
        <v>4458</v>
      </c>
      <c r="M2582" t="s">
        <v>1625</v>
      </c>
    </row>
    <row r="2583" spans="1:14" x14ac:dyDescent="0.35">
      <c r="A2583" t="s">
        <v>7062</v>
      </c>
      <c r="B2583" t="s">
        <v>71</v>
      </c>
      <c r="C2583" t="s">
        <v>1904</v>
      </c>
      <c r="D2583" t="s">
        <v>4460</v>
      </c>
      <c r="E2583" t="s">
        <v>4473</v>
      </c>
      <c r="F2583" s="3">
        <v>45647</v>
      </c>
      <c r="G2583" s="3">
        <v>45647</v>
      </c>
      <c r="H2583">
        <v>12.6</v>
      </c>
      <c r="I2583">
        <v>8</v>
      </c>
      <c r="J2583" t="s">
        <v>1945</v>
      </c>
      <c r="K2583" t="s">
        <v>4441</v>
      </c>
      <c r="L2583" t="s">
        <v>4467</v>
      </c>
      <c r="M2583" t="s">
        <v>4450</v>
      </c>
      <c r="N2583">
        <v>4</v>
      </c>
    </row>
    <row r="2584" spans="1:14" x14ac:dyDescent="0.35">
      <c r="A2584" t="s">
        <v>7063</v>
      </c>
      <c r="B2584" t="s">
        <v>193</v>
      </c>
      <c r="C2584" t="s">
        <v>1890</v>
      </c>
      <c r="D2584" t="s">
        <v>4452</v>
      </c>
      <c r="E2584" t="s">
        <v>4444</v>
      </c>
      <c r="F2584" s="3">
        <v>45179</v>
      </c>
      <c r="G2584" s="3" t="s">
        <v>537</v>
      </c>
      <c r="I2584">
        <v>24</v>
      </c>
      <c r="J2584" t="s">
        <v>4448</v>
      </c>
      <c r="K2584" t="s">
        <v>4453</v>
      </c>
      <c r="L2584" t="s">
        <v>4454</v>
      </c>
      <c r="M2584" t="s">
        <v>1625</v>
      </c>
    </row>
    <row r="2585" spans="1:14" x14ac:dyDescent="0.35">
      <c r="A2585" t="s">
        <v>7064</v>
      </c>
      <c r="B2585" t="s">
        <v>312</v>
      </c>
      <c r="C2585" t="s">
        <v>1904</v>
      </c>
      <c r="D2585" t="s">
        <v>4452</v>
      </c>
      <c r="E2585" t="s">
        <v>4473</v>
      </c>
      <c r="F2585" s="3">
        <v>45648</v>
      </c>
      <c r="G2585" s="3" t="s">
        <v>537</v>
      </c>
      <c r="I2585">
        <v>8</v>
      </c>
      <c r="J2585" t="s">
        <v>4440</v>
      </c>
      <c r="K2585" t="s">
        <v>4474</v>
      </c>
      <c r="L2585" t="s">
        <v>4461</v>
      </c>
      <c r="M2585" t="s">
        <v>4462</v>
      </c>
    </row>
    <row r="2586" spans="1:14" x14ac:dyDescent="0.35">
      <c r="A2586" t="s">
        <v>7065</v>
      </c>
      <c r="B2586" t="s">
        <v>154</v>
      </c>
      <c r="C2586" t="s">
        <v>1883</v>
      </c>
      <c r="D2586" t="s">
        <v>4460</v>
      </c>
      <c r="E2586" t="s">
        <v>4439</v>
      </c>
      <c r="F2586" s="3">
        <v>45418</v>
      </c>
      <c r="G2586" s="3">
        <v>45418</v>
      </c>
      <c r="H2586">
        <v>23.4</v>
      </c>
      <c r="I2586">
        <v>48</v>
      </c>
      <c r="J2586" t="s">
        <v>4448</v>
      </c>
      <c r="K2586" t="s">
        <v>4441</v>
      </c>
      <c r="L2586" t="s">
        <v>4509</v>
      </c>
      <c r="M2586" t="s">
        <v>4462</v>
      </c>
      <c r="N2586">
        <v>4</v>
      </c>
    </row>
    <row r="2587" spans="1:14" x14ac:dyDescent="0.35">
      <c r="A2587" t="s">
        <v>7066</v>
      </c>
      <c r="B2587" t="s">
        <v>133</v>
      </c>
      <c r="C2587" t="s">
        <v>1927</v>
      </c>
      <c r="D2587" t="s">
        <v>4472</v>
      </c>
      <c r="E2587" t="s">
        <v>4456</v>
      </c>
      <c r="F2587" s="3">
        <v>45420</v>
      </c>
      <c r="G2587" s="3" t="s">
        <v>537</v>
      </c>
      <c r="I2587">
        <v>4</v>
      </c>
      <c r="J2587" t="s">
        <v>4440</v>
      </c>
      <c r="K2587" t="s">
        <v>4474</v>
      </c>
      <c r="L2587" t="s">
        <v>4449</v>
      </c>
      <c r="M2587" t="s">
        <v>4462</v>
      </c>
    </row>
    <row r="2588" spans="1:14" x14ac:dyDescent="0.35">
      <c r="A2588" t="s">
        <v>7067</v>
      </c>
      <c r="B2588" t="s">
        <v>222</v>
      </c>
      <c r="C2588" t="s">
        <v>1883</v>
      </c>
      <c r="D2588" t="s">
        <v>4479</v>
      </c>
      <c r="E2588" t="s">
        <v>4444</v>
      </c>
      <c r="F2588" s="3">
        <v>45343</v>
      </c>
      <c r="G2588" s="3">
        <v>45343</v>
      </c>
      <c r="H2588">
        <v>19.600000000000001</v>
      </c>
      <c r="I2588">
        <v>24</v>
      </c>
      <c r="J2588" t="s">
        <v>4448</v>
      </c>
      <c r="K2588" t="s">
        <v>4441</v>
      </c>
      <c r="L2588" t="s">
        <v>4501</v>
      </c>
      <c r="M2588" t="s">
        <v>4446</v>
      </c>
      <c r="N2588">
        <v>3</v>
      </c>
    </row>
    <row r="2589" spans="1:14" x14ac:dyDescent="0.35">
      <c r="A2589" t="s">
        <v>7068</v>
      </c>
      <c r="B2589" t="s">
        <v>328</v>
      </c>
      <c r="C2589" t="s">
        <v>1883</v>
      </c>
      <c r="D2589" t="s">
        <v>4464</v>
      </c>
      <c r="E2589" t="s">
        <v>4473</v>
      </c>
      <c r="F2589" s="3">
        <v>45707</v>
      </c>
      <c r="G2589" s="3">
        <v>45707</v>
      </c>
      <c r="H2589">
        <v>16.100000000000001</v>
      </c>
      <c r="I2589">
        <v>8</v>
      </c>
      <c r="J2589" t="s">
        <v>4440</v>
      </c>
      <c r="K2589" t="s">
        <v>4441</v>
      </c>
      <c r="L2589" t="s">
        <v>4445</v>
      </c>
      <c r="M2589" t="s">
        <v>4462</v>
      </c>
      <c r="N2589">
        <v>4</v>
      </c>
    </row>
    <row r="2590" spans="1:14" x14ac:dyDescent="0.35">
      <c r="A2590" t="s">
        <v>7069</v>
      </c>
      <c r="B2590" t="s">
        <v>396</v>
      </c>
      <c r="C2590" t="s">
        <v>1927</v>
      </c>
      <c r="D2590" t="s">
        <v>4469</v>
      </c>
      <c r="E2590" t="s">
        <v>4444</v>
      </c>
      <c r="F2590" s="3">
        <v>45576</v>
      </c>
      <c r="G2590" s="3" t="s">
        <v>537</v>
      </c>
      <c r="I2590">
        <v>24</v>
      </c>
      <c r="J2590" t="s">
        <v>4448</v>
      </c>
      <c r="K2590" t="s">
        <v>4474</v>
      </c>
      <c r="L2590" t="s">
        <v>4465</v>
      </c>
      <c r="M2590" t="s">
        <v>1625</v>
      </c>
    </row>
    <row r="2591" spans="1:14" x14ac:dyDescent="0.35">
      <c r="A2591" t="s">
        <v>7070</v>
      </c>
      <c r="B2591" t="s">
        <v>103</v>
      </c>
      <c r="C2591" t="s">
        <v>1890</v>
      </c>
      <c r="D2591" t="s">
        <v>4472</v>
      </c>
      <c r="E2591" t="s">
        <v>4473</v>
      </c>
      <c r="F2591" s="3">
        <v>44989</v>
      </c>
      <c r="G2591" s="3" t="s">
        <v>537</v>
      </c>
      <c r="I2591">
        <v>8</v>
      </c>
      <c r="J2591" t="s">
        <v>4440</v>
      </c>
      <c r="K2591" t="s">
        <v>4457</v>
      </c>
      <c r="L2591" t="s">
        <v>4483</v>
      </c>
      <c r="M2591" t="s">
        <v>4450</v>
      </c>
    </row>
    <row r="2592" spans="1:14" x14ac:dyDescent="0.35">
      <c r="A2592" t="s">
        <v>7071</v>
      </c>
      <c r="B2592" t="s">
        <v>401</v>
      </c>
      <c r="C2592" t="s">
        <v>1890</v>
      </c>
      <c r="D2592" t="s">
        <v>4479</v>
      </c>
      <c r="E2592" t="s">
        <v>4444</v>
      </c>
      <c r="F2592" s="3">
        <v>45163</v>
      </c>
      <c r="G2592" s="3">
        <v>45164</v>
      </c>
      <c r="H2592">
        <v>44.1</v>
      </c>
      <c r="I2592">
        <v>24</v>
      </c>
      <c r="J2592" t="s">
        <v>4440</v>
      </c>
      <c r="K2592" t="s">
        <v>4441</v>
      </c>
      <c r="L2592" t="s">
        <v>4483</v>
      </c>
      <c r="M2592" t="s">
        <v>4462</v>
      </c>
      <c r="N2592">
        <v>3</v>
      </c>
    </row>
    <row r="2593" spans="1:14" x14ac:dyDescent="0.35">
      <c r="A2593" t="s">
        <v>7072</v>
      </c>
      <c r="B2593" t="s">
        <v>356</v>
      </c>
      <c r="C2593" t="s">
        <v>1899</v>
      </c>
      <c r="D2593" t="s">
        <v>4464</v>
      </c>
      <c r="E2593" t="s">
        <v>4444</v>
      </c>
      <c r="F2593" s="3">
        <v>45696</v>
      </c>
      <c r="G2593" s="3">
        <v>45696</v>
      </c>
      <c r="H2593">
        <v>19.3</v>
      </c>
      <c r="I2593">
        <v>24</v>
      </c>
      <c r="J2593" t="s">
        <v>4448</v>
      </c>
      <c r="K2593" t="s">
        <v>4441</v>
      </c>
      <c r="L2593" t="s">
        <v>4488</v>
      </c>
      <c r="M2593" t="s">
        <v>1625</v>
      </c>
      <c r="N2593">
        <v>3</v>
      </c>
    </row>
    <row r="2594" spans="1:14" x14ac:dyDescent="0.35">
      <c r="A2594" t="s">
        <v>7073</v>
      </c>
      <c r="B2594" t="s">
        <v>459</v>
      </c>
      <c r="C2594" t="s">
        <v>1927</v>
      </c>
      <c r="D2594" t="s">
        <v>4452</v>
      </c>
      <c r="E2594" t="s">
        <v>4456</v>
      </c>
      <c r="F2594" s="3">
        <v>45353</v>
      </c>
      <c r="G2594" s="3">
        <v>45353</v>
      </c>
      <c r="H2594">
        <v>3</v>
      </c>
      <c r="I2594">
        <v>4</v>
      </c>
      <c r="J2594" t="s">
        <v>4448</v>
      </c>
      <c r="K2594" t="s">
        <v>4441</v>
      </c>
      <c r="L2594" t="s">
        <v>4454</v>
      </c>
      <c r="M2594" t="s">
        <v>4450</v>
      </c>
      <c r="N2594">
        <v>3</v>
      </c>
    </row>
    <row r="2595" spans="1:14" x14ac:dyDescent="0.35">
      <c r="A2595" t="s">
        <v>7074</v>
      </c>
      <c r="B2595" t="s">
        <v>200</v>
      </c>
      <c r="C2595" t="s">
        <v>1904</v>
      </c>
      <c r="D2595" t="s">
        <v>4469</v>
      </c>
      <c r="E2595" t="s">
        <v>4473</v>
      </c>
      <c r="F2595" s="3">
        <v>45221</v>
      </c>
      <c r="G2595" s="3" t="s">
        <v>537</v>
      </c>
      <c r="I2595">
        <v>8</v>
      </c>
      <c r="J2595" t="s">
        <v>4440</v>
      </c>
      <c r="K2595" t="s">
        <v>4457</v>
      </c>
      <c r="L2595" t="s">
        <v>4467</v>
      </c>
      <c r="M2595" t="s">
        <v>4450</v>
      </c>
    </row>
    <row r="2596" spans="1:14" x14ac:dyDescent="0.35">
      <c r="A2596" t="s">
        <v>7075</v>
      </c>
      <c r="B2596" t="s">
        <v>370</v>
      </c>
      <c r="C2596" t="s">
        <v>1890</v>
      </c>
      <c r="D2596" t="s">
        <v>4452</v>
      </c>
      <c r="E2596" t="s">
        <v>4444</v>
      </c>
      <c r="F2596" s="3">
        <v>44954</v>
      </c>
      <c r="G2596" s="3">
        <v>44954</v>
      </c>
      <c r="H2596">
        <v>8.6999999999999993</v>
      </c>
      <c r="I2596">
        <v>24</v>
      </c>
      <c r="J2596" t="s">
        <v>4448</v>
      </c>
      <c r="K2596" t="s">
        <v>4441</v>
      </c>
      <c r="L2596" t="s">
        <v>4514</v>
      </c>
      <c r="M2596" t="s">
        <v>4450</v>
      </c>
      <c r="N2596">
        <v>5</v>
      </c>
    </row>
    <row r="2597" spans="1:14" x14ac:dyDescent="0.35">
      <c r="A2597" t="s">
        <v>7076</v>
      </c>
      <c r="B2597" t="s">
        <v>219</v>
      </c>
      <c r="C2597" t="s">
        <v>1890</v>
      </c>
      <c r="D2597" t="s">
        <v>4438</v>
      </c>
      <c r="E2597" t="s">
        <v>4444</v>
      </c>
      <c r="F2597" s="3">
        <v>45171</v>
      </c>
      <c r="G2597" s="3" t="s">
        <v>537</v>
      </c>
      <c r="I2597">
        <v>24</v>
      </c>
      <c r="J2597" t="s">
        <v>4440</v>
      </c>
      <c r="K2597" t="s">
        <v>4457</v>
      </c>
      <c r="L2597" t="s">
        <v>4480</v>
      </c>
      <c r="M2597" t="s">
        <v>1625</v>
      </c>
    </row>
    <row r="2598" spans="1:14" x14ac:dyDescent="0.35">
      <c r="A2598" t="s">
        <v>7077</v>
      </c>
      <c r="B2598" t="s">
        <v>496</v>
      </c>
      <c r="C2598" t="s">
        <v>1899</v>
      </c>
      <c r="D2598" t="s">
        <v>4479</v>
      </c>
      <c r="E2598" t="s">
        <v>4439</v>
      </c>
      <c r="F2598" s="3">
        <v>44982</v>
      </c>
      <c r="G2598" s="3" t="s">
        <v>537</v>
      </c>
      <c r="I2598">
        <v>48</v>
      </c>
      <c r="J2598" t="s">
        <v>4440</v>
      </c>
      <c r="K2598" t="s">
        <v>4474</v>
      </c>
      <c r="L2598" t="s">
        <v>4445</v>
      </c>
      <c r="M2598" t="s">
        <v>1625</v>
      </c>
    </row>
    <row r="2599" spans="1:14" x14ac:dyDescent="0.35">
      <c r="A2599" t="s">
        <v>7078</v>
      </c>
      <c r="B2599" t="s">
        <v>275</v>
      </c>
      <c r="C2599" t="s">
        <v>1915</v>
      </c>
      <c r="D2599" t="s">
        <v>4472</v>
      </c>
      <c r="E2599" t="s">
        <v>4444</v>
      </c>
      <c r="F2599" s="3">
        <v>45384</v>
      </c>
      <c r="G2599" s="3">
        <v>45385</v>
      </c>
      <c r="H2599">
        <v>42.9</v>
      </c>
      <c r="I2599">
        <v>24</v>
      </c>
      <c r="J2599" t="s">
        <v>4440</v>
      </c>
      <c r="K2599" t="s">
        <v>4441</v>
      </c>
      <c r="L2599" t="s">
        <v>4483</v>
      </c>
      <c r="M2599" t="s">
        <v>4462</v>
      </c>
      <c r="N2599">
        <v>2</v>
      </c>
    </row>
    <row r="2600" spans="1:14" x14ac:dyDescent="0.35">
      <c r="A2600" t="s">
        <v>7079</v>
      </c>
      <c r="B2600" t="s">
        <v>451</v>
      </c>
      <c r="C2600" t="s">
        <v>1904</v>
      </c>
      <c r="D2600" t="s">
        <v>4438</v>
      </c>
      <c r="E2600" t="s">
        <v>4473</v>
      </c>
      <c r="F2600" s="3">
        <v>44981</v>
      </c>
      <c r="G2600" s="3">
        <v>44981</v>
      </c>
      <c r="H2600">
        <v>9.9</v>
      </c>
      <c r="I2600">
        <v>8</v>
      </c>
      <c r="J2600" t="s">
        <v>4440</v>
      </c>
      <c r="K2600" t="s">
        <v>4441</v>
      </c>
      <c r="L2600" t="s">
        <v>4580</v>
      </c>
      <c r="M2600" t="s">
        <v>4462</v>
      </c>
      <c r="N2600">
        <v>4</v>
      </c>
    </row>
    <row r="2601" spans="1:14" x14ac:dyDescent="0.35">
      <c r="A2601" t="s">
        <v>7080</v>
      </c>
      <c r="B2601" t="s">
        <v>415</v>
      </c>
      <c r="C2601" t="s">
        <v>1899</v>
      </c>
      <c r="D2601" t="s">
        <v>4464</v>
      </c>
      <c r="E2601" t="s">
        <v>79</v>
      </c>
      <c r="F2601" s="3">
        <v>45269</v>
      </c>
      <c r="G2601" s="3" t="s">
        <v>537</v>
      </c>
      <c r="I2601">
        <v>8</v>
      </c>
      <c r="J2601" t="s">
        <v>4448</v>
      </c>
      <c r="K2601" t="s">
        <v>4474</v>
      </c>
      <c r="L2601" t="s">
        <v>4527</v>
      </c>
      <c r="M2601" t="s">
        <v>4450</v>
      </c>
    </row>
    <row r="2602" spans="1:14" x14ac:dyDescent="0.35">
      <c r="A2602" t="s">
        <v>7081</v>
      </c>
      <c r="B2602" t="s">
        <v>356</v>
      </c>
      <c r="C2602" t="s">
        <v>1904</v>
      </c>
      <c r="D2602" t="s">
        <v>4438</v>
      </c>
      <c r="E2602" t="s">
        <v>4456</v>
      </c>
      <c r="F2602" s="3">
        <v>45739</v>
      </c>
      <c r="G2602" s="3">
        <v>45739</v>
      </c>
      <c r="H2602">
        <v>9.9</v>
      </c>
      <c r="I2602">
        <v>4</v>
      </c>
      <c r="J2602" t="s">
        <v>4440</v>
      </c>
      <c r="K2602" t="s">
        <v>4441</v>
      </c>
      <c r="L2602" t="s">
        <v>1907</v>
      </c>
      <c r="M2602" t="s">
        <v>4462</v>
      </c>
      <c r="N2602">
        <v>4</v>
      </c>
    </row>
    <row r="2603" spans="1:14" x14ac:dyDescent="0.35">
      <c r="A2603" t="s">
        <v>7082</v>
      </c>
      <c r="B2603" t="s">
        <v>242</v>
      </c>
      <c r="C2603" t="s">
        <v>1927</v>
      </c>
      <c r="D2603" t="s">
        <v>4482</v>
      </c>
      <c r="E2603" t="s">
        <v>4473</v>
      </c>
      <c r="F2603" s="3">
        <v>45576</v>
      </c>
      <c r="G2603" s="3">
        <v>45576</v>
      </c>
      <c r="H2603">
        <v>8.5</v>
      </c>
      <c r="I2603">
        <v>8</v>
      </c>
      <c r="J2603" t="s">
        <v>4440</v>
      </c>
      <c r="K2603" t="s">
        <v>4441</v>
      </c>
      <c r="L2603" t="s">
        <v>4514</v>
      </c>
      <c r="M2603" t="s">
        <v>1625</v>
      </c>
      <c r="N2603">
        <v>3</v>
      </c>
    </row>
    <row r="2604" spans="1:14" x14ac:dyDescent="0.35">
      <c r="A2604" t="s">
        <v>7083</v>
      </c>
      <c r="B2604" t="s">
        <v>176</v>
      </c>
      <c r="C2604" t="s">
        <v>1899</v>
      </c>
      <c r="D2604" t="s">
        <v>4472</v>
      </c>
      <c r="E2604" t="s">
        <v>4444</v>
      </c>
      <c r="F2604" s="3">
        <v>45623</v>
      </c>
      <c r="G2604" s="3">
        <v>45624</v>
      </c>
      <c r="H2604">
        <v>37.299999999999997</v>
      </c>
      <c r="I2604">
        <v>24</v>
      </c>
      <c r="J2604" t="s">
        <v>4440</v>
      </c>
      <c r="K2604" t="s">
        <v>4441</v>
      </c>
      <c r="L2604" t="s">
        <v>4483</v>
      </c>
      <c r="M2604" t="s">
        <v>4446</v>
      </c>
      <c r="N2604">
        <v>4</v>
      </c>
    </row>
    <row r="2605" spans="1:14" x14ac:dyDescent="0.35">
      <c r="A2605" t="s">
        <v>7084</v>
      </c>
      <c r="B2605" t="s">
        <v>437</v>
      </c>
      <c r="C2605" t="s">
        <v>1890</v>
      </c>
      <c r="D2605" t="s">
        <v>4485</v>
      </c>
      <c r="E2605" t="s">
        <v>4473</v>
      </c>
      <c r="F2605" s="3">
        <v>45146</v>
      </c>
      <c r="G2605" s="3" t="s">
        <v>537</v>
      </c>
      <c r="I2605">
        <v>8</v>
      </c>
      <c r="J2605" t="s">
        <v>4440</v>
      </c>
      <c r="K2605" t="s">
        <v>4457</v>
      </c>
      <c r="L2605" t="s">
        <v>4509</v>
      </c>
      <c r="M2605" t="s">
        <v>4462</v>
      </c>
    </row>
    <row r="2606" spans="1:14" x14ac:dyDescent="0.35">
      <c r="A2606" t="s">
        <v>7085</v>
      </c>
      <c r="B2606" t="s">
        <v>176</v>
      </c>
      <c r="C2606" t="s">
        <v>1883</v>
      </c>
      <c r="D2606" t="s">
        <v>4472</v>
      </c>
      <c r="E2606" t="s">
        <v>4444</v>
      </c>
      <c r="F2606" s="3">
        <v>45223</v>
      </c>
      <c r="G2606" s="3">
        <v>45225</v>
      </c>
      <c r="H2606">
        <v>53</v>
      </c>
      <c r="I2606">
        <v>24</v>
      </c>
      <c r="J2606" t="s">
        <v>4440</v>
      </c>
      <c r="K2606" t="s">
        <v>4441</v>
      </c>
      <c r="L2606" t="s">
        <v>4580</v>
      </c>
      <c r="M2606" t="s">
        <v>4446</v>
      </c>
      <c r="N2606">
        <v>1</v>
      </c>
    </row>
    <row r="2607" spans="1:14" x14ac:dyDescent="0.35">
      <c r="A2607" t="s">
        <v>7086</v>
      </c>
      <c r="B2607" t="s">
        <v>493</v>
      </c>
      <c r="C2607" t="s">
        <v>1883</v>
      </c>
      <c r="D2607" t="s">
        <v>4476</v>
      </c>
      <c r="E2607" t="s">
        <v>4444</v>
      </c>
      <c r="F2607" s="3">
        <v>45219</v>
      </c>
      <c r="G2607" s="3" t="s">
        <v>537</v>
      </c>
      <c r="I2607">
        <v>24</v>
      </c>
      <c r="J2607" t="s">
        <v>4440</v>
      </c>
      <c r="K2607" t="s">
        <v>4453</v>
      </c>
      <c r="L2607" t="s">
        <v>4445</v>
      </c>
      <c r="M2607" t="s">
        <v>4462</v>
      </c>
    </row>
    <row r="2608" spans="1:14" x14ac:dyDescent="0.35">
      <c r="A2608" t="s">
        <v>7087</v>
      </c>
      <c r="B2608" t="s">
        <v>448</v>
      </c>
      <c r="C2608" t="s">
        <v>1915</v>
      </c>
      <c r="D2608" t="s">
        <v>4464</v>
      </c>
      <c r="E2608" t="s">
        <v>4456</v>
      </c>
      <c r="F2608" s="3">
        <v>45622</v>
      </c>
      <c r="G2608" s="3">
        <v>45622</v>
      </c>
      <c r="H2608">
        <v>1.3</v>
      </c>
      <c r="I2608">
        <v>4</v>
      </c>
      <c r="J2608" t="s">
        <v>4448</v>
      </c>
      <c r="K2608" t="s">
        <v>4441</v>
      </c>
      <c r="L2608" t="s">
        <v>4467</v>
      </c>
      <c r="M2608" t="s">
        <v>4462</v>
      </c>
      <c r="N2608">
        <v>5</v>
      </c>
    </row>
    <row r="2609" spans="1:14" x14ac:dyDescent="0.35">
      <c r="A2609" t="s">
        <v>7088</v>
      </c>
      <c r="B2609" t="s">
        <v>457</v>
      </c>
      <c r="C2609" t="s">
        <v>1883</v>
      </c>
      <c r="D2609" t="s">
        <v>4476</v>
      </c>
      <c r="E2609" t="s">
        <v>4456</v>
      </c>
      <c r="F2609" s="3">
        <v>45496</v>
      </c>
      <c r="G2609" s="3" t="s">
        <v>537</v>
      </c>
      <c r="I2609">
        <v>4</v>
      </c>
      <c r="J2609" t="s">
        <v>4440</v>
      </c>
      <c r="K2609" t="s">
        <v>4474</v>
      </c>
      <c r="L2609" t="s">
        <v>4461</v>
      </c>
      <c r="M2609" t="s">
        <v>4462</v>
      </c>
    </row>
    <row r="2610" spans="1:14" x14ac:dyDescent="0.35">
      <c r="A2610" t="s">
        <v>7089</v>
      </c>
      <c r="B2610" t="s">
        <v>230</v>
      </c>
      <c r="C2610" t="s">
        <v>1904</v>
      </c>
      <c r="D2610" t="s">
        <v>4438</v>
      </c>
      <c r="E2610" t="s">
        <v>4444</v>
      </c>
      <c r="F2610" s="3">
        <v>45071</v>
      </c>
      <c r="G2610" s="3">
        <v>45071</v>
      </c>
      <c r="H2610">
        <v>2.7</v>
      </c>
      <c r="I2610">
        <v>24</v>
      </c>
      <c r="J2610" t="s">
        <v>4448</v>
      </c>
      <c r="K2610" t="s">
        <v>4441</v>
      </c>
      <c r="L2610" t="s">
        <v>4580</v>
      </c>
      <c r="M2610" t="s">
        <v>4450</v>
      </c>
      <c r="N2610">
        <v>5</v>
      </c>
    </row>
    <row r="2611" spans="1:14" x14ac:dyDescent="0.35">
      <c r="A2611" t="s">
        <v>7090</v>
      </c>
      <c r="B2611" t="s">
        <v>406</v>
      </c>
      <c r="C2611" t="s">
        <v>1890</v>
      </c>
      <c r="D2611" t="s">
        <v>4490</v>
      </c>
      <c r="E2611" t="s">
        <v>4439</v>
      </c>
      <c r="F2611" s="3">
        <v>45572</v>
      </c>
      <c r="G2611" s="3">
        <v>45575</v>
      </c>
      <c r="H2611">
        <v>73</v>
      </c>
      <c r="I2611">
        <v>48</v>
      </c>
      <c r="J2611" t="s">
        <v>4440</v>
      </c>
      <c r="K2611" t="s">
        <v>4441</v>
      </c>
      <c r="L2611" t="s">
        <v>4483</v>
      </c>
      <c r="M2611" t="s">
        <v>4462</v>
      </c>
      <c r="N2611">
        <v>4</v>
      </c>
    </row>
    <row r="2612" spans="1:14" x14ac:dyDescent="0.35">
      <c r="A2612" t="s">
        <v>7091</v>
      </c>
      <c r="B2612" t="s">
        <v>360</v>
      </c>
      <c r="C2612" t="s">
        <v>1904</v>
      </c>
      <c r="D2612" t="s">
        <v>4464</v>
      </c>
      <c r="E2612" t="s">
        <v>4444</v>
      </c>
      <c r="F2612" s="3">
        <v>44997</v>
      </c>
      <c r="G2612" s="3" t="s">
        <v>537</v>
      </c>
      <c r="I2612">
        <v>24</v>
      </c>
      <c r="J2612" t="s">
        <v>4440</v>
      </c>
      <c r="K2612" t="s">
        <v>4453</v>
      </c>
      <c r="L2612" t="s">
        <v>4527</v>
      </c>
      <c r="M2612" t="s">
        <v>1625</v>
      </c>
    </row>
    <row r="2613" spans="1:14" x14ac:dyDescent="0.35">
      <c r="A2613" t="s">
        <v>7092</v>
      </c>
      <c r="B2613" t="s">
        <v>380</v>
      </c>
      <c r="C2613" t="s">
        <v>1927</v>
      </c>
      <c r="D2613" t="s">
        <v>4452</v>
      </c>
      <c r="E2613" t="s">
        <v>4473</v>
      </c>
      <c r="F2613" s="3">
        <v>45675</v>
      </c>
      <c r="G2613" s="3">
        <v>45675</v>
      </c>
      <c r="H2613">
        <v>3.9</v>
      </c>
      <c r="I2613">
        <v>8</v>
      </c>
      <c r="J2613" t="s">
        <v>4448</v>
      </c>
      <c r="K2613" t="s">
        <v>4441</v>
      </c>
      <c r="L2613" t="s">
        <v>4492</v>
      </c>
      <c r="M2613" t="s">
        <v>4446</v>
      </c>
    </row>
    <row r="2614" spans="1:14" x14ac:dyDescent="0.35">
      <c r="A2614" t="s">
        <v>7093</v>
      </c>
      <c r="B2614" t="s">
        <v>92</v>
      </c>
      <c r="C2614" t="s">
        <v>1883</v>
      </c>
      <c r="D2614" t="s">
        <v>4460</v>
      </c>
      <c r="E2614" t="s">
        <v>4444</v>
      </c>
      <c r="F2614" s="3">
        <v>45192</v>
      </c>
      <c r="G2614" s="3" t="s">
        <v>537</v>
      </c>
      <c r="I2614">
        <v>24</v>
      </c>
      <c r="J2614" t="s">
        <v>4440</v>
      </c>
      <c r="K2614" t="s">
        <v>4474</v>
      </c>
      <c r="L2614" t="s">
        <v>4445</v>
      </c>
      <c r="M2614" t="s">
        <v>4450</v>
      </c>
    </row>
    <row r="2615" spans="1:14" x14ac:dyDescent="0.35">
      <c r="A2615" t="s">
        <v>7094</v>
      </c>
      <c r="B2615" t="s">
        <v>493</v>
      </c>
      <c r="C2615" t="s">
        <v>1927</v>
      </c>
      <c r="D2615" t="s">
        <v>4464</v>
      </c>
      <c r="E2615" t="s">
        <v>4439</v>
      </c>
      <c r="F2615" s="3">
        <v>45444</v>
      </c>
      <c r="G2615" s="3">
        <v>45446</v>
      </c>
      <c r="H2615">
        <v>53.2</v>
      </c>
      <c r="I2615">
        <v>48</v>
      </c>
      <c r="J2615" t="s">
        <v>4440</v>
      </c>
      <c r="K2615" t="s">
        <v>4441</v>
      </c>
      <c r="L2615" t="s">
        <v>4514</v>
      </c>
      <c r="M2615" t="s">
        <v>4450</v>
      </c>
      <c r="N2615">
        <v>4</v>
      </c>
    </row>
    <row r="2616" spans="1:14" x14ac:dyDescent="0.35">
      <c r="A2616" t="s">
        <v>7095</v>
      </c>
      <c r="B2616" t="s">
        <v>472</v>
      </c>
      <c r="C2616" t="s">
        <v>1899</v>
      </c>
      <c r="D2616" t="s">
        <v>4469</v>
      </c>
      <c r="E2616" t="s">
        <v>4439</v>
      </c>
      <c r="F2616" s="3">
        <v>45137</v>
      </c>
      <c r="G2616" s="3">
        <v>45140</v>
      </c>
      <c r="H2616">
        <v>82.2</v>
      </c>
      <c r="I2616">
        <v>48</v>
      </c>
      <c r="J2616" t="s">
        <v>4440</v>
      </c>
      <c r="K2616" t="s">
        <v>4441</v>
      </c>
      <c r="L2616" t="s">
        <v>4445</v>
      </c>
      <c r="M2616" t="s">
        <v>4446</v>
      </c>
      <c r="N2616">
        <v>4</v>
      </c>
    </row>
    <row r="2617" spans="1:14" x14ac:dyDescent="0.35">
      <c r="A2617" t="s">
        <v>7096</v>
      </c>
      <c r="B2617" t="s">
        <v>124</v>
      </c>
      <c r="C2617" t="s">
        <v>1899</v>
      </c>
      <c r="D2617" t="s">
        <v>4464</v>
      </c>
      <c r="E2617" t="s">
        <v>4444</v>
      </c>
      <c r="F2617" s="3">
        <v>45054</v>
      </c>
      <c r="G2617" s="3">
        <v>45055</v>
      </c>
      <c r="H2617">
        <v>25.7</v>
      </c>
      <c r="I2617">
        <v>24</v>
      </c>
      <c r="J2617" t="s">
        <v>4440</v>
      </c>
      <c r="K2617" t="s">
        <v>4441</v>
      </c>
      <c r="L2617" t="s">
        <v>4449</v>
      </c>
      <c r="M2617" t="s">
        <v>4462</v>
      </c>
    </row>
    <row r="2618" spans="1:14" x14ac:dyDescent="0.35">
      <c r="A2618" t="s">
        <v>7097</v>
      </c>
      <c r="B2618" t="s">
        <v>372</v>
      </c>
      <c r="C2618" t="s">
        <v>1904</v>
      </c>
      <c r="D2618" t="s">
        <v>4482</v>
      </c>
      <c r="E2618" t="s">
        <v>4473</v>
      </c>
      <c r="F2618" s="3">
        <v>45091</v>
      </c>
      <c r="G2618" s="3">
        <v>45091</v>
      </c>
      <c r="H2618">
        <v>11.2</v>
      </c>
      <c r="I2618">
        <v>8</v>
      </c>
      <c r="J2618" t="s">
        <v>4440</v>
      </c>
      <c r="K2618" t="s">
        <v>4441</v>
      </c>
      <c r="L2618" t="s">
        <v>4488</v>
      </c>
      <c r="M2618" t="s">
        <v>1625</v>
      </c>
      <c r="N2618">
        <v>5</v>
      </c>
    </row>
    <row r="2619" spans="1:14" x14ac:dyDescent="0.35">
      <c r="A2619" t="s">
        <v>7098</v>
      </c>
      <c r="B2619" t="s">
        <v>461</v>
      </c>
      <c r="C2619" t="s">
        <v>1915</v>
      </c>
      <c r="D2619" t="s">
        <v>4469</v>
      </c>
      <c r="E2619" t="s">
        <v>4456</v>
      </c>
      <c r="F2619" s="3">
        <v>45143</v>
      </c>
      <c r="G2619" s="3">
        <v>45143</v>
      </c>
      <c r="H2619">
        <v>10</v>
      </c>
      <c r="I2619">
        <v>4</v>
      </c>
      <c r="J2619" t="s">
        <v>4440</v>
      </c>
      <c r="K2619" t="s">
        <v>4441</v>
      </c>
      <c r="L2619" t="s">
        <v>4465</v>
      </c>
      <c r="M2619" t="s">
        <v>4450</v>
      </c>
    </row>
    <row r="2620" spans="1:14" x14ac:dyDescent="0.35">
      <c r="A2620" t="s">
        <v>7099</v>
      </c>
      <c r="B2620" t="s">
        <v>120</v>
      </c>
      <c r="C2620" t="s">
        <v>1883</v>
      </c>
      <c r="D2620" t="s">
        <v>4472</v>
      </c>
      <c r="E2620" t="s">
        <v>4439</v>
      </c>
      <c r="F2620" s="3">
        <v>45088</v>
      </c>
      <c r="G2620" s="3" t="s">
        <v>537</v>
      </c>
      <c r="I2620">
        <v>48</v>
      </c>
      <c r="J2620" t="s">
        <v>4440</v>
      </c>
      <c r="K2620" t="s">
        <v>4474</v>
      </c>
      <c r="L2620" t="s">
        <v>4445</v>
      </c>
      <c r="M2620" t="s">
        <v>4462</v>
      </c>
    </row>
    <row r="2621" spans="1:14" x14ac:dyDescent="0.35">
      <c r="A2621" t="s">
        <v>7100</v>
      </c>
      <c r="B2621" t="s">
        <v>429</v>
      </c>
      <c r="C2621" t="s">
        <v>1915</v>
      </c>
      <c r="D2621" t="s">
        <v>4485</v>
      </c>
      <c r="E2621" t="s">
        <v>4439</v>
      </c>
      <c r="F2621" s="3">
        <v>45395</v>
      </c>
      <c r="G2621" s="3">
        <v>45397</v>
      </c>
      <c r="H2621">
        <v>57.1</v>
      </c>
      <c r="I2621">
        <v>48</v>
      </c>
      <c r="J2621" t="s">
        <v>4440</v>
      </c>
      <c r="K2621" t="s">
        <v>4441</v>
      </c>
      <c r="L2621" t="s">
        <v>4533</v>
      </c>
      <c r="M2621" t="s">
        <v>4446</v>
      </c>
      <c r="N2621">
        <v>3</v>
      </c>
    </row>
    <row r="2622" spans="1:14" x14ac:dyDescent="0.35">
      <c r="A2622" t="s">
        <v>7101</v>
      </c>
      <c r="B2622" t="s">
        <v>477</v>
      </c>
      <c r="C2622" t="s">
        <v>1899</v>
      </c>
      <c r="D2622" t="s">
        <v>4460</v>
      </c>
      <c r="E2622" t="s">
        <v>4439</v>
      </c>
      <c r="F2622" s="3">
        <v>45457</v>
      </c>
      <c r="G2622" s="3">
        <v>45460</v>
      </c>
      <c r="H2622">
        <v>80.5</v>
      </c>
      <c r="I2622">
        <v>48</v>
      </c>
      <c r="J2622" t="s">
        <v>4440</v>
      </c>
      <c r="K2622" t="s">
        <v>4441</v>
      </c>
      <c r="L2622" t="s">
        <v>4514</v>
      </c>
      <c r="M2622" t="s">
        <v>4450</v>
      </c>
      <c r="N2622">
        <v>5</v>
      </c>
    </row>
    <row r="2623" spans="1:14" x14ac:dyDescent="0.35">
      <c r="A2623" t="s">
        <v>7102</v>
      </c>
      <c r="B2623" t="s">
        <v>262</v>
      </c>
      <c r="C2623" t="s">
        <v>1899</v>
      </c>
      <c r="D2623" t="s">
        <v>4460</v>
      </c>
      <c r="E2623" t="s">
        <v>4444</v>
      </c>
      <c r="F2623" s="3">
        <v>45147</v>
      </c>
      <c r="G2623" s="3">
        <v>45148</v>
      </c>
      <c r="H2623">
        <v>41.9</v>
      </c>
      <c r="I2623">
        <v>24</v>
      </c>
      <c r="J2623" t="s">
        <v>4440</v>
      </c>
      <c r="K2623" t="s">
        <v>4441</v>
      </c>
      <c r="L2623" t="s">
        <v>4509</v>
      </c>
      <c r="M2623" t="s">
        <v>4446</v>
      </c>
      <c r="N2623">
        <v>3</v>
      </c>
    </row>
    <row r="2624" spans="1:14" x14ac:dyDescent="0.35">
      <c r="A2624" t="s">
        <v>7103</v>
      </c>
      <c r="B2624" t="s">
        <v>128</v>
      </c>
      <c r="C2624" t="s">
        <v>1883</v>
      </c>
      <c r="D2624" t="s">
        <v>4460</v>
      </c>
      <c r="E2624" t="s">
        <v>4456</v>
      </c>
      <c r="F2624" s="3">
        <v>45119</v>
      </c>
      <c r="G2624" s="3">
        <v>45119</v>
      </c>
      <c r="H2624">
        <v>6.9</v>
      </c>
      <c r="I2624">
        <v>4</v>
      </c>
      <c r="J2624" t="s">
        <v>4440</v>
      </c>
      <c r="K2624" t="s">
        <v>4441</v>
      </c>
      <c r="L2624" t="s">
        <v>4580</v>
      </c>
      <c r="M2624" t="s">
        <v>1625</v>
      </c>
    </row>
    <row r="2625" spans="1:14" x14ac:dyDescent="0.35">
      <c r="A2625" t="s">
        <v>7104</v>
      </c>
      <c r="B2625" t="s">
        <v>371</v>
      </c>
      <c r="C2625" t="s">
        <v>1904</v>
      </c>
      <c r="D2625" t="s">
        <v>4438</v>
      </c>
      <c r="E2625" t="s">
        <v>4473</v>
      </c>
      <c r="F2625" s="3">
        <v>45115</v>
      </c>
      <c r="G2625" s="3">
        <v>45115</v>
      </c>
      <c r="H2625">
        <v>6</v>
      </c>
      <c r="I2625">
        <v>8</v>
      </c>
      <c r="J2625" t="s">
        <v>4448</v>
      </c>
      <c r="K2625" t="s">
        <v>4441</v>
      </c>
      <c r="L2625" t="s">
        <v>4483</v>
      </c>
      <c r="M2625" t="s">
        <v>4446</v>
      </c>
      <c r="N2625">
        <v>3</v>
      </c>
    </row>
    <row r="2626" spans="1:14" x14ac:dyDescent="0.35">
      <c r="A2626" t="s">
        <v>7105</v>
      </c>
      <c r="B2626" t="s">
        <v>389</v>
      </c>
      <c r="C2626" t="s">
        <v>1890</v>
      </c>
      <c r="D2626" t="s">
        <v>4490</v>
      </c>
      <c r="E2626" t="s">
        <v>4439</v>
      </c>
      <c r="F2626" s="3">
        <v>45267</v>
      </c>
      <c r="G2626" s="3" t="s">
        <v>537</v>
      </c>
      <c r="I2626">
        <v>48</v>
      </c>
      <c r="J2626" t="s">
        <v>4440</v>
      </c>
      <c r="K2626" t="s">
        <v>4453</v>
      </c>
      <c r="L2626" t="s">
        <v>4501</v>
      </c>
      <c r="M2626" t="s">
        <v>1625</v>
      </c>
    </row>
    <row r="2627" spans="1:14" x14ac:dyDescent="0.35">
      <c r="A2627" t="s">
        <v>7106</v>
      </c>
      <c r="B2627" t="s">
        <v>277</v>
      </c>
      <c r="C2627" t="s">
        <v>1890</v>
      </c>
      <c r="D2627" t="s">
        <v>4472</v>
      </c>
      <c r="E2627" t="s">
        <v>4456</v>
      </c>
      <c r="F2627" s="3">
        <v>45103</v>
      </c>
      <c r="G2627" s="3" t="s">
        <v>537</v>
      </c>
      <c r="I2627">
        <v>4</v>
      </c>
      <c r="J2627" t="s">
        <v>4440</v>
      </c>
      <c r="K2627" t="s">
        <v>4474</v>
      </c>
      <c r="L2627" t="s">
        <v>4509</v>
      </c>
      <c r="M2627" t="s">
        <v>4450</v>
      </c>
    </row>
    <row r="2628" spans="1:14" x14ac:dyDescent="0.35">
      <c r="A2628" t="s">
        <v>7107</v>
      </c>
      <c r="B2628" t="s">
        <v>279</v>
      </c>
      <c r="C2628" t="s">
        <v>1899</v>
      </c>
      <c r="D2628" t="s">
        <v>4460</v>
      </c>
      <c r="E2628" t="s">
        <v>4456</v>
      </c>
      <c r="F2628" s="3">
        <v>44966</v>
      </c>
      <c r="G2628" s="3" t="s">
        <v>537</v>
      </c>
      <c r="I2628">
        <v>4</v>
      </c>
      <c r="J2628" t="s">
        <v>4440</v>
      </c>
      <c r="K2628" t="s">
        <v>4474</v>
      </c>
      <c r="L2628" t="s">
        <v>4488</v>
      </c>
      <c r="M2628" t="s">
        <v>1625</v>
      </c>
    </row>
    <row r="2629" spans="1:14" x14ac:dyDescent="0.35">
      <c r="A2629" t="s">
        <v>7108</v>
      </c>
      <c r="B2629" t="s">
        <v>260</v>
      </c>
      <c r="C2629" t="s">
        <v>1904</v>
      </c>
      <c r="D2629" t="s">
        <v>4443</v>
      </c>
      <c r="E2629" t="s">
        <v>4444</v>
      </c>
      <c r="F2629" s="3">
        <v>45024</v>
      </c>
      <c r="G2629" s="3">
        <v>45026</v>
      </c>
      <c r="H2629">
        <v>58.3</v>
      </c>
      <c r="I2629">
        <v>24</v>
      </c>
      <c r="J2629" t="s">
        <v>4440</v>
      </c>
      <c r="K2629" t="s">
        <v>4441</v>
      </c>
      <c r="L2629" t="s">
        <v>4449</v>
      </c>
      <c r="M2629" t="s">
        <v>4446</v>
      </c>
      <c r="N2629">
        <v>4</v>
      </c>
    </row>
    <row r="2630" spans="1:14" x14ac:dyDescent="0.35">
      <c r="A2630" t="s">
        <v>7109</v>
      </c>
      <c r="B2630" t="s">
        <v>494</v>
      </c>
      <c r="C2630" t="s">
        <v>1915</v>
      </c>
      <c r="D2630" t="s">
        <v>4443</v>
      </c>
      <c r="E2630" t="s">
        <v>4444</v>
      </c>
      <c r="F2630" s="3">
        <v>45592</v>
      </c>
      <c r="G2630" s="3">
        <v>45594</v>
      </c>
      <c r="H2630">
        <v>48.2</v>
      </c>
      <c r="I2630">
        <v>24</v>
      </c>
      <c r="J2630" t="s">
        <v>4440</v>
      </c>
      <c r="K2630" t="s">
        <v>4441</v>
      </c>
      <c r="L2630" t="s">
        <v>4527</v>
      </c>
      <c r="M2630" t="s">
        <v>4450</v>
      </c>
      <c r="N2630">
        <v>3</v>
      </c>
    </row>
    <row r="2631" spans="1:14" x14ac:dyDescent="0.35">
      <c r="A2631" t="s">
        <v>7110</v>
      </c>
      <c r="B2631" t="s">
        <v>495</v>
      </c>
      <c r="C2631" t="s">
        <v>1927</v>
      </c>
      <c r="D2631" t="s">
        <v>4479</v>
      </c>
      <c r="E2631" t="s">
        <v>4473</v>
      </c>
      <c r="F2631" s="3">
        <v>45343</v>
      </c>
      <c r="G2631" s="3" t="s">
        <v>537</v>
      </c>
      <c r="I2631">
        <v>8</v>
      </c>
      <c r="J2631" t="s">
        <v>4440</v>
      </c>
      <c r="K2631" t="s">
        <v>4474</v>
      </c>
      <c r="L2631" t="s">
        <v>4449</v>
      </c>
      <c r="M2631" t="s">
        <v>4446</v>
      </c>
    </row>
    <row r="2632" spans="1:14" x14ac:dyDescent="0.35">
      <c r="A2632" t="s">
        <v>7111</v>
      </c>
      <c r="B2632" t="s">
        <v>178</v>
      </c>
      <c r="C2632" t="s">
        <v>1890</v>
      </c>
      <c r="D2632" t="s">
        <v>4479</v>
      </c>
      <c r="E2632" t="s">
        <v>4444</v>
      </c>
      <c r="F2632" s="3">
        <v>45269</v>
      </c>
      <c r="G2632" s="3">
        <v>45270</v>
      </c>
      <c r="H2632">
        <v>36.9</v>
      </c>
      <c r="I2632">
        <v>24</v>
      </c>
      <c r="J2632" t="s">
        <v>4440</v>
      </c>
      <c r="K2632" t="s">
        <v>4441</v>
      </c>
      <c r="L2632" t="s">
        <v>4445</v>
      </c>
      <c r="M2632" t="s">
        <v>4462</v>
      </c>
      <c r="N2632">
        <v>5</v>
      </c>
    </row>
    <row r="2633" spans="1:14" x14ac:dyDescent="0.35">
      <c r="A2633" t="s">
        <v>7112</v>
      </c>
      <c r="B2633" t="s">
        <v>18</v>
      </c>
      <c r="C2633" t="s">
        <v>1915</v>
      </c>
      <c r="D2633" t="s">
        <v>4482</v>
      </c>
      <c r="E2633" t="s">
        <v>4473</v>
      </c>
      <c r="F2633" s="3">
        <v>45024</v>
      </c>
      <c r="G2633" s="3">
        <v>45024</v>
      </c>
      <c r="H2633">
        <v>3.4</v>
      </c>
      <c r="I2633">
        <v>8</v>
      </c>
      <c r="J2633" t="s">
        <v>4448</v>
      </c>
      <c r="K2633" t="s">
        <v>4441</v>
      </c>
      <c r="L2633" t="s">
        <v>4461</v>
      </c>
      <c r="M2633" t="s">
        <v>4450</v>
      </c>
      <c r="N2633">
        <v>4</v>
      </c>
    </row>
    <row r="2634" spans="1:14" x14ac:dyDescent="0.35">
      <c r="A2634" t="s">
        <v>7113</v>
      </c>
      <c r="B2634" t="s">
        <v>408</v>
      </c>
      <c r="C2634" t="s">
        <v>1927</v>
      </c>
      <c r="D2634" t="s">
        <v>4443</v>
      </c>
      <c r="E2634" t="s">
        <v>4473</v>
      </c>
      <c r="F2634" s="3">
        <v>45688</v>
      </c>
      <c r="G2634" s="3">
        <v>45688</v>
      </c>
      <c r="H2634">
        <v>13.8</v>
      </c>
      <c r="I2634">
        <v>8</v>
      </c>
      <c r="J2634" t="s">
        <v>4440</v>
      </c>
      <c r="K2634" t="s">
        <v>4441</v>
      </c>
      <c r="L2634" t="s">
        <v>4470</v>
      </c>
      <c r="M2634" t="s">
        <v>4450</v>
      </c>
      <c r="N2634">
        <v>4</v>
      </c>
    </row>
    <row r="2635" spans="1:14" x14ac:dyDescent="0.35">
      <c r="A2635" t="s">
        <v>7114</v>
      </c>
      <c r="B2635" t="s">
        <v>363</v>
      </c>
      <c r="C2635" t="s">
        <v>1883</v>
      </c>
      <c r="D2635" t="s">
        <v>4460</v>
      </c>
      <c r="E2635" t="s">
        <v>4444</v>
      </c>
      <c r="F2635" s="3">
        <v>45720</v>
      </c>
      <c r="G2635" s="3">
        <v>45721</v>
      </c>
      <c r="H2635">
        <v>32.6</v>
      </c>
      <c r="I2635">
        <v>24</v>
      </c>
      <c r="J2635" t="s">
        <v>4440</v>
      </c>
      <c r="K2635" t="s">
        <v>4441</v>
      </c>
      <c r="L2635" t="s">
        <v>4470</v>
      </c>
      <c r="M2635" t="s">
        <v>4462</v>
      </c>
      <c r="N2635">
        <v>3</v>
      </c>
    </row>
    <row r="2636" spans="1:14" x14ac:dyDescent="0.35">
      <c r="A2636" t="s">
        <v>7115</v>
      </c>
      <c r="B2636" t="s">
        <v>249</v>
      </c>
      <c r="C2636" t="s">
        <v>1904</v>
      </c>
      <c r="D2636" t="s">
        <v>4443</v>
      </c>
      <c r="E2636" t="s">
        <v>4439</v>
      </c>
      <c r="F2636" s="3">
        <v>45232</v>
      </c>
      <c r="G2636" s="3">
        <v>45233</v>
      </c>
      <c r="H2636">
        <v>31.4</v>
      </c>
      <c r="I2636">
        <v>48</v>
      </c>
      <c r="J2636" t="s">
        <v>4448</v>
      </c>
      <c r="K2636" t="s">
        <v>4441</v>
      </c>
      <c r="L2636" t="s">
        <v>4483</v>
      </c>
      <c r="M2636" t="s">
        <v>4446</v>
      </c>
      <c r="N2636">
        <v>3</v>
      </c>
    </row>
    <row r="2637" spans="1:14" x14ac:dyDescent="0.35">
      <c r="A2637" t="s">
        <v>7116</v>
      </c>
      <c r="B2637" t="s">
        <v>451</v>
      </c>
      <c r="C2637" t="s">
        <v>1915</v>
      </c>
      <c r="D2637" t="s">
        <v>4476</v>
      </c>
      <c r="E2637" t="s">
        <v>4444</v>
      </c>
      <c r="F2637" s="3">
        <v>45031</v>
      </c>
      <c r="G2637" s="3">
        <v>45032</v>
      </c>
      <c r="H2637">
        <v>45.6</v>
      </c>
      <c r="I2637">
        <v>24</v>
      </c>
      <c r="J2637" t="s">
        <v>4440</v>
      </c>
      <c r="K2637" t="s">
        <v>4441</v>
      </c>
      <c r="L2637" t="s">
        <v>4483</v>
      </c>
      <c r="M2637" t="s">
        <v>4450</v>
      </c>
      <c r="N2637">
        <v>4</v>
      </c>
    </row>
    <row r="2638" spans="1:14" x14ac:dyDescent="0.35">
      <c r="A2638" t="s">
        <v>7117</v>
      </c>
      <c r="B2638" t="s">
        <v>384</v>
      </c>
      <c r="C2638" t="s">
        <v>1883</v>
      </c>
      <c r="D2638" t="s">
        <v>4452</v>
      </c>
      <c r="E2638" t="s">
        <v>4439</v>
      </c>
      <c r="F2638" s="3">
        <v>45697</v>
      </c>
      <c r="G2638" s="3" t="s">
        <v>537</v>
      </c>
      <c r="I2638">
        <v>48</v>
      </c>
      <c r="J2638" t="s">
        <v>4440</v>
      </c>
      <c r="K2638" t="s">
        <v>4474</v>
      </c>
      <c r="L2638" t="s">
        <v>4580</v>
      </c>
      <c r="M2638" t="s">
        <v>1625</v>
      </c>
    </row>
    <row r="2639" spans="1:14" x14ac:dyDescent="0.35">
      <c r="A2639" t="s">
        <v>7118</v>
      </c>
      <c r="B2639" t="s">
        <v>411</v>
      </c>
      <c r="C2639" t="s">
        <v>1904</v>
      </c>
      <c r="D2639" t="s">
        <v>4485</v>
      </c>
      <c r="E2639" t="s">
        <v>4456</v>
      </c>
      <c r="F2639" s="3">
        <v>45231</v>
      </c>
      <c r="G2639" s="3">
        <v>45231</v>
      </c>
      <c r="H2639">
        <v>9.1999999999999993</v>
      </c>
      <c r="I2639">
        <v>4</v>
      </c>
      <c r="J2639" t="s">
        <v>4440</v>
      </c>
      <c r="K2639" t="s">
        <v>4441</v>
      </c>
      <c r="L2639" t="s">
        <v>4449</v>
      </c>
      <c r="M2639" t="s">
        <v>4450</v>
      </c>
      <c r="N2639">
        <v>1</v>
      </c>
    </row>
    <row r="2640" spans="1:14" x14ac:dyDescent="0.35">
      <c r="A2640" t="s">
        <v>7119</v>
      </c>
      <c r="B2640" t="s">
        <v>353</v>
      </c>
      <c r="C2640" t="s">
        <v>1927</v>
      </c>
      <c r="D2640" t="s">
        <v>4472</v>
      </c>
      <c r="E2640" t="s">
        <v>4444</v>
      </c>
      <c r="F2640" s="3">
        <v>45140</v>
      </c>
      <c r="G2640" s="3" t="s">
        <v>537</v>
      </c>
      <c r="I2640">
        <v>24</v>
      </c>
      <c r="J2640" t="s">
        <v>4440</v>
      </c>
      <c r="K2640" t="s">
        <v>4457</v>
      </c>
      <c r="L2640" t="s">
        <v>1907</v>
      </c>
      <c r="M2640" t="s">
        <v>4450</v>
      </c>
    </row>
    <row r="2641" spans="1:14" x14ac:dyDescent="0.35">
      <c r="A2641" t="s">
        <v>7120</v>
      </c>
      <c r="B2641" t="s">
        <v>80</v>
      </c>
      <c r="C2641" t="s">
        <v>1899</v>
      </c>
      <c r="D2641" t="s">
        <v>8513</v>
      </c>
      <c r="E2641" t="s">
        <v>4473</v>
      </c>
      <c r="F2641" s="3">
        <v>45390</v>
      </c>
      <c r="G2641" s="3">
        <v>45390</v>
      </c>
      <c r="H2641">
        <v>10.4</v>
      </c>
      <c r="I2641">
        <v>8</v>
      </c>
      <c r="J2641" t="s">
        <v>4440</v>
      </c>
      <c r="K2641" t="s">
        <v>4441</v>
      </c>
      <c r="L2641" t="s">
        <v>4488</v>
      </c>
      <c r="M2641" t="s">
        <v>4446</v>
      </c>
      <c r="N2641">
        <v>5</v>
      </c>
    </row>
    <row r="2642" spans="1:14" x14ac:dyDescent="0.35">
      <c r="A2642" t="s">
        <v>7121</v>
      </c>
      <c r="B2642" t="s">
        <v>88</v>
      </c>
      <c r="C2642" t="s">
        <v>1890</v>
      </c>
      <c r="D2642" t="s">
        <v>4485</v>
      </c>
      <c r="E2642" t="s">
        <v>4444</v>
      </c>
      <c r="F2642" s="3">
        <v>45396</v>
      </c>
      <c r="G2642" s="3">
        <v>45396</v>
      </c>
      <c r="H2642">
        <v>5</v>
      </c>
      <c r="I2642">
        <v>24</v>
      </c>
      <c r="J2642" t="s">
        <v>4448</v>
      </c>
      <c r="K2642" t="s">
        <v>4441</v>
      </c>
      <c r="L2642" t="s">
        <v>4480</v>
      </c>
      <c r="M2642" t="s">
        <v>4450</v>
      </c>
    </row>
    <row r="2643" spans="1:14" x14ac:dyDescent="0.35">
      <c r="A2643" t="s">
        <v>7122</v>
      </c>
      <c r="B2643" t="s">
        <v>471</v>
      </c>
      <c r="C2643" t="s">
        <v>1890</v>
      </c>
      <c r="D2643" t="s">
        <v>4469</v>
      </c>
      <c r="E2643" t="s">
        <v>4439</v>
      </c>
      <c r="F2643" s="3">
        <v>45526</v>
      </c>
      <c r="G2643" s="3">
        <v>45528</v>
      </c>
      <c r="H2643">
        <v>55</v>
      </c>
      <c r="I2643">
        <v>48</v>
      </c>
      <c r="J2643" t="s">
        <v>4440</v>
      </c>
      <c r="K2643" t="s">
        <v>4441</v>
      </c>
      <c r="L2643" t="s">
        <v>4488</v>
      </c>
      <c r="M2643" t="s">
        <v>1625</v>
      </c>
      <c r="N2643">
        <v>5</v>
      </c>
    </row>
    <row r="2644" spans="1:14" x14ac:dyDescent="0.35">
      <c r="A2644" t="s">
        <v>7123</v>
      </c>
      <c r="B2644" t="s">
        <v>406</v>
      </c>
      <c r="C2644" t="s">
        <v>1904</v>
      </c>
      <c r="D2644" t="s">
        <v>4482</v>
      </c>
      <c r="E2644" t="s">
        <v>4473</v>
      </c>
      <c r="F2644" s="3">
        <v>45187</v>
      </c>
      <c r="G2644" s="3">
        <v>45187</v>
      </c>
      <c r="H2644">
        <v>3.8</v>
      </c>
      <c r="I2644">
        <v>8</v>
      </c>
      <c r="J2644" t="s">
        <v>4448</v>
      </c>
      <c r="K2644" t="s">
        <v>4441</v>
      </c>
      <c r="L2644" t="s">
        <v>4454</v>
      </c>
      <c r="M2644" t="s">
        <v>4450</v>
      </c>
      <c r="N2644">
        <v>3</v>
      </c>
    </row>
    <row r="2645" spans="1:14" x14ac:dyDescent="0.35">
      <c r="A2645" t="s">
        <v>7124</v>
      </c>
      <c r="B2645" t="s">
        <v>481</v>
      </c>
      <c r="C2645" t="s">
        <v>1904</v>
      </c>
      <c r="D2645" t="s">
        <v>4472</v>
      </c>
      <c r="E2645" t="s">
        <v>4444</v>
      </c>
      <c r="F2645" s="3">
        <v>45392</v>
      </c>
      <c r="G2645" s="3" t="s">
        <v>537</v>
      </c>
      <c r="I2645">
        <v>24</v>
      </c>
      <c r="J2645" t="s">
        <v>4448</v>
      </c>
      <c r="K2645" t="s">
        <v>4474</v>
      </c>
      <c r="L2645" t="s">
        <v>4467</v>
      </c>
      <c r="M2645" t="s">
        <v>4450</v>
      </c>
    </row>
    <row r="2646" spans="1:14" x14ac:dyDescent="0.35">
      <c r="A2646" t="s">
        <v>7125</v>
      </c>
      <c r="B2646" t="s">
        <v>348</v>
      </c>
      <c r="C2646" t="s">
        <v>1915</v>
      </c>
      <c r="D2646" t="s">
        <v>4443</v>
      </c>
      <c r="E2646" t="s">
        <v>4473</v>
      </c>
      <c r="F2646" s="3">
        <v>45131</v>
      </c>
      <c r="G2646" s="3">
        <v>45131</v>
      </c>
      <c r="H2646">
        <v>9.4</v>
      </c>
      <c r="I2646">
        <v>8</v>
      </c>
      <c r="J2646" t="s">
        <v>4440</v>
      </c>
      <c r="K2646" t="s">
        <v>4441</v>
      </c>
      <c r="L2646" t="s">
        <v>4514</v>
      </c>
      <c r="M2646" t="s">
        <v>4450</v>
      </c>
      <c r="N2646">
        <v>4</v>
      </c>
    </row>
    <row r="2647" spans="1:14" x14ac:dyDescent="0.35">
      <c r="A2647" t="s">
        <v>7126</v>
      </c>
      <c r="B2647" t="s">
        <v>228</v>
      </c>
      <c r="C2647" t="s">
        <v>1904</v>
      </c>
      <c r="D2647" t="s">
        <v>4469</v>
      </c>
      <c r="E2647" t="s">
        <v>4444</v>
      </c>
      <c r="F2647" s="3">
        <v>45700</v>
      </c>
      <c r="G2647" s="3" t="s">
        <v>537</v>
      </c>
      <c r="I2647">
        <v>24</v>
      </c>
      <c r="J2647" t="s">
        <v>4448</v>
      </c>
      <c r="K2647" t="s">
        <v>4453</v>
      </c>
      <c r="L2647" t="s">
        <v>4488</v>
      </c>
      <c r="M2647" t="s">
        <v>4446</v>
      </c>
    </row>
    <row r="2648" spans="1:14" x14ac:dyDescent="0.35">
      <c r="A2648" t="s">
        <v>7127</v>
      </c>
      <c r="B2648" t="s">
        <v>118</v>
      </c>
      <c r="C2648" t="s">
        <v>1904</v>
      </c>
      <c r="D2648" t="s">
        <v>4443</v>
      </c>
      <c r="E2648" t="s">
        <v>4444</v>
      </c>
      <c r="F2648" s="3">
        <v>45000</v>
      </c>
      <c r="G2648" s="3" t="s">
        <v>537</v>
      </c>
      <c r="I2648">
        <v>24</v>
      </c>
      <c r="J2648" t="s">
        <v>4440</v>
      </c>
      <c r="K2648" t="s">
        <v>4474</v>
      </c>
      <c r="L2648" t="s">
        <v>4527</v>
      </c>
      <c r="M2648" t="s">
        <v>4450</v>
      </c>
    </row>
    <row r="2649" spans="1:14" x14ac:dyDescent="0.35">
      <c r="A2649" t="s">
        <v>7128</v>
      </c>
      <c r="B2649" t="s">
        <v>285</v>
      </c>
      <c r="C2649" t="s">
        <v>1899</v>
      </c>
      <c r="D2649" t="s">
        <v>4464</v>
      </c>
      <c r="E2649" t="s">
        <v>4444</v>
      </c>
      <c r="F2649" s="3">
        <v>45394</v>
      </c>
      <c r="G2649" s="3">
        <v>45395</v>
      </c>
      <c r="H2649">
        <v>26.6</v>
      </c>
      <c r="I2649">
        <v>24</v>
      </c>
      <c r="J2649" t="s">
        <v>4440</v>
      </c>
      <c r="K2649" t="s">
        <v>4441</v>
      </c>
      <c r="L2649" t="s">
        <v>4580</v>
      </c>
      <c r="M2649" t="s">
        <v>4462</v>
      </c>
      <c r="N2649">
        <v>5</v>
      </c>
    </row>
    <row r="2650" spans="1:14" x14ac:dyDescent="0.35">
      <c r="A2650" t="s">
        <v>7129</v>
      </c>
      <c r="B2650" t="s">
        <v>411</v>
      </c>
      <c r="C2650" t="s">
        <v>1899</v>
      </c>
      <c r="D2650" t="s">
        <v>4476</v>
      </c>
      <c r="E2650" t="s">
        <v>4456</v>
      </c>
      <c r="F2650" s="3">
        <v>45328</v>
      </c>
      <c r="G2650" s="3">
        <v>45328</v>
      </c>
      <c r="H2650">
        <v>5.8</v>
      </c>
      <c r="I2650">
        <v>4</v>
      </c>
      <c r="J2650" t="s">
        <v>4440</v>
      </c>
      <c r="K2650" t="s">
        <v>4441</v>
      </c>
      <c r="L2650" t="s">
        <v>4509</v>
      </c>
      <c r="M2650" t="s">
        <v>1625</v>
      </c>
      <c r="N2650">
        <v>2</v>
      </c>
    </row>
    <row r="2651" spans="1:14" x14ac:dyDescent="0.35">
      <c r="A2651" t="s">
        <v>7130</v>
      </c>
      <c r="B2651" t="s">
        <v>402</v>
      </c>
      <c r="C2651" t="s">
        <v>1890</v>
      </c>
      <c r="D2651" t="s">
        <v>4479</v>
      </c>
      <c r="E2651" t="s">
        <v>4444</v>
      </c>
      <c r="F2651" s="3">
        <v>45391</v>
      </c>
      <c r="G2651" s="3">
        <v>45392</v>
      </c>
      <c r="H2651">
        <v>37.4</v>
      </c>
      <c r="I2651">
        <v>24</v>
      </c>
      <c r="J2651" t="s">
        <v>4440</v>
      </c>
      <c r="K2651" t="s">
        <v>4441</v>
      </c>
      <c r="L2651" t="s">
        <v>4492</v>
      </c>
      <c r="M2651" t="s">
        <v>1625</v>
      </c>
      <c r="N2651">
        <v>4</v>
      </c>
    </row>
    <row r="2652" spans="1:14" x14ac:dyDescent="0.35">
      <c r="A2652" t="s">
        <v>7131</v>
      </c>
      <c r="B2652" t="s">
        <v>398</v>
      </c>
      <c r="C2652" t="s">
        <v>1927</v>
      </c>
      <c r="D2652" t="s">
        <v>4479</v>
      </c>
      <c r="E2652" t="s">
        <v>4439</v>
      </c>
      <c r="F2652" s="3">
        <v>45620</v>
      </c>
      <c r="G2652" s="3">
        <v>45621</v>
      </c>
      <c r="H2652">
        <v>46.2</v>
      </c>
      <c r="I2652">
        <v>48</v>
      </c>
      <c r="J2652" t="s">
        <v>4448</v>
      </c>
      <c r="K2652" t="s">
        <v>4441</v>
      </c>
      <c r="L2652" t="s">
        <v>4509</v>
      </c>
      <c r="M2652" t="s">
        <v>4462</v>
      </c>
      <c r="N2652">
        <v>4</v>
      </c>
    </row>
    <row r="2653" spans="1:14" x14ac:dyDescent="0.35">
      <c r="A2653" t="s">
        <v>7132</v>
      </c>
      <c r="B2653" t="s">
        <v>133</v>
      </c>
      <c r="C2653" t="s">
        <v>1915</v>
      </c>
      <c r="D2653" t="s">
        <v>4479</v>
      </c>
      <c r="E2653" t="s">
        <v>4444</v>
      </c>
      <c r="F2653" s="3">
        <v>45377</v>
      </c>
      <c r="G2653" s="3">
        <v>45377</v>
      </c>
      <c r="H2653">
        <v>13</v>
      </c>
      <c r="I2653">
        <v>24</v>
      </c>
      <c r="J2653" t="s">
        <v>4448</v>
      </c>
      <c r="K2653" t="s">
        <v>4441</v>
      </c>
      <c r="L2653" t="s">
        <v>4461</v>
      </c>
      <c r="M2653" t="s">
        <v>4450</v>
      </c>
    </row>
    <row r="2654" spans="1:14" x14ac:dyDescent="0.35">
      <c r="A2654" t="s">
        <v>7133</v>
      </c>
      <c r="B2654" t="s">
        <v>167</v>
      </c>
      <c r="C2654" t="s">
        <v>1883</v>
      </c>
      <c r="D2654" t="s">
        <v>4438</v>
      </c>
      <c r="E2654" t="s">
        <v>4444</v>
      </c>
      <c r="F2654" s="3">
        <v>45105</v>
      </c>
      <c r="G2654" s="3">
        <v>45106</v>
      </c>
      <c r="H2654">
        <v>35.299999999999997</v>
      </c>
      <c r="I2654">
        <v>24</v>
      </c>
      <c r="J2654" t="s">
        <v>4440</v>
      </c>
      <c r="K2654" t="s">
        <v>4441</v>
      </c>
      <c r="L2654" t="s">
        <v>4533</v>
      </c>
      <c r="M2654" t="s">
        <v>4462</v>
      </c>
      <c r="N2654">
        <v>3</v>
      </c>
    </row>
    <row r="2655" spans="1:14" x14ac:dyDescent="0.35">
      <c r="A2655" t="s">
        <v>7134</v>
      </c>
      <c r="B2655" t="s">
        <v>382</v>
      </c>
      <c r="C2655" t="s">
        <v>1904</v>
      </c>
      <c r="D2655" t="s">
        <v>4490</v>
      </c>
      <c r="E2655" t="s">
        <v>4473</v>
      </c>
      <c r="F2655" s="3">
        <v>45518</v>
      </c>
      <c r="G2655" s="3">
        <v>45518</v>
      </c>
      <c r="H2655">
        <v>17.2</v>
      </c>
      <c r="I2655">
        <v>8</v>
      </c>
      <c r="J2655" t="s">
        <v>4440</v>
      </c>
      <c r="K2655" t="s">
        <v>4441</v>
      </c>
      <c r="L2655" t="s">
        <v>4480</v>
      </c>
      <c r="M2655" t="s">
        <v>1625</v>
      </c>
    </row>
    <row r="2656" spans="1:14" x14ac:dyDescent="0.35">
      <c r="A2656" t="s">
        <v>7135</v>
      </c>
      <c r="B2656" t="s">
        <v>101</v>
      </c>
      <c r="C2656" t="s">
        <v>1927</v>
      </c>
      <c r="D2656" t="s">
        <v>4452</v>
      </c>
      <c r="E2656" t="s">
        <v>4456</v>
      </c>
      <c r="F2656" s="3">
        <v>45623</v>
      </c>
      <c r="G2656" s="3">
        <v>45623</v>
      </c>
      <c r="H2656">
        <v>7.8</v>
      </c>
      <c r="I2656">
        <v>4</v>
      </c>
      <c r="J2656" t="s">
        <v>4440</v>
      </c>
      <c r="K2656" t="s">
        <v>4441</v>
      </c>
      <c r="L2656" t="s">
        <v>4527</v>
      </c>
      <c r="M2656" t="s">
        <v>4462</v>
      </c>
      <c r="N2656">
        <v>5</v>
      </c>
    </row>
    <row r="2657" spans="1:14" x14ac:dyDescent="0.35">
      <c r="A2657" t="s">
        <v>7136</v>
      </c>
      <c r="B2657" t="s">
        <v>466</v>
      </c>
      <c r="C2657" t="s">
        <v>1890</v>
      </c>
      <c r="D2657" t="s">
        <v>4460</v>
      </c>
      <c r="E2657" t="s">
        <v>4439</v>
      </c>
      <c r="F2657" s="3">
        <v>45541</v>
      </c>
      <c r="G2657" s="3">
        <v>45545</v>
      </c>
      <c r="H2657">
        <v>104.2</v>
      </c>
      <c r="I2657">
        <v>48</v>
      </c>
      <c r="J2657" t="s">
        <v>4440</v>
      </c>
      <c r="K2657" t="s">
        <v>4441</v>
      </c>
      <c r="L2657" t="s">
        <v>4449</v>
      </c>
      <c r="M2657" t="s">
        <v>4446</v>
      </c>
    </row>
    <row r="2658" spans="1:14" x14ac:dyDescent="0.35">
      <c r="A2658" t="s">
        <v>7137</v>
      </c>
      <c r="B2658" t="s">
        <v>312</v>
      </c>
      <c r="C2658" t="s">
        <v>1890</v>
      </c>
      <c r="D2658" t="s">
        <v>4452</v>
      </c>
      <c r="E2658" t="s">
        <v>4444</v>
      </c>
      <c r="F2658" s="3">
        <v>45668</v>
      </c>
      <c r="G2658" s="3" t="s">
        <v>537</v>
      </c>
      <c r="I2658">
        <v>24</v>
      </c>
      <c r="J2658" t="s">
        <v>4440</v>
      </c>
      <c r="K2658" t="s">
        <v>4457</v>
      </c>
      <c r="L2658" t="s">
        <v>4527</v>
      </c>
      <c r="M2658" t="s">
        <v>4462</v>
      </c>
    </row>
    <row r="2659" spans="1:14" x14ac:dyDescent="0.35">
      <c r="A2659" t="s">
        <v>7138</v>
      </c>
      <c r="B2659" t="s">
        <v>451</v>
      </c>
      <c r="C2659" t="s">
        <v>1927</v>
      </c>
      <c r="D2659" t="s">
        <v>4443</v>
      </c>
      <c r="E2659" t="s">
        <v>4439</v>
      </c>
      <c r="F2659" s="3">
        <v>45650</v>
      </c>
      <c r="G2659" s="3">
        <v>45652</v>
      </c>
      <c r="H2659">
        <v>48.4</v>
      </c>
      <c r="I2659">
        <v>48</v>
      </c>
      <c r="J2659" t="s">
        <v>4440</v>
      </c>
      <c r="K2659" t="s">
        <v>4441</v>
      </c>
      <c r="L2659" t="s">
        <v>4445</v>
      </c>
      <c r="M2659" t="s">
        <v>4450</v>
      </c>
    </row>
    <row r="2660" spans="1:14" x14ac:dyDescent="0.35">
      <c r="A2660" t="s">
        <v>7139</v>
      </c>
      <c r="B2660" t="s">
        <v>330</v>
      </c>
      <c r="C2660" t="s">
        <v>1890</v>
      </c>
      <c r="D2660" t="s">
        <v>4490</v>
      </c>
      <c r="E2660" t="s">
        <v>4439</v>
      </c>
      <c r="F2660" s="3">
        <v>45550</v>
      </c>
      <c r="G2660" s="3" t="s">
        <v>537</v>
      </c>
      <c r="I2660">
        <v>48</v>
      </c>
      <c r="J2660" t="s">
        <v>4440</v>
      </c>
      <c r="K2660" t="s">
        <v>4457</v>
      </c>
      <c r="L2660" t="s">
        <v>4509</v>
      </c>
      <c r="M2660" t="s">
        <v>1625</v>
      </c>
    </row>
    <row r="2661" spans="1:14" x14ac:dyDescent="0.35">
      <c r="A2661" t="s">
        <v>7140</v>
      </c>
      <c r="B2661" t="s">
        <v>293</v>
      </c>
      <c r="C2661" t="s">
        <v>1899</v>
      </c>
      <c r="D2661" t="s">
        <v>4438</v>
      </c>
      <c r="E2661" t="s">
        <v>4473</v>
      </c>
      <c r="F2661" s="3">
        <v>45492</v>
      </c>
      <c r="G2661" s="3" t="s">
        <v>537</v>
      </c>
      <c r="I2661">
        <v>8</v>
      </c>
      <c r="J2661" t="s">
        <v>4440</v>
      </c>
      <c r="K2661" t="s">
        <v>4457</v>
      </c>
      <c r="L2661" t="s">
        <v>4527</v>
      </c>
      <c r="M2661" t="s">
        <v>4446</v>
      </c>
    </row>
    <row r="2662" spans="1:14" x14ac:dyDescent="0.35">
      <c r="A2662" t="s">
        <v>7141</v>
      </c>
      <c r="B2662" t="s">
        <v>436</v>
      </c>
      <c r="C2662" t="s">
        <v>1915</v>
      </c>
      <c r="D2662" t="s">
        <v>4460</v>
      </c>
      <c r="E2662" t="s">
        <v>4473</v>
      </c>
      <c r="F2662" s="3">
        <v>45440</v>
      </c>
      <c r="G2662" s="3" t="s">
        <v>537</v>
      </c>
      <c r="I2662">
        <v>8</v>
      </c>
      <c r="J2662" t="s">
        <v>4440</v>
      </c>
      <c r="K2662" t="s">
        <v>4457</v>
      </c>
      <c r="L2662" t="s">
        <v>4470</v>
      </c>
      <c r="M2662" t="s">
        <v>4462</v>
      </c>
    </row>
    <row r="2663" spans="1:14" x14ac:dyDescent="0.35">
      <c r="A2663" t="s">
        <v>7142</v>
      </c>
      <c r="B2663" t="s">
        <v>433</v>
      </c>
      <c r="C2663" t="s">
        <v>1904</v>
      </c>
      <c r="D2663" t="s">
        <v>4452</v>
      </c>
      <c r="E2663" t="s">
        <v>4444</v>
      </c>
      <c r="F2663" s="3">
        <v>45713</v>
      </c>
      <c r="G2663" s="3">
        <v>45713</v>
      </c>
      <c r="H2663">
        <v>15</v>
      </c>
      <c r="I2663">
        <v>24</v>
      </c>
      <c r="J2663" t="s">
        <v>4448</v>
      </c>
      <c r="K2663" t="s">
        <v>4441</v>
      </c>
      <c r="L2663" t="s">
        <v>4470</v>
      </c>
      <c r="M2663" t="s">
        <v>4446</v>
      </c>
      <c r="N2663">
        <v>4</v>
      </c>
    </row>
    <row r="2664" spans="1:14" x14ac:dyDescent="0.35">
      <c r="A2664" t="s">
        <v>7143</v>
      </c>
      <c r="B2664" t="s">
        <v>429</v>
      </c>
      <c r="C2664" t="s">
        <v>1927</v>
      </c>
      <c r="D2664" t="s">
        <v>4443</v>
      </c>
      <c r="E2664" t="s">
        <v>4473</v>
      </c>
      <c r="F2664" s="3">
        <v>45050</v>
      </c>
      <c r="G2664" s="3">
        <v>45050</v>
      </c>
      <c r="H2664">
        <v>19</v>
      </c>
      <c r="I2664">
        <v>8</v>
      </c>
      <c r="J2664" t="s">
        <v>4440</v>
      </c>
      <c r="K2664" t="s">
        <v>4441</v>
      </c>
      <c r="L2664" t="s">
        <v>4461</v>
      </c>
      <c r="M2664" t="s">
        <v>4446</v>
      </c>
      <c r="N2664">
        <v>4</v>
      </c>
    </row>
    <row r="2665" spans="1:14" x14ac:dyDescent="0.35">
      <c r="A2665" t="s">
        <v>7144</v>
      </c>
      <c r="B2665" t="s">
        <v>260</v>
      </c>
      <c r="C2665" t="s">
        <v>1927</v>
      </c>
      <c r="D2665" t="s">
        <v>4464</v>
      </c>
      <c r="E2665" t="s">
        <v>4456</v>
      </c>
      <c r="F2665" s="3">
        <v>45414</v>
      </c>
      <c r="G2665" s="3">
        <v>45414</v>
      </c>
      <c r="H2665">
        <v>6.8</v>
      </c>
      <c r="I2665">
        <v>4</v>
      </c>
      <c r="J2665" t="s">
        <v>4440</v>
      </c>
      <c r="K2665" t="s">
        <v>4441</v>
      </c>
      <c r="L2665" t="s">
        <v>4461</v>
      </c>
      <c r="M2665" t="s">
        <v>4446</v>
      </c>
      <c r="N2665">
        <v>2</v>
      </c>
    </row>
    <row r="2666" spans="1:14" x14ac:dyDescent="0.35">
      <c r="A2666" t="s">
        <v>7145</v>
      </c>
      <c r="B2666" t="s">
        <v>142</v>
      </c>
      <c r="C2666" t="s">
        <v>1883</v>
      </c>
      <c r="D2666" t="s">
        <v>4482</v>
      </c>
      <c r="E2666" t="s">
        <v>4439</v>
      </c>
      <c r="F2666" s="3">
        <v>45402</v>
      </c>
      <c r="G2666" s="3">
        <v>45402</v>
      </c>
      <c r="H2666">
        <v>20.9</v>
      </c>
      <c r="I2666">
        <v>48</v>
      </c>
      <c r="J2666" t="s">
        <v>4448</v>
      </c>
      <c r="K2666" t="s">
        <v>4441</v>
      </c>
      <c r="L2666" t="s">
        <v>1907</v>
      </c>
      <c r="M2666" t="s">
        <v>4446</v>
      </c>
      <c r="N2666">
        <v>4</v>
      </c>
    </row>
    <row r="2667" spans="1:14" x14ac:dyDescent="0.35">
      <c r="A2667" t="s">
        <v>7146</v>
      </c>
      <c r="B2667" t="s">
        <v>49</v>
      </c>
      <c r="C2667" t="s">
        <v>1904</v>
      </c>
      <c r="D2667" t="s">
        <v>4490</v>
      </c>
      <c r="E2667" t="s">
        <v>4456</v>
      </c>
      <c r="F2667" s="3">
        <v>45703</v>
      </c>
      <c r="G2667" s="3" t="s">
        <v>537</v>
      </c>
      <c r="I2667">
        <v>4</v>
      </c>
      <c r="J2667" t="s">
        <v>4448</v>
      </c>
      <c r="K2667" t="s">
        <v>4457</v>
      </c>
      <c r="L2667" t="s">
        <v>4449</v>
      </c>
      <c r="M2667" t="s">
        <v>4462</v>
      </c>
    </row>
    <row r="2668" spans="1:14" x14ac:dyDescent="0.35">
      <c r="A2668" t="s">
        <v>7147</v>
      </c>
      <c r="B2668" t="s">
        <v>348</v>
      </c>
      <c r="C2668" t="s">
        <v>1899</v>
      </c>
      <c r="D2668" t="s">
        <v>4452</v>
      </c>
      <c r="E2668" t="s">
        <v>4444</v>
      </c>
      <c r="F2668" s="3">
        <v>45339</v>
      </c>
      <c r="G2668" s="3">
        <v>45339</v>
      </c>
      <c r="H2668">
        <v>7.9</v>
      </c>
      <c r="I2668">
        <v>24</v>
      </c>
      <c r="J2668" t="s">
        <v>4448</v>
      </c>
      <c r="K2668" t="s">
        <v>4441</v>
      </c>
      <c r="L2668" t="s">
        <v>4465</v>
      </c>
      <c r="M2668" t="s">
        <v>4450</v>
      </c>
      <c r="N2668">
        <v>4</v>
      </c>
    </row>
    <row r="2669" spans="1:14" x14ac:dyDescent="0.35">
      <c r="A2669" t="s">
        <v>7148</v>
      </c>
      <c r="B2669" t="s">
        <v>483</v>
      </c>
      <c r="C2669" t="s">
        <v>1883</v>
      </c>
      <c r="D2669" t="s">
        <v>4479</v>
      </c>
      <c r="E2669" t="s">
        <v>4473</v>
      </c>
      <c r="F2669" s="3">
        <v>45582</v>
      </c>
      <c r="G2669" s="3" t="s">
        <v>537</v>
      </c>
      <c r="I2669">
        <v>8</v>
      </c>
      <c r="J2669" t="s">
        <v>4440</v>
      </c>
      <c r="K2669" t="s">
        <v>4474</v>
      </c>
      <c r="L2669" t="s">
        <v>4580</v>
      </c>
      <c r="M2669" t="s">
        <v>4462</v>
      </c>
    </row>
    <row r="2670" spans="1:14" x14ac:dyDescent="0.35">
      <c r="A2670" t="s">
        <v>7149</v>
      </c>
      <c r="B2670" t="s">
        <v>97</v>
      </c>
      <c r="C2670" t="s">
        <v>1915</v>
      </c>
      <c r="D2670" t="s">
        <v>4472</v>
      </c>
      <c r="E2670" t="s">
        <v>4444</v>
      </c>
      <c r="F2670" s="3">
        <v>45462</v>
      </c>
      <c r="G2670" s="3">
        <v>45464</v>
      </c>
      <c r="H2670">
        <v>58.4</v>
      </c>
      <c r="I2670">
        <v>24</v>
      </c>
      <c r="J2670" t="s">
        <v>4440</v>
      </c>
      <c r="K2670" t="s">
        <v>4441</v>
      </c>
      <c r="L2670" t="s">
        <v>4580</v>
      </c>
      <c r="M2670" t="s">
        <v>4462</v>
      </c>
      <c r="N2670">
        <v>3</v>
      </c>
    </row>
    <row r="2671" spans="1:14" x14ac:dyDescent="0.35">
      <c r="A2671" t="s">
        <v>7150</v>
      </c>
      <c r="B2671" t="s">
        <v>126</v>
      </c>
      <c r="C2671" t="s">
        <v>1883</v>
      </c>
      <c r="D2671" t="s">
        <v>4472</v>
      </c>
      <c r="E2671" t="s">
        <v>79</v>
      </c>
      <c r="F2671" s="3">
        <v>45356</v>
      </c>
      <c r="G2671" s="3" t="s">
        <v>537</v>
      </c>
      <c r="I2671">
        <v>24</v>
      </c>
      <c r="J2671" t="s">
        <v>4448</v>
      </c>
      <c r="K2671" t="s">
        <v>4453</v>
      </c>
      <c r="L2671" t="s">
        <v>4470</v>
      </c>
      <c r="M2671" t="s">
        <v>4462</v>
      </c>
    </row>
    <row r="2672" spans="1:14" x14ac:dyDescent="0.35">
      <c r="A2672" t="s">
        <v>7151</v>
      </c>
      <c r="B2672" t="s">
        <v>297</v>
      </c>
      <c r="C2672" t="s">
        <v>1915</v>
      </c>
      <c r="D2672" t="s">
        <v>4469</v>
      </c>
      <c r="E2672" t="s">
        <v>4473</v>
      </c>
      <c r="F2672" s="3">
        <v>45634</v>
      </c>
      <c r="G2672" s="3" t="s">
        <v>537</v>
      </c>
      <c r="I2672">
        <v>8</v>
      </c>
      <c r="J2672" t="s">
        <v>1945</v>
      </c>
      <c r="K2672" t="s">
        <v>4457</v>
      </c>
      <c r="L2672" t="s">
        <v>4467</v>
      </c>
      <c r="M2672" t="s">
        <v>4462</v>
      </c>
    </row>
    <row r="2673" spans="1:14" x14ac:dyDescent="0.35">
      <c r="A2673" t="s">
        <v>7152</v>
      </c>
      <c r="B2673" t="s">
        <v>404</v>
      </c>
      <c r="C2673" t="s">
        <v>1915</v>
      </c>
      <c r="D2673" t="s">
        <v>4479</v>
      </c>
      <c r="E2673" t="s">
        <v>4439</v>
      </c>
      <c r="F2673" s="3">
        <v>45379</v>
      </c>
      <c r="G2673" s="3" t="s">
        <v>537</v>
      </c>
      <c r="I2673">
        <v>48</v>
      </c>
      <c r="J2673" t="s">
        <v>4440</v>
      </c>
      <c r="K2673" t="s">
        <v>4474</v>
      </c>
      <c r="L2673" t="s">
        <v>4488</v>
      </c>
      <c r="M2673" t="s">
        <v>4446</v>
      </c>
    </row>
    <row r="2674" spans="1:14" x14ac:dyDescent="0.35">
      <c r="A2674" t="s">
        <v>7153</v>
      </c>
      <c r="B2674" t="s">
        <v>399</v>
      </c>
      <c r="C2674" t="s">
        <v>1927</v>
      </c>
      <c r="D2674" t="s">
        <v>4469</v>
      </c>
      <c r="E2674" t="s">
        <v>4439</v>
      </c>
      <c r="F2674" s="3">
        <v>45579</v>
      </c>
      <c r="G2674" s="3" t="s">
        <v>537</v>
      </c>
      <c r="I2674">
        <v>48</v>
      </c>
      <c r="J2674" t="s">
        <v>4448</v>
      </c>
      <c r="K2674" t="s">
        <v>4457</v>
      </c>
      <c r="L2674" t="s">
        <v>4488</v>
      </c>
      <c r="M2674" t="s">
        <v>4446</v>
      </c>
    </row>
    <row r="2675" spans="1:14" x14ac:dyDescent="0.35">
      <c r="A2675" t="s">
        <v>7154</v>
      </c>
      <c r="B2675" t="s">
        <v>411</v>
      </c>
      <c r="C2675" t="s">
        <v>1890</v>
      </c>
      <c r="D2675" t="s">
        <v>4438</v>
      </c>
      <c r="E2675" t="s">
        <v>4439</v>
      </c>
      <c r="F2675" s="3">
        <v>45204</v>
      </c>
      <c r="G2675" s="3" t="s">
        <v>537</v>
      </c>
      <c r="I2675">
        <v>48</v>
      </c>
      <c r="J2675" t="s">
        <v>1945</v>
      </c>
      <c r="K2675" t="s">
        <v>4453</v>
      </c>
      <c r="L2675" t="s">
        <v>4449</v>
      </c>
      <c r="M2675" t="s">
        <v>4462</v>
      </c>
    </row>
    <row r="2676" spans="1:14" x14ac:dyDescent="0.35">
      <c r="A2676" t="s">
        <v>7155</v>
      </c>
      <c r="B2676" t="s">
        <v>470</v>
      </c>
      <c r="C2676" t="s">
        <v>1883</v>
      </c>
      <c r="D2676" t="s">
        <v>4490</v>
      </c>
      <c r="E2676" t="s">
        <v>4439</v>
      </c>
      <c r="F2676" s="3">
        <v>45380</v>
      </c>
      <c r="G2676" s="3">
        <v>45381</v>
      </c>
      <c r="H2676">
        <v>39.1</v>
      </c>
      <c r="I2676">
        <v>48</v>
      </c>
      <c r="J2676" t="s">
        <v>4448</v>
      </c>
      <c r="K2676" t="s">
        <v>4441</v>
      </c>
      <c r="L2676" t="s">
        <v>4480</v>
      </c>
      <c r="M2676" t="s">
        <v>4450</v>
      </c>
      <c r="N2676">
        <v>4</v>
      </c>
    </row>
    <row r="2677" spans="1:14" x14ac:dyDescent="0.35">
      <c r="A2677" t="s">
        <v>7156</v>
      </c>
      <c r="B2677" t="s">
        <v>450</v>
      </c>
      <c r="C2677" t="s">
        <v>1915</v>
      </c>
      <c r="D2677" t="s">
        <v>4438</v>
      </c>
      <c r="E2677" t="s">
        <v>4473</v>
      </c>
      <c r="F2677" s="3">
        <v>45712</v>
      </c>
      <c r="G2677" s="3">
        <v>45712</v>
      </c>
      <c r="H2677">
        <v>19.899999999999999</v>
      </c>
      <c r="I2677">
        <v>8</v>
      </c>
      <c r="J2677" t="s">
        <v>4440</v>
      </c>
      <c r="K2677" t="s">
        <v>4441</v>
      </c>
      <c r="L2677" t="s">
        <v>4467</v>
      </c>
      <c r="M2677" t="s">
        <v>4446</v>
      </c>
      <c r="N2677">
        <v>2</v>
      </c>
    </row>
    <row r="2678" spans="1:14" x14ac:dyDescent="0.35">
      <c r="A2678" t="s">
        <v>7157</v>
      </c>
      <c r="B2678" t="s">
        <v>162</v>
      </c>
      <c r="C2678" t="s">
        <v>1890</v>
      </c>
      <c r="D2678" t="s">
        <v>4443</v>
      </c>
      <c r="E2678" t="s">
        <v>4473</v>
      </c>
      <c r="F2678" s="3">
        <v>45709</v>
      </c>
      <c r="G2678" s="3">
        <v>45709</v>
      </c>
      <c r="H2678">
        <v>16.100000000000001</v>
      </c>
      <c r="I2678">
        <v>8</v>
      </c>
      <c r="J2678" t="s">
        <v>4440</v>
      </c>
      <c r="K2678" t="s">
        <v>4441</v>
      </c>
      <c r="L2678" t="s">
        <v>4449</v>
      </c>
      <c r="M2678" t="s">
        <v>4450</v>
      </c>
    </row>
    <row r="2679" spans="1:14" x14ac:dyDescent="0.35">
      <c r="A2679" t="s">
        <v>7158</v>
      </c>
      <c r="B2679" t="s">
        <v>494</v>
      </c>
      <c r="C2679" t="s">
        <v>1890</v>
      </c>
      <c r="D2679" t="s">
        <v>4469</v>
      </c>
      <c r="E2679" t="s">
        <v>4444</v>
      </c>
      <c r="F2679" s="3">
        <v>45033</v>
      </c>
      <c r="G2679" s="3">
        <v>45034</v>
      </c>
      <c r="H2679">
        <v>47.8</v>
      </c>
      <c r="I2679">
        <v>24</v>
      </c>
      <c r="J2679" t="s">
        <v>4440</v>
      </c>
      <c r="K2679" t="s">
        <v>4441</v>
      </c>
      <c r="L2679" t="s">
        <v>4483</v>
      </c>
      <c r="M2679" t="s">
        <v>4450</v>
      </c>
      <c r="N2679">
        <v>4</v>
      </c>
    </row>
    <row r="2680" spans="1:14" x14ac:dyDescent="0.35">
      <c r="A2680" t="s">
        <v>7159</v>
      </c>
      <c r="B2680" t="s">
        <v>447</v>
      </c>
      <c r="C2680" t="s">
        <v>1927</v>
      </c>
      <c r="D2680" t="s">
        <v>4452</v>
      </c>
      <c r="E2680" t="s">
        <v>4473</v>
      </c>
      <c r="F2680" s="3">
        <v>45305</v>
      </c>
      <c r="G2680" s="3">
        <v>45305</v>
      </c>
      <c r="H2680">
        <v>5.8</v>
      </c>
      <c r="I2680">
        <v>8</v>
      </c>
      <c r="J2680" t="s">
        <v>4448</v>
      </c>
      <c r="K2680" t="s">
        <v>4441</v>
      </c>
      <c r="L2680" t="s">
        <v>4512</v>
      </c>
      <c r="M2680" t="s">
        <v>4446</v>
      </c>
      <c r="N2680">
        <v>3</v>
      </c>
    </row>
    <row r="2681" spans="1:14" x14ac:dyDescent="0.35">
      <c r="A2681" t="s">
        <v>7160</v>
      </c>
      <c r="B2681" t="s">
        <v>372</v>
      </c>
      <c r="C2681" t="s">
        <v>1915</v>
      </c>
      <c r="D2681" t="s">
        <v>4460</v>
      </c>
      <c r="E2681" t="s">
        <v>4439</v>
      </c>
      <c r="F2681" s="3">
        <v>45167</v>
      </c>
      <c r="G2681" s="3" t="s">
        <v>537</v>
      </c>
      <c r="I2681">
        <v>48</v>
      </c>
      <c r="J2681" t="s">
        <v>4440</v>
      </c>
      <c r="K2681" t="s">
        <v>4474</v>
      </c>
      <c r="L2681" t="s">
        <v>4512</v>
      </c>
      <c r="M2681" t="s">
        <v>1625</v>
      </c>
    </row>
    <row r="2682" spans="1:14" x14ac:dyDescent="0.35">
      <c r="A2682" t="s">
        <v>7161</v>
      </c>
      <c r="B2682" t="s">
        <v>80</v>
      </c>
      <c r="C2682" t="s">
        <v>1915</v>
      </c>
      <c r="D2682" t="s">
        <v>4464</v>
      </c>
      <c r="E2682" t="s">
        <v>4444</v>
      </c>
      <c r="F2682" s="3">
        <v>45164</v>
      </c>
      <c r="G2682" s="3">
        <v>45165</v>
      </c>
      <c r="H2682">
        <v>25.2</v>
      </c>
      <c r="I2682">
        <v>24</v>
      </c>
      <c r="J2682" t="s">
        <v>4440</v>
      </c>
      <c r="K2682" t="s">
        <v>4441</v>
      </c>
      <c r="L2682" t="s">
        <v>4470</v>
      </c>
      <c r="M2682" t="s">
        <v>4462</v>
      </c>
    </row>
    <row r="2683" spans="1:14" x14ac:dyDescent="0.35">
      <c r="A2683" t="s">
        <v>7162</v>
      </c>
      <c r="B2683" t="s">
        <v>308</v>
      </c>
      <c r="C2683" t="s">
        <v>1899</v>
      </c>
      <c r="D2683" t="s">
        <v>4490</v>
      </c>
      <c r="E2683" t="s">
        <v>4444</v>
      </c>
      <c r="F2683" s="3">
        <v>45531</v>
      </c>
      <c r="G2683" s="3">
        <v>45532</v>
      </c>
      <c r="H2683">
        <v>35.9</v>
      </c>
      <c r="I2683">
        <v>24</v>
      </c>
      <c r="J2683" t="s">
        <v>4440</v>
      </c>
      <c r="K2683" t="s">
        <v>4441</v>
      </c>
      <c r="L2683" t="s">
        <v>4445</v>
      </c>
      <c r="M2683" t="s">
        <v>1625</v>
      </c>
      <c r="N2683">
        <v>5</v>
      </c>
    </row>
    <row r="2684" spans="1:14" x14ac:dyDescent="0.35">
      <c r="A2684" t="s">
        <v>7163</v>
      </c>
      <c r="B2684" t="s">
        <v>412</v>
      </c>
      <c r="C2684" t="s">
        <v>1927</v>
      </c>
      <c r="D2684" t="s">
        <v>4452</v>
      </c>
      <c r="E2684" t="s">
        <v>4439</v>
      </c>
      <c r="F2684" s="3">
        <v>45535</v>
      </c>
      <c r="G2684" s="3" t="s">
        <v>537</v>
      </c>
      <c r="I2684">
        <v>48</v>
      </c>
      <c r="J2684" t="s">
        <v>4440</v>
      </c>
      <c r="K2684" t="s">
        <v>4474</v>
      </c>
      <c r="L2684" t="s">
        <v>4454</v>
      </c>
      <c r="M2684" t="s">
        <v>4446</v>
      </c>
    </row>
    <row r="2685" spans="1:14" x14ac:dyDescent="0.35">
      <c r="A2685" t="s">
        <v>7164</v>
      </c>
      <c r="B2685" t="s">
        <v>208</v>
      </c>
      <c r="C2685" t="s">
        <v>1904</v>
      </c>
      <c r="D2685" t="s">
        <v>4452</v>
      </c>
      <c r="E2685" t="s">
        <v>4473</v>
      </c>
      <c r="F2685" s="3">
        <v>45572</v>
      </c>
      <c r="G2685" s="3" t="s">
        <v>537</v>
      </c>
      <c r="I2685">
        <v>8</v>
      </c>
      <c r="J2685" t="s">
        <v>4440</v>
      </c>
      <c r="K2685" t="s">
        <v>4453</v>
      </c>
      <c r="L2685" t="s">
        <v>4492</v>
      </c>
      <c r="M2685" t="s">
        <v>4462</v>
      </c>
    </row>
    <row r="2686" spans="1:14" x14ac:dyDescent="0.35">
      <c r="A2686" t="s">
        <v>7165</v>
      </c>
      <c r="B2686" t="s">
        <v>158</v>
      </c>
      <c r="C2686" t="s">
        <v>1904</v>
      </c>
      <c r="D2686" t="s">
        <v>4452</v>
      </c>
      <c r="E2686" t="s">
        <v>4439</v>
      </c>
      <c r="F2686" s="3">
        <v>45028</v>
      </c>
      <c r="G2686" s="3">
        <v>45030</v>
      </c>
      <c r="H2686">
        <v>56</v>
      </c>
      <c r="I2686">
        <v>48</v>
      </c>
      <c r="J2686" t="s">
        <v>4440</v>
      </c>
      <c r="K2686" t="s">
        <v>4441</v>
      </c>
      <c r="L2686" t="s">
        <v>4445</v>
      </c>
      <c r="M2686" t="s">
        <v>1625</v>
      </c>
      <c r="N2686">
        <v>5</v>
      </c>
    </row>
    <row r="2687" spans="1:14" x14ac:dyDescent="0.35">
      <c r="A2687" t="s">
        <v>7166</v>
      </c>
      <c r="B2687" t="s">
        <v>196</v>
      </c>
      <c r="C2687" t="s">
        <v>1899</v>
      </c>
      <c r="D2687" t="s">
        <v>4482</v>
      </c>
      <c r="E2687" t="s">
        <v>4444</v>
      </c>
      <c r="F2687" s="3">
        <v>45307</v>
      </c>
      <c r="G2687" s="3">
        <v>45308</v>
      </c>
      <c r="H2687">
        <v>39.299999999999997</v>
      </c>
      <c r="I2687">
        <v>24</v>
      </c>
      <c r="J2687" t="s">
        <v>4440</v>
      </c>
      <c r="K2687" t="s">
        <v>4441</v>
      </c>
      <c r="L2687" t="s">
        <v>4483</v>
      </c>
      <c r="M2687" t="s">
        <v>4446</v>
      </c>
      <c r="N2687">
        <v>4</v>
      </c>
    </row>
    <row r="2688" spans="1:14" x14ac:dyDescent="0.35">
      <c r="A2688" t="s">
        <v>7167</v>
      </c>
      <c r="B2688" t="s">
        <v>496</v>
      </c>
      <c r="C2688" t="s">
        <v>1899</v>
      </c>
      <c r="D2688" t="s">
        <v>4438</v>
      </c>
      <c r="E2688" t="s">
        <v>4439</v>
      </c>
      <c r="F2688" s="3">
        <v>45574</v>
      </c>
      <c r="G2688" s="3" t="s">
        <v>537</v>
      </c>
      <c r="I2688">
        <v>48</v>
      </c>
      <c r="J2688" t="s">
        <v>4440</v>
      </c>
      <c r="K2688" t="s">
        <v>4474</v>
      </c>
      <c r="L2688" t="s">
        <v>4512</v>
      </c>
      <c r="M2688" t="s">
        <v>1625</v>
      </c>
    </row>
    <row r="2689" spans="1:14" x14ac:dyDescent="0.35">
      <c r="A2689" t="s">
        <v>7168</v>
      </c>
      <c r="B2689" t="s">
        <v>249</v>
      </c>
      <c r="C2689" t="s">
        <v>1915</v>
      </c>
      <c r="D2689" t="s">
        <v>4469</v>
      </c>
      <c r="E2689" t="s">
        <v>4444</v>
      </c>
      <c r="F2689" s="3">
        <v>45205</v>
      </c>
      <c r="G2689" s="3">
        <v>45206</v>
      </c>
      <c r="H2689">
        <v>25.1</v>
      </c>
      <c r="I2689">
        <v>24</v>
      </c>
      <c r="J2689" t="s">
        <v>4440</v>
      </c>
      <c r="K2689" t="s">
        <v>4441</v>
      </c>
      <c r="L2689" t="s">
        <v>4492</v>
      </c>
      <c r="M2689" t="s">
        <v>4446</v>
      </c>
      <c r="N2689">
        <v>5</v>
      </c>
    </row>
    <row r="2690" spans="1:14" x14ac:dyDescent="0.35">
      <c r="A2690" t="s">
        <v>7169</v>
      </c>
      <c r="B2690" t="s">
        <v>380</v>
      </c>
      <c r="C2690" t="s">
        <v>1904</v>
      </c>
      <c r="D2690" t="s">
        <v>4438</v>
      </c>
      <c r="E2690" t="s">
        <v>4473</v>
      </c>
      <c r="F2690" s="3">
        <v>45029</v>
      </c>
      <c r="G2690" s="3">
        <v>45029</v>
      </c>
      <c r="H2690">
        <v>14.9</v>
      </c>
      <c r="I2690">
        <v>8</v>
      </c>
      <c r="J2690" t="s">
        <v>4440</v>
      </c>
      <c r="K2690" t="s">
        <v>4441</v>
      </c>
      <c r="L2690" t="s">
        <v>4483</v>
      </c>
      <c r="M2690" t="s">
        <v>4446</v>
      </c>
      <c r="N2690">
        <v>3</v>
      </c>
    </row>
    <row r="2691" spans="1:14" x14ac:dyDescent="0.35">
      <c r="A2691" t="s">
        <v>7170</v>
      </c>
      <c r="B2691" t="s">
        <v>18</v>
      </c>
      <c r="C2691" t="s">
        <v>1890</v>
      </c>
      <c r="D2691" t="s">
        <v>4472</v>
      </c>
      <c r="E2691" t="s">
        <v>4444</v>
      </c>
      <c r="F2691" s="3">
        <v>44973</v>
      </c>
      <c r="G2691" s="3" t="s">
        <v>537</v>
      </c>
      <c r="I2691">
        <v>24</v>
      </c>
      <c r="J2691" t="s">
        <v>4440</v>
      </c>
      <c r="K2691" t="s">
        <v>4453</v>
      </c>
      <c r="L2691" t="s">
        <v>4580</v>
      </c>
      <c r="M2691" t="s">
        <v>1625</v>
      </c>
    </row>
    <row r="2692" spans="1:14" x14ac:dyDescent="0.35">
      <c r="A2692" t="s">
        <v>7171</v>
      </c>
      <c r="B2692" t="s">
        <v>236</v>
      </c>
      <c r="C2692" t="s">
        <v>1927</v>
      </c>
      <c r="D2692" t="s">
        <v>4476</v>
      </c>
      <c r="E2692" t="s">
        <v>4439</v>
      </c>
      <c r="F2692" s="3">
        <v>45620</v>
      </c>
      <c r="G2692" s="3" t="s">
        <v>537</v>
      </c>
      <c r="I2692">
        <v>48</v>
      </c>
      <c r="J2692" t="s">
        <v>4440</v>
      </c>
      <c r="K2692" t="s">
        <v>4453</v>
      </c>
      <c r="L2692" t="s">
        <v>4454</v>
      </c>
      <c r="M2692" t="s">
        <v>4446</v>
      </c>
    </row>
    <row r="2693" spans="1:14" x14ac:dyDescent="0.35">
      <c r="A2693" t="s">
        <v>7172</v>
      </c>
      <c r="B2693" t="s">
        <v>184</v>
      </c>
      <c r="C2693" t="s">
        <v>1904</v>
      </c>
      <c r="D2693" t="s">
        <v>4482</v>
      </c>
      <c r="E2693" t="s">
        <v>4444</v>
      </c>
      <c r="F2693" s="3">
        <v>45553</v>
      </c>
      <c r="G2693" s="3">
        <v>45553</v>
      </c>
      <c r="H2693">
        <v>10.5</v>
      </c>
      <c r="I2693">
        <v>24</v>
      </c>
      <c r="J2693" t="s">
        <v>4448</v>
      </c>
      <c r="K2693" t="s">
        <v>4441</v>
      </c>
      <c r="L2693" t="s">
        <v>4488</v>
      </c>
      <c r="M2693" t="s">
        <v>4450</v>
      </c>
      <c r="N2693">
        <v>4</v>
      </c>
    </row>
    <row r="2694" spans="1:14" x14ac:dyDescent="0.35">
      <c r="A2694" t="s">
        <v>7173</v>
      </c>
      <c r="B2694" t="s">
        <v>366</v>
      </c>
      <c r="C2694" t="s">
        <v>1890</v>
      </c>
      <c r="D2694" t="s">
        <v>4472</v>
      </c>
      <c r="E2694" t="s">
        <v>4444</v>
      </c>
      <c r="F2694" s="3">
        <v>45157</v>
      </c>
      <c r="G2694" s="3" t="s">
        <v>537</v>
      </c>
      <c r="I2694">
        <v>24</v>
      </c>
      <c r="J2694" t="s">
        <v>4448</v>
      </c>
      <c r="K2694" t="s">
        <v>4457</v>
      </c>
      <c r="L2694" t="s">
        <v>4449</v>
      </c>
      <c r="M2694" t="s">
        <v>1625</v>
      </c>
    </row>
    <row r="2695" spans="1:14" x14ac:dyDescent="0.35">
      <c r="A2695" t="s">
        <v>7174</v>
      </c>
      <c r="B2695" t="s">
        <v>335</v>
      </c>
      <c r="C2695" t="s">
        <v>1904</v>
      </c>
      <c r="D2695" t="s">
        <v>4482</v>
      </c>
      <c r="E2695" t="s">
        <v>4444</v>
      </c>
      <c r="F2695" s="3">
        <v>45584</v>
      </c>
      <c r="G2695" s="3" t="s">
        <v>537</v>
      </c>
      <c r="I2695">
        <v>24</v>
      </c>
      <c r="J2695" t="s">
        <v>4440</v>
      </c>
      <c r="K2695" t="s">
        <v>4457</v>
      </c>
      <c r="L2695" t="s">
        <v>4483</v>
      </c>
      <c r="M2695" t="s">
        <v>4450</v>
      </c>
    </row>
    <row r="2696" spans="1:14" x14ac:dyDescent="0.35">
      <c r="A2696" t="s">
        <v>7175</v>
      </c>
      <c r="B2696" t="s">
        <v>144</v>
      </c>
      <c r="C2696" t="s">
        <v>1890</v>
      </c>
      <c r="D2696" t="s">
        <v>4476</v>
      </c>
      <c r="E2696" t="s">
        <v>4444</v>
      </c>
      <c r="F2696" s="3">
        <v>45684</v>
      </c>
      <c r="G2696" s="3" t="s">
        <v>537</v>
      </c>
      <c r="I2696">
        <v>24</v>
      </c>
      <c r="J2696" t="s">
        <v>4448</v>
      </c>
      <c r="K2696" t="s">
        <v>4474</v>
      </c>
      <c r="L2696" t="s">
        <v>4488</v>
      </c>
      <c r="M2696" t="s">
        <v>4462</v>
      </c>
    </row>
    <row r="2697" spans="1:14" x14ac:dyDescent="0.35">
      <c r="A2697" t="s">
        <v>7176</v>
      </c>
      <c r="B2697" t="s">
        <v>300</v>
      </c>
      <c r="C2697" t="s">
        <v>1883</v>
      </c>
      <c r="D2697" t="s">
        <v>4490</v>
      </c>
      <c r="E2697" t="s">
        <v>4444</v>
      </c>
      <c r="F2697" s="3">
        <v>45472</v>
      </c>
      <c r="G2697" s="3" t="s">
        <v>537</v>
      </c>
      <c r="I2697">
        <v>24</v>
      </c>
      <c r="J2697" t="s">
        <v>4448</v>
      </c>
      <c r="K2697" t="s">
        <v>4457</v>
      </c>
      <c r="L2697" t="s">
        <v>4501</v>
      </c>
      <c r="M2697" t="s">
        <v>1625</v>
      </c>
    </row>
    <row r="2698" spans="1:14" x14ac:dyDescent="0.35">
      <c r="A2698" t="s">
        <v>7177</v>
      </c>
      <c r="B2698" t="s">
        <v>194</v>
      </c>
      <c r="C2698" t="s">
        <v>1904</v>
      </c>
      <c r="D2698" t="s">
        <v>8504</v>
      </c>
      <c r="E2698" t="s">
        <v>4473</v>
      </c>
      <c r="F2698" s="3">
        <v>45614</v>
      </c>
      <c r="G2698" s="3">
        <v>45614</v>
      </c>
      <c r="H2698">
        <v>5.0999999999999996</v>
      </c>
      <c r="I2698">
        <v>8</v>
      </c>
      <c r="J2698" t="s">
        <v>4448</v>
      </c>
      <c r="K2698" t="s">
        <v>4441</v>
      </c>
      <c r="L2698" t="s">
        <v>4470</v>
      </c>
      <c r="M2698" t="s">
        <v>4450</v>
      </c>
      <c r="N2698">
        <v>5</v>
      </c>
    </row>
    <row r="2699" spans="1:14" x14ac:dyDescent="0.35">
      <c r="A2699" t="s">
        <v>7178</v>
      </c>
      <c r="B2699" t="s">
        <v>264</v>
      </c>
      <c r="C2699" t="s">
        <v>1899</v>
      </c>
      <c r="D2699" t="s">
        <v>4464</v>
      </c>
      <c r="E2699" t="s">
        <v>4473</v>
      </c>
      <c r="F2699" s="3">
        <v>45081</v>
      </c>
      <c r="G2699" s="3">
        <v>45081</v>
      </c>
      <c r="H2699">
        <v>2.7</v>
      </c>
      <c r="I2699">
        <v>8</v>
      </c>
      <c r="J2699" t="s">
        <v>4448</v>
      </c>
      <c r="K2699" t="s">
        <v>4441</v>
      </c>
      <c r="L2699" t="s">
        <v>4488</v>
      </c>
      <c r="M2699" t="s">
        <v>1625</v>
      </c>
      <c r="N2699">
        <v>4</v>
      </c>
    </row>
    <row r="2700" spans="1:14" x14ac:dyDescent="0.35">
      <c r="A2700" t="s">
        <v>7179</v>
      </c>
      <c r="B2700" t="s">
        <v>261</v>
      </c>
      <c r="C2700" t="s">
        <v>1899</v>
      </c>
      <c r="D2700" t="s">
        <v>4485</v>
      </c>
      <c r="E2700" t="s">
        <v>4439</v>
      </c>
      <c r="F2700" s="3">
        <v>45649</v>
      </c>
      <c r="G2700" s="3">
        <v>45650</v>
      </c>
      <c r="H2700">
        <v>44.1</v>
      </c>
      <c r="I2700">
        <v>48</v>
      </c>
      <c r="J2700" t="s">
        <v>4448</v>
      </c>
      <c r="K2700" t="s">
        <v>4441</v>
      </c>
      <c r="L2700" t="s">
        <v>4488</v>
      </c>
      <c r="M2700" t="s">
        <v>1625</v>
      </c>
      <c r="N2700">
        <v>3</v>
      </c>
    </row>
    <row r="2701" spans="1:14" x14ac:dyDescent="0.35">
      <c r="A2701" t="s">
        <v>7180</v>
      </c>
      <c r="B2701" t="s">
        <v>296</v>
      </c>
      <c r="C2701" t="s">
        <v>1890</v>
      </c>
      <c r="D2701" t="s">
        <v>4469</v>
      </c>
      <c r="E2701" t="s">
        <v>4439</v>
      </c>
      <c r="F2701" s="3">
        <v>45500</v>
      </c>
      <c r="G2701" s="3" t="s">
        <v>537</v>
      </c>
      <c r="I2701">
        <v>48</v>
      </c>
      <c r="J2701" t="s">
        <v>4440</v>
      </c>
      <c r="K2701" t="s">
        <v>4474</v>
      </c>
      <c r="L2701" t="s">
        <v>4458</v>
      </c>
      <c r="M2701" t="s">
        <v>4450</v>
      </c>
    </row>
    <row r="2702" spans="1:14" x14ac:dyDescent="0.35">
      <c r="A2702" t="s">
        <v>7181</v>
      </c>
      <c r="B2702" t="s">
        <v>412</v>
      </c>
      <c r="C2702" t="s">
        <v>1899</v>
      </c>
      <c r="D2702" t="s">
        <v>4452</v>
      </c>
      <c r="E2702" t="s">
        <v>4444</v>
      </c>
      <c r="F2702" s="3">
        <v>45117</v>
      </c>
      <c r="G2702" s="3">
        <v>45117</v>
      </c>
      <c r="H2702">
        <v>5.5</v>
      </c>
      <c r="I2702">
        <v>24</v>
      </c>
      <c r="J2702" t="s">
        <v>4448</v>
      </c>
      <c r="K2702" t="s">
        <v>4441</v>
      </c>
      <c r="L2702" t="s">
        <v>4461</v>
      </c>
      <c r="M2702" t="s">
        <v>4462</v>
      </c>
      <c r="N2702">
        <v>3</v>
      </c>
    </row>
    <row r="2703" spans="1:14" x14ac:dyDescent="0.35">
      <c r="A2703" t="s">
        <v>7182</v>
      </c>
      <c r="B2703" t="s">
        <v>434</v>
      </c>
      <c r="C2703" t="s">
        <v>1899</v>
      </c>
      <c r="D2703" t="s">
        <v>4479</v>
      </c>
      <c r="E2703" t="s">
        <v>4439</v>
      </c>
      <c r="F2703" s="3">
        <v>45673</v>
      </c>
      <c r="G2703" s="3">
        <v>45673</v>
      </c>
      <c r="H2703">
        <v>17.899999999999999</v>
      </c>
      <c r="I2703">
        <v>48</v>
      </c>
      <c r="J2703" t="s">
        <v>4448</v>
      </c>
      <c r="K2703" t="s">
        <v>4441</v>
      </c>
      <c r="L2703" t="s">
        <v>4527</v>
      </c>
      <c r="M2703" t="s">
        <v>4450</v>
      </c>
      <c r="N2703">
        <v>5</v>
      </c>
    </row>
    <row r="2704" spans="1:14" x14ac:dyDescent="0.35">
      <c r="A2704" t="s">
        <v>7183</v>
      </c>
      <c r="B2704" t="s">
        <v>439</v>
      </c>
      <c r="C2704" t="s">
        <v>1890</v>
      </c>
      <c r="D2704" t="s">
        <v>4438</v>
      </c>
      <c r="E2704" t="s">
        <v>4439</v>
      </c>
      <c r="F2704" s="3">
        <v>44953</v>
      </c>
      <c r="G2704" s="3" t="s">
        <v>537</v>
      </c>
      <c r="I2704">
        <v>48</v>
      </c>
      <c r="J2704" t="s">
        <v>4440</v>
      </c>
      <c r="K2704" t="s">
        <v>4457</v>
      </c>
      <c r="L2704" t="s">
        <v>4449</v>
      </c>
      <c r="M2704" t="s">
        <v>1625</v>
      </c>
    </row>
    <row r="2705" spans="1:14" x14ac:dyDescent="0.35">
      <c r="A2705" t="s">
        <v>7184</v>
      </c>
      <c r="B2705" t="s">
        <v>283</v>
      </c>
      <c r="C2705" t="s">
        <v>1883</v>
      </c>
      <c r="D2705" t="s">
        <v>4479</v>
      </c>
      <c r="E2705" t="s">
        <v>4473</v>
      </c>
      <c r="F2705" s="3">
        <v>45261</v>
      </c>
      <c r="G2705" s="3">
        <v>45261</v>
      </c>
      <c r="H2705">
        <v>16.100000000000001</v>
      </c>
      <c r="I2705">
        <v>8</v>
      </c>
      <c r="J2705" t="s">
        <v>4440</v>
      </c>
      <c r="K2705" t="s">
        <v>4441</v>
      </c>
      <c r="L2705" t="s">
        <v>4465</v>
      </c>
      <c r="M2705" t="s">
        <v>1625</v>
      </c>
      <c r="N2705">
        <v>3</v>
      </c>
    </row>
    <row r="2706" spans="1:14" x14ac:dyDescent="0.35">
      <c r="A2706" t="s">
        <v>7185</v>
      </c>
      <c r="B2706" t="s">
        <v>42</v>
      </c>
      <c r="C2706" t="s">
        <v>1883</v>
      </c>
      <c r="D2706" t="s">
        <v>8509</v>
      </c>
      <c r="E2706" t="s">
        <v>4473</v>
      </c>
      <c r="F2706" s="3">
        <v>44987</v>
      </c>
      <c r="G2706" s="3" t="s">
        <v>537</v>
      </c>
      <c r="I2706">
        <v>8</v>
      </c>
      <c r="J2706" t="s">
        <v>4440</v>
      </c>
      <c r="K2706" t="s">
        <v>4474</v>
      </c>
      <c r="L2706" t="s">
        <v>4467</v>
      </c>
      <c r="M2706" t="s">
        <v>1625</v>
      </c>
    </row>
    <row r="2707" spans="1:14" x14ac:dyDescent="0.35">
      <c r="A2707" t="s">
        <v>7186</v>
      </c>
      <c r="B2707" t="s">
        <v>381</v>
      </c>
      <c r="C2707" t="s">
        <v>1890</v>
      </c>
      <c r="D2707" t="s">
        <v>4476</v>
      </c>
      <c r="E2707" t="s">
        <v>4444</v>
      </c>
      <c r="F2707" s="3">
        <v>44950</v>
      </c>
      <c r="G2707" s="3" t="s">
        <v>537</v>
      </c>
      <c r="I2707">
        <v>24</v>
      </c>
      <c r="J2707" t="s">
        <v>4440</v>
      </c>
      <c r="K2707" t="s">
        <v>4453</v>
      </c>
      <c r="L2707" t="s">
        <v>4580</v>
      </c>
      <c r="M2707" t="s">
        <v>4450</v>
      </c>
    </row>
    <row r="2708" spans="1:14" x14ac:dyDescent="0.35">
      <c r="A2708" t="s">
        <v>7187</v>
      </c>
      <c r="B2708" t="s">
        <v>149</v>
      </c>
      <c r="C2708" t="s">
        <v>1899</v>
      </c>
      <c r="D2708" t="s">
        <v>4464</v>
      </c>
      <c r="E2708" t="s">
        <v>4439</v>
      </c>
      <c r="F2708" s="3">
        <v>45414</v>
      </c>
      <c r="G2708" s="3" t="s">
        <v>537</v>
      </c>
      <c r="I2708">
        <v>48</v>
      </c>
      <c r="J2708" t="s">
        <v>4440</v>
      </c>
      <c r="K2708" t="s">
        <v>4453</v>
      </c>
      <c r="L2708" t="s">
        <v>4501</v>
      </c>
      <c r="M2708" t="s">
        <v>1625</v>
      </c>
    </row>
    <row r="2709" spans="1:14" x14ac:dyDescent="0.35">
      <c r="A2709" t="s">
        <v>7188</v>
      </c>
      <c r="B2709" t="s">
        <v>128</v>
      </c>
      <c r="C2709" t="s">
        <v>1927</v>
      </c>
      <c r="D2709" t="s">
        <v>4464</v>
      </c>
      <c r="E2709" t="s">
        <v>4473</v>
      </c>
      <c r="F2709" s="3">
        <v>45234</v>
      </c>
      <c r="G2709" s="3">
        <v>45234</v>
      </c>
      <c r="H2709">
        <v>7.7</v>
      </c>
      <c r="I2709">
        <v>8</v>
      </c>
      <c r="J2709" t="s">
        <v>1945</v>
      </c>
      <c r="K2709" t="s">
        <v>4441</v>
      </c>
      <c r="L2709" t="s">
        <v>4449</v>
      </c>
      <c r="M2709" t="s">
        <v>4446</v>
      </c>
      <c r="N2709">
        <v>5</v>
      </c>
    </row>
    <row r="2710" spans="1:14" x14ac:dyDescent="0.35">
      <c r="A2710" t="s">
        <v>7189</v>
      </c>
      <c r="B2710" t="s">
        <v>94</v>
      </c>
      <c r="C2710" t="s">
        <v>1899</v>
      </c>
      <c r="D2710" t="s">
        <v>4485</v>
      </c>
      <c r="E2710" t="s">
        <v>4473</v>
      </c>
      <c r="F2710" s="3">
        <v>45339</v>
      </c>
      <c r="G2710" s="3" t="s">
        <v>537</v>
      </c>
      <c r="I2710">
        <v>8</v>
      </c>
      <c r="J2710" t="s">
        <v>1945</v>
      </c>
      <c r="K2710" t="s">
        <v>4457</v>
      </c>
      <c r="L2710" t="s">
        <v>4514</v>
      </c>
      <c r="M2710" t="s">
        <v>4462</v>
      </c>
    </row>
    <row r="2711" spans="1:14" x14ac:dyDescent="0.35">
      <c r="A2711" t="s">
        <v>7190</v>
      </c>
      <c r="B2711" t="s">
        <v>126</v>
      </c>
      <c r="C2711" t="s">
        <v>1899</v>
      </c>
      <c r="D2711" t="s">
        <v>4452</v>
      </c>
      <c r="E2711" t="s">
        <v>4439</v>
      </c>
      <c r="F2711" s="3">
        <v>45615</v>
      </c>
      <c r="G2711" s="3">
        <v>45615</v>
      </c>
      <c r="H2711">
        <v>9.9</v>
      </c>
      <c r="I2711">
        <v>48</v>
      </c>
      <c r="J2711" t="s">
        <v>4448</v>
      </c>
      <c r="K2711" t="s">
        <v>4441</v>
      </c>
      <c r="L2711" t="s">
        <v>1907</v>
      </c>
      <c r="M2711" t="s">
        <v>4462</v>
      </c>
    </row>
    <row r="2712" spans="1:14" x14ac:dyDescent="0.35">
      <c r="A2712" t="s">
        <v>7191</v>
      </c>
      <c r="B2712" t="s">
        <v>449</v>
      </c>
      <c r="C2712" t="s">
        <v>1904</v>
      </c>
      <c r="D2712" t="s">
        <v>4490</v>
      </c>
      <c r="E2712" t="s">
        <v>4444</v>
      </c>
      <c r="F2712" s="3">
        <v>44984</v>
      </c>
      <c r="G2712" s="3" t="s">
        <v>537</v>
      </c>
      <c r="I2712">
        <v>24</v>
      </c>
      <c r="J2712" t="s">
        <v>4440</v>
      </c>
      <c r="K2712" t="s">
        <v>4457</v>
      </c>
      <c r="L2712" t="s">
        <v>4480</v>
      </c>
      <c r="M2712" t="s">
        <v>4446</v>
      </c>
    </row>
    <row r="2713" spans="1:14" x14ac:dyDescent="0.35">
      <c r="A2713" t="s">
        <v>7192</v>
      </c>
      <c r="B2713" t="s">
        <v>289</v>
      </c>
      <c r="C2713" t="s">
        <v>1904</v>
      </c>
      <c r="D2713" t="s">
        <v>4438</v>
      </c>
      <c r="E2713" t="s">
        <v>4456</v>
      </c>
      <c r="F2713" s="3">
        <v>45513</v>
      </c>
      <c r="G2713" s="3">
        <v>45513</v>
      </c>
      <c r="H2713">
        <v>3</v>
      </c>
      <c r="I2713">
        <v>4</v>
      </c>
      <c r="J2713" t="s">
        <v>4448</v>
      </c>
      <c r="K2713" t="s">
        <v>4441</v>
      </c>
      <c r="L2713" t="s">
        <v>4492</v>
      </c>
      <c r="M2713" t="s">
        <v>4446</v>
      </c>
      <c r="N2713">
        <v>5</v>
      </c>
    </row>
    <row r="2714" spans="1:14" x14ac:dyDescent="0.35">
      <c r="A2714" t="s">
        <v>7193</v>
      </c>
      <c r="B2714" t="s">
        <v>164</v>
      </c>
      <c r="C2714" t="s">
        <v>1899</v>
      </c>
      <c r="D2714" t="s">
        <v>4476</v>
      </c>
      <c r="E2714" t="s">
        <v>4473</v>
      </c>
      <c r="F2714" s="3">
        <v>45214</v>
      </c>
      <c r="G2714" s="3" t="s">
        <v>537</v>
      </c>
      <c r="I2714">
        <v>8</v>
      </c>
      <c r="J2714" t="s">
        <v>4440</v>
      </c>
      <c r="K2714" t="s">
        <v>4457</v>
      </c>
      <c r="L2714" t="s">
        <v>4488</v>
      </c>
      <c r="M2714" t="s">
        <v>4462</v>
      </c>
    </row>
    <row r="2715" spans="1:14" x14ac:dyDescent="0.35">
      <c r="A2715" t="s">
        <v>7194</v>
      </c>
      <c r="B2715" t="s">
        <v>196</v>
      </c>
      <c r="C2715" t="s">
        <v>1899</v>
      </c>
      <c r="D2715" t="s">
        <v>4482</v>
      </c>
      <c r="E2715" t="s">
        <v>4473</v>
      </c>
      <c r="F2715" s="3">
        <v>45380</v>
      </c>
      <c r="G2715" s="3">
        <v>45380</v>
      </c>
      <c r="H2715">
        <v>1.3</v>
      </c>
      <c r="I2715">
        <v>8</v>
      </c>
      <c r="J2715" t="s">
        <v>4448</v>
      </c>
      <c r="K2715" t="s">
        <v>4441</v>
      </c>
      <c r="L2715" t="s">
        <v>4483</v>
      </c>
      <c r="M2715" t="s">
        <v>4446</v>
      </c>
      <c r="N2715">
        <v>1</v>
      </c>
    </row>
    <row r="2716" spans="1:14" x14ac:dyDescent="0.35">
      <c r="A2716" t="s">
        <v>7195</v>
      </c>
      <c r="B2716" t="s">
        <v>415</v>
      </c>
      <c r="C2716" t="s">
        <v>1883</v>
      </c>
      <c r="D2716" t="s">
        <v>4469</v>
      </c>
      <c r="E2716" t="s">
        <v>4473</v>
      </c>
      <c r="F2716" s="3">
        <v>45347</v>
      </c>
      <c r="G2716" s="3">
        <v>45347</v>
      </c>
      <c r="H2716">
        <v>7.2</v>
      </c>
      <c r="I2716">
        <v>8</v>
      </c>
      <c r="J2716" t="s">
        <v>4448</v>
      </c>
      <c r="K2716" t="s">
        <v>4441</v>
      </c>
      <c r="L2716" t="s">
        <v>4467</v>
      </c>
      <c r="M2716" t="s">
        <v>1625</v>
      </c>
      <c r="N2716">
        <v>4</v>
      </c>
    </row>
    <row r="2717" spans="1:14" x14ac:dyDescent="0.35">
      <c r="A2717" t="s">
        <v>7196</v>
      </c>
      <c r="B2717" t="s">
        <v>413</v>
      </c>
      <c r="C2717" t="s">
        <v>1927</v>
      </c>
      <c r="D2717" t="s">
        <v>4438</v>
      </c>
      <c r="E2717" t="s">
        <v>4439</v>
      </c>
      <c r="F2717" s="3">
        <v>45310</v>
      </c>
      <c r="G2717" s="3">
        <v>45311</v>
      </c>
      <c r="H2717">
        <v>41.2</v>
      </c>
      <c r="I2717">
        <v>48</v>
      </c>
      <c r="J2717" t="s">
        <v>4448</v>
      </c>
      <c r="K2717" t="s">
        <v>4441</v>
      </c>
      <c r="L2717" t="s">
        <v>4470</v>
      </c>
      <c r="M2717" t="s">
        <v>1625</v>
      </c>
    </row>
    <row r="2718" spans="1:14" x14ac:dyDescent="0.35">
      <c r="A2718" t="s">
        <v>7197</v>
      </c>
      <c r="B2718" t="s">
        <v>386</v>
      </c>
      <c r="C2718" t="s">
        <v>1927</v>
      </c>
      <c r="D2718" t="s">
        <v>4472</v>
      </c>
      <c r="E2718" t="s">
        <v>79</v>
      </c>
      <c r="F2718" s="3">
        <v>45110</v>
      </c>
      <c r="G2718" s="3">
        <v>45110</v>
      </c>
      <c r="H2718">
        <v>14.1</v>
      </c>
      <c r="I2718">
        <v>8</v>
      </c>
      <c r="J2718" t="s">
        <v>4440</v>
      </c>
      <c r="K2718" t="s">
        <v>4441</v>
      </c>
      <c r="L2718" t="s">
        <v>4449</v>
      </c>
      <c r="M2718" t="s">
        <v>4446</v>
      </c>
      <c r="N2718">
        <v>4</v>
      </c>
    </row>
    <row r="2719" spans="1:14" x14ac:dyDescent="0.35">
      <c r="A2719" t="s">
        <v>7198</v>
      </c>
      <c r="B2719" t="s">
        <v>405</v>
      </c>
      <c r="C2719" t="s">
        <v>1899</v>
      </c>
      <c r="D2719" t="s">
        <v>4476</v>
      </c>
      <c r="E2719" t="s">
        <v>4444</v>
      </c>
      <c r="F2719" s="3">
        <v>45556</v>
      </c>
      <c r="G2719" s="3">
        <v>45557</v>
      </c>
      <c r="H2719">
        <v>40.5</v>
      </c>
      <c r="I2719">
        <v>24</v>
      </c>
      <c r="J2719" t="s">
        <v>4440</v>
      </c>
      <c r="K2719" t="s">
        <v>4441</v>
      </c>
      <c r="L2719" t="s">
        <v>4509</v>
      </c>
      <c r="M2719" t="s">
        <v>4462</v>
      </c>
      <c r="N2719">
        <v>5</v>
      </c>
    </row>
    <row r="2720" spans="1:14" x14ac:dyDescent="0.35">
      <c r="A2720" t="s">
        <v>7199</v>
      </c>
      <c r="B2720" t="s">
        <v>433</v>
      </c>
      <c r="C2720" t="s">
        <v>1915</v>
      </c>
      <c r="D2720" t="s">
        <v>4490</v>
      </c>
      <c r="E2720" t="s">
        <v>4444</v>
      </c>
      <c r="F2720" s="3">
        <v>45168</v>
      </c>
      <c r="G2720" s="3">
        <v>45168</v>
      </c>
      <c r="H2720">
        <v>5.3</v>
      </c>
      <c r="I2720">
        <v>24</v>
      </c>
      <c r="J2720" t="s">
        <v>4448</v>
      </c>
      <c r="K2720" t="s">
        <v>4441</v>
      </c>
      <c r="L2720" t="s">
        <v>4480</v>
      </c>
      <c r="M2720" t="s">
        <v>4462</v>
      </c>
      <c r="N2720">
        <v>4</v>
      </c>
    </row>
    <row r="2721" spans="1:14" x14ac:dyDescent="0.35">
      <c r="A2721" t="s">
        <v>7200</v>
      </c>
      <c r="B2721" t="s">
        <v>160</v>
      </c>
      <c r="C2721" t="s">
        <v>1904</v>
      </c>
      <c r="D2721" t="s">
        <v>4490</v>
      </c>
      <c r="E2721" t="s">
        <v>4473</v>
      </c>
      <c r="F2721" s="3">
        <v>45056</v>
      </c>
      <c r="G2721" s="3">
        <v>45056</v>
      </c>
      <c r="H2721">
        <v>3.5</v>
      </c>
      <c r="I2721">
        <v>8</v>
      </c>
      <c r="J2721" t="s">
        <v>4448</v>
      </c>
      <c r="K2721" t="s">
        <v>4441</v>
      </c>
      <c r="L2721" t="s">
        <v>4488</v>
      </c>
      <c r="M2721" t="s">
        <v>4462</v>
      </c>
      <c r="N2721">
        <v>3</v>
      </c>
    </row>
    <row r="2722" spans="1:14" x14ac:dyDescent="0.35">
      <c r="A2722" t="s">
        <v>7201</v>
      </c>
      <c r="B2722" t="s">
        <v>42</v>
      </c>
      <c r="C2722" t="s">
        <v>1904</v>
      </c>
      <c r="D2722" t="s">
        <v>4452</v>
      </c>
      <c r="E2722" t="s">
        <v>4444</v>
      </c>
      <c r="F2722" s="3">
        <v>45286</v>
      </c>
      <c r="G2722" s="3">
        <v>45286</v>
      </c>
      <c r="H2722">
        <v>23.4</v>
      </c>
      <c r="I2722">
        <v>24</v>
      </c>
      <c r="J2722" t="s">
        <v>4448</v>
      </c>
      <c r="K2722" t="s">
        <v>4441</v>
      </c>
      <c r="L2722" t="s">
        <v>4533</v>
      </c>
      <c r="M2722" t="s">
        <v>4462</v>
      </c>
      <c r="N2722">
        <v>4</v>
      </c>
    </row>
    <row r="2723" spans="1:14" x14ac:dyDescent="0.35">
      <c r="A2723" t="s">
        <v>7202</v>
      </c>
      <c r="B2723" t="s">
        <v>387</v>
      </c>
      <c r="C2723" t="s">
        <v>1899</v>
      </c>
      <c r="D2723" t="s">
        <v>4476</v>
      </c>
      <c r="E2723" t="s">
        <v>4439</v>
      </c>
      <c r="F2723" s="3">
        <v>45628</v>
      </c>
      <c r="G2723" s="3" t="s">
        <v>537</v>
      </c>
      <c r="I2723">
        <v>48</v>
      </c>
      <c r="J2723" t="s">
        <v>4440</v>
      </c>
      <c r="K2723" t="s">
        <v>4474</v>
      </c>
      <c r="L2723" t="s">
        <v>4449</v>
      </c>
      <c r="M2723" t="s">
        <v>1625</v>
      </c>
    </row>
    <row r="2724" spans="1:14" x14ac:dyDescent="0.35">
      <c r="A2724" t="s">
        <v>7203</v>
      </c>
      <c r="B2724" t="s">
        <v>350</v>
      </c>
      <c r="C2724" t="s">
        <v>1890</v>
      </c>
      <c r="D2724" t="s">
        <v>4460</v>
      </c>
      <c r="E2724" t="s">
        <v>4439</v>
      </c>
      <c r="F2724" s="3">
        <v>45571</v>
      </c>
      <c r="G2724" s="3">
        <v>45575</v>
      </c>
      <c r="H2724">
        <v>115.2</v>
      </c>
      <c r="I2724">
        <v>48</v>
      </c>
      <c r="J2724" t="s">
        <v>4440</v>
      </c>
      <c r="K2724" t="s">
        <v>4441</v>
      </c>
      <c r="L2724" t="s">
        <v>4492</v>
      </c>
      <c r="M2724" t="s">
        <v>4450</v>
      </c>
      <c r="N2724">
        <v>3</v>
      </c>
    </row>
    <row r="2725" spans="1:14" x14ac:dyDescent="0.35">
      <c r="A2725" t="s">
        <v>7204</v>
      </c>
      <c r="B2725" t="s">
        <v>178</v>
      </c>
      <c r="C2725" t="s">
        <v>1899</v>
      </c>
      <c r="D2725" t="s">
        <v>4490</v>
      </c>
      <c r="E2725" t="s">
        <v>4444</v>
      </c>
      <c r="F2725" s="3">
        <v>44967</v>
      </c>
      <c r="G2725" s="3" t="s">
        <v>537</v>
      </c>
      <c r="I2725">
        <v>24</v>
      </c>
      <c r="J2725" t="s">
        <v>4440</v>
      </c>
      <c r="K2725" t="s">
        <v>4453</v>
      </c>
      <c r="L2725" t="s">
        <v>4488</v>
      </c>
      <c r="M2725" t="s">
        <v>4450</v>
      </c>
    </row>
    <row r="2726" spans="1:14" x14ac:dyDescent="0.35">
      <c r="A2726" t="s">
        <v>7205</v>
      </c>
      <c r="B2726" t="s">
        <v>329</v>
      </c>
      <c r="C2726" t="s">
        <v>1915</v>
      </c>
      <c r="D2726" t="s">
        <v>4479</v>
      </c>
      <c r="E2726" t="s">
        <v>4439</v>
      </c>
      <c r="F2726" s="3">
        <v>45201</v>
      </c>
      <c r="G2726" s="3">
        <v>45203</v>
      </c>
      <c r="H2726">
        <v>59.5</v>
      </c>
      <c r="I2726">
        <v>48</v>
      </c>
      <c r="J2726" t="s">
        <v>4440</v>
      </c>
      <c r="K2726" t="s">
        <v>4441</v>
      </c>
      <c r="L2726" t="s">
        <v>4483</v>
      </c>
      <c r="M2726" t="s">
        <v>4450</v>
      </c>
      <c r="N2726">
        <v>4</v>
      </c>
    </row>
    <row r="2727" spans="1:14" x14ac:dyDescent="0.35">
      <c r="A2727" t="s">
        <v>7206</v>
      </c>
      <c r="B2727" t="s">
        <v>366</v>
      </c>
      <c r="C2727" t="s">
        <v>1890</v>
      </c>
      <c r="D2727" t="s">
        <v>8504</v>
      </c>
      <c r="E2727" t="s">
        <v>4473</v>
      </c>
      <c r="F2727" s="3">
        <v>45034</v>
      </c>
      <c r="G2727" s="3">
        <v>45034</v>
      </c>
      <c r="H2727">
        <v>19.3</v>
      </c>
      <c r="I2727">
        <v>8</v>
      </c>
      <c r="J2727" t="s">
        <v>4440</v>
      </c>
      <c r="K2727" t="s">
        <v>4441</v>
      </c>
      <c r="L2727" t="s">
        <v>4488</v>
      </c>
      <c r="M2727" t="s">
        <v>4462</v>
      </c>
      <c r="N2727">
        <v>5</v>
      </c>
    </row>
    <row r="2728" spans="1:14" x14ac:dyDescent="0.35">
      <c r="A2728" t="s">
        <v>7207</v>
      </c>
      <c r="B2728" t="s">
        <v>419</v>
      </c>
      <c r="C2728" t="s">
        <v>1915</v>
      </c>
      <c r="D2728" t="s">
        <v>4482</v>
      </c>
      <c r="E2728" t="s">
        <v>4456</v>
      </c>
      <c r="F2728" s="3">
        <v>45576</v>
      </c>
      <c r="G2728" s="3">
        <v>45576</v>
      </c>
      <c r="H2728">
        <v>7</v>
      </c>
      <c r="I2728">
        <v>4</v>
      </c>
      <c r="J2728" t="s">
        <v>4440</v>
      </c>
      <c r="K2728" t="s">
        <v>4441</v>
      </c>
      <c r="L2728" t="s">
        <v>4501</v>
      </c>
      <c r="M2728" t="s">
        <v>4450</v>
      </c>
      <c r="N2728">
        <v>3</v>
      </c>
    </row>
    <row r="2729" spans="1:14" x14ac:dyDescent="0.35">
      <c r="A2729" t="s">
        <v>7208</v>
      </c>
      <c r="B2729" t="s">
        <v>301</v>
      </c>
      <c r="C2729" t="s">
        <v>1904</v>
      </c>
      <c r="D2729" t="s">
        <v>4482</v>
      </c>
      <c r="E2729" t="s">
        <v>4444</v>
      </c>
      <c r="F2729" s="3">
        <v>45114</v>
      </c>
      <c r="G2729" s="3">
        <v>45115</v>
      </c>
      <c r="H2729">
        <v>29.9</v>
      </c>
      <c r="I2729">
        <v>24</v>
      </c>
      <c r="J2729" t="s">
        <v>4440</v>
      </c>
      <c r="K2729" t="s">
        <v>4441</v>
      </c>
      <c r="L2729" t="s">
        <v>4533</v>
      </c>
      <c r="M2729" t="s">
        <v>4446</v>
      </c>
      <c r="N2729">
        <v>5</v>
      </c>
    </row>
    <row r="2730" spans="1:14" x14ac:dyDescent="0.35">
      <c r="A2730" t="s">
        <v>7209</v>
      </c>
      <c r="B2730" t="s">
        <v>456</v>
      </c>
      <c r="C2730" t="s">
        <v>1899</v>
      </c>
      <c r="D2730" t="s">
        <v>4469</v>
      </c>
      <c r="E2730" t="s">
        <v>4439</v>
      </c>
      <c r="F2730" s="3">
        <v>45223</v>
      </c>
      <c r="G2730" s="3" t="s">
        <v>537</v>
      </c>
      <c r="I2730">
        <v>48</v>
      </c>
      <c r="J2730" t="s">
        <v>4440</v>
      </c>
      <c r="K2730" t="s">
        <v>4457</v>
      </c>
      <c r="L2730" t="s">
        <v>4509</v>
      </c>
      <c r="M2730" t="s">
        <v>4462</v>
      </c>
    </row>
    <row r="2731" spans="1:14" x14ac:dyDescent="0.35">
      <c r="A2731" t="s">
        <v>7210</v>
      </c>
      <c r="B2731" t="s">
        <v>462</v>
      </c>
      <c r="C2731" t="s">
        <v>1883</v>
      </c>
      <c r="D2731" t="s">
        <v>4482</v>
      </c>
      <c r="E2731" t="s">
        <v>4444</v>
      </c>
      <c r="F2731" s="3">
        <v>45174</v>
      </c>
      <c r="G2731" s="3">
        <v>45174</v>
      </c>
      <c r="H2731">
        <v>1.8</v>
      </c>
      <c r="I2731">
        <v>24</v>
      </c>
      <c r="J2731" t="s">
        <v>4448</v>
      </c>
      <c r="K2731" t="s">
        <v>4441</v>
      </c>
      <c r="L2731" t="s">
        <v>4445</v>
      </c>
      <c r="M2731" t="s">
        <v>4450</v>
      </c>
      <c r="N2731">
        <v>5</v>
      </c>
    </row>
    <row r="2732" spans="1:14" x14ac:dyDescent="0.35">
      <c r="A2732" t="s">
        <v>7211</v>
      </c>
      <c r="B2732" t="s">
        <v>266</v>
      </c>
      <c r="C2732" t="s">
        <v>1904</v>
      </c>
      <c r="D2732" t="s">
        <v>4443</v>
      </c>
      <c r="E2732" t="s">
        <v>4456</v>
      </c>
      <c r="F2732" s="3">
        <v>45492</v>
      </c>
      <c r="G2732" s="3" t="s">
        <v>537</v>
      </c>
      <c r="I2732">
        <v>4</v>
      </c>
      <c r="J2732" t="s">
        <v>4448</v>
      </c>
      <c r="K2732" t="s">
        <v>4453</v>
      </c>
      <c r="L2732" t="s">
        <v>4480</v>
      </c>
      <c r="M2732" t="s">
        <v>1625</v>
      </c>
    </row>
    <row r="2733" spans="1:14" x14ac:dyDescent="0.35">
      <c r="A2733" t="s">
        <v>7212</v>
      </c>
      <c r="B2733" t="s">
        <v>220</v>
      </c>
      <c r="C2733" t="s">
        <v>1883</v>
      </c>
      <c r="D2733" t="s">
        <v>4438</v>
      </c>
      <c r="E2733" t="s">
        <v>4444</v>
      </c>
      <c r="F2733" s="3">
        <v>45522</v>
      </c>
      <c r="G2733" s="3" t="s">
        <v>537</v>
      </c>
      <c r="I2733">
        <v>24</v>
      </c>
      <c r="J2733" t="s">
        <v>4440</v>
      </c>
      <c r="K2733" t="s">
        <v>4474</v>
      </c>
      <c r="L2733" t="s">
        <v>4449</v>
      </c>
      <c r="M2733" t="s">
        <v>4462</v>
      </c>
    </row>
    <row r="2734" spans="1:14" x14ac:dyDescent="0.35">
      <c r="A2734" t="s">
        <v>7213</v>
      </c>
      <c r="B2734" t="s">
        <v>235</v>
      </c>
      <c r="C2734" t="s">
        <v>1904</v>
      </c>
      <c r="D2734" t="s">
        <v>4469</v>
      </c>
      <c r="E2734" t="s">
        <v>4473</v>
      </c>
      <c r="F2734" s="3">
        <v>45401</v>
      </c>
      <c r="G2734" s="3">
        <v>45401</v>
      </c>
      <c r="H2734">
        <v>1.1000000000000001</v>
      </c>
      <c r="I2734">
        <v>8</v>
      </c>
      <c r="J2734" t="s">
        <v>4448</v>
      </c>
      <c r="K2734" t="s">
        <v>4441</v>
      </c>
      <c r="L2734" t="s">
        <v>4445</v>
      </c>
      <c r="M2734" t="s">
        <v>4462</v>
      </c>
      <c r="N2734">
        <v>2</v>
      </c>
    </row>
    <row r="2735" spans="1:14" x14ac:dyDescent="0.35">
      <c r="A2735" t="s">
        <v>7214</v>
      </c>
      <c r="B2735" t="s">
        <v>313</v>
      </c>
      <c r="C2735" t="s">
        <v>1915</v>
      </c>
      <c r="D2735" t="s">
        <v>4479</v>
      </c>
      <c r="E2735" t="s">
        <v>4444</v>
      </c>
      <c r="F2735" s="3">
        <v>45545</v>
      </c>
      <c r="G2735" s="3" t="s">
        <v>537</v>
      </c>
      <c r="I2735">
        <v>24</v>
      </c>
      <c r="J2735" t="s">
        <v>4440</v>
      </c>
      <c r="K2735" t="s">
        <v>4474</v>
      </c>
      <c r="L2735" t="s">
        <v>4527</v>
      </c>
      <c r="M2735" t="s">
        <v>4462</v>
      </c>
    </row>
    <row r="2736" spans="1:14" x14ac:dyDescent="0.35">
      <c r="A2736" t="s">
        <v>7215</v>
      </c>
      <c r="B2736" t="s">
        <v>406</v>
      </c>
      <c r="C2736" t="s">
        <v>1915</v>
      </c>
      <c r="D2736" t="s">
        <v>4452</v>
      </c>
      <c r="E2736" t="s">
        <v>4444</v>
      </c>
      <c r="F2736" s="3">
        <v>45410</v>
      </c>
      <c r="G2736" s="3" t="s">
        <v>537</v>
      </c>
      <c r="I2736">
        <v>24</v>
      </c>
      <c r="J2736" t="s">
        <v>4440</v>
      </c>
      <c r="K2736" t="s">
        <v>4453</v>
      </c>
      <c r="L2736" t="s">
        <v>4533</v>
      </c>
      <c r="M2736" t="s">
        <v>4450</v>
      </c>
    </row>
    <row r="2737" spans="1:14" x14ac:dyDescent="0.35">
      <c r="A2737" t="s">
        <v>7216</v>
      </c>
      <c r="B2737" t="s">
        <v>388</v>
      </c>
      <c r="C2737" t="s">
        <v>1915</v>
      </c>
      <c r="D2737" t="s">
        <v>4476</v>
      </c>
      <c r="E2737" t="s">
        <v>4444</v>
      </c>
      <c r="F2737" s="3">
        <v>45413</v>
      </c>
      <c r="G2737" s="3" t="s">
        <v>537</v>
      </c>
      <c r="I2737">
        <v>24</v>
      </c>
      <c r="J2737" t="s">
        <v>4448</v>
      </c>
      <c r="K2737" t="s">
        <v>4453</v>
      </c>
      <c r="L2737" t="s">
        <v>4480</v>
      </c>
      <c r="M2737" t="s">
        <v>4450</v>
      </c>
    </row>
    <row r="2738" spans="1:14" x14ac:dyDescent="0.35">
      <c r="A2738" t="s">
        <v>7217</v>
      </c>
      <c r="B2738" t="s">
        <v>395</v>
      </c>
      <c r="C2738" t="s">
        <v>1904</v>
      </c>
      <c r="D2738" t="s">
        <v>4472</v>
      </c>
      <c r="E2738" t="s">
        <v>4444</v>
      </c>
      <c r="F2738" s="3">
        <v>45425</v>
      </c>
      <c r="G2738" s="3" t="s">
        <v>537</v>
      </c>
      <c r="I2738">
        <v>24</v>
      </c>
      <c r="J2738" t="s">
        <v>4448</v>
      </c>
      <c r="K2738" t="s">
        <v>4474</v>
      </c>
      <c r="L2738" t="s">
        <v>4492</v>
      </c>
      <c r="M2738" t="s">
        <v>4450</v>
      </c>
    </row>
    <row r="2739" spans="1:14" x14ac:dyDescent="0.35">
      <c r="A2739" t="s">
        <v>7218</v>
      </c>
      <c r="B2739" t="s">
        <v>462</v>
      </c>
      <c r="C2739" t="s">
        <v>1904</v>
      </c>
      <c r="D2739" t="s">
        <v>4443</v>
      </c>
      <c r="E2739" t="s">
        <v>4473</v>
      </c>
      <c r="F2739" s="3">
        <v>45628</v>
      </c>
      <c r="G2739" s="3" t="s">
        <v>537</v>
      </c>
      <c r="I2739">
        <v>8</v>
      </c>
      <c r="J2739" t="s">
        <v>4440</v>
      </c>
      <c r="K2739" t="s">
        <v>4457</v>
      </c>
      <c r="L2739" t="s">
        <v>4483</v>
      </c>
      <c r="M2739" t="s">
        <v>1625</v>
      </c>
    </row>
    <row r="2740" spans="1:14" x14ac:dyDescent="0.35">
      <c r="A2740" t="s">
        <v>7219</v>
      </c>
      <c r="B2740" t="s">
        <v>386</v>
      </c>
      <c r="C2740" t="s">
        <v>1915</v>
      </c>
      <c r="D2740" t="s">
        <v>4464</v>
      </c>
      <c r="E2740" t="s">
        <v>79</v>
      </c>
      <c r="F2740" s="3">
        <v>45718</v>
      </c>
      <c r="G2740" s="3" t="s">
        <v>537</v>
      </c>
      <c r="I2740">
        <v>24</v>
      </c>
      <c r="J2740" t="s">
        <v>4440</v>
      </c>
      <c r="K2740" t="s">
        <v>4474</v>
      </c>
      <c r="L2740" t="s">
        <v>4480</v>
      </c>
      <c r="M2740" t="s">
        <v>4446</v>
      </c>
    </row>
    <row r="2741" spans="1:14" x14ac:dyDescent="0.35">
      <c r="A2741" t="s">
        <v>7220</v>
      </c>
      <c r="B2741" t="s">
        <v>356</v>
      </c>
      <c r="C2741" t="s">
        <v>1915</v>
      </c>
      <c r="D2741" t="s">
        <v>4469</v>
      </c>
      <c r="E2741" t="s">
        <v>4456</v>
      </c>
      <c r="F2741" s="3">
        <v>45024</v>
      </c>
      <c r="G2741" s="3">
        <v>45024</v>
      </c>
      <c r="H2741">
        <v>6.4</v>
      </c>
      <c r="I2741">
        <v>4</v>
      </c>
      <c r="J2741" t="s">
        <v>4440</v>
      </c>
      <c r="K2741" t="s">
        <v>4441</v>
      </c>
      <c r="L2741" t="s">
        <v>4470</v>
      </c>
      <c r="M2741" t="s">
        <v>4446</v>
      </c>
      <c r="N2741">
        <v>5</v>
      </c>
    </row>
    <row r="2742" spans="1:14" x14ac:dyDescent="0.35">
      <c r="A2742" t="s">
        <v>7221</v>
      </c>
      <c r="B2742" t="s">
        <v>417</v>
      </c>
      <c r="C2742" t="s">
        <v>1915</v>
      </c>
      <c r="D2742" t="s">
        <v>4490</v>
      </c>
      <c r="E2742" t="s">
        <v>4444</v>
      </c>
      <c r="F2742" s="3">
        <v>45398</v>
      </c>
      <c r="G2742" s="3" t="s">
        <v>537</v>
      </c>
      <c r="I2742">
        <v>24</v>
      </c>
      <c r="J2742" t="s">
        <v>4440</v>
      </c>
      <c r="K2742" t="s">
        <v>4474</v>
      </c>
      <c r="L2742" t="s">
        <v>4492</v>
      </c>
      <c r="M2742" t="s">
        <v>4450</v>
      </c>
    </row>
    <row r="2743" spans="1:14" x14ac:dyDescent="0.35">
      <c r="A2743" t="s">
        <v>7222</v>
      </c>
      <c r="B2743" t="s">
        <v>80</v>
      </c>
      <c r="C2743" t="s">
        <v>1883</v>
      </c>
      <c r="D2743" t="s">
        <v>4438</v>
      </c>
      <c r="E2743" t="s">
        <v>4439</v>
      </c>
      <c r="F2743" s="3">
        <v>45551</v>
      </c>
      <c r="G2743" s="3" t="s">
        <v>537</v>
      </c>
      <c r="I2743">
        <v>48</v>
      </c>
      <c r="J2743" t="s">
        <v>4440</v>
      </c>
      <c r="K2743" t="s">
        <v>4457</v>
      </c>
      <c r="L2743" t="s">
        <v>4467</v>
      </c>
      <c r="M2743" t="s">
        <v>4462</v>
      </c>
    </row>
    <row r="2744" spans="1:14" x14ac:dyDescent="0.35">
      <c r="A2744" t="s">
        <v>7223</v>
      </c>
      <c r="B2744" t="s">
        <v>398</v>
      </c>
      <c r="C2744" t="s">
        <v>1899</v>
      </c>
      <c r="D2744" t="s">
        <v>4472</v>
      </c>
      <c r="E2744" t="s">
        <v>4439</v>
      </c>
      <c r="F2744" s="3">
        <v>45478</v>
      </c>
      <c r="G2744" s="3">
        <v>45481</v>
      </c>
      <c r="H2744">
        <v>87.3</v>
      </c>
      <c r="I2744">
        <v>48</v>
      </c>
      <c r="J2744" t="s">
        <v>4440</v>
      </c>
      <c r="K2744" t="s">
        <v>4441</v>
      </c>
      <c r="L2744" t="s">
        <v>4465</v>
      </c>
      <c r="M2744" t="s">
        <v>4462</v>
      </c>
    </row>
    <row r="2745" spans="1:14" x14ac:dyDescent="0.35">
      <c r="A2745" t="s">
        <v>7224</v>
      </c>
      <c r="B2745" t="s">
        <v>211</v>
      </c>
      <c r="C2745" t="s">
        <v>1915</v>
      </c>
      <c r="D2745" t="s">
        <v>4438</v>
      </c>
      <c r="E2745" t="s">
        <v>4456</v>
      </c>
      <c r="F2745" s="3">
        <v>45066</v>
      </c>
      <c r="G2745" s="3" t="s">
        <v>537</v>
      </c>
      <c r="I2745">
        <v>4</v>
      </c>
      <c r="J2745" t="s">
        <v>4440</v>
      </c>
      <c r="K2745" t="s">
        <v>4474</v>
      </c>
      <c r="L2745" t="s">
        <v>4501</v>
      </c>
      <c r="M2745" t="s">
        <v>4446</v>
      </c>
    </row>
    <row r="2746" spans="1:14" x14ac:dyDescent="0.35">
      <c r="A2746" t="s">
        <v>7225</v>
      </c>
      <c r="B2746" t="s">
        <v>319</v>
      </c>
      <c r="C2746" t="s">
        <v>1890</v>
      </c>
      <c r="D2746" t="s">
        <v>4479</v>
      </c>
      <c r="E2746" t="s">
        <v>4439</v>
      </c>
      <c r="F2746" s="3">
        <v>45679</v>
      </c>
      <c r="G2746" s="3">
        <v>45683</v>
      </c>
      <c r="H2746">
        <v>112.6</v>
      </c>
      <c r="I2746">
        <v>48</v>
      </c>
      <c r="J2746" t="s">
        <v>4440</v>
      </c>
      <c r="K2746" t="s">
        <v>4441</v>
      </c>
      <c r="L2746" t="s">
        <v>4527</v>
      </c>
      <c r="M2746" t="s">
        <v>4450</v>
      </c>
      <c r="N2746">
        <v>4</v>
      </c>
    </row>
    <row r="2747" spans="1:14" x14ac:dyDescent="0.35">
      <c r="A2747" t="s">
        <v>7226</v>
      </c>
      <c r="B2747" t="s">
        <v>180</v>
      </c>
      <c r="C2747" t="s">
        <v>1899</v>
      </c>
      <c r="D2747" t="s">
        <v>8509</v>
      </c>
      <c r="E2747" t="s">
        <v>4456</v>
      </c>
      <c r="F2747" s="3">
        <v>45605</v>
      </c>
      <c r="G2747" s="3">
        <v>45605</v>
      </c>
      <c r="H2747">
        <v>8.1</v>
      </c>
      <c r="I2747">
        <v>4</v>
      </c>
      <c r="J2747" t="s">
        <v>4440</v>
      </c>
      <c r="K2747" t="s">
        <v>4441</v>
      </c>
      <c r="L2747" t="s">
        <v>4449</v>
      </c>
      <c r="M2747" t="s">
        <v>4462</v>
      </c>
      <c r="N2747">
        <v>5</v>
      </c>
    </row>
    <row r="2748" spans="1:14" x14ac:dyDescent="0.35">
      <c r="A2748" t="s">
        <v>7227</v>
      </c>
      <c r="B2748" t="s">
        <v>38</v>
      </c>
      <c r="C2748" t="s">
        <v>1890</v>
      </c>
      <c r="D2748" t="s">
        <v>4485</v>
      </c>
      <c r="E2748" t="s">
        <v>4473</v>
      </c>
      <c r="F2748" s="3">
        <v>44973</v>
      </c>
      <c r="G2748" s="3" t="s">
        <v>537</v>
      </c>
      <c r="I2748">
        <v>8</v>
      </c>
      <c r="J2748" t="s">
        <v>4440</v>
      </c>
      <c r="K2748" t="s">
        <v>4453</v>
      </c>
      <c r="L2748" t="s">
        <v>4527</v>
      </c>
      <c r="M2748" t="s">
        <v>4462</v>
      </c>
    </row>
    <row r="2749" spans="1:14" x14ac:dyDescent="0.35">
      <c r="A2749" t="s">
        <v>7228</v>
      </c>
      <c r="B2749" t="s">
        <v>86</v>
      </c>
      <c r="C2749" t="s">
        <v>1927</v>
      </c>
      <c r="D2749" t="s">
        <v>4452</v>
      </c>
      <c r="E2749" t="s">
        <v>4473</v>
      </c>
      <c r="F2749" s="3">
        <v>45120</v>
      </c>
      <c r="G2749" s="3">
        <v>45120</v>
      </c>
      <c r="H2749">
        <v>14.6</v>
      </c>
      <c r="I2749">
        <v>8</v>
      </c>
      <c r="J2749" t="s">
        <v>4440</v>
      </c>
      <c r="K2749" t="s">
        <v>4441</v>
      </c>
      <c r="L2749" t="s">
        <v>4449</v>
      </c>
      <c r="M2749" t="s">
        <v>4446</v>
      </c>
      <c r="N2749">
        <v>4</v>
      </c>
    </row>
    <row r="2750" spans="1:14" x14ac:dyDescent="0.35">
      <c r="A2750" t="s">
        <v>7229</v>
      </c>
      <c r="B2750" t="s">
        <v>440</v>
      </c>
      <c r="C2750" t="s">
        <v>1899</v>
      </c>
      <c r="D2750" t="s">
        <v>4485</v>
      </c>
      <c r="E2750" t="s">
        <v>4439</v>
      </c>
      <c r="F2750" s="3">
        <v>45452</v>
      </c>
      <c r="G2750" s="3">
        <v>45455</v>
      </c>
      <c r="H2750">
        <v>72.900000000000006</v>
      </c>
      <c r="I2750">
        <v>48</v>
      </c>
      <c r="J2750" t="s">
        <v>4440</v>
      </c>
      <c r="K2750" t="s">
        <v>4441</v>
      </c>
      <c r="L2750" t="s">
        <v>4488</v>
      </c>
      <c r="M2750" t="s">
        <v>4450</v>
      </c>
      <c r="N2750">
        <v>5</v>
      </c>
    </row>
    <row r="2751" spans="1:14" x14ac:dyDescent="0.35">
      <c r="A2751" t="s">
        <v>7230</v>
      </c>
      <c r="B2751" t="s">
        <v>66</v>
      </c>
      <c r="C2751" t="s">
        <v>1890</v>
      </c>
      <c r="D2751" t="s">
        <v>4469</v>
      </c>
      <c r="E2751" t="s">
        <v>4439</v>
      </c>
      <c r="F2751" s="3">
        <v>45062</v>
      </c>
      <c r="G2751" s="3">
        <v>45064</v>
      </c>
      <c r="H2751">
        <v>61.5</v>
      </c>
      <c r="I2751">
        <v>48</v>
      </c>
      <c r="J2751" t="s">
        <v>4440</v>
      </c>
      <c r="K2751" t="s">
        <v>4441</v>
      </c>
      <c r="L2751" t="s">
        <v>4512</v>
      </c>
      <c r="M2751" t="s">
        <v>1625</v>
      </c>
      <c r="N2751">
        <v>5</v>
      </c>
    </row>
    <row r="2752" spans="1:14" x14ac:dyDescent="0.35">
      <c r="A2752" t="s">
        <v>7231</v>
      </c>
      <c r="B2752" t="s">
        <v>173</v>
      </c>
      <c r="C2752" t="s">
        <v>1899</v>
      </c>
      <c r="D2752" t="s">
        <v>4490</v>
      </c>
      <c r="E2752" t="s">
        <v>4473</v>
      </c>
      <c r="F2752" s="3">
        <v>45286</v>
      </c>
      <c r="G2752" s="3">
        <v>45286</v>
      </c>
      <c r="H2752">
        <v>18.899999999999999</v>
      </c>
      <c r="I2752">
        <v>8</v>
      </c>
      <c r="J2752" t="s">
        <v>4440</v>
      </c>
      <c r="K2752" t="s">
        <v>4441</v>
      </c>
      <c r="L2752" t="s">
        <v>4470</v>
      </c>
      <c r="M2752" t="s">
        <v>4462</v>
      </c>
      <c r="N2752">
        <v>4</v>
      </c>
    </row>
    <row r="2753" spans="1:14" x14ac:dyDescent="0.35">
      <c r="A2753" t="s">
        <v>7232</v>
      </c>
      <c r="B2753" t="s">
        <v>116</v>
      </c>
      <c r="C2753" t="s">
        <v>1927</v>
      </c>
      <c r="D2753" t="s">
        <v>4443</v>
      </c>
      <c r="E2753" t="s">
        <v>4444</v>
      </c>
      <c r="F2753" s="3">
        <v>45140</v>
      </c>
      <c r="G2753" s="3" t="s">
        <v>537</v>
      </c>
      <c r="I2753">
        <v>24</v>
      </c>
      <c r="J2753" t="s">
        <v>4440</v>
      </c>
      <c r="K2753" t="s">
        <v>4474</v>
      </c>
      <c r="L2753" t="s">
        <v>4527</v>
      </c>
      <c r="M2753" t="s">
        <v>4462</v>
      </c>
    </row>
    <row r="2754" spans="1:14" x14ac:dyDescent="0.35">
      <c r="A2754" t="s">
        <v>7233</v>
      </c>
      <c r="B2754" t="s">
        <v>485</v>
      </c>
      <c r="C2754" t="s">
        <v>1890</v>
      </c>
      <c r="D2754" t="s">
        <v>4490</v>
      </c>
      <c r="E2754" t="s">
        <v>4439</v>
      </c>
      <c r="F2754" s="3">
        <v>45719</v>
      </c>
      <c r="G2754" s="3">
        <v>45719</v>
      </c>
      <c r="H2754">
        <v>2.6</v>
      </c>
      <c r="I2754">
        <v>48</v>
      </c>
      <c r="J2754" t="s">
        <v>4448</v>
      </c>
      <c r="K2754" t="s">
        <v>4441</v>
      </c>
      <c r="L2754" t="s">
        <v>4465</v>
      </c>
      <c r="M2754" t="s">
        <v>4450</v>
      </c>
      <c r="N2754">
        <v>3</v>
      </c>
    </row>
    <row r="2755" spans="1:14" x14ac:dyDescent="0.35">
      <c r="A2755" t="s">
        <v>7234</v>
      </c>
      <c r="B2755" t="s">
        <v>152</v>
      </c>
      <c r="C2755" t="s">
        <v>1890</v>
      </c>
      <c r="D2755" t="s">
        <v>4472</v>
      </c>
      <c r="E2755" t="s">
        <v>4444</v>
      </c>
      <c r="F2755" s="3">
        <v>45486</v>
      </c>
      <c r="G2755" s="3">
        <v>45487</v>
      </c>
      <c r="H2755">
        <v>29.4</v>
      </c>
      <c r="I2755">
        <v>24</v>
      </c>
      <c r="J2755" t="s">
        <v>4440</v>
      </c>
      <c r="K2755" t="s">
        <v>4441</v>
      </c>
      <c r="L2755" t="s">
        <v>4470</v>
      </c>
      <c r="M2755" t="s">
        <v>4446</v>
      </c>
      <c r="N2755">
        <v>4</v>
      </c>
    </row>
    <row r="2756" spans="1:14" x14ac:dyDescent="0.35">
      <c r="A2756" t="s">
        <v>7235</v>
      </c>
      <c r="B2756" t="s">
        <v>300</v>
      </c>
      <c r="C2756" t="s">
        <v>1927</v>
      </c>
      <c r="D2756" t="s">
        <v>4490</v>
      </c>
      <c r="E2756" t="s">
        <v>4456</v>
      </c>
      <c r="F2756" s="3">
        <v>45034</v>
      </c>
      <c r="G2756" s="3">
        <v>45034</v>
      </c>
      <c r="H2756">
        <v>7.8</v>
      </c>
      <c r="I2756">
        <v>4</v>
      </c>
      <c r="J2756" t="s">
        <v>4440</v>
      </c>
      <c r="K2756" t="s">
        <v>4441</v>
      </c>
      <c r="L2756" t="s">
        <v>4580</v>
      </c>
      <c r="M2756" t="s">
        <v>4462</v>
      </c>
    </row>
    <row r="2757" spans="1:14" x14ac:dyDescent="0.35">
      <c r="A2757" t="s">
        <v>7236</v>
      </c>
      <c r="B2757" t="s">
        <v>42</v>
      </c>
      <c r="C2757" t="s">
        <v>1915</v>
      </c>
      <c r="D2757" t="s">
        <v>4438</v>
      </c>
      <c r="E2757" t="s">
        <v>4439</v>
      </c>
      <c r="F2757" s="3">
        <v>45197</v>
      </c>
      <c r="G2757" s="3">
        <v>45198</v>
      </c>
      <c r="H2757">
        <v>46</v>
      </c>
      <c r="I2757">
        <v>48</v>
      </c>
      <c r="J2757" t="s">
        <v>4448</v>
      </c>
      <c r="K2757" t="s">
        <v>4441</v>
      </c>
      <c r="L2757" t="s">
        <v>4480</v>
      </c>
      <c r="M2757" t="s">
        <v>4450</v>
      </c>
      <c r="N2757">
        <v>1</v>
      </c>
    </row>
    <row r="2758" spans="1:14" x14ac:dyDescent="0.35">
      <c r="A2758" t="s">
        <v>7237</v>
      </c>
      <c r="B2758" t="s">
        <v>432</v>
      </c>
      <c r="C2758" t="s">
        <v>1904</v>
      </c>
      <c r="D2758" t="s">
        <v>4443</v>
      </c>
      <c r="E2758" t="s">
        <v>4439</v>
      </c>
      <c r="F2758" s="3">
        <v>45633</v>
      </c>
      <c r="G2758" s="3" t="s">
        <v>537</v>
      </c>
      <c r="I2758">
        <v>48</v>
      </c>
      <c r="J2758" t="s">
        <v>4440</v>
      </c>
      <c r="K2758" t="s">
        <v>4474</v>
      </c>
      <c r="L2758" t="s">
        <v>4467</v>
      </c>
      <c r="M2758" t="s">
        <v>1625</v>
      </c>
    </row>
    <row r="2759" spans="1:14" x14ac:dyDescent="0.35">
      <c r="A2759" t="s">
        <v>7238</v>
      </c>
      <c r="B2759" t="s">
        <v>447</v>
      </c>
      <c r="C2759" t="s">
        <v>1899</v>
      </c>
      <c r="D2759" t="s">
        <v>4443</v>
      </c>
      <c r="E2759" t="s">
        <v>4473</v>
      </c>
      <c r="F2759" s="3">
        <v>45613</v>
      </c>
      <c r="G2759" s="3" t="s">
        <v>537</v>
      </c>
      <c r="I2759">
        <v>8</v>
      </c>
      <c r="J2759" t="s">
        <v>4448</v>
      </c>
      <c r="K2759" t="s">
        <v>4474</v>
      </c>
      <c r="L2759" t="s">
        <v>4580</v>
      </c>
      <c r="M2759" t="s">
        <v>4450</v>
      </c>
    </row>
    <row r="2760" spans="1:14" x14ac:dyDescent="0.35">
      <c r="A2760" t="s">
        <v>7239</v>
      </c>
      <c r="B2760" t="s">
        <v>178</v>
      </c>
      <c r="C2760" t="s">
        <v>1904</v>
      </c>
      <c r="D2760" t="s">
        <v>4485</v>
      </c>
      <c r="E2760" t="s">
        <v>4444</v>
      </c>
      <c r="F2760" s="3">
        <v>45745</v>
      </c>
      <c r="G2760" s="3" t="s">
        <v>537</v>
      </c>
      <c r="I2760">
        <v>24</v>
      </c>
      <c r="J2760" t="s">
        <v>4448</v>
      </c>
      <c r="K2760" t="s">
        <v>4457</v>
      </c>
      <c r="L2760" t="s">
        <v>4458</v>
      </c>
      <c r="M2760" t="s">
        <v>4450</v>
      </c>
    </row>
    <row r="2761" spans="1:14" x14ac:dyDescent="0.35">
      <c r="A2761" t="s">
        <v>7240</v>
      </c>
      <c r="B2761" t="s">
        <v>18</v>
      </c>
      <c r="C2761" t="s">
        <v>1890</v>
      </c>
      <c r="D2761" t="s">
        <v>4472</v>
      </c>
      <c r="E2761" t="s">
        <v>4444</v>
      </c>
      <c r="F2761" s="3">
        <v>45450</v>
      </c>
      <c r="G2761" s="3" t="s">
        <v>537</v>
      </c>
      <c r="I2761">
        <v>24</v>
      </c>
      <c r="J2761" t="s">
        <v>4448</v>
      </c>
      <c r="K2761" t="s">
        <v>4457</v>
      </c>
      <c r="L2761" t="s">
        <v>4580</v>
      </c>
      <c r="M2761" t="s">
        <v>4462</v>
      </c>
    </row>
    <row r="2762" spans="1:14" x14ac:dyDescent="0.35">
      <c r="A2762" t="s">
        <v>7241</v>
      </c>
      <c r="B2762" t="s">
        <v>388</v>
      </c>
      <c r="C2762" t="s">
        <v>1890</v>
      </c>
      <c r="D2762" t="s">
        <v>4452</v>
      </c>
      <c r="E2762" t="s">
        <v>4444</v>
      </c>
      <c r="F2762" s="3">
        <v>45431</v>
      </c>
      <c r="G2762" s="3" t="s">
        <v>537</v>
      </c>
      <c r="I2762">
        <v>24</v>
      </c>
      <c r="J2762" t="s">
        <v>4440</v>
      </c>
      <c r="K2762" t="s">
        <v>4457</v>
      </c>
      <c r="L2762" t="s">
        <v>4580</v>
      </c>
      <c r="M2762" t="s">
        <v>4450</v>
      </c>
    </row>
    <row r="2763" spans="1:14" x14ac:dyDescent="0.35">
      <c r="A2763" t="s">
        <v>7242</v>
      </c>
      <c r="B2763" t="s">
        <v>442</v>
      </c>
      <c r="C2763" t="s">
        <v>1927</v>
      </c>
      <c r="D2763" t="s">
        <v>4452</v>
      </c>
      <c r="E2763" t="s">
        <v>4439</v>
      </c>
      <c r="F2763" s="3">
        <v>45545</v>
      </c>
      <c r="G2763" s="3">
        <v>45546</v>
      </c>
      <c r="H2763">
        <v>30.3</v>
      </c>
      <c r="I2763">
        <v>48</v>
      </c>
      <c r="J2763" t="s">
        <v>4448</v>
      </c>
      <c r="K2763" t="s">
        <v>4441</v>
      </c>
      <c r="L2763" t="s">
        <v>1907</v>
      </c>
      <c r="M2763" t="s">
        <v>1625</v>
      </c>
      <c r="N2763">
        <v>4</v>
      </c>
    </row>
    <row r="2764" spans="1:14" x14ac:dyDescent="0.35">
      <c r="A2764" t="s">
        <v>7243</v>
      </c>
      <c r="B2764" t="s">
        <v>289</v>
      </c>
      <c r="C2764" t="s">
        <v>1915</v>
      </c>
      <c r="D2764" t="s">
        <v>4438</v>
      </c>
      <c r="E2764" t="s">
        <v>4439</v>
      </c>
      <c r="F2764" s="3">
        <v>45462</v>
      </c>
      <c r="G2764" s="3">
        <v>45466</v>
      </c>
      <c r="H2764">
        <v>110.4</v>
      </c>
      <c r="I2764">
        <v>48</v>
      </c>
      <c r="J2764" t="s">
        <v>4440</v>
      </c>
      <c r="K2764" t="s">
        <v>4441</v>
      </c>
      <c r="L2764" t="s">
        <v>4465</v>
      </c>
      <c r="M2764" t="s">
        <v>4450</v>
      </c>
      <c r="N2764">
        <v>4</v>
      </c>
    </row>
    <row r="2765" spans="1:14" x14ac:dyDescent="0.35">
      <c r="A2765" t="s">
        <v>7244</v>
      </c>
      <c r="B2765" t="s">
        <v>432</v>
      </c>
      <c r="C2765" t="s">
        <v>1927</v>
      </c>
      <c r="D2765" t="s">
        <v>4472</v>
      </c>
      <c r="E2765" t="s">
        <v>4473</v>
      </c>
      <c r="F2765" s="3">
        <v>45308</v>
      </c>
      <c r="G2765" s="3" t="s">
        <v>537</v>
      </c>
      <c r="I2765">
        <v>8</v>
      </c>
      <c r="J2765" t="s">
        <v>4448</v>
      </c>
      <c r="K2765" t="s">
        <v>4453</v>
      </c>
      <c r="L2765" t="s">
        <v>4580</v>
      </c>
      <c r="M2765" t="s">
        <v>4450</v>
      </c>
    </row>
    <row r="2766" spans="1:14" x14ac:dyDescent="0.35">
      <c r="A2766" t="s">
        <v>7245</v>
      </c>
      <c r="B2766" t="s">
        <v>222</v>
      </c>
      <c r="C2766" t="s">
        <v>1927</v>
      </c>
      <c r="D2766" t="s">
        <v>4443</v>
      </c>
      <c r="E2766" t="s">
        <v>4473</v>
      </c>
      <c r="F2766" s="3">
        <v>45607</v>
      </c>
      <c r="G2766" s="3" t="s">
        <v>537</v>
      </c>
      <c r="I2766">
        <v>8</v>
      </c>
      <c r="J2766" t="s">
        <v>4440</v>
      </c>
      <c r="K2766" t="s">
        <v>4453</v>
      </c>
      <c r="L2766" t="s">
        <v>4501</v>
      </c>
      <c r="M2766" t="s">
        <v>1625</v>
      </c>
    </row>
    <row r="2767" spans="1:14" x14ac:dyDescent="0.35">
      <c r="A2767" t="s">
        <v>7246</v>
      </c>
      <c r="B2767" t="s">
        <v>252</v>
      </c>
      <c r="C2767" t="s">
        <v>1899</v>
      </c>
      <c r="D2767" t="s">
        <v>4482</v>
      </c>
      <c r="E2767" t="s">
        <v>4473</v>
      </c>
      <c r="F2767" s="3">
        <v>45017</v>
      </c>
      <c r="G2767" s="3" t="s">
        <v>537</v>
      </c>
      <c r="I2767">
        <v>8</v>
      </c>
      <c r="J2767" t="s">
        <v>4440</v>
      </c>
      <c r="K2767" t="s">
        <v>4453</v>
      </c>
      <c r="L2767" t="s">
        <v>4449</v>
      </c>
      <c r="M2767" t="s">
        <v>4446</v>
      </c>
    </row>
    <row r="2768" spans="1:14" x14ac:dyDescent="0.35">
      <c r="A2768" t="s">
        <v>7247</v>
      </c>
      <c r="B2768" t="s">
        <v>190</v>
      </c>
      <c r="C2768" t="s">
        <v>1904</v>
      </c>
      <c r="D2768" t="s">
        <v>4479</v>
      </c>
      <c r="E2768" t="s">
        <v>4444</v>
      </c>
      <c r="F2768" s="3">
        <v>45268</v>
      </c>
      <c r="G2768" s="3">
        <v>45269</v>
      </c>
      <c r="H2768">
        <v>32.799999999999997</v>
      </c>
      <c r="I2768">
        <v>24</v>
      </c>
      <c r="J2768" t="s">
        <v>4440</v>
      </c>
      <c r="K2768" t="s">
        <v>4441</v>
      </c>
      <c r="L2768" t="s">
        <v>4449</v>
      </c>
      <c r="M2768" t="s">
        <v>4462</v>
      </c>
    </row>
    <row r="2769" spans="1:14" x14ac:dyDescent="0.35">
      <c r="A2769" t="s">
        <v>7248</v>
      </c>
      <c r="B2769" t="s">
        <v>412</v>
      </c>
      <c r="C2769" t="s">
        <v>1899</v>
      </c>
      <c r="D2769" t="s">
        <v>4485</v>
      </c>
      <c r="E2769" t="s">
        <v>4439</v>
      </c>
      <c r="F2769" s="3">
        <v>45618</v>
      </c>
      <c r="G2769" s="3">
        <v>45619</v>
      </c>
      <c r="H2769">
        <v>25.4</v>
      </c>
      <c r="I2769">
        <v>48</v>
      </c>
      <c r="J2769" t="s">
        <v>4448</v>
      </c>
      <c r="K2769" t="s">
        <v>4441</v>
      </c>
      <c r="L2769" t="s">
        <v>4449</v>
      </c>
      <c r="M2769" t="s">
        <v>4450</v>
      </c>
      <c r="N2769">
        <v>4</v>
      </c>
    </row>
    <row r="2770" spans="1:14" x14ac:dyDescent="0.35">
      <c r="A2770" t="s">
        <v>7249</v>
      </c>
      <c r="B2770" t="s">
        <v>483</v>
      </c>
      <c r="C2770" t="s">
        <v>1904</v>
      </c>
      <c r="D2770" t="s">
        <v>4452</v>
      </c>
      <c r="E2770" t="s">
        <v>4473</v>
      </c>
      <c r="F2770" s="3">
        <v>45107</v>
      </c>
      <c r="G2770" s="3">
        <v>45107</v>
      </c>
      <c r="H2770">
        <v>8.6999999999999993</v>
      </c>
      <c r="I2770">
        <v>8</v>
      </c>
      <c r="J2770" t="s">
        <v>4440</v>
      </c>
      <c r="K2770" t="s">
        <v>4441</v>
      </c>
      <c r="L2770" t="s">
        <v>4527</v>
      </c>
      <c r="M2770" t="s">
        <v>4450</v>
      </c>
      <c r="N2770">
        <v>3</v>
      </c>
    </row>
    <row r="2771" spans="1:14" x14ac:dyDescent="0.35">
      <c r="A2771" t="s">
        <v>7250</v>
      </c>
      <c r="B2771" t="s">
        <v>429</v>
      </c>
      <c r="C2771" t="s">
        <v>1904</v>
      </c>
      <c r="D2771" t="s">
        <v>4479</v>
      </c>
      <c r="E2771" t="s">
        <v>4473</v>
      </c>
      <c r="F2771" s="3">
        <v>45660</v>
      </c>
      <c r="G2771" s="3">
        <v>45660</v>
      </c>
      <c r="H2771">
        <v>17.100000000000001</v>
      </c>
      <c r="I2771">
        <v>8</v>
      </c>
      <c r="J2771" t="s">
        <v>4440</v>
      </c>
      <c r="K2771" t="s">
        <v>4441</v>
      </c>
      <c r="L2771" t="s">
        <v>4509</v>
      </c>
      <c r="M2771" t="s">
        <v>4450</v>
      </c>
    </row>
    <row r="2772" spans="1:14" x14ac:dyDescent="0.35">
      <c r="A2772" t="s">
        <v>7251</v>
      </c>
      <c r="B2772" t="s">
        <v>483</v>
      </c>
      <c r="C2772" t="s">
        <v>1890</v>
      </c>
      <c r="D2772" t="s">
        <v>4479</v>
      </c>
      <c r="E2772" t="s">
        <v>4439</v>
      </c>
      <c r="F2772" s="3">
        <v>45367</v>
      </c>
      <c r="G2772" s="3" t="s">
        <v>537</v>
      </c>
      <c r="I2772">
        <v>48</v>
      </c>
      <c r="J2772" t="s">
        <v>4440</v>
      </c>
      <c r="K2772" t="s">
        <v>4457</v>
      </c>
      <c r="L2772" t="s">
        <v>4458</v>
      </c>
      <c r="M2772" t="s">
        <v>4462</v>
      </c>
    </row>
    <row r="2773" spans="1:14" x14ac:dyDescent="0.35">
      <c r="A2773" t="s">
        <v>7252</v>
      </c>
      <c r="B2773" t="s">
        <v>186</v>
      </c>
      <c r="C2773" t="s">
        <v>1890</v>
      </c>
      <c r="D2773" t="s">
        <v>4443</v>
      </c>
      <c r="E2773" t="s">
        <v>4439</v>
      </c>
      <c r="F2773" s="3">
        <v>45298</v>
      </c>
      <c r="G2773" s="3">
        <v>45299</v>
      </c>
      <c r="H2773">
        <v>46</v>
      </c>
      <c r="I2773">
        <v>48</v>
      </c>
      <c r="J2773" t="s">
        <v>4448</v>
      </c>
      <c r="K2773" t="s">
        <v>4441</v>
      </c>
      <c r="L2773" t="s">
        <v>4470</v>
      </c>
      <c r="M2773" t="s">
        <v>4450</v>
      </c>
      <c r="N2773">
        <v>4</v>
      </c>
    </row>
    <row r="2774" spans="1:14" x14ac:dyDescent="0.35">
      <c r="A2774" t="s">
        <v>7253</v>
      </c>
      <c r="B2774" t="s">
        <v>334</v>
      </c>
      <c r="C2774" t="s">
        <v>1927</v>
      </c>
      <c r="D2774" t="s">
        <v>4438</v>
      </c>
      <c r="E2774" t="s">
        <v>4439</v>
      </c>
      <c r="F2774" s="3">
        <v>45078</v>
      </c>
      <c r="G2774" s="3">
        <v>45081</v>
      </c>
      <c r="H2774">
        <v>79.400000000000006</v>
      </c>
      <c r="I2774">
        <v>48</v>
      </c>
      <c r="J2774" t="s">
        <v>4440</v>
      </c>
      <c r="K2774" t="s">
        <v>4441</v>
      </c>
      <c r="L2774" t="s">
        <v>4501</v>
      </c>
      <c r="M2774" t="s">
        <v>1625</v>
      </c>
      <c r="N2774">
        <v>1</v>
      </c>
    </row>
    <row r="2775" spans="1:14" x14ac:dyDescent="0.35">
      <c r="A2775" t="s">
        <v>7254</v>
      </c>
      <c r="B2775" t="s">
        <v>460</v>
      </c>
      <c r="C2775" t="s">
        <v>1927</v>
      </c>
      <c r="D2775" t="s">
        <v>4443</v>
      </c>
      <c r="E2775" t="s">
        <v>4444</v>
      </c>
      <c r="F2775" s="3">
        <v>45464</v>
      </c>
      <c r="G2775" s="3">
        <v>45464</v>
      </c>
      <c r="H2775">
        <v>1</v>
      </c>
      <c r="I2775">
        <v>24</v>
      </c>
      <c r="J2775" t="s">
        <v>4448</v>
      </c>
      <c r="K2775" t="s">
        <v>4441</v>
      </c>
      <c r="L2775" t="s">
        <v>4465</v>
      </c>
      <c r="M2775" t="s">
        <v>1625</v>
      </c>
    </row>
    <row r="2776" spans="1:14" x14ac:dyDescent="0.35">
      <c r="A2776" t="s">
        <v>7255</v>
      </c>
      <c r="B2776" t="s">
        <v>396</v>
      </c>
      <c r="C2776" t="s">
        <v>1883</v>
      </c>
      <c r="D2776" t="s">
        <v>4490</v>
      </c>
      <c r="E2776" t="s">
        <v>4473</v>
      </c>
      <c r="F2776" s="3">
        <v>45197</v>
      </c>
      <c r="G2776" s="3">
        <v>45197</v>
      </c>
      <c r="H2776">
        <v>7.8</v>
      </c>
      <c r="I2776">
        <v>8</v>
      </c>
      <c r="J2776" t="s">
        <v>4448</v>
      </c>
      <c r="K2776" t="s">
        <v>4441</v>
      </c>
      <c r="L2776" t="s">
        <v>4449</v>
      </c>
      <c r="M2776" t="s">
        <v>1625</v>
      </c>
      <c r="N2776">
        <v>4</v>
      </c>
    </row>
    <row r="2777" spans="1:14" x14ac:dyDescent="0.35">
      <c r="A2777" t="s">
        <v>7256</v>
      </c>
      <c r="B2777" t="s">
        <v>297</v>
      </c>
      <c r="C2777" t="s">
        <v>1927</v>
      </c>
      <c r="D2777" t="s">
        <v>4490</v>
      </c>
      <c r="E2777" t="s">
        <v>4456</v>
      </c>
      <c r="F2777" s="3">
        <v>45699</v>
      </c>
      <c r="G2777" s="3">
        <v>45699</v>
      </c>
      <c r="H2777">
        <v>1.6</v>
      </c>
      <c r="I2777">
        <v>4</v>
      </c>
      <c r="J2777" t="s">
        <v>4448</v>
      </c>
      <c r="K2777" t="s">
        <v>4441</v>
      </c>
      <c r="L2777" t="s">
        <v>4465</v>
      </c>
      <c r="M2777" t="s">
        <v>4450</v>
      </c>
      <c r="N2777">
        <v>3</v>
      </c>
    </row>
    <row r="2778" spans="1:14" x14ac:dyDescent="0.35">
      <c r="A2778" t="s">
        <v>7257</v>
      </c>
      <c r="B2778" t="s">
        <v>214</v>
      </c>
      <c r="C2778" t="s">
        <v>1883</v>
      </c>
      <c r="D2778" t="s">
        <v>4443</v>
      </c>
      <c r="E2778" t="s">
        <v>4439</v>
      </c>
      <c r="F2778" s="3">
        <v>45019</v>
      </c>
      <c r="G2778" s="3" t="s">
        <v>537</v>
      </c>
      <c r="I2778">
        <v>48</v>
      </c>
      <c r="J2778" t="s">
        <v>4448</v>
      </c>
      <c r="K2778" t="s">
        <v>4474</v>
      </c>
      <c r="L2778" t="s">
        <v>4512</v>
      </c>
      <c r="M2778" t="s">
        <v>4450</v>
      </c>
    </row>
    <row r="2779" spans="1:14" x14ac:dyDescent="0.35">
      <c r="A2779" t="s">
        <v>7258</v>
      </c>
      <c r="B2779" t="s">
        <v>74</v>
      </c>
      <c r="C2779" t="s">
        <v>1890</v>
      </c>
      <c r="D2779" t="s">
        <v>4472</v>
      </c>
      <c r="E2779" t="s">
        <v>4444</v>
      </c>
      <c r="F2779" s="3">
        <v>45388</v>
      </c>
      <c r="G2779" s="3">
        <v>45390</v>
      </c>
      <c r="H2779">
        <v>52.1</v>
      </c>
      <c r="I2779">
        <v>24</v>
      </c>
      <c r="J2779" t="s">
        <v>4440</v>
      </c>
      <c r="K2779" t="s">
        <v>4441</v>
      </c>
      <c r="L2779" t="s">
        <v>4514</v>
      </c>
      <c r="M2779" t="s">
        <v>4450</v>
      </c>
      <c r="N2779">
        <v>3</v>
      </c>
    </row>
    <row r="2780" spans="1:14" x14ac:dyDescent="0.35">
      <c r="A2780" t="s">
        <v>7259</v>
      </c>
      <c r="B2780" t="s">
        <v>386</v>
      </c>
      <c r="C2780" t="s">
        <v>1899</v>
      </c>
      <c r="D2780" t="s">
        <v>4479</v>
      </c>
      <c r="E2780" t="s">
        <v>4473</v>
      </c>
      <c r="F2780" s="3">
        <v>45224</v>
      </c>
      <c r="G2780" s="3" t="s">
        <v>537</v>
      </c>
      <c r="I2780">
        <v>8</v>
      </c>
      <c r="J2780" t="s">
        <v>4440</v>
      </c>
      <c r="K2780" t="s">
        <v>4457</v>
      </c>
      <c r="L2780" t="s">
        <v>4514</v>
      </c>
      <c r="M2780" t="s">
        <v>4462</v>
      </c>
    </row>
    <row r="2781" spans="1:14" x14ac:dyDescent="0.35">
      <c r="A2781" t="s">
        <v>7260</v>
      </c>
      <c r="B2781" t="s">
        <v>283</v>
      </c>
      <c r="C2781" t="s">
        <v>1883</v>
      </c>
      <c r="D2781" t="s">
        <v>4479</v>
      </c>
      <c r="E2781" t="s">
        <v>4444</v>
      </c>
      <c r="F2781" s="3">
        <v>44967</v>
      </c>
      <c r="G2781" s="3">
        <v>44968</v>
      </c>
      <c r="H2781">
        <v>28.3</v>
      </c>
      <c r="I2781">
        <v>24</v>
      </c>
      <c r="J2781" t="s">
        <v>4440</v>
      </c>
      <c r="K2781" t="s">
        <v>4441</v>
      </c>
      <c r="L2781" t="s">
        <v>4480</v>
      </c>
      <c r="M2781" t="s">
        <v>1625</v>
      </c>
      <c r="N2781">
        <v>4</v>
      </c>
    </row>
    <row r="2782" spans="1:14" x14ac:dyDescent="0.35">
      <c r="A2782" t="s">
        <v>7261</v>
      </c>
      <c r="B2782" t="s">
        <v>88</v>
      </c>
      <c r="C2782" t="s">
        <v>1915</v>
      </c>
      <c r="D2782" t="s">
        <v>4479</v>
      </c>
      <c r="E2782" t="s">
        <v>4439</v>
      </c>
      <c r="F2782" s="3">
        <v>45594</v>
      </c>
      <c r="G2782" s="3">
        <v>45594</v>
      </c>
      <c r="H2782">
        <v>21.5</v>
      </c>
      <c r="I2782">
        <v>48</v>
      </c>
      <c r="J2782" t="s">
        <v>4448</v>
      </c>
      <c r="K2782" t="s">
        <v>4441</v>
      </c>
      <c r="L2782" t="s">
        <v>4533</v>
      </c>
      <c r="M2782" t="s">
        <v>4462</v>
      </c>
      <c r="N2782">
        <v>3</v>
      </c>
    </row>
    <row r="2783" spans="1:14" x14ac:dyDescent="0.35">
      <c r="A2783" t="s">
        <v>7262</v>
      </c>
      <c r="B2783" t="s">
        <v>191</v>
      </c>
      <c r="C2783" t="s">
        <v>1904</v>
      </c>
      <c r="D2783" t="s">
        <v>4490</v>
      </c>
      <c r="E2783" t="s">
        <v>4444</v>
      </c>
      <c r="F2783" s="3">
        <v>45456</v>
      </c>
      <c r="G2783" s="3">
        <v>45457</v>
      </c>
      <c r="H2783">
        <v>38.299999999999997</v>
      </c>
      <c r="I2783">
        <v>24</v>
      </c>
      <c r="J2783" t="s">
        <v>4440</v>
      </c>
      <c r="K2783" t="s">
        <v>4441</v>
      </c>
      <c r="L2783" t="s">
        <v>4501</v>
      </c>
      <c r="M2783" t="s">
        <v>1625</v>
      </c>
    </row>
    <row r="2784" spans="1:14" x14ac:dyDescent="0.35">
      <c r="A2784" t="s">
        <v>7263</v>
      </c>
      <c r="B2784" t="s">
        <v>200</v>
      </c>
      <c r="C2784" t="s">
        <v>1890</v>
      </c>
      <c r="D2784" t="s">
        <v>4479</v>
      </c>
      <c r="E2784" t="s">
        <v>4444</v>
      </c>
      <c r="F2784" s="3">
        <v>45247</v>
      </c>
      <c r="G2784" s="3">
        <v>45248</v>
      </c>
      <c r="H2784">
        <v>42.8</v>
      </c>
      <c r="I2784">
        <v>24</v>
      </c>
      <c r="J2784" t="s">
        <v>4440</v>
      </c>
      <c r="K2784" t="s">
        <v>4441</v>
      </c>
      <c r="L2784" t="s">
        <v>4470</v>
      </c>
      <c r="M2784" t="s">
        <v>4446</v>
      </c>
      <c r="N2784">
        <v>4</v>
      </c>
    </row>
    <row r="2785" spans="1:14" x14ac:dyDescent="0.35">
      <c r="A2785" t="s">
        <v>7264</v>
      </c>
      <c r="B2785" t="s">
        <v>130</v>
      </c>
      <c r="C2785" t="s">
        <v>1915</v>
      </c>
      <c r="D2785" t="s">
        <v>4479</v>
      </c>
      <c r="E2785" t="s">
        <v>4444</v>
      </c>
      <c r="F2785" s="3">
        <v>45475</v>
      </c>
      <c r="G2785" s="3">
        <v>45476</v>
      </c>
      <c r="H2785">
        <v>27.2</v>
      </c>
      <c r="I2785">
        <v>24</v>
      </c>
      <c r="J2785" t="s">
        <v>4440</v>
      </c>
      <c r="K2785" t="s">
        <v>4441</v>
      </c>
      <c r="L2785" t="s">
        <v>4480</v>
      </c>
      <c r="M2785" t="s">
        <v>4462</v>
      </c>
      <c r="N2785">
        <v>3</v>
      </c>
    </row>
    <row r="2786" spans="1:14" x14ac:dyDescent="0.35">
      <c r="A2786" t="s">
        <v>7265</v>
      </c>
      <c r="B2786" t="s">
        <v>413</v>
      </c>
      <c r="C2786" t="s">
        <v>1915</v>
      </c>
      <c r="D2786" t="s">
        <v>4482</v>
      </c>
      <c r="E2786" t="s">
        <v>4473</v>
      </c>
      <c r="F2786" s="3">
        <v>45635</v>
      </c>
      <c r="G2786" s="3">
        <v>45635</v>
      </c>
      <c r="H2786">
        <v>19.600000000000001</v>
      </c>
      <c r="I2786">
        <v>8</v>
      </c>
      <c r="J2786" t="s">
        <v>4440</v>
      </c>
      <c r="K2786" t="s">
        <v>4441</v>
      </c>
      <c r="L2786" t="s">
        <v>4533</v>
      </c>
      <c r="M2786" t="s">
        <v>1625</v>
      </c>
      <c r="N2786">
        <v>4</v>
      </c>
    </row>
    <row r="2787" spans="1:14" x14ac:dyDescent="0.35">
      <c r="A2787" t="s">
        <v>7266</v>
      </c>
      <c r="B2787" t="s">
        <v>230</v>
      </c>
      <c r="C2787" t="s">
        <v>1899</v>
      </c>
      <c r="D2787" t="s">
        <v>4482</v>
      </c>
      <c r="E2787" t="s">
        <v>4444</v>
      </c>
      <c r="F2787" s="3">
        <v>44962</v>
      </c>
      <c r="G2787" s="3" t="s">
        <v>537</v>
      </c>
      <c r="I2787">
        <v>24</v>
      </c>
      <c r="J2787" t="s">
        <v>4440</v>
      </c>
      <c r="K2787" t="s">
        <v>4474</v>
      </c>
      <c r="L2787" t="s">
        <v>4454</v>
      </c>
      <c r="M2787" t="s">
        <v>4450</v>
      </c>
    </row>
    <row r="2788" spans="1:14" x14ac:dyDescent="0.35">
      <c r="A2788" t="s">
        <v>7267</v>
      </c>
      <c r="B2788" t="s">
        <v>301</v>
      </c>
      <c r="C2788" t="s">
        <v>1890</v>
      </c>
      <c r="D2788" t="s">
        <v>4464</v>
      </c>
      <c r="E2788" t="s">
        <v>4456</v>
      </c>
      <c r="F2788" s="3">
        <v>45703</v>
      </c>
      <c r="G2788" s="3" t="s">
        <v>537</v>
      </c>
      <c r="I2788">
        <v>4</v>
      </c>
      <c r="J2788" t="s">
        <v>4440</v>
      </c>
      <c r="K2788" t="s">
        <v>4453</v>
      </c>
      <c r="L2788" t="s">
        <v>4527</v>
      </c>
      <c r="M2788" t="s">
        <v>4450</v>
      </c>
    </row>
    <row r="2789" spans="1:14" x14ac:dyDescent="0.35">
      <c r="A2789" t="s">
        <v>7268</v>
      </c>
      <c r="B2789" t="s">
        <v>456</v>
      </c>
      <c r="C2789" t="s">
        <v>1890</v>
      </c>
      <c r="D2789" t="s">
        <v>4464</v>
      </c>
      <c r="E2789" t="s">
        <v>4473</v>
      </c>
      <c r="F2789" s="3">
        <v>45341</v>
      </c>
      <c r="G2789" s="3">
        <v>45341</v>
      </c>
      <c r="H2789">
        <v>15.8</v>
      </c>
      <c r="I2789">
        <v>8</v>
      </c>
      <c r="J2789" t="s">
        <v>4440</v>
      </c>
      <c r="K2789" t="s">
        <v>4441</v>
      </c>
      <c r="L2789" t="s">
        <v>4527</v>
      </c>
      <c r="M2789" t="s">
        <v>4462</v>
      </c>
      <c r="N2789">
        <v>4</v>
      </c>
    </row>
    <row r="2790" spans="1:14" x14ac:dyDescent="0.35">
      <c r="A2790" t="s">
        <v>7269</v>
      </c>
      <c r="B2790" t="s">
        <v>32</v>
      </c>
      <c r="C2790" t="s">
        <v>1890</v>
      </c>
      <c r="D2790" t="s">
        <v>4469</v>
      </c>
      <c r="E2790" t="s">
        <v>4473</v>
      </c>
      <c r="F2790" s="3">
        <v>45664</v>
      </c>
      <c r="G2790" s="3" t="s">
        <v>537</v>
      </c>
      <c r="I2790">
        <v>8</v>
      </c>
      <c r="J2790" t="s">
        <v>4448</v>
      </c>
      <c r="K2790" t="s">
        <v>4453</v>
      </c>
      <c r="L2790" t="s">
        <v>4483</v>
      </c>
      <c r="M2790" t="s">
        <v>4446</v>
      </c>
    </row>
    <row r="2791" spans="1:14" x14ac:dyDescent="0.35">
      <c r="A2791" t="s">
        <v>7270</v>
      </c>
      <c r="B2791" t="s">
        <v>184</v>
      </c>
      <c r="C2791" t="s">
        <v>1883</v>
      </c>
      <c r="D2791" t="s">
        <v>4443</v>
      </c>
      <c r="E2791" t="s">
        <v>4444</v>
      </c>
      <c r="F2791" s="3">
        <v>45639</v>
      </c>
      <c r="G2791" s="3" t="s">
        <v>537</v>
      </c>
      <c r="I2791">
        <v>24</v>
      </c>
      <c r="J2791" t="s">
        <v>4440</v>
      </c>
      <c r="K2791" t="s">
        <v>4457</v>
      </c>
      <c r="L2791" t="s">
        <v>4580</v>
      </c>
      <c r="M2791" t="s">
        <v>4462</v>
      </c>
    </row>
    <row r="2792" spans="1:14" x14ac:dyDescent="0.35">
      <c r="A2792" t="s">
        <v>7271</v>
      </c>
      <c r="B2792" t="s">
        <v>477</v>
      </c>
      <c r="C2792" t="s">
        <v>1899</v>
      </c>
      <c r="D2792" t="s">
        <v>4443</v>
      </c>
      <c r="E2792" t="s">
        <v>4444</v>
      </c>
      <c r="F2792" s="3">
        <v>45507</v>
      </c>
      <c r="G2792" s="3">
        <v>45507</v>
      </c>
      <c r="H2792">
        <v>6.3</v>
      </c>
      <c r="I2792">
        <v>24</v>
      </c>
      <c r="J2792" t="s">
        <v>4448</v>
      </c>
      <c r="K2792" t="s">
        <v>4441</v>
      </c>
      <c r="L2792" t="s">
        <v>4470</v>
      </c>
      <c r="M2792" t="s">
        <v>4462</v>
      </c>
      <c r="N2792">
        <v>2</v>
      </c>
    </row>
    <row r="2793" spans="1:14" x14ac:dyDescent="0.35">
      <c r="A2793" t="s">
        <v>7272</v>
      </c>
      <c r="B2793" t="s">
        <v>378</v>
      </c>
      <c r="C2793" t="s">
        <v>1915</v>
      </c>
      <c r="D2793" t="s">
        <v>4460</v>
      </c>
      <c r="E2793" t="s">
        <v>4473</v>
      </c>
      <c r="F2793" s="3">
        <v>45095</v>
      </c>
      <c r="G2793" s="3" t="s">
        <v>537</v>
      </c>
      <c r="I2793">
        <v>8</v>
      </c>
      <c r="J2793" t="s">
        <v>4440</v>
      </c>
      <c r="K2793" t="s">
        <v>4453</v>
      </c>
      <c r="L2793" t="s">
        <v>4465</v>
      </c>
      <c r="M2793" t="s">
        <v>1625</v>
      </c>
    </row>
    <row r="2794" spans="1:14" x14ac:dyDescent="0.35">
      <c r="A2794" t="s">
        <v>7273</v>
      </c>
      <c r="B2794" t="s">
        <v>266</v>
      </c>
      <c r="C2794" t="s">
        <v>1904</v>
      </c>
      <c r="D2794" t="s">
        <v>4485</v>
      </c>
      <c r="E2794" t="s">
        <v>4456</v>
      </c>
      <c r="F2794" s="3">
        <v>44985</v>
      </c>
      <c r="G2794" s="3" t="s">
        <v>537</v>
      </c>
      <c r="I2794">
        <v>4</v>
      </c>
      <c r="J2794" t="s">
        <v>4440</v>
      </c>
      <c r="K2794" t="s">
        <v>4457</v>
      </c>
      <c r="L2794" t="s">
        <v>4449</v>
      </c>
      <c r="M2794" t="s">
        <v>4450</v>
      </c>
    </row>
    <row r="2795" spans="1:14" x14ac:dyDescent="0.35">
      <c r="A2795" t="s">
        <v>7274</v>
      </c>
      <c r="B2795" t="s">
        <v>295</v>
      </c>
      <c r="C2795" t="s">
        <v>1927</v>
      </c>
      <c r="D2795" t="s">
        <v>4438</v>
      </c>
      <c r="E2795" t="s">
        <v>4439</v>
      </c>
      <c r="F2795" s="3">
        <v>45396</v>
      </c>
      <c r="G2795" s="3">
        <v>45397</v>
      </c>
      <c r="H2795">
        <v>43.1</v>
      </c>
      <c r="I2795">
        <v>48</v>
      </c>
      <c r="J2795" t="s">
        <v>4448</v>
      </c>
      <c r="K2795" t="s">
        <v>4441</v>
      </c>
      <c r="L2795" t="s">
        <v>4488</v>
      </c>
      <c r="M2795" t="s">
        <v>4450</v>
      </c>
      <c r="N2795">
        <v>3</v>
      </c>
    </row>
    <row r="2796" spans="1:14" x14ac:dyDescent="0.35">
      <c r="A2796" t="s">
        <v>7275</v>
      </c>
      <c r="B2796" t="s">
        <v>462</v>
      </c>
      <c r="C2796" t="s">
        <v>1915</v>
      </c>
      <c r="D2796" t="s">
        <v>4460</v>
      </c>
      <c r="E2796" t="s">
        <v>4444</v>
      </c>
      <c r="F2796" s="3">
        <v>45125</v>
      </c>
      <c r="G2796" s="3">
        <v>45126</v>
      </c>
      <c r="H2796">
        <v>27.9</v>
      </c>
      <c r="I2796">
        <v>24</v>
      </c>
      <c r="J2796" t="s">
        <v>4440</v>
      </c>
      <c r="K2796" t="s">
        <v>4441</v>
      </c>
      <c r="L2796" t="s">
        <v>4512</v>
      </c>
      <c r="M2796" t="s">
        <v>4462</v>
      </c>
      <c r="N2796">
        <v>3</v>
      </c>
    </row>
    <row r="2797" spans="1:14" x14ac:dyDescent="0.35">
      <c r="A2797" t="s">
        <v>7276</v>
      </c>
      <c r="B2797" t="s">
        <v>332</v>
      </c>
      <c r="C2797" t="s">
        <v>1899</v>
      </c>
      <c r="D2797" t="s">
        <v>4472</v>
      </c>
      <c r="E2797" t="s">
        <v>4444</v>
      </c>
      <c r="F2797" s="3">
        <v>45743</v>
      </c>
      <c r="G2797" s="3" t="s">
        <v>537</v>
      </c>
      <c r="I2797">
        <v>24</v>
      </c>
      <c r="J2797" t="s">
        <v>4440</v>
      </c>
      <c r="K2797" t="s">
        <v>4474</v>
      </c>
      <c r="L2797" t="s">
        <v>4454</v>
      </c>
      <c r="M2797" t="s">
        <v>4450</v>
      </c>
    </row>
    <row r="2798" spans="1:14" x14ac:dyDescent="0.35">
      <c r="A2798" t="s">
        <v>7277</v>
      </c>
      <c r="B2798" t="s">
        <v>400</v>
      </c>
      <c r="C2798" t="s">
        <v>1915</v>
      </c>
      <c r="D2798" t="s">
        <v>4464</v>
      </c>
      <c r="E2798" t="s">
        <v>4456</v>
      </c>
      <c r="F2798" s="3">
        <v>45495</v>
      </c>
      <c r="G2798" s="3" t="s">
        <v>537</v>
      </c>
      <c r="I2798">
        <v>4</v>
      </c>
      <c r="J2798" t="s">
        <v>4448</v>
      </c>
      <c r="K2798" t="s">
        <v>4474</v>
      </c>
      <c r="L2798" t="s">
        <v>4580</v>
      </c>
      <c r="M2798" t="s">
        <v>1625</v>
      </c>
    </row>
    <row r="2799" spans="1:14" x14ac:dyDescent="0.35">
      <c r="A2799" t="s">
        <v>7278</v>
      </c>
      <c r="B2799" t="s">
        <v>332</v>
      </c>
      <c r="C2799" t="s">
        <v>1915</v>
      </c>
      <c r="D2799" t="s">
        <v>4482</v>
      </c>
      <c r="E2799" t="s">
        <v>4444</v>
      </c>
      <c r="F2799" s="3">
        <v>45602</v>
      </c>
      <c r="G2799" s="3" t="s">
        <v>537</v>
      </c>
      <c r="I2799">
        <v>24</v>
      </c>
      <c r="J2799" t="s">
        <v>4440</v>
      </c>
      <c r="K2799" t="s">
        <v>4474</v>
      </c>
      <c r="L2799" t="s">
        <v>4449</v>
      </c>
      <c r="M2799" t="s">
        <v>1625</v>
      </c>
    </row>
    <row r="2800" spans="1:14" x14ac:dyDescent="0.35">
      <c r="A2800" t="s">
        <v>7279</v>
      </c>
      <c r="B2800" t="s">
        <v>234</v>
      </c>
      <c r="C2800" t="s">
        <v>1927</v>
      </c>
      <c r="D2800" t="s">
        <v>4443</v>
      </c>
      <c r="E2800" t="s">
        <v>4473</v>
      </c>
      <c r="F2800" s="3">
        <v>45201</v>
      </c>
      <c r="G2800" s="3" t="s">
        <v>537</v>
      </c>
      <c r="I2800">
        <v>8</v>
      </c>
      <c r="J2800" t="s">
        <v>4440</v>
      </c>
      <c r="K2800" t="s">
        <v>4457</v>
      </c>
      <c r="L2800" t="s">
        <v>4533</v>
      </c>
      <c r="M2800" t="s">
        <v>4450</v>
      </c>
    </row>
    <row r="2801" spans="1:14" x14ac:dyDescent="0.35">
      <c r="A2801" t="s">
        <v>7280</v>
      </c>
      <c r="B2801" t="s">
        <v>423</v>
      </c>
      <c r="C2801" t="s">
        <v>1927</v>
      </c>
      <c r="D2801" t="s">
        <v>4490</v>
      </c>
      <c r="E2801" t="s">
        <v>4444</v>
      </c>
      <c r="F2801" s="3">
        <v>44940</v>
      </c>
      <c r="G2801" s="3">
        <v>44940</v>
      </c>
      <c r="H2801">
        <v>13.9</v>
      </c>
      <c r="I2801">
        <v>24</v>
      </c>
      <c r="J2801" t="s">
        <v>4448</v>
      </c>
      <c r="K2801" t="s">
        <v>4441</v>
      </c>
      <c r="L2801" t="s">
        <v>4580</v>
      </c>
      <c r="M2801" t="s">
        <v>4450</v>
      </c>
      <c r="N2801">
        <v>2</v>
      </c>
    </row>
    <row r="2802" spans="1:14" x14ac:dyDescent="0.35">
      <c r="A2802" t="s">
        <v>7281</v>
      </c>
      <c r="B2802" t="s">
        <v>469</v>
      </c>
      <c r="C2802" t="s">
        <v>1927</v>
      </c>
      <c r="D2802" t="s">
        <v>4438</v>
      </c>
      <c r="E2802" t="s">
        <v>4444</v>
      </c>
      <c r="F2802" s="3">
        <v>45161</v>
      </c>
      <c r="G2802" s="3">
        <v>45162</v>
      </c>
      <c r="H2802">
        <v>34.4</v>
      </c>
      <c r="I2802">
        <v>24</v>
      </c>
      <c r="J2802" t="s">
        <v>4440</v>
      </c>
      <c r="K2802" t="s">
        <v>4441</v>
      </c>
      <c r="L2802" t="s">
        <v>4465</v>
      </c>
      <c r="M2802" t="s">
        <v>4462</v>
      </c>
      <c r="N2802">
        <v>3</v>
      </c>
    </row>
    <row r="2803" spans="1:14" x14ac:dyDescent="0.35">
      <c r="A2803" t="s">
        <v>7282</v>
      </c>
      <c r="B2803" t="s">
        <v>432</v>
      </c>
      <c r="C2803" t="s">
        <v>1899</v>
      </c>
      <c r="D2803" t="s">
        <v>4479</v>
      </c>
      <c r="E2803" t="s">
        <v>4473</v>
      </c>
      <c r="F2803" s="3">
        <v>45508</v>
      </c>
      <c r="G2803" s="3" t="s">
        <v>537</v>
      </c>
      <c r="I2803">
        <v>8</v>
      </c>
      <c r="J2803" t="s">
        <v>4440</v>
      </c>
      <c r="K2803" t="s">
        <v>4457</v>
      </c>
      <c r="L2803" t="s">
        <v>4470</v>
      </c>
      <c r="M2803" t="s">
        <v>1625</v>
      </c>
    </row>
    <row r="2804" spans="1:14" x14ac:dyDescent="0.35">
      <c r="A2804" t="s">
        <v>7283</v>
      </c>
      <c r="B2804" t="s">
        <v>82</v>
      </c>
      <c r="C2804" t="s">
        <v>1904</v>
      </c>
      <c r="D2804" t="s">
        <v>4479</v>
      </c>
      <c r="E2804" t="s">
        <v>4456</v>
      </c>
      <c r="F2804" s="3">
        <v>45167</v>
      </c>
      <c r="G2804" s="3">
        <v>45167</v>
      </c>
      <c r="H2804">
        <v>6.5</v>
      </c>
      <c r="I2804">
        <v>4</v>
      </c>
      <c r="J2804" t="s">
        <v>4440</v>
      </c>
      <c r="K2804" t="s">
        <v>4441</v>
      </c>
      <c r="L2804" t="s">
        <v>4454</v>
      </c>
      <c r="M2804" t="s">
        <v>4446</v>
      </c>
      <c r="N2804">
        <v>4</v>
      </c>
    </row>
    <row r="2805" spans="1:14" x14ac:dyDescent="0.35">
      <c r="A2805" t="s">
        <v>7284</v>
      </c>
      <c r="B2805" t="s">
        <v>49</v>
      </c>
      <c r="C2805" t="s">
        <v>1883</v>
      </c>
      <c r="D2805" t="s">
        <v>4490</v>
      </c>
      <c r="E2805" t="s">
        <v>4439</v>
      </c>
      <c r="F2805" s="3">
        <v>45535</v>
      </c>
      <c r="G2805" s="3">
        <v>45538</v>
      </c>
      <c r="H2805">
        <v>81.900000000000006</v>
      </c>
      <c r="I2805">
        <v>48</v>
      </c>
      <c r="J2805" t="s">
        <v>4440</v>
      </c>
      <c r="K2805" t="s">
        <v>4441</v>
      </c>
      <c r="L2805" t="s">
        <v>4514</v>
      </c>
      <c r="M2805" t="s">
        <v>1625</v>
      </c>
      <c r="N2805">
        <v>5</v>
      </c>
    </row>
    <row r="2806" spans="1:14" x14ac:dyDescent="0.35">
      <c r="A2806" t="s">
        <v>7285</v>
      </c>
      <c r="B2806" t="s">
        <v>323</v>
      </c>
      <c r="C2806" t="s">
        <v>1899</v>
      </c>
      <c r="D2806" t="s">
        <v>4464</v>
      </c>
      <c r="E2806" t="s">
        <v>4444</v>
      </c>
      <c r="F2806" s="3">
        <v>45631</v>
      </c>
      <c r="G2806" s="3" t="s">
        <v>537</v>
      </c>
      <c r="I2806">
        <v>24</v>
      </c>
      <c r="J2806" t="s">
        <v>4440</v>
      </c>
      <c r="K2806" t="s">
        <v>4474</v>
      </c>
      <c r="L2806" t="s">
        <v>4445</v>
      </c>
      <c r="M2806" t="s">
        <v>4462</v>
      </c>
    </row>
    <row r="2807" spans="1:14" x14ac:dyDescent="0.35">
      <c r="A2807" t="s">
        <v>7286</v>
      </c>
      <c r="B2807" t="s">
        <v>124</v>
      </c>
      <c r="C2807" t="s">
        <v>1883</v>
      </c>
      <c r="D2807" t="s">
        <v>4482</v>
      </c>
      <c r="E2807" t="s">
        <v>4439</v>
      </c>
      <c r="F2807" s="3">
        <v>45067</v>
      </c>
      <c r="G2807" s="3">
        <v>45068</v>
      </c>
      <c r="H2807">
        <v>43</v>
      </c>
      <c r="I2807">
        <v>48</v>
      </c>
      <c r="J2807" t="s">
        <v>4448</v>
      </c>
      <c r="K2807" t="s">
        <v>4441</v>
      </c>
      <c r="L2807" t="s">
        <v>4465</v>
      </c>
      <c r="M2807" t="s">
        <v>4450</v>
      </c>
      <c r="N2807">
        <v>5</v>
      </c>
    </row>
    <row r="2808" spans="1:14" x14ac:dyDescent="0.35">
      <c r="A2808" t="s">
        <v>7287</v>
      </c>
      <c r="B2808" t="s">
        <v>394</v>
      </c>
      <c r="C2808" t="s">
        <v>1927</v>
      </c>
      <c r="D2808" t="s">
        <v>4464</v>
      </c>
      <c r="E2808" t="s">
        <v>4444</v>
      </c>
      <c r="F2808" s="3">
        <v>45204</v>
      </c>
      <c r="G2808" s="3">
        <v>45204</v>
      </c>
      <c r="H2808">
        <v>5.0999999999999996</v>
      </c>
      <c r="I2808">
        <v>24</v>
      </c>
      <c r="J2808" t="s">
        <v>4448</v>
      </c>
      <c r="K2808" t="s">
        <v>4441</v>
      </c>
      <c r="L2808" t="s">
        <v>4480</v>
      </c>
      <c r="M2808" t="s">
        <v>1625</v>
      </c>
      <c r="N2808">
        <v>3</v>
      </c>
    </row>
    <row r="2809" spans="1:14" x14ac:dyDescent="0.35">
      <c r="A2809" t="s">
        <v>7288</v>
      </c>
      <c r="B2809" t="s">
        <v>323</v>
      </c>
      <c r="C2809" t="s">
        <v>1915</v>
      </c>
      <c r="D2809" t="s">
        <v>4479</v>
      </c>
      <c r="E2809" t="s">
        <v>4439</v>
      </c>
      <c r="F2809" s="3">
        <v>45292</v>
      </c>
      <c r="G2809" s="3">
        <v>45294</v>
      </c>
      <c r="H2809">
        <v>70.900000000000006</v>
      </c>
      <c r="I2809">
        <v>48</v>
      </c>
      <c r="J2809" t="s">
        <v>4440</v>
      </c>
      <c r="K2809" t="s">
        <v>4441</v>
      </c>
      <c r="L2809" t="s">
        <v>4492</v>
      </c>
      <c r="M2809" t="s">
        <v>4450</v>
      </c>
    </row>
    <row r="2810" spans="1:14" x14ac:dyDescent="0.35">
      <c r="A2810" t="s">
        <v>7289</v>
      </c>
      <c r="B2810" t="s">
        <v>388</v>
      </c>
      <c r="C2810" t="s">
        <v>1883</v>
      </c>
      <c r="D2810" t="s">
        <v>4490</v>
      </c>
      <c r="E2810" t="s">
        <v>4439</v>
      </c>
      <c r="F2810" s="3">
        <v>45545</v>
      </c>
      <c r="G2810" s="3">
        <v>45547</v>
      </c>
      <c r="H2810">
        <v>61.2</v>
      </c>
      <c r="I2810">
        <v>48</v>
      </c>
      <c r="J2810" t="s">
        <v>4440</v>
      </c>
      <c r="K2810" t="s">
        <v>4441</v>
      </c>
      <c r="L2810" t="s">
        <v>4514</v>
      </c>
      <c r="M2810" t="s">
        <v>4446</v>
      </c>
      <c r="N2810">
        <v>3</v>
      </c>
    </row>
    <row r="2811" spans="1:14" x14ac:dyDescent="0.35">
      <c r="A2811" t="s">
        <v>7290</v>
      </c>
      <c r="B2811" t="s">
        <v>497</v>
      </c>
      <c r="C2811" t="s">
        <v>1883</v>
      </c>
      <c r="D2811" t="s">
        <v>4490</v>
      </c>
      <c r="E2811" t="s">
        <v>4439</v>
      </c>
      <c r="F2811" s="3">
        <v>45009</v>
      </c>
      <c r="G2811" s="3" t="s">
        <v>537</v>
      </c>
      <c r="I2811">
        <v>48</v>
      </c>
      <c r="J2811" t="s">
        <v>4448</v>
      </c>
      <c r="K2811" t="s">
        <v>4474</v>
      </c>
      <c r="L2811" t="s">
        <v>4527</v>
      </c>
      <c r="M2811" t="s">
        <v>4450</v>
      </c>
    </row>
    <row r="2812" spans="1:14" x14ac:dyDescent="0.35">
      <c r="A2812" t="s">
        <v>7291</v>
      </c>
      <c r="B2812" t="s">
        <v>324</v>
      </c>
      <c r="C2812" t="s">
        <v>1883</v>
      </c>
      <c r="D2812" t="s">
        <v>4464</v>
      </c>
      <c r="E2812" t="s">
        <v>4444</v>
      </c>
      <c r="F2812" s="3">
        <v>45107</v>
      </c>
      <c r="G2812" s="3" t="s">
        <v>537</v>
      </c>
      <c r="I2812">
        <v>24</v>
      </c>
      <c r="J2812" t="s">
        <v>1945</v>
      </c>
      <c r="K2812" t="s">
        <v>4453</v>
      </c>
      <c r="L2812" t="s">
        <v>4458</v>
      </c>
      <c r="M2812" t="s">
        <v>4450</v>
      </c>
    </row>
    <row r="2813" spans="1:14" x14ac:dyDescent="0.35">
      <c r="A2813" t="s">
        <v>7292</v>
      </c>
      <c r="B2813" t="s">
        <v>491</v>
      </c>
      <c r="C2813" t="s">
        <v>1927</v>
      </c>
      <c r="D2813" t="s">
        <v>4476</v>
      </c>
      <c r="E2813" t="s">
        <v>4444</v>
      </c>
      <c r="F2813" s="3">
        <v>45196</v>
      </c>
      <c r="G2813" s="3">
        <v>45197</v>
      </c>
      <c r="H2813">
        <v>25.6</v>
      </c>
      <c r="I2813">
        <v>24</v>
      </c>
      <c r="J2813" t="s">
        <v>4440</v>
      </c>
      <c r="K2813" t="s">
        <v>4441</v>
      </c>
      <c r="L2813" t="s">
        <v>4445</v>
      </c>
      <c r="M2813" t="s">
        <v>1625</v>
      </c>
      <c r="N2813">
        <v>2</v>
      </c>
    </row>
    <row r="2814" spans="1:14" x14ac:dyDescent="0.35">
      <c r="A2814" t="s">
        <v>7293</v>
      </c>
      <c r="B2814" t="s">
        <v>381</v>
      </c>
      <c r="C2814" t="s">
        <v>1904</v>
      </c>
      <c r="D2814" t="s">
        <v>4438</v>
      </c>
      <c r="E2814" t="s">
        <v>4444</v>
      </c>
      <c r="F2814" s="3">
        <v>45029</v>
      </c>
      <c r="G2814" s="3">
        <v>45029</v>
      </c>
      <c r="H2814">
        <v>16.899999999999999</v>
      </c>
      <c r="I2814">
        <v>24</v>
      </c>
      <c r="J2814" t="s">
        <v>4448</v>
      </c>
      <c r="K2814" t="s">
        <v>4441</v>
      </c>
      <c r="L2814" t="s">
        <v>4501</v>
      </c>
      <c r="M2814" t="s">
        <v>4450</v>
      </c>
      <c r="N2814">
        <v>4</v>
      </c>
    </row>
    <row r="2815" spans="1:14" x14ac:dyDescent="0.35">
      <c r="A2815" t="s">
        <v>7294</v>
      </c>
      <c r="B2815" t="s">
        <v>142</v>
      </c>
      <c r="C2815" t="s">
        <v>1883</v>
      </c>
      <c r="D2815" t="s">
        <v>4452</v>
      </c>
      <c r="E2815" t="s">
        <v>4444</v>
      </c>
      <c r="F2815" s="3">
        <v>45624</v>
      </c>
      <c r="G2815" s="3">
        <v>45626</v>
      </c>
      <c r="H2815">
        <v>52.8</v>
      </c>
      <c r="I2815">
        <v>24</v>
      </c>
      <c r="J2815" t="s">
        <v>4440</v>
      </c>
      <c r="K2815" t="s">
        <v>4441</v>
      </c>
      <c r="L2815" t="s">
        <v>4483</v>
      </c>
      <c r="M2815" t="s">
        <v>4446</v>
      </c>
      <c r="N2815">
        <v>4</v>
      </c>
    </row>
    <row r="2816" spans="1:14" x14ac:dyDescent="0.35">
      <c r="A2816" t="s">
        <v>7295</v>
      </c>
      <c r="B2816" t="s">
        <v>474</v>
      </c>
      <c r="C2816" t="s">
        <v>1915</v>
      </c>
      <c r="D2816" t="s">
        <v>4460</v>
      </c>
      <c r="E2816" t="s">
        <v>4456</v>
      </c>
      <c r="F2816" s="3">
        <v>45441</v>
      </c>
      <c r="G2816" s="3" t="s">
        <v>537</v>
      </c>
      <c r="I2816">
        <v>4</v>
      </c>
      <c r="J2816" t="s">
        <v>4440</v>
      </c>
      <c r="K2816" t="s">
        <v>4474</v>
      </c>
      <c r="L2816" t="s">
        <v>4509</v>
      </c>
      <c r="M2816" t="s">
        <v>1625</v>
      </c>
    </row>
    <row r="2817" spans="1:14" x14ac:dyDescent="0.35">
      <c r="A2817" t="s">
        <v>7296</v>
      </c>
      <c r="B2817" t="s">
        <v>364</v>
      </c>
      <c r="C2817" t="s">
        <v>1890</v>
      </c>
      <c r="D2817" t="s">
        <v>4460</v>
      </c>
      <c r="E2817" t="s">
        <v>4473</v>
      </c>
      <c r="F2817" s="3">
        <v>45050</v>
      </c>
      <c r="G2817" s="3">
        <v>45050</v>
      </c>
      <c r="H2817">
        <v>12.8</v>
      </c>
      <c r="I2817">
        <v>8</v>
      </c>
      <c r="J2817" t="s">
        <v>4440</v>
      </c>
      <c r="K2817" t="s">
        <v>4441</v>
      </c>
      <c r="L2817" t="s">
        <v>4533</v>
      </c>
      <c r="M2817" t="s">
        <v>1625</v>
      </c>
      <c r="N2817">
        <v>4</v>
      </c>
    </row>
    <row r="2818" spans="1:14" x14ac:dyDescent="0.35">
      <c r="A2818" t="s">
        <v>7297</v>
      </c>
      <c r="B2818" t="s">
        <v>88</v>
      </c>
      <c r="C2818" t="s">
        <v>1890</v>
      </c>
      <c r="D2818" t="s">
        <v>4443</v>
      </c>
      <c r="E2818" t="s">
        <v>4439</v>
      </c>
      <c r="F2818" s="3">
        <v>45061</v>
      </c>
      <c r="G2818" s="3">
        <v>45062</v>
      </c>
      <c r="H2818">
        <v>37.799999999999997</v>
      </c>
      <c r="I2818">
        <v>48</v>
      </c>
      <c r="J2818" t="s">
        <v>4448</v>
      </c>
      <c r="K2818" t="s">
        <v>4441</v>
      </c>
      <c r="L2818" t="s">
        <v>4454</v>
      </c>
      <c r="M2818" t="s">
        <v>4450</v>
      </c>
      <c r="N2818">
        <v>5</v>
      </c>
    </row>
    <row r="2819" spans="1:14" x14ac:dyDescent="0.35">
      <c r="A2819" t="s">
        <v>7298</v>
      </c>
      <c r="B2819" t="s">
        <v>411</v>
      </c>
      <c r="C2819" t="s">
        <v>1927</v>
      </c>
      <c r="D2819" t="s">
        <v>4469</v>
      </c>
      <c r="E2819" t="s">
        <v>4444</v>
      </c>
      <c r="F2819" s="3">
        <v>44982</v>
      </c>
      <c r="G2819" s="3" t="s">
        <v>537</v>
      </c>
      <c r="I2819">
        <v>24</v>
      </c>
      <c r="J2819" t="s">
        <v>4448</v>
      </c>
      <c r="K2819" t="s">
        <v>4457</v>
      </c>
      <c r="L2819" t="s">
        <v>4533</v>
      </c>
      <c r="M2819" t="s">
        <v>4450</v>
      </c>
    </row>
    <row r="2820" spans="1:14" x14ac:dyDescent="0.35">
      <c r="A2820" t="s">
        <v>7299</v>
      </c>
      <c r="B2820" t="s">
        <v>482</v>
      </c>
      <c r="C2820" t="s">
        <v>1890</v>
      </c>
      <c r="D2820" t="s">
        <v>4464</v>
      </c>
      <c r="E2820" t="s">
        <v>4444</v>
      </c>
      <c r="F2820" s="3">
        <v>45509</v>
      </c>
      <c r="G2820" s="3">
        <v>45510</v>
      </c>
      <c r="H2820">
        <v>44</v>
      </c>
      <c r="I2820">
        <v>24</v>
      </c>
      <c r="J2820" t="s">
        <v>4440</v>
      </c>
      <c r="K2820" t="s">
        <v>4441</v>
      </c>
      <c r="L2820" t="s">
        <v>4480</v>
      </c>
      <c r="M2820" t="s">
        <v>1625</v>
      </c>
      <c r="N2820">
        <v>3</v>
      </c>
    </row>
    <row r="2821" spans="1:14" x14ac:dyDescent="0.35">
      <c r="A2821" t="s">
        <v>7300</v>
      </c>
      <c r="B2821" t="s">
        <v>147</v>
      </c>
      <c r="C2821" t="s">
        <v>1883</v>
      </c>
      <c r="D2821" t="s">
        <v>4438</v>
      </c>
      <c r="E2821" t="s">
        <v>4473</v>
      </c>
      <c r="F2821" s="3">
        <v>45251</v>
      </c>
      <c r="G2821" s="3" t="s">
        <v>537</v>
      </c>
      <c r="I2821">
        <v>8</v>
      </c>
      <c r="J2821" t="s">
        <v>4440</v>
      </c>
      <c r="K2821" t="s">
        <v>4457</v>
      </c>
      <c r="L2821" t="s">
        <v>4580</v>
      </c>
      <c r="M2821" t="s">
        <v>4450</v>
      </c>
    </row>
    <row r="2822" spans="1:14" x14ac:dyDescent="0.35">
      <c r="A2822" t="s">
        <v>7301</v>
      </c>
      <c r="B2822" t="s">
        <v>146</v>
      </c>
      <c r="C2822" t="s">
        <v>1899</v>
      </c>
      <c r="D2822" t="s">
        <v>4460</v>
      </c>
      <c r="E2822" t="s">
        <v>4444</v>
      </c>
      <c r="F2822" s="3">
        <v>45530</v>
      </c>
      <c r="G2822" s="3" t="s">
        <v>537</v>
      </c>
      <c r="I2822">
        <v>24</v>
      </c>
      <c r="J2822" t="s">
        <v>4440</v>
      </c>
      <c r="K2822" t="s">
        <v>4453</v>
      </c>
      <c r="L2822" t="s">
        <v>4488</v>
      </c>
      <c r="M2822" t="s">
        <v>4450</v>
      </c>
    </row>
    <row r="2823" spans="1:14" x14ac:dyDescent="0.35">
      <c r="A2823" t="s">
        <v>7302</v>
      </c>
      <c r="B2823" t="s">
        <v>361</v>
      </c>
      <c r="C2823" t="s">
        <v>1883</v>
      </c>
      <c r="D2823" t="s">
        <v>4479</v>
      </c>
      <c r="E2823" t="s">
        <v>4473</v>
      </c>
      <c r="F2823" s="3">
        <v>45263</v>
      </c>
      <c r="G2823" s="3">
        <v>45263</v>
      </c>
      <c r="H2823">
        <v>17.600000000000001</v>
      </c>
      <c r="I2823">
        <v>8</v>
      </c>
      <c r="J2823" t="s">
        <v>4440</v>
      </c>
      <c r="K2823" t="s">
        <v>4441</v>
      </c>
      <c r="L2823" t="s">
        <v>4527</v>
      </c>
      <c r="M2823" t="s">
        <v>4446</v>
      </c>
      <c r="N2823">
        <v>2</v>
      </c>
    </row>
    <row r="2824" spans="1:14" x14ac:dyDescent="0.35">
      <c r="A2824" t="s">
        <v>7303</v>
      </c>
      <c r="B2824" t="s">
        <v>426</v>
      </c>
      <c r="C2824" t="s">
        <v>1904</v>
      </c>
      <c r="D2824" t="s">
        <v>4460</v>
      </c>
      <c r="E2824" t="s">
        <v>4444</v>
      </c>
      <c r="F2824" s="3">
        <v>44955</v>
      </c>
      <c r="G2824" s="3" t="s">
        <v>537</v>
      </c>
      <c r="I2824">
        <v>24</v>
      </c>
      <c r="J2824" t="s">
        <v>4448</v>
      </c>
      <c r="K2824" t="s">
        <v>4457</v>
      </c>
      <c r="L2824" t="s">
        <v>4501</v>
      </c>
      <c r="M2824" t="s">
        <v>4446</v>
      </c>
    </row>
    <row r="2825" spans="1:14" x14ac:dyDescent="0.35">
      <c r="A2825" t="s">
        <v>7304</v>
      </c>
      <c r="B2825" t="s">
        <v>80</v>
      </c>
      <c r="C2825" t="s">
        <v>1904</v>
      </c>
      <c r="D2825" t="s">
        <v>4464</v>
      </c>
      <c r="E2825" t="s">
        <v>4473</v>
      </c>
      <c r="F2825" s="3">
        <v>45498</v>
      </c>
      <c r="G2825" s="3" t="s">
        <v>537</v>
      </c>
      <c r="I2825">
        <v>8</v>
      </c>
      <c r="J2825" t="s">
        <v>4448</v>
      </c>
      <c r="K2825" t="s">
        <v>4474</v>
      </c>
      <c r="L2825" t="s">
        <v>4465</v>
      </c>
      <c r="M2825" t="s">
        <v>4450</v>
      </c>
    </row>
    <row r="2826" spans="1:14" x14ac:dyDescent="0.35">
      <c r="A2826" t="s">
        <v>7305</v>
      </c>
      <c r="B2826" t="s">
        <v>318</v>
      </c>
      <c r="C2826" t="s">
        <v>1899</v>
      </c>
      <c r="D2826" t="s">
        <v>4460</v>
      </c>
      <c r="E2826" t="s">
        <v>4439</v>
      </c>
      <c r="F2826" s="3">
        <v>45492</v>
      </c>
      <c r="G2826" s="3">
        <v>45495</v>
      </c>
      <c r="H2826">
        <v>86.6</v>
      </c>
      <c r="I2826">
        <v>48</v>
      </c>
      <c r="J2826" t="s">
        <v>4440</v>
      </c>
      <c r="K2826" t="s">
        <v>4441</v>
      </c>
      <c r="L2826" t="s">
        <v>4449</v>
      </c>
      <c r="M2826" t="s">
        <v>4450</v>
      </c>
    </row>
    <row r="2827" spans="1:14" x14ac:dyDescent="0.35">
      <c r="A2827" t="s">
        <v>7306</v>
      </c>
      <c r="B2827" t="s">
        <v>455</v>
      </c>
      <c r="C2827" t="s">
        <v>1890</v>
      </c>
      <c r="D2827" t="s">
        <v>4472</v>
      </c>
      <c r="E2827" t="s">
        <v>4456</v>
      </c>
      <c r="F2827" s="3">
        <v>45601</v>
      </c>
      <c r="G2827" s="3">
        <v>45601</v>
      </c>
      <c r="H2827">
        <v>2.2999999999999998</v>
      </c>
      <c r="I2827">
        <v>4</v>
      </c>
      <c r="J2827" t="s">
        <v>4448</v>
      </c>
      <c r="K2827" t="s">
        <v>4441</v>
      </c>
      <c r="L2827" t="s">
        <v>4512</v>
      </c>
      <c r="M2827" t="s">
        <v>1625</v>
      </c>
      <c r="N2827">
        <v>2</v>
      </c>
    </row>
    <row r="2828" spans="1:14" x14ac:dyDescent="0.35">
      <c r="A2828" t="s">
        <v>7307</v>
      </c>
      <c r="B2828" t="s">
        <v>230</v>
      </c>
      <c r="C2828" t="s">
        <v>1915</v>
      </c>
      <c r="D2828" t="s">
        <v>4479</v>
      </c>
      <c r="E2828" t="s">
        <v>4439</v>
      </c>
      <c r="F2828" s="3">
        <v>45583</v>
      </c>
      <c r="G2828" s="3">
        <v>45585</v>
      </c>
      <c r="H2828">
        <v>69.400000000000006</v>
      </c>
      <c r="I2828">
        <v>48</v>
      </c>
      <c r="J2828" t="s">
        <v>4440</v>
      </c>
      <c r="K2828" t="s">
        <v>4441</v>
      </c>
      <c r="L2828" t="s">
        <v>4467</v>
      </c>
      <c r="M2828" t="s">
        <v>1625</v>
      </c>
      <c r="N2828">
        <v>5</v>
      </c>
    </row>
    <row r="2829" spans="1:14" x14ac:dyDescent="0.35">
      <c r="A2829" t="s">
        <v>7308</v>
      </c>
      <c r="B2829" t="s">
        <v>423</v>
      </c>
      <c r="C2829" t="s">
        <v>1890</v>
      </c>
      <c r="D2829" t="s">
        <v>4452</v>
      </c>
      <c r="E2829" t="s">
        <v>4444</v>
      </c>
      <c r="F2829" s="3">
        <v>45138</v>
      </c>
      <c r="G2829" s="3">
        <v>45139</v>
      </c>
      <c r="H2829">
        <v>28.5</v>
      </c>
      <c r="I2829">
        <v>24</v>
      </c>
      <c r="J2829" t="s">
        <v>4440</v>
      </c>
      <c r="K2829" t="s">
        <v>4441</v>
      </c>
      <c r="L2829" t="s">
        <v>4514</v>
      </c>
      <c r="M2829" t="s">
        <v>4462</v>
      </c>
      <c r="N2829">
        <v>4</v>
      </c>
    </row>
    <row r="2830" spans="1:14" x14ac:dyDescent="0.35">
      <c r="A2830" t="s">
        <v>7309</v>
      </c>
      <c r="B2830" t="s">
        <v>324</v>
      </c>
      <c r="C2830" t="s">
        <v>1883</v>
      </c>
      <c r="D2830" t="s">
        <v>4476</v>
      </c>
      <c r="E2830" t="s">
        <v>4444</v>
      </c>
      <c r="F2830" s="3">
        <v>45303</v>
      </c>
      <c r="G2830" s="3">
        <v>45305</v>
      </c>
      <c r="H2830">
        <v>55.4</v>
      </c>
      <c r="I2830">
        <v>24</v>
      </c>
      <c r="J2830" t="s">
        <v>4440</v>
      </c>
      <c r="K2830" t="s">
        <v>4441</v>
      </c>
      <c r="L2830" t="s">
        <v>4509</v>
      </c>
      <c r="M2830" t="s">
        <v>4446</v>
      </c>
      <c r="N2830">
        <v>2</v>
      </c>
    </row>
    <row r="2831" spans="1:14" x14ac:dyDescent="0.35">
      <c r="A2831" t="s">
        <v>7310</v>
      </c>
      <c r="B2831" t="s">
        <v>258</v>
      </c>
      <c r="C2831" t="s">
        <v>1883</v>
      </c>
      <c r="D2831" t="s">
        <v>4490</v>
      </c>
      <c r="E2831" t="s">
        <v>4444</v>
      </c>
      <c r="F2831" s="3">
        <v>45420</v>
      </c>
      <c r="G2831" s="3">
        <v>45422</v>
      </c>
      <c r="H2831">
        <v>55</v>
      </c>
      <c r="I2831">
        <v>24</v>
      </c>
      <c r="J2831" t="s">
        <v>4440</v>
      </c>
      <c r="K2831" t="s">
        <v>4441</v>
      </c>
      <c r="L2831" t="s">
        <v>4470</v>
      </c>
      <c r="M2831" t="s">
        <v>4450</v>
      </c>
      <c r="N2831">
        <v>5</v>
      </c>
    </row>
    <row r="2832" spans="1:14" x14ac:dyDescent="0.35">
      <c r="A2832" t="s">
        <v>7311</v>
      </c>
      <c r="B2832" t="s">
        <v>436</v>
      </c>
      <c r="C2832" t="s">
        <v>1883</v>
      </c>
      <c r="D2832" t="s">
        <v>4469</v>
      </c>
      <c r="E2832" t="s">
        <v>4456</v>
      </c>
      <c r="F2832" s="3">
        <v>45149</v>
      </c>
      <c r="G2832" s="3" t="s">
        <v>537</v>
      </c>
      <c r="I2832">
        <v>4</v>
      </c>
      <c r="J2832" t="s">
        <v>4440</v>
      </c>
      <c r="K2832" t="s">
        <v>4457</v>
      </c>
      <c r="L2832" t="s">
        <v>4514</v>
      </c>
      <c r="M2832" t="s">
        <v>4450</v>
      </c>
    </row>
    <row r="2833" spans="1:14" x14ac:dyDescent="0.35">
      <c r="A2833" t="s">
        <v>7312</v>
      </c>
      <c r="B2833" t="s">
        <v>411</v>
      </c>
      <c r="C2833" t="s">
        <v>1883</v>
      </c>
      <c r="D2833" t="s">
        <v>4476</v>
      </c>
      <c r="E2833" t="s">
        <v>4444</v>
      </c>
      <c r="F2833" s="3">
        <v>45279</v>
      </c>
      <c r="G2833" s="3" t="s">
        <v>537</v>
      </c>
      <c r="I2833">
        <v>24</v>
      </c>
      <c r="J2833" t="s">
        <v>4448</v>
      </c>
      <c r="K2833" t="s">
        <v>4453</v>
      </c>
      <c r="L2833" t="s">
        <v>4580</v>
      </c>
      <c r="M2833" t="s">
        <v>4462</v>
      </c>
    </row>
    <row r="2834" spans="1:14" x14ac:dyDescent="0.35">
      <c r="A2834" t="s">
        <v>7313</v>
      </c>
      <c r="B2834" t="s">
        <v>271</v>
      </c>
      <c r="C2834" t="s">
        <v>1927</v>
      </c>
      <c r="D2834" t="s">
        <v>4485</v>
      </c>
      <c r="E2834" t="s">
        <v>4456</v>
      </c>
      <c r="F2834" s="3">
        <v>45298</v>
      </c>
      <c r="G2834" s="3" t="s">
        <v>537</v>
      </c>
      <c r="I2834">
        <v>4</v>
      </c>
      <c r="J2834" t="s">
        <v>4448</v>
      </c>
      <c r="K2834" t="s">
        <v>4453</v>
      </c>
      <c r="L2834" t="s">
        <v>4454</v>
      </c>
      <c r="M2834" t="s">
        <v>4462</v>
      </c>
    </row>
    <row r="2835" spans="1:14" x14ac:dyDescent="0.35">
      <c r="A2835" t="s">
        <v>7314</v>
      </c>
      <c r="B2835" t="s">
        <v>232</v>
      </c>
      <c r="C2835" t="s">
        <v>1927</v>
      </c>
      <c r="D2835" t="s">
        <v>4438</v>
      </c>
      <c r="E2835" t="s">
        <v>4444</v>
      </c>
      <c r="F2835" s="3">
        <v>45133</v>
      </c>
      <c r="G2835" s="3">
        <v>45133</v>
      </c>
      <c r="H2835">
        <v>6.5</v>
      </c>
      <c r="I2835">
        <v>24</v>
      </c>
      <c r="J2835" t="s">
        <v>4448</v>
      </c>
      <c r="K2835" t="s">
        <v>4441</v>
      </c>
      <c r="L2835" t="s">
        <v>4580</v>
      </c>
      <c r="M2835" t="s">
        <v>4450</v>
      </c>
      <c r="N2835">
        <v>5</v>
      </c>
    </row>
    <row r="2836" spans="1:14" x14ac:dyDescent="0.35">
      <c r="A2836" t="s">
        <v>7315</v>
      </c>
      <c r="B2836" t="s">
        <v>481</v>
      </c>
      <c r="C2836" t="s">
        <v>1915</v>
      </c>
      <c r="D2836" t="s">
        <v>4460</v>
      </c>
      <c r="E2836" t="s">
        <v>4456</v>
      </c>
      <c r="F2836" s="3">
        <v>45488</v>
      </c>
      <c r="G2836" s="3" t="s">
        <v>537</v>
      </c>
      <c r="I2836">
        <v>4</v>
      </c>
      <c r="J2836" t="s">
        <v>4448</v>
      </c>
      <c r="K2836" t="s">
        <v>4474</v>
      </c>
      <c r="L2836" t="s">
        <v>4527</v>
      </c>
      <c r="M2836" t="s">
        <v>1625</v>
      </c>
    </row>
    <row r="2837" spans="1:14" x14ac:dyDescent="0.35">
      <c r="A2837" t="s">
        <v>7316</v>
      </c>
      <c r="B2837" t="s">
        <v>323</v>
      </c>
      <c r="C2837" t="s">
        <v>1890</v>
      </c>
      <c r="D2837" t="s">
        <v>4469</v>
      </c>
      <c r="E2837" t="s">
        <v>4473</v>
      </c>
      <c r="F2837" s="3">
        <v>45358</v>
      </c>
      <c r="G2837" s="3">
        <v>45358</v>
      </c>
      <c r="H2837">
        <v>5</v>
      </c>
      <c r="I2837">
        <v>8</v>
      </c>
      <c r="J2837" t="s">
        <v>4448</v>
      </c>
      <c r="K2837" t="s">
        <v>4441</v>
      </c>
      <c r="L2837" t="s">
        <v>4480</v>
      </c>
      <c r="M2837" t="s">
        <v>4450</v>
      </c>
      <c r="N2837">
        <v>5</v>
      </c>
    </row>
    <row r="2838" spans="1:14" x14ac:dyDescent="0.35">
      <c r="A2838" t="s">
        <v>7317</v>
      </c>
      <c r="B2838" t="s">
        <v>196</v>
      </c>
      <c r="C2838" t="s">
        <v>1890</v>
      </c>
      <c r="D2838" t="s">
        <v>4443</v>
      </c>
      <c r="E2838" t="s">
        <v>4444</v>
      </c>
      <c r="F2838" s="3">
        <v>45245</v>
      </c>
      <c r="G2838" s="3" t="s">
        <v>537</v>
      </c>
      <c r="I2838">
        <v>24</v>
      </c>
      <c r="J2838" t="s">
        <v>4440</v>
      </c>
      <c r="K2838" t="s">
        <v>4457</v>
      </c>
      <c r="L2838" t="s">
        <v>4580</v>
      </c>
      <c r="M2838" t="s">
        <v>4450</v>
      </c>
    </row>
    <row r="2839" spans="1:14" x14ac:dyDescent="0.35">
      <c r="A2839" t="s">
        <v>7318</v>
      </c>
      <c r="B2839" t="s">
        <v>424</v>
      </c>
      <c r="C2839" t="s">
        <v>1927</v>
      </c>
      <c r="D2839" t="s">
        <v>4452</v>
      </c>
      <c r="E2839" t="s">
        <v>4473</v>
      </c>
      <c r="F2839" s="3">
        <v>45720</v>
      </c>
      <c r="G2839" s="3" t="s">
        <v>537</v>
      </c>
      <c r="I2839">
        <v>8</v>
      </c>
      <c r="J2839" t="s">
        <v>4440</v>
      </c>
      <c r="K2839" t="s">
        <v>4474</v>
      </c>
      <c r="L2839" t="s">
        <v>4465</v>
      </c>
      <c r="M2839" t="s">
        <v>4462</v>
      </c>
    </row>
    <row r="2840" spans="1:14" x14ac:dyDescent="0.35">
      <c r="A2840" t="s">
        <v>7319</v>
      </c>
      <c r="B2840" t="s">
        <v>220</v>
      </c>
      <c r="C2840" t="s">
        <v>1927</v>
      </c>
      <c r="D2840" t="s">
        <v>4438</v>
      </c>
      <c r="E2840" t="s">
        <v>4439</v>
      </c>
      <c r="F2840" s="3">
        <v>45572</v>
      </c>
      <c r="G2840" s="3">
        <v>45574</v>
      </c>
      <c r="H2840">
        <v>67.8</v>
      </c>
      <c r="I2840">
        <v>48</v>
      </c>
      <c r="J2840" t="s">
        <v>4440</v>
      </c>
      <c r="K2840" t="s">
        <v>4441</v>
      </c>
      <c r="L2840" t="s">
        <v>4458</v>
      </c>
      <c r="M2840" t="s">
        <v>1625</v>
      </c>
      <c r="N2840">
        <v>4</v>
      </c>
    </row>
    <row r="2841" spans="1:14" x14ac:dyDescent="0.35">
      <c r="A2841" t="s">
        <v>7320</v>
      </c>
      <c r="B2841" t="s">
        <v>262</v>
      </c>
      <c r="C2841" t="s">
        <v>1899</v>
      </c>
      <c r="D2841" t="s">
        <v>4490</v>
      </c>
      <c r="E2841" t="s">
        <v>4439</v>
      </c>
      <c r="F2841" s="3">
        <v>45156</v>
      </c>
      <c r="G2841" s="3">
        <v>45156</v>
      </c>
      <c r="H2841">
        <v>16.7</v>
      </c>
      <c r="I2841">
        <v>48</v>
      </c>
      <c r="J2841" t="s">
        <v>4448</v>
      </c>
      <c r="K2841" t="s">
        <v>4441</v>
      </c>
      <c r="L2841" t="s">
        <v>4449</v>
      </c>
      <c r="M2841" t="s">
        <v>4446</v>
      </c>
      <c r="N2841">
        <v>4</v>
      </c>
    </row>
    <row r="2842" spans="1:14" x14ac:dyDescent="0.35">
      <c r="A2842" t="s">
        <v>7321</v>
      </c>
      <c r="B2842" t="s">
        <v>434</v>
      </c>
      <c r="C2842" t="s">
        <v>1904</v>
      </c>
      <c r="D2842" t="s">
        <v>4443</v>
      </c>
      <c r="E2842" t="s">
        <v>4473</v>
      </c>
      <c r="F2842" s="3">
        <v>44930</v>
      </c>
      <c r="G2842" s="3">
        <v>44930</v>
      </c>
      <c r="H2842">
        <v>17.100000000000001</v>
      </c>
      <c r="I2842">
        <v>8</v>
      </c>
      <c r="J2842" t="s">
        <v>4440</v>
      </c>
      <c r="K2842" t="s">
        <v>4441</v>
      </c>
      <c r="L2842" t="s">
        <v>4509</v>
      </c>
      <c r="M2842" t="s">
        <v>4446</v>
      </c>
      <c r="N2842">
        <v>3</v>
      </c>
    </row>
    <row r="2843" spans="1:14" x14ac:dyDescent="0.35">
      <c r="A2843" t="s">
        <v>7322</v>
      </c>
      <c r="B2843" t="s">
        <v>394</v>
      </c>
      <c r="C2843" t="s">
        <v>1890</v>
      </c>
      <c r="D2843" t="s">
        <v>4476</v>
      </c>
      <c r="E2843" t="s">
        <v>4473</v>
      </c>
      <c r="F2843" s="3">
        <v>45397</v>
      </c>
      <c r="G2843" s="3">
        <v>45397</v>
      </c>
      <c r="H2843">
        <v>13.3</v>
      </c>
      <c r="I2843">
        <v>8</v>
      </c>
      <c r="J2843" t="s">
        <v>4440</v>
      </c>
      <c r="K2843" t="s">
        <v>4441</v>
      </c>
      <c r="L2843" t="s">
        <v>4449</v>
      </c>
      <c r="M2843" t="s">
        <v>4450</v>
      </c>
      <c r="N2843">
        <v>4</v>
      </c>
    </row>
    <row r="2844" spans="1:14" x14ac:dyDescent="0.35">
      <c r="A2844" t="s">
        <v>7323</v>
      </c>
      <c r="B2844" t="s">
        <v>401</v>
      </c>
      <c r="C2844" t="s">
        <v>1904</v>
      </c>
      <c r="D2844" t="s">
        <v>4476</v>
      </c>
      <c r="E2844" t="s">
        <v>4439</v>
      </c>
      <c r="F2844" s="3">
        <v>45658</v>
      </c>
      <c r="G2844" s="3">
        <v>45658</v>
      </c>
      <c r="H2844">
        <v>11.6</v>
      </c>
      <c r="I2844">
        <v>48</v>
      </c>
      <c r="J2844" t="s">
        <v>4448</v>
      </c>
      <c r="K2844" t="s">
        <v>4441</v>
      </c>
      <c r="L2844" t="s">
        <v>4480</v>
      </c>
      <c r="M2844" t="s">
        <v>4450</v>
      </c>
      <c r="N2844">
        <v>4</v>
      </c>
    </row>
    <row r="2845" spans="1:14" x14ac:dyDescent="0.35">
      <c r="A2845" t="s">
        <v>7324</v>
      </c>
      <c r="B2845" t="s">
        <v>49</v>
      </c>
      <c r="C2845" t="s">
        <v>1915</v>
      </c>
      <c r="D2845" t="s">
        <v>4476</v>
      </c>
      <c r="E2845" t="s">
        <v>4444</v>
      </c>
      <c r="F2845" s="3">
        <v>45341</v>
      </c>
      <c r="G2845" s="3" t="s">
        <v>537</v>
      </c>
      <c r="I2845">
        <v>24</v>
      </c>
      <c r="J2845" t="s">
        <v>4440</v>
      </c>
      <c r="K2845" t="s">
        <v>4457</v>
      </c>
      <c r="L2845" t="s">
        <v>4445</v>
      </c>
      <c r="M2845" t="s">
        <v>4446</v>
      </c>
    </row>
    <row r="2846" spans="1:14" x14ac:dyDescent="0.35">
      <c r="A2846" t="s">
        <v>7325</v>
      </c>
      <c r="B2846" t="s">
        <v>152</v>
      </c>
      <c r="C2846" t="s">
        <v>1927</v>
      </c>
      <c r="D2846" t="s">
        <v>4476</v>
      </c>
      <c r="E2846" t="s">
        <v>4439</v>
      </c>
      <c r="F2846" s="3">
        <v>45311</v>
      </c>
      <c r="G2846" s="3">
        <v>45315</v>
      </c>
      <c r="H2846">
        <v>108.2</v>
      </c>
      <c r="I2846">
        <v>48</v>
      </c>
      <c r="J2846" t="s">
        <v>4440</v>
      </c>
      <c r="K2846" t="s">
        <v>4441</v>
      </c>
      <c r="L2846" t="s">
        <v>4480</v>
      </c>
      <c r="M2846" t="s">
        <v>4462</v>
      </c>
      <c r="N2846">
        <v>4</v>
      </c>
    </row>
    <row r="2847" spans="1:14" x14ac:dyDescent="0.35">
      <c r="A2847" t="s">
        <v>7326</v>
      </c>
      <c r="B2847" t="s">
        <v>88</v>
      </c>
      <c r="C2847" t="s">
        <v>1915</v>
      </c>
      <c r="D2847" t="s">
        <v>4443</v>
      </c>
      <c r="E2847" t="s">
        <v>4473</v>
      </c>
      <c r="F2847" s="3">
        <v>45335</v>
      </c>
      <c r="G2847" s="3">
        <v>45335</v>
      </c>
      <c r="H2847">
        <v>17.399999999999999</v>
      </c>
      <c r="I2847">
        <v>8</v>
      </c>
      <c r="J2847" t="s">
        <v>4440</v>
      </c>
      <c r="K2847" t="s">
        <v>4441</v>
      </c>
      <c r="L2847" t="s">
        <v>1907</v>
      </c>
      <c r="M2847" t="s">
        <v>4450</v>
      </c>
      <c r="N2847">
        <v>3</v>
      </c>
    </row>
    <row r="2848" spans="1:14" x14ac:dyDescent="0.35">
      <c r="A2848" t="s">
        <v>7327</v>
      </c>
      <c r="B2848" t="s">
        <v>71</v>
      </c>
      <c r="C2848" t="s">
        <v>1927</v>
      </c>
      <c r="D2848" t="s">
        <v>4472</v>
      </c>
      <c r="E2848" t="s">
        <v>4439</v>
      </c>
      <c r="F2848" s="3">
        <v>45409</v>
      </c>
      <c r="G2848" s="3" t="s">
        <v>537</v>
      </c>
      <c r="I2848">
        <v>48</v>
      </c>
      <c r="J2848" t="s">
        <v>4440</v>
      </c>
      <c r="K2848" t="s">
        <v>4453</v>
      </c>
      <c r="L2848" t="s">
        <v>4445</v>
      </c>
      <c r="M2848" t="s">
        <v>4450</v>
      </c>
    </row>
    <row r="2849" spans="1:14" x14ac:dyDescent="0.35">
      <c r="A2849" t="s">
        <v>7328</v>
      </c>
      <c r="B2849" t="s">
        <v>201</v>
      </c>
      <c r="C2849" t="s">
        <v>1890</v>
      </c>
      <c r="D2849" t="s">
        <v>4464</v>
      </c>
      <c r="E2849" t="s">
        <v>4473</v>
      </c>
      <c r="F2849" s="3">
        <v>45265</v>
      </c>
      <c r="G2849" s="3" t="s">
        <v>537</v>
      </c>
      <c r="I2849">
        <v>8</v>
      </c>
      <c r="J2849" t="s">
        <v>4440</v>
      </c>
      <c r="K2849" t="s">
        <v>4457</v>
      </c>
      <c r="L2849" t="s">
        <v>4488</v>
      </c>
      <c r="M2849" t="s">
        <v>4462</v>
      </c>
    </row>
    <row r="2850" spans="1:14" x14ac:dyDescent="0.35">
      <c r="A2850" t="s">
        <v>7329</v>
      </c>
      <c r="B2850" t="s">
        <v>301</v>
      </c>
      <c r="C2850" t="s">
        <v>1915</v>
      </c>
      <c r="D2850" t="s">
        <v>4485</v>
      </c>
      <c r="E2850" t="s">
        <v>4439</v>
      </c>
      <c r="F2850" s="3">
        <v>45287</v>
      </c>
      <c r="G2850" s="3">
        <v>45287</v>
      </c>
      <c r="H2850">
        <v>9.1</v>
      </c>
      <c r="I2850">
        <v>48</v>
      </c>
      <c r="J2850" t="s">
        <v>4448</v>
      </c>
      <c r="K2850" t="s">
        <v>4441</v>
      </c>
      <c r="L2850" t="s">
        <v>4509</v>
      </c>
      <c r="M2850" t="s">
        <v>1625</v>
      </c>
    </row>
    <row r="2851" spans="1:14" x14ac:dyDescent="0.35">
      <c r="A2851" t="s">
        <v>7330</v>
      </c>
      <c r="B2851" t="s">
        <v>219</v>
      </c>
      <c r="C2851" t="s">
        <v>1883</v>
      </c>
      <c r="D2851" t="s">
        <v>4452</v>
      </c>
      <c r="E2851" t="s">
        <v>4444</v>
      </c>
      <c r="F2851" s="3">
        <v>45261</v>
      </c>
      <c r="G2851" s="3" t="s">
        <v>537</v>
      </c>
      <c r="I2851">
        <v>24</v>
      </c>
      <c r="J2851" t="s">
        <v>4440</v>
      </c>
      <c r="K2851" t="s">
        <v>4453</v>
      </c>
      <c r="L2851" t="s">
        <v>4467</v>
      </c>
      <c r="M2851" t="s">
        <v>1625</v>
      </c>
    </row>
    <row r="2852" spans="1:14" x14ac:dyDescent="0.35">
      <c r="A2852" t="s">
        <v>7331</v>
      </c>
      <c r="B2852" t="s">
        <v>210</v>
      </c>
      <c r="C2852" t="s">
        <v>1890</v>
      </c>
      <c r="D2852" t="s">
        <v>4476</v>
      </c>
      <c r="E2852" t="s">
        <v>4473</v>
      </c>
      <c r="F2852" s="3">
        <v>45184</v>
      </c>
      <c r="G2852" s="3">
        <v>45184</v>
      </c>
      <c r="H2852">
        <v>13.2</v>
      </c>
      <c r="I2852">
        <v>8</v>
      </c>
      <c r="J2852" t="s">
        <v>4440</v>
      </c>
      <c r="K2852" t="s">
        <v>4441</v>
      </c>
      <c r="L2852" t="s">
        <v>4445</v>
      </c>
      <c r="M2852" t="s">
        <v>4446</v>
      </c>
      <c r="N2852">
        <v>3</v>
      </c>
    </row>
    <row r="2853" spans="1:14" x14ac:dyDescent="0.35">
      <c r="A2853" t="s">
        <v>7332</v>
      </c>
      <c r="B2853" t="s">
        <v>108</v>
      </c>
      <c r="C2853" t="s">
        <v>1915</v>
      </c>
      <c r="D2853" t="s">
        <v>4460</v>
      </c>
      <c r="E2853" t="s">
        <v>4439</v>
      </c>
      <c r="F2853" s="3">
        <v>45222</v>
      </c>
      <c r="G2853" s="3">
        <v>45225</v>
      </c>
      <c r="H2853">
        <v>77.7</v>
      </c>
      <c r="I2853">
        <v>48</v>
      </c>
      <c r="J2853" t="s">
        <v>4440</v>
      </c>
      <c r="K2853" t="s">
        <v>4441</v>
      </c>
      <c r="L2853" t="s">
        <v>4492</v>
      </c>
      <c r="M2853" t="s">
        <v>4462</v>
      </c>
      <c r="N2853">
        <v>5</v>
      </c>
    </row>
    <row r="2854" spans="1:14" x14ac:dyDescent="0.35">
      <c r="A2854" t="s">
        <v>7333</v>
      </c>
      <c r="B2854" t="s">
        <v>86</v>
      </c>
      <c r="C2854" t="s">
        <v>1927</v>
      </c>
      <c r="D2854" t="s">
        <v>4469</v>
      </c>
      <c r="E2854" t="s">
        <v>4444</v>
      </c>
      <c r="F2854" s="3">
        <v>45123</v>
      </c>
      <c r="G2854" s="3">
        <v>45123</v>
      </c>
      <c r="H2854">
        <v>6.8</v>
      </c>
      <c r="I2854">
        <v>24</v>
      </c>
      <c r="J2854" t="s">
        <v>4448</v>
      </c>
      <c r="K2854" t="s">
        <v>4441</v>
      </c>
      <c r="L2854" t="s">
        <v>4501</v>
      </c>
      <c r="M2854" t="s">
        <v>4446</v>
      </c>
    </row>
    <row r="2855" spans="1:14" x14ac:dyDescent="0.35">
      <c r="A2855" t="s">
        <v>7334</v>
      </c>
      <c r="B2855" t="s">
        <v>186</v>
      </c>
      <c r="C2855" t="s">
        <v>1904</v>
      </c>
      <c r="D2855" t="s">
        <v>4464</v>
      </c>
      <c r="E2855" t="s">
        <v>4473</v>
      </c>
      <c r="F2855" s="3">
        <v>45461</v>
      </c>
      <c r="G2855" s="3" t="s">
        <v>537</v>
      </c>
      <c r="I2855">
        <v>8</v>
      </c>
      <c r="J2855" t="s">
        <v>4440</v>
      </c>
      <c r="K2855" t="s">
        <v>4457</v>
      </c>
      <c r="L2855" t="s">
        <v>4454</v>
      </c>
      <c r="M2855" t="s">
        <v>4446</v>
      </c>
    </row>
    <row r="2856" spans="1:14" x14ac:dyDescent="0.35">
      <c r="A2856" t="s">
        <v>7335</v>
      </c>
      <c r="B2856" t="s">
        <v>431</v>
      </c>
      <c r="C2856" t="s">
        <v>1915</v>
      </c>
      <c r="D2856" t="s">
        <v>4479</v>
      </c>
      <c r="E2856" t="s">
        <v>4439</v>
      </c>
      <c r="F2856" s="3">
        <v>45061</v>
      </c>
      <c r="G2856" s="3" t="s">
        <v>537</v>
      </c>
      <c r="I2856">
        <v>48</v>
      </c>
      <c r="J2856" t="s">
        <v>4440</v>
      </c>
      <c r="K2856" t="s">
        <v>4457</v>
      </c>
      <c r="L2856" t="s">
        <v>4501</v>
      </c>
      <c r="M2856" t="s">
        <v>4450</v>
      </c>
    </row>
    <row r="2857" spans="1:14" x14ac:dyDescent="0.35">
      <c r="A2857" t="s">
        <v>7336</v>
      </c>
      <c r="B2857" t="s">
        <v>149</v>
      </c>
      <c r="C2857" t="s">
        <v>1927</v>
      </c>
      <c r="D2857" t="s">
        <v>4476</v>
      </c>
      <c r="E2857" t="s">
        <v>4473</v>
      </c>
      <c r="F2857" s="3">
        <v>45213</v>
      </c>
      <c r="G2857" s="3" t="s">
        <v>537</v>
      </c>
      <c r="I2857">
        <v>8</v>
      </c>
      <c r="J2857" t="s">
        <v>4440</v>
      </c>
      <c r="K2857" t="s">
        <v>4474</v>
      </c>
      <c r="L2857" t="s">
        <v>4470</v>
      </c>
      <c r="M2857" t="s">
        <v>4450</v>
      </c>
    </row>
    <row r="2858" spans="1:14" x14ac:dyDescent="0.35">
      <c r="A2858" t="s">
        <v>7337</v>
      </c>
      <c r="B2858" t="s">
        <v>126</v>
      </c>
      <c r="C2858" t="s">
        <v>1883</v>
      </c>
      <c r="D2858" t="s">
        <v>4485</v>
      </c>
      <c r="E2858" t="s">
        <v>4473</v>
      </c>
      <c r="F2858" s="3">
        <v>45715</v>
      </c>
      <c r="G2858" s="3" t="s">
        <v>537</v>
      </c>
      <c r="I2858">
        <v>8</v>
      </c>
      <c r="J2858" t="s">
        <v>4440</v>
      </c>
      <c r="K2858" t="s">
        <v>4457</v>
      </c>
      <c r="L2858" t="s">
        <v>4454</v>
      </c>
      <c r="M2858" t="s">
        <v>1625</v>
      </c>
    </row>
    <row r="2859" spans="1:14" x14ac:dyDescent="0.35">
      <c r="A2859" t="s">
        <v>7338</v>
      </c>
      <c r="B2859" t="s">
        <v>108</v>
      </c>
      <c r="C2859" t="s">
        <v>1927</v>
      </c>
      <c r="D2859" t="s">
        <v>4469</v>
      </c>
      <c r="E2859" t="s">
        <v>4444</v>
      </c>
      <c r="F2859" s="3">
        <v>45594</v>
      </c>
      <c r="G2859" s="3">
        <v>45596</v>
      </c>
      <c r="H2859">
        <v>58.4</v>
      </c>
      <c r="I2859">
        <v>24</v>
      </c>
      <c r="J2859" t="s">
        <v>4440</v>
      </c>
      <c r="K2859" t="s">
        <v>4441</v>
      </c>
      <c r="L2859" t="s">
        <v>4461</v>
      </c>
      <c r="M2859" t="s">
        <v>4446</v>
      </c>
      <c r="N2859">
        <v>5</v>
      </c>
    </row>
    <row r="2860" spans="1:14" x14ac:dyDescent="0.35">
      <c r="A2860" t="s">
        <v>7339</v>
      </c>
      <c r="B2860" t="s">
        <v>387</v>
      </c>
      <c r="C2860" t="s">
        <v>1883</v>
      </c>
      <c r="D2860" t="s">
        <v>4482</v>
      </c>
      <c r="E2860" t="s">
        <v>4444</v>
      </c>
      <c r="F2860" s="3">
        <v>45428</v>
      </c>
      <c r="G2860" s="3" t="s">
        <v>537</v>
      </c>
      <c r="I2860">
        <v>24</v>
      </c>
      <c r="J2860" t="s">
        <v>4448</v>
      </c>
      <c r="K2860" t="s">
        <v>4457</v>
      </c>
      <c r="L2860" t="s">
        <v>4501</v>
      </c>
      <c r="M2860" t="s">
        <v>4462</v>
      </c>
    </row>
    <row r="2861" spans="1:14" x14ac:dyDescent="0.35">
      <c r="A2861" t="s">
        <v>7340</v>
      </c>
      <c r="B2861" t="s">
        <v>330</v>
      </c>
      <c r="C2861" t="s">
        <v>1890</v>
      </c>
      <c r="D2861" t="s">
        <v>4485</v>
      </c>
      <c r="E2861" t="s">
        <v>4439</v>
      </c>
      <c r="F2861" s="3">
        <v>45693</v>
      </c>
      <c r="G2861" s="3">
        <v>45696</v>
      </c>
      <c r="H2861">
        <v>94.7</v>
      </c>
      <c r="I2861">
        <v>48</v>
      </c>
      <c r="J2861" t="s">
        <v>4440</v>
      </c>
      <c r="K2861" t="s">
        <v>4441</v>
      </c>
      <c r="L2861" t="s">
        <v>4580</v>
      </c>
      <c r="M2861" t="s">
        <v>4450</v>
      </c>
      <c r="N2861">
        <v>3</v>
      </c>
    </row>
    <row r="2862" spans="1:14" x14ac:dyDescent="0.35">
      <c r="A2862" t="s">
        <v>7341</v>
      </c>
      <c r="B2862" t="s">
        <v>120</v>
      </c>
      <c r="C2862" t="s">
        <v>1890</v>
      </c>
      <c r="D2862" t="s">
        <v>4443</v>
      </c>
      <c r="E2862" t="s">
        <v>4439</v>
      </c>
      <c r="F2862" s="3">
        <v>45440</v>
      </c>
      <c r="G2862" s="3" t="s">
        <v>537</v>
      </c>
      <c r="I2862">
        <v>48</v>
      </c>
      <c r="J2862" t="s">
        <v>4440</v>
      </c>
      <c r="K2862" t="s">
        <v>4453</v>
      </c>
      <c r="L2862" t="s">
        <v>4580</v>
      </c>
      <c r="M2862" t="s">
        <v>4462</v>
      </c>
    </row>
    <row r="2863" spans="1:14" x14ac:dyDescent="0.35">
      <c r="A2863" t="s">
        <v>7342</v>
      </c>
      <c r="B2863" t="s">
        <v>160</v>
      </c>
      <c r="C2863" t="s">
        <v>1904</v>
      </c>
      <c r="D2863" t="s">
        <v>4479</v>
      </c>
      <c r="E2863" t="s">
        <v>4439</v>
      </c>
      <c r="F2863" s="3">
        <v>45536</v>
      </c>
      <c r="G2863" s="3">
        <v>45540</v>
      </c>
      <c r="H2863">
        <v>96.4</v>
      </c>
      <c r="I2863">
        <v>48</v>
      </c>
      <c r="J2863" t="s">
        <v>4440</v>
      </c>
      <c r="K2863" t="s">
        <v>4441</v>
      </c>
      <c r="L2863" t="s">
        <v>4465</v>
      </c>
      <c r="M2863" t="s">
        <v>1625</v>
      </c>
      <c r="N2863">
        <v>5</v>
      </c>
    </row>
    <row r="2864" spans="1:14" x14ac:dyDescent="0.35">
      <c r="A2864" t="s">
        <v>7343</v>
      </c>
      <c r="B2864" t="s">
        <v>479</v>
      </c>
      <c r="C2864" t="s">
        <v>1890</v>
      </c>
      <c r="D2864" t="s">
        <v>4438</v>
      </c>
      <c r="E2864" t="s">
        <v>4439</v>
      </c>
      <c r="F2864" s="3">
        <v>45601</v>
      </c>
      <c r="G2864" s="3" t="s">
        <v>537</v>
      </c>
      <c r="I2864">
        <v>48</v>
      </c>
      <c r="J2864" t="s">
        <v>4440</v>
      </c>
      <c r="K2864" t="s">
        <v>4457</v>
      </c>
      <c r="L2864" t="s">
        <v>4492</v>
      </c>
      <c r="M2864" t="s">
        <v>1625</v>
      </c>
    </row>
    <row r="2865" spans="1:14" x14ac:dyDescent="0.35">
      <c r="A2865" t="s">
        <v>7344</v>
      </c>
      <c r="B2865" t="s">
        <v>328</v>
      </c>
      <c r="C2865" t="s">
        <v>1890</v>
      </c>
      <c r="D2865" t="s">
        <v>4438</v>
      </c>
      <c r="E2865" t="s">
        <v>4439</v>
      </c>
      <c r="F2865" s="3">
        <v>45403</v>
      </c>
      <c r="G2865" s="3" t="s">
        <v>537</v>
      </c>
      <c r="I2865">
        <v>48</v>
      </c>
      <c r="J2865" t="s">
        <v>4440</v>
      </c>
      <c r="K2865" t="s">
        <v>4457</v>
      </c>
      <c r="L2865" t="s">
        <v>4480</v>
      </c>
      <c r="M2865" t="s">
        <v>4462</v>
      </c>
    </row>
    <row r="2866" spans="1:14" x14ac:dyDescent="0.35">
      <c r="A2866" t="s">
        <v>7345</v>
      </c>
      <c r="B2866" t="s">
        <v>128</v>
      </c>
      <c r="C2866" t="s">
        <v>1899</v>
      </c>
      <c r="D2866" t="s">
        <v>4476</v>
      </c>
      <c r="E2866" t="s">
        <v>4439</v>
      </c>
      <c r="F2866" s="3">
        <v>45388</v>
      </c>
      <c r="G2866" s="3">
        <v>45390</v>
      </c>
      <c r="H2866">
        <v>60.9</v>
      </c>
      <c r="I2866">
        <v>48</v>
      </c>
      <c r="J2866" t="s">
        <v>4440</v>
      </c>
      <c r="K2866" t="s">
        <v>4441</v>
      </c>
      <c r="L2866" t="s">
        <v>4449</v>
      </c>
      <c r="M2866" t="s">
        <v>4446</v>
      </c>
      <c r="N2866">
        <v>5</v>
      </c>
    </row>
    <row r="2867" spans="1:14" x14ac:dyDescent="0.35">
      <c r="A2867" t="s">
        <v>7346</v>
      </c>
      <c r="B2867" t="s">
        <v>405</v>
      </c>
      <c r="C2867" t="s">
        <v>1899</v>
      </c>
      <c r="D2867" t="s">
        <v>4476</v>
      </c>
      <c r="E2867" t="s">
        <v>4444</v>
      </c>
      <c r="F2867" s="3">
        <v>45346</v>
      </c>
      <c r="G2867" s="3">
        <v>45347</v>
      </c>
      <c r="H2867">
        <v>41.8</v>
      </c>
      <c r="I2867">
        <v>24</v>
      </c>
      <c r="J2867" t="s">
        <v>4440</v>
      </c>
      <c r="K2867" t="s">
        <v>4441</v>
      </c>
      <c r="L2867" t="s">
        <v>4449</v>
      </c>
      <c r="M2867" t="s">
        <v>1625</v>
      </c>
      <c r="N2867">
        <v>4</v>
      </c>
    </row>
    <row r="2868" spans="1:14" x14ac:dyDescent="0.35">
      <c r="A2868" t="s">
        <v>7347</v>
      </c>
      <c r="B2868" t="s">
        <v>226</v>
      </c>
      <c r="C2868" t="s">
        <v>1927</v>
      </c>
      <c r="D2868" t="s">
        <v>4485</v>
      </c>
      <c r="E2868" t="s">
        <v>4473</v>
      </c>
      <c r="F2868" s="3">
        <v>45096</v>
      </c>
      <c r="G2868" s="3" t="s">
        <v>537</v>
      </c>
      <c r="I2868">
        <v>8</v>
      </c>
      <c r="J2868" t="s">
        <v>4440</v>
      </c>
      <c r="K2868" t="s">
        <v>4474</v>
      </c>
      <c r="L2868" t="s">
        <v>4467</v>
      </c>
      <c r="M2868" t="s">
        <v>4446</v>
      </c>
    </row>
    <row r="2869" spans="1:14" x14ac:dyDescent="0.35">
      <c r="A2869" t="s">
        <v>7348</v>
      </c>
      <c r="B2869" t="s">
        <v>493</v>
      </c>
      <c r="C2869" t="s">
        <v>1904</v>
      </c>
      <c r="D2869" t="s">
        <v>4479</v>
      </c>
      <c r="E2869" t="s">
        <v>4439</v>
      </c>
      <c r="F2869" s="3">
        <v>44987</v>
      </c>
      <c r="G2869" s="3">
        <v>44991</v>
      </c>
      <c r="H2869">
        <v>104.5</v>
      </c>
      <c r="I2869">
        <v>48</v>
      </c>
      <c r="J2869" t="s">
        <v>4440</v>
      </c>
      <c r="K2869" t="s">
        <v>4441</v>
      </c>
      <c r="L2869" t="s">
        <v>4483</v>
      </c>
      <c r="M2869" t="s">
        <v>4446</v>
      </c>
    </row>
    <row r="2870" spans="1:14" x14ac:dyDescent="0.35">
      <c r="A2870" t="s">
        <v>7349</v>
      </c>
      <c r="B2870" t="s">
        <v>308</v>
      </c>
      <c r="C2870" t="s">
        <v>1904</v>
      </c>
      <c r="D2870" t="s">
        <v>4460</v>
      </c>
      <c r="E2870" t="s">
        <v>4473</v>
      </c>
      <c r="F2870" s="3">
        <v>45584</v>
      </c>
      <c r="G2870" s="3">
        <v>45584</v>
      </c>
      <c r="H2870">
        <v>12.4</v>
      </c>
      <c r="I2870">
        <v>8</v>
      </c>
      <c r="J2870" t="s">
        <v>4440</v>
      </c>
      <c r="K2870" t="s">
        <v>4441</v>
      </c>
      <c r="L2870" t="s">
        <v>4480</v>
      </c>
      <c r="M2870" t="s">
        <v>1625</v>
      </c>
      <c r="N2870">
        <v>4</v>
      </c>
    </row>
    <row r="2871" spans="1:14" x14ac:dyDescent="0.35">
      <c r="A2871" t="s">
        <v>7350</v>
      </c>
      <c r="B2871" t="s">
        <v>154</v>
      </c>
      <c r="C2871" t="s">
        <v>1899</v>
      </c>
      <c r="D2871" t="s">
        <v>4476</v>
      </c>
      <c r="E2871" t="s">
        <v>4444</v>
      </c>
      <c r="F2871" s="3">
        <v>45077</v>
      </c>
      <c r="G2871" s="3" t="s">
        <v>537</v>
      </c>
      <c r="I2871">
        <v>24</v>
      </c>
      <c r="J2871" t="s">
        <v>4448</v>
      </c>
      <c r="K2871" t="s">
        <v>4453</v>
      </c>
      <c r="L2871" t="s">
        <v>4445</v>
      </c>
      <c r="M2871" t="s">
        <v>4450</v>
      </c>
    </row>
    <row r="2872" spans="1:14" x14ac:dyDescent="0.35">
      <c r="A2872" t="s">
        <v>7351</v>
      </c>
      <c r="B2872" t="s">
        <v>458</v>
      </c>
      <c r="C2872" t="s">
        <v>1883</v>
      </c>
      <c r="D2872" t="s">
        <v>4460</v>
      </c>
      <c r="E2872" t="s">
        <v>4439</v>
      </c>
      <c r="F2872" s="3">
        <v>44959</v>
      </c>
      <c r="G2872" s="3" t="s">
        <v>537</v>
      </c>
      <c r="I2872">
        <v>48</v>
      </c>
      <c r="J2872" t="s">
        <v>4448</v>
      </c>
      <c r="K2872" t="s">
        <v>4453</v>
      </c>
      <c r="L2872" t="s">
        <v>4445</v>
      </c>
      <c r="M2872" t="s">
        <v>1625</v>
      </c>
    </row>
    <row r="2873" spans="1:14" x14ac:dyDescent="0.35">
      <c r="A2873" t="s">
        <v>7352</v>
      </c>
      <c r="B2873" t="s">
        <v>214</v>
      </c>
      <c r="C2873" t="s">
        <v>1915</v>
      </c>
      <c r="D2873" t="s">
        <v>4443</v>
      </c>
      <c r="E2873" t="s">
        <v>4473</v>
      </c>
      <c r="F2873" s="3">
        <v>45133</v>
      </c>
      <c r="G2873" s="3">
        <v>45133</v>
      </c>
      <c r="H2873">
        <v>1.1000000000000001</v>
      </c>
      <c r="I2873">
        <v>8</v>
      </c>
      <c r="J2873" t="s">
        <v>4448</v>
      </c>
      <c r="K2873" t="s">
        <v>4441</v>
      </c>
      <c r="L2873" t="s">
        <v>4461</v>
      </c>
      <c r="M2873" t="s">
        <v>1625</v>
      </c>
      <c r="N2873">
        <v>4</v>
      </c>
    </row>
    <row r="2874" spans="1:14" x14ac:dyDescent="0.35">
      <c r="A2874" t="s">
        <v>7353</v>
      </c>
      <c r="B2874" t="s">
        <v>260</v>
      </c>
      <c r="C2874" t="s">
        <v>1883</v>
      </c>
      <c r="D2874" t="s">
        <v>4438</v>
      </c>
      <c r="E2874" t="s">
        <v>4473</v>
      </c>
      <c r="F2874" s="3">
        <v>45067</v>
      </c>
      <c r="G2874" s="3">
        <v>45067</v>
      </c>
      <c r="H2874">
        <v>11.9</v>
      </c>
      <c r="I2874">
        <v>8</v>
      </c>
      <c r="J2874" t="s">
        <v>4440</v>
      </c>
      <c r="K2874" t="s">
        <v>4441</v>
      </c>
      <c r="L2874" t="s">
        <v>4480</v>
      </c>
      <c r="M2874" t="s">
        <v>4446</v>
      </c>
      <c r="N2874">
        <v>4</v>
      </c>
    </row>
    <row r="2875" spans="1:14" x14ac:dyDescent="0.35">
      <c r="A2875" t="s">
        <v>7354</v>
      </c>
      <c r="B2875" t="s">
        <v>328</v>
      </c>
      <c r="C2875" t="s">
        <v>1899</v>
      </c>
      <c r="D2875" t="s">
        <v>4443</v>
      </c>
      <c r="E2875" t="s">
        <v>4444</v>
      </c>
      <c r="F2875" s="3">
        <v>45638</v>
      </c>
      <c r="G2875" s="3">
        <v>45639</v>
      </c>
      <c r="H2875">
        <v>40</v>
      </c>
      <c r="I2875">
        <v>24</v>
      </c>
      <c r="J2875" t="s">
        <v>4440</v>
      </c>
      <c r="K2875" t="s">
        <v>4441</v>
      </c>
      <c r="L2875" t="s">
        <v>4454</v>
      </c>
      <c r="M2875" t="s">
        <v>4446</v>
      </c>
      <c r="N2875">
        <v>5</v>
      </c>
    </row>
    <row r="2876" spans="1:14" x14ac:dyDescent="0.35">
      <c r="A2876" t="s">
        <v>7355</v>
      </c>
      <c r="B2876" t="s">
        <v>77</v>
      </c>
      <c r="C2876" t="s">
        <v>1883</v>
      </c>
      <c r="D2876" t="s">
        <v>4472</v>
      </c>
      <c r="E2876" t="s">
        <v>4456</v>
      </c>
      <c r="F2876" s="3">
        <v>45367</v>
      </c>
      <c r="G2876" s="3" t="s">
        <v>537</v>
      </c>
      <c r="I2876">
        <v>4</v>
      </c>
      <c r="J2876" t="s">
        <v>4440</v>
      </c>
      <c r="K2876" t="s">
        <v>4457</v>
      </c>
      <c r="L2876" t="s">
        <v>4454</v>
      </c>
      <c r="M2876" t="s">
        <v>1625</v>
      </c>
    </row>
    <row r="2877" spans="1:14" x14ac:dyDescent="0.35">
      <c r="A2877" t="s">
        <v>7356</v>
      </c>
      <c r="B2877" t="s">
        <v>469</v>
      </c>
      <c r="C2877" t="s">
        <v>1883</v>
      </c>
      <c r="D2877" t="s">
        <v>4479</v>
      </c>
      <c r="E2877" t="s">
        <v>4439</v>
      </c>
      <c r="F2877" s="3">
        <v>45445</v>
      </c>
      <c r="G2877" s="3">
        <v>45448</v>
      </c>
      <c r="H2877">
        <v>80.599999999999994</v>
      </c>
      <c r="I2877">
        <v>48</v>
      </c>
      <c r="J2877" t="s">
        <v>4440</v>
      </c>
      <c r="K2877" t="s">
        <v>4441</v>
      </c>
      <c r="L2877" t="s">
        <v>4527</v>
      </c>
      <c r="M2877" t="s">
        <v>1625</v>
      </c>
      <c r="N2877">
        <v>4</v>
      </c>
    </row>
    <row r="2878" spans="1:14" x14ac:dyDescent="0.35">
      <c r="A2878" t="s">
        <v>7357</v>
      </c>
      <c r="B2878" t="s">
        <v>142</v>
      </c>
      <c r="C2878" t="s">
        <v>1904</v>
      </c>
      <c r="D2878" t="s">
        <v>4464</v>
      </c>
      <c r="E2878" t="s">
        <v>4473</v>
      </c>
      <c r="F2878" s="3">
        <v>45060</v>
      </c>
      <c r="G2878" s="3">
        <v>45060</v>
      </c>
      <c r="H2878">
        <v>12.2</v>
      </c>
      <c r="I2878">
        <v>8</v>
      </c>
      <c r="J2878" t="s">
        <v>4440</v>
      </c>
      <c r="K2878" t="s">
        <v>4441</v>
      </c>
      <c r="L2878" t="s">
        <v>4454</v>
      </c>
      <c r="M2878" t="s">
        <v>4450</v>
      </c>
      <c r="N2878">
        <v>3</v>
      </c>
    </row>
    <row r="2879" spans="1:14" x14ac:dyDescent="0.35">
      <c r="A2879" t="s">
        <v>7358</v>
      </c>
      <c r="B2879" t="s">
        <v>461</v>
      </c>
      <c r="C2879" t="s">
        <v>1883</v>
      </c>
      <c r="D2879" t="s">
        <v>4452</v>
      </c>
      <c r="E2879" t="s">
        <v>4473</v>
      </c>
      <c r="F2879" s="3">
        <v>45498</v>
      </c>
      <c r="G2879" s="3">
        <v>45498</v>
      </c>
      <c r="H2879">
        <v>15.5</v>
      </c>
      <c r="I2879">
        <v>8</v>
      </c>
      <c r="J2879" t="s">
        <v>4440</v>
      </c>
      <c r="K2879" t="s">
        <v>4441</v>
      </c>
      <c r="L2879" t="s">
        <v>4509</v>
      </c>
      <c r="M2879" t="s">
        <v>4450</v>
      </c>
      <c r="N2879">
        <v>3</v>
      </c>
    </row>
    <row r="2880" spans="1:14" x14ac:dyDescent="0.35">
      <c r="A2880" t="s">
        <v>7359</v>
      </c>
      <c r="B2880" t="s">
        <v>376</v>
      </c>
      <c r="C2880" t="s">
        <v>1890</v>
      </c>
      <c r="D2880" t="s">
        <v>4469</v>
      </c>
      <c r="E2880" t="s">
        <v>4456</v>
      </c>
      <c r="F2880" s="3">
        <v>45607</v>
      </c>
      <c r="G2880" s="3">
        <v>45607</v>
      </c>
      <c r="H2880">
        <v>10</v>
      </c>
      <c r="I2880">
        <v>4</v>
      </c>
      <c r="J2880" t="s">
        <v>4440</v>
      </c>
      <c r="K2880" t="s">
        <v>4441</v>
      </c>
      <c r="L2880" t="s">
        <v>4465</v>
      </c>
      <c r="M2880" t="s">
        <v>4462</v>
      </c>
      <c r="N2880">
        <v>3</v>
      </c>
    </row>
    <row r="2881" spans="1:14" x14ac:dyDescent="0.35">
      <c r="A2881" t="s">
        <v>7360</v>
      </c>
      <c r="B2881" t="s">
        <v>310</v>
      </c>
      <c r="C2881" t="s">
        <v>1883</v>
      </c>
      <c r="D2881" t="s">
        <v>4476</v>
      </c>
      <c r="E2881" t="s">
        <v>4473</v>
      </c>
      <c r="F2881" s="3">
        <v>44984</v>
      </c>
      <c r="G2881" s="3" t="s">
        <v>537</v>
      </c>
      <c r="I2881">
        <v>8</v>
      </c>
      <c r="J2881" t="s">
        <v>4448</v>
      </c>
      <c r="K2881" t="s">
        <v>4474</v>
      </c>
      <c r="L2881" t="s">
        <v>4509</v>
      </c>
      <c r="M2881" t="s">
        <v>4450</v>
      </c>
    </row>
    <row r="2882" spans="1:14" x14ac:dyDescent="0.35">
      <c r="A2882" t="s">
        <v>7361</v>
      </c>
      <c r="B2882" t="s">
        <v>34</v>
      </c>
      <c r="C2882" t="s">
        <v>1899</v>
      </c>
      <c r="D2882" t="s">
        <v>4479</v>
      </c>
      <c r="E2882" t="s">
        <v>4444</v>
      </c>
      <c r="F2882" s="3">
        <v>45094</v>
      </c>
      <c r="G2882" s="3">
        <v>45095</v>
      </c>
      <c r="H2882">
        <v>33.799999999999997</v>
      </c>
      <c r="I2882">
        <v>24</v>
      </c>
      <c r="J2882" t="s">
        <v>4440</v>
      </c>
      <c r="K2882" t="s">
        <v>4441</v>
      </c>
      <c r="L2882" t="s">
        <v>4445</v>
      </c>
      <c r="M2882" t="s">
        <v>4462</v>
      </c>
      <c r="N2882">
        <v>2</v>
      </c>
    </row>
    <row r="2883" spans="1:14" x14ac:dyDescent="0.35">
      <c r="A2883" t="s">
        <v>7362</v>
      </c>
      <c r="B2883" t="s">
        <v>42</v>
      </c>
      <c r="C2883" t="s">
        <v>1883</v>
      </c>
      <c r="D2883" t="s">
        <v>4490</v>
      </c>
      <c r="E2883" t="s">
        <v>4444</v>
      </c>
      <c r="F2883" s="3">
        <v>45561</v>
      </c>
      <c r="G2883" s="3" t="s">
        <v>537</v>
      </c>
      <c r="I2883">
        <v>24</v>
      </c>
      <c r="J2883" t="s">
        <v>4448</v>
      </c>
      <c r="K2883" t="s">
        <v>4453</v>
      </c>
      <c r="L2883" t="s">
        <v>4461</v>
      </c>
      <c r="M2883" t="s">
        <v>4462</v>
      </c>
    </row>
    <row r="2884" spans="1:14" x14ac:dyDescent="0.35">
      <c r="A2884" t="s">
        <v>7363</v>
      </c>
      <c r="B2884" t="s">
        <v>188</v>
      </c>
      <c r="C2884" t="s">
        <v>1890</v>
      </c>
      <c r="D2884" t="s">
        <v>4472</v>
      </c>
      <c r="E2884" t="s">
        <v>4473</v>
      </c>
      <c r="F2884" s="3">
        <v>45100</v>
      </c>
      <c r="G2884" s="3">
        <v>45100</v>
      </c>
      <c r="H2884">
        <v>10.1</v>
      </c>
      <c r="I2884">
        <v>8</v>
      </c>
      <c r="J2884" t="s">
        <v>4440</v>
      </c>
      <c r="K2884" t="s">
        <v>4441</v>
      </c>
      <c r="L2884" t="s">
        <v>4470</v>
      </c>
      <c r="M2884" t="s">
        <v>4462</v>
      </c>
    </row>
    <row r="2885" spans="1:14" x14ac:dyDescent="0.35">
      <c r="A2885" t="s">
        <v>7364</v>
      </c>
      <c r="B2885" t="s">
        <v>11</v>
      </c>
      <c r="C2885" t="s">
        <v>1927</v>
      </c>
      <c r="D2885" t="s">
        <v>4464</v>
      </c>
      <c r="E2885" t="s">
        <v>4444</v>
      </c>
      <c r="F2885" s="3">
        <v>44969</v>
      </c>
      <c r="G2885" s="3">
        <v>44970</v>
      </c>
      <c r="H2885">
        <v>24.1</v>
      </c>
      <c r="I2885">
        <v>24</v>
      </c>
      <c r="J2885" t="s">
        <v>4440</v>
      </c>
      <c r="K2885" t="s">
        <v>4441</v>
      </c>
      <c r="L2885" t="s">
        <v>4501</v>
      </c>
      <c r="M2885" t="s">
        <v>4446</v>
      </c>
    </row>
    <row r="2886" spans="1:14" x14ac:dyDescent="0.35">
      <c r="A2886" t="s">
        <v>7365</v>
      </c>
      <c r="B2886" t="s">
        <v>384</v>
      </c>
      <c r="C2886" t="s">
        <v>1883</v>
      </c>
      <c r="D2886" t="s">
        <v>4472</v>
      </c>
      <c r="E2886" t="s">
        <v>4439</v>
      </c>
      <c r="F2886" s="3">
        <v>45395</v>
      </c>
      <c r="G2886" s="3" t="s">
        <v>537</v>
      </c>
      <c r="I2886">
        <v>48</v>
      </c>
      <c r="J2886" t="s">
        <v>4440</v>
      </c>
      <c r="K2886" t="s">
        <v>4474</v>
      </c>
      <c r="L2886" t="s">
        <v>4467</v>
      </c>
      <c r="M2886" t="s">
        <v>4446</v>
      </c>
    </row>
    <row r="2887" spans="1:14" x14ac:dyDescent="0.35">
      <c r="A2887" t="s">
        <v>7366</v>
      </c>
      <c r="B2887" t="s">
        <v>380</v>
      </c>
      <c r="C2887" t="s">
        <v>1927</v>
      </c>
      <c r="D2887" t="s">
        <v>4485</v>
      </c>
      <c r="E2887" t="s">
        <v>4444</v>
      </c>
      <c r="F2887" s="3">
        <v>45505</v>
      </c>
      <c r="G2887" s="3">
        <v>45505</v>
      </c>
      <c r="H2887">
        <v>6.1</v>
      </c>
      <c r="I2887">
        <v>24</v>
      </c>
      <c r="J2887" t="s">
        <v>1945</v>
      </c>
      <c r="K2887" t="s">
        <v>4441</v>
      </c>
      <c r="L2887" t="s">
        <v>4449</v>
      </c>
      <c r="M2887" t="s">
        <v>1625</v>
      </c>
      <c r="N2887">
        <v>1</v>
      </c>
    </row>
    <row r="2888" spans="1:14" x14ac:dyDescent="0.35">
      <c r="A2888" t="s">
        <v>7367</v>
      </c>
      <c r="B2888" t="s">
        <v>146</v>
      </c>
      <c r="C2888" t="s">
        <v>1890</v>
      </c>
      <c r="D2888" t="s">
        <v>4482</v>
      </c>
      <c r="E2888" t="s">
        <v>4439</v>
      </c>
      <c r="F2888" s="3">
        <v>45123</v>
      </c>
      <c r="G2888" s="3" t="s">
        <v>537</v>
      </c>
      <c r="I2888">
        <v>48</v>
      </c>
      <c r="J2888" t="s">
        <v>4440</v>
      </c>
      <c r="K2888" t="s">
        <v>4457</v>
      </c>
      <c r="L2888" t="s">
        <v>4465</v>
      </c>
      <c r="M2888" t="s">
        <v>4462</v>
      </c>
    </row>
    <row r="2889" spans="1:14" x14ac:dyDescent="0.35">
      <c r="A2889" t="s">
        <v>7368</v>
      </c>
      <c r="B2889" t="s">
        <v>271</v>
      </c>
      <c r="C2889" t="s">
        <v>1915</v>
      </c>
      <c r="D2889" t="s">
        <v>4485</v>
      </c>
      <c r="E2889" t="s">
        <v>4444</v>
      </c>
      <c r="F2889" s="3">
        <v>45508</v>
      </c>
      <c r="G2889" s="3">
        <v>45510</v>
      </c>
      <c r="H2889">
        <v>56.5</v>
      </c>
      <c r="I2889">
        <v>24</v>
      </c>
      <c r="J2889" t="s">
        <v>4440</v>
      </c>
      <c r="K2889" t="s">
        <v>4441</v>
      </c>
      <c r="L2889" t="s">
        <v>4580</v>
      </c>
      <c r="M2889" t="s">
        <v>4450</v>
      </c>
    </row>
    <row r="2890" spans="1:14" x14ac:dyDescent="0.35">
      <c r="A2890" t="s">
        <v>7369</v>
      </c>
      <c r="B2890" t="s">
        <v>94</v>
      </c>
      <c r="C2890" t="s">
        <v>1904</v>
      </c>
      <c r="D2890" t="s">
        <v>4472</v>
      </c>
      <c r="E2890" t="s">
        <v>4473</v>
      </c>
      <c r="F2890" s="3">
        <v>45614</v>
      </c>
      <c r="G2890" s="3">
        <v>45614</v>
      </c>
      <c r="H2890">
        <v>10.199999999999999</v>
      </c>
      <c r="I2890">
        <v>8</v>
      </c>
      <c r="J2890" t="s">
        <v>4440</v>
      </c>
      <c r="K2890" t="s">
        <v>4441</v>
      </c>
      <c r="L2890" t="s">
        <v>4527</v>
      </c>
      <c r="M2890" t="s">
        <v>4462</v>
      </c>
      <c r="N2890">
        <v>5</v>
      </c>
    </row>
    <row r="2891" spans="1:14" x14ac:dyDescent="0.35">
      <c r="A2891" t="s">
        <v>7370</v>
      </c>
      <c r="B2891" t="s">
        <v>230</v>
      </c>
      <c r="C2891" t="s">
        <v>1883</v>
      </c>
      <c r="D2891" t="s">
        <v>4476</v>
      </c>
      <c r="E2891" t="s">
        <v>4473</v>
      </c>
      <c r="F2891" s="3">
        <v>45632</v>
      </c>
      <c r="G2891" s="3">
        <v>45632</v>
      </c>
      <c r="H2891">
        <v>15</v>
      </c>
      <c r="I2891">
        <v>8</v>
      </c>
      <c r="J2891" t="s">
        <v>4440</v>
      </c>
      <c r="K2891" t="s">
        <v>4441</v>
      </c>
      <c r="L2891" t="s">
        <v>4509</v>
      </c>
      <c r="M2891" t="s">
        <v>4446</v>
      </c>
      <c r="N2891">
        <v>4</v>
      </c>
    </row>
    <row r="2892" spans="1:14" x14ac:dyDescent="0.35">
      <c r="A2892" t="s">
        <v>7371</v>
      </c>
      <c r="B2892" t="s">
        <v>343</v>
      </c>
      <c r="C2892" t="s">
        <v>1927</v>
      </c>
      <c r="D2892" t="s">
        <v>4460</v>
      </c>
      <c r="E2892" t="s">
        <v>4439</v>
      </c>
      <c r="F2892" s="3">
        <v>45486</v>
      </c>
      <c r="G2892" s="3" t="s">
        <v>537</v>
      </c>
      <c r="I2892">
        <v>48</v>
      </c>
      <c r="J2892" t="s">
        <v>4440</v>
      </c>
      <c r="K2892" t="s">
        <v>4457</v>
      </c>
      <c r="L2892" t="s">
        <v>4449</v>
      </c>
      <c r="M2892" t="s">
        <v>4446</v>
      </c>
    </row>
    <row r="2893" spans="1:14" x14ac:dyDescent="0.35">
      <c r="A2893" t="s">
        <v>7372</v>
      </c>
      <c r="B2893" t="s">
        <v>268</v>
      </c>
      <c r="C2893" t="s">
        <v>1915</v>
      </c>
      <c r="D2893" t="s">
        <v>4472</v>
      </c>
      <c r="E2893" t="s">
        <v>4444</v>
      </c>
      <c r="F2893" s="3">
        <v>45095</v>
      </c>
      <c r="G2893" s="3" t="s">
        <v>537</v>
      </c>
      <c r="I2893">
        <v>24</v>
      </c>
      <c r="J2893" t="s">
        <v>4448</v>
      </c>
      <c r="K2893" t="s">
        <v>4474</v>
      </c>
      <c r="L2893" t="s">
        <v>4533</v>
      </c>
      <c r="M2893" t="s">
        <v>4446</v>
      </c>
    </row>
    <row r="2894" spans="1:14" x14ac:dyDescent="0.35">
      <c r="A2894" t="s">
        <v>7373</v>
      </c>
      <c r="B2894" t="s">
        <v>191</v>
      </c>
      <c r="C2894" t="s">
        <v>1904</v>
      </c>
      <c r="D2894" t="s">
        <v>4469</v>
      </c>
      <c r="E2894" t="s">
        <v>4456</v>
      </c>
      <c r="F2894" s="3">
        <v>45728</v>
      </c>
      <c r="G2894" s="3">
        <v>45728</v>
      </c>
      <c r="H2894">
        <v>5.6</v>
      </c>
      <c r="I2894">
        <v>4</v>
      </c>
      <c r="J2894" t="s">
        <v>4440</v>
      </c>
      <c r="K2894" t="s">
        <v>4441</v>
      </c>
      <c r="L2894" t="s">
        <v>4449</v>
      </c>
      <c r="M2894" t="s">
        <v>1625</v>
      </c>
      <c r="N2894">
        <v>5</v>
      </c>
    </row>
    <row r="2895" spans="1:14" x14ac:dyDescent="0.35">
      <c r="A2895" t="s">
        <v>7374</v>
      </c>
      <c r="B2895" t="s">
        <v>305</v>
      </c>
      <c r="C2895" t="s">
        <v>1899</v>
      </c>
      <c r="D2895" t="s">
        <v>4469</v>
      </c>
      <c r="E2895" t="s">
        <v>4444</v>
      </c>
      <c r="F2895" s="3">
        <v>45167</v>
      </c>
      <c r="G2895" s="3" t="s">
        <v>537</v>
      </c>
      <c r="I2895">
        <v>24</v>
      </c>
      <c r="J2895" t="s">
        <v>4440</v>
      </c>
      <c r="K2895" t="s">
        <v>4474</v>
      </c>
      <c r="L2895" t="s">
        <v>4470</v>
      </c>
      <c r="M2895" t="s">
        <v>4462</v>
      </c>
    </row>
    <row r="2896" spans="1:14" x14ac:dyDescent="0.35">
      <c r="A2896" t="s">
        <v>7375</v>
      </c>
      <c r="B2896" t="s">
        <v>415</v>
      </c>
      <c r="C2896" t="s">
        <v>1904</v>
      </c>
      <c r="D2896" t="s">
        <v>4469</v>
      </c>
      <c r="E2896" t="s">
        <v>4473</v>
      </c>
      <c r="F2896" s="3">
        <v>45433</v>
      </c>
      <c r="G2896" s="3">
        <v>45433</v>
      </c>
      <c r="H2896">
        <v>19.7</v>
      </c>
      <c r="I2896">
        <v>8</v>
      </c>
      <c r="J2896" t="s">
        <v>4440</v>
      </c>
      <c r="K2896" t="s">
        <v>4441</v>
      </c>
      <c r="L2896" t="s">
        <v>4467</v>
      </c>
      <c r="M2896" t="s">
        <v>4446</v>
      </c>
      <c r="N2896">
        <v>3</v>
      </c>
    </row>
    <row r="2897" spans="1:14" x14ac:dyDescent="0.35">
      <c r="A2897" t="s">
        <v>7376</v>
      </c>
      <c r="B2897" t="s">
        <v>469</v>
      </c>
      <c r="C2897" t="s">
        <v>1899</v>
      </c>
      <c r="D2897" t="s">
        <v>4485</v>
      </c>
      <c r="E2897" t="s">
        <v>4439</v>
      </c>
      <c r="F2897" s="3">
        <v>45706</v>
      </c>
      <c r="G2897" s="3">
        <v>45706</v>
      </c>
      <c r="H2897">
        <v>16</v>
      </c>
      <c r="I2897">
        <v>48</v>
      </c>
      <c r="J2897" t="s">
        <v>4448</v>
      </c>
      <c r="K2897" t="s">
        <v>4441</v>
      </c>
      <c r="L2897" t="s">
        <v>4470</v>
      </c>
      <c r="M2897" t="s">
        <v>1625</v>
      </c>
      <c r="N2897">
        <v>3</v>
      </c>
    </row>
    <row r="2898" spans="1:14" x14ac:dyDescent="0.35">
      <c r="A2898" t="s">
        <v>7377</v>
      </c>
      <c r="B2898" t="s">
        <v>376</v>
      </c>
      <c r="C2898" t="s">
        <v>1883</v>
      </c>
      <c r="D2898" t="s">
        <v>4443</v>
      </c>
      <c r="E2898" t="s">
        <v>4439</v>
      </c>
      <c r="F2898" s="3">
        <v>45350</v>
      </c>
      <c r="G2898" s="3">
        <v>45354</v>
      </c>
      <c r="H2898">
        <v>112.2</v>
      </c>
      <c r="I2898">
        <v>48</v>
      </c>
      <c r="J2898" t="s">
        <v>4440</v>
      </c>
      <c r="K2898" t="s">
        <v>4441</v>
      </c>
      <c r="L2898" t="s">
        <v>4470</v>
      </c>
      <c r="M2898" t="s">
        <v>4446</v>
      </c>
      <c r="N2898">
        <v>3</v>
      </c>
    </row>
    <row r="2899" spans="1:14" x14ac:dyDescent="0.35">
      <c r="A2899" t="s">
        <v>7378</v>
      </c>
      <c r="B2899" t="s">
        <v>401</v>
      </c>
      <c r="C2899" t="s">
        <v>1927</v>
      </c>
      <c r="D2899" t="s">
        <v>4485</v>
      </c>
      <c r="E2899" t="s">
        <v>4473</v>
      </c>
      <c r="F2899" s="3">
        <v>45397</v>
      </c>
      <c r="G2899" s="3" t="s">
        <v>537</v>
      </c>
      <c r="I2899">
        <v>8</v>
      </c>
      <c r="J2899" t="s">
        <v>4448</v>
      </c>
      <c r="K2899" t="s">
        <v>4474</v>
      </c>
      <c r="L2899" t="s">
        <v>4580</v>
      </c>
      <c r="M2899" t="s">
        <v>4462</v>
      </c>
    </row>
    <row r="2900" spans="1:14" x14ac:dyDescent="0.35">
      <c r="A2900" t="s">
        <v>7379</v>
      </c>
      <c r="B2900" t="s">
        <v>219</v>
      </c>
      <c r="C2900" t="s">
        <v>1883</v>
      </c>
      <c r="D2900" t="s">
        <v>4482</v>
      </c>
      <c r="E2900" t="s">
        <v>4473</v>
      </c>
      <c r="F2900" s="3">
        <v>45176</v>
      </c>
      <c r="G2900" s="3">
        <v>45176</v>
      </c>
      <c r="H2900">
        <v>1.5</v>
      </c>
      <c r="I2900">
        <v>8</v>
      </c>
      <c r="J2900" t="s">
        <v>4448</v>
      </c>
      <c r="K2900" t="s">
        <v>4441</v>
      </c>
      <c r="L2900" t="s">
        <v>4483</v>
      </c>
      <c r="M2900" t="s">
        <v>4450</v>
      </c>
      <c r="N2900">
        <v>3</v>
      </c>
    </row>
    <row r="2901" spans="1:14" x14ac:dyDescent="0.35">
      <c r="A2901" t="s">
        <v>7380</v>
      </c>
      <c r="B2901" t="s">
        <v>178</v>
      </c>
      <c r="C2901" t="s">
        <v>1899</v>
      </c>
      <c r="D2901" t="s">
        <v>4452</v>
      </c>
      <c r="E2901" t="s">
        <v>4444</v>
      </c>
      <c r="F2901" s="3">
        <v>45666</v>
      </c>
      <c r="G2901" s="3">
        <v>45667</v>
      </c>
      <c r="H2901">
        <v>30.4</v>
      </c>
      <c r="I2901">
        <v>24</v>
      </c>
      <c r="J2901" t="s">
        <v>4440</v>
      </c>
      <c r="K2901" t="s">
        <v>4441</v>
      </c>
      <c r="L2901" t="s">
        <v>4488</v>
      </c>
      <c r="M2901" t="s">
        <v>4450</v>
      </c>
      <c r="N2901">
        <v>3</v>
      </c>
    </row>
    <row r="2902" spans="1:14" x14ac:dyDescent="0.35">
      <c r="A2902" t="s">
        <v>7381</v>
      </c>
      <c r="B2902" t="s">
        <v>370</v>
      </c>
      <c r="C2902" t="s">
        <v>1883</v>
      </c>
      <c r="D2902" t="s">
        <v>4490</v>
      </c>
      <c r="E2902" t="s">
        <v>4456</v>
      </c>
      <c r="F2902" s="3">
        <v>45184</v>
      </c>
      <c r="G2902" s="3">
        <v>45184</v>
      </c>
      <c r="H2902">
        <v>2.8</v>
      </c>
      <c r="I2902">
        <v>4</v>
      </c>
      <c r="J2902" t="s">
        <v>4448</v>
      </c>
      <c r="K2902" t="s">
        <v>4441</v>
      </c>
      <c r="L2902" t="s">
        <v>4445</v>
      </c>
      <c r="M2902" t="s">
        <v>4450</v>
      </c>
      <c r="N2902">
        <v>1</v>
      </c>
    </row>
    <row r="2903" spans="1:14" x14ac:dyDescent="0.35">
      <c r="A2903" t="s">
        <v>7382</v>
      </c>
      <c r="B2903" t="s">
        <v>92</v>
      </c>
      <c r="C2903" t="s">
        <v>1904</v>
      </c>
      <c r="D2903" t="s">
        <v>4464</v>
      </c>
      <c r="E2903" t="s">
        <v>4439</v>
      </c>
      <c r="F2903" s="3">
        <v>45061</v>
      </c>
      <c r="G2903" s="3" t="s">
        <v>537</v>
      </c>
      <c r="I2903">
        <v>48</v>
      </c>
      <c r="J2903" t="s">
        <v>4448</v>
      </c>
      <c r="K2903" t="s">
        <v>4457</v>
      </c>
      <c r="L2903" t="s">
        <v>4514</v>
      </c>
      <c r="M2903" t="s">
        <v>1625</v>
      </c>
    </row>
    <row r="2904" spans="1:14" x14ac:dyDescent="0.35">
      <c r="A2904" t="s">
        <v>7383</v>
      </c>
      <c r="B2904" t="s">
        <v>450</v>
      </c>
      <c r="C2904" t="s">
        <v>1915</v>
      </c>
      <c r="D2904" t="s">
        <v>4485</v>
      </c>
      <c r="E2904" t="s">
        <v>4473</v>
      </c>
      <c r="F2904" s="3">
        <v>45404</v>
      </c>
      <c r="G2904" s="3">
        <v>45404</v>
      </c>
      <c r="H2904">
        <v>19.3</v>
      </c>
      <c r="I2904">
        <v>8</v>
      </c>
      <c r="J2904" t="s">
        <v>4440</v>
      </c>
      <c r="K2904" t="s">
        <v>4441</v>
      </c>
      <c r="L2904" t="s">
        <v>4514</v>
      </c>
      <c r="M2904" t="s">
        <v>4446</v>
      </c>
    </row>
    <row r="2905" spans="1:14" x14ac:dyDescent="0.35">
      <c r="A2905" t="s">
        <v>7384</v>
      </c>
      <c r="B2905" t="s">
        <v>444</v>
      </c>
      <c r="C2905" t="s">
        <v>1883</v>
      </c>
      <c r="D2905" t="s">
        <v>4438</v>
      </c>
      <c r="E2905" t="s">
        <v>4456</v>
      </c>
      <c r="F2905" s="3">
        <v>45312</v>
      </c>
      <c r="G2905" s="3" t="s">
        <v>537</v>
      </c>
      <c r="I2905">
        <v>4</v>
      </c>
      <c r="J2905" t="s">
        <v>4448</v>
      </c>
      <c r="K2905" t="s">
        <v>4457</v>
      </c>
      <c r="L2905" t="s">
        <v>4454</v>
      </c>
      <c r="M2905" t="s">
        <v>4462</v>
      </c>
    </row>
    <row r="2906" spans="1:14" x14ac:dyDescent="0.35">
      <c r="A2906" t="s">
        <v>7385</v>
      </c>
      <c r="B2906" t="s">
        <v>370</v>
      </c>
      <c r="C2906" t="s">
        <v>1899</v>
      </c>
      <c r="D2906" t="s">
        <v>4464</v>
      </c>
      <c r="E2906" t="s">
        <v>4444</v>
      </c>
      <c r="F2906" s="3">
        <v>45711</v>
      </c>
      <c r="G2906" s="3">
        <v>45712</v>
      </c>
      <c r="H2906">
        <v>33</v>
      </c>
      <c r="I2906">
        <v>24</v>
      </c>
      <c r="J2906" t="s">
        <v>4440</v>
      </c>
      <c r="K2906" t="s">
        <v>4441</v>
      </c>
      <c r="L2906" t="s">
        <v>4509</v>
      </c>
      <c r="M2906" t="s">
        <v>4462</v>
      </c>
      <c r="N2906">
        <v>3</v>
      </c>
    </row>
    <row r="2907" spans="1:14" x14ac:dyDescent="0.35">
      <c r="A2907" t="s">
        <v>7386</v>
      </c>
      <c r="B2907" t="s">
        <v>247</v>
      </c>
      <c r="C2907" t="s">
        <v>1904</v>
      </c>
      <c r="D2907" t="s">
        <v>4479</v>
      </c>
      <c r="E2907" t="s">
        <v>4439</v>
      </c>
      <c r="F2907" s="3">
        <v>45051</v>
      </c>
      <c r="G2907" s="3" t="s">
        <v>537</v>
      </c>
      <c r="I2907">
        <v>48</v>
      </c>
      <c r="J2907" t="s">
        <v>4440</v>
      </c>
      <c r="K2907" t="s">
        <v>4474</v>
      </c>
      <c r="L2907" t="s">
        <v>4527</v>
      </c>
      <c r="M2907" t="s">
        <v>4462</v>
      </c>
    </row>
    <row r="2908" spans="1:14" x14ac:dyDescent="0.35">
      <c r="A2908" t="s">
        <v>7387</v>
      </c>
      <c r="B2908" t="s">
        <v>82</v>
      </c>
      <c r="C2908" t="s">
        <v>1899</v>
      </c>
      <c r="D2908" t="s">
        <v>4460</v>
      </c>
      <c r="E2908" t="s">
        <v>4444</v>
      </c>
      <c r="F2908" s="3">
        <v>44988</v>
      </c>
      <c r="G2908" s="3">
        <v>44989</v>
      </c>
      <c r="H2908">
        <v>47.7</v>
      </c>
      <c r="I2908">
        <v>24</v>
      </c>
      <c r="J2908" t="s">
        <v>4440</v>
      </c>
      <c r="K2908" t="s">
        <v>4441</v>
      </c>
      <c r="L2908" t="s">
        <v>4445</v>
      </c>
      <c r="M2908" t="s">
        <v>4450</v>
      </c>
      <c r="N2908">
        <v>3</v>
      </c>
    </row>
    <row r="2909" spans="1:14" x14ac:dyDescent="0.35">
      <c r="A2909" t="s">
        <v>7388</v>
      </c>
      <c r="B2909" t="s">
        <v>103</v>
      </c>
      <c r="C2909" t="s">
        <v>1883</v>
      </c>
      <c r="D2909" t="s">
        <v>4490</v>
      </c>
      <c r="E2909" t="s">
        <v>4473</v>
      </c>
      <c r="F2909" s="3">
        <v>44977</v>
      </c>
      <c r="G2909" s="3" t="s">
        <v>537</v>
      </c>
      <c r="I2909">
        <v>8</v>
      </c>
      <c r="J2909" t="s">
        <v>4440</v>
      </c>
      <c r="K2909" t="s">
        <v>4453</v>
      </c>
      <c r="L2909" t="s">
        <v>4480</v>
      </c>
      <c r="M2909" t="s">
        <v>4450</v>
      </c>
    </row>
    <row r="2910" spans="1:14" x14ac:dyDescent="0.35">
      <c r="A2910" t="s">
        <v>7389</v>
      </c>
      <c r="B2910" t="s">
        <v>149</v>
      </c>
      <c r="C2910" t="s">
        <v>1890</v>
      </c>
      <c r="D2910" t="s">
        <v>4485</v>
      </c>
      <c r="E2910" t="s">
        <v>4444</v>
      </c>
      <c r="F2910" s="3">
        <v>45489</v>
      </c>
      <c r="G2910" s="3" t="s">
        <v>537</v>
      </c>
      <c r="I2910">
        <v>24</v>
      </c>
      <c r="J2910" t="s">
        <v>4440</v>
      </c>
      <c r="K2910" t="s">
        <v>4457</v>
      </c>
      <c r="L2910" t="s">
        <v>4470</v>
      </c>
      <c r="M2910" t="s">
        <v>4450</v>
      </c>
    </row>
    <row r="2911" spans="1:14" x14ac:dyDescent="0.35">
      <c r="A2911" t="s">
        <v>7390</v>
      </c>
      <c r="B2911" t="s">
        <v>490</v>
      </c>
      <c r="C2911" t="s">
        <v>1899</v>
      </c>
      <c r="D2911" t="s">
        <v>4452</v>
      </c>
      <c r="E2911" t="s">
        <v>4473</v>
      </c>
      <c r="F2911" s="3">
        <v>45330</v>
      </c>
      <c r="G2911" s="3">
        <v>45330</v>
      </c>
      <c r="H2911">
        <v>10.3</v>
      </c>
      <c r="I2911">
        <v>8</v>
      </c>
      <c r="J2911" t="s">
        <v>4440</v>
      </c>
      <c r="K2911" t="s">
        <v>4441</v>
      </c>
      <c r="L2911" t="s">
        <v>4458</v>
      </c>
      <c r="M2911" t="s">
        <v>4462</v>
      </c>
      <c r="N2911">
        <v>2</v>
      </c>
    </row>
    <row r="2912" spans="1:14" x14ac:dyDescent="0.35">
      <c r="A2912" t="s">
        <v>7391</v>
      </c>
      <c r="B2912" t="s">
        <v>203</v>
      </c>
      <c r="C2912" t="s">
        <v>1890</v>
      </c>
      <c r="D2912" t="s">
        <v>4460</v>
      </c>
      <c r="E2912" t="s">
        <v>4444</v>
      </c>
      <c r="F2912" s="3">
        <v>45126</v>
      </c>
      <c r="G2912" s="3">
        <v>45127</v>
      </c>
      <c r="H2912">
        <v>37.1</v>
      </c>
      <c r="I2912">
        <v>24</v>
      </c>
      <c r="J2912" t="s">
        <v>4440</v>
      </c>
      <c r="K2912" t="s">
        <v>4441</v>
      </c>
      <c r="L2912" t="s">
        <v>4449</v>
      </c>
      <c r="M2912" t="s">
        <v>4450</v>
      </c>
      <c r="N2912">
        <v>1</v>
      </c>
    </row>
    <row r="2913" spans="1:14" x14ac:dyDescent="0.35">
      <c r="A2913" t="s">
        <v>7392</v>
      </c>
      <c r="B2913" t="s">
        <v>364</v>
      </c>
      <c r="C2913" t="s">
        <v>1927</v>
      </c>
      <c r="D2913" t="s">
        <v>4490</v>
      </c>
      <c r="E2913" t="s">
        <v>4473</v>
      </c>
      <c r="F2913" s="3">
        <v>45206</v>
      </c>
      <c r="G2913" s="3">
        <v>45206</v>
      </c>
      <c r="H2913">
        <v>3.9</v>
      </c>
      <c r="I2913">
        <v>8</v>
      </c>
      <c r="J2913" t="s">
        <v>1945</v>
      </c>
      <c r="K2913" t="s">
        <v>4441</v>
      </c>
      <c r="L2913" t="s">
        <v>1907</v>
      </c>
      <c r="M2913" t="s">
        <v>4450</v>
      </c>
      <c r="N2913">
        <v>3</v>
      </c>
    </row>
    <row r="2914" spans="1:14" x14ac:dyDescent="0.35">
      <c r="A2914" t="s">
        <v>7393</v>
      </c>
      <c r="B2914" t="s">
        <v>431</v>
      </c>
      <c r="C2914" t="s">
        <v>1890</v>
      </c>
      <c r="D2914" t="s">
        <v>4472</v>
      </c>
      <c r="E2914" t="s">
        <v>4473</v>
      </c>
      <c r="F2914" s="3">
        <v>45661</v>
      </c>
      <c r="G2914" s="3">
        <v>45661</v>
      </c>
      <c r="H2914">
        <v>12</v>
      </c>
      <c r="I2914">
        <v>8</v>
      </c>
      <c r="J2914" t="s">
        <v>4440</v>
      </c>
      <c r="K2914" t="s">
        <v>4441</v>
      </c>
      <c r="L2914" t="s">
        <v>4488</v>
      </c>
      <c r="M2914" t="s">
        <v>4450</v>
      </c>
      <c r="N2914">
        <v>4</v>
      </c>
    </row>
    <row r="2915" spans="1:14" x14ac:dyDescent="0.35">
      <c r="A2915" t="s">
        <v>7394</v>
      </c>
      <c r="B2915" t="s">
        <v>194</v>
      </c>
      <c r="C2915" t="s">
        <v>1899</v>
      </c>
      <c r="D2915" t="s">
        <v>4438</v>
      </c>
      <c r="E2915" t="s">
        <v>79</v>
      </c>
      <c r="F2915" s="3">
        <v>45275</v>
      </c>
      <c r="G2915" s="3" t="s">
        <v>537</v>
      </c>
      <c r="I2915">
        <v>24</v>
      </c>
      <c r="J2915" t="s">
        <v>4440</v>
      </c>
      <c r="K2915" t="s">
        <v>4453</v>
      </c>
      <c r="L2915" t="s">
        <v>4533</v>
      </c>
      <c r="M2915" t="s">
        <v>1625</v>
      </c>
    </row>
    <row r="2916" spans="1:14" x14ac:dyDescent="0.35">
      <c r="A2916" t="s">
        <v>7395</v>
      </c>
      <c r="B2916" t="s">
        <v>319</v>
      </c>
      <c r="C2916" t="s">
        <v>1883</v>
      </c>
      <c r="D2916" t="s">
        <v>8514</v>
      </c>
      <c r="E2916" t="s">
        <v>4439</v>
      </c>
      <c r="F2916" s="3">
        <v>45114</v>
      </c>
      <c r="G2916" s="3" t="s">
        <v>537</v>
      </c>
      <c r="I2916">
        <v>48</v>
      </c>
      <c r="J2916" t="s">
        <v>4440</v>
      </c>
      <c r="K2916" t="s">
        <v>4474</v>
      </c>
      <c r="L2916" t="s">
        <v>4449</v>
      </c>
      <c r="M2916" t="s">
        <v>4450</v>
      </c>
    </row>
    <row r="2917" spans="1:14" x14ac:dyDescent="0.35">
      <c r="A2917" t="s">
        <v>7396</v>
      </c>
      <c r="B2917" t="s">
        <v>421</v>
      </c>
      <c r="C2917" t="s">
        <v>1890</v>
      </c>
      <c r="D2917" t="s">
        <v>4438</v>
      </c>
      <c r="E2917" t="s">
        <v>4439</v>
      </c>
      <c r="F2917" s="3">
        <v>45076</v>
      </c>
      <c r="G2917" s="3">
        <v>45077</v>
      </c>
      <c r="H2917">
        <v>28</v>
      </c>
      <c r="I2917">
        <v>48</v>
      </c>
      <c r="J2917" t="s">
        <v>4448</v>
      </c>
      <c r="K2917" t="s">
        <v>4441</v>
      </c>
      <c r="L2917" t="s">
        <v>4461</v>
      </c>
      <c r="M2917" t="s">
        <v>4462</v>
      </c>
      <c r="N2917">
        <v>4</v>
      </c>
    </row>
    <row r="2918" spans="1:14" x14ac:dyDescent="0.35">
      <c r="A2918" t="s">
        <v>7397</v>
      </c>
      <c r="B2918" t="s">
        <v>260</v>
      </c>
      <c r="C2918" t="s">
        <v>1899</v>
      </c>
      <c r="D2918" t="s">
        <v>4476</v>
      </c>
      <c r="E2918" t="s">
        <v>4444</v>
      </c>
      <c r="F2918" s="3">
        <v>45597</v>
      </c>
      <c r="G2918" s="3">
        <v>45597</v>
      </c>
      <c r="H2918">
        <v>5.3</v>
      </c>
      <c r="I2918">
        <v>24</v>
      </c>
      <c r="J2918" t="s">
        <v>4448</v>
      </c>
      <c r="K2918" t="s">
        <v>4441</v>
      </c>
      <c r="L2918" t="s">
        <v>4483</v>
      </c>
      <c r="M2918" t="s">
        <v>1625</v>
      </c>
      <c r="N2918">
        <v>4</v>
      </c>
    </row>
    <row r="2919" spans="1:14" x14ac:dyDescent="0.35">
      <c r="A2919" t="s">
        <v>7398</v>
      </c>
      <c r="B2919" t="s">
        <v>442</v>
      </c>
      <c r="C2919" t="s">
        <v>1904</v>
      </c>
      <c r="D2919" t="s">
        <v>4476</v>
      </c>
      <c r="E2919" t="s">
        <v>4473</v>
      </c>
      <c r="F2919" s="3">
        <v>45593</v>
      </c>
      <c r="G2919" s="3" t="s">
        <v>537</v>
      </c>
      <c r="I2919">
        <v>8</v>
      </c>
      <c r="J2919" t="s">
        <v>4440</v>
      </c>
      <c r="K2919" t="s">
        <v>4474</v>
      </c>
      <c r="L2919" t="s">
        <v>4467</v>
      </c>
      <c r="M2919" t="s">
        <v>1625</v>
      </c>
    </row>
    <row r="2920" spans="1:14" x14ac:dyDescent="0.35">
      <c r="A2920" t="s">
        <v>7399</v>
      </c>
      <c r="B2920" t="s">
        <v>423</v>
      </c>
      <c r="C2920" t="s">
        <v>1915</v>
      </c>
      <c r="D2920" t="s">
        <v>4460</v>
      </c>
      <c r="E2920" t="s">
        <v>4473</v>
      </c>
      <c r="F2920" s="3">
        <v>44962</v>
      </c>
      <c r="G2920" s="3" t="s">
        <v>537</v>
      </c>
      <c r="I2920">
        <v>8</v>
      </c>
      <c r="J2920" t="s">
        <v>4440</v>
      </c>
      <c r="K2920" t="s">
        <v>4457</v>
      </c>
      <c r="L2920" t="s">
        <v>4458</v>
      </c>
      <c r="M2920" t="s">
        <v>4446</v>
      </c>
    </row>
    <row r="2921" spans="1:14" x14ac:dyDescent="0.35">
      <c r="A2921" t="s">
        <v>7400</v>
      </c>
      <c r="B2921" t="s">
        <v>469</v>
      </c>
      <c r="C2921" t="s">
        <v>1899</v>
      </c>
      <c r="D2921" t="s">
        <v>4438</v>
      </c>
      <c r="E2921" t="s">
        <v>4473</v>
      </c>
      <c r="F2921" s="3">
        <v>45345</v>
      </c>
      <c r="G2921" s="3">
        <v>45345</v>
      </c>
      <c r="H2921">
        <v>7.2</v>
      </c>
      <c r="I2921">
        <v>8</v>
      </c>
      <c r="J2921" t="s">
        <v>4448</v>
      </c>
      <c r="K2921" t="s">
        <v>4441</v>
      </c>
      <c r="L2921" t="s">
        <v>4483</v>
      </c>
      <c r="M2921" t="s">
        <v>4450</v>
      </c>
      <c r="N2921">
        <v>5</v>
      </c>
    </row>
    <row r="2922" spans="1:14" x14ac:dyDescent="0.35">
      <c r="A2922" t="s">
        <v>7401</v>
      </c>
      <c r="B2922" t="s">
        <v>384</v>
      </c>
      <c r="C2922" t="s">
        <v>1890</v>
      </c>
      <c r="D2922" t="s">
        <v>4476</v>
      </c>
      <c r="E2922" t="s">
        <v>4456</v>
      </c>
      <c r="F2922" s="3">
        <v>45596</v>
      </c>
      <c r="G2922" s="3">
        <v>45596</v>
      </c>
      <c r="H2922">
        <v>6.9</v>
      </c>
      <c r="I2922">
        <v>4</v>
      </c>
      <c r="J2922" t="s">
        <v>4440</v>
      </c>
      <c r="K2922" t="s">
        <v>4441</v>
      </c>
      <c r="L2922" t="s">
        <v>4449</v>
      </c>
      <c r="M2922" t="s">
        <v>4450</v>
      </c>
      <c r="N2922">
        <v>4</v>
      </c>
    </row>
    <row r="2923" spans="1:14" x14ac:dyDescent="0.35">
      <c r="A2923" t="s">
        <v>7402</v>
      </c>
      <c r="B2923" t="s">
        <v>376</v>
      </c>
      <c r="C2923" t="s">
        <v>1899</v>
      </c>
      <c r="D2923" t="s">
        <v>4460</v>
      </c>
      <c r="E2923" t="s">
        <v>4473</v>
      </c>
      <c r="F2923" s="3">
        <v>45266</v>
      </c>
      <c r="G2923" s="3">
        <v>45266</v>
      </c>
      <c r="H2923">
        <v>7.5</v>
      </c>
      <c r="I2923">
        <v>8</v>
      </c>
      <c r="J2923" t="s">
        <v>4448</v>
      </c>
      <c r="K2923" t="s">
        <v>4441</v>
      </c>
      <c r="L2923" t="s">
        <v>4480</v>
      </c>
      <c r="M2923" t="s">
        <v>4446</v>
      </c>
      <c r="N2923">
        <v>3</v>
      </c>
    </row>
    <row r="2924" spans="1:14" x14ac:dyDescent="0.35">
      <c r="A2924" t="s">
        <v>7403</v>
      </c>
      <c r="B2924" t="s">
        <v>402</v>
      </c>
      <c r="C2924" t="s">
        <v>1890</v>
      </c>
      <c r="D2924" t="s">
        <v>4452</v>
      </c>
      <c r="E2924" t="s">
        <v>4456</v>
      </c>
      <c r="F2924" s="3">
        <v>45578</v>
      </c>
      <c r="G2924" s="3" t="s">
        <v>537</v>
      </c>
      <c r="I2924">
        <v>4</v>
      </c>
      <c r="J2924" t="s">
        <v>4448</v>
      </c>
      <c r="K2924" t="s">
        <v>4453</v>
      </c>
      <c r="L2924" t="s">
        <v>4458</v>
      </c>
      <c r="M2924" t="s">
        <v>1625</v>
      </c>
    </row>
    <row r="2925" spans="1:14" x14ac:dyDescent="0.35">
      <c r="A2925" t="s">
        <v>7404</v>
      </c>
      <c r="B2925" t="s">
        <v>279</v>
      </c>
      <c r="C2925" t="s">
        <v>1927</v>
      </c>
      <c r="D2925" t="s">
        <v>8505</v>
      </c>
      <c r="E2925" t="s">
        <v>4439</v>
      </c>
      <c r="F2925" s="3">
        <v>45171</v>
      </c>
      <c r="G2925" s="3">
        <v>45173</v>
      </c>
      <c r="H2925">
        <v>54.1</v>
      </c>
      <c r="I2925">
        <v>48</v>
      </c>
      <c r="J2925" t="s">
        <v>4440</v>
      </c>
      <c r="K2925" t="s">
        <v>4441</v>
      </c>
      <c r="L2925" t="s">
        <v>4465</v>
      </c>
      <c r="M2925" t="s">
        <v>1625</v>
      </c>
      <c r="N2925">
        <v>3</v>
      </c>
    </row>
    <row r="2926" spans="1:14" x14ac:dyDescent="0.35">
      <c r="A2926" t="s">
        <v>7405</v>
      </c>
      <c r="B2926" t="s">
        <v>383</v>
      </c>
      <c r="C2926" t="s">
        <v>1899</v>
      </c>
      <c r="D2926" t="s">
        <v>4479</v>
      </c>
      <c r="E2926" t="s">
        <v>4444</v>
      </c>
      <c r="F2926" s="3">
        <v>45344</v>
      </c>
      <c r="G2926" s="3" t="s">
        <v>537</v>
      </c>
      <c r="I2926">
        <v>24</v>
      </c>
      <c r="J2926" t="s">
        <v>4448</v>
      </c>
      <c r="K2926" t="s">
        <v>4453</v>
      </c>
      <c r="L2926" t="s">
        <v>4533</v>
      </c>
      <c r="M2926" t="s">
        <v>4446</v>
      </c>
    </row>
    <row r="2927" spans="1:14" x14ac:dyDescent="0.35">
      <c r="A2927" t="s">
        <v>7406</v>
      </c>
      <c r="B2927" t="s">
        <v>387</v>
      </c>
      <c r="C2927" t="s">
        <v>1915</v>
      </c>
      <c r="D2927" t="s">
        <v>4469</v>
      </c>
      <c r="E2927" t="s">
        <v>4456</v>
      </c>
      <c r="F2927" s="3">
        <v>45641</v>
      </c>
      <c r="G2927" s="3" t="s">
        <v>537</v>
      </c>
      <c r="I2927">
        <v>4</v>
      </c>
      <c r="J2927" t="s">
        <v>1945</v>
      </c>
      <c r="K2927" t="s">
        <v>4474</v>
      </c>
      <c r="L2927" t="s">
        <v>4449</v>
      </c>
      <c r="M2927" t="s">
        <v>1625</v>
      </c>
    </row>
    <row r="2928" spans="1:14" x14ac:dyDescent="0.35">
      <c r="A2928" t="s">
        <v>7407</v>
      </c>
      <c r="B2928" t="s">
        <v>273</v>
      </c>
      <c r="C2928" t="s">
        <v>1890</v>
      </c>
      <c r="D2928" t="s">
        <v>8514</v>
      </c>
      <c r="E2928" t="s">
        <v>4473</v>
      </c>
      <c r="F2928" s="3">
        <v>45399</v>
      </c>
      <c r="G2928" s="3">
        <v>45399</v>
      </c>
      <c r="H2928">
        <v>8.3000000000000007</v>
      </c>
      <c r="I2928">
        <v>8</v>
      </c>
      <c r="J2928" t="s">
        <v>4440</v>
      </c>
      <c r="K2928" t="s">
        <v>4441</v>
      </c>
      <c r="L2928" t="s">
        <v>4501</v>
      </c>
      <c r="M2928" t="s">
        <v>4462</v>
      </c>
      <c r="N2928">
        <v>4</v>
      </c>
    </row>
    <row r="2929" spans="1:14" x14ac:dyDescent="0.35">
      <c r="A2929" t="s">
        <v>7408</v>
      </c>
      <c r="B2929" t="s">
        <v>469</v>
      </c>
      <c r="C2929" t="s">
        <v>1883</v>
      </c>
      <c r="D2929" t="s">
        <v>4479</v>
      </c>
      <c r="E2929" t="s">
        <v>4444</v>
      </c>
      <c r="F2929" s="3">
        <v>45478</v>
      </c>
      <c r="G2929" s="3" t="s">
        <v>537</v>
      </c>
      <c r="I2929">
        <v>24</v>
      </c>
      <c r="J2929" t="s">
        <v>4440</v>
      </c>
      <c r="K2929" t="s">
        <v>4457</v>
      </c>
      <c r="L2929" t="s">
        <v>4488</v>
      </c>
      <c r="M2929" t="s">
        <v>1625</v>
      </c>
    </row>
    <row r="2930" spans="1:14" x14ac:dyDescent="0.35">
      <c r="A2930" t="s">
        <v>7409</v>
      </c>
      <c r="B2930" t="s">
        <v>383</v>
      </c>
      <c r="C2930" t="s">
        <v>1890</v>
      </c>
      <c r="D2930" t="s">
        <v>4490</v>
      </c>
      <c r="E2930" t="s">
        <v>4473</v>
      </c>
      <c r="F2930" s="3">
        <v>45327</v>
      </c>
      <c r="G2930" s="3">
        <v>45327</v>
      </c>
      <c r="H2930">
        <v>17.2</v>
      </c>
      <c r="I2930">
        <v>8</v>
      </c>
      <c r="J2930" t="s">
        <v>4440</v>
      </c>
      <c r="K2930" t="s">
        <v>4441</v>
      </c>
      <c r="L2930" t="s">
        <v>4467</v>
      </c>
      <c r="M2930" t="s">
        <v>4450</v>
      </c>
      <c r="N2930">
        <v>5</v>
      </c>
    </row>
    <row r="2931" spans="1:14" x14ac:dyDescent="0.35">
      <c r="A2931" t="s">
        <v>7410</v>
      </c>
      <c r="B2931" t="s">
        <v>114</v>
      </c>
      <c r="C2931" t="s">
        <v>1927</v>
      </c>
      <c r="D2931" t="s">
        <v>4485</v>
      </c>
      <c r="E2931" t="s">
        <v>4444</v>
      </c>
      <c r="F2931" s="3">
        <v>45600</v>
      </c>
      <c r="G2931" s="3">
        <v>45602</v>
      </c>
      <c r="H2931">
        <v>50</v>
      </c>
      <c r="I2931">
        <v>24</v>
      </c>
      <c r="J2931" t="s">
        <v>1945</v>
      </c>
      <c r="K2931" t="s">
        <v>4441</v>
      </c>
      <c r="L2931" t="s">
        <v>4467</v>
      </c>
      <c r="M2931" t="s">
        <v>4462</v>
      </c>
      <c r="N2931">
        <v>3</v>
      </c>
    </row>
    <row r="2932" spans="1:14" x14ac:dyDescent="0.35">
      <c r="A2932" t="s">
        <v>7411</v>
      </c>
      <c r="B2932" t="s">
        <v>415</v>
      </c>
      <c r="C2932" t="s">
        <v>1927</v>
      </c>
      <c r="D2932" t="s">
        <v>4490</v>
      </c>
      <c r="E2932" t="s">
        <v>4439</v>
      </c>
      <c r="F2932" s="3">
        <v>44980</v>
      </c>
      <c r="G2932" s="3">
        <v>44980</v>
      </c>
      <c r="H2932">
        <v>10.4</v>
      </c>
      <c r="I2932">
        <v>48</v>
      </c>
      <c r="J2932" t="s">
        <v>4448</v>
      </c>
      <c r="K2932" t="s">
        <v>4441</v>
      </c>
      <c r="L2932" t="s">
        <v>4501</v>
      </c>
      <c r="M2932" t="s">
        <v>4462</v>
      </c>
      <c r="N2932">
        <v>3</v>
      </c>
    </row>
    <row r="2933" spans="1:14" x14ac:dyDescent="0.35">
      <c r="A2933" t="s">
        <v>7412</v>
      </c>
      <c r="B2933" t="s">
        <v>429</v>
      </c>
      <c r="C2933" t="s">
        <v>1883</v>
      </c>
      <c r="D2933" t="s">
        <v>4460</v>
      </c>
      <c r="E2933" t="s">
        <v>4473</v>
      </c>
      <c r="F2933" s="3">
        <v>45017</v>
      </c>
      <c r="G2933" s="3" t="s">
        <v>537</v>
      </c>
      <c r="I2933">
        <v>8</v>
      </c>
      <c r="J2933" t="s">
        <v>4448</v>
      </c>
      <c r="K2933" t="s">
        <v>4457</v>
      </c>
      <c r="L2933" t="s">
        <v>4488</v>
      </c>
      <c r="M2933" t="s">
        <v>1625</v>
      </c>
    </row>
    <row r="2934" spans="1:14" x14ac:dyDescent="0.35">
      <c r="A2934" t="s">
        <v>7413</v>
      </c>
      <c r="B2934" t="s">
        <v>271</v>
      </c>
      <c r="C2934" t="s">
        <v>1890</v>
      </c>
      <c r="D2934" t="s">
        <v>4482</v>
      </c>
      <c r="E2934" t="s">
        <v>4456</v>
      </c>
      <c r="F2934" s="3">
        <v>45508</v>
      </c>
      <c r="G2934" s="3">
        <v>45508</v>
      </c>
      <c r="H2934">
        <v>4.4000000000000004</v>
      </c>
      <c r="I2934">
        <v>4</v>
      </c>
      <c r="J2934" t="s">
        <v>4440</v>
      </c>
      <c r="K2934" t="s">
        <v>4441</v>
      </c>
      <c r="L2934" t="s">
        <v>4449</v>
      </c>
      <c r="M2934" t="s">
        <v>4446</v>
      </c>
      <c r="N2934">
        <v>5</v>
      </c>
    </row>
    <row r="2935" spans="1:14" x14ac:dyDescent="0.35">
      <c r="A2935" t="s">
        <v>7414</v>
      </c>
      <c r="B2935" t="s">
        <v>258</v>
      </c>
      <c r="C2935" t="s">
        <v>1890</v>
      </c>
      <c r="D2935" t="s">
        <v>8510</v>
      </c>
      <c r="E2935" t="s">
        <v>4456</v>
      </c>
      <c r="F2935" s="3">
        <v>45172</v>
      </c>
      <c r="G2935" s="3" t="s">
        <v>537</v>
      </c>
      <c r="I2935">
        <v>4</v>
      </c>
      <c r="J2935" t="s">
        <v>4448</v>
      </c>
      <c r="K2935" t="s">
        <v>4457</v>
      </c>
      <c r="L2935" t="s">
        <v>4514</v>
      </c>
      <c r="M2935" t="s">
        <v>4450</v>
      </c>
    </row>
    <row r="2936" spans="1:14" x14ac:dyDescent="0.35">
      <c r="A2936" t="s">
        <v>7415</v>
      </c>
      <c r="B2936" t="s">
        <v>454</v>
      </c>
      <c r="C2936" t="s">
        <v>1883</v>
      </c>
      <c r="D2936" t="s">
        <v>4479</v>
      </c>
      <c r="E2936" t="s">
        <v>4473</v>
      </c>
      <c r="F2936" s="3">
        <v>45735</v>
      </c>
      <c r="G2936" s="3" t="s">
        <v>537</v>
      </c>
      <c r="I2936">
        <v>8</v>
      </c>
      <c r="J2936" t="s">
        <v>4440</v>
      </c>
      <c r="K2936" t="s">
        <v>4453</v>
      </c>
      <c r="L2936" t="s">
        <v>4449</v>
      </c>
      <c r="M2936" t="s">
        <v>1625</v>
      </c>
    </row>
    <row r="2937" spans="1:14" x14ac:dyDescent="0.35">
      <c r="A2937" t="s">
        <v>7416</v>
      </c>
      <c r="B2937" t="s">
        <v>351</v>
      </c>
      <c r="C2937" t="s">
        <v>1899</v>
      </c>
      <c r="D2937" t="s">
        <v>4472</v>
      </c>
      <c r="E2937" t="s">
        <v>4456</v>
      </c>
      <c r="F2937" s="3">
        <v>45155</v>
      </c>
      <c r="G2937" s="3">
        <v>45155</v>
      </c>
      <c r="H2937">
        <v>4.5999999999999996</v>
      </c>
      <c r="I2937">
        <v>4</v>
      </c>
      <c r="J2937" t="s">
        <v>4440</v>
      </c>
      <c r="K2937" t="s">
        <v>4441</v>
      </c>
      <c r="L2937" t="s">
        <v>4461</v>
      </c>
      <c r="M2937" t="s">
        <v>4450</v>
      </c>
      <c r="N2937">
        <v>4</v>
      </c>
    </row>
    <row r="2938" spans="1:14" x14ac:dyDescent="0.35">
      <c r="A2938" t="s">
        <v>7417</v>
      </c>
      <c r="B2938" t="s">
        <v>277</v>
      </c>
      <c r="C2938" t="s">
        <v>1904</v>
      </c>
      <c r="D2938" t="s">
        <v>4482</v>
      </c>
      <c r="E2938" t="s">
        <v>4473</v>
      </c>
      <c r="F2938" s="3">
        <v>45356</v>
      </c>
      <c r="G2938" s="3" t="s">
        <v>537</v>
      </c>
      <c r="I2938">
        <v>8</v>
      </c>
      <c r="J2938" t="s">
        <v>4448</v>
      </c>
      <c r="K2938" t="s">
        <v>4453</v>
      </c>
      <c r="L2938" t="s">
        <v>4492</v>
      </c>
      <c r="M2938" t="s">
        <v>4450</v>
      </c>
    </row>
    <row r="2939" spans="1:14" x14ac:dyDescent="0.35">
      <c r="A2939" t="s">
        <v>7418</v>
      </c>
      <c r="B2939" t="s">
        <v>386</v>
      </c>
      <c r="C2939" t="s">
        <v>1899</v>
      </c>
      <c r="D2939" t="s">
        <v>4460</v>
      </c>
      <c r="E2939" t="s">
        <v>4456</v>
      </c>
      <c r="F2939" s="3">
        <v>45552</v>
      </c>
      <c r="G2939" s="3">
        <v>45552</v>
      </c>
      <c r="H2939">
        <v>2.5</v>
      </c>
      <c r="I2939">
        <v>4</v>
      </c>
      <c r="J2939" t="s">
        <v>4448</v>
      </c>
      <c r="K2939" t="s">
        <v>4441</v>
      </c>
      <c r="L2939" t="s">
        <v>4465</v>
      </c>
      <c r="M2939" t="s">
        <v>4446</v>
      </c>
      <c r="N2939">
        <v>5</v>
      </c>
    </row>
    <row r="2940" spans="1:14" x14ac:dyDescent="0.35">
      <c r="A2940" t="s">
        <v>7419</v>
      </c>
      <c r="B2940" t="s">
        <v>446</v>
      </c>
      <c r="C2940" t="s">
        <v>1904</v>
      </c>
      <c r="D2940" t="s">
        <v>4479</v>
      </c>
      <c r="E2940" t="s">
        <v>4439</v>
      </c>
      <c r="F2940" s="3">
        <v>45588</v>
      </c>
      <c r="G2940" s="3">
        <v>45589</v>
      </c>
      <c r="H2940">
        <v>30.6</v>
      </c>
      <c r="I2940">
        <v>48</v>
      </c>
      <c r="J2940" t="s">
        <v>4448</v>
      </c>
      <c r="K2940" t="s">
        <v>4441</v>
      </c>
      <c r="L2940" t="s">
        <v>4467</v>
      </c>
      <c r="M2940" t="s">
        <v>4450</v>
      </c>
      <c r="N2940">
        <v>5</v>
      </c>
    </row>
    <row r="2941" spans="1:14" x14ac:dyDescent="0.35">
      <c r="A2941" t="s">
        <v>7420</v>
      </c>
      <c r="B2941" t="s">
        <v>355</v>
      </c>
      <c r="C2941" t="s">
        <v>1904</v>
      </c>
      <c r="D2941" t="s">
        <v>4469</v>
      </c>
      <c r="E2941" t="s">
        <v>4444</v>
      </c>
      <c r="F2941" s="3">
        <v>45376</v>
      </c>
      <c r="G2941" s="3">
        <v>45377</v>
      </c>
      <c r="H2941">
        <v>37.799999999999997</v>
      </c>
      <c r="I2941">
        <v>24</v>
      </c>
      <c r="J2941" t="s">
        <v>4440</v>
      </c>
      <c r="K2941" t="s">
        <v>4441</v>
      </c>
      <c r="L2941" t="s">
        <v>4580</v>
      </c>
      <c r="M2941" t="s">
        <v>4446</v>
      </c>
      <c r="N2941">
        <v>1</v>
      </c>
    </row>
    <row r="2942" spans="1:14" x14ac:dyDescent="0.35">
      <c r="A2942" t="s">
        <v>7421</v>
      </c>
      <c r="B2942" t="s">
        <v>147</v>
      </c>
      <c r="C2942" t="s">
        <v>1927</v>
      </c>
      <c r="D2942" t="s">
        <v>4464</v>
      </c>
      <c r="E2942" t="s">
        <v>4444</v>
      </c>
      <c r="F2942" s="3">
        <v>45582</v>
      </c>
      <c r="G2942" s="3" t="s">
        <v>537</v>
      </c>
      <c r="I2942">
        <v>24</v>
      </c>
      <c r="J2942" t="s">
        <v>4440</v>
      </c>
      <c r="K2942" t="s">
        <v>4457</v>
      </c>
      <c r="L2942" t="s">
        <v>4483</v>
      </c>
      <c r="M2942" t="s">
        <v>1625</v>
      </c>
    </row>
    <row r="2943" spans="1:14" x14ac:dyDescent="0.35">
      <c r="A2943" t="s">
        <v>7422</v>
      </c>
      <c r="B2943" t="s">
        <v>149</v>
      </c>
      <c r="C2943" t="s">
        <v>1890</v>
      </c>
      <c r="D2943" t="s">
        <v>4479</v>
      </c>
      <c r="E2943" t="s">
        <v>4439</v>
      </c>
      <c r="F2943" s="3">
        <v>45074</v>
      </c>
      <c r="G2943" s="3" t="s">
        <v>537</v>
      </c>
      <c r="I2943">
        <v>48</v>
      </c>
      <c r="J2943" t="s">
        <v>4448</v>
      </c>
      <c r="K2943" t="s">
        <v>4453</v>
      </c>
      <c r="L2943" t="s">
        <v>4449</v>
      </c>
      <c r="M2943" t="s">
        <v>1625</v>
      </c>
    </row>
    <row r="2944" spans="1:14" x14ac:dyDescent="0.35">
      <c r="A2944" t="s">
        <v>7423</v>
      </c>
      <c r="B2944" t="s">
        <v>491</v>
      </c>
      <c r="C2944" t="s">
        <v>1883</v>
      </c>
      <c r="D2944" t="s">
        <v>4476</v>
      </c>
      <c r="E2944" t="s">
        <v>4444</v>
      </c>
      <c r="F2944" s="3">
        <v>45734</v>
      </c>
      <c r="G2944" s="3">
        <v>45734</v>
      </c>
      <c r="H2944">
        <v>19</v>
      </c>
      <c r="I2944">
        <v>24</v>
      </c>
      <c r="J2944" t="s">
        <v>4448</v>
      </c>
      <c r="K2944" t="s">
        <v>4441</v>
      </c>
      <c r="L2944" t="s">
        <v>4470</v>
      </c>
      <c r="M2944" t="s">
        <v>4446</v>
      </c>
      <c r="N2944">
        <v>3</v>
      </c>
    </row>
    <row r="2945" spans="1:14" x14ac:dyDescent="0.35">
      <c r="A2945" t="s">
        <v>7424</v>
      </c>
      <c r="B2945" t="s">
        <v>458</v>
      </c>
      <c r="C2945" t="s">
        <v>1915</v>
      </c>
      <c r="D2945" t="s">
        <v>4443</v>
      </c>
      <c r="E2945" t="s">
        <v>4439</v>
      </c>
      <c r="F2945" s="3">
        <v>45114</v>
      </c>
      <c r="G2945" s="3">
        <v>45117</v>
      </c>
      <c r="H2945">
        <v>88.7</v>
      </c>
      <c r="I2945">
        <v>48</v>
      </c>
      <c r="J2945" t="s">
        <v>4440</v>
      </c>
      <c r="K2945" t="s">
        <v>4441</v>
      </c>
      <c r="L2945" t="s">
        <v>4580</v>
      </c>
      <c r="M2945" t="s">
        <v>4462</v>
      </c>
      <c r="N2945">
        <v>3</v>
      </c>
    </row>
    <row r="2946" spans="1:14" x14ac:dyDescent="0.35">
      <c r="A2946" t="s">
        <v>7425</v>
      </c>
      <c r="B2946" t="s">
        <v>193</v>
      </c>
      <c r="C2946" t="s">
        <v>1890</v>
      </c>
      <c r="D2946" t="s">
        <v>4476</v>
      </c>
      <c r="E2946" t="s">
        <v>4473</v>
      </c>
      <c r="F2946" s="3">
        <v>44981</v>
      </c>
      <c r="G2946" s="3">
        <v>44981</v>
      </c>
      <c r="H2946">
        <v>12.9</v>
      </c>
      <c r="I2946">
        <v>8</v>
      </c>
      <c r="J2946" t="s">
        <v>4440</v>
      </c>
      <c r="K2946" t="s">
        <v>4441</v>
      </c>
      <c r="L2946" t="s">
        <v>4480</v>
      </c>
      <c r="M2946" t="s">
        <v>4450</v>
      </c>
      <c r="N2946">
        <v>3</v>
      </c>
    </row>
    <row r="2947" spans="1:14" x14ac:dyDescent="0.35">
      <c r="A2947" t="s">
        <v>7426</v>
      </c>
      <c r="B2947" t="s">
        <v>287</v>
      </c>
      <c r="C2947" t="s">
        <v>1890</v>
      </c>
      <c r="D2947" t="s">
        <v>4452</v>
      </c>
      <c r="E2947" t="s">
        <v>4444</v>
      </c>
      <c r="F2947" s="3">
        <v>45731</v>
      </c>
      <c r="G2947" s="3" t="s">
        <v>537</v>
      </c>
      <c r="I2947">
        <v>24</v>
      </c>
      <c r="J2947" t="s">
        <v>4448</v>
      </c>
      <c r="K2947" t="s">
        <v>4457</v>
      </c>
      <c r="L2947" t="s">
        <v>4449</v>
      </c>
      <c r="M2947" t="s">
        <v>4462</v>
      </c>
    </row>
    <row r="2948" spans="1:14" x14ac:dyDescent="0.35">
      <c r="A2948" t="s">
        <v>7427</v>
      </c>
      <c r="B2948" t="s">
        <v>328</v>
      </c>
      <c r="C2948" t="s">
        <v>1915</v>
      </c>
      <c r="D2948" t="s">
        <v>4472</v>
      </c>
      <c r="E2948" t="s">
        <v>4439</v>
      </c>
      <c r="F2948" s="3">
        <v>45653</v>
      </c>
      <c r="G2948" s="3">
        <v>45657</v>
      </c>
      <c r="H2948">
        <v>114.1</v>
      </c>
      <c r="I2948">
        <v>48</v>
      </c>
      <c r="J2948" t="s">
        <v>4440</v>
      </c>
      <c r="K2948" t="s">
        <v>4441</v>
      </c>
      <c r="L2948" t="s">
        <v>4449</v>
      </c>
      <c r="M2948" t="s">
        <v>4446</v>
      </c>
      <c r="N2948">
        <v>3</v>
      </c>
    </row>
    <row r="2949" spans="1:14" x14ac:dyDescent="0.35">
      <c r="A2949" t="s">
        <v>7428</v>
      </c>
      <c r="B2949" t="s">
        <v>485</v>
      </c>
      <c r="C2949" t="s">
        <v>1883</v>
      </c>
      <c r="D2949" t="s">
        <v>4485</v>
      </c>
      <c r="E2949" t="s">
        <v>4473</v>
      </c>
      <c r="F2949" s="3">
        <v>45168</v>
      </c>
      <c r="G2949" s="3" t="s">
        <v>537</v>
      </c>
      <c r="I2949">
        <v>8</v>
      </c>
      <c r="J2949" t="s">
        <v>4448</v>
      </c>
      <c r="K2949" t="s">
        <v>4474</v>
      </c>
      <c r="L2949" t="s">
        <v>4580</v>
      </c>
      <c r="M2949" t="s">
        <v>4450</v>
      </c>
    </row>
    <row r="2950" spans="1:14" x14ac:dyDescent="0.35">
      <c r="A2950" t="s">
        <v>7429</v>
      </c>
      <c r="B2950" t="s">
        <v>450</v>
      </c>
      <c r="C2950" t="s">
        <v>1890</v>
      </c>
      <c r="D2950" t="s">
        <v>4438</v>
      </c>
      <c r="E2950" t="s">
        <v>79</v>
      </c>
      <c r="F2950" s="3">
        <v>44950</v>
      </c>
      <c r="G2950" s="3">
        <v>44950</v>
      </c>
      <c r="H2950">
        <v>5.0999999999999996</v>
      </c>
      <c r="I2950">
        <v>8</v>
      </c>
      <c r="J2950" t="s">
        <v>4448</v>
      </c>
      <c r="K2950" t="s">
        <v>4441</v>
      </c>
      <c r="L2950" t="s">
        <v>4449</v>
      </c>
      <c r="M2950" t="s">
        <v>4462</v>
      </c>
    </row>
    <row r="2951" spans="1:14" x14ac:dyDescent="0.35">
      <c r="A2951" t="s">
        <v>7430</v>
      </c>
      <c r="B2951" t="s">
        <v>220</v>
      </c>
      <c r="C2951" t="s">
        <v>1927</v>
      </c>
      <c r="D2951" t="s">
        <v>4443</v>
      </c>
      <c r="E2951" t="s">
        <v>4456</v>
      </c>
      <c r="F2951" s="3">
        <v>45298</v>
      </c>
      <c r="G2951" s="3">
        <v>45298</v>
      </c>
      <c r="H2951">
        <v>8.8000000000000007</v>
      </c>
      <c r="I2951">
        <v>4</v>
      </c>
      <c r="J2951" t="s">
        <v>4440</v>
      </c>
      <c r="K2951" t="s">
        <v>4441</v>
      </c>
      <c r="L2951" t="s">
        <v>4509</v>
      </c>
      <c r="M2951" t="s">
        <v>4450</v>
      </c>
      <c r="N2951">
        <v>4</v>
      </c>
    </row>
    <row r="2952" spans="1:14" x14ac:dyDescent="0.35">
      <c r="A2952" t="s">
        <v>7431</v>
      </c>
      <c r="B2952" t="s">
        <v>358</v>
      </c>
      <c r="C2952" t="s">
        <v>1890</v>
      </c>
      <c r="D2952" t="s">
        <v>4485</v>
      </c>
      <c r="E2952" t="s">
        <v>4473</v>
      </c>
      <c r="F2952" s="3">
        <v>45242</v>
      </c>
      <c r="G2952" s="3" t="s">
        <v>537</v>
      </c>
      <c r="I2952">
        <v>8</v>
      </c>
      <c r="J2952" t="s">
        <v>4440</v>
      </c>
      <c r="K2952" t="s">
        <v>4457</v>
      </c>
      <c r="L2952" t="s">
        <v>4454</v>
      </c>
      <c r="M2952" t="s">
        <v>1625</v>
      </c>
    </row>
    <row r="2953" spans="1:14" x14ac:dyDescent="0.35">
      <c r="A2953" t="s">
        <v>7432</v>
      </c>
      <c r="B2953" t="s">
        <v>236</v>
      </c>
      <c r="C2953" t="s">
        <v>1927</v>
      </c>
      <c r="D2953" t="s">
        <v>4485</v>
      </c>
      <c r="E2953" t="s">
        <v>4444</v>
      </c>
      <c r="F2953" s="3">
        <v>45380</v>
      </c>
      <c r="G2953" s="3" t="s">
        <v>537</v>
      </c>
      <c r="I2953">
        <v>24</v>
      </c>
      <c r="J2953" t="s">
        <v>4440</v>
      </c>
      <c r="K2953" t="s">
        <v>4457</v>
      </c>
      <c r="L2953" t="s">
        <v>4527</v>
      </c>
      <c r="M2953" t="s">
        <v>4462</v>
      </c>
    </row>
    <row r="2954" spans="1:14" x14ac:dyDescent="0.35">
      <c r="A2954" t="s">
        <v>7433</v>
      </c>
      <c r="B2954" t="s">
        <v>130</v>
      </c>
      <c r="C2954" t="s">
        <v>1890</v>
      </c>
      <c r="D2954" t="s">
        <v>4490</v>
      </c>
      <c r="E2954" t="s">
        <v>4444</v>
      </c>
      <c r="F2954" s="3">
        <v>45360</v>
      </c>
      <c r="G2954" s="3">
        <v>45360</v>
      </c>
      <c r="H2954">
        <v>9.6</v>
      </c>
      <c r="I2954">
        <v>24</v>
      </c>
      <c r="J2954" t="s">
        <v>4448</v>
      </c>
      <c r="K2954" t="s">
        <v>4441</v>
      </c>
      <c r="L2954" t="s">
        <v>4580</v>
      </c>
      <c r="M2954" t="s">
        <v>4446</v>
      </c>
      <c r="N2954">
        <v>3</v>
      </c>
    </row>
    <row r="2955" spans="1:14" x14ac:dyDescent="0.35">
      <c r="A2955" t="s">
        <v>7434</v>
      </c>
      <c r="B2955" t="s">
        <v>128</v>
      </c>
      <c r="C2955" t="s">
        <v>1883</v>
      </c>
      <c r="D2955" t="s">
        <v>4490</v>
      </c>
      <c r="E2955" t="s">
        <v>4456</v>
      </c>
      <c r="F2955" s="3">
        <v>45380</v>
      </c>
      <c r="G2955" s="3" t="s">
        <v>537</v>
      </c>
      <c r="I2955">
        <v>4</v>
      </c>
      <c r="J2955" t="s">
        <v>4448</v>
      </c>
      <c r="K2955" t="s">
        <v>4453</v>
      </c>
      <c r="L2955" t="s">
        <v>4483</v>
      </c>
      <c r="M2955" t="s">
        <v>4462</v>
      </c>
    </row>
    <row r="2956" spans="1:14" x14ac:dyDescent="0.35">
      <c r="A2956" t="s">
        <v>7435</v>
      </c>
      <c r="B2956" t="s">
        <v>488</v>
      </c>
      <c r="C2956" t="s">
        <v>1883</v>
      </c>
      <c r="D2956" t="s">
        <v>4479</v>
      </c>
      <c r="E2956" t="s">
        <v>4444</v>
      </c>
      <c r="F2956" s="3">
        <v>45149</v>
      </c>
      <c r="G2956" s="3">
        <v>45149</v>
      </c>
      <c r="H2956">
        <v>1.1000000000000001</v>
      </c>
      <c r="I2956">
        <v>24</v>
      </c>
      <c r="J2956" t="s">
        <v>4448</v>
      </c>
      <c r="K2956" t="s">
        <v>4441</v>
      </c>
      <c r="L2956" t="s">
        <v>4465</v>
      </c>
      <c r="M2956" t="s">
        <v>1625</v>
      </c>
      <c r="N2956">
        <v>5</v>
      </c>
    </row>
    <row r="2957" spans="1:14" x14ac:dyDescent="0.35">
      <c r="A2957" t="s">
        <v>7436</v>
      </c>
      <c r="B2957" t="s">
        <v>358</v>
      </c>
      <c r="C2957" t="s">
        <v>1927</v>
      </c>
      <c r="D2957" t="s">
        <v>4490</v>
      </c>
      <c r="E2957" t="s">
        <v>4473</v>
      </c>
      <c r="F2957" s="3">
        <v>45684</v>
      </c>
      <c r="G2957" s="3">
        <v>45684</v>
      </c>
      <c r="H2957">
        <v>4</v>
      </c>
      <c r="I2957">
        <v>8</v>
      </c>
      <c r="J2957" t="s">
        <v>4448</v>
      </c>
      <c r="K2957" t="s">
        <v>4441</v>
      </c>
      <c r="L2957" t="s">
        <v>4470</v>
      </c>
      <c r="M2957" t="s">
        <v>4462</v>
      </c>
      <c r="N2957">
        <v>3</v>
      </c>
    </row>
    <row r="2958" spans="1:14" x14ac:dyDescent="0.35">
      <c r="A2958" t="s">
        <v>7437</v>
      </c>
      <c r="B2958" t="s">
        <v>488</v>
      </c>
      <c r="C2958" t="s">
        <v>1890</v>
      </c>
      <c r="D2958" t="s">
        <v>4460</v>
      </c>
      <c r="E2958" t="s">
        <v>4439</v>
      </c>
      <c r="F2958" s="3">
        <v>45276</v>
      </c>
      <c r="G2958" s="3">
        <v>45278</v>
      </c>
      <c r="H2958">
        <v>55.7</v>
      </c>
      <c r="I2958">
        <v>48</v>
      </c>
      <c r="J2958" t="s">
        <v>4440</v>
      </c>
      <c r="K2958" t="s">
        <v>4441</v>
      </c>
      <c r="L2958" t="s">
        <v>4467</v>
      </c>
      <c r="M2958" t="s">
        <v>4446</v>
      </c>
      <c r="N2958">
        <v>3</v>
      </c>
    </row>
    <row r="2959" spans="1:14" x14ac:dyDescent="0.35">
      <c r="A2959" t="s">
        <v>7438</v>
      </c>
      <c r="B2959" t="s">
        <v>447</v>
      </c>
      <c r="C2959" t="s">
        <v>1899</v>
      </c>
      <c r="D2959" t="s">
        <v>4472</v>
      </c>
      <c r="E2959" t="s">
        <v>4439</v>
      </c>
      <c r="F2959" s="3">
        <v>45734</v>
      </c>
      <c r="G2959" s="3">
        <v>45737</v>
      </c>
      <c r="H2959">
        <v>88.2</v>
      </c>
      <c r="I2959">
        <v>48</v>
      </c>
      <c r="J2959" t="s">
        <v>4440</v>
      </c>
      <c r="K2959" t="s">
        <v>4441</v>
      </c>
      <c r="L2959" t="s">
        <v>4488</v>
      </c>
      <c r="M2959" t="s">
        <v>1625</v>
      </c>
      <c r="N2959">
        <v>4</v>
      </c>
    </row>
    <row r="2960" spans="1:14" x14ac:dyDescent="0.35">
      <c r="A2960" t="s">
        <v>7439</v>
      </c>
      <c r="B2960" t="s">
        <v>220</v>
      </c>
      <c r="C2960" t="s">
        <v>1915</v>
      </c>
      <c r="D2960" t="s">
        <v>4464</v>
      </c>
      <c r="E2960" t="s">
        <v>79</v>
      </c>
      <c r="F2960" s="3">
        <v>45746</v>
      </c>
      <c r="G2960" s="3">
        <v>45746</v>
      </c>
      <c r="H2960">
        <v>5.5</v>
      </c>
      <c r="I2960">
        <v>4</v>
      </c>
      <c r="J2960" t="s">
        <v>4440</v>
      </c>
      <c r="K2960" t="s">
        <v>4441</v>
      </c>
      <c r="L2960" t="s">
        <v>4461</v>
      </c>
      <c r="M2960" t="s">
        <v>4450</v>
      </c>
      <c r="N2960">
        <v>3</v>
      </c>
    </row>
    <row r="2961" spans="1:14" x14ac:dyDescent="0.35">
      <c r="A2961" t="s">
        <v>7440</v>
      </c>
      <c r="B2961" t="s">
        <v>238</v>
      </c>
      <c r="C2961" t="s">
        <v>1899</v>
      </c>
      <c r="D2961" t="s">
        <v>4469</v>
      </c>
      <c r="E2961" t="s">
        <v>4444</v>
      </c>
      <c r="F2961" s="3">
        <v>45099</v>
      </c>
      <c r="G2961" s="3">
        <v>45099</v>
      </c>
      <c r="H2961">
        <v>14.6</v>
      </c>
      <c r="I2961">
        <v>24</v>
      </c>
      <c r="J2961" t="s">
        <v>4448</v>
      </c>
      <c r="K2961" t="s">
        <v>4441</v>
      </c>
      <c r="L2961" t="s">
        <v>4480</v>
      </c>
      <c r="M2961" t="s">
        <v>1625</v>
      </c>
      <c r="N2961">
        <v>3</v>
      </c>
    </row>
    <row r="2962" spans="1:14" x14ac:dyDescent="0.35">
      <c r="A2962" t="s">
        <v>7441</v>
      </c>
      <c r="B2962" t="s">
        <v>232</v>
      </c>
      <c r="C2962" t="s">
        <v>1927</v>
      </c>
      <c r="D2962" t="s">
        <v>4443</v>
      </c>
      <c r="E2962" t="s">
        <v>4456</v>
      </c>
      <c r="F2962" s="3">
        <v>45438</v>
      </c>
      <c r="G2962" s="3">
        <v>45438</v>
      </c>
      <c r="H2962">
        <v>8.3000000000000007</v>
      </c>
      <c r="I2962">
        <v>4</v>
      </c>
      <c r="J2962" t="s">
        <v>4440</v>
      </c>
      <c r="K2962" t="s">
        <v>4441</v>
      </c>
      <c r="L2962" t="s">
        <v>4449</v>
      </c>
      <c r="M2962" t="s">
        <v>1625</v>
      </c>
      <c r="N2962">
        <v>3</v>
      </c>
    </row>
    <row r="2963" spans="1:14" x14ac:dyDescent="0.35">
      <c r="A2963" t="s">
        <v>7442</v>
      </c>
      <c r="B2963" t="s">
        <v>308</v>
      </c>
      <c r="C2963" t="s">
        <v>1883</v>
      </c>
      <c r="D2963" t="s">
        <v>4469</v>
      </c>
      <c r="E2963" t="s">
        <v>4473</v>
      </c>
      <c r="F2963" s="3">
        <v>45485</v>
      </c>
      <c r="G2963" s="3">
        <v>45485</v>
      </c>
      <c r="H2963">
        <v>6.5</v>
      </c>
      <c r="I2963">
        <v>8</v>
      </c>
      <c r="J2963" t="s">
        <v>4448</v>
      </c>
      <c r="K2963" t="s">
        <v>4441</v>
      </c>
      <c r="L2963" t="s">
        <v>4533</v>
      </c>
      <c r="M2963" t="s">
        <v>1625</v>
      </c>
      <c r="N2963">
        <v>5</v>
      </c>
    </row>
    <row r="2964" spans="1:14" x14ac:dyDescent="0.35">
      <c r="A2964" t="s">
        <v>7443</v>
      </c>
      <c r="B2964" t="s">
        <v>355</v>
      </c>
      <c r="C2964" t="s">
        <v>1883</v>
      </c>
      <c r="D2964" t="s">
        <v>4472</v>
      </c>
      <c r="E2964" t="s">
        <v>4456</v>
      </c>
      <c r="F2964" s="3">
        <v>45008</v>
      </c>
      <c r="G2964" s="3">
        <v>45008</v>
      </c>
      <c r="H2964">
        <v>5</v>
      </c>
      <c r="I2964">
        <v>4</v>
      </c>
      <c r="J2964" t="s">
        <v>4440</v>
      </c>
      <c r="K2964" t="s">
        <v>4441</v>
      </c>
      <c r="L2964" t="s">
        <v>4483</v>
      </c>
      <c r="M2964" t="s">
        <v>4462</v>
      </c>
      <c r="N2964">
        <v>5</v>
      </c>
    </row>
    <row r="2965" spans="1:14" x14ac:dyDescent="0.35">
      <c r="A2965" t="s">
        <v>7444</v>
      </c>
      <c r="B2965" t="s">
        <v>49</v>
      </c>
      <c r="C2965" t="s">
        <v>1915</v>
      </c>
      <c r="D2965" t="s">
        <v>4485</v>
      </c>
      <c r="E2965" t="s">
        <v>4439</v>
      </c>
      <c r="F2965" s="3">
        <v>45741</v>
      </c>
      <c r="G2965" s="3">
        <v>45744</v>
      </c>
      <c r="H2965">
        <v>92.7</v>
      </c>
      <c r="I2965">
        <v>48</v>
      </c>
      <c r="J2965" t="s">
        <v>4440</v>
      </c>
      <c r="K2965" t="s">
        <v>4441</v>
      </c>
      <c r="L2965" t="s">
        <v>4492</v>
      </c>
      <c r="M2965" t="s">
        <v>4450</v>
      </c>
      <c r="N2965">
        <v>5</v>
      </c>
    </row>
    <row r="2966" spans="1:14" x14ac:dyDescent="0.35">
      <c r="A2966" t="s">
        <v>7445</v>
      </c>
      <c r="B2966" t="s">
        <v>433</v>
      </c>
      <c r="C2966" t="s">
        <v>1883</v>
      </c>
      <c r="D2966" t="s">
        <v>4452</v>
      </c>
      <c r="E2966" t="s">
        <v>4444</v>
      </c>
      <c r="F2966" s="3">
        <v>45525</v>
      </c>
      <c r="G2966" s="3">
        <v>45526</v>
      </c>
      <c r="H2966">
        <v>39.9</v>
      </c>
      <c r="I2966">
        <v>24</v>
      </c>
      <c r="J2966" t="s">
        <v>4440</v>
      </c>
      <c r="K2966" t="s">
        <v>4441</v>
      </c>
      <c r="L2966" t="s">
        <v>4449</v>
      </c>
      <c r="M2966" t="s">
        <v>4446</v>
      </c>
      <c r="N2966">
        <v>2</v>
      </c>
    </row>
    <row r="2967" spans="1:14" x14ac:dyDescent="0.35">
      <c r="A2967" t="s">
        <v>7446</v>
      </c>
      <c r="B2967" t="s">
        <v>152</v>
      </c>
      <c r="C2967" t="s">
        <v>1890</v>
      </c>
      <c r="D2967" t="s">
        <v>4472</v>
      </c>
      <c r="E2967" t="s">
        <v>4439</v>
      </c>
      <c r="F2967" s="3">
        <v>45164</v>
      </c>
      <c r="G2967" s="3" t="s">
        <v>537</v>
      </c>
      <c r="I2967">
        <v>48</v>
      </c>
      <c r="J2967" t="s">
        <v>4440</v>
      </c>
      <c r="K2967" t="s">
        <v>4474</v>
      </c>
      <c r="L2967" t="s">
        <v>4514</v>
      </c>
      <c r="M2967" t="s">
        <v>4450</v>
      </c>
    </row>
    <row r="2968" spans="1:14" x14ac:dyDescent="0.35">
      <c r="A2968" t="s">
        <v>7447</v>
      </c>
      <c r="B2968" t="s">
        <v>353</v>
      </c>
      <c r="C2968" t="s">
        <v>1915</v>
      </c>
      <c r="D2968" t="s">
        <v>4443</v>
      </c>
      <c r="E2968" t="s">
        <v>4456</v>
      </c>
      <c r="F2968" s="3">
        <v>45342</v>
      </c>
      <c r="G2968" s="3" t="s">
        <v>537</v>
      </c>
      <c r="I2968">
        <v>4</v>
      </c>
      <c r="J2968" t="s">
        <v>4440</v>
      </c>
      <c r="K2968" t="s">
        <v>4453</v>
      </c>
      <c r="L2968" t="s">
        <v>4449</v>
      </c>
      <c r="M2968" t="s">
        <v>4446</v>
      </c>
    </row>
    <row r="2969" spans="1:14" x14ac:dyDescent="0.35">
      <c r="A2969" t="s">
        <v>7448</v>
      </c>
      <c r="B2969" t="s">
        <v>349</v>
      </c>
      <c r="C2969" t="s">
        <v>1904</v>
      </c>
      <c r="D2969" t="s">
        <v>4490</v>
      </c>
      <c r="E2969" t="s">
        <v>4473</v>
      </c>
      <c r="F2969" s="3">
        <v>45700</v>
      </c>
      <c r="G2969" s="3" t="s">
        <v>537</v>
      </c>
      <c r="I2969">
        <v>8</v>
      </c>
      <c r="J2969" t="s">
        <v>4440</v>
      </c>
      <c r="K2969" t="s">
        <v>4457</v>
      </c>
      <c r="L2969" t="s">
        <v>1907</v>
      </c>
      <c r="M2969" t="s">
        <v>1625</v>
      </c>
    </row>
    <row r="2970" spans="1:14" x14ac:dyDescent="0.35">
      <c r="A2970" t="s">
        <v>7449</v>
      </c>
      <c r="B2970" t="s">
        <v>474</v>
      </c>
      <c r="C2970" t="s">
        <v>1915</v>
      </c>
      <c r="D2970" t="s">
        <v>4460</v>
      </c>
      <c r="E2970" t="s">
        <v>4473</v>
      </c>
      <c r="F2970" s="3">
        <v>45680</v>
      </c>
      <c r="G2970" s="3">
        <v>45680</v>
      </c>
      <c r="H2970">
        <v>19</v>
      </c>
      <c r="I2970">
        <v>8</v>
      </c>
      <c r="J2970" t="s">
        <v>4440</v>
      </c>
      <c r="K2970" t="s">
        <v>4441</v>
      </c>
      <c r="L2970" t="s">
        <v>4512</v>
      </c>
      <c r="M2970" t="s">
        <v>4450</v>
      </c>
      <c r="N2970">
        <v>4</v>
      </c>
    </row>
    <row r="2971" spans="1:14" x14ac:dyDescent="0.35">
      <c r="A2971" t="s">
        <v>7450</v>
      </c>
      <c r="B2971" t="s">
        <v>421</v>
      </c>
      <c r="C2971" t="s">
        <v>1915</v>
      </c>
      <c r="D2971" t="s">
        <v>4469</v>
      </c>
      <c r="E2971" t="s">
        <v>4473</v>
      </c>
      <c r="F2971" s="3">
        <v>45147</v>
      </c>
      <c r="G2971" s="3">
        <v>45147</v>
      </c>
      <c r="H2971">
        <v>16.100000000000001</v>
      </c>
      <c r="I2971">
        <v>8</v>
      </c>
      <c r="J2971" t="s">
        <v>4440</v>
      </c>
      <c r="K2971" t="s">
        <v>4441</v>
      </c>
      <c r="L2971" t="s">
        <v>4514</v>
      </c>
      <c r="M2971" t="s">
        <v>4450</v>
      </c>
      <c r="N2971">
        <v>3</v>
      </c>
    </row>
    <row r="2972" spans="1:14" x14ac:dyDescent="0.35">
      <c r="A2972" t="s">
        <v>7451</v>
      </c>
      <c r="B2972" t="s">
        <v>372</v>
      </c>
      <c r="C2972" t="s">
        <v>1899</v>
      </c>
      <c r="D2972" t="s">
        <v>4438</v>
      </c>
      <c r="E2972" t="s">
        <v>4439</v>
      </c>
      <c r="F2972" s="3">
        <v>45119</v>
      </c>
      <c r="G2972" s="3">
        <v>45122</v>
      </c>
      <c r="H2972">
        <v>93.4</v>
      </c>
      <c r="I2972">
        <v>48</v>
      </c>
      <c r="J2972" t="s">
        <v>4440</v>
      </c>
      <c r="K2972" t="s">
        <v>4441</v>
      </c>
      <c r="L2972" t="s">
        <v>4492</v>
      </c>
      <c r="M2972" t="s">
        <v>4446</v>
      </c>
      <c r="N2972">
        <v>3</v>
      </c>
    </row>
    <row r="2973" spans="1:14" x14ac:dyDescent="0.35">
      <c r="A2973" t="s">
        <v>7452</v>
      </c>
      <c r="B2973" t="s">
        <v>106</v>
      </c>
      <c r="C2973" t="s">
        <v>1883</v>
      </c>
      <c r="D2973" t="s">
        <v>4476</v>
      </c>
      <c r="E2973" t="s">
        <v>4456</v>
      </c>
      <c r="F2973" s="3">
        <v>45139</v>
      </c>
      <c r="G2973" s="3" t="s">
        <v>537</v>
      </c>
      <c r="I2973">
        <v>4</v>
      </c>
      <c r="J2973" t="s">
        <v>4448</v>
      </c>
      <c r="K2973" t="s">
        <v>4474</v>
      </c>
      <c r="L2973" t="s">
        <v>4454</v>
      </c>
      <c r="M2973" t="s">
        <v>4446</v>
      </c>
    </row>
    <row r="2974" spans="1:14" x14ac:dyDescent="0.35">
      <c r="A2974" t="s">
        <v>7453</v>
      </c>
      <c r="B2974" t="s">
        <v>258</v>
      </c>
      <c r="C2974" t="s">
        <v>1904</v>
      </c>
      <c r="D2974" t="s">
        <v>4443</v>
      </c>
      <c r="E2974" t="s">
        <v>4456</v>
      </c>
      <c r="F2974" s="3">
        <v>45463</v>
      </c>
      <c r="G2974" s="3" t="s">
        <v>537</v>
      </c>
      <c r="I2974">
        <v>4</v>
      </c>
      <c r="J2974" t="s">
        <v>4440</v>
      </c>
      <c r="K2974" t="s">
        <v>4474</v>
      </c>
      <c r="L2974" t="s">
        <v>4514</v>
      </c>
      <c r="M2974" t="s">
        <v>4446</v>
      </c>
    </row>
    <row r="2975" spans="1:14" x14ac:dyDescent="0.35">
      <c r="A2975" t="s">
        <v>7454</v>
      </c>
      <c r="B2975" t="s">
        <v>261</v>
      </c>
      <c r="C2975" t="s">
        <v>1904</v>
      </c>
      <c r="D2975" t="s">
        <v>8515</v>
      </c>
      <c r="E2975" t="s">
        <v>4439</v>
      </c>
      <c r="F2975" s="3">
        <v>45364</v>
      </c>
      <c r="G2975" s="3">
        <v>45367</v>
      </c>
      <c r="H2975">
        <v>88</v>
      </c>
      <c r="I2975">
        <v>48</v>
      </c>
      <c r="J2975" t="s">
        <v>4440</v>
      </c>
      <c r="K2975" t="s">
        <v>4441</v>
      </c>
      <c r="L2975" t="s">
        <v>4449</v>
      </c>
      <c r="M2975" t="s">
        <v>4462</v>
      </c>
      <c r="N2975">
        <v>3</v>
      </c>
    </row>
    <row r="2976" spans="1:14" x14ac:dyDescent="0.35">
      <c r="A2976" t="s">
        <v>7455</v>
      </c>
      <c r="B2976" t="s">
        <v>447</v>
      </c>
      <c r="C2976" t="s">
        <v>1899</v>
      </c>
      <c r="D2976" t="s">
        <v>4479</v>
      </c>
      <c r="E2976" t="s">
        <v>4444</v>
      </c>
      <c r="F2976" s="3">
        <v>45201</v>
      </c>
      <c r="G2976" s="3" t="s">
        <v>537</v>
      </c>
      <c r="I2976">
        <v>24</v>
      </c>
      <c r="J2976" t="s">
        <v>4440</v>
      </c>
      <c r="K2976" t="s">
        <v>4474</v>
      </c>
      <c r="L2976" t="s">
        <v>4458</v>
      </c>
      <c r="M2976" t="s">
        <v>4446</v>
      </c>
    </row>
    <row r="2977" spans="1:14" x14ac:dyDescent="0.35">
      <c r="A2977" t="s">
        <v>7456</v>
      </c>
      <c r="B2977" t="s">
        <v>321</v>
      </c>
      <c r="C2977" t="s">
        <v>1899</v>
      </c>
      <c r="D2977" t="s">
        <v>4476</v>
      </c>
      <c r="E2977" t="s">
        <v>4473</v>
      </c>
      <c r="F2977" s="3">
        <v>44965</v>
      </c>
      <c r="G2977" s="3" t="s">
        <v>537</v>
      </c>
      <c r="I2977">
        <v>8</v>
      </c>
      <c r="J2977" t="s">
        <v>4448</v>
      </c>
      <c r="K2977" t="s">
        <v>4474</v>
      </c>
      <c r="L2977" t="s">
        <v>4580</v>
      </c>
      <c r="M2977" t="s">
        <v>4450</v>
      </c>
    </row>
    <row r="2978" spans="1:14" x14ac:dyDescent="0.35">
      <c r="A2978" t="s">
        <v>7457</v>
      </c>
      <c r="B2978" t="s">
        <v>326</v>
      </c>
      <c r="C2978" t="s">
        <v>1899</v>
      </c>
      <c r="D2978" t="s">
        <v>4472</v>
      </c>
      <c r="E2978" t="s">
        <v>4439</v>
      </c>
      <c r="F2978" s="3">
        <v>45579</v>
      </c>
      <c r="G2978" s="3" t="s">
        <v>537</v>
      </c>
      <c r="I2978">
        <v>48</v>
      </c>
      <c r="J2978" t="s">
        <v>4440</v>
      </c>
      <c r="K2978" t="s">
        <v>4457</v>
      </c>
      <c r="L2978" t="s">
        <v>4449</v>
      </c>
      <c r="M2978" t="s">
        <v>4462</v>
      </c>
    </row>
    <row r="2979" spans="1:14" x14ac:dyDescent="0.35">
      <c r="A2979" t="s">
        <v>7458</v>
      </c>
      <c r="B2979" t="s">
        <v>455</v>
      </c>
      <c r="C2979" t="s">
        <v>1883</v>
      </c>
      <c r="D2979" t="s">
        <v>4452</v>
      </c>
      <c r="E2979" t="s">
        <v>4439</v>
      </c>
      <c r="F2979" s="3">
        <v>45669</v>
      </c>
      <c r="G2979" s="3">
        <v>45670</v>
      </c>
      <c r="H2979">
        <v>32.700000000000003</v>
      </c>
      <c r="I2979">
        <v>48</v>
      </c>
      <c r="J2979" t="s">
        <v>4448</v>
      </c>
      <c r="K2979" t="s">
        <v>4441</v>
      </c>
      <c r="L2979" t="s">
        <v>4533</v>
      </c>
      <c r="M2979" t="s">
        <v>4462</v>
      </c>
      <c r="N2979">
        <v>5</v>
      </c>
    </row>
    <row r="2980" spans="1:14" x14ac:dyDescent="0.35">
      <c r="A2980" t="s">
        <v>7459</v>
      </c>
      <c r="B2980" t="s">
        <v>460</v>
      </c>
      <c r="C2980" t="s">
        <v>1915</v>
      </c>
      <c r="D2980" t="s">
        <v>4490</v>
      </c>
      <c r="E2980" t="s">
        <v>4444</v>
      </c>
      <c r="F2980" s="3">
        <v>45510</v>
      </c>
      <c r="G2980" s="3">
        <v>45511</v>
      </c>
      <c r="H2980">
        <v>40.700000000000003</v>
      </c>
      <c r="I2980">
        <v>24</v>
      </c>
      <c r="J2980" t="s">
        <v>4440</v>
      </c>
      <c r="K2980" t="s">
        <v>4441</v>
      </c>
      <c r="L2980" t="s">
        <v>4527</v>
      </c>
      <c r="M2980" t="s">
        <v>4450</v>
      </c>
      <c r="N2980">
        <v>5</v>
      </c>
    </row>
    <row r="2981" spans="1:14" x14ac:dyDescent="0.35">
      <c r="A2981" t="s">
        <v>7460</v>
      </c>
      <c r="B2981" t="s">
        <v>128</v>
      </c>
      <c r="C2981" t="s">
        <v>1890</v>
      </c>
      <c r="D2981" t="s">
        <v>4490</v>
      </c>
      <c r="E2981" t="s">
        <v>4444</v>
      </c>
      <c r="F2981" s="3">
        <v>45064</v>
      </c>
      <c r="G2981" s="3" t="s">
        <v>537</v>
      </c>
      <c r="I2981">
        <v>24</v>
      </c>
      <c r="J2981" t="s">
        <v>4440</v>
      </c>
      <c r="K2981" t="s">
        <v>4474</v>
      </c>
      <c r="L2981" t="s">
        <v>4449</v>
      </c>
      <c r="M2981" t="s">
        <v>1625</v>
      </c>
    </row>
    <row r="2982" spans="1:14" x14ac:dyDescent="0.35">
      <c r="A2982" t="s">
        <v>7461</v>
      </c>
      <c r="B2982" t="s">
        <v>326</v>
      </c>
      <c r="C2982" t="s">
        <v>1899</v>
      </c>
      <c r="D2982" t="s">
        <v>4490</v>
      </c>
      <c r="E2982" t="s">
        <v>4456</v>
      </c>
      <c r="F2982" s="3">
        <v>45523</v>
      </c>
      <c r="G2982" s="3">
        <v>45523</v>
      </c>
      <c r="H2982">
        <v>1.8</v>
      </c>
      <c r="I2982">
        <v>4</v>
      </c>
      <c r="J2982" t="s">
        <v>4448</v>
      </c>
      <c r="K2982" t="s">
        <v>4441</v>
      </c>
      <c r="L2982" t="s">
        <v>4501</v>
      </c>
      <c r="M2982" t="s">
        <v>4462</v>
      </c>
    </row>
    <row r="2983" spans="1:14" x14ac:dyDescent="0.35">
      <c r="A2983" t="s">
        <v>7462</v>
      </c>
      <c r="B2983" t="s">
        <v>372</v>
      </c>
      <c r="C2983" t="s">
        <v>1890</v>
      </c>
      <c r="D2983" t="s">
        <v>4476</v>
      </c>
      <c r="E2983" t="s">
        <v>4473</v>
      </c>
      <c r="F2983" s="3">
        <v>45153</v>
      </c>
      <c r="G2983" s="3">
        <v>45153</v>
      </c>
      <c r="H2983">
        <v>15.4</v>
      </c>
      <c r="I2983">
        <v>8</v>
      </c>
      <c r="J2983" t="s">
        <v>4440</v>
      </c>
      <c r="K2983" t="s">
        <v>4441</v>
      </c>
      <c r="L2983" t="s">
        <v>1907</v>
      </c>
      <c r="M2983" t="s">
        <v>4446</v>
      </c>
      <c r="N2983">
        <v>5</v>
      </c>
    </row>
    <row r="2984" spans="1:14" x14ac:dyDescent="0.35">
      <c r="A2984" t="s">
        <v>7463</v>
      </c>
      <c r="B2984" t="s">
        <v>319</v>
      </c>
      <c r="C2984" t="s">
        <v>1899</v>
      </c>
      <c r="D2984" t="s">
        <v>4482</v>
      </c>
      <c r="E2984" t="s">
        <v>4444</v>
      </c>
      <c r="F2984" s="3">
        <v>45072</v>
      </c>
      <c r="G2984" s="3" t="s">
        <v>537</v>
      </c>
      <c r="I2984">
        <v>24</v>
      </c>
      <c r="J2984" t="s">
        <v>4448</v>
      </c>
      <c r="K2984" t="s">
        <v>4457</v>
      </c>
      <c r="L2984" t="s">
        <v>4449</v>
      </c>
      <c r="M2984" t="s">
        <v>4462</v>
      </c>
    </row>
    <row r="2985" spans="1:14" x14ac:dyDescent="0.35">
      <c r="A2985" t="s">
        <v>7464</v>
      </c>
      <c r="B2985" t="s">
        <v>124</v>
      </c>
      <c r="C2985" t="s">
        <v>1915</v>
      </c>
      <c r="D2985" t="s">
        <v>4464</v>
      </c>
      <c r="E2985" t="s">
        <v>4473</v>
      </c>
      <c r="F2985" s="3">
        <v>45175</v>
      </c>
      <c r="G2985" s="3">
        <v>45175</v>
      </c>
      <c r="H2985">
        <v>17</v>
      </c>
      <c r="I2985">
        <v>8</v>
      </c>
      <c r="J2985" t="s">
        <v>4440</v>
      </c>
      <c r="K2985" t="s">
        <v>4441</v>
      </c>
      <c r="L2985" t="s">
        <v>4461</v>
      </c>
      <c r="M2985" t="s">
        <v>4450</v>
      </c>
    </row>
    <row r="2986" spans="1:14" x14ac:dyDescent="0.35">
      <c r="A2986" t="s">
        <v>7465</v>
      </c>
      <c r="B2986" t="s">
        <v>493</v>
      </c>
      <c r="C2986" t="s">
        <v>1915</v>
      </c>
      <c r="D2986" t="s">
        <v>4464</v>
      </c>
      <c r="E2986" t="s">
        <v>4439</v>
      </c>
      <c r="F2986" s="3">
        <v>44931</v>
      </c>
      <c r="G2986" s="3">
        <v>44934</v>
      </c>
      <c r="H2986">
        <v>86.9</v>
      </c>
      <c r="I2986">
        <v>48</v>
      </c>
      <c r="J2986" t="s">
        <v>4440</v>
      </c>
      <c r="K2986" t="s">
        <v>4441</v>
      </c>
      <c r="L2986" t="s">
        <v>4492</v>
      </c>
      <c r="M2986" t="s">
        <v>1625</v>
      </c>
      <c r="N2986">
        <v>2</v>
      </c>
    </row>
    <row r="2987" spans="1:14" x14ac:dyDescent="0.35">
      <c r="A2987" t="s">
        <v>7466</v>
      </c>
      <c r="B2987" t="s">
        <v>399</v>
      </c>
      <c r="C2987" t="s">
        <v>1927</v>
      </c>
      <c r="D2987" t="s">
        <v>4452</v>
      </c>
      <c r="E2987" t="s">
        <v>4456</v>
      </c>
      <c r="F2987" s="3">
        <v>45360</v>
      </c>
      <c r="G2987" s="3">
        <v>45360</v>
      </c>
      <c r="H2987">
        <v>0.9</v>
      </c>
      <c r="I2987">
        <v>4</v>
      </c>
      <c r="J2987" t="s">
        <v>4448</v>
      </c>
      <c r="K2987" t="s">
        <v>4441</v>
      </c>
      <c r="L2987" t="s">
        <v>4470</v>
      </c>
      <c r="M2987" t="s">
        <v>4462</v>
      </c>
    </row>
    <row r="2988" spans="1:14" x14ac:dyDescent="0.35">
      <c r="A2988" t="s">
        <v>7467</v>
      </c>
      <c r="B2988" t="s">
        <v>433</v>
      </c>
      <c r="C2988" t="s">
        <v>1890</v>
      </c>
      <c r="D2988" t="s">
        <v>4479</v>
      </c>
      <c r="E2988" t="s">
        <v>4439</v>
      </c>
      <c r="F2988" s="3">
        <v>45580</v>
      </c>
      <c r="G2988" s="3">
        <v>45582</v>
      </c>
      <c r="H2988">
        <v>51.3</v>
      </c>
      <c r="I2988">
        <v>48</v>
      </c>
      <c r="J2988" t="s">
        <v>4440</v>
      </c>
      <c r="K2988" t="s">
        <v>4441</v>
      </c>
      <c r="L2988" t="s">
        <v>4458</v>
      </c>
      <c r="M2988" t="s">
        <v>4450</v>
      </c>
      <c r="N2988">
        <v>5</v>
      </c>
    </row>
    <row r="2989" spans="1:14" x14ac:dyDescent="0.35">
      <c r="A2989" t="s">
        <v>7468</v>
      </c>
      <c r="B2989" t="s">
        <v>469</v>
      </c>
      <c r="C2989" t="s">
        <v>1890</v>
      </c>
      <c r="D2989" t="s">
        <v>4479</v>
      </c>
      <c r="E2989" t="s">
        <v>4439</v>
      </c>
      <c r="F2989" s="3">
        <v>45543</v>
      </c>
      <c r="G2989" s="3">
        <v>45547</v>
      </c>
      <c r="H2989">
        <v>118.4</v>
      </c>
      <c r="I2989">
        <v>48</v>
      </c>
      <c r="J2989" t="s">
        <v>1945</v>
      </c>
      <c r="K2989" t="s">
        <v>4441</v>
      </c>
      <c r="L2989" t="s">
        <v>4470</v>
      </c>
      <c r="M2989" t="s">
        <v>4450</v>
      </c>
      <c r="N2989">
        <v>3</v>
      </c>
    </row>
    <row r="2990" spans="1:14" x14ac:dyDescent="0.35">
      <c r="A2990" t="s">
        <v>7469</v>
      </c>
      <c r="B2990" t="s">
        <v>165</v>
      </c>
      <c r="C2990" t="s">
        <v>1899</v>
      </c>
      <c r="D2990" t="s">
        <v>4472</v>
      </c>
      <c r="E2990" t="s">
        <v>4444</v>
      </c>
      <c r="F2990" s="3">
        <v>45452</v>
      </c>
      <c r="G2990" s="3" t="s">
        <v>537</v>
      </c>
      <c r="I2990">
        <v>24</v>
      </c>
      <c r="J2990" t="s">
        <v>4448</v>
      </c>
      <c r="K2990" t="s">
        <v>4457</v>
      </c>
      <c r="L2990" t="s">
        <v>4514</v>
      </c>
      <c r="M2990" t="s">
        <v>4446</v>
      </c>
    </row>
    <row r="2991" spans="1:14" x14ac:dyDescent="0.35">
      <c r="A2991" t="s">
        <v>7470</v>
      </c>
      <c r="B2991" t="s">
        <v>351</v>
      </c>
      <c r="C2991" t="s">
        <v>1899</v>
      </c>
      <c r="D2991" t="s">
        <v>4464</v>
      </c>
      <c r="E2991" t="s">
        <v>4439</v>
      </c>
      <c r="F2991" s="3">
        <v>44992</v>
      </c>
      <c r="G2991" s="3" t="s">
        <v>537</v>
      </c>
      <c r="I2991">
        <v>48</v>
      </c>
      <c r="J2991" t="s">
        <v>4440</v>
      </c>
      <c r="K2991" t="s">
        <v>4453</v>
      </c>
      <c r="L2991" t="s">
        <v>4501</v>
      </c>
      <c r="M2991" t="s">
        <v>4450</v>
      </c>
    </row>
    <row r="2992" spans="1:14" x14ac:dyDescent="0.35">
      <c r="A2992" t="s">
        <v>7471</v>
      </c>
      <c r="B2992" t="s">
        <v>280</v>
      </c>
      <c r="C2992" t="s">
        <v>1927</v>
      </c>
      <c r="D2992" t="s">
        <v>4472</v>
      </c>
      <c r="E2992" t="s">
        <v>4444</v>
      </c>
      <c r="F2992" s="3">
        <v>45248</v>
      </c>
      <c r="G2992" s="3">
        <v>45249</v>
      </c>
      <c r="H2992">
        <v>36.6</v>
      </c>
      <c r="I2992">
        <v>24</v>
      </c>
      <c r="J2992" t="s">
        <v>4440</v>
      </c>
      <c r="K2992" t="s">
        <v>4441</v>
      </c>
      <c r="L2992" t="s">
        <v>4449</v>
      </c>
      <c r="M2992" t="s">
        <v>4446</v>
      </c>
      <c r="N2992">
        <v>3</v>
      </c>
    </row>
    <row r="2993" spans="1:14" x14ac:dyDescent="0.35">
      <c r="A2993" t="s">
        <v>7472</v>
      </c>
      <c r="B2993" t="s">
        <v>365</v>
      </c>
      <c r="C2993" t="s">
        <v>1890</v>
      </c>
      <c r="D2993" t="s">
        <v>4452</v>
      </c>
      <c r="E2993" t="s">
        <v>4439</v>
      </c>
      <c r="F2993" s="3">
        <v>45406</v>
      </c>
      <c r="G2993" s="3" t="s">
        <v>537</v>
      </c>
      <c r="I2993">
        <v>48</v>
      </c>
      <c r="J2993" t="s">
        <v>4440</v>
      </c>
      <c r="K2993" t="s">
        <v>4453</v>
      </c>
      <c r="L2993" t="s">
        <v>4467</v>
      </c>
      <c r="M2993" t="s">
        <v>4446</v>
      </c>
    </row>
    <row r="2994" spans="1:14" x14ac:dyDescent="0.35">
      <c r="A2994" t="s">
        <v>7473</v>
      </c>
      <c r="B2994" t="s">
        <v>449</v>
      </c>
      <c r="C2994" t="s">
        <v>1915</v>
      </c>
      <c r="D2994" t="s">
        <v>4464</v>
      </c>
      <c r="E2994" t="s">
        <v>4439</v>
      </c>
      <c r="F2994" s="3">
        <v>44985</v>
      </c>
      <c r="G2994" s="3">
        <v>44987</v>
      </c>
      <c r="H2994">
        <v>66.099999999999994</v>
      </c>
      <c r="I2994">
        <v>48</v>
      </c>
      <c r="J2994" t="s">
        <v>4440</v>
      </c>
      <c r="K2994" t="s">
        <v>4441</v>
      </c>
      <c r="L2994" t="s">
        <v>4483</v>
      </c>
      <c r="M2994" t="s">
        <v>1625</v>
      </c>
      <c r="N2994">
        <v>2</v>
      </c>
    </row>
    <row r="2995" spans="1:14" x14ac:dyDescent="0.35">
      <c r="A2995" t="s">
        <v>7474</v>
      </c>
      <c r="B2995" t="s">
        <v>421</v>
      </c>
      <c r="C2995" t="s">
        <v>1927</v>
      </c>
      <c r="D2995" t="s">
        <v>4479</v>
      </c>
      <c r="E2995" t="s">
        <v>4439</v>
      </c>
      <c r="F2995" s="3">
        <v>45640</v>
      </c>
      <c r="G2995" s="3">
        <v>45640</v>
      </c>
      <c r="H2995">
        <v>3.7</v>
      </c>
      <c r="I2995">
        <v>48</v>
      </c>
      <c r="J2995" t="s">
        <v>4448</v>
      </c>
      <c r="K2995" t="s">
        <v>4441</v>
      </c>
      <c r="L2995" t="s">
        <v>4461</v>
      </c>
      <c r="M2995" t="s">
        <v>4450</v>
      </c>
      <c r="N2995">
        <v>4</v>
      </c>
    </row>
    <row r="2996" spans="1:14" x14ac:dyDescent="0.35">
      <c r="A2996" t="s">
        <v>7475</v>
      </c>
      <c r="B2996" t="s">
        <v>474</v>
      </c>
      <c r="C2996" t="s">
        <v>1890</v>
      </c>
      <c r="D2996" t="s">
        <v>4464</v>
      </c>
      <c r="E2996" t="s">
        <v>4473</v>
      </c>
      <c r="F2996" s="3">
        <v>45477</v>
      </c>
      <c r="G2996" s="3">
        <v>45477</v>
      </c>
      <c r="H2996">
        <v>15.5</v>
      </c>
      <c r="I2996">
        <v>8</v>
      </c>
      <c r="J2996" t="s">
        <v>4440</v>
      </c>
      <c r="K2996" t="s">
        <v>4441</v>
      </c>
      <c r="L2996" t="s">
        <v>4458</v>
      </c>
      <c r="M2996" t="s">
        <v>4462</v>
      </c>
      <c r="N2996">
        <v>3</v>
      </c>
    </row>
    <row r="2997" spans="1:14" x14ac:dyDescent="0.35">
      <c r="A2997" t="s">
        <v>7476</v>
      </c>
      <c r="B2997" t="s">
        <v>469</v>
      </c>
      <c r="C2997" t="s">
        <v>1904</v>
      </c>
      <c r="D2997" t="s">
        <v>4482</v>
      </c>
      <c r="E2997" t="s">
        <v>4439</v>
      </c>
      <c r="F2997" s="3">
        <v>45481</v>
      </c>
      <c r="G2997" s="3">
        <v>45483</v>
      </c>
      <c r="H2997">
        <v>60.1</v>
      </c>
      <c r="I2997">
        <v>48</v>
      </c>
      <c r="J2997" t="s">
        <v>4440</v>
      </c>
      <c r="K2997" t="s">
        <v>4441</v>
      </c>
      <c r="L2997" t="s">
        <v>4467</v>
      </c>
      <c r="M2997" t="s">
        <v>4462</v>
      </c>
      <c r="N2997">
        <v>3</v>
      </c>
    </row>
    <row r="2998" spans="1:14" x14ac:dyDescent="0.35">
      <c r="A2998" t="s">
        <v>7477</v>
      </c>
      <c r="B2998" t="s">
        <v>357</v>
      </c>
      <c r="C2998" t="s">
        <v>1899</v>
      </c>
      <c r="D2998" t="s">
        <v>4479</v>
      </c>
      <c r="E2998" t="s">
        <v>4473</v>
      </c>
      <c r="F2998" s="3">
        <v>45373</v>
      </c>
      <c r="G2998" s="3" t="s">
        <v>537</v>
      </c>
      <c r="I2998">
        <v>8</v>
      </c>
      <c r="J2998" t="s">
        <v>4448</v>
      </c>
      <c r="K2998" t="s">
        <v>4453</v>
      </c>
      <c r="L2998" t="s">
        <v>4512</v>
      </c>
      <c r="M2998" t="s">
        <v>4462</v>
      </c>
    </row>
    <row r="2999" spans="1:14" x14ac:dyDescent="0.35">
      <c r="A2999" t="s">
        <v>7478</v>
      </c>
      <c r="B2999" t="s">
        <v>198</v>
      </c>
      <c r="C2999" t="s">
        <v>1890</v>
      </c>
      <c r="D2999" t="s">
        <v>4485</v>
      </c>
      <c r="E2999" t="s">
        <v>4473</v>
      </c>
      <c r="F2999" s="3">
        <v>45018</v>
      </c>
      <c r="G2999" s="3" t="s">
        <v>537</v>
      </c>
      <c r="I2999">
        <v>8</v>
      </c>
      <c r="J2999" t="s">
        <v>4440</v>
      </c>
      <c r="K2999" t="s">
        <v>4474</v>
      </c>
      <c r="L2999" t="s">
        <v>4488</v>
      </c>
      <c r="M2999" t="s">
        <v>4462</v>
      </c>
    </row>
    <row r="3000" spans="1:14" x14ac:dyDescent="0.35">
      <c r="A3000" t="s">
        <v>7479</v>
      </c>
      <c r="B3000" t="s">
        <v>188</v>
      </c>
      <c r="C3000" t="s">
        <v>1899</v>
      </c>
      <c r="D3000" t="s">
        <v>4443</v>
      </c>
      <c r="E3000" t="s">
        <v>4444</v>
      </c>
      <c r="F3000" s="3">
        <v>44955</v>
      </c>
      <c r="G3000" s="3">
        <v>44955</v>
      </c>
      <c r="H3000">
        <v>22.7</v>
      </c>
      <c r="I3000">
        <v>24</v>
      </c>
      <c r="J3000" t="s">
        <v>4448</v>
      </c>
      <c r="K3000" t="s">
        <v>4441</v>
      </c>
      <c r="L3000" t="s">
        <v>1907</v>
      </c>
      <c r="M3000" t="s">
        <v>4450</v>
      </c>
      <c r="N3000">
        <v>4</v>
      </c>
    </row>
    <row r="3001" spans="1:14" x14ac:dyDescent="0.35">
      <c r="A3001" t="s">
        <v>7480</v>
      </c>
      <c r="B3001" t="s">
        <v>479</v>
      </c>
      <c r="C3001" t="s">
        <v>1899</v>
      </c>
      <c r="D3001" t="s">
        <v>4476</v>
      </c>
      <c r="E3001" t="s">
        <v>4473</v>
      </c>
      <c r="F3001" s="3">
        <v>45184</v>
      </c>
      <c r="G3001" s="3" t="s">
        <v>537</v>
      </c>
      <c r="I3001">
        <v>8</v>
      </c>
      <c r="J3001" t="s">
        <v>4448</v>
      </c>
      <c r="K3001" t="s">
        <v>4474</v>
      </c>
      <c r="L3001" t="s">
        <v>4501</v>
      </c>
      <c r="M3001" t="s">
        <v>4462</v>
      </c>
    </row>
    <row r="3002" spans="1:14" x14ac:dyDescent="0.35">
      <c r="A3002" t="s">
        <v>7481</v>
      </c>
      <c r="B3002" t="s">
        <v>85</v>
      </c>
      <c r="C3002" t="s">
        <v>1883</v>
      </c>
      <c r="D3002" t="s">
        <v>4479</v>
      </c>
      <c r="E3002" t="s">
        <v>79</v>
      </c>
      <c r="F3002" s="3">
        <v>45688</v>
      </c>
      <c r="G3002" s="3" t="s">
        <v>537</v>
      </c>
      <c r="I3002">
        <v>48</v>
      </c>
      <c r="J3002" t="s">
        <v>4448</v>
      </c>
      <c r="K3002" t="s">
        <v>4457</v>
      </c>
      <c r="L3002" t="s">
        <v>4465</v>
      </c>
      <c r="M3002" t="s">
        <v>4446</v>
      </c>
    </row>
    <row r="3003" spans="1:14" x14ac:dyDescent="0.35">
      <c r="A3003" t="s">
        <v>7482</v>
      </c>
      <c r="B3003" t="s">
        <v>324</v>
      </c>
      <c r="C3003" t="s">
        <v>1890</v>
      </c>
      <c r="D3003" t="s">
        <v>4476</v>
      </c>
      <c r="E3003" t="s">
        <v>4473</v>
      </c>
      <c r="F3003" s="3">
        <v>45220</v>
      </c>
      <c r="G3003" s="3" t="s">
        <v>537</v>
      </c>
      <c r="I3003">
        <v>8</v>
      </c>
      <c r="J3003" t="s">
        <v>4440</v>
      </c>
      <c r="K3003" t="s">
        <v>4457</v>
      </c>
      <c r="L3003" t="s">
        <v>4533</v>
      </c>
      <c r="M3003" t="s">
        <v>4446</v>
      </c>
    </row>
    <row r="3004" spans="1:14" x14ac:dyDescent="0.35">
      <c r="A3004" t="s">
        <v>7483</v>
      </c>
      <c r="B3004" t="s">
        <v>186</v>
      </c>
      <c r="C3004" t="s">
        <v>1899</v>
      </c>
      <c r="D3004" t="s">
        <v>8514</v>
      </c>
      <c r="E3004" t="s">
        <v>4444</v>
      </c>
      <c r="F3004" s="3">
        <v>45578</v>
      </c>
      <c r="G3004" s="3">
        <v>45580</v>
      </c>
      <c r="H3004">
        <v>54.8</v>
      </c>
      <c r="I3004">
        <v>24</v>
      </c>
      <c r="J3004" t="s">
        <v>4440</v>
      </c>
      <c r="K3004" t="s">
        <v>4441</v>
      </c>
      <c r="L3004" t="s">
        <v>4512</v>
      </c>
      <c r="M3004" t="s">
        <v>4462</v>
      </c>
      <c r="N3004">
        <v>2</v>
      </c>
    </row>
    <row r="3005" spans="1:14" x14ac:dyDescent="0.35">
      <c r="A3005" t="s">
        <v>7484</v>
      </c>
      <c r="B3005" t="s">
        <v>493</v>
      </c>
      <c r="C3005" t="s">
        <v>1883</v>
      </c>
      <c r="D3005" t="s">
        <v>4460</v>
      </c>
      <c r="E3005" t="s">
        <v>79</v>
      </c>
      <c r="F3005" s="3">
        <v>45291</v>
      </c>
      <c r="G3005" s="3">
        <v>45291</v>
      </c>
      <c r="H3005">
        <v>21.3</v>
      </c>
      <c r="I3005">
        <v>24</v>
      </c>
      <c r="J3005" t="s">
        <v>4448</v>
      </c>
      <c r="K3005" t="s">
        <v>4441</v>
      </c>
      <c r="L3005" t="s">
        <v>4470</v>
      </c>
      <c r="M3005" t="s">
        <v>4450</v>
      </c>
    </row>
    <row r="3006" spans="1:14" x14ac:dyDescent="0.35">
      <c r="A3006" t="s">
        <v>7485</v>
      </c>
      <c r="B3006" t="s">
        <v>426</v>
      </c>
      <c r="C3006" t="s">
        <v>1904</v>
      </c>
      <c r="D3006" t="s">
        <v>4452</v>
      </c>
      <c r="E3006" t="s">
        <v>4456</v>
      </c>
      <c r="F3006" s="3">
        <v>45740</v>
      </c>
      <c r="G3006" s="3">
        <v>45740</v>
      </c>
      <c r="H3006">
        <v>7.5</v>
      </c>
      <c r="I3006">
        <v>4</v>
      </c>
      <c r="J3006" t="s">
        <v>4440</v>
      </c>
      <c r="K3006" t="s">
        <v>4441</v>
      </c>
      <c r="L3006" t="s">
        <v>4512</v>
      </c>
      <c r="M3006" t="s">
        <v>4450</v>
      </c>
      <c r="N3006">
        <v>4</v>
      </c>
    </row>
    <row r="3007" spans="1:14" x14ac:dyDescent="0.35">
      <c r="A3007" t="s">
        <v>7486</v>
      </c>
      <c r="B3007" t="s">
        <v>346</v>
      </c>
      <c r="C3007" t="s">
        <v>1899</v>
      </c>
      <c r="D3007" t="s">
        <v>4482</v>
      </c>
      <c r="E3007" t="s">
        <v>4473</v>
      </c>
      <c r="F3007" s="3">
        <v>45319</v>
      </c>
      <c r="G3007" s="3" t="s">
        <v>537</v>
      </c>
      <c r="I3007">
        <v>8</v>
      </c>
      <c r="J3007" t="s">
        <v>4448</v>
      </c>
      <c r="K3007" t="s">
        <v>4457</v>
      </c>
      <c r="L3007" t="s">
        <v>4467</v>
      </c>
      <c r="M3007" t="s">
        <v>4462</v>
      </c>
    </row>
    <row r="3008" spans="1:14" x14ac:dyDescent="0.35">
      <c r="A3008" t="s">
        <v>7487</v>
      </c>
      <c r="B3008" t="s">
        <v>108</v>
      </c>
      <c r="C3008" t="s">
        <v>1899</v>
      </c>
      <c r="D3008" t="s">
        <v>4490</v>
      </c>
      <c r="E3008" t="s">
        <v>4473</v>
      </c>
      <c r="F3008" s="3">
        <v>45442</v>
      </c>
      <c r="G3008" s="3" t="s">
        <v>537</v>
      </c>
      <c r="I3008">
        <v>8</v>
      </c>
      <c r="J3008" t="s">
        <v>4448</v>
      </c>
      <c r="K3008" t="s">
        <v>4474</v>
      </c>
      <c r="L3008" t="s">
        <v>4467</v>
      </c>
      <c r="M3008" t="s">
        <v>4450</v>
      </c>
    </row>
    <row r="3009" spans="1:14" x14ac:dyDescent="0.35">
      <c r="A3009" t="s">
        <v>7488</v>
      </c>
      <c r="B3009" t="s">
        <v>250</v>
      </c>
      <c r="C3009" t="s">
        <v>1915</v>
      </c>
      <c r="D3009" t="s">
        <v>4479</v>
      </c>
      <c r="E3009" t="s">
        <v>4473</v>
      </c>
      <c r="F3009" s="3">
        <v>45436</v>
      </c>
      <c r="G3009" s="3" t="s">
        <v>537</v>
      </c>
      <c r="I3009">
        <v>8</v>
      </c>
      <c r="J3009" t="s">
        <v>4440</v>
      </c>
      <c r="K3009" t="s">
        <v>4474</v>
      </c>
      <c r="L3009" t="s">
        <v>4501</v>
      </c>
      <c r="M3009" t="s">
        <v>4446</v>
      </c>
    </row>
    <row r="3010" spans="1:14" x14ac:dyDescent="0.35">
      <c r="A3010" t="s">
        <v>7489</v>
      </c>
      <c r="B3010" t="s">
        <v>120</v>
      </c>
      <c r="C3010" t="s">
        <v>1899</v>
      </c>
      <c r="D3010" t="s">
        <v>4460</v>
      </c>
      <c r="E3010" t="s">
        <v>4473</v>
      </c>
      <c r="F3010" s="3">
        <v>45691</v>
      </c>
      <c r="G3010" s="3" t="s">
        <v>537</v>
      </c>
      <c r="I3010">
        <v>8</v>
      </c>
      <c r="J3010" t="s">
        <v>4448</v>
      </c>
      <c r="K3010" t="s">
        <v>4453</v>
      </c>
      <c r="L3010" t="s">
        <v>4449</v>
      </c>
      <c r="M3010" t="s">
        <v>4462</v>
      </c>
    </row>
    <row r="3011" spans="1:14" x14ac:dyDescent="0.35">
      <c r="A3011" t="s">
        <v>7490</v>
      </c>
      <c r="B3011" t="s">
        <v>235</v>
      </c>
      <c r="C3011" t="s">
        <v>1899</v>
      </c>
      <c r="D3011" t="s">
        <v>4460</v>
      </c>
      <c r="E3011" t="s">
        <v>4444</v>
      </c>
      <c r="F3011" s="3">
        <v>45717</v>
      </c>
      <c r="G3011" s="3">
        <v>45718</v>
      </c>
      <c r="H3011">
        <v>35.700000000000003</v>
      </c>
      <c r="I3011">
        <v>24</v>
      </c>
      <c r="J3011" t="s">
        <v>4440</v>
      </c>
      <c r="K3011" t="s">
        <v>4441</v>
      </c>
      <c r="L3011" t="s">
        <v>4509</v>
      </c>
      <c r="M3011" t="s">
        <v>1625</v>
      </c>
      <c r="N3011">
        <v>4</v>
      </c>
    </row>
    <row r="3012" spans="1:14" x14ac:dyDescent="0.35">
      <c r="A3012" t="s">
        <v>7491</v>
      </c>
      <c r="B3012" t="s">
        <v>135</v>
      </c>
      <c r="C3012" t="s">
        <v>1915</v>
      </c>
      <c r="D3012" t="s">
        <v>4443</v>
      </c>
      <c r="E3012" t="s">
        <v>4444</v>
      </c>
      <c r="F3012" s="3">
        <v>45122</v>
      </c>
      <c r="G3012" s="3" t="s">
        <v>537</v>
      </c>
      <c r="I3012">
        <v>24</v>
      </c>
      <c r="J3012" t="s">
        <v>4440</v>
      </c>
      <c r="K3012" t="s">
        <v>4457</v>
      </c>
      <c r="L3012" t="s">
        <v>4480</v>
      </c>
      <c r="M3012" t="s">
        <v>1625</v>
      </c>
    </row>
    <row r="3013" spans="1:14" x14ac:dyDescent="0.35">
      <c r="A3013" t="s">
        <v>7492</v>
      </c>
      <c r="B3013" t="s">
        <v>448</v>
      </c>
      <c r="C3013" t="s">
        <v>1915</v>
      </c>
      <c r="D3013" t="s">
        <v>4443</v>
      </c>
      <c r="E3013" t="s">
        <v>4473</v>
      </c>
      <c r="F3013" s="3">
        <v>45310</v>
      </c>
      <c r="G3013" s="3">
        <v>45310</v>
      </c>
      <c r="H3013">
        <v>16.600000000000001</v>
      </c>
      <c r="I3013">
        <v>8</v>
      </c>
      <c r="J3013" t="s">
        <v>4440</v>
      </c>
      <c r="K3013" t="s">
        <v>4441</v>
      </c>
      <c r="L3013" t="s">
        <v>4470</v>
      </c>
      <c r="M3013" t="s">
        <v>4450</v>
      </c>
      <c r="N3013">
        <v>4</v>
      </c>
    </row>
    <row r="3014" spans="1:14" x14ac:dyDescent="0.35">
      <c r="A3014" t="s">
        <v>7493</v>
      </c>
      <c r="B3014" t="s">
        <v>378</v>
      </c>
      <c r="C3014" t="s">
        <v>1904</v>
      </c>
      <c r="D3014" t="s">
        <v>4476</v>
      </c>
      <c r="E3014" t="s">
        <v>4444</v>
      </c>
      <c r="F3014" s="3">
        <v>45355</v>
      </c>
      <c r="G3014" s="3" t="s">
        <v>537</v>
      </c>
      <c r="I3014">
        <v>24</v>
      </c>
      <c r="J3014" t="s">
        <v>4440</v>
      </c>
      <c r="K3014" t="s">
        <v>4474</v>
      </c>
      <c r="L3014" t="s">
        <v>4445</v>
      </c>
      <c r="M3014" t="s">
        <v>4462</v>
      </c>
    </row>
    <row r="3015" spans="1:14" x14ac:dyDescent="0.35">
      <c r="A3015" t="s">
        <v>7494</v>
      </c>
      <c r="B3015" t="s">
        <v>135</v>
      </c>
      <c r="C3015" t="s">
        <v>1915</v>
      </c>
      <c r="D3015" t="s">
        <v>4469</v>
      </c>
      <c r="E3015" t="s">
        <v>4444</v>
      </c>
      <c r="F3015" s="3">
        <v>45231</v>
      </c>
      <c r="G3015" s="3">
        <v>45232</v>
      </c>
      <c r="H3015">
        <v>37</v>
      </c>
      <c r="I3015">
        <v>24</v>
      </c>
      <c r="J3015" t="s">
        <v>4440</v>
      </c>
      <c r="K3015" t="s">
        <v>4441</v>
      </c>
      <c r="L3015" t="s">
        <v>4514</v>
      </c>
      <c r="M3015" t="s">
        <v>4450</v>
      </c>
      <c r="N3015">
        <v>4</v>
      </c>
    </row>
    <row r="3016" spans="1:14" x14ac:dyDescent="0.35">
      <c r="A3016" t="s">
        <v>7495</v>
      </c>
      <c r="B3016" t="s">
        <v>160</v>
      </c>
      <c r="C3016" t="s">
        <v>1883</v>
      </c>
      <c r="D3016" t="s">
        <v>4469</v>
      </c>
      <c r="E3016" t="s">
        <v>4444</v>
      </c>
      <c r="F3016" s="3">
        <v>45149</v>
      </c>
      <c r="G3016" s="3" t="s">
        <v>537</v>
      </c>
      <c r="I3016">
        <v>24</v>
      </c>
      <c r="J3016" t="s">
        <v>4440</v>
      </c>
      <c r="K3016" t="s">
        <v>4453</v>
      </c>
      <c r="L3016" t="s">
        <v>4445</v>
      </c>
      <c r="M3016" t="s">
        <v>4446</v>
      </c>
    </row>
    <row r="3017" spans="1:14" x14ac:dyDescent="0.35">
      <c r="A3017" t="s">
        <v>7496</v>
      </c>
      <c r="B3017" t="s">
        <v>363</v>
      </c>
      <c r="C3017" t="s">
        <v>1899</v>
      </c>
      <c r="D3017" t="s">
        <v>4443</v>
      </c>
      <c r="E3017" t="s">
        <v>4473</v>
      </c>
      <c r="F3017" s="3">
        <v>45335</v>
      </c>
      <c r="G3017" s="3">
        <v>45335</v>
      </c>
      <c r="H3017">
        <v>8.5</v>
      </c>
      <c r="I3017">
        <v>8</v>
      </c>
      <c r="J3017" t="s">
        <v>4440</v>
      </c>
      <c r="K3017" t="s">
        <v>4441</v>
      </c>
      <c r="L3017" t="s">
        <v>4527</v>
      </c>
      <c r="M3017" t="s">
        <v>4446</v>
      </c>
      <c r="N3017">
        <v>2</v>
      </c>
    </row>
    <row r="3018" spans="1:14" x14ac:dyDescent="0.35">
      <c r="A3018" t="s">
        <v>7497</v>
      </c>
      <c r="B3018" t="s">
        <v>180</v>
      </c>
      <c r="C3018" t="s">
        <v>1883</v>
      </c>
      <c r="D3018" t="s">
        <v>4482</v>
      </c>
      <c r="E3018" t="s">
        <v>4444</v>
      </c>
      <c r="F3018" s="3">
        <v>44942</v>
      </c>
      <c r="G3018" s="3">
        <v>44942</v>
      </c>
      <c r="H3018">
        <v>14.7</v>
      </c>
      <c r="I3018">
        <v>24</v>
      </c>
      <c r="J3018" t="s">
        <v>4448</v>
      </c>
      <c r="K3018" t="s">
        <v>4441</v>
      </c>
      <c r="L3018" t="s">
        <v>4458</v>
      </c>
      <c r="M3018" t="s">
        <v>4450</v>
      </c>
      <c r="N3018">
        <v>5</v>
      </c>
    </row>
    <row r="3019" spans="1:14" x14ac:dyDescent="0.35">
      <c r="A3019" t="s">
        <v>7498</v>
      </c>
      <c r="B3019" t="s">
        <v>106</v>
      </c>
      <c r="C3019" t="s">
        <v>1890</v>
      </c>
      <c r="D3019" t="s">
        <v>4464</v>
      </c>
      <c r="E3019" t="s">
        <v>4444</v>
      </c>
      <c r="F3019" s="3">
        <v>45593</v>
      </c>
      <c r="G3019" s="3" t="s">
        <v>537</v>
      </c>
      <c r="I3019">
        <v>24</v>
      </c>
      <c r="J3019" t="s">
        <v>4440</v>
      </c>
      <c r="K3019" t="s">
        <v>4457</v>
      </c>
      <c r="L3019" t="s">
        <v>4461</v>
      </c>
      <c r="M3019" t="s">
        <v>1625</v>
      </c>
    </row>
    <row r="3020" spans="1:14" x14ac:dyDescent="0.35">
      <c r="A3020" t="s">
        <v>7499</v>
      </c>
      <c r="B3020" t="s">
        <v>496</v>
      </c>
      <c r="C3020" t="s">
        <v>1883</v>
      </c>
      <c r="D3020" t="s">
        <v>4452</v>
      </c>
      <c r="E3020" t="s">
        <v>4439</v>
      </c>
      <c r="F3020" s="3">
        <v>45256</v>
      </c>
      <c r="G3020" s="3">
        <v>45257</v>
      </c>
      <c r="H3020">
        <v>33.799999999999997</v>
      </c>
      <c r="I3020">
        <v>48</v>
      </c>
      <c r="J3020" t="s">
        <v>4448</v>
      </c>
      <c r="K3020" t="s">
        <v>4441</v>
      </c>
      <c r="L3020" t="s">
        <v>4580</v>
      </c>
      <c r="M3020" t="s">
        <v>4446</v>
      </c>
      <c r="N3020">
        <v>4</v>
      </c>
    </row>
    <row r="3021" spans="1:14" x14ac:dyDescent="0.35">
      <c r="A3021" t="s">
        <v>7500</v>
      </c>
      <c r="B3021" t="s">
        <v>497</v>
      </c>
      <c r="C3021" t="s">
        <v>1890</v>
      </c>
      <c r="D3021" t="s">
        <v>4460</v>
      </c>
      <c r="E3021" t="s">
        <v>4444</v>
      </c>
      <c r="F3021" s="3">
        <v>45178</v>
      </c>
      <c r="G3021" s="3" t="s">
        <v>537</v>
      </c>
      <c r="I3021">
        <v>24</v>
      </c>
      <c r="J3021" t="s">
        <v>4448</v>
      </c>
      <c r="K3021" t="s">
        <v>4474</v>
      </c>
      <c r="L3021" t="s">
        <v>4488</v>
      </c>
      <c r="M3021" t="s">
        <v>1625</v>
      </c>
    </row>
    <row r="3022" spans="1:14" x14ac:dyDescent="0.35">
      <c r="A3022" t="s">
        <v>7501</v>
      </c>
      <c r="B3022" t="s">
        <v>482</v>
      </c>
      <c r="C3022" t="s">
        <v>1904</v>
      </c>
      <c r="D3022" t="s">
        <v>4472</v>
      </c>
      <c r="E3022" t="s">
        <v>4444</v>
      </c>
      <c r="F3022" s="3">
        <v>45553</v>
      </c>
      <c r="G3022" s="3" t="s">
        <v>537</v>
      </c>
      <c r="I3022">
        <v>24</v>
      </c>
      <c r="J3022" t="s">
        <v>4448</v>
      </c>
      <c r="K3022" t="s">
        <v>4474</v>
      </c>
      <c r="L3022" t="s">
        <v>4461</v>
      </c>
      <c r="M3022" t="s">
        <v>4446</v>
      </c>
    </row>
    <row r="3023" spans="1:14" x14ac:dyDescent="0.35">
      <c r="A3023" t="s">
        <v>7502</v>
      </c>
      <c r="B3023" t="s">
        <v>425</v>
      </c>
      <c r="C3023" t="s">
        <v>1883</v>
      </c>
      <c r="D3023" t="s">
        <v>4472</v>
      </c>
      <c r="E3023" t="s">
        <v>4444</v>
      </c>
      <c r="F3023" s="3">
        <v>45461</v>
      </c>
      <c r="G3023" s="3">
        <v>45461</v>
      </c>
      <c r="H3023">
        <v>5.7</v>
      </c>
      <c r="I3023">
        <v>24</v>
      </c>
      <c r="J3023" t="s">
        <v>4448</v>
      </c>
      <c r="K3023" t="s">
        <v>4441</v>
      </c>
      <c r="L3023" t="s">
        <v>4580</v>
      </c>
      <c r="M3023" t="s">
        <v>4450</v>
      </c>
      <c r="N3023">
        <v>3</v>
      </c>
    </row>
    <row r="3024" spans="1:14" x14ac:dyDescent="0.35">
      <c r="A3024" t="s">
        <v>7503</v>
      </c>
      <c r="B3024" t="s">
        <v>193</v>
      </c>
      <c r="C3024" t="s">
        <v>1904</v>
      </c>
      <c r="D3024" t="s">
        <v>4469</v>
      </c>
      <c r="E3024" t="s">
        <v>4444</v>
      </c>
      <c r="F3024" s="3">
        <v>45059</v>
      </c>
      <c r="G3024" s="3">
        <v>45059</v>
      </c>
      <c r="H3024">
        <v>21.8</v>
      </c>
      <c r="I3024">
        <v>24</v>
      </c>
      <c r="J3024" t="s">
        <v>4448</v>
      </c>
      <c r="K3024" t="s">
        <v>4441</v>
      </c>
      <c r="L3024" t="s">
        <v>4509</v>
      </c>
      <c r="M3024" t="s">
        <v>4462</v>
      </c>
      <c r="N3024">
        <v>5</v>
      </c>
    </row>
    <row r="3025" spans="1:14" x14ac:dyDescent="0.35">
      <c r="A3025" t="s">
        <v>7504</v>
      </c>
      <c r="B3025" t="s">
        <v>426</v>
      </c>
      <c r="C3025" t="s">
        <v>1899</v>
      </c>
      <c r="D3025" t="s">
        <v>4472</v>
      </c>
      <c r="E3025" t="s">
        <v>4444</v>
      </c>
      <c r="F3025" s="3">
        <v>45028</v>
      </c>
      <c r="G3025" s="3">
        <v>45030</v>
      </c>
      <c r="H3025">
        <v>49.4</v>
      </c>
      <c r="I3025">
        <v>24</v>
      </c>
      <c r="J3025" t="s">
        <v>4440</v>
      </c>
      <c r="K3025" t="s">
        <v>4441</v>
      </c>
      <c r="L3025" t="s">
        <v>4480</v>
      </c>
      <c r="M3025" t="s">
        <v>4446</v>
      </c>
      <c r="N3025">
        <v>2</v>
      </c>
    </row>
    <row r="3026" spans="1:14" x14ac:dyDescent="0.35">
      <c r="A3026" t="s">
        <v>7505</v>
      </c>
      <c r="B3026" t="s">
        <v>165</v>
      </c>
      <c r="C3026" t="s">
        <v>1899</v>
      </c>
      <c r="D3026" t="s">
        <v>4479</v>
      </c>
      <c r="E3026" t="s">
        <v>4439</v>
      </c>
      <c r="F3026" s="3">
        <v>45172</v>
      </c>
      <c r="G3026" s="3">
        <v>45174</v>
      </c>
      <c r="H3026">
        <v>61</v>
      </c>
      <c r="I3026">
        <v>48</v>
      </c>
      <c r="J3026" t="s">
        <v>4440</v>
      </c>
      <c r="K3026" t="s">
        <v>4441</v>
      </c>
      <c r="L3026" t="s">
        <v>4465</v>
      </c>
      <c r="M3026" t="s">
        <v>4462</v>
      </c>
      <c r="N3026">
        <v>4</v>
      </c>
    </row>
    <row r="3027" spans="1:14" x14ac:dyDescent="0.35">
      <c r="A3027" t="s">
        <v>7506</v>
      </c>
      <c r="B3027" t="s">
        <v>156</v>
      </c>
      <c r="C3027" t="s">
        <v>1899</v>
      </c>
      <c r="D3027" t="s">
        <v>4485</v>
      </c>
      <c r="E3027" t="s">
        <v>4444</v>
      </c>
      <c r="F3027" s="3">
        <v>45663</v>
      </c>
      <c r="G3027" s="3" t="s">
        <v>537</v>
      </c>
      <c r="I3027">
        <v>24</v>
      </c>
      <c r="J3027" t="s">
        <v>4440</v>
      </c>
      <c r="K3027" t="s">
        <v>4457</v>
      </c>
      <c r="L3027" t="s">
        <v>4512</v>
      </c>
      <c r="M3027" t="s">
        <v>1625</v>
      </c>
    </row>
    <row r="3028" spans="1:14" x14ac:dyDescent="0.35">
      <c r="A3028" t="s">
        <v>7507</v>
      </c>
      <c r="B3028" t="s">
        <v>234</v>
      </c>
      <c r="C3028" t="s">
        <v>1890</v>
      </c>
      <c r="D3028" t="s">
        <v>4452</v>
      </c>
      <c r="E3028" t="s">
        <v>4444</v>
      </c>
      <c r="F3028" s="3">
        <v>44999</v>
      </c>
      <c r="G3028" s="3">
        <v>45000</v>
      </c>
      <c r="H3028">
        <v>33.9</v>
      </c>
      <c r="I3028">
        <v>24</v>
      </c>
      <c r="J3028" t="s">
        <v>4440</v>
      </c>
      <c r="K3028" t="s">
        <v>4441</v>
      </c>
      <c r="L3028" t="s">
        <v>4580</v>
      </c>
      <c r="M3028" t="s">
        <v>1625</v>
      </c>
      <c r="N3028">
        <v>4</v>
      </c>
    </row>
    <row r="3029" spans="1:14" x14ac:dyDescent="0.35">
      <c r="A3029" t="s">
        <v>7508</v>
      </c>
      <c r="B3029" t="s">
        <v>453</v>
      </c>
      <c r="C3029" t="s">
        <v>1927</v>
      </c>
      <c r="D3029" t="s">
        <v>4460</v>
      </c>
      <c r="E3029" t="s">
        <v>4439</v>
      </c>
      <c r="F3029" s="3">
        <v>45234</v>
      </c>
      <c r="G3029" s="3" t="s">
        <v>537</v>
      </c>
      <c r="I3029">
        <v>48</v>
      </c>
      <c r="J3029" t="s">
        <v>4440</v>
      </c>
      <c r="K3029" t="s">
        <v>4474</v>
      </c>
      <c r="L3029" t="s">
        <v>4465</v>
      </c>
      <c r="M3029" t="s">
        <v>4446</v>
      </c>
    </row>
    <row r="3030" spans="1:14" x14ac:dyDescent="0.35">
      <c r="A3030" t="s">
        <v>7509</v>
      </c>
      <c r="B3030" t="s">
        <v>34</v>
      </c>
      <c r="C3030" t="s">
        <v>1890</v>
      </c>
      <c r="D3030" t="s">
        <v>4438</v>
      </c>
      <c r="E3030" t="s">
        <v>4444</v>
      </c>
      <c r="F3030" s="3">
        <v>45224</v>
      </c>
      <c r="G3030" s="3">
        <v>45225</v>
      </c>
      <c r="H3030">
        <v>38.9</v>
      </c>
      <c r="I3030">
        <v>24</v>
      </c>
      <c r="J3030" t="s">
        <v>4440</v>
      </c>
      <c r="K3030" t="s">
        <v>4441</v>
      </c>
      <c r="L3030" t="s">
        <v>4465</v>
      </c>
      <c r="M3030" t="s">
        <v>4446</v>
      </c>
      <c r="N3030">
        <v>2</v>
      </c>
    </row>
    <row r="3031" spans="1:14" x14ac:dyDescent="0.35">
      <c r="A3031" t="s">
        <v>7510</v>
      </c>
      <c r="B3031" t="s">
        <v>394</v>
      </c>
      <c r="C3031" t="s">
        <v>1927</v>
      </c>
      <c r="D3031" t="s">
        <v>4490</v>
      </c>
      <c r="E3031" t="s">
        <v>4444</v>
      </c>
      <c r="F3031" s="3">
        <v>45252</v>
      </c>
      <c r="G3031" s="3">
        <v>45253</v>
      </c>
      <c r="H3031">
        <v>46.1</v>
      </c>
      <c r="I3031">
        <v>24</v>
      </c>
      <c r="J3031" t="s">
        <v>4440</v>
      </c>
      <c r="K3031" t="s">
        <v>4441</v>
      </c>
      <c r="L3031" t="s">
        <v>4509</v>
      </c>
      <c r="M3031" t="s">
        <v>4450</v>
      </c>
    </row>
    <row r="3032" spans="1:14" x14ac:dyDescent="0.35">
      <c r="A3032" t="s">
        <v>7511</v>
      </c>
      <c r="B3032" t="s">
        <v>405</v>
      </c>
      <c r="C3032" t="s">
        <v>1927</v>
      </c>
      <c r="D3032" t="s">
        <v>4443</v>
      </c>
      <c r="E3032" t="s">
        <v>4439</v>
      </c>
      <c r="F3032" s="3">
        <v>45128</v>
      </c>
      <c r="G3032" s="3" t="s">
        <v>537</v>
      </c>
      <c r="I3032">
        <v>48</v>
      </c>
      <c r="J3032" t="s">
        <v>4440</v>
      </c>
      <c r="K3032" t="s">
        <v>4453</v>
      </c>
      <c r="L3032" t="s">
        <v>4492</v>
      </c>
      <c r="M3032" t="s">
        <v>4450</v>
      </c>
    </row>
    <row r="3033" spans="1:14" x14ac:dyDescent="0.35">
      <c r="A3033" t="s">
        <v>7512</v>
      </c>
      <c r="B3033" t="s">
        <v>255</v>
      </c>
      <c r="C3033" t="s">
        <v>1915</v>
      </c>
      <c r="D3033" t="s">
        <v>4438</v>
      </c>
      <c r="E3033" t="s">
        <v>4439</v>
      </c>
      <c r="F3033" s="3">
        <v>45328</v>
      </c>
      <c r="G3033" s="3">
        <v>45328</v>
      </c>
      <c r="H3033">
        <v>15</v>
      </c>
      <c r="I3033">
        <v>48</v>
      </c>
      <c r="J3033" t="s">
        <v>4448</v>
      </c>
      <c r="K3033" t="s">
        <v>4441</v>
      </c>
      <c r="L3033" t="s">
        <v>4461</v>
      </c>
      <c r="M3033" t="s">
        <v>4446</v>
      </c>
      <c r="N3033">
        <v>5</v>
      </c>
    </row>
    <row r="3034" spans="1:14" x14ac:dyDescent="0.35">
      <c r="A3034" t="s">
        <v>7513</v>
      </c>
      <c r="B3034" t="s">
        <v>459</v>
      </c>
      <c r="C3034" t="s">
        <v>1899</v>
      </c>
      <c r="D3034" t="s">
        <v>4460</v>
      </c>
      <c r="E3034" t="s">
        <v>4439</v>
      </c>
      <c r="F3034" s="3">
        <v>45165</v>
      </c>
      <c r="G3034" s="3">
        <v>45165</v>
      </c>
      <c r="H3034">
        <v>21.5</v>
      </c>
      <c r="I3034">
        <v>48</v>
      </c>
      <c r="J3034" t="s">
        <v>4448</v>
      </c>
      <c r="K3034" t="s">
        <v>4441</v>
      </c>
      <c r="L3034" t="s">
        <v>4458</v>
      </c>
      <c r="M3034" t="s">
        <v>4450</v>
      </c>
      <c r="N3034">
        <v>5</v>
      </c>
    </row>
    <row r="3035" spans="1:14" x14ac:dyDescent="0.35">
      <c r="A3035" t="s">
        <v>7514</v>
      </c>
      <c r="B3035" t="s">
        <v>454</v>
      </c>
      <c r="C3035" t="s">
        <v>1915</v>
      </c>
      <c r="D3035" t="s">
        <v>4464</v>
      </c>
      <c r="E3035" t="s">
        <v>4473</v>
      </c>
      <c r="F3035" s="3">
        <v>45079</v>
      </c>
      <c r="G3035" s="3" t="s">
        <v>537</v>
      </c>
      <c r="I3035">
        <v>8</v>
      </c>
      <c r="J3035" t="s">
        <v>4440</v>
      </c>
      <c r="K3035" t="s">
        <v>4453</v>
      </c>
      <c r="L3035" t="s">
        <v>4461</v>
      </c>
      <c r="M3035" t="s">
        <v>4446</v>
      </c>
    </row>
    <row r="3036" spans="1:14" x14ac:dyDescent="0.35">
      <c r="A3036" t="s">
        <v>7515</v>
      </c>
      <c r="B3036" t="s">
        <v>116</v>
      </c>
      <c r="C3036" t="s">
        <v>1915</v>
      </c>
      <c r="D3036" t="s">
        <v>4472</v>
      </c>
      <c r="E3036" t="s">
        <v>4444</v>
      </c>
      <c r="F3036" s="3">
        <v>45595</v>
      </c>
      <c r="G3036" s="3">
        <v>45597</v>
      </c>
      <c r="H3036">
        <v>51.2</v>
      </c>
      <c r="I3036">
        <v>24</v>
      </c>
      <c r="J3036" t="s">
        <v>4440</v>
      </c>
      <c r="K3036" t="s">
        <v>4441</v>
      </c>
      <c r="L3036" t="s">
        <v>4445</v>
      </c>
      <c r="M3036" t="s">
        <v>1625</v>
      </c>
      <c r="N3036">
        <v>3</v>
      </c>
    </row>
    <row r="3037" spans="1:14" x14ac:dyDescent="0.35">
      <c r="A3037" t="s">
        <v>7516</v>
      </c>
      <c r="B3037" t="s">
        <v>284</v>
      </c>
      <c r="C3037" t="s">
        <v>1927</v>
      </c>
      <c r="D3037" t="s">
        <v>4443</v>
      </c>
      <c r="E3037" t="s">
        <v>4439</v>
      </c>
      <c r="F3037" s="3">
        <v>45198</v>
      </c>
      <c r="G3037" s="3">
        <v>45200</v>
      </c>
      <c r="H3037">
        <v>59.5</v>
      </c>
      <c r="I3037">
        <v>48</v>
      </c>
      <c r="J3037" t="s">
        <v>4440</v>
      </c>
      <c r="K3037" t="s">
        <v>4441</v>
      </c>
      <c r="L3037" t="s">
        <v>4461</v>
      </c>
      <c r="M3037" t="s">
        <v>4450</v>
      </c>
      <c r="N3037">
        <v>4</v>
      </c>
    </row>
    <row r="3038" spans="1:14" x14ac:dyDescent="0.35">
      <c r="A3038" t="s">
        <v>7517</v>
      </c>
      <c r="B3038" t="s">
        <v>381</v>
      </c>
      <c r="C3038" t="s">
        <v>1899</v>
      </c>
      <c r="D3038" t="s">
        <v>4438</v>
      </c>
      <c r="E3038" t="s">
        <v>4444</v>
      </c>
      <c r="F3038" s="3">
        <v>45626</v>
      </c>
      <c r="G3038" s="3" t="s">
        <v>537</v>
      </c>
      <c r="I3038">
        <v>24</v>
      </c>
      <c r="J3038" t="s">
        <v>4440</v>
      </c>
      <c r="K3038" t="s">
        <v>4457</v>
      </c>
      <c r="L3038" t="s">
        <v>4580</v>
      </c>
      <c r="M3038" t="s">
        <v>4462</v>
      </c>
    </row>
    <row r="3039" spans="1:14" x14ac:dyDescent="0.35">
      <c r="A3039" t="s">
        <v>7518</v>
      </c>
      <c r="B3039" t="s">
        <v>470</v>
      </c>
      <c r="C3039" t="s">
        <v>1904</v>
      </c>
      <c r="D3039" t="s">
        <v>4490</v>
      </c>
      <c r="E3039" t="s">
        <v>4473</v>
      </c>
      <c r="F3039" s="3">
        <v>45326</v>
      </c>
      <c r="G3039" s="3" t="s">
        <v>537</v>
      </c>
      <c r="I3039">
        <v>8</v>
      </c>
      <c r="J3039" t="s">
        <v>4440</v>
      </c>
      <c r="K3039" t="s">
        <v>4474</v>
      </c>
      <c r="L3039" t="s">
        <v>4480</v>
      </c>
      <c r="M3039" t="s">
        <v>4446</v>
      </c>
    </row>
    <row r="3040" spans="1:14" x14ac:dyDescent="0.35">
      <c r="A3040" t="s">
        <v>7519</v>
      </c>
      <c r="B3040" t="s">
        <v>138</v>
      </c>
      <c r="C3040" t="s">
        <v>1899</v>
      </c>
      <c r="D3040" t="s">
        <v>4476</v>
      </c>
      <c r="E3040" t="s">
        <v>4444</v>
      </c>
      <c r="F3040" s="3">
        <v>45547</v>
      </c>
      <c r="G3040" s="3">
        <v>45547</v>
      </c>
      <c r="H3040">
        <v>23.9</v>
      </c>
      <c r="I3040">
        <v>24</v>
      </c>
      <c r="J3040" t="s">
        <v>4448</v>
      </c>
      <c r="K3040" t="s">
        <v>4441</v>
      </c>
      <c r="L3040" t="s">
        <v>4445</v>
      </c>
      <c r="M3040" t="s">
        <v>1625</v>
      </c>
      <c r="N3040">
        <v>4</v>
      </c>
    </row>
    <row r="3041" spans="1:14" x14ac:dyDescent="0.35">
      <c r="A3041" t="s">
        <v>7520</v>
      </c>
      <c r="B3041" t="s">
        <v>301</v>
      </c>
      <c r="C3041" t="s">
        <v>1927</v>
      </c>
      <c r="D3041" t="s">
        <v>4438</v>
      </c>
      <c r="E3041" t="s">
        <v>4444</v>
      </c>
      <c r="F3041" s="3">
        <v>45064</v>
      </c>
      <c r="G3041" s="3" t="s">
        <v>537</v>
      </c>
      <c r="I3041">
        <v>24</v>
      </c>
      <c r="J3041" t="s">
        <v>4440</v>
      </c>
      <c r="K3041" t="s">
        <v>4474</v>
      </c>
      <c r="L3041" t="s">
        <v>4470</v>
      </c>
      <c r="M3041" t="s">
        <v>1625</v>
      </c>
    </row>
    <row r="3042" spans="1:14" x14ac:dyDescent="0.35">
      <c r="A3042" t="s">
        <v>7521</v>
      </c>
      <c r="B3042" t="s">
        <v>330</v>
      </c>
      <c r="C3042" t="s">
        <v>1927</v>
      </c>
      <c r="D3042" t="s">
        <v>4443</v>
      </c>
      <c r="E3042" t="s">
        <v>4473</v>
      </c>
      <c r="F3042" s="3">
        <v>45011</v>
      </c>
      <c r="G3042" s="3">
        <v>45011</v>
      </c>
      <c r="H3042">
        <v>9.6</v>
      </c>
      <c r="I3042">
        <v>8</v>
      </c>
      <c r="J3042" t="s">
        <v>4440</v>
      </c>
      <c r="K3042" t="s">
        <v>4441</v>
      </c>
      <c r="L3042" t="s">
        <v>4445</v>
      </c>
      <c r="M3042" t="s">
        <v>4462</v>
      </c>
      <c r="N3042">
        <v>3</v>
      </c>
    </row>
    <row r="3043" spans="1:14" x14ac:dyDescent="0.35">
      <c r="A3043" t="s">
        <v>7522</v>
      </c>
      <c r="B3043" t="s">
        <v>419</v>
      </c>
      <c r="C3043" t="s">
        <v>1883</v>
      </c>
      <c r="D3043" t="s">
        <v>4490</v>
      </c>
      <c r="E3043" t="s">
        <v>4456</v>
      </c>
      <c r="F3043" s="3">
        <v>45043</v>
      </c>
      <c r="G3043" s="3" t="s">
        <v>537</v>
      </c>
      <c r="I3043">
        <v>4</v>
      </c>
      <c r="J3043" t="s">
        <v>4448</v>
      </c>
      <c r="K3043" t="s">
        <v>4474</v>
      </c>
      <c r="L3043" t="s">
        <v>4458</v>
      </c>
      <c r="M3043" t="s">
        <v>1625</v>
      </c>
    </row>
    <row r="3044" spans="1:14" x14ac:dyDescent="0.35">
      <c r="A3044" t="s">
        <v>7523</v>
      </c>
      <c r="B3044" t="s">
        <v>130</v>
      </c>
      <c r="C3044" t="s">
        <v>1883</v>
      </c>
      <c r="D3044" t="s">
        <v>4443</v>
      </c>
      <c r="E3044" t="s">
        <v>4456</v>
      </c>
      <c r="F3044" s="3">
        <v>44939</v>
      </c>
      <c r="G3044" s="3">
        <v>44939</v>
      </c>
      <c r="H3044">
        <v>8.8000000000000007</v>
      </c>
      <c r="I3044">
        <v>4</v>
      </c>
      <c r="J3044" t="s">
        <v>4440</v>
      </c>
      <c r="K3044" t="s">
        <v>4441</v>
      </c>
      <c r="L3044" t="s">
        <v>4483</v>
      </c>
      <c r="M3044" t="s">
        <v>4462</v>
      </c>
      <c r="N3044">
        <v>3</v>
      </c>
    </row>
    <row r="3045" spans="1:14" x14ac:dyDescent="0.35">
      <c r="A3045" t="s">
        <v>7524</v>
      </c>
      <c r="B3045" t="s">
        <v>389</v>
      </c>
      <c r="C3045" t="s">
        <v>1915</v>
      </c>
      <c r="D3045" t="s">
        <v>4482</v>
      </c>
      <c r="E3045" t="s">
        <v>4444</v>
      </c>
      <c r="F3045" s="3">
        <v>45222</v>
      </c>
      <c r="G3045" s="3" t="s">
        <v>537</v>
      </c>
      <c r="I3045">
        <v>24</v>
      </c>
      <c r="J3045" t="s">
        <v>4440</v>
      </c>
      <c r="K3045" t="s">
        <v>4457</v>
      </c>
      <c r="L3045" t="s">
        <v>4488</v>
      </c>
      <c r="M3045" t="s">
        <v>4450</v>
      </c>
    </row>
    <row r="3046" spans="1:14" x14ac:dyDescent="0.35">
      <c r="A3046" t="s">
        <v>7525</v>
      </c>
      <c r="B3046" t="s">
        <v>324</v>
      </c>
      <c r="C3046" t="s">
        <v>1890</v>
      </c>
      <c r="D3046" t="s">
        <v>4464</v>
      </c>
      <c r="E3046" t="s">
        <v>4444</v>
      </c>
      <c r="F3046" s="3">
        <v>45201</v>
      </c>
      <c r="G3046" s="3">
        <v>45202</v>
      </c>
      <c r="H3046">
        <v>45.7</v>
      </c>
      <c r="I3046">
        <v>24</v>
      </c>
      <c r="J3046" t="s">
        <v>4440</v>
      </c>
      <c r="K3046" t="s">
        <v>4441</v>
      </c>
      <c r="L3046" t="s">
        <v>4480</v>
      </c>
      <c r="M3046" t="s">
        <v>4462</v>
      </c>
      <c r="N3046">
        <v>4</v>
      </c>
    </row>
    <row r="3047" spans="1:14" x14ac:dyDescent="0.35">
      <c r="A3047" t="s">
        <v>7526</v>
      </c>
      <c r="B3047" t="s">
        <v>494</v>
      </c>
      <c r="C3047" t="s">
        <v>1915</v>
      </c>
      <c r="D3047" t="s">
        <v>8515</v>
      </c>
      <c r="E3047" t="s">
        <v>4456</v>
      </c>
      <c r="F3047" s="3">
        <v>45372</v>
      </c>
      <c r="G3047" s="3" t="s">
        <v>537</v>
      </c>
      <c r="I3047">
        <v>4</v>
      </c>
      <c r="J3047" t="s">
        <v>4440</v>
      </c>
      <c r="K3047" t="s">
        <v>4457</v>
      </c>
      <c r="L3047" t="s">
        <v>4512</v>
      </c>
      <c r="M3047" t="s">
        <v>4462</v>
      </c>
    </row>
    <row r="3048" spans="1:14" x14ac:dyDescent="0.35">
      <c r="A3048" t="s">
        <v>7527</v>
      </c>
      <c r="B3048" t="s">
        <v>348</v>
      </c>
      <c r="C3048" t="s">
        <v>1883</v>
      </c>
      <c r="D3048" t="s">
        <v>4452</v>
      </c>
      <c r="E3048" t="s">
        <v>4439</v>
      </c>
      <c r="F3048" s="3">
        <v>45158</v>
      </c>
      <c r="G3048" s="3">
        <v>45158</v>
      </c>
      <c r="H3048">
        <v>21.9</v>
      </c>
      <c r="I3048">
        <v>48</v>
      </c>
      <c r="J3048" t="s">
        <v>4448</v>
      </c>
      <c r="K3048" t="s">
        <v>4441</v>
      </c>
      <c r="L3048" t="s">
        <v>4527</v>
      </c>
      <c r="M3048" t="s">
        <v>4450</v>
      </c>
      <c r="N3048">
        <v>5</v>
      </c>
    </row>
    <row r="3049" spans="1:14" x14ac:dyDescent="0.35">
      <c r="A3049" t="s">
        <v>7528</v>
      </c>
      <c r="B3049" t="s">
        <v>389</v>
      </c>
      <c r="C3049" t="s">
        <v>1915</v>
      </c>
      <c r="D3049" t="s">
        <v>4469</v>
      </c>
      <c r="E3049" t="s">
        <v>4444</v>
      </c>
      <c r="F3049" s="3">
        <v>45372</v>
      </c>
      <c r="G3049" s="3">
        <v>45374</v>
      </c>
      <c r="H3049">
        <v>59.6</v>
      </c>
      <c r="I3049">
        <v>24</v>
      </c>
      <c r="J3049" t="s">
        <v>4440</v>
      </c>
      <c r="K3049" t="s">
        <v>4441</v>
      </c>
      <c r="L3049" t="s">
        <v>4483</v>
      </c>
      <c r="M3049" t="s">
        <v>1625</v>
      </c>
      <c r="N3049">
        <v>5</v>
      </c>
    </row>
    <row r="3050" spans="1:14" x14ac:dyDescent="0.35">
      <c r="A3050" t="s">
        <v>7529</v>
      </c>
      <c r="B3050" t="s">
        <v>492</v>
      </c>
      <c r="C3050" t="s">
        <v>1904</v>
      </c>
      <c r="D3050" t="s">
        <v>4469</v>
      </c>
      <c r="E3050" t="s">
        <v>4444</v>
      </c>
      <c r="F3050" s="3">
        <v>44978</v>
      </c>
      <c r="G3050" s="3" t="s">
        <v>537</v>
      </c>
      <c r="I3050">
        <v>24</v>
      </c>
      <c r="J3050" t="s">
        <v>4440</v>
      </c>
      <c r="K3050" t="s">
        <v>4457</v>
      </c>
      <c r="L3050" t="s">
        <v>4461</v>
      </c>
      <c r="M3050" t="s">
        <v>4462</v>
      </c>
    </row>
    <row r="3051" spans="1:14" x14ac:dyDescent="0.35">
      <c r="A3051" t="s">
        <v>7530</v>
      </c>
      <c r="B3051" t="s">
        <v>398</v>
      </c>
      <c r="C3051" t="s">
        <v>1904</v>
      </c>
      <c r="D3051" t="s">
        <v>4482</v>
      </c>
      <c r="E3051" t="s">
        <v>4444</v>
      </c>
      <c r="F3051" s="3">
        <v>44954</v>
      </c>
      <c r="G3051" s="3" t="s">
        <v>537</v>
      </c>
      <c r="I3051">
        <v>24</v>
      </c>
      <c r="J3051" t="s">
        <v>4448</v>
      </c>
      <c r="K3051" t="s">
        <v>4453</v>
      </c>
      <c r="L3051" t="s">
        <v>4458</v>
      </c>
      <c r="M3051" t="s">
        <v>1625</v>
      </c>
    </row>
    <row r="3052" spans="1:14" x14ac:dyDescent="0.35">
      <c r="A3052" t="s">
        <v>7531</v>
      </c>
      <c r="B3052" t="s">
        <v>86</v>
      </c>
      <c r="C3052" t="s">
        <v>1927</v>
      </c>
      <c r="D3052" t="s">
        <v>4464</v>
      </c>
      <c r="E3052" t="s">
        <v>4444</v>
      </c>
      <c r="F3052" s="3">
        <v>45240</v>
      </c>
      <c r="G3052" s="3" t="s">
        <v>537</v>
      </c>
      <c r="I3052">
        <v>24</v>
      </c>
      <c r="J3052" t="s">
        <v>4448</v>
      </c>
      <c r="K3052" t="s">
        <v>4457</v>
      </c>
      <c r="L3052" t="s">
        <v>4461</v>
      </c>
      <c r="M3052" t="s">
        <v>4446</v>
      </c>
    </row>
    <row r="3053" spans="1:14" x14ac:dyDescent="0.35">
      <c r="A3053" t="s">
        <v>7532</v>
      </c>
      <c r="B3053" t="s">
        <v>52</v>
      </c>
      <c r="C3053" t="s">
        <v>1883</v>
      </c>
      <c r="D3053" t="s">
        <v>4479</v>
      </c>
      <c r="E3053" t="s">
        <v>4456</v>
      </c>
      <c r="F3053" s="3">
        <v>45104</v>
      </c>
      <c r="G3053" s="3">
        <v>45104</v>
      </c>
      <c r="H3053">
        <v>5.0999999999999996</v>
      </c>
      <c r="I3053">
        <v>4</v>
      </c>
      <c r="J3053" t="s">
        <v>4440</v>
      </c>
      <c r="K3053" t="s">
        <v>4441</v>
      </c>
      <c r="L3053" t="s">
        <v>4467</v>
      </c>
      <c r="M3053" t="s">
        <v>4462</v>
      </c>
      <c r="N3053">
        <v>5</v>
      </c>
    </row>
    <row r="3054" spans="1:14" x14ac:dyDescent="0.35">
      <c r="A3054" t="s">
        <v>7533</v>
      </c>
      <c r="B3054" t="s">
        <v>442</v>
      </c>
      <c r="C3054" t="s">
        <v>1904</v>
      </c>
      <c r="D3054" t="s">
        <v>4479</v>
      </c>
      <c r="E3054" t="s">
        <v>4444</v>
      </c>
      <c r="F3054" s="3">
        <v>45332</v>
      </c>
      <c r="G3054" s="3">
        <v>45333</v>
      </c>
      <c r="H3054">
        <v>24.6</v>
      </c>
      <c r="I3054">
        <v>24</v>
      </c>
      <c r="J3054" t="s">
        <v>4440</v>
      </c>
      <c r="K3054" t="s">
        <v>4441</v>
      </c>
      <c r="L3054" t="s">
        <v>4465</v>
      </c>
      <c r="M3054" t="s">
        <v>1625</v>
      </c>
      <c r="N3054">
        <v>4</v>
      </c>
    </row>
    <row r="3055" spans="1:14" x14ac:dyDescent="0.35">
      <c r="A3055" t="s">
        <v>7534</v>
      </c>
      <c r="B3055" t="s">
        <v>361</v>
      </c>
      <c r="C3055" t="s">
        <v>1915</v>
      </c>
      <c r="D3055" t="s">
        <v>4438</v>
      </c>
      <c r="E3055" t="s">
        <v>4439</v>
      </c>
      <c r="F3055" s="3">
        <v>45158</v>
      </c>
      <c r="G3055" s="3" t="s">
        <v>537</v>
      </c>
      <c r="I3055">
        <v>48</v>
      </c>
      <c r="J3055" t="s">
        <v>4448</v>
      </c>
      <c r="K3055" t="s">
        <v>4457</v>
      </c>
      <c r="L3055" t="s">
        <v>4480</v>
      </c>
      <c r="M3055" t="s">
        <v>1625</v>
      </c>
    </row>
    <row r="3056" spans="1:14" x14ac:dyDescent="0.35">
      <c r="A3056" t="s">
        <v>7535</v>
      </c>
      <c r="B3056" t="s">
        <v>429</v>
      </c>
      <c r="C3056" t="s">
        <v>1927</v>
      </c>
      <c r="D3056" t="s">
        <v>4472</v>
      </c>
      <c r="E3056" t="s">
        <v>4444</v>
      </c>
      <c r="F3056" s="3">
        <v>45156</v>
      </c>
      <c r="G3056" s="3" t="s">
        <v>537</v>
      </c>
      <c r="I3056">
        <v>24</v>
      </c>
      <c r="J3056" t="s">
        <v>4440</v>
      </c>
      <c r="K3056" t="s">
        <v>4474</v>
      </c>
      <c r="L3056" t="s">
        <v>4480</v>
      </c>
      <c r="M3056" t="s">
        <v>4462</v>
      </c>
    </row>
    <row r="3057" spans="1:14" x14ac:dyDescent="0.35">
      <c r="A3057" t="s">
        <v>7536</v>
      </c>
      <c r="B3057" t="s">
        <v>219</v>
      </c>
      <c r="C3057" t="s">
        <v>1904</v>
      </c>
      <c r="D3057" t="s">
        <v>4485</v>
      </c>
      <c r="E3057" t="s">
        <v>4444</v>
      </c>
      <c r="F3057" s="3">
        <v>45189</v>
      </c>
      <c r="G3057" s="3">
        <v>45189</v>
      </c>
      <c r="H3057">
        <v>14</v>
      </c>
      <c r="I3057">
        <v>24</v>
      </c>
      <c r="J3057" t="s">
        <v>4448</v>
      </c>
      <c r="K3057" t="s">
        <v>4441</v>
      </c>
      <c r="L3057" t="s">
        <v>4492</v>
      </c>
      <c r="M3057" t="s">
        <v>4450</v>
      </c>
      <c r="N3057">
        <v>5</v>
      </c>
    </row>
    <row r="3058" spans="1:14" x14ac:dyDescent="0.35">
      <c r="A3058" t="s">
        <v>7537</v>
      </c>
      <c r="B3058" t="s">
        <v>405</v>
      </c>
      <c r="C3058" t="s">
        <v>1915</v>
      </c>
      <c r="D3058" t="s">
        <v>4482</v>
      </c>
      <c r="E3058" t="s">
        <v>4444</v>
      </c>
      <c r="F3058" s="3">
        <v>45507</v>
      </c>
      <c r="G3058" s="3" t="s">
        <v>537</v>
      </c>
      <c r="I3058">
        <v>24</v>
      </c>
      <c r="J3058" t="s">
        <v>4440</v>
      </c>
      <c r="K3058" t="s">
        <v>4453</v>
      </c>
      <c r="L3058" t="s">
        <v>4512</v>
      </c>
      <c r="M3058" t="s">
        <v>4462</v>
      </c>
    </row>
    <row r="3059" spans="1:14" x14ac:dyDescent="0.35">
      <c r="A3059" t="s">
        <v>7538</v>
      </c>
      <c r="B3059" t="s">
        <v>470</v>
      </c>
      <c r="C3059" t="s">
        <v>1883</v>
      </c>
      <c r="D3059" t="s">
        <v>4469</v>
      </c>
      <c r="E3059" t="s">
        <v>4444</v>
      </c>
      <c r="F3059" s="3">
        <v>45644</v>
      </c>
      <c r="G3059" s="3">
        <v>45644</v>
      </c>
      <c r="H3059">
        <v>13.1</v>
      </c>
      <c r="I3059">
        <v>24</v>
      </c>
      <c r="J3059" t="s">
        <v>4448</v>
      </c>
      <c r="K3059" t="s">
        <v>4441</v>
      </c>
      <c r="L3059" t="s">
        <v>4465</v>
      </c>
      <c r="M3059" t="s">
        <v>4462</v>
      </c>
      <c r="N3059">
        <v>5</v>
      </c>
    </row>
    <row r="3060" spans="1:14" x14ac:dyDescent="0.35">
      <c r="A3060" t="s">
        <v>7539</v>
      </c>
      <c r="B3060" t="s">
        <v>405</v>
      </c>
      <c r="C3060" t="s">
        <v>1890</v>
      </c>
      <c r="D3060" t="s">
        <v>4490</v>
      </c>
      <c r="E3060" t="s">
        <v>4439</v>
      </c>
      <c r="F3060" s="3">
        <v>45145</v>
      </c>
      <c r="G3060" s="3">
        <v>45149</v>
      </c>
      <c r="H3060">
        <v>113.9</v>
      </c>
      <c r="I3060">
        <v>48</v>
      </c>
      <c r="J3060" t="s">
        <v>4440</v>
      </c>
      <c r="K3060" t="s">
        <v>4441</v>
      </c>
      <c r="L3060" t="s">
        <v>4467</v>
      </c>
      <c r="M3060" t="s">
        <v>1625</v>
      </c>
      <c r="N3060">
        <v>4</v>
      </c>
    </row>
    <row r="3061" spans="1:14" x14ac:dyDescent="0.35">
      <c r="A3061" t="s">
        <v>7540</v>
      </c>
      <c r="B3061" t="s">
        <v>208</v>
      </c>
      <c r="C3061" t="s">
        <v>1890</v>
      </c>
      <c r="D3061" t="s">
        <v>4485</v>
      </c>
      <c r="E3061" t="s">
        <v>79</v>
      </c>
      <c r="F3061" s="3">
        <v>44950</v>
      </c>
      <c r="G3061" s="3">
        <v>44953</v>
      </c>
      <c r="H3061">
        <v>90.1</v>
      </c>
      <c r="I3061">
        <v>48</v>
      </c>
      <c r="J3061" t="s">
        <v>4440</v>
      </c>
      <c r="K3061" t="s">
        <v>4441</v>
      </c>
      <c r="L3061" t="s">
        <v>4483</v>
      </c>
      <c r="M3061" t="s">
        <v>1625</v>
      </c>
    </row>
    <row r="3062" spans="1:14" x14ac:dyDescent="0.35">
      <c r="A3062" t="s">
        <v>7541</v>
      </c>
      <c r="B3062" t="s">
        <v>410</v>
      </c>
      <c r="C3062" t="s">
        <v>1883</v>
      </c>
      <c r="D3062" t="s">
        <v>4490</v>
      </c>
      <c r="E3062" t="s">
        <v>4473</v>
      </c>
      <c r="F3062" s="3">
        <v>45183</v>
      </c>
      <c r="G3062" s="3" t="s">
        <v>537</v>
      </c>
      <c r="I3062">
        <v>8</v>
      </c>
      <c r="J3062" t="s">
        <v>4440</v>
      </c>
      <c r="K3062" t="s">
        <v>4457</v>
      </c>
      <c r="L3062" t="s">
        <v>4458</v>
      </c>
      <c r="M3062" t="s">
        <v>4462</v>
      </c>
    </row>
    <row r="3063" spans="1:14" x14ac:dyDescent="0.35">
      <c r="A3063" t="s">
        <v>7542</v>
      </c>
      <c r="B3063" t="s">
        <v>86</v>
      </c>
      <c r="C3063" t="s">
        <v>1899</v>
      </c>
      <c r="D3063" t="s">
        <v>4472</v>
      </c>
      <c r="E3063" t="s">
        <v>4473</v>
      </c>
      <c r="F3063" s="3">
        <v>45662</v>
      </c>
      <c r="G3063" s="3">
        <v>45662</v>
      </c>
      <c r="H3063">
        <v>12.6</v>
      </c>
      <c r="I3063">
        <v>8</v>
      </c>
      <c r="J3063" t="s">
        <v>4440</v>
      </c>
      <c r="K3063" t="s">
        <v>4441</v>
      </c>
      <c r="L3063" t="s">
        <v>4501</v>
      </c>
      <c r="M3063" t="s">
        <v>4450</v>
      </c>
      <c r="N3063">
        <v>5</v>
      </c>
    </row>
    <row r="3064" spans="1:14" x14ac:dyDescent="0.35">
      <c r="A3064" t="s">
        <v>7543</v>
      </c>
      <c r="B3064" t="s">
        <v>324</v>
      </c>
      <c r="C3064" t="s">
        <v>1915</v>
      </c>
      <c r="D3064" t="s">
        <v>4464</v>
      </c>
      <c r="E3064" t="s">
        <v>4456</v>
      </c>
      <c r="F3064" s="3">
        <v>45660</v>
      </c>
      <c r="G3064" s="3" t="s">
        <v>537</v>
      </c>
      <c r="I3064">
        <v>4</v>
      </c>
      <c r="J3064" t="s">
        <v>4448</v>
      </c>
      <c r="K3064" t="s">
        <v>4457</v>
      </c>
      <c r="L3064" t="s">
        <v>4488</v>
      </c>
      <c r="M3064" t="s">
        <v>4462</v>
      </c>
    </row>
    <row r="3065" spans="1:14" x14ac:dyDescent="0.35">
      <c r="A3065" t="s">
        <v>7544</v>
      </c>
      <c r="B3065" t="s">
        <v>402</v>
      </c>
      <c r="C3065" t="s">
        <v>1927</v>
      </c>
      <c r="D3065" t="s">
        <v>4479</v>
      </c>
      <c r="E3065" t="s">
        <v>4473</v>
      </c>
      <c r="F3065" s="3">
        <v>45745</v>
      </c>
      <c r="G3065" s="3">
        <v>45745</v>
      </c>
      <c r="H3065">
        <v>9.3000000000000007</v>
      </c>
      <c r="I3065">
        <v>8</v>
      </c>
      <c r="J3065" t="s">
        <v>4440</v>
      </c>
      <c r="K3065" t="s">
        <v>4441</v>
      </c>
      <c r="L3065" t="s">
        <v>4488</v>
      </c>
      <c r="M3065" t="s">
        <v>1625</v>
      </c>
      <c r="N3065">
        <v>3</v>
      </c>
    </row>
    <row r="3066" spans="1:14" x14ac:dyDescent="0.35">
      <c r="A3066" t="s">
        <v>7545</v>
      </c>
      <c r="B3066" t="s">
        <v>429</v>
      </c>
      <c r="C3066" t="s">
        <v>1899</v>
      </c>
      <c r="D3066" t="s">
        <v>4490</v>
      </c>
      <c r="E3066" t="s">
        <v>4439</v>
      </c>
      <c r="F3066" s="3">
        <v>45368</v>
      </c>
      <c r="G3066" s="3" t="s">
        <v>537</v>
      </c>
      <c r="I3066">
        <v>48</v>
      </c>
      <c r="J3066" t="s">
        <v>4440</v>
      </c>
      <c r="K3066" t="s">
        <v>4457</v>
      </c>
      <c r="L3066" t="s">
        <v>4458</v>
      </c>
      <c r="M3066" t="s">
        <v>1625</v>
      </c>
    </row>
    <row r="3067" spans="1:14" x14ac:dyDescent="0.35">
      <c r="A3067" t="s">
        <v>7546</v>
      </c>
      <c r="B3067" t="s">
        <v>472</v>
      </c>
      <c r="C3067" t="s">
        <v>1927</v>
      </c>
      <c r="D3067" t="s">
        <v>4438</v>
      </c>
      <c r="E3067" t="s">
        <v>4444</v>
      </c>
      <c r="F3067" s="3">
        <v>45392</v>
      </c>
      <c r="G3067" s="3">
        <v>45394</v>
      </c>
      <c r="H3067">
        <v>53.8</v>
      </c>
      <c r="I3067">
        <v>24</v>
      </c>
      <c r="J3067" t="s">
        <v>4440</v>
      </c>
      <c r="K3067" t="s">
        <v>4441</v>
      </c>
      <c r="L3067" t="s">
        <v>4509</v>
      </c>
      <c r="M3067" t="s">
        <v>1625</v>
      </c>
      <c r="N3067">
        <v>5</v>
      </c>
    </row>
    <row r="3068" spans="1:14" x14ac:dyDescent="0.35">
      <c r="A3068" t="s">
        <v>7547</v>
      </c>
      <c r="B3068" t="s">
        <v>228</v>
      </c>
      <c r="C3068" t="s">
        <v>1904</v>
      </c>
      <c r="D3068" t="s">
        <v>4479</v>
      </c>
      <c r="E3068" t="s">
        <v>4444</v>
      </c>
      <c r="F3068" s="3">
        <v>45515</v>
      </c>
      <c r="G3068" s="3">
        <v>45515</v>
      </c>
      <c r="H3068">
        <v>11.5</v>
      </c>
      <c r="I3068">
        <v>24</v>
      </c>
      <c r="J3068" t="s">
        <v>4448</v>
      </c>
      <c r="K3068" t="s">
        <v>4441</v>
      </c>
      <c r="L3068" t="s">
        <v>4492</v>
      </c>
      <c r="M3068" t="s">
        <v>4462</v>
      </c>
      <c r="N3068">
        <v>5</v>
      </c>
    </row>
    <row r="3069" spans="1:14" x14ac:dyDescent="0.35">
      <c r="A3069" t="s">
        <v>7548</v>
      </c>
      <c r="B3069" t="s">
        <v>376</v>
      </c>
      <c r="C3069" t="s">
        <v>1899</v>
      </c>
      <c r="D3069" t="s">
        <v>4438</v>
      </c>
      <c r="E3069" t="s">
        <v>4444</v>
      </c>
      <c r="F3069" s="3">
        <v>45462</v>
      </c>
      <c r="G3069" s="3" t="s">
        <v>537</v>
      </c>
      <c r="I3069">
        <v>24</v>
      </c>
      <c r="J3069" t="s">
        <v>4440</v>
      </c>
      <c r="K3069" t="s">
        <v>4474</v>
      </c>
      <c r="L3069" t="s">
        <v>4465</v>
      </c>
      <c r="M3069" t="s">
        <v>4450</v>
      </c>
    </row>
    <row r="3070" spans="1:14" x14ac:dyDescent="0.35">
      <c r="A3070" t="s">
        <v>7549</v>
      </c>
      <c r="B3070" t="s">
        <v>27</v>
      </c>
      <c r="C3070" t="s">
        <v>1927</v>
      </c>
      <c r="D3070" t="s">
        <v>8507</v>
      </c>
      <c r="E3070" t="s">
        <v>4473</v>
      </c>
      <c r="F3070" s="3">
        <v>45543</v>
      </c>
      <c r="G3070" s="3" t="s">
        <v>537</v>
      </c>
      <c r="I3070">
        <v>8</v>
      </c>
      <c r="J3070" t="s">
        <v>4440</v>
      </c>
      <c r="K3070" t="s">
        <v>4453</v>
      </c>
      <c r="L3070" t="s">
        <v>4509</v>
      </c>
      <c r="M3070" t="s">
        <v>1625</v>
      </c>
    </row>
    <row r="3071" spans="1:14" x14ac:dyDescent="0.35">
      <c r="A3071" t="s">
        <v>7550</v>
      </c>
      <c r="B3071" t="s">
        <v>297</v>
      </c>
      <c r="C3071" t="s">
        <v>1904</v>
      </c>
      <c r="D3071" t="s">
        <v>4464</v>
      </c>
      <c r="E3071" t="s">
        <v>4439</v>
      </c>
      <c r="F3071" s="3">
        <v>45015</v>
      </c>
      <c r="G3071" s="3">
        <v>45017</v>
      </c>
      <c r="H3071">
        <v>70.2</v>
      </c>
      <c r="I3071">
        <v>48</v>
      </c>
      <c r="J3071" t="s">
        <v>4440</v>
      </c>
      <c r="K3071" t="s">
        <v>4441</v>
      </c>
      <c r="L3071" t="s">
        <v>4483</v>
      </c>
      <c r="M3071" t="s">
        <v>4450</v>
      </c>
      <c r="N3071">
        <v>5</v>
      </c>
    </row>
    <row r="3072" spans="1:14" x14ac:dyDescent="0.35">
      <c r="A3072" t="s">
        <v>7551</v>
      </c>
      <c r="B3072" t="s">
        <v>131</v>
      </c>
      <c r="C3072" t="s">
        <v>1899</v>
      </c>
      <c r="D3072" t="s">
        <v>4476</v>
      </c>
      <c r="E3072" t="s">
        <v>4473</v>
      </c>
      <c r="F3072" s="3">
        <v>45427</v>
      </c>
      <c r="G3072" s="3" t="s">
        <v>537</v>
      </c>
      <c r="I3072">
        <v>8</v>
      </c>
      <c r="J3072" t="s">
        <v>4440</v>
      </c>
      <c r="K3072" t="s">
        <v>4457</v>
      </c>
      <c r="L3072" t="s">
        <v>4470</v>
      </c>
      <c r="M3072" t="s">
        <v>1625</v>
      </c>
    </row>
    <row r="3073" spans="1:14" x14ac:dyDescent="0.35">
      <c r="A3073" t="s">
        <v>7552</v>
      </c>
      <c r="B3073" t="s">
        <v>80</v>
      </c>
      <c r="C3073" t="s">
        <v>1883</v>
      </c>
      <c r="D3073" t="s">
        <v>4485</v>
      </c>
      <c r="E3073" t="s">
        <v>4444</v>
      </c>
      <c r="F3073" s="3">
        <v>45128</v>
      </c>
      <c r="G3073" s="3">
        <v>45128</v>
      </c>
      <c r="H3073">
        <v>7.7</v>
      </c>
      <c r="I3073">
        <v>24</v>
      </c>
      <c r="J3073" t="s">
        <v>4448</v>
      </c>
      <c r="K3073" t="s">
        <v>4441</v>
      </c>
      <c r="L3073" t="s">
        <v>4514</v>
      </c>
      <c r="M3073" t="s">
        <v>1625</v>
      </c>
      <c r="N3073">
        <v>3</v>
      </c>
    </row>
    <row r="3074" spans="1:14" x14ac:dyDescent="0.35">
      <c r="A3074" t="s">
        <v>7553</v>
      </c>
      <c r="B3074" t="s">
        <v>484</v>
      </c>
      <c r="C3074" t="s">
        <v>1904</v>
      </c>
      <c r="D3074" t="s">
        <v>4460</v>
      </c>
      <c r="E3074" t="s">
        <v>4473</v>
      </c>
      <c r="F3074" s="3">
        <v>45535</v>
      </c>
      <c r="G3074" s="3">
        <v>45535</v>
      </c>
      <c r="H3074">
        <v>7.7</v>
      </c>
      <c r="I3074">
        <v>8</v>
      </c>
      <c r="J3074" t="s">
        <v>4448</v>
      </c>
      <c r="K3074" t="s">
        <v>4441</v>
      </c>
      <c r="L3074" t="s">
        <v>4501</v>
      </c>
      <c r="M3074" t="s">
        <v>4446</v>
      </c>
      <c r="N3074">
        <v>3</v>
      </c>
    </row>
    <row r="3075" spans="1:14" x14ac:dyDescent="0.35">
      <c r="A3075" t="s">
        <v>7554</v>
      </c>
      <c r="B3075" t="s">
        <v>425</v>
      </c>
      <c r="C3075" t="s">
        <v>1915</v>
      </c>
      <c r="D3075" t="s">
        <v>4460</v>
      </c>
      <c r="E3075" t="s">
        <v>4456</v>
      </c>
      <c r="F3075" s="3">
        <v>45190</v>
      </c>
      <c r="G3075" s="3" t="s">
        <v>537</v>
      </c>
      <c r="I3075">
        <v>4</v>
      </c>
      <c r="J3075" t="s">
        <v>4440</v>
      </c>
      <c r="K3075" t="s">
        <v>4474</v>
      </c>
      <c r="L3075" t="s">
        <v>1907</v>
      </c>
      <c r="M3075" t="s">
        <v>1625</v>
      </c>
    </row>
    <row r="3076" spans="1:14" x14ac:dyDescent="0.35">
      <c r="A3076" t="s">
        <v>7555</v>
      </c>
      <c r="B3076" t="s">
        <v>459</v>
      </c>
      <c r="C3076" t="s">
        <v>1904</v>
      </c>
      <c r="D3076" t="s">
        <v>4443</v>
      </c>
      <c r="E3076" t="s">
        <v>4473</v>
      </c>
      <c r="F3076" s="3">
        <v>45616</v>
      </c>
      <c r="G3076" s="3" t="s">
        <v>537</v>
      </c>
      <c r="I3076">
        <v>8</v>
      </c>
      <c r="J3076" t="s">
        <v>4448</v>
      </c>
      <c r="K3076" t="s">
        <v>4453</v>
      </c>
      <c r="L3076" t="s">
        <v>4454</v>
      </c>
      <c r="M3076" t="s">
        <v>4462</v>
      </c>
    </row>
    <row r="3077" spans="1:14" x14ac:dyDescent="0.35">
      <c r="A3077" t="s">
        <v>7556</v>
      </c>
      <c r="B3077" t="s">
        <v>275</v>
      </c>
      <c r="C3077" t="s">
        <v>1890</v>
      </c>
      <c r="D3077" t="s">
        <v>4476</v>
      </c>
      <c r="E3077" t="s">
        <v>4439</v>
      </c>
      <c r="F3077" s="3">
        <v>45211</v>
      </c>
      <c r="G3077" s="3">
        <v>45212</v>
      </c>
      <c r="H3077">
        <v>46.9</v>
      </c>
      <c r="I3077">
        <v>48</v>
      </c>
      <c r="J3077" t="s">
        <v>4448</v>
      </c>
      <c r="K3077" t="s">
        <v>4441</v>
      </c>
      <c r="L3077" t="s">
        <v>4480</v>
      </c>
      <c r="M3077" t="s">
        <v>4462</v>
      </c>
      <c r="N3077">
        <v>2</v>
      </c>
    </row>
    <row r="3078" spans="1:14" x14ac:dyDescent="0.35">
      <c r="A3078" t="s">
        <v>7557</v>
      </c>
      <c r="B3078" t="s">
        <v>283</v>
      </c>
      <c r="C3078" t="s">
        <v>1890</v>
      </c>
      <c r="D3078" t="s">
        <v>4438</v>
      </c>
      <c r="E3078" t="s">
        <v>4473</v>
      </c>
      <c r="F3078" s="3">
        <v>45099</v>
      </c>
      <c r="G3078" s="3">
        <v>45099</v>
      </c>
      <c r="H3078">
        <v>1.3</v>
      </c>
      <c r="I3078">
        <v>8</v>
      </c>
      <c r="J3078" t="s">
        <v>4448</v>
      </c>
      <c r="K3078" t="s">
        <v>4441</v>
      </c>
      <c r="L3078" t="s">
        <v>4512</v>
      </c>
      <c r="M3078" t="s">
        <v>4450</v>
      </c>
      <c r="N3078">
        <v>3</v>
      </c>
    </row>
    <row r="3079" spans="1:14" x14ac:dyDescent="0.35">
      <c r="A3079" t="s">
        <v>7558</v>
      </c>
      <c r="B3079" t="s">
        <v>250</v>
      </c>
      <c r="C3079" t="s">
        <v>1890</v>
      </c>
      <c r="D3079" t="s">
        <v>4476</v>
      </c>
      <c r="E3079" t="s">
        <v>4456</v>
      </c>
      <c r="F3079" s="3">
        <v>45221</v>
      </c>
      <c r="G3079" s="3">
        <v>45221</v>
      </c>
      <c r="H3079">
        <v>8.6</v>
      </c>
      <c r="I3079">
        <v>4</v>
      </c>
      <c r="J3079" t="s">
        <v>4440</v>
      </c>
      <c r="K3079" t="s">
        <v>4441</v>
      </c>
      <c r="L3079" t="s">
        <v>4465</v>
      </c>
      <c r="M3079" t="s">
        <v>4450</v>
      </c>
    </row>
    <row r="3080" spans="1:14" x14ac:dyDescent="0.35">
      <c r="A3080" t="s">
        <v>7559</v>
      </c>
      <c r="B3080" t="s">
        <v>498</v>
      </c>
      <c r="C3080" t="s">
        <v>1915</v>
      </c>
      <c r="D3080" t="s">
        <v>4438</v>
      </c>
      <c r="E3080" t="s">
        <v>4444</v>
      </c>
      <c r="F3080" s="3">
        <v>45354</v>
      </c>
      <c r="G3080" s="3" t="s">
        <v>537</v>
      </c>
      <c r="I3080">
        <v>24</v>
      </c>
      <c r="J3080" t="s">
        <v>4448</v>
      </c>
      <c r="K3080" t="s">
        <v>4453</v>
      </c>
      <c r="L3080" t="s">
        <v>4512</v>
      </c>
      <c r="M3080" t="s">
        <v>4462</v>
      </c>
    </row>
    <row r="3081" spans="1:14" x14ac:dyDescent="0.35">
      <c r="A3081" t="s">
        <v>7560</v>
      </c>
      <c r="B3081" t="s">
        <v>178</v>
      </c>
      <c r="C3081" t="s">
        <v>1899</v>
      </c>
      <c r="D3081" t="s">
        <v>4452</v>
      </c>
      <c r="E3081" t="s">
        <v>79</v>
      </c>
      <c r="F3081" s="3">
        <v>45536</v>
      </c>
      <c r="G3081" s="3" t="s">
        <v>537</v>
      </c>
      <c r="I3081">
        <v>48</v>
      </c>
      <c r="J3081" t="s">
        <v>4448</v>
      </c>
      <c r="K3081" t="s">
        <v>4474</v>
      </c>
      <c r="L3081" t="s">
        <v>4449</v>
      </c>
      <c r="M3081" t="s">
        <v>4462</v>
      </c>
    </row>
    <row r="3082" spans="1:14" x14ac:dyDescent="0.35">
      <c r="A3082" t="s">
        <v>7561</v>
      </c>
      <c r="B3082" t="s">
        <v>356</v>
      </c>
      <c r="C3082" t="s">
        <v>1915</v>
      </c>
      <c r="D3082" t="s">
        <v>4482</v>
      </c>
      <c r="E3082" t="s">
        <v>4444</v>
      </c>
      <c r="F3082" s="3">
        <v>45409</v>
      </c>
      <c r="G3082" s="3" t="s">
        <v>537</v>
      </c>
      <c r="I3082">
        <v>24</v>
      </c>
      <c r="J3082" t="s">
        <v>4440</v>
      </c>
      <c r="K3082" t="s">
        <v>4474</v>
      </c>
      <c r="L3082" t="s">
        <v>4533</v>
      </c>
      <c r="M3082" t="s">
        <v>4446</v>
      </c>
    </row>
    <row r="3083" spans="1:14" x14ac:dyDescent="0.35">
      <c r="A3083" t="s">
        <v>7562</v>
      </c>
      <c r="B3083" t="s">
        <v>116</v>
      </c>
      <c r="C3083" t="s">
        <v>1883</v>
      </c>
      <c r="D3083" t="s">
        <v>4438</v>
      </c>
      <c r="E3083" t="s">
        <v>4444</v>
      </c>
      <c r="F3083" s="3">
        <v>45102</v>
      </c>
      <c r="G3083" s="3">
        <v>45103</v>
      </c>
      <c r="H3083">
        <v>44.7</v>
      </c>
      <c r="I3083">
        <v>24</v>
      </c>
      <c r="J3083" t="s">
        <v>4440</v>
      </c>
      <c r="K3083" t="s">
        <v>4441</v>
      </c>
      <c r="L3083" t="s">
        <v>4445</v>
      </c>
      <c r="M3083" t="s">
        <v>4462</v>
      </c>
      <c r="N3083">
        <v>4</v>
      </c>
    </row>
    <row r="3084" spans="1:14" x14ac:dyDescent="0.35">
      <c r="A3084" t="s">
        <v>7563</v>
      </c>
      <c r="B3084" t="s">
        <v>293</v>
      </c>
      <c r="C3084" t="s">
        <v>1927</v>
      </c>
      <c r="D3084" t="s">
        <v>4490</v>
      </c>
      <c r="E3084" t="s">
        <v>4473</v>
      </c>
      <c r="F3084" s="3">
        <v>45147</v>
      </c>
      <c r="G3084" s="3" t="s">
        <v>537</v>
      </c>
      <c r="I3084">
        <v>8</v>
      </c>
      <c r="J3084" t="s">
        <v>4440</v>
      </c>
      <c r="K3084" t="s">
        <v>4457</v>
      </c>
      <c r="L3084" t="s">
        <v>4461</v>
      </c>
      <c r="M3084" t="s">
        <v>4462</v>
      </c>
    </row>
    <row r="3085" spans="1:14" x14ac:dyDescent="0.35">
      <c r="A3085" t="s">
        <v>7564</v>
      </c>
      <c r="B3085" t="s">
        <v>339</v>
      </c>
      <c r="C3085" t="s">
        <v>1904</v>
      </c>
      <c r="D3085" t="s">
        <v>4460</v>
      </c>
      <c r="E3085" t="s">
        <v>4456</v>
      </c>
      <c r="F3085" s="3">
        <v>45528</v>
      </c>
      <c r="G3085" s="3">
        <v>45528</v>
      </c>
      <c r="H3085">
        <v>1.3</v>
      </c>
      <c r="I3085">
        <v>4</v>
      </c>
      <c r="J3085" t="s">
        <v>4448</v>
      </c>
      <c r="K3085" t="s">
        <v>4441</v>
      </c>
      <c r="L3085" t="s">
        <v>4454</v>
      </c>
      <c r="M3085" t="s">
        <v>4446</v>
      </c>
      <c r="N3085">
        <v>4</v>
      </c>
    </row>
    <row r="3086" spans="1:14" x14ac:dyDescent="0.35">
      <c r="A3086" t="s">
        <v>7565</v>
      </c>
      <c r="B3086" t="s">
        <v>428</v>
      </c>
      <c r="C3086" t="s">
        <v>1927</v>
      </c>
      <c r="D3086" t="s">
        <v>4464</v>
      </c>
      <c r="E3086" t="s">
        <v>4444</v>
      </c>
      <c r="F3086" s="3">
        <v>45561</v>
      </c>
      <c r="G3086" s="3" t="s">
        <v>537</v>
      </c>
      <c r="I3086">
        <v>24</v>
      </c>
      <c r="J3086" t="s">
        <v>4440</v>
      </c>
      <c r="K3086" t="s">
        <v>4457</v>
      </c>
      <c r="L3086" t="s">
        <v>4449</v>
      </c>
      <c r="M3086" t="s">
        <v>4450</v>
      </c>
    </row>
    <row r="3087" spans="1:14" x14ac:dyDescent="0.35">
      <c r="A3087" t="s">
        <v>7566</v>
      </c>
      <c r="B3087" t="s">
        <v>279</v>
      </c>
      <c r="C3087" t="s">
        <v>1890</v>
      </c>
      <c r="D3087" t="s">
        <v>4464</v>
      </c>
      <c r="E3087" t="s">
        <v>4444</v>
      </c>
      <c r="F3087" s="3">
        <v>45488</v>
      </c>
      <c r="G3087" s="3" t="s">
        <v>537</v>
      </c>
      <c r="I3087">
        <v>24</v>
      </c>
      <c r="J3087" t="s">
        <v>4440</v>
      </c>
      <c r="K3087" t="s">
        <v>4457</v>
      </c>
      <c r="L3087" t="s">
        <v>4454</v>
      </c>
      <c r="M3087" t="s">
        <v>4462</v>
      </c>
    </row>
    <row r="3088" spans="1:14" x14ac:dyDescent="0.35">
      <c r="A3088" t="s">
        <v>7567</v>
      </c>
      <c r="B3088" t="s">
        <v>363</v>
      </c>
      <c r="C3088" t="s">
        <v>1890</v>
      </c>
      <c r="D3088" t="s">
        <v>4479</v>
      </c>
      <c r="E3088" t="s">
        <v>4456</v>
      </c>
      <c r="F3088" s="3">
        <v>45573</v>
      </c>
      <c r="G3088" s="3">
        <v>45573</v>
      </c>
      <c r="H3088">
        <v>4.2</v>
      </c>
      <c r="I3088">
        <v>4</v>
      </c>
      <c r="J3088" t="s">
        <v>4440</v>
      </c>
      <c r="K3088" t="s">
        <v>4441</v>
      </c>
      <c r="L3088" t="s">
        <v>4470</v>
      </c>
      <c r="M3088" t="s">
        <v>4450</v>
      </c>
    </row>
    <row r="3089" spans="1:14" x14ac:dyDescent="0.35">
      <c r="A3089" t="s">
        <v>7568</v>
      </c>
      <c r="B3089" t="s">
        <v>494</v>
      </c>
      <c r="C3089" t="s">
        <v>1899</v>
      </c>
      <c r="D3089" t="s">
        <v>4464</v>
      </c>
      <c r="E3089" t="s">
        <v>4473</v>
      </c>
      <c r="F3089" s="3">
        <v>45333</v>
      </c>
      <c r="G3089" s="3">
        <v>45333</v>
      </c>
      <c r="H3089">
        <v>14.1</v>
      </c>
      <c r="I3089">
        <v>8</v>
      </c>
      <c r="J3089" t="s">
        <v>4440</v>
      </c>
      <c r="K3089" t="s">
        <v>4441</v>
      </c>
      <c r="L3089" t="s">
        <v>4501</v>
      </c>
      <c r="M3089" t="s">
        <v>4462</v>
      </c>
    </row>
    <row r="3090" spans="1:14" x14ac:dyDescent="0.35">
      <c r="A3090" t="s">
        <v>7569</v>
      </c>
      <c r="B3090" t="s">
        <v>406</v>
      </c>
      <c r="C3090" t="s">
        <v>1915</v>
      </c>
      <c r="D3090" t="s">
        <v>4438</v>
      </c>
      <c r="E3090" t="s">
        <v>4444</v>
      </c>
      <c r="F3090" s="3">
        <v>45717</v>
      </c>
      <c r="G3090" s="3">
        <v>45718</v>
      </c>
      <c r="H3090">
        <v>45.4</v>
      </c>
      <c r="I3090">
        <v>24</v>
      </c>
      <c r="J3090" t="s">
        <v>4440</v>
      </c>
      <c r="K3090" t="s">
        <v>4441</v>
      </c>
      <c r="L3090" t="s">
        <v>4458</v>
      </c>
      <c r="M3090" t="s">
        <v>1625</v>
      </c>
      <c r="N3090">
        <v>4</v>
      </c>
    </row>
    <row r="3091" spans="1:14" x14ac:dyDescent="0.35">
      <c r="A3091" t="s">
        <v>7570</v>
      </c>
      <c r="B3091" t="s">
        <v>118</v>
      </c>
      <c r="C3091" t="s">
        <v>1899</v>
      </c>
      <c r="D3091" t="s">
        <v>4469</v>
      </c>
      <c r="E3091" t="s">
        <v>4439</v>
      </c>
      <c r="F3091" s="3">
        <v>45393</v>
      </c>
      <c r="G3091" s="3">
        <v>45396</v>
      </c>
      <c r="H3091">
        <v>83.6</v>
      </c>
      <c r="I3091">
        <v>48</v>
      </c>
      <c r="J3091" t="s">
        <v>4440</v>
      </c>
      <c r="K3091" t="s">
        <v>4441</v>
      </c>
      <c r="L3091" t="s">
        <v>4580</v>
      </c>
      <c r="M3091" t="s">
        <v>4450</v>
      </c>
      <c r="N3091">
        <v>1</v>
      </c>
    </row>
    <row r="3092" spans="1:14" x14ac:dyDescent="0.35">
      <c r="A3092" t="s">
        <v>7571</v>
      </c>
      <c r="B3092" t="s">
        <v>32</v>
      </c>
      <c r="C3092" t="s">
        <v>1883</v>
      </c>
      <c r="D3092" t="s">
        <v>4482</v>
      </c>
      <c r="E3092" t="s">
        <v>4444</v>
      </c>
      <c r="F3092" s="3">
        <v>45517</v>
      </c>
      <c r="G3092" s="3">
        <v>45517</v>
      </c>
      <c r="H3092">
        <v>2</v>
      </c>
      <c r="I3092">
        <v>24</v>
      </c>
      <c r="J3092" t="s">
        <v>4448</v>
      </c>
      <c r="K3092" t="s">
        <v>4441</v>
      </c>
      <c r="L3092" t="s">
        <v>4458</v>
      </c>
      <c r="M3092" t="s">
        <v>4446</v>
      </c>
      <c r="N3092">
        <v>3</v>
      </c>
    </row>
    <row r="3093" spans="1:14" x14ac:dyDescent="0.35">
      <c r="A3093" t="s">
        <v>7572</v>
      </c>
      <c r="B3093" t="s">
        <v>130</v>
      </c>
      <c r="C3093" t="s">
        <v>1927</v>
      </c>
      <c r="D3093" t="s">
        <v>4469</v>
      </c>
      <c r="E3093" t="s">
        <v>4473</v>
      </c>
      <c r="F3093" s="3">
        <v>45247</v>
      </c>
      <c r="G3093" s="3">
        <v>45247</v>
      </c>
      <c r="H3093">
        <v>4.2</v>
      </c>
      <c r="I3093">
        <v>8</v>
      </c>
      <c r="J3093" t="s">
        <v>4448</v>
      </c>
      <c r="K3093" t="s">
        <v>4441</v>
      </c>
      <c r="L3093" t="s">
        <v>4483</v>
      </c>
      <c r="M3093" t="s">
        <v>4450</v>
      </c>
      <c r="N3093">
        <v>3</v>
      </c>
    </row>
    <row r="3094" spans="1:14" x14ac:dyDescent="0.35">
      <c r="A3094" t="s">
        <v>7573</v>
      </c>
      <c r="B3094" t="s">
        <v>284</v>
      </c>
      <c r="C3094" t="s">
        <v>1904</v>
      </c>
      <c r="D3094" t="s">
        <v>4469</v>
      </c>
      <c r="E3094" t="s">
        <v>4444</v>
      </c>
      <c r="F3094" s="3">
        <v>44983</v>
      </c>
      <c r="G3094" s="3" t="s">
        <v>537</v>
      </c>
      <c r="I3094">
        <v>24</v>
      </c>
      <c r="J3094" t="s">
        <v>4440</v>
      </c>
      <c r="K3094" t="s">
        <v>4474</v>
      </c>
      <c r="L3094" t="s">
        <v>1907</v>
      </c>
      <c r="M3094" t="s">
        <v>4446</v>
      </c>
    </row>
    <row r="3095" spans="1:14" x14ac:dyDescent="0.35">
      <c r="A3095" t="s">
        <v>7574</v>
      </c>
      <c r="B3095" t="s">
        <v>146</v>
      </c>
      <c r="C3095" t="s">
        <v>1927</v>
      </c>
      <c r="D3095" t="s">
        <v>4479</v>
      </c>
      <c r="E3095" t="s">
        <v>4473</v>
      </c>
      <c r="F3095" s="3">
        <v>45261</v>
      </c>
      <c r="G3095" s="3">
        <v>45261</v>
      </c>
      <c r="H3095">
        <v>1.8</v>
      </c>
      <c r="I3095">
        <v>8</v>
      </c>
      <c r="J3095" t="s">
        <v>4448</v>
      </c>
      <c r="K3095" t="s">
        <v>4441</v>
      </c>
      <c r="L3095" t="s">
        <v>4465</v>
      </c>
      <c r="M3095" t="s">
        <v>4446</v>
      </c>
      <c r="N3095">
        <v>5</v>
      </c>
    </row>
    <row r="3096" spans="1:14" x14ac:dyDescent="0.35">
      <c r="A3096" t="s">
        <v>7575</v>
      </c>
      <c r="B3096" t="s">
        <v>218</v>
      </c>
      <c r="C3096" t="s">
        <v>1904</v>
      </c>
      <c r="D3096" t="s">
        <v>4469</v>
      </c>
      <c r="E3096" t="s">
        <v>4456</v>
      </c>
      <c r="F3096" s="3">
        <v>45637</v>
      </c>
      <c r="G3096" s="3">
        <v>45637</v>
      </c>
      <c r="H3096">
        <v>4.3</v>
      </c>
      <c r="I3096">
        <v>4</v>
      </c>
      <c r="J3096" t="s">
        <v>4440</v>
      </c>
      <c r="K3096" t="s">
        <v>4441</v>
      </c>
      <c r="L3096" t="s">
        <v>4580</v>
      </c>
      <c r="M3096" t="s">
        <v>1625</v>
      </c>
    </row>
    <row r="3097" spans="1:14" x14ac:dyDescent="0.35">
      <c r="A3097" t="s">
        <v>7576</v>
      </c>
      <c r="B3097" t="s">
        <v>376</v>
      </c>
      <c r="C3097" t="s">
        <v>1883</v>
      </c>
      <c r="D3097" t="s">
        <v>4443</v>
      </c>
      <c r="E3097" t="s">
        <v>79</v>
      </c>
      <c r="F3097" s="3">
        <v>45522</v>
      </c>
      <c r="G3097" s="3">
        <v>45524</v>
      </c>
      <c r="H3097">
        <v>58.6</v>
      </c>
      <c r="I3097">
        <v>24</v>
      </c>
      <c r="J3097" t="s">
        <v>4440</v>
      </c>
      <c r="K3097" t="s">
        <v>4441</v>
      </c>
      <c r="L3097" t="s">
        <v>4509</v>
      </c>
      <c r="M3097" t="s">
        <v>4450</v>
      </c>
      <c r="N3097">
        <v>4</v>
      </c>
    </row>
    <row r="3098" spans="1:14" x14ac:dyDescent="0.35">
      <c r="A3098" t="s">
        <v>7577</v>
      </c>
      <c r="B3098" t="s">
        <v>238</v>
      </c>
      <c r="C3098" t="s">
        <v>1890</v>
      </c>
      <c r="D3098" t="s">
        <v>4482</v>
      </c>
      <c r="E3098" t="s">
        <v>4444</v>
      </c>
      <c r="F3098" s="3">
        <v>45538</v>
      </c>
      <c r="G3098" s="3" t="s">
        <v>537</v>
      </c>
      <c r="I3098">
        <v>24</v>
      </c>
      <c r="J3098" t="s">
        <v>4440</v>
      </c>
      <c r="K3098" t="s">
        <v>4474</v>
      </c>
      <c r="L3098" t="s">
        <v>1907</v>
      </c>
      <c r="M3098" t="s">
        <v>4450</v>
      </c>
    </row>
    <row r="3099" spans="1:14" x14ac:dyDescent="0.35">
      <c r="A3099" t="s">
        <v>7578</v>
      </c>
      <c r="B3099" t="s">
        <v>485</v>
      </c>
      <c r="C3099" t="s">
        <v>1899</v>
      </c>
      <c r="D3099" t="s">
        <v>4460</v>
      </c>
      <c r="E3099" t="s">
        <v>4473</v>
      </c>
      <c r="F3099" s="3">
        <v>44954</v>
      </c>
      <c r="G3099" s="3" t="s">
        <v>537</v>
      </c>
      <c r="I3099">
        <v>8</v>
      </c>
      <c r="J3099" t="s">
        <v>4440</v>
      </c>
      <c r="K3099" t="s">
        <v>4474</v>
      </c>
      <c r="L3099" t="s">
        <v>4483</v>
      </c>
      <c r="M3099" t="s">
        <v>4462</v>
      </c>
    </row>
    <row r="3100" spans="1:14" x14ac:dyDescent="0.35">
      <c r="A3100" t="s">
        <v>7579</v>
      </c>
      <c r="B3100" t="s">
        <v>424</v>
      </c>
      <c r="C3100" t="s">
        <v>1883</v>
      </c>
      <c r="D3100" t="s">
        <v>4476</v>
      </c>
      <c r="E3100" t="s">
        <v>4444</v>
      </c>
      <c r="F3100" s="3">
        <v>44958</v>
      </c>
      <c r="G3100" s="3">
        <v>44958</v>
      </c>
      <c r="H3100">
        <v>13.5</v>
      </c>
      <c r="I3100">
        <v>24</v>
      </c>
      <c r="J3100" t="s">
        <v>4448</v>
      </c>
      <c r="K3100" t="s">
        <v>4441</v>
      </c>
      <c r="L3100" t="s">
        <v>4483</v>
      </c>
      <c r="M3100" t="s">
        <v>1625</v>
      </c>
      <c r="N3100">
        <v>5</v>
      </c>
    </row>
    <row r="3101" spans="1:14" x14ac:dyDescent="0.35">
      <c r="A3101" t="s">
        <v>7580</v>
      </c>
      <c r="B3101" t="s">
        <v>314</v>
      </c>
      <c r="C3101" t="s">
        <v>1899</v>
      </c>
      <c r="D3101" t="s">
        <v>4469</v>
      </c>
      <c r="E3101" t="s">
        <v>4473</v>
      </c>
      <c r="F3101" s="3">
        <v>45129</v>
      </c>
      <c r="G3101" s="3" t="s">
        <v>537</v>
      </c>
      <c r="I3101">
        <v>8</v>
      </c>
      <c r="J3101" t="s">
        <v>4448</v>
      </c>
      <c r="K3101" t="s">
        <v>4474</v>
      </c>
      <c r="L3101" t="s">
        <v>4449</v>
      </c>
      <c r="M3101" t="s">
        <v>4446</v>
      </c>
    </row>
    <row r="3102" spans="1:14" x14ac:dyDescent="0.35">
      <c r="A3102" t="s">
        <v>7581</v>
      </c>
      <c r="B3102" t="s">
        <v>401</v>
      </c>
      <c r="C3102" t="s">
        <v>1927</v>
      </c>
      <c r="D3102" t="s">
        <v>4460</v>
      </c>
      <c r="E3102" t="s">
        <v>4473</v>
      </c>
      <c r="F3102" s="3">
        <v>45297</v>
      </c>
      <c r="G3102" s="3">
        <v>45297</v>
      </c>
      <c r="H3102">
        <v>5.4</v>
      </c>
      <c r="I3102">
        <v>8</v>
      </c>
      <c r="J3102" t="s">
        <v>4448</v>
      </c>
      <c r="K3102" t="s">
        <v>4441</v>
      </c>
      <c r="L3102" t="s">
        <v>4509</v>
      </c>
      <c r="M3102" t="s">
        <v>4450</v>
      </c>
      <c r="N3102">
        <v>3</v>
      </c>
    </row>
    <row r="3103" spans="1:14" x14ac:dyDescent="0.35">
      <c r="A3103" t="s">
        <v>7582</v>
      </c>
      <c r="B3103" t="s">
        <v>498</v>
      </c>
      <c r="C3103" t="s">
        <v>1883</v>
      </c>
      <c r="D3103" t="s">
        <v>4476</v>
      </c>
      <c r="E3103" t="s">
        <v>4444</v>
      </c>
      <c r="F3103" s="3">
        <v>45124</v>
      </c>
      <c r="G3103" s="3" t="s">
        <v>537</v>
      </c>
      <c r="I3103">
        <v>24</v>
      </c>
      <c r="J3103" t="s">
        <v>4440</v>
      </c>
      <c r="K3103" t="s">
        <v>4457</v>
      </c>
      <c r="L3103" t="s">
        <v>4449</v>
      </c>
      <c r="M3103" t="s">
        <v>4462</v>
      </c>
    </row>
    <row r="3104" spans="1:14" x14ac:dyDescent="0.35">
      <c r="A3104" t="s">
        <v>7583</v>
      </c>
      <c r="B3104" t="s">
        <v>268</v>
      </c>
      <c r="C3104" t="s">
        <v>1899</v>
      </c>
      <c r="D3104" t="s">
        <v>4438</v>
      </c>
      <c r="E3104" t="s">
        <v>79</v>
      </c>
      <c r="F3104" s="3">
        <v>44975</v>
      </c>
      <c r="G3104" s="3" t="s">
        <v>537</v>
      </c>
      <c r="I3104">
        <v>48</v>
      </c>
      <c r="J3104" t="s">
        <v>4448</v>
      </c>
      <c r="K3104" t="s">
        <v>4457</v>
      </c>
      <c r="L3104" t="s">
        <v>4467</v>
      </c>
      <c r="M3104" t="s">
        <v>4462</v>
      </c>
    </row>
    <row r="3105" spans="1:14" x14ac:dyDescent="0.35">
      <c r="A3105" t="s">
        <v>7584</v>
      </c>
      <c r="B3105" t="s">
        <v>140</v>
      </c>
      <c r="C3105" t="s">
        <v>1883</v>
      </c>
      <c r="D3105" t="s">
        <v>4482</v>
      </c>
      <c r="E3105" t="s">
        <v>4439</v>
      </c>
      <c r="F3105" s="3">
        <v>45176</v>
      </c>
      <c r="G3105" s="3" t="s">
        <v>537</v>
      </c>
      <c r="I3105">
        <v>48</v>
      </c>
      <c r="J3105" t="s">
        <v>4448</v>
      </c>
      <c r="K3105" t="s">
        <v>4457</v>
      </c>
      <c r="L3105" t="s">
        <v>4449</v>
      </c>
      <c r="M3105" t="s">
        <v>4446</v>
      </c>
    </row>
    <row r="3106" spans="1:14" x14ac:dyDescent="0.35">
      <c r="A3106" t="s">
        <v>7585</v>
      </c>
      <c r="B3106" t="s">
        <v>401</v>
      </c>
      <c r="C3106" t="s">
        <v>1899</v>
      </c>
      <c r="D3106" t="s">
        <v>4490</v>
      </c>
      <c r="E3106" t="s">
        <v>4473</v>
      </c>
      <c r="F3106" s="3">
        <v>45674</v>
      </c>
      <c r="G3106" s="3">
        <v>45674</v>
      </c>
      <c r="H3106">
        <v>2.6</v>
      </c>
      <c r="I3106">
        <v>8</v>
      </c>
      <c r="J3106" t="s">
        <v>4448</v>
      </c>
      <c r="K3106" t="s">
        <v>4441</v>
      </c>
      <c r="L3106" t="s">
        <v>4501</v>
      </c>
      <c r="M3106" t="s">
        <v>4462</v>
      </c>
      <c r="N3106">
        <v>5</v>
      </c>
    </row>
    <row r="3107" spans="1:14" x14ac:dyDescent="0.35">
      <c r="A3107" t="s">
        <v>7586</v>
      </c>
      <c r="B3107" t="s">
        <v>32</v>
      </c>
      <c r="C3107" t="s">
        <v>1890</v>
      </c>
      <c r="D3107" t="s">
        <v>4476</v>
      </c>
      <c r="E3107" t="s">
        <v>4439</v>
      </c>
      <c r="F3107" s="3">
        <v>45137</v>
      </c>
      <c r="G3107" s="3" t="s">
        <v>537</v>
      </c>
      <c r="I3107">
        <v>48</v>
      </c>
      <c r="J3107" t="s">
        <v>4440</v>
      </c>
      <c r="K3107" t="s">
        <v>4453</v>
      </c>
      <c r="L3107" t="s">
        <v>4449</v>
      </c>
      <c r="M3107" t="s">
        <v>4462</v>
      </c>
    </row>
    <row r="3108" spans="1:14" x14ac:dyDescent="0.35">
      <c r="A3108" t="s">
        <v>7587</v>
      </c>
      <c r="B3108" t="s">
        <v>343</v>
      </c>
      <c r="C3108" t="s">
        <v>1904</v>
      </c>
      <c r="D3108" t="s">
        <v>4490</v>
      </c>
      <c r="E3108" t="s">
        <v>4444</v>
      </c>
      <c r="F3108" s="3">
        <v>45624</v>
      </c>
      <c r="G3108" s="3">
        <v>45626</v>
      </c>
      <c r="H3108">
        <v>55.9</v>
      </c>
      <c r="I3108">
        <v>24</v>
      </c>
      <c r="J3108" t="s">
        <v>4440</v>
      </c>
      <c r="K3108" t="s">
        <v>4441</v>
      </c>
      <c r="L3108" t="s">
        <v>4514</v>
      </c>
      <c r="M3108" t="s">
        <v>4450</v>
      </c>
      <c r="N3108">
        <v>5</v>
      </c>
    </row>
    <row r="3109" spans="1:14" x14ac:dyDescent="0.35">
      <c r="A3109" t="s">
        <v>7588</v>
      </c>
      <c r="B3109" t="s">
        <v>423</v>
      </c>
      <c r="C3109" t="s">
        <v>1915</v>
      </c>
      <c r="D3109" t="s">
        <v>4452</v>
      </c>
      <c r="E3109" t="s">
        <v>4473</v>
      </c>
      <c r="F3109" s="3">
        <v>45442</v>
      </c>
      <c r="G3109" s="3">
        <v>45442</v>
      </c>
      <c r="H3109">
        <v>11.4</v>
      </c>
      <c r="I3109">
        <v>8</v>
      </c>
      <c r="J3109" t="s">
        <v>4440</v>
      </c>
      <c r="K3109" t="s">
        <v>4441</v>
      </c>
      <c r="L3109" t="s">
        <v>4512</v>
      </c>
      <c r="M3109" t="s">
        <v>4450</v>
      </c>
      <c r="N3109">
        <v>3</v>
      </c>
    </row>
    <row r="3110" spans="1:14" x14ac:dyDescent="0.35">
      <c r="A3110" t="s">
        <v>7589</v>
      </c>
      <c r="B3110" t="s">
        <v>122</v>
      </c>
      <c r="C3110" t="s">
        <v>1915</v>
      </c>
      <c r="D3110" t="s">
        <v>4482</v>
      </c>
      <c r="E3110" t="s">
        <v>4439</v>
      </c>
      <c r="F3110" s="3">
        <v>45133</v>
      </c>
      <c r="G3110" s="3">
        <v>45137</v>
      </c>
      <c r="H3110">
        <v>109.9</v>
      </c>
      <c r="I3110">
        <v>48</v>
      </c>
      <c r="J3110" t="s">
        <v>4440</v>
      </c>
      <c r="K3110" t="s">
        <v>4441</v>
      </c>
      <c r="L3110" t="s">
        <v>4449</v>
      </c>
      <c r="M3110" t="s">
        <v>1625</v>
      </c>
      <c r="N3110">
        <v>5</v>
      </c>
    </row>
    <row r="3111" spans="1:14" x14ac:dyDescent="0.35">
      <c r="A3111" t="s">
        <v>7590</v>
      </c>
      <c r="B3111" t="s">
        <v>243</v>
      </c>
      <c r="C3111" t="s">
        <v>1883</v>
      </c>
      <c r="D3111" t="s">
        <v>4490</v>
      </c>
      <c r="E3111" t="s">
        <v>4444</v>
      </c>
      <c r="F3111" s="3">
        <v>45209</v>
      </c>
      <c r="G3111" s="3">
        <v>45210</v>
      </c>
      <c r="H3111">
        <v>29.4</v>
      </c>
      <c r="I3111">
        <v>24</v>
      </c>
      <c r="J3111" t="s">
        <v>4440</v>
      </c>
      <c r="K3111" t="s">
        <v>4441</v>
      </c>
      <c r="L3111" t="s">
        <v>4514</v>
      </c>
      <c r="M3111" t="s">
        <v>4450</v>
      </c>
      <c r="N3111">
        <v>5</v>
      </c>
    </row>
    <row r="3112" spans="1:14" x14ac:dyDescent="0.35">
      <c r="A3112" t="s">
        <v>7591</v>
      </c>
      <c r="B3112" t="s">
        <v>482</v>
      </c>
      <c r="C3112" t="s">
        <v>1890</v>
      </c>
      <c r="D3112" t="s">
        <v>4452</v>
      </c>
      <c r="E3112" t="s">
        <v>4439</v>
      </c>
      <c r="F3112" s="3">
        <v>44986</v>
      </c>
      <c r="G3112" s="3" t="s">
        <v>537</v>
      </c>
      <c r="I3112">
        <v>48</v>
      </c>
      <c r="J3112" t="s">
        <v>4448</v>
      </c>
      <c r="K3112" t="s">
        <v>4453</v>
      </c>
      <c r="L3112" t="s">
        <v>4483</v>
      </c>
      <c r="M3112" t="s">
        <v>4446</v>
      </c>
    </row>
    <row r="3113" spans="1:14" x14ac:dyDescent="0.35">
      <c r="A3113" t="s">
        <v>7592</v>
      </c>
      <c r="B3113" t="s">
        <v>495</v>
      </c>
      <c r="C3113" t="s">
        <v>1883</v>
      </c>
      <c r="D3113" t="s">
        <v>4460</v>
      </c>
      <c r="E3113" t="s">
        <v>4473</v>
      </c>
      <c r="F3113" s="3">
        <v>45362</v>
      </c>
      <c r="G3113" s="3" t="s">
        <v>537</v>
      </c>
      <c r="I3113">
        <v>8</v>
      </c>
      <c r="J3113" t="s">
        <v>4448</v>
      </c>
      <c r="K3113" t="s">
        <v>4457</v>
      </c>
      <c r="L3113" t="s">
        <v>4533</v>
      </c>
      <c r="M3113" t="s">
        <v>4446</v>
      </c>
    </row>
    <row r="3114" spans="1:14" x14ac:dyDescent="0.35">
      <c r="A3114" t="s">
        <v>7593</v>
      </c>
      <c r="B3114" t="s">
        <v>126</v>
      </c>
      <c r="C3114" t="s">
        <v>1927</v>
      </c>
      <c r="D3114" t="s">
        <v>4482</v>
      </c>
      <c r="E3114" t="s">
        <v>4444</v>
      </c>
      <c r="F3114" s="3">
        <v>45206</v>
      </c>
      <c r="G3114" s="3" t="s">
        <v>537</v>
      </c>
      <c r="I3114">
        <v>24</v>
      </c>
      <c r="J3114" t="s">
        <v>4448</v>
      </c>
      <c r="K3114" t="s">
        <v>4474</v>
      </c>
      <c r="L3114" t="s">
        <v>4580</v>
      </c>
      <c r="M3114" t="s">
        <v>4450</v>
      </c>
    </row>
    <row r="3115" spans="1:14" x14ac:dyDescent="0.35">
      <c r="A3115" t="s">
        <v>7594</v>
      </c>
      <c r="B3115" t="s">
        <v>400</v>
      </c>
      <c r="C3115" t="s">
        <v>1915</v>
      </c>
      <c r="D3115" t="s">
        <v>4464</v>
      </c>
      <c r="E3115" t="s">
        <v>4439</v>
      </c>
      <c r="F3115" s="3">
        <v>45588</v>
      </c>
      <c r="G3115" s="3" t="s">
        <v>537</v>
      </c>
      <c r="I3115">
        <v>48</v>
      </c>
      <c r="J3115" t="s">
        <v>4448</v>
      </c>
      <c r="K3115" t="s">
        <v>4457</v>
      </c>
      <c r="L3115" t="s">
        <v>4527</v>
      </c>
      <c r="M3115" t="s">
        <v>4446</v>
      </c>
    </row>
    <row r="3116" spans="1:14" x14ac:dyDescent="0.35">
      <c r="A3116" t="s">
        <v>7595</v>
      </c>
      <c r="B3116" t="s">
        <v>362</v>
      </c>
      <c r="C3116" t="s">
        <v>1915</v>
      </c>
      <c r="D3116" t="s">
        <v>4443</v>
      </c>
      <c r="E3116" t="s">
        <v>4439</v>
      </c>
      <c r="F3116" s="3">
        <v>45105</v>
      </c>
      <c r="G3116" s="3" t="s">
        <v>537</v>
      </c>
      <c r="I3116">
        <v>48</v>
      </c>
      <c r="J3116" t="s">
        <v>4448</v>
      </c>
      <c r="K3116" t="s">
        <v>4457</v>
      </c>
      <c r="L3116" t="s">
        <v>4533</v>
      </c>
      <c r="M3116" t="s">
        <v>4462</v>
      </c>
    </row>
    <row r="3117" spans="1:14" x14ac:dyDescent="0.35">
      <c r="A3117" t="s">
        <v>7596</v>
      </c>
      <c r="B3117" t="s">
        <v>11</v>
      </c>
      <c r="C3117" t="s">
        <v>1890</v>
      </c>
      <c r="D3117" t="s">
        <v>8512</v>
      </c>
      <c r="E3117" t="s">
        <v>4473</v>
      </c>
      <c r="F3117" s="3">
        <v>45474</v>
      </c>
      <c r="G3117" s="3">
        <v>45474</v>
      </c>
      <c r="H3117">
        <v>5.8</v>
      </c>
      <c r="I3117">
        <v>8</v>
      </c>
      <c r="J3117" t="s">
        <v>4448</v>
      </c>
      <c r="K3117" t="s">
        <v>4441</v>
      </c>
      <c r="L3117" t="s">
        <v>4512</v>
      </c>
      <c r="M3117" t="s">
        <v>4446</v>
      </c>
      <c r="N3117">
        <v>3</v>
      </c>
    </row>
    <row r="3118" spans="1:14" x14ac:dyDescent="0.35">
      <c r="A3118" t="s">
        <v>7597</v>
      </c>
      <c r="B3118" t="s">
        <v>415</v>
      </c>
      <c r="C3118" t="s">
        <v>1899</v>
      </c>
      <c r="D3118" t="s">
        <v>4452</v>
      </c>
      <c r="E3118" t="s">
        <v>4456</v>
      </c>
      <c r="F3118" s="3">
        <v>45084</v>
      </c>
      <c r="G3118" s="3" t="s">
        <v>537</v>
      </c>
      <c r="I3118">
        <v>4</v>
      </c>
      <c r="J3118" t="s">
        <v>4440</v>
      </c>
      <c r="K3118" t="s">
        <v>4457</v>
      </c>
      <c r="L3118" t="s">
        <v>4488</v>
      </c>
      <c r="M3118" t="s">
        <v>4446</v>
      </c>
    </row>
    <row r="3119" spans="1:14" x14ac:dyDescent="0.35">
      <c r="A3119" t="s">
        <v>7598</v>
      </c>
      <c r="B3119" t="s">
        <v>201</v>
      </c>
      <c r="C3119" t="s">
        <v>1904</v>
      </c>
      <c r="D3119" t="s">
        <v>4469</v>
      </c>
      <c r="E3119" t="s">
        <v>4473</v>
      </c>
      <c r="F3119" s="3">
        <v>45722</v>
      </c>
      <c r="G3119" s="3">
        <v>45722</v>
      </c>
      <c r="H3119">
        <v>3.8</v>
      </c>
      <c r="I3119">
        <v>8</v>
      </c>
      <c r="J3119" t="s">
        <v>4448</v>
      </c>
      <c r="K3119" t="s">
        <v>4441</v>
      </c>
      <c r="L3119" t="s">
        <v>1907</v>
      </c>
      <c r="M3119" t="s">
        <v>4450</v>
      </c>
      <c r="N3119">
        <v>5</v>
      </c>
    </row>
    <row r="3120" spans="1:14" x14ac:dyDescent="0.35">
      <c r="A3120" t="s">
        <v>7599</v>
      </c>
      <c r="B3120" t="s">
        <v>77</v>
      </c>
      <c r="C3120" t="s">
        <v>1899</v>
      </c>
      <c r="D3120" t="s">
        <v>4472</v>
      </c>
      <c r="E3120" t="s">
        <v>4444</v>
      </c>
      <c r="F3120" s="3">
        <v>45066</v>
      </c>
      <c r="G3120" s="3">
        <v>45067</v>
      </c>
      <c r="H3120">
        <v>34.299999999999997</v>
      </c>
      <c r="I3120">
        <v>24</v>
      </c>
      <c r="J3120" t="s">
        <v>4440</v>
      </c>
      <c r="K3120" t="s">
        <v>4441</v>
      </c>
      <c r="L3120" t="s">
        <v>1907</v>
      </c>
      <c r="M3120" t="s">
        <v>1625</v>
      </c>
      <c r="N3120">
        <v>2</v>
      </c>
    </row>
    <row r="3121" spans="1:14" x14ac:dyDescent="0.35">
      <c r="A3121" t="s">
        <v>7600</v>
      </c>
      <c r="B3121" t="s">
        <v>216</v>
      </c>
      <c r="C3121" t="s">
        <v>1883</v>
      </c>
      <c r="D3121" t="s">
        <v>4438</v>
      </c>
      <c r="E3121" t="s">
        <v>4444</v>
      </c>
      <c r="F3121" s="3">
        <v>45423</v>
      </c>
      <c r="G3121" s="3">
        <v>45424</v>
      </c>
      <c r="H3121">
        <v>26.9</v>
      </c>
      <c r="I3121">
        <v>24</v>
      </c>
      <c r="J3121" t="s">
        <v>4440</v>
      </c>
      <c r="K3121" t="s">
        <v>4441</v>
      </c>
      <c r="L3121" t="s">
        <v>4580</v>
      </c>
      <c r="M3121" t="s">
        <v>4450</v>
      </c>
      <c r="N3121">
        <v>4</v>
      </c>
    </row>
    <row r="3122" spans="1:14" x14ac:dyDescent="0.35">
      <c r="A3122" t="s">
        <v>7601</v>
      </c>
      <c r="B3122" t="s">
        <v>410</v>
      </c>
      <c r="C3122" t="s">
        <v>1904</v>
      </c>
      <c r="D3122" t="s">
        <v>4485</v>
      </c>
      <c r="E3122" t="s">
        <v>4473</v>
      </c>
      <c r="F3122" s="3">
        <v>45726</v>
      </c>
      <c r="G3122" s="3" t="s">
        <v>537</v>
      </c>
      <c r="I3122">
        <v>8</v>
      </c>
      <c r="J3122" t="s">
        <v>4440</v>
      </c>
      <c r="K3122" t="s">
        <v>4457</v>
      </c>
      <c r="L3122" t="s">
        <v>4454</v>
      </c>
      <c r="M3122" t="s">
        <v>4450</v>
      </c>
    </row>
    <row r="3123" spans="1:14" x14ac:dyDescent="0.35">
      <c r="A3123" t="s">
        <v>7602</v>
      </c>
      <c r="B3123" t="s">
        <v>226</v>
      </c>
      <c r="C3123" t="s">
        <v>1927</v>
      </c>
      <c r="D3123" t="s">
        <v>4490</v>
      </c>
      <c r="E3123" t="s">
        <v>4473</v>
      </c>
      <c r="F3123" s="3">
        <v>45411</v>
      </c>
      <c r="G3123" s="3" t="s">
        <v>537</v>
      </c>
      <c r="I3123">
        <v>8</v>
      </c>
      <c r="J3123" t="s">
        <v>4448</v>
      </c>
      <c r="K3123" t="s">
        <v>4457</v>
      </c>
      <c r="L3123" t="s">
        <v>4461</v>
      </c>
      <c r="M3123" t="s">
        <v>4450</v>
      </c>
    </row>
    <row r="3124" spans="1:14" x14ac:dyDescent="0.35">
      <c r="A3124" t="s">
        <v>7603</v>
      </c>
      <c r="B3124" t="s">
        <v>381</v>
      </c>
      <c r="C3124" t="s">
        <v>1890</v>
      </c>
      <c r="D3124" t="s">
        <v>4452</v>
      </c>
      <c r="E3124" t="s">
        <v>4473</v>
      </c>
      <c r="F3124" s="3">
        <v>45242</v>
      </c>
      <c r="G3124" s="3">
        <v>45242</v>
      </c>
      <c r="H3124">
        <v>2.8</v>
      </c>
      <c r="I3124">
        <v>8</v>
      </c>
      <c r="J3124" t="s">
        <v>4448</v>
      </c>
      <c r="K3124" t="s">
        <v>4441</v>
      </c>
      <c r="L3124" t="s">
        <v>4533</v>
      </c>
      <c r="M3124" t="s">
        <v>4462</v>
      </c>
      <c r="N3124">
        <v>2</v>
      </c>
    </row>
    <row r="3125" spans="1:14" x14ac:dyDescent="0.35">
      <c r="A3125" t="s">
        <v>7604</v>
      </c>
      <c r="B3125" t="s">
        <v>496</v>
      </c>
      <c r="C3125" t="s">
        <v>1904</v>
      </c>
      <c r="D3125" t="s">
        <v>4482</v>
      </c>
      <c r="E3125" t="s">
        <v>4444</v>
      </c>
      <c r="F3125" s="3">
        <v>45034</v>
      </c>
      <c r="G3125" s="3" t="s">
        <v>537</v>
      </c>
      <c r="I3125">
        <v>24</v>
      </c>
      <c r="J3125" t="s">
        <v>4440</v>
      </c>
      <c r="K3125" t="s">
        <v>4474</v>
      </c>
      <c r="L3125" t="s">
        <v>4488</v>
      </c>
      <c r="M3125" t="s">
        <v>1625</v>
      </c>
    </row>
    <row r="3126" spans="1:14" x14ac:dyDescent="0.35">
      <c r="A3126" t="s">
        <v>7605</v>
      </c>
      <c r="B3126" t="s">
        <v>329</v>
      </c>
      <c r="C3126" t="s">
        <v>1915</v>
      </c>
      <c r="D3126" t="s">
        <v>4443</v>
      </c>
      <c r="E3126" t="s">
        <v>4439</v>
      </c>
      <c r="F3126" s="3">
        <v>45195</v>
      </c>
      <c r="G3126" s="3">
        <v>45196</v>
      </c>
      <c r="H3126">
        <v>26</v>
      </c>
      <c r="I3126">
        <v>48</v>
      </c>
      <c r="J3126" t="s">
        <v>4448</v>
      </c>
      <c r="K3126" t="s">
        <v>4441</v>
      </c>
      <c r="L3126" t="s">
        <v>4465</v>
      </c>
      <c r="M3126" t="s">
        <v>4446</v>
      </c>
      <c r="N3126">
        <v>3</v>
      </c>
    </row>
    <row r="3127" spans="1:14" x14ac:dyDescent="0.35">
      <c r="A3127" t="s">
        <v>7606</v>
      </c>
      <c r="B3127" t="s">
        <v>475</v>
      </c>
      <c r="C3127" t="s">
        <v>1927</v>
      </c>
      <c r="D3127" t="s">
        <v>4490</v>
      </c>
      <c r="E3127" t="s">
        <v>4444</v>
      </c>
      <c r="F3127" s="3">
        <v>45324</v>
      </c>
      <c r="G3127" s="3">
        <v>45324</v>
      </c>
      <c r="H3127">
        <v>3.6</v>
      </c>
      <c r="I3127">
        <v>24</v>
      </c>
      <c r="J3127" t="s">
        <v>4448</v>
      </c>
      <c r="K3127" t="s">
        <v>4441</v>
      </c>
      <c r="L3127" t="s">
        <v>4514</v>
      </c>
      <c r="M3127" t="s">
        <v>4446</v>
      </c>
      <c r="N3127">
        <v>5</v>
      </c>
    </row>
    <row r="3128" spans="1:14" x14ac:dyDescent="0.35">
      <c r="A3128" t="s">
        <v>7607</v>
      </c>
      <c r="B3128" t="s">
        <v>437</v>
      </c>
      <c r="C3128" t="s">
        <v>1904</v>
      </c>
      <c r="D3128" t="s">
        <v>4485</v>
      </c>
      <c r="E3128" t="s">
        <v>4473</v>
      </c>
      <c r="F3128" s="3">
        <v>45251</v>
      </c>
      <c r="G3128" s="3">
        <v>45251</v>
      </c>
      <c r="H3128">
        <v>16.600000000000001</v>
      </c>
      <c r="I3128">
        <v>8</v>
      </c>
      <c r="J3128" t="s">
        <v>4440</v>
      </c>
      <c r="K3128" t="s">
        <v>4441</v>
      </c>
      <c r="L3128" t="s">
        <v>4449</v>
      </c>
      <c r="M3128" t="s">
        <v>1625</v>
      </c>
      <c r="N3128">
        <v>1</v>
      </c>
    </row>
    <row r="3129" spans="1:14" x14ac:dyDescent="0.35">
      <c r="A3129" t="s">
        <v>7608</v>
      </c>
      <c r="B3129" t="s">
        <v>140</v>
      </c>
      <c r="C3129" t="s">
        <v>1890</v>
      </c>
      <c r="D3129" t="s">
        <v>4438</v>
      </c>
      <c r="E3129" t="s">
        <v>4444</v>
      </c>
      <c r="F3129" s="3">
        <v>44949</v>
      </c>
      <c r="G3129" s="3">
        <v>44949</v>
      </c>
      <c r="H3129">
        <v>12</v>
      </c>
      <c r="I3129">
        <v>24</v>
      </c>
      <c r="J3129" t="s">
        <v>4448</v>
      </c>
      <c r="K3129" t="s">
        <v>4441</v>
      </c>
      <c r="L3129" t="s">
        <v>4449</v>
      </c>
      <c r="M3129" t="s">
        <v>4446</v>
      </c>
      <c r="N3129">
        <v>5</v>
      </c>
    </row>
    <row r="3130" spans="1:14" x14ac:dyDescent="0.35">
      <c r="A3130" t="s">
        <v>7609</v>
      </c>
      <c r="B3130" t="s">
        <v>224</v>
      </c>
      <c r="C3130" t="s">
        <v>1883</v>
      </c>
      <c r="D3130" t="s">
        <v>4479</v>
      </c>
      <c r="E3130" t="s">
        <v>4444</v>
      </c>
      <c r="F3130" s="3">
        <v>45516</v>
      </c>
      <c r="G3130" s="3" t="s">
        <v>537</v>
      </c>
      <c r="I3130">
        <v>24</v>
      </c>
      <c r="J3130" t="s">
        <v>4440</v>
      </c>
      <c r="K3130" t="s">
        <v>4474</v>
      </c>
      <c r="L3130" t="s">
        <v>4501</v>
      </c>
      <c r="M3130" t="s">
        <v>4450</v>
      </c>
    </row>
    <row r="3131" spans="1:14" x14ac:dyDescent="0.35">
      <c r="A3131" t="s">
        <v>7610</v>
      </c>
      <c r="B3131" t="s">
        <v>395</v>
      </c>
      <c r="C3131" t="s">
        <v>1927</v>
      </c>
      <c r="D3131" t="s">
        <v>4472</v>
      </c>
      <c r="E3131" t="s">
        <v>4439</v>
      </c>
      <c r="F3131" s="3">
        <v>45708</v>
      </c>
      <c r="G3131" s="3">
        <v>45709</v>
      </c>
      <c r="H3131">
        <v>38.4</v>
      </c>
      <c r="I3131">
        <v>48</v>
      </c>
      <c r="J3131" t="s">
        <v>4448</v>
      </c>
      <c r="K3131" t="s">
        <v>4441</v>
      </c>
      <c r="L3131" t="s">
        <v>4470</v>
      </c>
      <c r="M3131" t="s">
        <v>4446</v>
      </c>
      <c r="N3131">
        <v>1</v>
      </c>
    </row>
    <row r="3132" spans="1:14" x14ac:dyDescent="0.35">
      <c r="A3132" t="s">
        <v>7611</v>
      </c>
      <c r="B3132" t="s">
        <v>321</v>
      </c>
      <c r="C3132" t="s">
        <v>1883</v>
      </c>
      <c r="D3132" t="s">
        <v>4438</v>
      </c>
      <c r="E3132" t="s">
        <v>4473</v>
      </c>
      <c r="F3132" s="3">
        <v>45266</v>
      </c>
      <c r="G3132" s="3">
        <v>45266</v>
      </c>
      <c r="H3132">
        <v>8.6</v>
      </c>
      <c r="I3132">
        <v>8</v>
      </c>
      <c r="J3132" t="s">
        <v>4440</v>
      </c>
      <c r="K3132" t="s">
        <v>4441</v>
      </c>
      <c r="L3132" t="s">
        <v>4533</v>
      </c>
      <c r="M3132" t="s">
        <v>1625</v>
      </c>
      <c r="N3132">
        <v>3</v>
      </c>
    </row>
    <row r="3133" spans="1:14" x14ac:dyDescent="0.35">
      <c r="A3133" t="s">
        <v>7612</v>
      </c>
      <c r="B3133" t="s">
        <v>495</v>
      </c>
      <c r="C3133" t="s">
        <v>1927</v>
      </c>
      <c r="D3133" t="s">
        <v>4482</v>
      </c>
      <c r="E3133" t="s">
        <v>4473</v>
      </c>
      <c r="F3133" s="3">
        <v>45374</v>
      </c>
      <c r="G3133" s="3" t="s">
        <v>537</v>
      </c>
      <c r="I3133">
        <v>8</v>
      </c>
      <c r="J3133" t="s">
        <v>4440</v>
      </c>
      <c r="K3133" t="s">
        <v>4474</v>
      </c>
      <c r="L3133" t="s">
        <v>4461</v>
      </c>
      <c r="M3133" t="s">
        <v>4450</v>
      </c>
    </row>
    <row r="3134" spans="1:14" x14ac:dyDescent="0.35">
      <c r="A3134" t="s">
        <v>7613</v>
      </c>
      <c r="B3134" t="s">
        <v>242</v>
      </c>
      <c r="C3134" t="s">
        <v>1927</v>
      </c>
      <c r="D3134" t="s">
        <v>4464</v>
      </c>
      <c r="E3134" t="s">
        <v>4473</v>
      </c>
      <c r="F3134" s="3">
        <v>45375</v>
      </c>
      <c r="G3134" s="3" t="s">
        <v>537</v>
      </c>
      <c r="I3134">
        <v>8</v>
      </c>
      <c r="J3134" t="s">
        <v>4440</v>
      </c>
      <c r="K3134" t="s">
        <v>4457</v>
      </c>
      <c r="L3134" t="s">
        <v>4449</v>
      </c>
      <c r="M3134" t="s">
        <v>4446</v>
      </c>
    </row>
    <row r="3135" spans="1:14" x14ac:dyDescent="0.35">
      <c r="A3135" t="s">
        <v>7614</v>
      </c>
      <c r="B3135" t="s">
        <v>366</v>
      </c>
      <c r="C3135" t="s">
        <v>1904</v>
      </c>
      <c r="D3135" t="s">
        <v>4490</v>
      </c>
      <c r="E3135" t="s">
        <v>4439</v>
      </c>
      <c r="F3135" s="3">
        <v>45359</v>
      </c>
      <c r="G3135" s="3">
        <v>45360</v>
      </c>
      <c r="H3135">
        <v>44.2</v>
      </c>
      <c r="I3135">
        <v>48</v>
      </c>
      <c r="J3135" t="s">
        <v>4448</v>
      </c>
      <c r="K3135" t="s">
        <v>4441</v>
      </c>
      <c r="L3135" t="s">
        <v>4501</v>
      </c>
      <c r="M3135" t="s">
        <v>1625</v>
      </c>
      <c r="N3135">
        <v>5</v>
      </c>
    </row>
    <row r="3136" spans="1:14" x14ac:dyDescent="0.35">
      <c r="A3136" t="s">
        <v>7615</v>
      </c>
      <c r="B3136" t="s">
        <v>381</v>
      </c>
      <c r="C3136" t="s">
        <v>1899</v>
      </c>
      <c r="D3136" t="s">
        <v>4482</v>
      </c>
      <c r="E3136" t="s">
        <v>4456</v>
      </c>
      <c r="F3136" s="3">
        <v>45651</v>
      </c>
      <c r="G3136" s="3" t="s">
        <v>537</v>
      </c>
      <c r="I3136">
        <v>4</v>
      </c>
      <c r="J3136" t="s">
        <v>4440</v>
      </c>
      <c r="K3136" t="s">
        <v>4453</v>
      </c>
      <c r="L3136" t="s">
        <v>4533</v>
      </c>
      <c r="M3136" t="s">
        <v>1625</v>
      </c>
    </row>
    <row r="3137" spans="1:14" x14ac:dyDescent="0.35">
      <c r="A3137" t="s">
        <v>7616</v>
      </c>
      <c r="B3137" t="s">
        <v>300</v>
      </c>
      <c r="C3137" t="s">
        <v>1915</v>
      </c>
      <c r="D3137" t="s">
        <v>4485</v>
      </c>
      <c r="E3137" t="s">
        <v>4444</v>
      </c>
      <c r="F3137" s="3">
        <v>45010</v>
      </c>
      <c r="G3137" s="3">
        <v>45011</v>
      </c>
      <c r="H3137">
        <v>31</v>
      </c>
      <c r="I3137">
        <v>24</v>
      </c>
      <c r="J3137" t="s">
        <v>4440</v>
      </c>
      <c r="K3137" t="s">
        <v>4441</v>
      </c>
      <c r="L3137" t="s">
        <v>4527</v>
      </c>
      <c r="M3137" t="s">
        <v>1625</v>
      </c>
      <c r="N3137">
        <v>4</v>
      </c>
    </row>
    <row r="3138" spans="1:14" x14ac:dyDescent="0.35">
      <c r="A3138" t="s">
        <v>7617</v>
      </c>
      <c r="B3138" t="s">
        <v>60</v>
      </c>
      <c r="C3138" t="s">
        <v>1927</v>
      </c>
      <c r="D3138" t="s">
        <v>4443</v>
      </c>
      <c r="E3138" t="s">
        <v>4473</v>
      </c>
      <c r="F3138" s="3">
        <v>45145</v>
      </c>
      <c r="G3138" s="3">
        <v>45145</v>
      </c>
      <c r="H3138">
        <v>8.6999999999999993</v>
      </c>
      <c r="I3138">
        <v>8</v>
      </c>
      <c r="J3138" t="s">
        <v>4440</v>
      </c>
      <c r="K3138" t="s">
        <v>4441</v>
      </c>
      <c r="L3138" t="s">
        <v>4492</v>
      </c>
      <c r="M3138" t="s">
        <v>4446</v>
      </c>
      <c r="N3138">
        <v>1</v>
      </c>
    </row>
    <row r="3139" spans="1:14" x14ac:dyDescent="0.35">
      <c r="A3139" t="s">
        <v>7618</v>
      </c>
      <c r="B3139" t="s">
        <v>476</v>
      </c>
      <c r="C3139" t="s">
        <v>1890</v>
      </c>
      <c r="D3139" t="s">
        <v>4464</v>
      </c>
      <c r="E3139" t="s">
        <v>4444</v>
      </c>
      <c r="F3139" s="3">
        <v>45181</v>
      </c>
      <c r="G3139" s="3" t="s">
        <v>537</v>
      </c>
      <c r="I3139">
        <v>24</v>
      </c>
      <c r="J3139" t="s">
        <v>4440</v>
      </c>
      <c r="K3139" t="s">
        <v>4474</v>
      </c>
      <c r="L3139" t="s">
        <v>4449</v>
      </c>
      <c r="M3139" t="s">
        <v>4462</v>
      </c>
    </row>
    <row r="3140" spans="1:14" x14ac:dyDescent="0.35">
      <c r="A3140" t="s">
        <v>7619</v>
      </c>
      <c r="B3140" t="s">
        <v>236</v>
      </c>
      <c r="C3140" t="s">
        <v>1927</v>
      </c>
      <c r="D3140" t="s">
        <v>4443</v>
      </c>
      <c r="E3140" t="s">
        <v>4444</v>
      </c>
      <c r="F3140" s="3">
        <v>45412</v>
      </c>
      <c r="G3140" s="3">
        <v>45412</v>
      </c>
      <c r="H3140">
        <v>0.6</v>
      </c>
      <c r="I3140">
        <v>24</v>
      </c>
      <c r="J3140" t="s">
        <v>4448</v>
      </c>
      <c r="K3140" t="s">
        <v>4441</v>
      </c>
      <c r="L3140" t="s">
        <v>4461</v>
      </c>
      <c r="M3140" t="s">
        <v>4462</v>
      </c>
      <c r="N3140">
        <v>4</v>
      </c>
    </row>
    <row r="3141" spans="1:14" x14ac:dyDescent="0.35">
      <c r="A3141" t="s">
        <v>7620</v>
      </c>
      <c r="B3141" t="s">
        <v>242</v>
      </c>
      <c r="C3141" t="s">
        <v>1927</v>
      </c>
      <c r="D3141" t="s">
        <v>4479</v>
      </c>
      <c r="E3141" t="s">
        <v>4444</v>
      </c>
      <c r="F3141" s="3">
        <v>45461</v>
      </c>
      <c r="G3141" s="3">
        <v>45463</v>
      </c>
      <c r="H3141">
        <v>55.3</v>
      </c>
      <c r="I3141">
        <v>24</v>
      </c>
      <c r="J3141" t="s">
        <v>1945</v>
      </c>
      <c r="K3141" t="s">
        <v>4441</v>
      </c>
      <c r="L3141" t="s">
        <v>4492</v>
      </c>
      <c r="M3141" t="s">
        <v>4462</v>
      </c>
      <c r="N3141">
        <v>4</v>
      </c>
    </row>
    <row r="3142" spans="1:14" x14ac:dyDescent="0.35">
      <c r="A3142" t="s">
        <v>7621</v>
      </c>
      <c r="B3142" t="s">
        <v>146</v>
      </c>
      <c r="C3142" t="s">
        <v>1899</v>
      </c>
      <c r="D3142" t="s">
        <v>4460</v>
      </c>
      <c r="E3142" t="s">
        <v>4439</v>
      </c>
      <c r="F3142" s="3">
        <v>45058</v>
      </c>
      <c r="G3142" s="3">
        <v>45062</v>
      </c>
      <c r="H3142">
        <v>107.2</v>
      </c>
      <c r="I3142">
        <v>48</v>
      </c>
      <c r="J3142" t="s">
        <v>4440</v>
      </c>
      <c r="K3142" t="s">
        <v>4441</v>
      </c>
      <c r="L3142" t="s">
        <v>4461</v>
      </c>
      <c r="M3142" t="s">
        <v>1625</v>
      </c>
      <c r="N3142">
        <v>3</v>
      </c>
    </row>
    <row r="3143" spans="1:14" x14ac:dyDescent="0.35">
      <c r="A3143" t="s">
        <v>7622</v>
      </c>
      <c r="B3143" t="s">
        <v>372</v>
      </c>
      <c r="C3143" t="s">
        <v>1899</v>
      </c>
      <c r="D3143" t="s">
        <v>4490</v>
      </c>
      <c r="E3143" t="s">
        <v>4456</v>
      </c>
      <c r="F3143" s="3">
        <v>45126</v>
      </c>
      <c r="G3143" s="3">
        <v>45126</v>
      </c>
      <c r="H3143">
        <v>3.3</v>
      </c>
      <c r="I3143">
        <v>4</v>
      </c>
      <c r="J3143" t="s">
        <v>4448</v>
      </c>
      <c r="K3143" t="s">
        <v>4441</v>
      </c>
      <c r="L3143" t="s">
        <v>4483</v>
      </c>
      <c r="M3143" t="s">
        <v>4446</v>
      </c>
      <c r="N3143">
        <v>4</v>
      </c>
    </row>
    <row r="3144" spans="1:14" x14ac:dyDescent="0.35">
      <c r="A3144" t="s">
        <v>7623</v>
      </c>
      <c r="B3144" t="s">
        <v>490</v>
      </c>
      <c r="C3144" t="s">
        <v>1904</v>
      </c>
      <c r="D3144" t="s">
        <v>4472</v>
      </c>
      <c r="E3144" t="s">
        <v>4439</v>
      </c>
      <c r="F3144" s="3">
        <v>45552</v>
      </c>
      <c r="G3144" s="3">
        <v>45555</v>
      </c>
      <c r="H3144">
        <v>83.8</v>
      </c>
      <c r="I3144">
        <v>48</v>
      </c>
      <c r="J3144" t="s">
        <v>4440</v>
      </c>
      <c r="K3144" t="s">
        <v>4441</v>
      </c>
      <c r="L3144" t="s">
        <v>4488</v>
      </c>
      <c r="M3144" t="s">
        <v>4446</v>
      </c>
      <c r="N3144">
        <v>3</v>
      </c>
    </row>
    <row r="3145" spans="1:14" x14ac:dyDescent="0.35">
      <c r="A3145" t="s">
        <v>7624</v>
      </c>
      <c r="B3145" t="s">
        <v>86</v>
      </c>
      <c r="C3145" t="s">
        <v>1899</v>
      </c>
      <c r="D3145" t="s">
        <v>4443</v>
      </c>
      <c r="E3145" t="s">
        <v>4456</v>
      </c>
      <c r="F3145" s="3">
        <v>45721</v>
      </c>
      <c r="G3145" s="3">
        <v>45721</v>
      </c>
      <c r="H3145">
        <v>4.2</v>
      </c>
      <c r="I3145">
        <v>4</v>
      </c>
      <c r="J3145" t="s">
        <v>4440</v>
      </c>
      <c r="K3145" t="s">
        <v>4441</v>
      </c>
      <c r="L3145" t="s">
        <v>4470</v>
      </c>
      <c r="M3145" t="s">
        <v>4446</v>
      </c>
      <c r="N3145">
        <v>5</v>
      </c>
    </row>
    <row r="3146" spans="1:14" x14ac:dyDescent="0.35">
      <c r="A3146" t="s">
        <v>7625</v>
      </c>
      <c r="B3146" t="s">
        <v>378</v>
      </c>
      <c r="C3146" t="s">
        <v>1890</v>
      </c>
      <c r="D3146" t="s">
        <v>4460</v>
      </c>
      <c r="E3146" t="s">
        <v>4473</v>
      </c>
      <c r="F3146" s="3">
        <v>45570</v>
      </c>
      <c r="G3146" s="3">
        <v>45570</v>
      </c>
      <c r="H3146">
        <v>12.3</v>
      </c>
      <c r="I3146">
        <v>8</v>
      </c>
      <c r="J3146" t="s">
        <v>4440</v>
      </c>
      <c r="K3146" t="s">
        <v>4441</v>
      </c>
      <c r="L3146" t="s">
        <v>4492</v>
      </c>
      <c r="M3146" t="s">
        <v>1625</v>
      </c>
      <c r="N3146">
        <v>4</v>
      </c>
    </row>
    <row r="3147" spans="1:14" x14ac:dyDescent="0.35">
      <c r="A3147" t="s">
        <v>7626</v>
      </c>
      <c r="B3147" t="s">
        <v>52</v>
      </c>
      <c r="C3147" t="s">
        <v>1883</v>
      </c>
      <c r="D3147" t="s">
        <v>4464</v>
      </c>
      <c r="E3147" t="s">
        <v>4444</v>
      </c>
      <c r="F3147" s="3">
        <v>45706</v>
      </c>
      <c r="G3147" s="3">
        <v>45706</v>
      </c>
      <c r="H3147">
        <v>18.2</v>
      </c>
      <c r="I3147">
        <v>24</v>
      </c>
      <c r="J3147" t="s">
        <v>4448</v>
      </c>
      <c r="K3147" t="s">
        <v>4441</v>
      </c>
      <c r="L3147" t="s">
        <v>4449</v>
      </c>
      <c r="M3147" t="s">
        <v>4462</v>
      </c>
      <c r="N3147">
        <v>2</v>
      </c>
    </row>
    <row r="3148" spans="1:14" x14ac:dyDescent="0.35">
      <c r="A3148" t="s">
        <v>7627</v>
      </c>
      <c r="B3148" t="s">
        <v>431</v>
      </c>
      <c r="C3148" t="s">
        <v>1915</v>
      </c>
      <c r="D3148" t="s">
        <v>4469</v>
      </c>
      <c r="E3148" t="s">
        <v>4439</v>
      </c>
      <c r="F3148" s="3">
        <v>45444</v>
      </c>
      <c r="G3148" s="3">
        <v>45448</v>
      </c>
      <c r="H3148">
        <v>97.8</v>
      </c>
      <c r="I3148">
        <v>48</v>
      </c>
      <c r="J3148" t="s">
        <v>4440</v>
      </c>
      <c r="K3148" t="s">
        <v>4441</v>
      </c>
      <c r="L3148" t="s">
        <v>4458</v>
      </c>
      <c r="M3148" t="s">
        <v>4462</v>
      </c>
      <c r="N3148">
        <v>4</v>
      </c>
    </row>
    <row r="3149" spans="1:14" x14ac:dyDescent="0.35">
      <c r="A3149" t="s">
        <v>7628</v>
      </c>
      <c r="B3149" t="s">
        <v>266</v>
      </c>
      <c r="C3149" t="s">
        <v>1927</v>
      </c>
      <c r="D3149" t="s">
        <v>4469</v>
      </c>
      <c r="E3149" t="s">
        <v>4444</v>
      </c>
      <c r="F3149" s="3">
        <v>45257</v>
      </c>
      <c r="G3149" s="3" t="s">
        <v>537</v>
      </c>
      <c r="I3149">
        <v>24</v>
      </c>
      <c r="J3149" t="s">
        <v>4440</v>
      </c>
      <c r="K3149" t="s">
        <v>4457</v>
      </c>
      <c r="L3149" t="s">
        <v>1907</v>
      </c>
      <c r="M3149" t="s">
        <v>4450</v>
      </c>
    </row>
    <row r="3150" spans="1:14" x14ac:dyDescent="0.35">
      <c r="A3150" t="s">
        <v>7629</v>
      </c>
      <c r="B3150" t="s">
        <v>269</v>
      </c>
      <c r="C3150" t="s">
        <v>1904</v>
      </c>
      <c r="D3150" t="s">
        <v>4490</v>
      </c>
      <c r="E3150" t="s">
        <v>4439</v>
      </c>
      <c r="F3150" s="3">
        <v>45093</v>
      </c>
      <c r="G3150" s="3">
        <v>45097</v>
      </c>
      <c r="H3150">
        <v>99.2</v>
      </c>
      <c r="I3150">
        <v>48</v>
      </c>
      <c r="J3150" t="s">
        <v>4440</v>
      </c>
      <c r="K3150" t="s">
        <v>4441</v>
      </c>
      <c r="L3150" t="s">
        <v>4467</v>
      </c>
      <c r="M3150" t="s">
        <v>1625</v>
      </c>
    </row>
    <row r="3151" spans="1:14" x14ac:dyDescent="0.35">
      <c r="A3151" t="s">
        <v>7630</v>
      </c>
      <c r="B3151" t="s">
        <v>108</v>
      </c>
      <c r="C3151" t="s">
        <v>1890</v>
      </c>
      <c r="D3151" t="s">
        <v>4490</v>
      </c>
      <c r="E3151" t="s">
        <v>4456</v>
      </c>
      <c r="F3151" s="3">
        <v>45332</v>
      </c>
      <c r="G3151" s="3">
        <v>45332</v>
      </c>
      <c r="H3151">
        <v>5.4</v>
      </c>
      <c r="I3151">
        <v>4</v>
      </c>
      <c r="J3151" t="s">
        <v>4440</v>
      </c>
      <c r="K3151" t="s">
        <v>4441</v>
      </c>
      <c r="L3151" t="s">
        <v>1907</v>
      </c>
      <c r="M3151" t="s">
        <v>4446</v>
      </c>
      <c r="N3151">
        <v>4</v>
      </c>
    </row>
    <row r="3152" spans="1:14" x14ac:dyDescent="0.35">
      <c r="A3152" t="s">
        <v>7631</v>
      </c>
      <c r="B3152" t="s">
        <v>483</v>
      </c>
      <c r="C3152" t="s">
        <v>1883</v>
      </c>
      <c r="D3152" t="s">
        <v>4438</v>
      </c>
      <c r="E3152" t="s">
        <v>4444</v>
      </c>
      <c r="F3152" s="3">
        <v>45682</v>
      </c>
      <c r="G3152" s="3" t="s">
        <v>537</v>
      </c>
      <c r="I3152">
        <v>24</v>
      </c>
      <c r="J3152" t="s">
        <v>4448</v>
      </c>
      <c r="K3152" t="s">
        <v>4457</v>
      </c>
      <c r="L3152" t="s">
        <v>4492</v>
      </c>
      <c r="M3152" t="s">
        <v>4462</v>
      </c>
    </row>
    <row r="3153" spans="1:14" x14ac:dyDescent="0.35">
      <c r="A3153" t="s">
        <v>7632</v>
      </c>
      <c r="B3153" t="s">
        <v>341</v>
      </c>
      <c r="C3153" t="s">
        <v>1899</v>
      </c>
      <c r="D3153" t="s">
        <v>4443</v>
      </c>
      <c r="E3153" t="s">
        <v>4439</v>
      </c>
      <c r="F3153" s="3">
        <v>45230</v>
      </c>
      <c r="G3153" s="3">
        <v>45231</v>
      </c>
      <c r="H3153">
        <v>24.8</v>
      </c>
      <c r="I3153">
        <v>48</v>
      </c>
      <c r="J3153" t="s">
        <v>4448</v>
      </c>
      <c r="K3153" t="s">
        <v>4441</v>
      </c>
      <c r="L3153" t="s">
        <v>4470</v>
      </c>
      <c r="M3153" t="s">
        <v>1625</v>
      </c>
    </row>
    <row r="3154" spans="1:14" x14ac:dyDescent="0.35">
      <c r="A3154" t="s">
        <v>7633</v>
      </c>
      <c r="B3154" t="s">
        <v>450</v>
      </c>
      <c r="C3154" t="s">
        <v>1883</v>
      </c>
      <c r="D3154" t="s">
        <v>4443</v>
      </c>
      <c r="E3154" t="s">
        <v>79</v>
      </c>
      <c r="F3154" s="3">
        <v>45149</v>
      </c>
      <c r="G3154" s="3">
        <v>45150</v>
      </c>
      <c r="H3154">
        <v>25.8</v>
      </c>
      <c r="I3154">
        <v>24</v>
      </c>
      <c r="J3154" t="s">
        <v>4440</v>
      </c>
      <c r="K3154" t="s">
        <v>4441</v>
      </c>
      <c r="L3154" t="s">
        <v>4512</v>
      </c>
      <c r="M3154" t="s">
        <v>1625</v>
      </c>
    </row>
    <row r="3155" spans="1:14" x14ac:dyDescent="0.35">
      <c r="A3155" t="s">
        <v>7634</v>
      </c>
      <c r="B3155" t="s">
        <v>459</v>
      </c>
      <c r="C3155" t="s">
        <v>1899</v>
      </c>
      <c r="D3155" t="s">
        <v>4485</v>
      </c>
      <c r="E3155" t="s">
        <v>4473</v>
      </c>
      <c r="F3155" s="3">
        <v>45145</v>
      </c>
      <c r="G3155" s="3">
        <v>45145</v>
      </c>
      <c r="H3155">
        <v>17</v>
      </c>
      <c r="I3155">
        <v>8</v>
      </c>
      <c r="J3155" t="s">
        <v>4440</v>
      </c>
      <c r="K3155" t="s">
        <v>4441</v>
      </c>
      <c r="L3155" t="s">
        <v>4527</v>
      </c>
      <c r="M3155" t="s">
        <v>4446</v>
      </c>
      <c r="N3155">
        <v>1</v>
      </c>
    </row>
    <row r="3156" spans="1:14" x14ac:dyDescent="0.35">
      <c r="A3156" t="s">
        <v>7635</v>
      </c>
      <c r="B3156" t="s">
        <v>263</v>
      </c>
      <c r="C3156" t="s">
        <v>1890</v>
      </c>
      <c r="D3156" t="s">
        <v>4464</v>
      </c>
      <c r="E3156" t="s">
        <v>79</v>
      </c>
      <c r="F3156" s="3">
        <v>45474</v>
      </c>
      <c r="G3156" s="3" t="s">
        <v>537</v>
      </c>
      <c r="I3156">
        <v>8</v>
      </c>
      <c r="J3156" t="s">
        <v>4440</v>
      </c>
      <c r="K3156" t="s">
        <v>4474</v>
      </c>
      <c r="L3156" t="s">
        <v>4480</v>
      </c>
      <c r="M3156" t="s">
        <v>4462</v>
      </c>
    </row>
    <row r="3157" spans="1:14" x14ac:dyDescent="0.35">
      <c r="A3157" t="s">
        <v>7636</v>
      </c>
      <c r="B3157" t="s">
        <v>277</v>
      </c>
      <c r="C3157" t="s">
        <v>1927</v>
      </c>
      <c r="D3157" t="s">
        <v>4482</v>
      </c>
      <c r="E3157" t="s">
        <v>4444</v>
      </c>
      <c r="F3157" s="3">
        <v>45306</v>
      </c>
      <c r="G3157" s="3">
        <v>45308</v>
      </c>
      <c r="H3157">
        <v>53.4</v>
      </c>
      <c r="I3157">
        <v>24</v>
      </c>
      <c r="J3157" t="s">
        <v>4440</v>
      </c>
      <c r="K3157" t="s">
        <v>4441</v>
      </c>
      <c r="L3157" t="s">
        <v>4483</v>
      </c>
      <c r="M3157" t="s">
        <v>4446</v>
      </c>
      <c r="N3157">
        <v>1</v>
      </c>
    </row>
    <row r="3158" spans="1:14" x14ac:dyDescent="0.35">
      <c r="A3158" t="s">
        <v>7637</v>
      </c>
      <c r="B3158" t="s">
        <v>426</v>
      </c>
      <c r="C3158" t="s">
        <v>1899</v>
      </c>
      <c r="D3158" t="s">
        <v>4460</v>
      </c>
      <c r="E3158" t="s">
        <v>4439</v>
      </c>
      <c r="F3158" s="3">
        <v>45295</v>
      </c>
      <c r="G3158" s="3" t="s">
        <v>537</v>
      </c>
      <c r="I3158">
        <v>48</v>
      </c>
      <c r="J3158" t="s">
        <v>4440</v>
      </c>
      <c r="K3158" t="s">
        <v>4457</v>
      </c>
      <c r="L3158" t="s">
        <v>4445</v>
      </c>
      <c r="M3158" t="s">
        <v>4462</v>
      </c>
    </row>
    <row r="3159" spans="1:14" x14ac:dyDescent="0.35">
      <c r="A3159" t="s">
        <v>7638</v>
      </c>
      <c r="B3159" t="s">
        <v>273</v>
      </c>
      <c r="C3159" t="s">
        <v>1883</v>
      </c>
      <c r="D3159" t="s">
        <v>4469</v>
      </c>
      <c r="E3159" t="s">
        <v>4473</v>
      </c>
      <c r="F3159" s="3">
        <v>45141</v>
      </c>
      <c r="G3159" s="3" t="s">
        <v>537</v>
      </c>
      <c r="I3159">
        <v>8</v>
      </c>
      <c r="J3159" t="s">
        <v>4440</v>
      </c>
      <c r="K3159" t="s">
        <v>4453</v>
      </c>
      <c r="L3159" t="s">
        <v>4480</v>
      </c>
      <c r="M3159" t="s">
        <v>4462</v>
      </c>
    </row>
    <row r="3160" spans="1:14" x14ac:dyDescent="0.35">
      <c r="A3160" t="s">
        <v>7639</v>
      </c>
      <c r="B3160" t="s">
        <v>301</v>
      </c>
      <c r="C3160" t="s">
        <v>1883</v>
      </c>
      <c r="D3160" t="s">
        <v>4443</v>
      </c>
      <c r="E3160" t="s">
        <v>4439</v>
      </c>
      <c r="F3160" s="3">
        <v>45399</v>
      </c>
      <c r="G3160" s="3">
        <v>45402</v>
      </c>
      <c r="H3160">
        <v>90.9</v>
      </c>
      <c r="I3160">
        <v>48</v>
      </c>
      <c r="J3160" t="s">
        <v>4440</v>
      </c>
      <c r="K3160" t="s">
        <v>4441</v>
      </c>
      <c r="L3160" t="s">
        <v>4445</v>
      </c>
      <c r="M3160" t="s">
        <v>4462</v>
      </c>
    </row>
    <row r="3161" spans="1:14" x14ac:dyDescent="0.35">
      <c r="A3161" t="s">
        <v>7640</v>
      </c>
      <c r="B3161" t="s">
        <v>337</v>
      </c>
      <c r="C3161" t="s">
        <v>1890</v>
      </c>
      <c r="D3161" t="s">
        <v>4469</v>
      </c>
      <c r="E3161" t="s">
        <v>4444</v>
      </c>
      <c r="F3161" s="3">
        <v>45134</v>
      </c>
      <c r="G3161" s="3">
        <v>45135</v>
      </c>
      <c r="H3161">
        <v>33.5</v>
      </c>
      <c r="I3161">
        <v>24</v>
      </c>
      <c r="J3161" t="s">
        <v>4440</v>
      </c>
      <c r="K3161" t="s">
        <v>4441</v>
      </c>
      <c r="L3161" t="s">
        <v>4580</v>
      </c>
      <c r="M3161" t="s">
        <v>1625</v>
      </c>
      <c r="N3161">
        <v>5</v>
      </c>
    </row>
    <row r="3162" spans="1:14" x14ac:dyDescent="0.35">
      <c r="A3162" t="s">
        <v>7641</v>
      </c>
      <c r="B3162" t="s">
        <v>249</v>
      </c>
      <c r="C3162" t="s">
        <v>1890</v>
      </c>
      <c r="D3162" t="s">
        <v>4482</v>
      </c>
      <c r="E3162" t="s">
        <v>4456</v>
      </c>
      <c r="F3162" s="3">
        <v>45740</v>
      </c>
      <c r="G3162" s="3" t="s">
        <v>537</v>
      </c>
      <c r="I3162">
        <v>4</v>
      </c>
      <c r="J3162" t="s">
        <v>4448</v>
      </c>
      <c r="K3162" t="s">
        <v>4457</v>
      </c>
      <c r="L3162" t="s">
        <v>4458</v>
      </c>
      <c r="M3162" t="s">
        <v>4462</v>
      </c>
    </row>
    <row r="3163" spans="1:14" x14ac:dyDescent="0.35">
      <c r="A3163" t="s">
        <v>7642</v>
      </c>
      <c r="B3163" t="s">
        <v>122</v>
      </c>
      <c r="C3163" t="s">
        <v>1883</v>
      </c>
      <c r="D3163" t="s">
        <v>4464</v>
      </c>
      <c r="E3163" t="s">
        <v>4444</v>
      </c>
      <c r="F3163" s="3">
        <v>45332</v>
      </c>
      <c r="G3163" s="3" t="s">
        <v>537</v>
      </c>
      <c r="I3163">
        <v>24</v>
      </c>
      <c r="J3163" t="s">
        <v>4440</v>
      </c>
      <c r="K3163" t="s">
        <v>4453</v>
      </c>
      <c r="L3163" t="s">
        <v>4467</v>
      </c>
      <c r="M3163" t="s">
        <v>4450</v>
      </c>
    </row>
    <row r="3164" spans="1:14" x14ac:dyDescent="0.35">
      <c r="A3164" t="s">
        <v>7643</v>
      </c>
      <c r="B3164" t="s">
        <v>191</v>
      </c>
      <c r="C3164" t="s">
        <v>1890</v>
      </c>
      <c r="D3164" t="s">
        <v>4469</v>
      </c>
      <c r="E3164" t="s">
        <v>4444</v>
      </c>
      <c r="F3164" s="3">
        <v>45723</v>
      </c>
      <c r="G3164" s="3">
        <v>45723</v>
      </c>
      <c r="H3164">
        <v>7.2</v>
      </c>
      <c r="I3164">
        <v>24</v>
      </c>
      <c r="J3164" t="s">
        <v>4448</v>
      </c>
      <c r="K3164" t="s">
        <v>4441</v>
      </c>
      <c r="L3164" t="s">
        <v>4454</v>
      </c>
      <c r="M3164" t="s">
        <v>4450</v>
      </c>
      <c r="N3164">
        <v>5</v>
      </c>
    </row>
    <row r="3165" spans="1:14" x14ac:dyDescent="0.35">
      <c r="A3165" t="s">
        <v>7644</v>
      </c>
      <c r="B3165" t="s">
        <v>330</v>
      </c>
      <c r="C3165" t="s">
        <v>1899</v>
      </c>
      <c r="D3165" t="s">
        <v>4438</v>
      </c>
      <c r="E3165" t="s">
        <v>4473</v>
      </c>
      <c r="F3165" s="3">
        <v>45473</v>
      </c>
      <c r="G3165" s="3">
        <v>45473</v>
      </c>
      <c r="H3165">
        <v>5.8</v>
      </c>
      <c r="I3165">
        <v>8</v>
      </c>
      <c r="J3165" t="s">
        <v>4448</v>
      </c>
      <c r="K3165" t="s">
        <v>4441</v>
      </c>
      <c r="L3165" t="s">
        <v>4454</v>
      </c>
      <c r="M3165" t="s">
        <v>4462</v>
      </c>
      <c r="N3165">
        <v>3</v>
      </c>
    </row>
    <row r="3166" spans="1:14" x14ac:dyDescent="0.35">
      <c r="A3166" t="s">
        <v>7645</v>
      </c>
      <c r="B3166" t="s">
        <v>319</v>
      </c>
      <c r="C3166" t="s">
        <v>1890</v>
      </c>
      <c r="D3166" t="s">
        <v>4476</v>
      </c>
      <c r="E3166" t="s">
        <v>4444</v>
      </c>
      <c r="F3166" s="3">
        <v>45600</v>
      </c>
      <c r="G3166" s="3" t="s">
        <v>537</v>
      </c>
      <c r="I3166">
        <v>24</v>
      </c>
      <c r="J3166" t="s">
        <v>4440</v>
      </c>
      <c r="K3166" t="s">
        <v>4474</v>
      </c>
      <c r="L3166" t="s">
        <v>4480</v>
      </c>
      <c r="M3166" t="s">
        <v>4450</v>
      </c>
    </row>
    <row r="3167" spans="1:14" x14ac:dyDescent="0.35">
      <c r="A3167" t="s">
        <v>7646</v>
      </c>
      <c r="B3167" t="s">
        <v>133</v>
      </c>
      <c r="C3167" t="s">
        <v>1899</v>
      </c>
      <c r="D3167" t="s">
        <v>4460</v>
      </c>
      <c r="E3167" t="s">
        <v>4439</v>
      </c>
      <c r="F3167" s="3">
        <v>45260</v>
      </c>
      <c r="G3167" s="3">
        <v>45261</v>
      </c>
      <c r="H3167">
        <v>36.5</v>
      </c>
      <c r="I3167">
        <v>48</v>
      </c>
      <c r="J3167" t="s">
        <v>4448</v>
      </c>
      <c r="K3167" t="s">
        <v>4441</v>
      </c>
      <c r="L3167" t="s">
        <v>4512</v>
      </c>
      <c r="M3167" t="s">
        <v>1625</v>
      </c>
      <c r="N3167">
        <v>3</v>
      </c>
    </row>
    <row r="3168" spans="1:14" x14ac:dyDescent="0.35">
      <c r="A3168" t="s">
        <v>7647</v>
      </c>
      <c r="B3168" t="s">
        <v>167</v>
      </c>
      <c r="C3168" t="s">
        <v>1883</v>
      </c>
      <c r="D3168" t="s">
        <v>4482</v>
      </c>
      <c r="E3168" t="s">
        <v>4439</v>
      </c>
      <c r="F3168" s="3">
        <v>45486</v>
      </c>
      <c r="G3168" s="3" t="s">
        <v>537</v>
      </c>
      <c r="I3168">
        <v>48</v>
      </c>
      <c r="J3168" t="s">
        <v>4440</v>
      </c>
      <c r="K3168" t="s">
        <v>4474</v>
      </c>
      <c r="L3168" t="s">
        <v>4527</v>
      </c>
      <c r="M3168" t="s">
        <v>1625</v>
      </c>
    </row>
    <row r="3169" spans="1:14" x14ac:dyDescent="0.35">
      <c r="A3169" t="s">
        <v>7648</v>
      </c>
      <c r="B3169" t="s">
        <v>475</v>
      </c>
      <c r="C3169" t="s">
        <v>1883</v>
      </c>
      <c r="D3169" t="s">
        <v>4485</v>
      </c>
      <c r="E3169" t="s">
        <v>4473</v>
      </c>
      <c r="F3169" s="3">
        <v>45272</v>
      </c>
      <c r="G3169" s="3">
        <v>45272</v>
      </c>
      <c r="H3169">
        <v>13.9</v>
      </c>
      <c r="I3169">
        <v>8</v>
      </c>
      <c r="J3169" t="s">
        <v>4440</v>
      </c>
      <c r="K3169" t="s">
        <v>4441</v>
      </c>
      <c r="L3169" t="s">
        <v>4461</v>
      </c>
      <c r="M3169" t="s">
        <v>4462</v>
      </c>
      <c r="N3169">
        <v>5</v>
      </c>
    </row>
    <row r="3170" spans="1:14" x14ac:dyDescent="0.35">
      <c r="A3170" t="s">
        <v>7649</v>
      </c>
      <c r="B3170" t="s">
        <v>116</v>
      </c>
      <c r="C3170" t="s">
        <v>1927</v>
      </c>
      <c r="D3170" t="s">
        <v>4469</v>
      </c>
      <c r="E3170" t="s">
        <v>4473</v>
      </c>
      <c r="F3170" s="3">
        <v>45096</v>
      </c>
      <c r="G3170" s="3" t="s">
        <v>537</v>
      </c>
      <c r="I3170">
        <v>8</v>
      </c>
      <c r="J3170" t="s">
        <v>4440</v>
      </c>
      <c r="K3170" t="s">
        <v>4453</v>
      </c>
      <c r="L3170" t="s">
        <v>4580</v>
      </c>
      <c r="M3170" t="s">
        <v>4446</v>
      </c>
    </row>
    <row r="3171" spans="1:14" x14ac:dyDescent="0.35">
      <c r="A3171" t="s">
        <v>7650</v>
      </c>
      <c r="B3171" t="s">
        <v>331</v>
      </c>
      <c r="C3171" t="s">
        <v>1890</v>
      </c>
      <c r="D3171" t="s">
        <v>4482</v>
      </c>
      <c r="E3171" t="s">
        <v>4456</v>
      </c>
      <c r="F3171" s="3">
        <v>45405</v>
      </c>
      <c r="G3171" s="3">
        <v>45405</v>
      </c>
      <c r="H3171">
        <v>5.0999999999999996</v>
      </c>
      <c r="I3171">
        <v>4</v>
      </c>
      <c r="J3171" t="s">
        <v>4440</v>
      </c>
      <c r="K3171" t="s">
        <v>4441</v>
      </c>
      <c r="L3171" t="s">
        <v>4458</v>
      </c>
      <c r="M3171" t="s">
        <v>4462</v>
      </c>
      <c r="N3171">
        <v>3</v>
      </c>
    </row>
    <row r="3172" spans="1:14" x14ac:dyDescent="0.35">
      <c r="A3172" t="s">
        <v>7651</v>
      </c>
      <c r="B3172" t="s">
        <v>99</v>
      </c>
      <c r="C3172" t="s">
        <v>1904</v>
      </c>
      <c r="D3172" t="s">
        <v>4479</v>
      </c>
      <c r="E3172" t="s">
        <v>4439</v>
      </c>
      <c r="F3172" s="3">
        <v>45698</v>
      </c>
      <c r="G3172" s="3">
        <v>45700</v>
      </c>
      <c r="H3172">
        <v>69.7</v>
      </c>
      <c r="I3172">
        <v>48</v>
      </c>
      <c r="J3172" t="s">
        <v>4440</v>
      </c>
      <c r="K3172" t="s">
        <v>4441</v>
      </c>
      <c r="L3172" t="s">
        <v>4512</v>
      </c>
      <c r="M3172" t="s">
        <v>4450</v>
      </c>
    </row>
    <row r="3173" spans="1:14" x14ac:dyDescent="0.35">
      <c r="A3173" t="s">
        <v>7652</v>
      </c>
      <c r="B3173" t="s">
        <v>417</v>
      </c>
      <c r="C3173" t="s">
        <v>1890</v>
      </c>
      <c r="D3173" t="s">
        <v>4460</v>
      </c>
      <c r="E3173" t="s">
        <v>4444</v>
      </c>
      <c r="F3173" s="3">
        <v>45080</v>
      </c>
      <c r="G3173" s="3">
        <v>45080</v>
      </c>
      <c r="H3173">
        <v>6</v>
      </c>
      <c r="I3173">
        <v>24</v>
      </c>
      <c r="J3173" t="s">
        <v>4448</v>
      </c>
      <c r="K3173" t="s">
        <v>4441</v>
      </c>
      <c r="L3173" t="s">
        <v>4514</v>
      </c>
      <c r="M3173" t="s">
        <v>1625</v>
      </c>
      <c r="N3173">
        <v>5</v>
      </c>
    </row>
    <row r="3174" spans="1:14" x14ac:dyDescent="0.35">
      <c r="A3174" t="s">
        <v>7653</v>
      </c>
      <c r="B3174" t="s">
        <v>404</v>
      </c>
      <c r="C3174" t="s">
        <v>1915</v>
      </c>
      <c r="D3174" t="s">
        <v>4469</v>
      </c>
      <c r="E3174" t="s">
        <v>4473</v>
      </c>
      <c r="F3174" s="3">
        <v>45474</v>
      </c>
      <c r="G3174" s="3" t="s">
        <v>537</v>
      </c>
      <c r="I3174">
        <v>8</v>
      </c>
      <c r="J3174" t="s">
        <v>4440</v>
      </c>
      <c r="K3174" t="s">
        <v>4474</v>
      </c>
      <c r="L3174" t="s">
        <v>4580</v>
      </c>
      <c r="M3174" t="s">
        <v>4446</v>
      </c>
    </row>
    <row r="3175" spans="1:14" x14ac:dyDescent="0.35">
      <c r="A3175" t="s">
        <v>7654</v>
      </c>
      <c r="B3175" t="s">
        <v>384</v>
      </c>
      <c r="C3175" t="s">
        <v>1883</v>
      </c>
      <c r="D3175" t="s">
        <v>4472</v>
      </c>
      <c r="E3175" t="s">
        <v>4473</v>
      </c>
      <c r="F3175" s="3">
        <v>45668</v>
      </c>
      <c r="G3175" s="3">
        <v>45668</v>
      </c>
      <c r="H3175">
        <v>3.1</v>
      </c>
      <c r="I3175">
        <v>8</v>
      </c>
      <c r="J3175" t="s">
        <v>4448</v>
      </c>
      <c r="K3175" t="s">
        <v>4441</v>
      </c>
      <c r="L3175" t="s">
        <v>4449</v>
      </c>
      <c r="M3175" t="s">
        <v>4462</v>
      </c>
      <c r="N3175">
        <v>3</v>
      </c>
    </row>
    <row r="3176" spans="1:14" x14ac:dyDescent="0.35">
      <c r="A3176" t="s">
        <v>7655</v>
      </c>
      <c r="B3176" t="s">
        <v>355</v>
      </c>
      <c r="C3176" t="s">
        <v>1904</v>
      </c>
      <c r="D3176" t="s">
        <v>4464</v>
      </c>
      <c r="E3176" t="s">
        <v>4444</v>
      </c>
      <c r="F3176" s="3">
        <v>45626</v>
      </c>
      <c r="G3176" s="3">
        <v>45627</v>
      </c>
      <c r="H3176">
        <v>46.3</v>
      </c>
      <c r="I3176">
        <v>24</v>
      </c>
      <c r="J3176" t="s">
        <v>4440</v>
      </c>
      <c r="K3176" t="s">
        <v>4441</v>
      </c>
      <c r="L3176" t="s">
        <v>4467</v>
      </c>
      <c r="M3176" t="s">
        <v>4462</v>
      </c>
      <c r="N3176">
        <v>2</v>
      </c>
    </row>
    <row r="3177" spans="1:14" x14ac:dyDescent="0.35">
      <c r="A3177" t="s">
        <v>7656</v>
      </c>
      <c r="B3177" t="s">
        <v>415</v>
      </c>
      <c r="C3177" t="s">
        <v>1915</v>
      </c>
      <c r="D3177" t="s">
        <v>4460</v>
      </c>
      <c r="E3177" t="s">
        <v>4473</v>
      </c>
      <c r="F3177" s="3">
        <v>45146</v>
      </c>
      <c r="G3177" s="3">
        <v>45146</v>
      </c>
      <c r="H3177">
        <v>13.2</v>
      </c>
      <c r="I3177">
        <v>8</v>
      </c>
      <c r="J3177" t="s">
        <v>4440</v>
      </c>
      <c r="K3177" t="s">
        <v>4441</v>
      </c>
      <c r="L3177" t="s">
        <v>4480</v>
      </c>
      <c r="M3177" t="s">
        <v>1625</v>
      </c>
    </row>
    <row r="3178" spans="1:14" x14ac:dyDescent="0.35">
      <c r="A3178" t="s">
        <v>7657</v>
      </c>
      <c r="B3178" t="s">
        <v>373</v>
      </c>
      <c r="C3178" t="s">
        <v>1899</v>
      </c>
      <c r="D3178" t="s">
        <v>4464</v>
      </c>
      <c r="E3178" t="s">
        <v>4456</v>
      </c>
      <c r="F3178" s="3">
        <v>45661</v>
      </c>
      <c r="G3178" s="3">
        <v>45661</v>
      </c>
      <c r="H3178">
        <v>6.9</v>
      </c>
      <c r="I3178">
        <v>4</v>
      </c>
      <c r="J3178" t="s">
        <v>4440</v>
      </c>
      <c r="K3178" t="s">
        <v>4441</v>
      </c>
      <c r="L3178" t="s">
        <v>4488</v>
      </c>
      <c r="M3178" t="s">
        <v>4446</v>
      </c>
      <c r="N3178">
        <v>4</v>
      </c>
    </row>
    <row r="3179" spans="1:14" x14ac:dyDescent="0.35">
      <c r="A3179" t="s">
        <v>7658</v>
      </c>
      <c r="B3179" t="s">
        <v>319</v>
      </c>
      <c r="C3179" t="s">
        <v>1904</v>
      </c>
      <c r="D3179" t="s">
        <v>4485</v>
      </c>
      <c r="E3179" t="s">
        <v>4444</v>
      </c>
      <c r="F3179" s="3">
        <v>45275</v>
      </c>
      <c r="G3179" s="3">
        <v>45276</v>
      </c>
      <c r="H3179">
        <v>44.1</v>
      </c>
      <c r="I3179">
        <v>24</v>
      </c>
      <c r="J3179" t="s">
        <v>4440</v>
      </c>
      <c r="K3179" t="s">
        <v>4441</v>
      </c>
      <c r="L3179" t="s">
        <v>4454</v>
      </c>
      <c r="M3179" t="s">
        <v>4450</v>
      </c>
      <c r="N3179">
        <v>1</v>
      </c>
    </row>
    <row r="3180" spans="1:14" x14ac:dyDescent="0.35">
      <c r="A3180" t="s">
        <v>7659</v>
      </c>
      <c r="B3180" t="s">
        <v>399</v>
      </c>
      <c r="C3180" t="s">
        <v>1904</v>
      </c>
      <c r="D3180" t="s">
        <v>4464</v>
      </c>
      <c r="E3180" t="s">
        <v>4444</v>
      </c>
      <c r="F3180" s="3">
        <v>45682</v>
      </c>
      <c r="G3180" s="3">
        <v>45682</v>
      </c>
      <c r="H3180">
        <v>6</v>
      </c>
      <c r="I3180">
        <v>24</v>
      </c>
      <c r="J3180" t="s">
        <v>4448</v>
      </c>
      <c r="K3180" t="s">
        <v>4441</v>
      </c>
      <c r="L3180" t="s">
        <v>4488</v>
      </c>
      <c r="M3180" t="s">
        <v>4446</v>
      </c>
      <c r="N3180">
        <v>5</v>
      </c>
    </row>
    <row r="3181" spans="1:14" x14ac:dyDescent="0.35">
      <c r="A3181" t="s">
        <v>7660</v>
      </c>
      <c r="B3181" t="s">
        <v>312</v>
      </c>
      <c r="C3181" t="s">
        <v>1890</v>
      </c>
      <c r="D3181" t="s">
        <v>4482</v>
      </c>
      <c r="E3181" t="s">
        <v>4473</v>
      </c>
      <c r="F3181" s="3">
        <v>45715</v>
      </c>
      <c r="G3181" s="3">
        <v>45715</v>
      </c>
      <c r="H3181">
        <v>14.1</v>
      </c>
      <c r="I3181">
        <v>8</v>
      </c>
      <c r="J3181" t="s">
        <v>4440</v>
      </c>
      <c r="K3181" t="s">
        <v>4441</v>
      </c>
      <c r="L3181" t="s">
        <v>4449</v>
      </c>
      <c r="M3181" t="s">
        <v>4450</v>
      </c>
      <c r="N3181">
        <v>5</v>
      </c>
    </row>
    <row r="3182" spans="1:14" x14ac:dyDescent="0.35">
      <c r="A3182" t="s">
        <v>7661</v>
      </c>
      <c r="B3182" t="s">
        <v>471</v>
      </c>
      <c r="C3182" t="s">
        <v>1927</v>
      </c>
      <c r="D3182" t="s">
        <v>4460</v>
      </c>
      <c r="E3182" t="s">
        <v>4473</v>
      </c>
      <c r="F3182" s="3">
        <v>45320</v>
      </c>
      <c r="G3182" s="3" t="s">
        <v>537</v>
      </c>
      <c r="I3182">
        <v>8</v>
      </c>
      <c r="J3182" t="s">
        <v>4440</v>
      </c>
      <c r="K3182" t="s">
        <v>4474</v>
      </c>
      <c r="L3182" t="s">
        <v>4492</v>
      </c>
      <c r="M3182" t="s">
        <v>4450</v>
      </c>
    </row>
    <row r="3183" spans="1:14" x14ac:dyDescent="0.35">
      <c r="A3183" t="s">
        <v>7662</v>
      </c>
      <c r="B3183" t="s">
        <v>453</v>
      </c>
      <c r="C3183" t="s">
        <v>1904</v>
      </c>
      <c r="D3183" t="s">
        <v>4472</v>
      </c>
      <c r="E3183" t="s">
        <v>4473</v>
      </c>
      <c r="F3183" s="3">
        <v>45385</v>
      </c>
      <c r="G3183" s="3">
        <v>45385</v>
      </c>
      <c r="H3183">
        <v>6.5</v>
      </c>
      <c r="I3183">
        <v>8</v>
      </c>
      <c r="J3183" t="s">
        <v>4448</v>
      </c>
      <c r="K3183" t="s">
        <v>4441</v>
      </c>
      <c r="L3183" t="s">
        <v>4458</v>
      </c>
      <c r="M3183" t="s">
        <v>1625</v>
      </c>
      <c r="N3183">
        <v>4</v>
      </c>
    </row>
    <row r="3184" spans="1:14" x14ac:dyDescent="0.35">
      <c r="A3184" t="s">
        <v>7663</v>
      </c>
      <c r="B3184" t="s">
        <v>152</v>
      </c>
      <c r="C3184" t="s">
        <v>1927</v>
      </c>
      <c r="D3184" t="s">
        <v>4464</v>
      </c>
      <c r="E3184" t="s">
        <v>4473</v>
      </c>
      <c r="F3184" s="3">
        <v>45383</v>
      </c>
      <c r="G3184" s="3" t="s">
        <v>537</v>
      </c>
      <c r="I3184">
        <v>8</v>
      </c>
      <c r="J3184" t="s">
        <v>4448</v>
      </c>
      <c r="K3184" t="s">
        <v>4453</v>
      </c>
      <c r="L3184" t="s">
        <v>4527</v>
      </c>
      <c r="M3184" t="s">
        <v>4446</v>
      </c>
    </row>
    <row r="3185" spans="1:14" x14ac:dyDescent="0.35">
      <c r="A3185" t="s">
        <v>7664</v>
      </c>
      <c r="B3185" t="s">
        <v>126</v>
      </c>
      <c r="C3185" t="s">
        <v>1899</v>
      </c>
      <c r="D3185" t="s">
        <v>4490</v>
      </c>
      <c r="E3185" t="s">
        <v>4444</v>
      </c>
      <c r="F3185" s="3">
        <v>45429</v>
      </c>
      <c r="G3185" s="3" t="s">
        <v>537</v>
      </c>
      <c r="I3185">
        <v>24</v>
      </c>
      <c r="J3185" t="s">
        <v>4448</v>
      </c>
      <c r="K3185" t="s">
        <v>4474</v>
      </c>
      <c r="L3185" t="s">
        <v>4449</v>
      </c>
      <c r="M3185" t="s">
        <v>4446</v>
      </c>
    </row>
    <row r="3186" spans="1:14" x14ac:dyDescent="0.35">
      <c r="A3186" t="s">
        <v>7665</v>
      </c>
      <c r="B3186" t="s">
        <v>442</v>
      </c>
      <c r="C3186" t="s">
        <v>1927</v>
      </c>
      <c r="D3186" t="s">
        <v>4490</v>
      </c>
      <c r="E3186" t="s">
        <v>4444</v>
      </c>
      <c r="F3186" s="3">
        <v>45507</v>
      </c>
      <c r="G3186" s="3">
        <v>45508</v>
      </c>
      <c r="H3186">
        <v>36.200000000000003</v>
      </c>
      <c r="I3186">
        <v>24</v>
      </c>
      <c r="J3186" t="s">
        <v>4440</v>
      </c>
      <c r="K3186" t="s">
        <v>4441</v>
      </c>
      <c r="L3186" t="s">
        <v>4512</v>
      </c>
      <c r="M3186" t="s">
        <v>4446</v>
      </c>
      <c r="N3186">
        <v>4</v>
      </c>
    </row>
    <row r="3187" spans="1:14" x14ac:dyDescent="0.35">
      <c r="A3187" t="s">
        <v>7666</v>
      </c>
      <c r="B3187" t="s">
        <v>405</v>
      </c>
      <c r="C3187" t="s">
        <v>1890</v>
      </c>
      <c r="D3187" t="s">
        <v>4452</v>
      </c>
      <c r="E3187" t="s">
        <v>4473</v>
      </c>
      <c r="F3187" s="3">
        <v>45504</v>
      </c>
      <c r="G3187" s="3">
        <v>45504</v>
      </c>
      <c r="H3187">
        <v>10.1</v>
      </c>
      <c r="I3187">
        <v>8</v>
      </c>
      <c r="J3187" t="s">
        <v>4440</v>
      </c>
      <c r="K3187" t="s">
        <v>4441</v>
      </c>
      <c r="L3187" t="s">
        <v>4512</v>
      </c>
      <c r="M3187" t="s">
        <v>4462</v>
      </c>
      <c r="N3187">
        <v>4</v>
      </c>
    </row>
    <row r="3188" spans="1:14" x14ac:dyDescent="0.35">
      <c r="A3188" t="s">
        <v>7667</v>
      </c>
      <c r="B3188" t="s">
        <v>334</v>
      </c>
      <c r="C3188" t="s">
        <v>1883</v>
      </c>
      <c r="D3188" t="s">
        <v>4443</v>
      </c>
      <c r="E3188" t="s">
        <v>4444</v>
      </c>
      <c r="F3188" s="3">
        <v>45437</v>
      </c>
      <c r="G3188" s="3">
        <v>45438</v>
      </c>
      <c r="H3188">
        <v>46.1</v>
      </c>
      <c r="I3188">
        <v>24</v>
      </c>
      <c r="J3188" t="s">
        <v>4440</v>
      </c>
      <c r="K3188" t="s">
        <v>4441</v>
      </c>
      <c r="L3188" t="s">
        <v>4527</v>
      </c>
      <c r="M3188" t="s">
        <v>1625</v>
      </c>
      <c r="N3188">
        <v>4</v>
      </c>
    </row>
    <row r="3189" spans="1:14" x14ac:dyDescent="0.35">
      <c r="A3189" t="s">
        <v>7668</v>
      </c>
      <c r="B3189" t="s">
        <v>382</v>
      </c>
      <c r="C3189" t="s">
        <v>1927</v>
      </c>
      <c r="D3189" t="s">
        <v>4443</v>
      </c>
      <c r="E3189" t="s">
        <v>4439</v>
      </c>
      <c r="F3189" s="3">
        <v>45662</v>
      </c>
      <c r="G3189" s="3" t="s">
        <v>537</v>
      </c>
      <c r="I3189">
        <v>48</v>
      </c>
      <c r="J3189" t="s">
        <v>4440</v>
      </c>
      <c r="K3189" t="s">
        <v>4453</v>
      </c>
      <c r="L3189" t="s">
        <v>4527</v>
      </c>
      <c r="M3189" t="s">
        <v>4446</v>
      </c>
    </row>
    <row r="3190" spans="1:14" x14ac:dyDescent="0.35">
      <c r="A3190" t="s">
        <v>7669</v>
      </c>
      <c r="B3190" t="s">
        <v>138</v>
      </c>
      <c r="C3190" t="s">
        <v>1899</v>
      </c>
      <c r="D3190" t="s">
        <v>4452</v>
      </c>
      <c r="E3190" t="s">
        <v>4473</v>
      </c>
      <c r="F3190" s="3">
        <v>45286</v>
      </c>
      <c r="G3190" s="3" t="s">
        <v>537</v>
      </c>
      <c r="I3190">
        <v>8</v>
      </c>
      <c r="J3190" t="s">
        <v>4440</v>
      </c>
      <c r="K3190" t="s">
        <v>4453</v>
      </c>
      <c r="L3190" t="s">
        <v>4501</v>
      </c>
      <c r="M3190" t="s">
        <v>4450</v>
      </c>
    </row>
    <row r="3191" spans="1:14" x14ac:dyDescent="0.35">
      <c r="A3191" t="s">
        <v>7670</v>
      </c>
      <c r="B3191" t="s">
        <v>368</v>
      </c>
      <c r="C3191" t="s">
        <v>1899</v>
      </c>
      <c r="D3191" t="s">
        <v>4479</v>
      </c>
      <c r="E3191" t="s">
        <v>4473</v>
      </c>
      <c r="F3191" s="3">
        <v>45596</v>
      </c>
      <c r="G3191" s="3">
        <v>45596</v>
      </c>
      <c r="H3191">
        <v>15.7</v>
      </c>
      <c r="I3191">
        <v>8</v>
      </c>
      <c r="J3191" t="s">
        <v>4440</v>
      </c>
      <c r="K3191" t="s">
        <v>4441</v>
      </c>
      <c r="L3191" t="s">
        <v>4533</v>
      </c>
      <c r="M3191" t="s">
        <v>1625</v>
      </c>
      <c r="N3191">
        <v>5</v>
      </c>
    </row>
    <row r="3192" spans="1:14" x14ac:dyDescent="0.35">
      <c r="A3192" t="s">
        <v>7671</v>
      </c>
      <c r="B3192" t="s">
        <v>454</v>
      </c>
      <c r="C3192" t="s">
        <v>1927</v>
      </c>
      <c r="D3192" t="s">
        <v>4482</v>
      </c>
      <c r="E3192" t="s">
        <v>4444</v>
      </c>
      <c r="F3192" s="3">
        <v>45604</v>
      </c>
      <c r="G3192" s="3">
        <v>45606</v>
      </c>
      <c r="H3192">
        <v>48.4</v>
      </c>
      <c r="I3192">
        <v>24</v>
      </c>
      <c r="J3192" t="s">
        <v>4440</v>
      </c>
      <c r="K3192" t="s">
        <v>4441</v>
      </c>
      <c r="L3192" t="s">
        <v>4449</v>
      </c>
      <c r="M3192" t="s">
        <v>4450</v>
      </c>
      <c r="N3192">
        <v>3</v>
      </c>
    </row>
    <row r="3193" spans="1:14" x14ac:dyDescent="0.35">
      <c r="A3193" t="s">
        <v>7672</v>
      </c>
      <c r="B3193" t="s">
        <v>222</v>
      </c>
      <c r="C3193" t="s">
        <v>1899</v>
      </c>
      <c r="D3193" t="s">
        <v>4490</v>
      </c>
      <c r="E3193" t="s">
        <v>4439</v>
      </c>
      <c r="F3193" s="3">
        <v>45368</v>
      </c>
      <c r="G3193" s="3">
        <v>45368</v>
      </c>
      <c r="H3193">
        <v>2</v>
      </c>
      <c r="I3193">
        <v>48</v>
      </c>
      <c r="J3193" t="s">
        <v>4448</v>
      </c>
      <c r="K3193" t="s">
        <v>4441</v>
      </c>
      <c r="L3193" t="s">
        <v>4492</v>
      </c>
      <c r="M3193" t="s">
        <v>4450</v>
      </c>
      <c r="N3193">
        <v>4</v>
      </c>
    </row>
    <row r="3194" spans="1:14" x14ac:dyDescent="0.35">
      <c r="A3194" t="s">
        <v>7673</v>
      </c>
      <c r="B3194" t="s">
        <v>312</v>
      </c>
      <c r="C3194" t="s">
        <v>1890</v>
      </c>
      <c r="D3194" t="s">
        <v>4452</v>
      </c>
      <c r="E3194" t="s">
        <v>4444</v>
      </c>
      <c r="F3194" s="3">
        <v>45519</v>
      </c>
      <c r="G3194" s="3" t="s">
        <v>537</v>
      </c>
      <c r="I3194">
        <v>24</v>
      </c>
      <c r="J3194" t="s">
        <v>4440</v>
      </c>
      <c r="K3194" t="s">
        <v>4453</v>
      </c>
      <c r="L3194" t="s">
        <v>4454</v>
      </c>
      <c r="M3194" t="s">
        <v>4450</v>
      </c>
    </row>
    <row r="3195" spans="1:14" x14ac:dyDescent="0.35">
      <c r="A3195" t="s">
        <v>7674</v>
      </c>
      <c r="B3195" t="s">
        <v>99</v>
      </c>
      <c r="C3195" t="s">
        <v>1890</v>
      </c>
      <c r="D3195" t="s">
        <v>4482</v>
      </c>
      <c r="E3195" t="s">
        <v>4439</v>
      </c>
      <c r="F3195" s="3">
        <v>44976</v>
      </c>
      <c r="G3195" s="3">
        <v>44976</v>
      </c>
      <c r="H3195">
        <v>6.8</v>
      </c>
      <c r="I3195">
        <v>48</v>
      </c>
      <c r="J3195" t="s">
        <v>4448</v>
      </c>
      <c r="K3195" t="s">
        <v>4441</v>
      </c>
      <c r="L3195" t="s">
        <v>4470</v>
      </c>
      <c r="M3195" t="s">
        <v>4450</v>
      </c>
      <c r="N3195">
        <v>4</v>
      </c>
    </row>
    <row r="3196" spans="1:14" x14ac:dyDescent="0.35">
      <c r="A3196" t="s">
        <v>7675</v>
      </c>
      <c r="B3196" t="s">
        <v>101</v>
      </c>
      <c r="C3196" t="s">
        <v>1890</v>
      </c>
      <c r="D3196" t="s">
        <v>4460</v>
      </c>
      <c r="E3196" t="s">
        <v>4444</v>
      </c>
      <c r="F3196" s="3">
        <v>44991</v>
      </c>
      <c r="G3196" s="3">
        <v>44992</v>
      </c>
      <c r="H3196">
        <v>31.6</v>
      </c>
      <c r="I3196">
        <v>24</v>
      </c>
      <c r="J3196" t="s">
        <v>4440</v>
      </c>
      <c r="K3196" t="s">
        <v>4441</v>
      </c>
      <c r="L3196" t="s">
        <v>4501</v>
      </c>
      <c r="M3196" t="s">
        <v>1625</v>
      </c>
      <c r="N3196">
        <v>4</v>
      </c>
    </row>
    <row r="3197" spans="1:14" x14ac:dyDescent="0.35">
      <c r="A3197" t="s">
        <v>7676</v>
      </c>
      <c r="B3197" t="s">
        <v>110</v>
      </c>
      <c r="C3197" t="s">
        <v>1904</v>
      </c>
      <c r="D3197" t="s">
        <v>4485</v>
      </c>
      <c r="E3197" t="s">
        <v>4444</v>
      </c>
      <c r="F3197" s="3">
        <v>45342</v>
      </c>
      <c r="G3197" s="3">
        <v>45344</v>
      </c>
      <c r="H3197">
        <v>53.7</v>
      </c>
      <c r="I3197">
        <v>24</v>
      </c>
      <c r="J3197" t="s">
        <v>4440</v>
      </c>
      <c r="K3197" t="s">
        <v>4441</v>
      </c>
      <c r="L3197" t="s">
        <v>4467</v>
      </c>
      <c r="M3197" t="s">
        <v>1625</v>
      </c>
      <c r="N3197">
        <v>4</v>
      </c>
    </row>
    <row r="3198" spans="1:14" x14ac:dyDescent="0.35">
      <c r="A3198" t="s">
        <v>7677</v>
      </c>
      <c r="B3198" t="s">
        <v>335</v>
      </c>
      <c r="C3198" t="s">
        <v>1890</v>
      </c>
      <c r="D3198" t="s">
        <v>4490</v>
      </c>
      <c r="E3198" t="s">
        <v>4439</v>
      </c>
      <c r="F3198" s="3">
        <v>45348</v>
      </c>
      <c r="G3198" s="3" t="s">
        <v>537</v>
      </c>
      <c r="I3198">
        <v>48</v>
      </c>
      <c r="J3198" t="s">
        <v>4440</v>
      </c>
      <c r="K3198" t="s">
        <v>4474</v>
      </c>
      <c r="L3198" t="s">
        <v>4509</v>
      </c>
      <c r="M3198" t="s">
        <v>4446</v>
      </c>
    </row>
    <row r="3199" spans="1:14" x14ac:dyDescent="0.35">
      <c r="A3199" t="s">
        <v>7678</v>
      </c>
      <c r="B3199" t="s">
        <v>255</v>
      </c>
      <c r="C3199" t="s">
        <v>1915</v>
      </c>
      <c r="D3199" t="s">
        <v>4469</v>
      </c>
      <c r="E3199" t="s">
        <v>4473</v>
      </c>
      <c r="F3199" s="3">
        <v>45072</v>
      </c>
      <c r="G3199" s="3">
        <v>45072</v>
      </c>
      <c r="H3199">
        <v>10.9</v>
      </c>
      <c r="I3199">
        <v>8</v>
      </c>
      <c r="J3199" t="s">
        <v>4440</v>
      </c>
      <c r="K3199" t="s">
        <v>4441</v>
      </c>
      <c r="L3199" t="s">
        <v>4458</v>
      </c>
      <c r="M3199" t="s">
        <v>4450</v>
      </c>
      <c r="N3199">
        <v>5</v>
      </c>
    </row>
    <row r="3200" spans="1:14" x14ac:dyDescent="0.35">
      <c r="A3200" t="s">
        <v>7679</v>
      </c>
      <c r="B3200" t="s">
        <v>214</v>
      </c>
      <c r="C3200" t="s">
        <v>1915</v>
      </c>
      <c r="D3200" t="s">
        <v>4464</v>
      </c>
      <c r="E3200" t="s">
        <v>4473</v>
      </c>
      <c r="F3200" s="3">
        <v>45079</v>
      </c>
      <c r="G3200" s="3" t="s">
        <v>537</v>
      </c>
      <c r="I3200">
        <v>8</v>
      </c>
      <c r="J3200" t="s">
        <v>4440</v>
      </c>
      <c r="K3200" t="s">
        <v>4453</v>
      </c>
      <c r="L3200" t="s">
        <v>4449</v>
      </c>
      <c r="M3200" t="s">
        <v>1625</v>
      </c>
    </row>
    <row r="3201" spans="1:14" x14ac:dyDescent="0.35">
      <c r="A3201" t="s">
        <v>7680</v>
      </c>
      <c r="B3201" t="s">
        <v>476</v>
      </c>
      <c r="C3201" t="s">
        <v>1927</v>
      </c>
      <c r="D3201" t="s">
        <v>4460</v>
      </c>
      <c r="E3201" t="s">
        <v>4439</v>
      </c>
      <c r="F3201" s="3">
        <v>45070</v>
      </c>
      <c r="G3201" s="3">
        <v>45073</v>
      </c>
      <c r="H3201">
        <v>90.7</v>
      </c>
      <c r="I3201">
        <v>48</v>
      </c>
      <c r="J3201" t="s">
        <v>4440</v>
      </c>
      <c r="K3201" t="s">
        <v>4441</v>
      </c>
      <c r="L3201" t="s">
        <v>4533</v>
      </c>
      <c r="M3201" t="s">
        <v>4450</v>
      </c>
      <c r="N3201">
        <v>3</v>
      </c>
    </row>
    <row r="3202" spans="1:14" x14ac:dyDescent="0.35">
      <c r="A3202" t="s">
        <v>7681</v>
      </c>
      <c r="B3202" t="s">
        <v>295</v>
      </c>
      <c r="C3202" t="s">
        <v>1890</v>
      </c>
      <c r="D3202" t="s">
        <v>4452</v>
      </c>
      <c r="E3202" t="s">
        <v>4444</v>
      </c>
      <c r="F3202" s="3">
        <v>45139</v>
      </c>
      <c r="G3202" s="3" t="s">
        <v>537</v>
      </c>
      <c r="I3202">
        <v>24</v>
      </c>
      <c r="J3202" t="s">
        <v>4448</v>
      </c>
      <c r="K3202" t="s">
        <v>4474</v>
      </c>
      <c r="L3202" t="s">
        <v>4580</v>
      </c>
      <c r="M3202" t="s">
        <v>4462</v>
      </c>
    </row>
    <row r="3203" spans="1:14" x14ac:dyDescent="0.35">
      <c r="A3203" t="s">
        <v>7682</v>
      </c>
      <c r="B3203" t="s">
        <v>348</v>
      </c>
      <c r="C3203" t="s">
        <v>1915</v>
      </c>
      <c r="D3203" t="s">
        <v>4460</v>
      </c>
      <c r="E3203" t="s">
        <v>4444</v>
      </c>
      <c r="F3203" s="3">
        <v>44990</v>
      </c>
      <c r="G3203" s="3" t="s">
        <v>537</v>
      </c>
      <c r="I3203">
        <v>24</v>
      </c>
      <c r="J3203" t="s">
        <v>4440</v>
      </c>
      <c r="K3203" t="s">
        <v>4457</v>
      </c>
      <c r="L3203" t="s">
        <v>4492</v>
      </c>
      <c r="M3203" t="s">
        <v>4462</v>
      </c>
    </row>
    <row r="3204" spans="1:14" x14ac:dyDescent="0.35">
      <c r="A3204" t="s">
        <v>7683</v>
      </c>
      <c r="B3204" t="s">
        <v>394</v>
      </c>
      <c r="C3204" t="s">
        <v>1915</v>
      </c>
      <c r="D3204" t="s">
        <v>4469</v>
      </c>
      <c r="E3204" t="s">
        <v>4439</v>
      </c>
      <c r="F3204" s="3">
        <v>45677</v>
      </c>
      <c r="G3204" s="3">
        <v>45677</v>
      </c>
      <c r="H3204">
        <v>4.7</v>
      </c>
      <c r="I3204">
        <v>48</v>
      </c>
      <c r="J3204" t="s">
        <v>4448</v>
      </c>
      <c r="K3204" t="s">
        <v>4441</v>
      </c>
      <c r="L3204" t="s">
        <v>4483</v>
      </c>
      <c r="M3204" t="s">
        <v>4462</v>
      </c>
      <c r="N3204">
        <v>5</v>
      </c>
    </row>
    <row r="3205" spans="1:14" x14ac:dyDescent="0.35">
      <c r="A3205" t="s">
        <v>7684</v>
      </c>
      <c r="B3205" t="s">
        <v>191</v>
      </c>
      <c r="C3205" t="s">
        <v>1904</v>
      </c>
      <c r="D3205" t="s">
        <v>4469</v>
      </c>
      <c r="E3205" t="s">
        <v>4439</v>
      </c>
      <c r="F3205" s="3">
        <v>45188</v>
      </c>
      <c r="G3205" s="3">
        <v>45192</v>
      </c>
      <c r="H3205">
        <v>114.9</v>
      </c>
      <c r="I3205">
        <v>48</v>
      </c>
      <c r="J3205" t="s">
        <v>4440</v>
      </c>
      <c r="K3205" t="s">
        <v>4441</v>
      </c>
      <c r="L3205" t="s">
        <v>4514</v>
      </c>
      <c r="M3205" t="s">
        <v>4446</v>
      </c>
      <c r="N3205">
        <v>3</v>
      </c>
    </row>
    <row r="3206" spans="1:14" x14ac:dyDescent="0.35">
      <c r="A3206" t="s">
        <v>7685</v>
      </c>
      <c r="B3206" t="s">
        <v>386</v>
      </c>
      <c r="C3206" t="s">
        <v>1904</v>
      </c>
      <c r="D3206" t="s">
        <v>4460</v>
      </c>
      <c r="E3206" t="s">
        <v>4444</v>
      </c>
      <c r="F3206" s="3">
        <v>45279</v>
      </c>
      <c r="G3206" s="3" t="s">
        <v>537</v>
      </c>
      <c r="I3206">
        <v>24</v>
      </c>
      <c r="J3206" t="s">
        <v>4448</v>
      </c>
      <c r="K3206" t="s">
        <v>4474</v>
      </c>
      <c r="L3206" t="s">
        <v>4483</v>
      </c>
      <c r="M3206" t="s">
        <v>4446</v>
      </c>
    </row>
    <row r="3207" spans="1:14" x14ac:dyDescent="0.35">
      <c r="A3207" t="s">
        <v>7686</v>
      </c>
      <c r="B3207" t="s">
        <v>158</v>
      </c>
      <c r="C3207" t="s">
        <v>1904</v>
      </c>
      <c r="D3207" t="s">
        <v>4464</v>
      </c>
      <c r="E3207" t="s">
        <v>4439</v>
      </c>
      <c r="F3207" s="3">
        <v>45245</v>
      </c>
      <c r="G3207" s="3">
        <v>45245</v>
      </c>
      <c r="H3207">
        <v>9.4</v>
      </c>
      <c r="I3207">
        <v>48</v>
      </c>
      <c r="J3207" t="s">
        <v>4448</v>
      </c>
      <c r="K3207" t="s">
        <v>4441</v>
      </c>
      <c r="L3207" t="s">
        <v>4514</v>
      </c>
      <c r="M3207" t="s">
        <v>4462</v>
      </c>
    </row>
    <row r="3208" spans="1:14" x14ac:dyDescent="0.35">
      <c r="A3208" t="s">
        <v>7687</v>
      </c>
      <c r="B3208" t="s">
        <v>264</v>
      </c>
      <c r="C3208" t="s">
        <v>1890</v>
      </c>
      <c r="D3208" t="s">
        <v>4438</v>
      </c>
      <c r="E3208" t="s">
        <v>4456</v>
      </c>
      <c r="F3208" s="3">
        <v>45660</v>
      </c>
      <c r="G3208" s="3">
        <v>45660</v>
      </c>
      <c r="H3208">
        <v>1.5</v>
      </c>
      <c r="I3208">
        <v>4</v>
      </c>
      <c r="J3208" t="s">
        <v>4448</v>
      </c>
      <c r="K3208" t="s">
        <v>4441</v>
      </c>
      <c r="L3208" t="s">
        <v>4458</v>
      </c>
      <c r="M3208" t="s">
        <v>4446</v>
      </c>
      <c r="N3208">
        <v>2</v>
      </c>
    </row>
    <row r="3209" spans="1:14" x14ac:dyDescent="0.35">
      <c r="A3209" t="s">
        <v>7688</v>
      </c>
      <c r="B3209" t="s">
        <v>328</v>
      </c>
      <c r="C3209" t="s">
        <v>1927</v>
      </c>
      <c r="D3209" t="s">
        <v>8509</v>
      </c>
      <c r="E3209" t="s">
        <v>4444</v>
      </c>
      <c r="F3209" s="3">
        <v>45072</v>
      </c>
      <c r="G3209" s="3">
        <v>45072</v>
      </c>
      <c r="H3209">
        <v>14.2</v>
      </c>
      <c r="I3209">
        <v>24</v>
      </c>
      <c r="J3209" t="s">
        <v>4448</v>
      </c>
      <c r="K3209" t="s">
        <v>4441</v>
      </c>
      <c r="L3209" t="s">
        <v>4527</v>
      </c>
      <c r="M3209" t="s">
        <v>4462</v>
      </c>
      <c r="N3209">
        <v>3</v>
      </c>
    </row>
    <row r="3210" spans="1:14" x14ac:dyDescent="0.35">
      <c r="A3210" t="s">
        <v>7689</v>
      </c>
      <c r="B3210" t="s">
        <v>488</v>
      </c>
      <c r="C3210" t="s">
        <v>1883</v>
      </c>
      <c r="D3210" t="s">
        <v>4476</v>
      </c>
      <c r="E3210" t="s">
        <v>4439</v>
      </c>
      <c r="F3210" s="3">
        <v>45061</v>
      </c>
      <c r="G3210" s="3">
        <v>45061</v>
      </c>
      <c r="H3210">
        <v>22.5</v>
      </c>
      <c r="I3210">
        <v>48</v>
      </c>
      <c r="J3210" t="s">
        <v>4448</v>
      </c>
      <c r="K3210" t="s">
        <v>4441</v>
      </c>
      <c r="L3210" t="s">
        <v>4580</v>
      </c>
      <c r="M3210" t="s">
        <v>4450</v>
      </c>
      <c r="N3210">
        <v>3</v>
      </c>
    </row>
    <row r="3211" spans="1:14" x14ac:dyDescent="0.35">
      <c r="A3211" t="s">
        <v>7690</v>
      </c>
      <c r="B3211" t="s">
        <v>295</v>
      </c>
      <c r="C3211" t="s">
        <v>1915</v>
      </c>
      <c r="D3211" t="s">
        <v>4476</v>
      </c>
      <c r="E3211" t="s">
        <v>4439</v>
      </c>
      <c r="F3211" s="3">
        <v>45376</v>
      </c>
      <c r="G3211" s="3">
        <v>45378</v>
      </c>
      <c r="H3211">
        <v>60.7</v>
      </c>
      <c r="I3211">
        <v>48</v>
      </c>
      <c r="J3211" t="s">
        <v>4440</v>
      </c>
      <c r="K3211" t="s">
        <v>4441</v>
      </c>
      <c r="L3211" t="s">
        <v>4458</v>
      </c>
      <c r="M3211" t="s">
        <v>4450</v>
      </c>
    </row>
    <row r="3212" spans="1:14" x14ac:dyDescent="0.35">
      <c r="A3212" t="s">
        <v>7691</v>
      </c>
      <c r="B3212" t="s">
        <v>421</v>
      </c>
      <c r="C3212" t="s">
        <v>1915</v>
      </c>
      <c r="D3212" t="s">
        <v>4490</v>
      </c>
      <c r="E3212" t="s">
        <v>4444</v>
      </c>
      <c r="F3212" s="3">
        <v>45116</v>
      </c>
      <c r="G3212" s="3">
        <v>45117</v>
      </c>
      <c r="H3212">
        <v>46.8</v>
      </c>
      <c r="I3212">
        <v>24</v>
      </c>
      <c r="J3212" t="s">
        <v>4440</v>
      </c>
      <c r="K3212" t="s">
        <v>4441</v>
      </c>
      <c r="L3212" t="s">
        <v>4501</v>
      </c>
      <c r="M3212" t="s">
        <v>4446</v>
      </c>
      <c r="N3212">
        <v>3</v>
      </c>
    </row>
    <row r="3213" spans="1:14" x14ac:dyDescent="0.35">
      <c r="A3213" t="s">
        <v>7692</v>
      </c>
      <c r="B3213" t="s">
        <v>398</v>
      </c>
      <c r="C3213" t="s">
        <v>1899</v>
      </c>
      <c r="D3213" t="s">
        <v>4490</v>
      </c>
      <c r="E3213" t="s">
        <v>4473</v>
      </c>
      <c r="F3213" s="3">
        <v>45030</v>
      </c>
      <c r="G3213" s="3" t="s">
        <v>537</v>
      </c>
      <c r="I3213">
        <v>8</v>
      </c>
      <c r="J3213" t="s">
        <v>4440</v>
      </c>
      <c r="K3213" t="s">
        <v>4474</v>
      </c>
      <c r="L3213" t="s">
        <v>4533</v>
      </c>
      <c r="M3213" t="s">
        <v>4446</v>
      </c>
    </row>
    <row r="3214" spans="1:14" x14ac:dyDescent="0.35">
      <c r="A3214" t="s">
        <v>7693</v>
      </c>
      <c r="B3214" t="s">
        <v>110</v>
      </c>
      <c r="C3214" t="s">
        <v>1904</v>
      </c>
      <c r="D3214" t="s">
        <v>4490</v>
      </c>
      <c r="E3214" t="s">
        <v>4444</v>
      </c>
      <c r="F3214" s="3">
        <v>45268</v>
      </c>
      <c r="G3214" s="3" t="s">
        <v>537</v>
      </c>
      <c r="I3214">
        <v>24</v>
      </c>
      <c r="J3214" t="s">
        <v>4448</v>
      </c>
      <c r="K3214" t="s">
        <v>4453</v>
      </c>
      <c r="L3214" t="s">
        <v>4514</v>
      </c>
      <c r="M3214" t="s">
        <v>4450</v>
      </c>
    </row>
    <row r="3215" spans="1:14" x14ac:dyDescent="0.35">
      <c r="A3215" t="s">
        <v>7694</v>
      </c>
      <c r="B3215" t="s">
        <v>38</v>
      </c>
      <c r="C3215" t="s">
        <v>1899</v>
      </c>
      <c r="D3215" t="s">
        <v>4452</v>
      </c>
      <c r="E3215" t="s">
        <v>4444</v>
      </c>
      <c r="F3215" s="3">
        <v>45185</v>
      </c>
      <c r="G3215" s="3">
        <v>45186</v>
      </c>
      <c r="H3215">
        <v>33.299999999999997</v>
      </c>
      <c r="I3215">
        <v>24</v>
      </c>
      <c r="J3215" t="s">
        <v>4440</v>
      </c>
      <c r="K3215" t="s">
        <v>4441</v>
      </c>
      <c r="L3215" t="s">
        <v>4514</v>
      </c>
      <c r="M3215" t="s">
        <v>4446</v>
      </c>
      <c r="N3215">
        <v>3</v>
      </c>
    </row>
    <row r="3216" spans="1:14" x14ac:dyDescent="0.35">
      <c r="A3216" t="s">
        <v>7695</v>
      </c>
      <c r="B3216" t="s">
        <v>80</v>
      </c>
      <c r="C3216" t="s">
        <v>1883</v>
      </c>
      <c r="D3216" t="s">
        <v>8508</v>
      </c>
      <c r="E3216" t="s">
        <v>4444</v>
      </c>
      <c r="F3216" s="3">
        <v>45439</v>
      </c>
      <c r="G3216" s="3">
        <v>45439</v>
      </c>
      <c r="H3216">
        <v>20.399999999999999</v>
      </c>
      <c r="I3216">
        <v>24</v>
      </c>
      <c r="J3216" t="s">
        <v>4448</v>
      </c>
      <c r="K3216" t="s">
        <v>4441</v>
      </c>
      <c r="L3216" t="s">
        <v>4527</v>
      </c>
      <c r="M3216" t="s">
        <v>1625</v>
      </c>
      <c r="N3216">
        <v>5</v>
      </c>
    </row>
    <row r="3217" spans="1:14" x14ac:dyDescent="0.35">
      <c r="A3217" t="s">
        <v>7696</v>
      </c>
      <c r="B3217" t="s">
        <v>471</v>
      </c>
      <c r="C3217" t="s">
        <v>1904</v>
      </c>
      <c r="D3217" t="s">
        <v>4469</v>
      </c>
      <c r="E3217" t="s">
        <v>4439</v>
      </c>
      <c r="F3217" s="3">
        <v>45343</v>
      </c>
      <c r="G3217" s="3" t="s">
        <v>537</v>
      </c>
      <c r="I3217">
        <v>48</v>
      </c>
      <c r="J3217" t="s">
        <v>4440</v>
      </c>
      <c r="K3217" t="s">
        <v>4457</v>
      </c>
      <c r="L3217" t="s">
        <v>4470</v>
      </c>
      <c r="M3217" t="s">
        <v>4462</v>
      </c>
    </row>
    <row r="3218" spans="1:14" x14ac:dyDescent="0.35">
      <c r="A3218" t="s">
        <v>7697</v>
      </c>
      <c r="B3218" t="s">
        <v>279</v>
      </c>
      <c r="C3218" t="s">
        <v>1890</v>
      </c>
      <c r="D3218" t="s">
        <v>4469</v>
      </c>
      <c r="E3218" t="s">
        <v>4444</v>
      </c>
      <c r="F3218" s="3">
        <v>45124</v>
      </c>
      <c r="G3218" s="3" t="s">
        <v>537</v>
      </c>
      <c r="I3218">
        <v>24</v>
      </c>
      <c r="J3218" t="s">
        <v>4440</v>
      </c>
      <c r="K3218" t="s">
        <v>4457</v>
      </c>
      <c r="L3218" t="s">
        <v>4512</v>
      </c>
      <c r="M3218" t="s">
        <v>4446</v>
      </c>
    </row>
    <row r="3219" spans="1:14" x14ac:dyDescent="0.35">
      <c r="A3219" t="s">
        <v>7698</v>
      </c>
      <c r="B3219" t="s">
        <v>34</v>
      </c>
      <c r="C3219" t="s">
        <v>1899</v>
      </c>
      <c r="D3219" t="s">
        <v>4469</v>
      </c>
      <c r="E3219" t="s">
        <v>4444</v>
      </c>
      <c r="F3219" s="3">
        <v>45412</v>
      </c>
      <c r="G3219" s="3" t="s">
        <v>537</v>
      </c>
      <c r="I3219">
        <v>24</v>
      </c>
      <c r="J3219" t="s">
        <v>4440</v>
      </c>
      <c r="K3219" t="s">
        <v>4457</v>
      </c>
      <c r="L3219" t="s">
        <v>4454</v>
      </c>
      <c r="M3219" t="s">
        <v>1625</v>
      </c>
    </row>
    <row r="3220" spans="1:14" x14ac:dyDescent="0.35">
      <c r="A3220" t="s">
        <v>7699</v>
      </c>
      <c r="B3220" t="s">
        <v>210</v>
      </c>
      <c r="C3220" t="s">
        <v>1915</v>
      </c>
      <c r="D3220" t="s">
        <v>4482</v>
      </c>
      <c r="E3220" t="s">
        <v>4439</v>
      </c>
      <c r="F3220" s="3">
        <v>45311</v>
      </c>
      <c r="G3220" s="3">
        <v>45315</v>
      </c>
      <c r="H3220">
        <v>112.7</v>
      </c>
      <c r="I3220">
        <v>48</v>
      </c>
      <c r="J3220" t="s">
        <v>4440</v>
      </c>
      <c r="K3220" t="s">
        <v>4441</v>
      </c>
      <c r="L3220" t="s">
        <v>4467</v>
      </c>
      <c r="M3220" t="s">
        <v>4462</v>
      </c>
      <c r="N3220">
        <v>5</v>
      </c>
    </row>
    <row r="3221" spans="1:14" x14ac:dyDescent="0.35">
      <c r="A3221" t="s">
        <v>7700</v>
      </c>
      <c r="B3221" t="s">
        <v>473</v>
      </c>
      <c r="C3221" t="s">
        <v>1883</v>
      </c>
      <c r="D3221" t="s">
        <v>4482</v>
      </c>
      <c r="E3221" t="s">
        <v>4444</v>
      </c>
      <c r="F3221" s="3">
        <v>45551</v>
      </c>
      <c r="G3221" s="3">
        <v>45551</v>
      </c>
      <c r="H3221">
        <v>7.1</v>
      </c>
      <c r="I3221">
        <v>24</v>
      </c>
      <c r="J3221" t="s">
        <v>4448</v>
      </c>
      <c r="K3221" t="s">
        <v>4441</v>
      </c>
      <c r="L3221" t="s">
        <v>4509</v>
      </c>
      <c r="M3221" t="s">
        <v>4450</v>
      </c>
      <c r="N3221">
        <v>2</v>
      </c>
    </row>
    <row r="3222" spans="1:14" x14ac:dyDescent="0.35">
      <c r="A3222" t="s">
        <v>7701</v>
      </c>
      <c r="B3222" t="s">
        <v>149</v>
      </c>
      <c r="C3222" t="s">
        <v>1890</v>
      </c>
      <c r="D3222" t="s">
        <v>4476</v>
      </c>
      <c r="E3222" t="s">
        <v>4439</v>
      </c>
      <c r="F3222" s="3">
        <v>45533</v>
      </c>
      <c r="G3222" s="3" t="s">
        <v>537</v>
      </c>
      <c r="I3222">
        <v>48</v>
      </c>
      <c r="J3222" t="s">
        <v>4440</v>
      </c>
      <c r="K3222" t="s">
        <v>4457</v>
      </c>
      <c r="L3222" t="s">
        <v>4449</v>
      </c>
      <c r="M3222" t="s">
        <v>1625</v>
      </c>
    </row>
    <row r="3223" spans="1:14" x14ac:dyDescent="0.35">
      <c r="A3223" t="s">
        <v>7702</v>
      </c>
      <c r="B3223" t="s">
        <v>392</v>
      </c>
      <c r="C3223" t="s">
        <v>1915</v>
      </c>
      <c r="D3223" t="s">
        <v>4472</v>
      </c>
      <c r="E3223" t="s">
        <v>4444</v>
      </c>
      <c r="F3223" s="3">
        <v>44931</v>
      </c>
      <c r="G3223" s="3" t="s">
        <v>537</v>
      </c>
      <c r="I3223">
        <v>24</v>
      </c>
      <c r="J3223" t="s">
        <v>4440</v>
      </c>
      <c r="K3223" t="s">
        <v>4453</v>
      </c>
      <c r="L3223" t="s">
        <v>4465</v>
      </c>
      <c r="M3223" t="s">
        <v>4462</v>
      </c>
    </row>
    <row r="3224" spans="1:14" x14ac:dyDescent="0.35">
      <c r="A3224" t="s">
        <v>7703</v>
      </c>
      <c r="B3224" t="s">
        <v>413</v>
      </c>
      <c r="C3224" t="s">
        <v>1899</v>
      </c>
      <c r="D3224" t="s">
        <v>4452</v>
      </c>
      <c r="E3224" t="s">
        <v>4444</v>
      </c>
      <c r="F3224" s="3">
        <v>45523</v>
      </c>
      <c r="G3224" s="3">
        <v>45523</v>
      </c>
      <c r="H3224">
        <v>18.899999999999999</v>
      </c>
      <c r="I3224">
        <v>24</v>
      </c>
      <c r="J3224" t="s">
        <v>4448</v>
      </c>
      <c r="K3224" t="s">
        <v>4441</v>
      </c>
      <c r="L3224" t="s">
        <v>4492</v>
      </c>
      <c r="M3224" t="s">
        <v>4446</v>
      </c>
      <c r="N3224">
        <v>2</v>
      </c>
    </row>
    <row r="3225" spans="1:14" x14ac:dyDescent="0.35">
      <c r="A3225" t="s">
        <v>7704</v>
      </c>
      <c r="B3225" t="s">
        <v>469</v>
      </c>
      <c r="C3225" t="s">
        <v>1890</v>
      </c>
      <c r="D3225" t="s">
        <v>4490</v>
      </c>
      <c r="E3225" t="s">
        <v>4444</v>
      </c>
      <c r="F3225" s="3">
        <v>45541</v>
      </c>
      <c r="G3225" s="3">
        <v>45543</v>
      </c>
      <c r="H3225">
        <v>55.8</v>
      </c>
      <c r="I3225">
        <v>24</v>
      </c>
      <c r="J3225" t="s">
        <v>4440</v>
      </c>
      <c r="K3225" t="s">
        <v>4441</v>
      </c>
      <c r="L3225" t="s">
        <v>4509</v>
      </c>
      <c r="M3225" t="s">
        <v>4446</v>
      </c>
      <c r="N3225">
        <v>4</v>
      </c>
    </row>
    <row r="3226" spans="1:14" x14ac:dyDescent="0.35">
      <c r="A3226" t="s">
        <v>7705</v>
      </c>
      <c r="B3226" t="s">
        <v>458</v>
      </c>
      <c r="C3226" t="s">
        <v>1904</v>
      </c>
      <c r="D3226" t="s">
        <v>4472</v>
      </c>
      <c r="E3226" t="s">
        <v>4456</v>
      </c>
      <c r="F3226" s="3">
        <v>45253</v>
      </c>
      <c r="G3226" s="3">
        <v>45253</v>
      </c>
      <c r="H3226">
        <v>3.2</v>
      </c>
      <c r="I3226">
        <v>4</v>
      </c>
      <c r="J3226" t="s">
        <v>4448</v>
      </c>
      <c r="K3226" t="s">
        <v>4441</v>
      </c>
      <c r="L3226" t="s">
        <v>4501</v>
      </c>
      <c r="M3226" t="s">
        <v>4446</v>
      </c>
      <c r="N3226">
        <v>3</v>
      </c>
    </row>
    <row r="3227" spans="1:14" x14ac:dyDescent="0.35">
      <c r="A3227" t="s">
        <v>7706</v>
      </c>
      <c r="B3227" t="s">
        <v>99</v>
      </c>
      <c r="C3227" t="s">
        <v>1927</v>
      </c>
      <c r="D3227" t="s">
        <v>4482</v>
      </c>
      <c r="E3227" t="s">
        <v>4444</v>
      </c>
      <c r="F3227" s="3">
        <v>45548</v>
      </c>
      <c r="G3227" s="3">
        <v>45548</v>
      </c>
      <c r="H3227">
        <v>12.7</v>
      </c>
      <c r="I3227">
        <v>24</v>
      </c>
      <c r="J3227" t="s">
        <v>4448</v>
      </c>
      <c r="K3227" t="s">
        <v>4441</v>
      </c>
      <c r="L3227" t="s">
        <v>4492</v>
      </c>
      <c r="M3227" t="s">
        <v>4450</v>
      </c>
      <c r="N3227">
        <v>4</v>
      </c>
    </row>
    <row r="3228" spans="1:14" x14ac:dyDescent="0.35">
      <c r="A3228" t="s">
        <v>7707</v>
      </c>
      <c r="B3228" t="s">
        <v>459</v>
      </c>
      <c r="C3228" t="s">
        <v>1883</v>
      </c>
      <c r="D3228" t="s">
        <v>4476</v>
      </c>
      <c r="E3228" t="s">
        <v>4439</v>
      </c>
      <c r="F3228" s="3">
        <v>45563</v>
      </c>
      <c r="G3228" s="3" t="s">
        <v>537</v>
      </c>
      <c r="I3228">
        <v>48</v>
      </c>
      <c r="J3228" t="s">
        <v>4448</v>
      </c>
      <c r="K3228" t="s">
        <v>4457</v>
      </c>
      <c r="L3228" t="s">
        <v>4454</v>
      </c>
      <c r="M3228" t="s">
        <v>4446</v>
      </c>
    </row>
    <row r="3229" spans="1:14" x14ac:dyDescent="0.35">
      <c r="A3229" t="s">
        <v>7708</v>
      </c>
      <c r="B3229" t="s">
        <v>193</v>
      </c>
      <c r="C3229" t="s">
        <v>1904</v>
      </c>
      <c r="D3229" t="s">
        <v>4485</v>
      </c>
      <c r="E3229" t="s">
        <v>4439</v>
      </c>
      <c r="F3229" s="3">
        <v>45050</v>
      </c>
      <c r="G3229" s="3">
        <v>45050</v>
      </c>
      <c r="H3229">
        <v>15.8</v>
      </c>
      <c r="I3229">
        <v>48</v>
      </c>
      <c r="J3229" t="s">
        <v>4448</v>
      </c>
      <c r="K3229" t="s">
        <v>4441</v>
      </c>
      <c r="L3229" t="s">
        <v>4501</v>
      </c>
      <c r="M3229" t="s">
        <v>4450</v>
      </c>
    </row>
    <row r="3230" spans="1:14" x14ac:dyDescent="0.35">
      <c r="A3230" t="s">
        <v>7709</v>
      </c>
      <c r="B3230" t="s">
        <v>451</v>
      </c>
      <c r="C3230" t="s">
        <v>1883</v>
      </c>
      <c r="D3230" t="s">
        <v>4479</v>
      </c>
      <c r="E3230" t="s">
        <v>4473</v>
      </c>
      <c r="F3230" s="3">
        <v>45352</v>
      </c>
      <c r="G3230" s="3" t="s">
        <v>537</v>
      </c>
      <c r="I3230">
        <v>8</v>
      </c>
      <c r="J3230" t="s">
        <v>4440</v>
      </c>
      <c r="K3230" t="s">
        <v>4457</v>
      </c>
      <c r="L3230" t="s">
        <v>4445</v>
      </c>
      <c r="M3230" t="s">
        <v>4446</v>
      </c>
    </row>
    <row r="3231" spans="1:14" x14ac:dyDescent="0.35">
      <c r="A3231" t="s">
        <v>7710</v>
      </c>
      <c r="B3231" t="s">
        <v>499</v>
      </c>
      <c r="C3231" t="s">
        <v>1899</v>
      </c>
      <c r="D3231" t="s">
        <v>4490</v>
      </c>
      <c r="E3231" t="s">
        <v>4439</v>
      </c>
      <c r="F3231" s="3">
        <v>45015</v>
      </c>
      <c r="G3231" s="3">
        <v>45016</v>
      </c>
      <c r="H3231">
        <v>42</v>
      </c>
      <c r="I3231">
        <v>48</v>
      </c>
      <c r="J3231" t="s">
        <v>4448</v>
      </c>
      <c r="K3231" t="s">
        <v>4441</v>
      </c>
      <c r="L3231" t="s">
        <v>4533</v>
      </c>
      <c r="M3231" t="s">
        <v>1625</v>
      </c>
      <c r="N3231">
        <v>5</v>
      </c>
    </row>
    <row r="3232" spans="1:14" x14ac:dyDescent="0.35">
      <c r="A3232" t="s">
        <v>7711</v>
      </c>
      <c r="B3232" t="s">
        <v>300</v>
      </c>
      <c r="C3232" t="s">
        <v>1890</v>
      </c>
      <c r="D3232" t="s">
        <v>4460</v>
      </c>
      <c r="E3232" t="s">
        <v>4456</v>
      </c>
      <c r="F3232" s="3">
        <v>45607</v>
      </c>
      <c r="G3232" s="3">
        <v>45607</v>
      </c>
      <c r="H3232">
        <v>7.3</v>
      </c>
      <c r="I3232">
        <v>4</v>
      </c>
      <c r="J3232" t="s">
        <v>4440</v>
      </c>
      <c r="K3232" t="s">
        <v>4441</v>
      </c>
      <c r="L3232" t="s">
        <v>4449</v>
      </c>
      <c r="M3232" t="s">
        <v>4446</v>
      </c>
      <c r="N3232">
        <v>3</v>
      </c>
    </row>
    <row r="3233" spans="1:14" x14ac:dyDescent="0.35">
      <c r="A3233" t="s">
        <v>7712</v>
      </c>
      <c r="B3233" t="s">
        <v>82</v>
      </c>
      <c r="C3233" t="s">
        <v>1915</v>
      </c>
      <c r="D3233" t="s">
        <v>4490</v>
      </c>
      <c r="E3233" t="s">
        <v>4439</v>
      </c>
      <c r="F3233" s="3">
        <v>45551</v>
      </c>
      <c r="G3233" s="3">
        <v>45555</v>
      </c>
      <c r="H3233">
        <v>115</v>
      </c>
      <c r="I3233">
        <v>48</v>
      </c>
      <c r="J3233" t="s">
        <v>4440</v>
      </c>
      <c r="K3233" t="s">
        <v>4441</v>
      </c>
      <c r="L3233" t="s">
        <v>4514</v>
      </c>
      <c r="M3233" t="s">
        <v>1625</v>
      </c>
    </row>
    <row r="3234" spans="1:14" x14ac:dyDescent="0.35">
      <c r="A3234" t="s">
        <v>7713</v>
      </c>
      <c r="B3234" t="s">
        <v>488</v>
      </c>
      <c r="C3234" t="s">
        <v>1915</v>
      </c>
      <c r="D3234" t="s">
        <v>4485</v>
      </c>
      <c r="E3234" t="s">
        <v>4444</v>
      </c>
      <c r="F3234" s="3">
        <v>45674</v>
      </c>
      <c r="G3234" s="3">
        <v>45674</v>
      </c>
      <c r="H3234">
        <v>1.3</v>
      </c>
      <c r="I3234">
        <v>24</v>
      </c>
      <c r="J3234" t="s">
        <v>4448</v>
      </c>
      <c r="K3234" t="s">
        <v>4441</v>
      </c>
      <c r="L3234" t="s">
        <v>4483</v>
      </c>
      <c r="M3234" t="s">
        <v>4450</v>
      </c>
      <c r="N3234">
        <v>4</v>
      </c>
    </row>
    <row r="3235" spans="1:14" x14ac:dyDescent="0.35">
      <c r="A3235" t="s">
        <v>7714</v>
      </c>
      <c r="B3235" t="s">
        <v>483</v>
      </c>
      <c r="C3235" t="s">
        <v>1904</v>
      </c>
      <c r="D3235" t="s">
        <v>4479</v>
      </c>
      <c r="E3235" t="s">
        <v>4444</v>
      </c>
      <c r="F3235" s="3">
        <v>45029</v>
      </c>
      <c r="G3235" s="3">
        <v>45029</v>
      </c>
      <c r="H3235">
        <v>0.7</v>
      </c>
      <c r="I3235">
        <v>24</v>
      </c>
      <c r="J3235" t="s">
        <v>4448</v>
      </c>
      <c r="K3235" t="s">
        <v>4441</v>
      </c>
      <c r="L3235" t="s">
        <v>4512</v>
      </c>
      <c r="M3235" t="s">
        <v>4462</v>
      </c>
      <c r="N3235">
        <v>3</v>
      </c>
    </row>
    <row r="3236" spans="1:14" x14ac:dyDescent="0.35">
      <c r="A3236" t="s">
        <v>7715</v>
      </c>
      <c r="B3236" t="s">
        <v>94</v>
      </c>
      <c r="C3236" t="s">
        <v>1915</v>
      </c>
      <c r="D3236" t="s">
        <v>4476</v>
      </c>
      <c r="E3236" t="s">
        <v>4456</v>
      </c>
      <c r="F3236" s="3">
        <v>45431</v>
      </c>
      <c r="G3236" s="3" t="s">
        <v>537</v>
      </c>
      <c r="I3236">
        <v>4</v>
      </c>
      <c r="J3236" t="s">
        <v>4440</v>
      </c>
      <c r="K3236" t="s">
        <v>4474</v>
      </c>
      <c r="L3236" t="s">
        <v>4492</v>
      </c>
      <c r="M3236" t="s">
        <v>4450</v>
      </c>
    </row>
    <row r="3237" spans="1:14" x14ac:dyDescent="0.35">
      <c r="A3237" t="s">
        <v>7716</v>
      </c>
      <c r="B3237" t="s">
        <v>381</v>
      </c>
      <c r="C3237" t="s">
        <v>1899</v>
      </c>
      <c r="D3237" t="s">
        <v>4469</v>
      </c>
      <c r="E3237" t="s">
        <v>4456</v>
      </c>
      <c r="F3237" s="3">
        <v>45136</v>
      </c>
      <c r="G3237" s="3">
        <v>45136</v>
      </c>
      <c r="H3237">
        <v>1.9</v>
      </c>
      <c r="I3237">
        <v>4</v>
      </c>
      <c r="J3237" t="s">
        <v>4448</v>
      </c>
      <c r="K3237" t="s">
        <v>4441</v>
      </c>
      <c r="L3237" t="s">
        <v>4445</v>
      </c>
      <c r="M3237" t="s">
        <v>4446</v>
      </c>
      <c r="N3237">
        <v>4</v>
      </c>
    </row>
    <row r="3238" spans="1:14" x14ac:dyDescent="0.35">
      <c r="A3238" t="s">
        <v>7717</v>
      </c>
      <c r="B3238" t="s">
        <v>424</v>
      </c>
      <c r="C3238" t="s">
        <v>1890</v>
      </c>
      <c r="D3238" t="s">
        <v>4443</v>
      </c>
      <c r="E3238" t="s">
        <v>4439</v>
      </c>
      <c r="F3238" s="3">
        <v>45581</v>
      </c>
      <c r="G3238" s="3">
        <v>45584</v>
      </c>
      <c r="H3238">
        <v>78.400000000000006</v>
      </c>
      <c r="I3238">
        <v>48</v>
      </c>
      <c r="J3238" t="s">
        <v>4440</v>
      </c>
      <c r="K3238" t="s">
        <v>4441</v>
      </c>
      <c r="L3238" t="s">
        <v>4492</v>
      </c>
      <c r="M3238" t="s">
        <v>4462</v>
      </c>
      <c r="N3238">
        <v>2</v>
      </c>
    </row>
    <row r="3239" spans="1:14" x14ac:dyDescent="0.35">
      <c r="A3239" t="s">
        <v>7718</v>
      </c>
      <c r="B3239" t="s">
        <v>158</v>
      </c>
      <c r="C3239" t="s">
        <v>1915</v>
      </c>
      <c r="D3239" t="s">
        <v>4479</v>
      </c>
      <c r="E3239" t="s">
        <v>4439</v>
      </c>
      <c r="F3239" s="3">
        <v>45228</v>
      </c>
      <c r="G3239" s="3" t="s">
        <v>537</v>
      </c>
      <c r="I3239">
        <v>48</v>
      </c>
      <c r="J3239" t="s">
        <v>4440</v>
      </c>
      <c r="K3239" t="s">
        <v>4457</v>
      </c>
      <c r="L3239" t="s">
        <v>4533</v>
      </c>
      <c r="M3239" t="s">
        <v>4446</v>
      </c>
    </row>
    <row r="3240" spans="1:14" x14ac:dyDescent="0.35">
      <c r="A3240" t="s">
        <v>7719</v>
      </c>
      <c r="B3240" t="s">
        <v>263</v>
      </c>
      <c r="C3240" t="s">
        <v>1890</v>
      </c>
      <c r="D3240" t="s">
        <v>4476</v>
      </c>
      <c r="E3240" t="s">
        <v>4456</v>
      </c>
      <c r="F3240" s="3">
        <v>45561</v>
      </c>
      <c r="G3240" s="3">
        <v>45561</v>
      </c>
      <c r="H3240">
        <v>8.6</v>
      </c>
      <c r="I3240">
        <v>4</v>
      </c>
      <c r="J3240" t="s">
        <v>4440</v>
      </c>
      <c r="K3240" t="s">
        <v>4441</v>
      </c>
      <c r="L3240" t="s">
        <v>4465</v>
      </c>
      <c r="M3240" t="s">
        <v>4446</v>
      </c>
      <c r="N3240">
        <v>3</v>
      </c>
    </row>
    <row r="3241" spans="1:14" x14ac:dyDescent="0.35">
      <c r="A3241" t="s">
        <v>7720</v>
      </c>
      <c r="B3241" t="s">
        <v>384</v>
      </c>
      <c r="C3241" t="s">
        <v>1904</v>
      </c>
      <c r="D3241" t="s">
        <v>4476</v>
      </c>
      <c r="E3241" t="s">
        <v>4439</v>
      </c>
      <c r="F3241" s="3">
        <v>45181</v>
      </c>
      <c r="G3241" s="3">
        <v>45182</v>
      </c>
      <c r="H3241">
        <v>41.6</v>
      </c>
      <c r="I3241">
        <v>48</v>
      </c>
      <c r="J3241" t="s">
        <v>4448</v>
      </c>
      <c r="K3241" t="s">
        <v>4441</v>
      </c>
      <c r="L3241" t="s">
        <v>4580</v>
      </c>
      <c r="M3241" t="s">
        <v>4462</v>
      </c>
      <c r="N3241">
        <v>5</v>
      </c>
    </row>
    <row r="3242" spans="1:14" x14ac:dyDescent="0.35">
      <c r="A3242" t="s">
        <v>7721</v>
      </c>
      <c r="B3242" t="s">
        <v>128</v>
      </c>
      <c r="C3242" t="s">
        <v>1899</v>
      </c>
      <c r="D3242" t="s">
        <v>4464</v>
      </c>
      <c r="E3242" t="s">
        <v>4444</v>
      </c>
      <c r="F3242" s="3">
        <v>45733</v>
      </c>
      <c r="G3242" s="3" t="s">
        <v>537</v>
      </c>
      <c r="I3242">
        <v>24</v>
      </c>
      <c r="J3242" t="s">
        <v>4440</v>
      </c>
      <c r="K3242" t="s">
        <v>4457</v>
      </c>
      <c r="L3242" t="s">
        <v>4533</v>
      </c>
      <c r="M3242" t="s">
        <v>4450</v>
      </c>
    </row>
    <row r="3243" spans="1:14" x14ac:dyDescent="0.35">
      <c r="A3243" t="s">
        <v>7722</v>
      </c>
      <c r="B3243" t="s">
        <v>423</v>
      </c>
      <c r="C3243" t="s">
        <v>1915</v>
      </c>
      <c r="D3243" t="s">
        <v>4476</v>
      </c>
      <c r="E3243" t="s">
        <v>4473</v>
      </c>
      <c r="F3243" s="3">
        <v>45255</v>
      </c>
      <c r="G3243" s="3" t="s">
        <v>537</v>
      </c>
      <c r="I3243">
        <v>8</v>
      </c>
      <c r="J3243" t="s">
        <v>4440</v>
      </c>
      <c r="K3243" t="s">
        <v>4453</v>
      </c>
      <c r="L3243" t="s">
        <v>4527</v>
      </c>
      <c r="M3243" t="s">
        <v>4450</v>
      </c>
    </row>
    <row r="3244" spans="1:14" x14ac:dyDescent="0.35">
      <c r="A3244" t="s">
        <v>7723</v>
      </c>
      <c r="B3244" t="s">
        <v>288</v>
      </c>
      <c r="C3244" t="s">
        <v>1883</v>
      </c>
      <c r="D3244" t="s">
        <v>4479</v>
      </c>
      <c r="E3244" t="s">
        <v>4439</v>
      </c>
      <c r="F3244" s="3">
        <v>45028</v>
      </c>
      <c r="G3244" s="3" t="s">
        <v>537</v>
      </c>
      <c r="I3244">
        <v>48</v>
      </c>
      <c r="J3244" t="s">
        <v>4448</v>
      </c>
      <c r="K3244" t="s">
        <v>4457</v>
      </c>
      <c r="L3244" t="s">
        <v>4492</v>
      </c>
      <c r="M3244" t="s">
        <v>4450</v>
      </c>
    </row>
    <row r="3245" spans="1:14" x14ac:dyDescent="0.35">
      <c r="A3245" t="s">
        <v>7724</v>
      </c>
      <c r="B3245" t="s">
        <v>194</v>
      </c>
      <c r="C3245" t="s">
        <v>1915</v>
      </c>
      <c r="D3245" t="s">
        <v>4479</v>
      </c>
      <c r="E3245" t="s">
        <v>4439</v>
      </c>
      <c r="F3245" s="3">
        <v>45673</v>
      </c>
      <c r="G3245" s="3">
        <v>45677</v>
      </c>
      <c r="H3245">
        <v>109.2</v>
      </c>
      <c r="I3245">
        <v>48</v>
      </c>
      <c r="J3245" t="s">
        <v>4440</v>
      </c>
      <c r="K3245" t="s">
        <v>4441</v>
      </c>
      <c r="L3245" t="s">
        <v>4480</v>
      </c>
      <c r="M3245" t="s">
        <v>4462</v>
      </c>
      <c r="N3245">
        <v>4</v>
      </c>
    </row>
    <row r="3246" spans="1:14" x14ac:dyDescent="0.35">
      <c r="A3246" t="s">
        <v>7725</v>
      </c>
      <c r="B3246" t="s">
        <v>283</v>
      </c>
      <c r="C3246" t="s">
        <v>1915</v>
      </c>
      <c r="D3246" t="s">
        <v>4476</v>
      </c>
      <c r="E3246" t="s">
        <v>4444</v>
      </c>
      <c r="F3246" s="3">
        <v>45447</v>
      </c>
      <c r="G3246" s="3">
        <v>45447</v>
      </c>
      <c r="H3246">
        <v>3.7</v>
      </c>
      <c r="I3246">
        <v>24</v>
      </c>
      <c r="J3246" t="s">
        <v>4448</v>
      </c>
      <c r="K3246" t="s">
        <v>4441</v>
      </c>
      <c r="L3246" t="s">
        <v>4501</v>
      </c>
      <c r="M3246" t="s">
        <v>4446</v>
      </c>
      <c r="N3246">
        <v>3</v>
      </c>
    </row>
    <row r="3247" spans="1:14" x14ac:dyDescent="0.35">
      <c r="A3247" t="s">
        <v>7726</v>
      </c>
      <c r="B3247" t="s">
        <v>307</v>
      </c>
      <c r="C3247" t="s">
        <v>1890</v>
      </c>
      <c r="D3247" t="s">
        <v>4443</v>
      </c>
      <c r="E3247" t="s">
        <v>4444</v>
      </c>
      <c r="F3247" s="3">
        <v>45055</v>
      </c>
      <c r="G3247" s="3">
        <v>45057</v>
      </c>
      <c r="H3247">
        <v>57.6</v>
      </c>
      <c r="I3247">
        <v>24</v>
      </c>
      <c r="J3247" t="s">
        <v>4440</v>
      </c>
      <c r="K3247" t="s">
        <v>4441</v>
      </c>
      <c r="L3247" t="s">
        <v>4501</v>
      </c>
      <c r="M3247" t="s">
        <v>4462</v>
      </c>
      <c r="N3247">
        <v>2</v>
      </c>
    </row>
    <row r="3248" spans="1:14" x14ac:dyDescent="0.35">
      <c r="A3248" t="s">
        <v>7727</v>
      </c>
      <c r="B3248" t="s">
        <v>475</v>
      </c>
      <c r="C3248" t="s">
        <v>1927</v>
      </c>
      <c r="D3248" t="s">
        <v>4490</v>
      </c>
      <c r="E3248" t="s">
        <v>4473</v>
      </c>
      <c r="F3248" s="3">
        <v>45747</v>
      </c>
      <c r="G3248" s="3" t="s">
        <v>537</v>
      </c>
      <c r="I3248">
        <v>8</v>
      </c>
      <c r="J3248" t="s">
        <v>4440</v>
      </c>
      <c r="K3248" t="s">
        <v>4453</v>
      </c>
      <c r="L3248" t="s">
        <v>4501</v>
      </c>
      <c r="M3248" t="s">
        <v>1625</v>
      </c>
    </row>
    <row r="3249" spans="1:14" x14ac:dyDescent="0.35">
      <c r="A3249" t="s">
        <v>7728</v>
      </c>
      <c r="B3249" t="s">
        <v>351</v>
      </c>
      <c r="C3249" t="s">
        <v>1904</v>
      </c>
      <c r="D3249" t="s">
        <v>4476</v>
      </c>
      <c r="E3249" t="s">
        <v>4473</v>
      </c>
      <c r="F3249" s="3">
        <v>45270</v>
      </c>
      <c r="G3249" s="3">
        <v>45270</v>
      </c>
      <c r="H3249">
        <v>4.0999999999999996</v>
      </c>
      <c r="I3249">
        <v>8</v>
      </c>
      <c r="J3249" t="s">
        <v>4448</v>
      </c>
      <c r="K3249" t="s">
        <v>4441</v>
      </c>
      <c r="L3249" t="s">
        <v>4512</v>
      </c>
      <c r="M3249" t="s">
        <v>4446</v>
      </c>
      <c r="N3249">
        <v>3</v>
      </c>
    </row>
    <row r="3250" spans="1:14" x14ac:dyDescent="0.35">
      <c r="A3250" t="s">
        <v>7729</v>
      </c>
      <c r="B3250" t="s">
        <v>492</v>
      </c>
      <c r="C3250" t="s">
        <v>1899</v>
      </c>
      <c r="D3250" t="s">
        <v>4460</v>
      </c>
      <c r="E3250" t="s">
        <v>4444</v>
      </c>
      <c r="F3250" s="3">
        <v>45039</v>
      </c>
      <c r="G3250" s="3" t="s">
        <v>537</v>
      </c>
      <c r="I3250">
        <v>24</v>
      </c>
      <c r="J3250" t="s">
        <v>1945</v>
      </c>
      <c r="K3250" t="s">
        <v>4453</v>
      </c>
      <c r="L3250" t="s">
        <v>4580</v>
      </c>
      <c r="M3250" t="s">
        <v>4450</v>
      </c>
    </row>
    <row r="3251" spans="1:14" x14ac:dyDescent="0.35">
      <c r="A3251" t="s">
        <v>7730</v>
      </c>
      <c r="B3251" t="s">
        <v>82</v>
      </c>
      <c r="C3251" t="s">
        <v>1890</v>
      </c>
      <c r="D3251" t="s">
        <v>4490</v>
      </c>
      <c r="E3251" t="s">
        <v>4444</v>
      </c>
      <c r="F3251" s="3">
        <v>45074</v>
      </c>
      <c r="G3251" s="3">
        <v>45075</v>
      </c>
      <c r="H3251">
        <v>33.4</v>
      </c>
      <c r="I3251">
        <v>24</v>
      </c>
      <c r="J3251" t="s">
        <v>4440</v>
      </c>
      <c r="K3251" t="s">
        <v>4441</v>
      </c>
      <c r="L3251" t="s">
        <v>1907</v>
      </c>
      <c r="M3251" t="s">
        <v>1625</v>
      </c>
      <c r="N3251">
        <v>4</v>
      </c>
    </row>
    <row r="3252" spans="1:14" x14ac:dyDescent="0.35">
      <c r="A3252" t="s">
        <v>7731</v>
      </c>
      <c r="B3252" t="s">
        <v>465</v>
      </c>
      <c r="C3252" t="s">
        <v>1927</v>
      </c>
      <c r="D3252" t="s">
        <v>4469</v>
      </c>
      <c r="E3252" t="s">
        <v>4473</v>
      </c>
      <c r="F3252" s="3">
        <v>45679</v>
      </c>
      <c r="G3252" s="3">
        <v>45679</v>
      </c>
      <c r="H3252">
        <v>9.5</v>
      </c>
      <c r="I3252">
        <v>8</v>
      </c>
      <c r="J3252" t="s">
        <v>4440</v>
      </c>
      <c r="K3252" t="s">
        <v>4441</v>
      </c>
      <c r="L3252" t="s">
        <v>4483</v>
      </c>
      <c r="M3252" t="s">
        <v>4446</v>
      </c>
      <c r="N3252">
        <v>1</v>
      </c>
    </row>
    <row r="3253" spans="1:14" x14ac:dyDescent="0.35">
      <c r="A3253" t="s">
        <v>7732</v>
      </c>
      <c r="B3253" t="s">
        <v>128</v>
      </c>
      <c r="C3253" t="s">
        <v>1904</v>
      </c>
      <c r="D3253" t="s">
        <v>4464</v>
      </c>
      <c r="E3253" t="s">
        <v>4473</v>
      </c>
      <c r="F3253" s="3">
        <v>45569</v>
      </c>
      <c r="G3253" s="3">
        <v>45569</v>
      </c>
      <c r="H3253">
        <v>7</v>
      </c>
      <c r="I3253">
        <v>8</v>
      </c>
      <c r="J3253" t="s">
        <v>4448</v>
      </c>
      <c r="K3253" t="s">
        <v>4441</v>
      </c>
      <c r="L3253" t="s">
        <v>4514</v>
      </c>
      <c r="M3253" t="s">
        <v>4450</v>
      </c>
    </row>
    <row r="3254" spans="1:14" x14ac:dyDescent="0.35">
      <c r="A3254" t="s">
        <v>7733</v>
      </c>
      <c r="B3254" t="s">
        <v>319</v>
      </c>
      <c r="C3254" t="s">
        <v>1899</v>
      </c>
      <c r="D3254" t="s">
        <v>4482</v>
      </c>
      <c r="E3254" t="s">
        <v>4439</v>
      </c>
      <c r="F3254" s="3">
        <v>45354</v>
      </c>
      <c r="G3254" s="3" t="s">
        <v>537</v>
      </c>
      <c r="I3254">
        <v>48</v>
      </c>
      <c r="J3254" t="s">
        <v>4448</v>
      </c>
      <c r="K3254" t="s">
        <v>4474</v>
      </c>
      <c r="L3254" t="s">
        <v>4461</v>
      </c>
      <c r="M3254" t="s">
        <v>4462</v>
      </c>
    </row>
    <row r="3255" spans="1:14" x14ac:dyDescent="0.35">
      <c r="A3255" t="s">
        <v>7734</v>
      </c>
      <c r="B3255" t="s">
        <v>436</v>
      </c>
      <c r="C3255" t="s">
        <v>1915</v>
      </c>
      <c r="D3255" t="s">
        <v>4482</v>
      </c>
      <c r="E3255" t="s">
        <v>4439</v>
      </c>
      <c r="F3255" s="3">
        <v>45050</v>
      </c>
      <c r="G3255" s="3">
        <v>45053</v>
      </c>
      <c r="H3255">
        <v>83.2</v>
      </c>
      <c r="I3255">
        <v>48</v>
      </c>
      <c r="J3255" t="s">
        <v>1945</v>
      </c>
      <c r="K3255" t="s">
        <v>4441</v>
      </c>
      <c r="L3255" t="s">
        <v>4449</v>
      </c>
      <c r="M3255" t="s">
        <v>4450</v>
      </c>
      <c r="N3255">
        <v>1</v>
      </c>
    </row>
    <row r="3256" spans="1:14" x14ac:dyDescent="0.35">
      <c r="A3256" t="s">
        <v>7735</v>
      </c>
      <c r="B3256" t="s">
        <v>266</v>
      </c>
      <c r="C3256" t="s">
        <v>1890</v>
      </c>
      <c r="D3256" t="s">
        <v>4469</v>
      </c>
      <c r="E3256" t="s">
        <v>4444</v>
      </c>
      <c r="F3256" s="3">
        <v>45608</v>
      </c>
      <c r="G3256" s="3">
        <v>45610</v>
      </c>
      <c r="H3256">
        <v>49.3</v>
      </c>
      <c r="I3256">
        <v>24</v>
      </c>
      <c r="J3256" t="s">
        <v>4440</v>
      </c>
      <c r="K3256" t="s">
        <v>4441</v>
      </c>
      <c r="L3256" t="s">
        <v>4509</v>
      </c>
      <c r="M3256" t="s">
        <v>4446</v>
      </c>
      <c r="N3256">
        <v>4</v>
      </c>
    </row>
    <row r="3257" spans="1:14" x14ac:dyDescent="0.35">
      <c r="A3257" t="s">
        <v>7736</v>
      </c>
      <c r="B3257" t="s">
        <v>399</v>
      </c>
      <c r="C3257" t="s">
        <v>1915</v>
      </c>
      <c r="D3257" t="s">
        <v>4485</v>
      </c>
      <c r="E3257" t="s">
        <v>4444</v>
      </c>
      <c r="F3257" s="3">
        <v>45615</v>
      </c>
      <c r="G3257" s="3">
        <v>45617</v>
      </c>
      <c r="H3257">
        <v>53.9</v>
      </c>
      <c r="I3257">
        <v>24</v>
      </c>
      <c r="J3257" t="s">
        <v>4440</v>
      </c>
      <c r="K3257" t="s">
        <v>4441</v>
      </c>
      <c r="L3257" t="s">
        <v>4467</v>
      </c>
      <c r="M3257" t="s">
        <v>4446</v>
      </c>
      <c r="N3257">
        <v>3</v>
      </c>
    </row>
    <row r="3258" spans="1:14" x14ac:dyDescent="0.35">
      <c r="A3258" t="s">
        <v>7737</v>
      </c>
      <c r="B3258" t="s">
        <v>180</v>
      </c>
      <c r="C3258" t="s">
        <v>1927</v>
      </c>
      <c r="D3258" t="s">
        <v>8513</v>
      </c>
      <c r="E3258" t="s">
        <v>4473</v>
      </c>
      <c r="F3258" s="3">
        <v>45302</v>
      </c>
      <c r="G3258" s="3">
        <v>45302</v>
      </c>
      <c r="H3258">
        <v>14</v>
      </c>
      <c r="I3258">
        <v>8</v>
      </c>
      <c r="J3258" t="s">
        <v>4440</v>
      </c>
      <c r="K3258" t="s">
        <v>4441</v>
      </c>
      <c r="L3258" t="s">
        <v>4501</v>
      </c>
      <c r="M3258" t="s">
        <v>4450</v>
      </c>
      <c r="N3258">
        <v>5</v>
      </c>
    </row>
    <row r="3259" spans="1:14" x14ac:dyDescent="0.35">
      <c r="A3259" t="s">
        <v>7738</v>
      </c>
      <c r="B3259" t="s">
        <v>415</v>
      </c>
      <c r="C3259" t="s">
        <v>1899</v>
      </c>
      <c r="D3259" t="s">
        <v>4464</v>
      </c>
      <c r="E3259" t="s">
        <v>4444</v>
      </c>
      <c r="F3259" s="3">
        <v>45639</v>
      </c>
      <c r="G3259" s="3">
        <v>45640</v>
      </c>
      <c r="H3259">
        <v>41.5</v>
      </c>
      <c r="I3259">
        <v>24</v>
      </c>
      <c r="J3259" t="s">
        <v>4440</v>
      </c>
      <c r="K3259" t="s">
        <v>4441</v>
      </c>
      <c r="L3259" t="s">
        <v>4509</v>
      </c>
      <c r="M3259" t="s">
        <v>1625</v>
      </c>
    </row>
    <row r="3260" spans="1:14" x14ac:dyDescent="0.35">
      <c r="A3260" t="s">
        <v>7739</v>
      </c>
      <c r="B3260" t="s">
        <v>238</v>
      </c>
      <c r="C3260" t="s">
        <v>1899</v>
      </c>
      <c r="D3260" t="s">
        <v>4464</v>
      </c>
      <c r="E3260" t="s">
        <v>4444</v>
      </c>
      <c r="F3260" s="3">
        <v>45132</v>
      </c>
      <c r="G3260" s="3">
        <v>45133</v>
      </c>
      <c r="H3260">
        <v>41.9</v>
      </c>
      <c r="I3260">
        <v>24</v>
      </c>
      <c r="J3260" t="s">
        <v>4440</v>
      </c>
      <c r="K3260" t="s">
        <v>4441</v>
      </c>
      <c r="L3260" t="s">
        <v>4533</v>
      </c>
      <c r="M3260" t="s">
        <v>4446</v>
      </c>
      <c r="N3260">
        <v>2</v>
      </c>
    </row>
    <row r="3261" spans="1:14" x14ac:dyDescent="0.35">
      <c r="A3261" t="s">
        <v>7740</v>
      </c>
      <c r="B3261" t="s">
        <v>367</v>
      </c>
      <c r="C3261" t="s">
        <v>1915</v>
      </c>
      <c r="D3261" t="s">
        <v>4469</v>
      </c>
      <c r="E3261" t="s">
        <v>4444</v>
      </c>
      <c r="F3261" s="3">
        <v>45345</v>
      </c>
      <c r="G3261" s="3" t="s">
        <v>537</v>
      </c>
      <c r="I3261">
        <v>24</v>
      </c>
      <c r="J3261" t="s">
        <v>4448</v>
      </c>
      <c r="K3261" t="s">
        <v>4457</v>
      </c>
      <c r="L3261" t="s">
        <v>4445</v>
      </c>
      <c r="M3261" t="s">
        <v>4462</v>
      </c>
    </row>
    <row r="3262" spans="1:14" x14ac:dyDescent="0.35">
      <c r="A3262" t="s">
        <v>7741</v>
      </c>
      <c r="B3262" t="s">
        <v>313</v>
      </c>
      <c r="C3262" t="s">
        <v>1904</v>
      </c>
      <c r="D3262" t="s">
        <v>4452</v>
      </c>
      <c r="E3262" t="s">
        <v>4444</v>
      </c>
      <c r="F3262" s="3">
        <v>45300</v>
      </c>
      <c r="G3262" s="3">
        <v>45302</v>
      </c>
      <c r="H3262">
        <v>58.3</v>
      </c>
      <c r="I3262">
        <v>24</v>
      </c>
      <c r="J3262" t="s">
        <v>4440</v>
      </c>
      <c r="K3262" t="s">
        <v>4441</v>
      </c>
      <c r="L3262" t="s">
        <v>4488</v>
      </c>
      <c r="M3262" t="s">
        <v>4462</v>
      </c>
      <c r="N3262">
        <v>4</v>
      </c>
    </row>
    <row r="3263" spans="1:14" x14ac:dyDescent="0.35">
      <c r="A3263" t="s">
        <v>7742</v>
      </c>
      <c r="B3263" t="s">
        <v>208</v>
      </c>
      <c r="C3263" t="s">
        <v>1904</v>
      </c>
      <c r="D3263" t="s">
        <v>4476</v>
      </c>
      <c r="E3263" t="s">
        <v>4473</v>
      </c>
      <c r="F3263" s="3">
        <v>45725</v>
      </c>
      <c r="G3263" s="3">
        <v>45725</v>
      </c>
      <c r="H3263">
        <v>8.9</v>
      </c>
      <c r="I3263">
        <v>8</v>
      </c>
      <c r="J3263" t="s">
        <v>4440</v>
      </c>
      <c r="K3263" t="s">
        <v>4441</v>
      </c>
      <c r="L3263" t="s">
        <v>4512</v>
      </c>
      <c r="M3263" t="s">
        <v>4462</v>
      </c>
      <c r="N3263">
        <v>5</v>
      </c>
    </row>
    <row r="3264" spans="1:14" x14ac:dyDescent="0.35">
      <c r="A3264" t="s">
        <v>7743</v>
      </c>
      <c r="B3264" t="s">
        <v>193</v>
      </c>
      <c r="C3264" t="s">
        <v>1890</v>
      </c>
      <c r="D3264" t="s">
        <v>4443</v>
      </c>
      <c r="E3264" t="s">
        <v>4473</v>
      </c>
      <c r="F3264" s="3">
        <v>45034</v>
      </c>
      <c r="G3264" s="3">
        <v>45034</v>
      </c>
      <c r="H3264">
        <v>13</v>
      </c>
      <c r="I3264">
        <v>8</v>
      </c>
      <c r="J3264" t="s">
        <v>4440</v>
      </c>
      <c r="K3264" t="s">
        <v>4441</v>
      </c>
      <c r="L3264" t="s">
        <v>4458</v>
      </c>
      <c r="M3264" t="s">
        <v>4450</v>
      </c>
      <c r="N3264">
        <v>3</v>
      </c>
    </row>
    <row r="3265" spans="1:14" x14ac:dyDescent="0.35">
      <c r="A3265" t="s">
        <v>7744</v>
      </c>
      <c r="B3265" t="s">
        <v>144</v>
      </c>
      <c r="C3265" t="s">
        <v>1904</v>
      </c>
      <c r="D3265" t="s">
        <v>4476</v>
      </c>
      <c r="E3265" t="s">
        <v>4439</v>
      </c>
      <c r="F3265" s="3">
        <v>45050</v>
      </c>
      <c r="G3265" s="3" t="s">
        <v>537</v>
      </c>
      <c r="I3265">
        <v>48</v>
      </c>
      <c r="J3265" t="s">
        <v>4440</v>
      </c>
      <c r="K3265" t="s">
        <v>4474</v>
      </c>
      <c r="L3265" t="s">
        <v>4467</v>
      </c>
      <c r="M3265" t="s">
        <v>4450</v>
      </c>
    </row>
    <row r="3266" spans="1:14" x14ac:dyDescent="0.35">
      <c r="A3266" t="s">
        <v>7745</v>
      </c>
      <c r="B3266" t="s">
        <v>52</v>
      </c>
      <c r="C3266" t="s">
        <v>1899</v>
      </c>
      <c r="D3266" t="s">
        <v>4469</v>
      </c>
      <c r="E3266" t="s">
        <v>4444</v>
      </c>
      <c r="F3266" s="3">
        <v>44990</v>
      </c>
      <c r="G3266" s="3" t="s">
        <v>537</v>
      </c>
      <c r="I3266">
        <v>24</v>
      </c>
      <c r="J3266" t="s">
        <v>4440</v>
      </c>
      <c r="K3266" t="s">
        <v>4457</v>
      </c>
      <c r="L3266" t="s">
        <v>1907</v>
      </c>
      <c r="M3266" t="s">
        <v>4450</v>
      </c>
    </row>
    <row r="3267" spans="1:14" x14ac:dyDescent="0.35">
      <c r="A3267" t="s">
        <v>7746</v>
      </c>
      <c r="B3267" t="s">
        <v>184</v>
      </c>
      <c r="C3267" t="s">
        <v>1890</v>
      </c>
      <c r="D3267" t="s">
        <v>4443</v>
      </c>
      <c r="E3267" t="s">
        <v>4473</v>
      </c>
      <c r="F3267" s="3">
        <v>45647</v>
      </c>
      <c r="G3267" s="3" t="s">
        <v>537</v>
      </c>
      <c r="I3267">
        <v>8</v>
      </c>
      <c r="J3267" t="s">
        <v>4448</v>
      </c>
      <c r="K3267" t="s">
        <v>4474</v>
      </c>
      <c r="L3267" t="s">
        <v>4461</v>
      </c>
      <c r="M3267" t="s">
        <v>4446</v>
      </c>
    </row>
    <row r="3268" spans="1:14" x14ac:dyDescent="0.35">
      <c r="A3268" t="s">
        <v>7747</v>
      </c>
      <c r="B3268" t="s">
        <v>485</v>
      </c>
      <c r="C3268" t="s">
        <v>1899</v>
      </c>
      <c r="D3268" t="s">
        <v>4460</v>
      </c>
      <c r="E3268" t="s">
        <v>4444</v>
      </c>
      <c r="F3268" s="3">
        <v>45007</v>
      </c>
      <c r="G3268" s="3">
        <v>45009</v>
      </c>
      <c r="H3268">
        <v>50.5</v>
      </c>
      <c r="I3268">
        <v>24</v>
      </c>
      <c r="J3268" t="s">
        <v>4440</v>
      </c>
      <c r="K3268" t="s">
        <v>4441</v>
      </c>
      <c r="L3268" t="s">
        <v>4449</v>
      </c>
      <c r="M3268" t="s">
        <v>4450</v>
      </c>
      <c r="N3268">
        <v>4</v>
      </c>
    </row>
    <row r="3269" spans="1:14" x14ac:dyDescent="0.35">
      <c r="A3269" t="s">
        <v>7748</v>
      </c>
      <c r="B3269" t="s">
        <v>330</v>
      </c>
      <c r="C3269" t="s">
        <v>1883</v>
      </c>
      <c r="D3269" t="s">
        <v>4472</v>
      </c>
      <c r="E3269" t="s">
        <v>4473</v>
      </c>
      <c r="F3269" s="3">
        <v>45456</v>
      </c>
      <c r="G3269" s="3">
        <v>45456</v>
      </c>
      <c r="H3269">
        <v>7.1</v>
      </c>
      <c r="I3269">
        <v>8</v>
      </c>
      <c r="J3269" t="s">
        <v>4448</v>
      </c>
      <c r="K3269" t="s">
        <v>4441</v>
      </c>
      <c r="L3269" t="s">
        <v>4467</v>
      </c>
      <c r="M3269" t="s">
        <v>4446</v>
      </c>
      <c r="N3269">
        <v>4</v>
      </c>
    </row>
    <row r="3270" spans="1:14" x14ac:dyDescent="0.35">
      <c r="A3270" t="s">
        <v>7749</v>
      </c>
      <c r="B3270" t="s">
        <v>329</v>
      </c>
      <c r="C3270" t="s">
        <v>1915</v>
      </c>
      <c r="D3270" t="s">
        <v>4472</v>
      </c>
      <c r="E3270" t="s">
        <v>4439</v>
      </c>
      <c r="F3270" s="3">
        <v>45074</v>
      </c>
      <c r="G3270" s="3">
        <v>45075</v>
      </c>
      <c r="H3270">
        <v>24.4</v>
      </c>
      <c r="I3270">
        <v>48</v>
      </c>
      <c r="J3270" t="s">
        <v>4448</v>
      </c>
      <c r="K3270" t="s">
        <v>4441</v>
      </c>
      <c r="L3270" t="s">
        <v>4580</v>
      </c>
      <c r="M3270" t="s">
        <v>4446</v>
      </c>
      <c r="N3270">
        <v>4</v>
      </c>
    </row>
    <row r="3271" spans="1:14" x14ac:dyDescent="0.35">
      <c r="A3271" t="s">
        <v>7750</v>
      </c>
      <c r="B3271" t="s">
        <v>101</v>
      </c>
      <c r="C3271" t="s">
        <v>1883</v>
      </c>
      <c r="D3271" t="s">
        <v>4476</v>
      </c>
      <c r="E3271" t="s">
        <v>4456</v>
      </c>
      <c r="F3271" s="3">
        <v>45577</v>
      </c>
      <c r="G3271" s="3" t="s">
        <v>537</v>
      </c>
      <c r="I3271">
        <v>4</v>
      </c>
      <c r="J3271" t="s">
        <v>4448</v>
      </c>
      <c r="K3271" t="s">
        <v>4474</v>
      </c>
      <c r="L3271" t="s">
        <v>1907</v>
      </c>
      <c r="M3271" t="s">
        <v>1625</v>
      </c>
    </row>
    <row r="3272" spans="1:14" x14ac:dyDescent="0.35">
      <c r="A3272" t="s">
        <v>7751</v>
      </c>
      <c r="B3272" t="s">
        <v>152</v>
      </c>
      <c r="C3272" t="s">
        <v>1883</v>
      </c>
      <c r="D3272" t="s">
        <v>4472</v>
      </c>
      <c r="E3272" t="s">
        <v>4439</v>
      </c>
      <c r="F3272" s="3">
        <v>45132</v>
      </c>
      <c r="G3272" s="3" t="s">
        <v>537</v>
      </c>
      <c r="I3272">
        <v>48</v>
      </c>
      <c r="J3272" t="s">
        <v>4440</v>
      </c>
      <c r="K3272" t="s">
        <v>4474</v>
      </c>
      <c r="L3272" t="s">
        <v>4492</v>
      </c>
      <c r="M3272" t="s">
        <v>4446</v>
      </c>
    </row>
    <row r="3273" spans="1:14" x14ac:dyDescent="0.35">
      <c r="A3273" t="s">
        <v>7752</v>
      </c>
      <c r="B3273" t="s">
        <v>191</v>
      </c>
      <c r="C3273" t="s">
        <v>1883</v>
      </c>
      <c r="D3273" t="s">
        <v>4452</v>
      </c>
      <c r="E3273" t="s">
        <v>4444</v>
      </c>
      <c r="F3273" s="3">
        <v>45479</v>
      </c>
      <c r="G3273" s="3" t="s">
        <v>537</v>
      </c>
      <c r="I3273">
        <v>24</v>
      </c>
      <c r="J3273" t="s">
        <v>4448</v>
      </c>
      <c r="K3273" t="s">
        <v>4453</v>
      </c>
      <c r="L3273" t="s">
        <v>4527</v>
      </c>
      <c r="M3273" t="s">
        <v>4446</v>
      </c>
    </row>
    <row r="3274" spans="1:14" x14ac:dyDescent="0.35">
      <c r="A3274" t="s">
        <v>7753</v>
      </c>
      <c r="B3274" t="s">
        <v>275</v>
      </c>
      <c r="C3274" t="s">
        <v>1890</v>
      </c>
      <c r="D3274" t="s">
        <v>4460</v>
      </c>
      <c r="E3274" t="s">
        <v>4444</v>
      </c>
      <c r="F3274" s="3">
        <v>45560</v>
      </c>
      <c r="G3274" s="3">
        <v>45561</v>
      </c>
      <c r="H3274">
        <v>27.9</v>
      </c>
      <c r="I3274">
        <v>24</v>
      </c>
      <c r="J3274" t="s">
        <v>4440</v>
      </c>
      <c r="K3274" t="s">
        <v>4441</v>
      </c>
      <c r="L3274" t="s">
        <v>4454</v>
      </c>
      <c r="M3274" t="s">
        <v>4450</v>
      </c>
      <c r="N3274">
        <v>2</v>
      </c>
    </row>
    <row r="3275" spans="1:14" x14ac:dyDescent="0.35">
      <c r="A3275" t="s">
        <v>7754</v>
      </c>
      <c r="B3275" t="s">
        <v>292</v>
      </c>
      <c r="C3275" t="s">
        <v>1904</v>
      </c>
      <c r="D3275" t="s">
        <v>4472</v>
      </c>
      <c r="E3275" t="s">
        <v>4439</v>
      </c>
      <c r="F3275" s="3">
        <v>45379</v>
      </c>
      <c r="G3275" s="3">
        <v>45383</v>
      </c>
      <c r="H3275">
        <v>100.2</v>
      </c>
      <c r="I3275">
        <v>48</v>
      </c>
      <c r="J3275" t="s">
        <v>1945</v>
      </c>
      <c r="K3275" t="s">
        <v>4441</v>
      </c>
      <c r="L3275" t="s">
        <v>4470</v>
      </c>
      <c r="M3275" t="s">
        <v>4462</v>
      </c>
      <c r="N3275">
        <v>4</v>
      </c>
    </row>
    <row r="3276" spans="1:14" x14ac:dyDescent="0.35">
      <c r="A3276" t="s">
        <v>7755</v>
      </c>
      <c r="B3276" t="s">
        <v>106</v>
      </c>
      <c r="C3276" t="s">
        <v>1899</v>
      </c>
      <c r="D3276" t="s">
        <v>4443</v>
      </c>
      <c r="E3276" t="s">
        <v>4439</v>
      </c>
      <c r="F3276" s="3">
        <v>45481</v>
      </c>
      <c r="G3276" s="3" t="s">
        <v>537</v>
      </c>
      <c r="I3276">
        <v>48</v>
      </c>
      <c r="J3276" t="s">
        <v>4448</v>
      </c>
      <c r="K3276" t="s">
        <v>4453</v>
      </c>
      <c r="L3276" t="s">
        <v>4454</v>
      </c>
      <c r="M3276" t="s">
        <v>4446</v>
      </c>
    </row>
    <row r="3277" spans="1:14" x14ac:dyDescent="0.35">
      <c r="A3277" t="s">
        <v>7756</v>
      </c>
      <c r="B3277" t="s">
        <v>324</v>
      </c>
      <c r="C3277" t="s">
        <v>1915</v>
      </c>
      <c r="D3277" t="s">
        <v>4464</v>
      </c>
      <c r="E3277" t="s">
        <v>4444</v>
      </c>
      <c r="F3277" s="3">
        <v>45528</v>
      </c>
      <c r="G3277" s="3">
        <v>45530</v>
      </c>
      <c r="H3277">
        <v>54.8</v>
      </c>
      <c r="I3277">
        <v>24</v>
      </c>
      <c r="J3277" t="s">
        <v>4440</v>
      </c>
      <c r="K3277" t="s">
        <v>4441</v>
      </c>
      <c r="L3277" t="s">
        <v>4533</v>
      </c>
      <c r="M3277" t="s">
        <v>1625</v>
      </c>
      <c r="N3277">
        <v>5</v>
      </c>
    </row>
    <row r="3278" spans="1:14" x14ac:dyDescent="0.35">
      <c r="A3278" t="s">
        <v>7757</v>
      </c>
      <c r="B3278" t="s">
        <v>390</v>
      </c>
      <c r="C3278" t="s">
        <v>1890</v>
      </c>
      <c r="D3278" t="s">
        <v>4476</v>
      </c>
      <c r="E3278" t="s">
        <v>4439</v>
      </c>
      <c r="F3278" s="3">
        <v>45079</v>
      </c>
      <c r="G3278" s="3">
        <v>45081</v>
      </c>
      <c r="H3278">
        <v>60.4</v>
      </c>
      <c r="I3278">
        <v>48</v>
      </c>
      <c r="J3278" t="s">
        <v>4440</v>
      </c>
      <c r="K3278" t="s">
        <v>4441</v>
      </c>
      <c r="L3278" t="s">
        <v>4470</v>
      </c>
      <c r="M3278" t="s">
        <v>4450</v>
      </c>
      <c r="N3278">
        <v>3</v>
      </c>
    </row>
    <row r="3279" spans="1:14" x14ac:dyDescent="0.35">
      <c r="A3279" t="s">
        <v>7758</v>
      </c>
      <c r="B3279" t="s">
        <v>49</v>
      </c>
      <c r="C3279" t="s">
        <v>1927</v>
      </c>
      <c r="D3279" t="s">
        <v>4438</v>
      </c>
      <c r="E3279" t="s">
        <v>4439</v>
      </c>
      <c r="F3279" s="3">
        <v>45699</v>
      </c>
      <c r="G3279" s="3">
        <v>45699</v>
      </c>
      <c r="H3279">
        <v>18.899999999999999</v>
      </c>
      <c r="I3279">
        <v>48</v>
      </c>
      <c r="J3279" t="s">
        <v>4448</v>
      </c>
      <c r="K3279" t="s">
        <v>4441</v>
      </c>
      <c r="L3279" t="s">
        <v>4527</v>
      </c>
      <c r="M3279" t="s">
        <v>4446</v>
      </c>
      <c r="N3279">
        <v>5</v>
      </c>
    </row>
    <row r="3280" spans="1:14" x14ac:dyDescent="0.35">
      <c r="A3280" t="s">
        <v>7759</v>
      </c>
      <c r="B3280" t="s">
        <v>434</v>
      </c>
      <c r="C3280" t="s">
        <v>1915</v>
      </c>
      <c r="D3280" t="s">
        <v>4469</v>
      </c>
      <c r="E3280" t="s">
        <v>4444</v>
      </c>
      <c r="F3280" s="3">
        <v>45033</v>
      </c>
      <c r="G3280" s="3">
        <v>45034</v>
      </c>
      <c r="H3280">
        <v>43.9</v>
      </c>
      <c r="I3280">
        <v>24</v>
      </c>
      <c r="J3280" t="s">
        <v>4440</v>
      </c>
      <c r="K3280" t="s">
        <v>4441</v>
      </c>
      <c r="L3280" t="s">
        <v>1907</v>
      </c>
      <c r="M3280" t="s">
        <v>4462</v>
      </c>
      <c r="N3280">
        <v>4</v>
      </c>
    </row>
    <row r="3281" spans="1:14" x14ac:dyDescent="0.35">
      <c r="A3281" t="s">
        <v>7760</v>
      </c>
      <c r="B3281" t="s">
        <v>156</v>
      </c>
      <c r="C3281" t="s">
        <v>1890</v>
      </c>
      <c r="D3281" t="s">
        <v>4443</v>
      </c>
      <c r="E3281" t="s">
        <v>79</v>
      </c>
      <c r="F3281" s="3">
        <v>44951</v>
      </c>
      <c r="G3281" s="3" t="s">
        <v>537</v>
      </c>
      <c r="I3281">
        <v>4</v>
      </c>
      <c r="J3281" t="s">
        <v>4440</v>
      </c>
      <c r="K3281" t="s">
        <v>4457</v>
      </c>
      <c r="L3281" t="s">
        <v>4470</v>
      </c>
      <c r="M3281" t="s">
        <v>4450</v>
      </c>
    </row>
    <row r="3282" spans="1:14" x14ac:dyDescent="0.35">
      <c r="A3282" t="s">
        <v>7761</v>
      </c>
      <c r="B3282" t="s">
        <v>302</v>
      </c>
      <c r="C3282" t="s">
        <v>1927</v>
      </c>
      <c r="D3282" t="s">
        <v>4469</v>
      </c>
      <c r="E3282" t="s">
        <v>4473</v>
      </c>
      <c r="F3282" s="3">
        <v>45468</v>
      </c>
      <c r="G3282" s="3">
        <v>45468</v>
      </c>
      <c r="H3282">
        <v>15.9</v>
      </c>
      <c r="I3282">
        <v>8</v>
      </c>
      <c r="J3282" t="s">
        <v>4440</v>
      </c>
      <c r="K3282" t="s">
        <v>4441</v>
      </c>
      <c r="L3282" t="s">
        <v>4509</v>
      </c>
      <c r="M3282" t="s">
        <v>4462</v>
      </c>
      <c r="N3282">
        <v>4</v>
      </c>
    </row>
    <row r="3283" spans="1:14" x14ac:dyDescent="0.35">
      <c r="A3283" t="s">
        <v>7762</v>
      </c>
      <c r="B3283" t="s">
        <v>453</v>
      </c>
      <c r="C3283" t="s">
        <v>1915</v>
      </c>
      <c r="D3283" t="s">
        <v>4485</v>
      </c>
      <c r="E3283" t="s">
        <v>4444</v>
      </c>
      <c r="F3283" s="3">
        <v>44953</v>
      </c>
      <c r="G3283" s="3">
        <v>44954</v>
      </c>
      <c r="H3283">
        <v>29.3</v>
      </c>
      <c r="I3283">
        <v>24</v>
      </c>
      <c r="J3283" t="s">
        <v>4440</v>
      </c>
      <c r="K3283" t="s">
        <v>4441</v>
      </c>
      <c r="L3283" t="s">
        <v>4483</v>
      </c>
      <c r="M3283" t="s">
        <v>4462</v>
      </c>
      <c r="N3283">
        <v>2</v>
      </c>
    </row>
    <row r="3284" spans="1:14" x14ac:dyDescent="0.35">
      <c r="A3284" t="s">
        <v>7763</v>
      </c>
      <c r="B3284" t="s">
        <v>201</v>
      </c>
      <c r="C3284" t="s">
        <v>1899</v>
      </c>
      <c r="D3284" t="s">
        <v>4472</v>
      </c>
      <c r="E3284" t="s">
        <v>4439</v>
      </c>
      <c r="F3284" s="3">
        <v>45610</v>
      </c>
      <c r="G3284" s="3">
        <v>45611</v>
      </c>
      <c r="H3284">
        <v>42.3</v>
      </c>
      <c r="I3284">
        <v>48</v>
      </c>
      <c r="J3284" t="s">
        <v>4448</v>
      </c>
      <c r="K3284" t="s">
        <v>4441</v>
      </c>
      <c r="L3284" t="s">
        <v>4467</v>
      </c>
      <c r="M3284" t="s">
        <v>4450</v>
      </c>
      <c r="N3284">
        <v>5</v>
      </c>
    </row>
    <row r="3285" spans="1:14" x14ac:dyDescent="0.35">
      <c r="A3285" t="s">
        <v>7764</v>
      </c>
      <c r="B3285" t="s">
        <v>368</v>
      </c>
      <c r="C3285" t="s">
        <v>1890</v>
      </c>
      <c r="D3285" t="s">
        <v>4485</v>
      </c>
      <c r="E3285" t="s">
        <v>4473</v>
      </c>
      <c r="F3285" s="3">
        <v>45351</v>
      </c>
      <c r="G3285" s="3">
        <v>45351</v>
      </c>
      <c r="H3285">
        <v>15.3</v>
      </c>
      <c r="I3285">
        <v>8</v>
      </c>
      <c r="J3285" t="s">
        <v>4440</v>
      </c>
      <c r="K3285" t="s">
        <v>4441</v>
      </c>
      <c r="L3285" t="s">
        <v>4527</v>
      </c>
      <c r="M3285" t="s">
        <v>4450</v>
      </c>
      <c r="N3285">
        <v>3</v>
      </c>
    </row>
    <row r="3286" spans="1:14" x14ac:dyDescent="0.35">
      <c r="A3286" t="s">
        <v>7765</v>
      </c>
      <c r="B3286" t="s">
        <v>249</v>
      </c>
      <c r="C3286" t="s">
        <v>1899</v>
      </c>
      <c r="D3286" t="s">
        <v>4485</v>
      </c>
      <c r="E3286" t="s">
        <v>4444</v>
      </c>
      <c r="F3286" s="3">
        <v>44967</v>
      </c>
      <c r="G3286" s="3">
        <v>44967</v>
      </c>
      <c r="H3286">
        <v>6</v>
      </c>
      <c r="I3286">
        <v>24</v>
      </c>
      <c r="J3286" t="s">
        <v>4448</v>
      </c>
      <c r="K3286" t="s">
        <v>4441</v>
      </c>
      <c r="L3286" t="s">
        <v>4470</v>
      </c>
      <c r="M3286" t="s">
        <v>4446</v>
      </c>
      <c r="N3286">
        <v>3</v>
      </c>
    </row>
    <row r="3287" spans="1:14" x14ac:dyDescent="0.35">
      <c r="A3287" t="s">
        <v>7766</v>
      </c>
      <c r="B3287" t="s">
        <v>160</v>
      </c>
      <c r="C3287" t="s">
        <v>1915</v>
      </c>
      <c r="D3287" t="s">
        <v>4460</v>
      </c>
      <c r="E3287" t="s">
        <v>4473</v>
      </c>
      <c r="F3287" s="3">
        <v>45673</v>
      </c>
      <c r="G3287" s="3" t="s">
        <v>537</v>
      </c>
      <c r="I3287">
        <v>8</v>
      </c>
      <c r="J3287" t="s">
        <v>4440</v>
      </c>
      <c r="K3287" t="s">
        <v>4453</v>
      </c>
      <c r="L3287" t="s">
        <v>4449</v>
      </c>
      <c r="M3287" t="s">
        <v>4462</v>
      </c>
    </row>
    <row r="3288" spans="1:14" x14ac:dyDescent="0.35">
      <c r="A3288" t="s">
        <v>7767</v>
      </c>
      <c r="B3288" t="s">
        <v>122</v>
      </c>
      <c r="C3288" t="s">
        <v>1904</v>
      </c>
      <c r="D3288" t="s">
        <v>4476</v>
      </c>
      <c r="E3288" t="s">
        <v>4439</v>
      </c>
      <c r="F3288" s="3">
        <v>45587</v>
      </c>
      <c r="G3288" s="3">
        <v>45588</v>
      </c>
      <c r="H3288">
        <v>25.9</v>
      </c>
      <c r="I3288">
        <v>48</v>
      </c>
      <c r="J3288" t="s">
        <v>4448</v>
      </c>
      <c r="K3288" t="s">
        <v>4441</v>
      </c>
      <c r="L3288" t="s">
        <v>4483</v>
      </c>
      <c r="M3288" t="s">
        <v>4462</v>
      </c>
      <c r="N3288">
        <v>2</v>
      </c>
    </row>
    <row r="3289" spans="1:14" x14ac:dyDescent="0.35">
      <c r="A3289" t="s">
        <v>7768</v>
      </c>
      <c r="B3289" t="s">
        <v>387</v>
      </c>
      <c r="C3289" t="s">
        <v>1927</v>
      </c>
      <c r="D3289" t="s">
        <v>4472</v>
      </c>
      <c r="E3289" t="s">
        <v>4473</v>
      </c>
      <c r="F3289" s="3">
        <v>44992</v>
      </c>
      <c r="G3289" s="3" t="s">
        <v>537</v>
      </c>
      <c r="I3289">
        <v>8</v>
      </c>
      <c r="J3289" t="s">
        <v>4440</v>
      </c>
      <c r="K3289" t="s">
        <v>4457</v>
      </c>
      <c r="L3289" t="s">
        <v>4527</v>
      </c>
      <c r="M3289" t="s">
        <v>4446</v>
      </c>
    </row>
    <row r="3290" spans="1:14" x14ac:dyDescent="0.35">
      <c r="A3290" t="s">
        <v>7769</v>
      </c>
      <c r="B3290" t="s">
        <v>190</v>
      </c>
      <c r="C3290" t="s">
        <v>1899</v>
      </c>
      <c r="D3290" t="s">
        <v>4460</v>
      </c>
      <c r="E3290" t="s">
        <v>4473</v>
      </c>
      <c r="F3290" s="3">
        <v>45290</v>
      </c>
      <c r="G3290" s="3" t="s">
        <v>537</v>
      </c>
      <c r="I3290">
        <v>8</v>
      </c>
      <c r="J3290" t="s">
        <v>1945</v>
      </c>
      <c r="K3290" t="s">
        <v>4457</v>
      </c>
      <c r="L3290" t="s">
        <v>4467</v>
      </c>
      <c r="M3290" t="s">
        <v>4450</v>
      </c>
    </row>
    <row r="3291" spans="1:14" x14ac:dyDescent="0.35">
      <c r="A3291" t="s">
        <v>7770</v>
      </c>
      <c r="B3291" t="s">
        <v>437</v>
      </c>
      <c r="C3291" t="s">
        <v>1899</v>
      </c>
      <c r="D3291" t="s">
        <v>4482</v>
      </c>
      <c r="E3291" t="s">
        <v>4473</v>
      </c>
      <c r="F3291" s="3">
        <v>45060</v>
      </c>
      <c r="G3291" s="3">
        <v>45060</v>
      </c>
      <c r="H3291">
        <v>3.8</v>
      </c>
      <c r="I3291">
        <v>8</v>
      </c>
      <c r="J3291" t="s">
        <v>4448</v>
      </c>
      <c r="K3291" t="s">
        <v>4441</v>
      </c>
      <c r="L3291" t="s">
        <v>4501</v>
      </c>
      <c r="M3291" t="s">
        <v>4446</v>
      </c>
    </row>
    <row r="3292" spans="1:14" x14ac:dyDescent="0.35">
      <c r="A3292" t="s">
        <v>7771</v>
      </c>
      <c r="B3292" t="s">
        <v>112</v>
      </c>
      <c r="C3292" t="s">
        <v>1927</v>
      </c>
      <c r="D3292" t="s">
        <v>4452</v>
      </c>
      <c r="E3292" t="s">
        <v>4444</v>
      </c>
      <c r="F3292" s="3">
        <v>45637</v>
      </c>
      <c r="G3292" s="3">
        <v>45638</v>
      </c>
      <c r="H3292">
        <v>29.4</v>
      </c>
      <c r="I3292">
        <v>24</v>
      </c>
      <c r="J3292" t="s">
        <v>4440</v>
      </c>
      <c r="K3292" t="s">
        <v>4441</v>
      </c>
      <c r="L3292" t="s">
        <v>4483</v>
      </c>
      <c r="M3292" t="s">
        <v>4446</v>
      </c>
      <c r="N3292">
        <v>1</v>
      </c>
    </row>
    <row r="3293" spans="1:14" x14ac:dyDescent="0.35">
      <c r="A3293" t="s">
        <v>7772</v>
      </c>
      <c r="B3293" t="s">
        <v>351</v>
      </c>
      <c r="C3293" t="s">
        <v>1915</v>
      </c>
      <c r="D3293" t="s">
        <v>4482</v>
      </c>
      <c r="E3293" t="s">
        <v>4444</v>
      </c>
      <c r="F3293" s="3">
        <v>45236</v>
      </c>
      <c r="G3293" s="3" t="s">
        <v>537</v>
      </c>
      <c r="I3293">
        <v>24</v>
      </c>
      <c r="J3293" t="s">
        <v>1945</v>
      </c>
      <c r="K3293" t="s">
        <v>4474</v>
      </c>
      <c r="L3293" t="s">
        <v>4501</v>
      </c>
      <c r="M3293" t="s">
        <v>1625</v>
      </c>
    </row>
    <row r="3294" spans="1:14" x14ac:dyDescent="0.35">
      <c r="A3294" t="s">
        <v>7773</v>
      </c>
      <c r="B3294" t="s">
        <v>345</v>
      </c>
      <c r="C3294" t="s">
        <v>1899</v>
      </c>
      <c r="D3294" t="s">
        <v>4460</v>
      </c>
      <c r="E3294" t="s">
        <v>4473</v>
      </c>
      <c r="F3294" s="3">
        <v>45509</v>
      </c>
      <c r="G3294" s="3">
        <v>45509</v>
      </c>
      <c r="H3294">
        <v>9.3000000000000007</v>
      </c>
      <c r="I3294">
        <v>8</v>
      </c>
      <c r="J3294" t="s">
        <v>4440</v>
      </c>
      <c r="K3294" t="s">
        <v>4441</v>
      </c>
      <c r="L3294" t="s">
        <v>4454</v>
      </c>
      <c r="M3294" t="s">
        <v>4450</v>
      </c>
    </row>
    <row r="3295" spans="1:14" x14ac:dyDescent="0.35">
      <c r="A3295" t="s">
        <v>7774</v>
      </c>
      <c r="B3295" t="s">
        <v>94</v>
      </c>
      <c r="C3295" t="s">
        <v>1883</v>
      </c>
      <c r="D3295" t="s">
        <v>4482</v>
      </c>
      <c r="E3295" t="s">
        <v>4444</v>
      </c>
      <c r="F3295" s="3">
        <v>45741</v>
      </c>
      <c r="G3295" s="3">
        <v>45742</v>
      </c>
      <c r="H3295">
        <v>31.5</v>
      </c>
      <c r="I3295">
        <v>24</v>
      </c>
      <c r="J3295" t="s">
        <v>4440</v>
      </c>
      <c r="K3295" t="s">
        <v>4441</v>
      </c>
      <c r="L3295" t="s">
        <v>4527</v>
      </c>
      <c r="M3295" t="s">
        <v>1625</v>
      </c>
      <c r="N3295">
        <v>4</v>
      </c>
    </row>
    <row r="3296" spans="1:14" x14ac:dyDescent="0.35">
      <c r="A3296" t="s">
        <v>7775</v>
      </c>
      <c r="B3296" t="s">
        <v>312</v>
      </c>
      <c r="C3296" t="s">
        <v>1883</v>
      </c>
      <c r="D3296" t="s">
        <v>4482</v>
      </c>
      <c r="E3296" t="s">
        <v>4439</v>
      </c>
      <c r="F3296" s="3">
        <v>45204</v>
      </c>
      <c r="G3296" s="3" t="s">
        <v>537</v>
      </c>
      <c r="I3296">
        <v>48</v>
      </c>
      <c r="J3296" t="s">
        <v>4440</v>
      </c>
      <c r="K3296" t="s">
        <v>4457</v>
      </c>
      <c r="L3296" t="s">
        <v>4458</v>
      </c>
      <c r="M3296" t="s">
        <v>4462</v>
      </c>
    </row>
    <row r="3297" spans="1:14" x14ac:dyDescent="0.35">
      <c r="A3297" t="s">
        <v>7776</v>
      </c>
      <c r="B3297" t="s">
        <v>380</v>
      </c>
      <c r="C3297" t="s">
        <v>1904</v>
      </c>
      <c r="D3297" t="s">
        <v>4469</v>
      </c>
      <c r="E3297" t="s">
        <v>4439</v>
      </c>
      <c r="F3297" s="3">
        <v>45298</v>
      </c>
      <c r="G3297" s="3">
        <v>45298</v>
      </c>
      <c r="H3297">
        <v>8.9</v>
      </c>
      <c r="I3297">
        <v>48</v>
      </c>
      <c r="J3297" t="s">
        <v>4448</v>
      </c>
      <c r="K3297" t="s">
        <v>4441</v>
      </c>
      <c r="L3297" t="s">
        <v>4449</v>
      </c>
      <c r="M3297" t="s">
        <v>4462</v>
      </c>
      <c r="N3297">
        <v>5</v>
      </c>
    </row>
    <row r="3298" spans="1:14" x14ac:dyDescent="0.35">
      <c r="A3298" t="s">
        <v>7777</v>
      </c>
      <c r="B3298" t="s">
        <v>176</v>
      </c>
      <c r="C3298" t="s">
        <v>1890</v>
      </c>
      <c r="D3298" t="s">
        <v>4482</v>
      </c>
      <c r="E3298" t="s">
        <v>4439</v>
      </c>
      <c r="F3298" s="3">
        <v>45738</v>
      </c>
      <c r="G3298" s="3" t="s">
        <v>537</v>
      </c>
      <c r="I3298">
        <v>48</v>
      </c>
      <c r="J3298" t="s">
        <v>4440</v>
      </c>
      <c r="K3298" t="s">
        <v>4453</v>
      </c>
      <c r="L3298" t="s">
        <v>4467</v>
      </c>
      <c r="M3298" t="s">
        <v>4450</v>
      </c>
    </row>
    <row r="3299" spans="1:14" x14ac:dyDescent="0.35">
      <c r="A3299" t="s">
        <v>7778</v>
      </c>
      <c r="B3299" t="s">
        <v>242</v>
      </c>
      <c r="C3299" t="s">
        <v>1899</v>
      </c>
      <c r="D3299" t="s">
        <v>4490</v>
      </c>
      <c r="E3299" t="s">
        <v>4439</v>
      </c>
      <c r="F3299" s="3">
        <v>44982</v>
      </c>
      <c r="G3299" s="3" t="s">
        <v>537</v>
      </c>
      <c r="I3299">
        <v>48</v>
      </c>
      <c r="J3299" t="s">
        <v>4440</v>
      </c>
      <c r="K3299" t="s">
        <v>4457</v>
      </c>
      <c r="L3299" t="s">
        <v>4527</v>
      </c>
      <c r="M3299" t="s">
        <v>1625</v>
      </c>
    </row>
    <row r="3300" spans="1:14" x14ac:dyDescent="0.35">
      <c r="A3300" t="s">
        <v>7779</v>
      </c>
      <c r="B3300" t="s">
        <v>447</v>
      </c>
      <c r="C3300" t="s">
        <v>1899</v>
      </c>
      <c r="D3300" t="s">
        <v>4464</v>
      </c>
      <c r="E3300" t="s">
        <v>4444</v>
      </c>
      <c r="F3300" s="3">
        <v>45746</v>
      </c>
      <c r="G3300" s="3">
        <v>45746</v>
      </c>
      <c r="H3300">
        <v>20.5</v>
      </c>
      <c r="I3300">
        <v>24</v>
      </c>
      <c r="J3300" t="s">
        <v>4448</v>
      </c>
      <c r="K3300" t="s">
        <v>4441</v>
      </c>
      <c r="L3300" t="s">
        <v>1907</v>
      </c>
      <c r="M3300" t="s">
        <v>4446</v>
      </c>
    </row>
    <row r="3301" spans="1:14" x14ac:dyDescent="0.35">
      <c r="A3301" t="s">
        <v>7780</v>
      </c>
      <c r="B3301" t="s">
        <v>337</v>
      </c>
      <c r="C3301" t="s">
        <v>1883</v>
      </c>
      <c r="D3301" t="s">
        <v>4460</v>
      </c>
      <c r="E3301" t="s">
        <v>4473</v>
      </c>
      <c r="F3301" s="3">
        <v>45444</v>
      </c>
      <c r="G3301" s="3">
        <v>45444</v>
      </c>
      <c r="H3301">
        <v>17</v>
      </c>
      <c r="I3301">
        <v>8</v>
      </c>
      <c r="J3301" t="s">
        <v>4440</v>
      </c>
      <c r="K3301" t="s">
        <v>4441</v>
      </c>
      <c r="L3301" t="s">
        <v>4483</v>
      </c>
      <c r="M3301" t="s">
        <v>4446</v>
      </c>
      <c r="N3301">
        <v>5</v>
      </c>
    </row>
    <row r="3302" spans="1:14" x14ac:dyDescent="0.35">
      <c r="A3302" t="s">
        <v>7781</v>
      </c>
      <c r="B3302" t="s">
        <v>324</v>
      </c>
      <c r="C3302" t="s">
        <v>1883</v>
      </c>
      <c r="D3302" t="s">
        <v>4485</v>
      </c>
      <c r="E3302" t="s">
        <v>4444</v>
      </c>
      <c r="F3302" s="3">
        <v>45697</v>
      </c>
      <c r="G3302" s="3">
        <v>45697</v>
      </c>
      <c r="H3302">
        <v>5.3</v>
      </c>
      <c r="I3302">
        <v>24</v>
      </c>
      <c r="J3302" t="s">
        <v>4448</v>
      </c>
      <c r="K3302" t="s">
        <v>4441</v>
      </c>
      <c r="L3302" t="s">
        <v>4512</v>
      </c>
      <c r="M3302" t="s">
        <v>4450</v>
      </c>
      <c r="N3302">
        <v>3</v>
      </c>
    </row>
    <row r="3303" spans="1:14" x14ac:dyDescent="0.35">
      <c r="A3303" t="s">
        <v>7782</v>
      </c>
      <c r="B3303" t="s">
        <v>406</v>
      </c>
      <c r="C3303" t="s">
        <v>1883</v>
      </c>
      <c r="D3303" t="s">
        <v>4472</v>
      </c>
      <c r="E3303" t="s">
        <v>4473</v>
      </c>
      <c r="F3303" s="3">
        <v>45395</v>
      </c>
      <c r="G3303" s="3">
        <v>45395</v>
      </c>
      <c r="H3303">
        <v>6</v>
      </c>
      <c r="I3303">
        <v>8</v>
      </c>
      <c r="J3303" t="s">
        <v>4448</v>
      </c>
      <c r="K3303" t="s">
        <v>4441</v>
      </c>
      <c r="L3303" t="s">
        <v>4461</v>
      </c>
      <c r="M3303" t="s">
        <v>4450</v>
      </c>
      <c r="N3303">
        <v>5</v>
      </c>
    </row>
    <row r="3304" spans="1:14" x14ac:dyDescent="0.35">
      <c r="A3304" t="s">
        <v>7783</v>
      </c>
      <c r="B3304" t="s">
        <v>283</v>
      </c>
      <c r="C3304" t="s">
        <v>1883</v>
      </c>
      <c r="D3304" t="s">
        <v>4482</v>
      </c>
      <c r="E3304" t="s">
        <v>4444</v>
      </c>
      <c r="F3304" s="3">
        <v>45320</v>
      </c>
      <c r="G3304" s="3">
        <v>45322</v>
      </c>
      <c r="H3304">
        <v>59.5</v>
      </c>
      <c r="I3304">
        <v>24</v>
      </c>
      <c r="J3304" t="s">
        <v>4440</v>
      </c>
      <c r="K3304" t="s">
        <v>4441</v>
      </c>
      <c r="L3304" t="s">
        <v>4580</v>
      </c>
      <c r="M3304" t="s">
        <v>4446</v>
      </c>
      <c r="N3304">
        <v>4</v>
      </c>
    </row>
    <row r="3305" spans="1:14" x14ac:dyDescent="0.35">
      <c r="A3305" t="s">
        <v>7784</v>
      </c>
      <c r="B3305" t="s">
        <v>90</v>
      </c>
      <c r="C3305" t="s">
        <v>1915</v>
      </c>
      <c r="D3305" t="s">
        <v>4452</v>
      </c>
      <c r="E3305" t="s">
        <v>4456</v>
      </c>
      <c r="F3305" s="3">
        <v>44928</v>
      </c>
      <c r="G3305" s="3">
        <v>44928</v>
      </c>
      <c r="H3305">
        <v>9.6999999999999993</v>
      </c>
      <c r="I3305">
        <v>4</v>
      </c>
      <c r="J3305" t="s">
        <v>4440</v>
      </c>
      <c r="K3305" t="s">
        <v>4441</v>
      </c>
      <c r="L3305" t="s">
        <v>4454</v>
      </c>
      <c r="M3305" t="s">
        <v>4446</v>
      </c>
      <c r="N3305">
        <v>5</v>
      </c>
    </row>
    <row r="3306" spans="1:14" x14ac:dyDescent="0.35">
      <c r="A3306" t="s">
        <v>7785</v>
      </c>
      <c r="B3306" t="s">
        <v>368</v>
      </c>
      <c r="C3306" t="s">
        <v>1890</v>
      </c>
      <c r="D3306" t="s">
        <v>4482</v>
      </c>
      <c r="E3306" t="s">
        <v>4439</v>
      </c>
      <c r="F3306" s="3">
        <v>45323</v>
      </c>
      <c r="G3306" s="3">
        <v>45326</v>
      </c>
      <c r="H3306">
        <v>77.3</v>
      </c>
      <c r="I3306">
        <v>48</v>
      </c>
      <c r="J3306" t="s">
        <v>4440</v>
      </c>
      <c r="K3306" t="s">
        <v>4441</v>
      </c>
      <c r="L3306" t="s">
        <v>4501</v>
      </c>
      <c r="M3306" t="s">
        <v>4450</v>
      </c>
      <c r="N3306">
        <v>3</v>
      </c>
    </row>
    <row r="3307" spans="1:14" x14ac:dyDescent="0.35">
      <c r="A3307" t="s">
        <v>7786</v>
      </c>
      <c r="B3307" t="s">
        <v>334</v>
      </c>
      <c r="C3307" t="s">
        <v>1927</v>
      </c>
      <c r="D3307" t="s">
        <v>4476</v>
      </c>
      <c r="E3307" t="s">
        <v>4439</v>
      </c>
      <c r="F3307" s="3">
        <v>45178</v>
      </c>
      <c r="G3307" s="3">
        <v>45179</v>
      </c>
      <c r="H3307">
        <v>31.1</v>
      </c>
      <c r="I3307">
        <v>48</v>
      </c>
      <c r="J3307" t="s">
        <v>4448</v>
      </c>
      <c r="K3307" t="s">
        <v>4441</v>
      </c>
      <c r="L3307" t="s">
        <v>4465</v>
      </c>
      <c r="M3307" t="s">
        <v>1625</v>
      </c>
      <c r="N3307">
        <v>5</v>
      </c>
    </row>
    <row r="3308" spans="1:14" x14ac:dyDescent="0.35">
      <c r="A3308" t="s">
        <v>7787</v>
      </c>
      <c r="B3308" t="s">
        <v>316</v>
      </c>
      <c r="C3308" t="s">
        <v>1904</v>
      </c>
      <c r="D3308" t="s">
        <v>4479</v>
      </c>
      <c r="E3308" t="s">
        <v>4473</v>
      </c>
      <c r="F3308" s="3">
        <v>45559</v>
      </c>
      <c r="G3308" s="3" t="s">
        <v>537</v>
      </c>
      <c r="I3308">
        <v>8</v>
      </c>
      <c r="J3308" t="s">
        <v>4448</v>
      </c>
      <c r="K3308" t="s">
        <v>4474</v>
      </c>
      <c r="L3308" t="s">
        <v>4488</v>
      </c>
      <c r="M3308" t="s">
        <v>4450</v>
      </c>
    </row>
    <row r="3309" spans="1:14" x14ac:dyDescent="0.35">
      <c r="A3309" t="s">
        <v>7788</v>
      </c>
      <c r="B3309" t="s">
        <v>319</v>
      </c>
      <c r="C3309" t="s">
        <v>1915</v>
      </c>
      <c r="D3309" t="s">
        <v>4460</v>
      </c>
      <c r="E3309" t="s">
        <v>4473</v>
      </c>
      <c r="F3309" s="3">
        <v>45248</v>
      </c>
      <c r="G3309" s="3">
        <v>45248</v>
      </c>
      <c r="H3309">
        <v>3.9</v>
      </c>
      <c r="I3309">
        <v>8</v>
      </c>
      <c r="J3309" t="s">
        <v>4448</v>
      </c>
      <c r="K3309" t="s">
        <v>4441</v>
      </c>
      <c r="L3309" t="s">
        <v>4480</v>
      </c>
      <c r="M3309" t="s">
        <v>4462</v>
      </c>
    </row>
    <row r="3310" spans="1:14" x14ac:dyDescent="0.35">
      <c r="A3310" t="s">
        <v>7789</v>
      </c>
      <c r="B3310" t="s">
        <v>188</v>
      </c>
      <c r="C3310" t="s">
        <v>1883</v>
      </c>
      <c r="D3310" t="s">
        <v>8504</v>
      </c>
      <c r="E3310" t="s">
        <v>4439</v>
      </c>
      <c r="F3310" s="3">
        <v>45420</v>
      </c>
      <c r="G3310" s="3" t="s">
        <v>537</v>
      </c>
      <c r="I3310">
        <v>48</v>
      </c>
      <c r="J3310" t="s">
        <v>4440</v>
      </c>
      <c r="K3310" t="s">
        <v>4474</v>
      </c>
      <c r="L3310" t="s">
        <v>4449</v>
      </c>
      <c r="M3310" t="s">
        <v>4462</v>
      </c>
    </row>
    <row r="3311" spans="1:14" x14ac:dyDescent="0.35">
      <c r="A3311" t="s">
        <v>7790</v>
      </c>
      <c r="B3311" t="s">
        <v>296</v>
      </c>
      <c r="C3311" t="s">
        <v>1883</v>
      </c>
      <c r="D3311" t="s">
        <v>4482</v>
      </c>
      <c r="E3311" t="s">
        <v>4439</v>
      </c>
      <c r="F3311" s="3">
        <v>45396</v>
      </c>
      <c r="G3311" s="3" t="s">
        <v>537</v>
      </c>
      <c r="I3311">
        <v>48</v>
      </c>
      <c r="J3311" t="s">
        <v>1945</v>
      </c>
      <c r="K3311" t="s">
        <v>4457</v>
      </c>
      <c r="L3311" t="s">
        <v>4461</v>
      </c>
      <c r="M3311" t="s">
        <v>4446</v>
      </c>
    </row>
    <row r="3312" spans="1:14" x14ac:dyDescent="0.35">
      <c r="A3312" t="s">
        <v>7791</v>
      </c>
      <c r="B3312" t="s">
        <v>236</v>
      </c>
      <c r="C3312" t="s">
        <v>1883</v>
      </c>
      <c r="D3312" t="s">
        <v>4438</v>
      </c>
      <c r="E3312" t="s">
        <v>4473</v>
      </c>
      <c r="F3312" s="3">
        <v>45471</v>
      </c>
      <c r="G3312" s="3">
        <v>45471</v>
      </c>
      <c r="H3312">
        <v>18</v>
      </c>
      <c r="I3312">
        <v>8</v>
      </c>
      <c r="J3312" t="s">
        <v>1945</v>
      </c>
      <c r="K3312" t="s">
        <v>4441</v>
      </c>
      <c r="L3312" t="s">
        <v>4483</v>
      </c>
      <c r="M3312" t="s">
        <v>4450</v>
      </c>
      <c r="N3312">
        <v>4</v>
      </c>
    </row>
    <row r="3313" spans="1:14" x14ac:dyDescent="0.35">
      <c r="A3313" t="s">
        <v>7792</v>
      </c>
      <c r="B3313" t="s">
        <v>149</v>
      </c>
      <c r="C3313" t="s">
        <v>1927</v>
      </c>
      <c r="D3313" t="s">
        <v>4476</v>
      </c>
      <c r="E3313" t="s">
        <v>4439</v>
      </c>
      <c r="F3313" s="3">
        <v>45608</v>
      </c>
      <c r="G3313" s="3" t="s">
        <v>537</v>
      </c>
      <c r="I3313">
        <v>48</v>
      </c>
      <c r="J3313" t="s">
        <v>4440</v>
      </c>
      <c r="K3313" t="s">
        <v>4457</v>
      </c>
      <c r="L3313" t="s">
        <v>4465</v>
      </c>
      <c r="M3313" t="s">
        <v>4450</v>
      </c>
    </row>
    <row r="3314" spans="1:14" x14ac:dyDescent="0.35">
      <c r="A3314" t="s">
        <v>7793</v>
      </c>
      <c r="B3314" t="s">
        <v>260</v>
      </c>
      <c r="C3314" t="s">
        <v>1915</v>
      </c>
      <c r="D3314" t="s">
        <v>4464</v>
      </c>
      <c r="E3314" t="s">
        <v>4439</v>
      </c>
      <c r="F3314" s="3">
        <v>45637</v>
      </c>
      <c r="G3314" s="3" t="s">
        <v>537</v>
      </c>
      <c r="I3314">
        <v>48</v>
      </c>
      <c r="J3314" t="s">
        <v>1945</v>
      </c>
      <c r="K3314" t="s">
        <v>4453</v>
      </c>
      <c r="L3314" t="s">
        <v>4449</v>
      </c>
      <c r="M3314" t="s">
        <v>1625</v>
      </c>
    </row>
    <row r="3315" spans="1:14" x14ac:dyDescent="0.35">
      <c r="A3315" t="s">
        <v>7794</v>
      </c>
      <c r="B3315" t="s">
        <v>178</v>
      </c>
      <c r="C3315" t="s">
        <v>1904</v>
      </c>
      <c r="D3315" t="s">
        <v>4490</v>
      </c>
      <c r="E3315" t="s">
        <v>4456</v>
      </c>
      <c r="F3315" s="3">
        <v>45573</v>
      </c>
      <c r="G3315" s="3">
        <v>45573</v>
      </c>
      <c r="H3315">
        <v>9.4</v>
      </c>
      <c r="I3315">
        <v>4</v>
      </c>
      <c r="J3315" t="s">
        <v>4440</v>
      </c>
      <c r="K3315" t="s">
        <v>4441</v>
      </c>
      <c r="L3315" t="s">
        <v>4492</v>
      </c>
      <c r="M3315" t="s">
        <v>1625</v>
      </c>
    </row>
    <row r="3316" spans="1:14" x14ac:dyDescent="0.35">
      <c r="A3316" t="s">
        <v>7795</v>
      </c>
      <c r="B3316" t="s">
        <v>147</v>
      </c>
      <c r="C3316" t="s">
        <v>1904</v>
      </c>
      <c r="D3316" t="s">
        <v>4476</v>
      </c>
      <c r="E3316" t="s">
        <v>4439</v>
      </c>
      <c r="F3316" s="3">
        <v>45271</v>
      </c>
      <c r="G3316" s="3">
        <v>45275</v>
      </c>
      <c r="H3316">
        <v>110.1</v>
      </c>
      <c r="I3316">
        <v>48</v>
      </c>
      <c r="J3316" t="s">
        <v>4440</v>
      </c>
      <c r="K3316" t="s">
        <v>4441</v>
      </c>
      <c r="L3316" t="s">
        <v>4470</v>
      </c>
      <c r="M3316" t="s">
        <v>4450</v>
      </c>
    </row>
    <row r="3317" spans="1:14" x14ac:dyDescent="0.35">
      <c r="A3317" t="s">
        <v>7796</v>
      </c>
      <c r="B3317" t="s">
        <v>154</v>
      </c>
      <c r="C3317" t="s">
        <v>1915</v>
      </c>
      <c r="D3317" t="s">
        <v>4485</v>
      </c>
      <c r="E3317" t="s">
        <v>4444</v>
      </c>
      <c r="F3317" s="3">
        <v>45279</v>
      </c>
      <c r="G3317" s="3">
        <v>45280</v>
      </c>
      <c r="H3317">
        <v>32.4</v>
      </c>
      <c r="I3317">
        <v>24</v>
      </c>
      <c r="J3317" t="s">
        <v>1945</v>
      </c>
      <c r="K3317" t="s">
        <v>4441</v>
      </c>
      <c r="L3317" t="s">
        <v>4480</v>
      </c>
      <c r="M3317" t="s">
        <v>4450</v>
      </c>
      <c r="N3317">
        <v>3</v>
      </c>
    </row>
    <row r="3318" spans="1:14" x14ac:dyDescent="0.35">
      <c r="A3318" t="s">
        <v>7797</v>
      </c>
      <c r="B3318" t="s">
        <v>323</v>
      </c>
      <c r="C3318" t="s">
        <v>1890</v>
      </c>
      <c r="D3318" t="s">
        <v>4490</v>
      </c>
      <c r="E3318" t="s">
        <v>4439</v>
      </c>
      <c r="F3318" s="3">
        <v>45176</v>
      </c>
      <c r="G3318" s="3" t="s">
        <v>537</v>
      </c>
      <c r="I3318">
        <v>48</v>
      </c>
      <c r="J3318" t="s">
        <v>4440</v>
      </c>
      <c r="K3318" t="s">
        <v>4457</v>
      </c>
      <c r="L3318" t="s">
        <v>4467</v>
      </c>
      <c r="M3318" t="s">
        <v>4450</v>
      </c>
    </row>
    <row r="3319" spans="1:14" x14ac:dyDescent="0.35">
      <c r="A3319" t="s">
        <v>7798</v>
      </c>
      <c r="B3319" t="s">
        <v>403</v>
      </c>
      <c r="C3319" t="s">
        <v>1883</v>
      </c>
      <c r="D3319" t="s">
        <v>4476</v>
      </c>
      <c r="E3319" t="s">
        <v>4439</v>
      </c>
      <c r="F3319" s="3">
        <v>45114</v>
      </c>
      <c r="G3319" s="3">
        <v>45116</v>
      </c>
      <c r="H3319">
        <v>57.2</v>
      </c>
      <c r="I3319">
        <v>48</v>
      </c>
      <c r="J3319" t="s">
        <v>4440</v>
      </c>
      <c r="K3319" t="s">
        <v>4441</v>
      </c>
      <c r="L3319" t="s">
        <v>4467</v>
      </c>
      <c r="M3319" t="s">
        <v>4450</v>
      </c>
      <c r="N3319">
        <v>5</v>
      </c>
    </row>
    <row r="3320" spans="1:14" x14ac:dyDescent="0.35">
      <c r="A3320" t="s">
        <v>7799</v>
      </c>
      <c r="B3320" t="s">
        <v>194</v>
      </c>
      <c r="C3320" t="s">
        <v>1890</v>
      </c>
      <c r="D3320" t="s">
        <v>8512</v>
      </c>
      <c r="E3320" t="s">
        <v>79</v>
      </c>
      <c r="F3320" s="3">
        <v>45594</v>
      </c>
      <c r="G3320" s="3">
        <v>45594</v>
      </c>
      <c r="H3320">
        <v>3.9</v>
      </c>
      <c r="I3320">
        <v>8</v>
      </c>
      <c r="J3320" t="s">
        <v>4448</v>
      </c>
      <c r="K3320" t="s">
        <v>4441</v>
      </c>
      <c r="L3320" t="s">
        <v>4445</v>
      </c>
      <c r="M3320" t="s">
        <v>1625</v>
      </c>
    </row>
    <row r="3321" spans="1:14" x14ac:dyDescent="0.35">
      <c r="A3321" t="s">
        <v>7800</v>
      </c>
      <c r="B3321" t="s">
        <v>442</v>
      </c>
      <c r="C3321" t="s">
        <v>1883</v>
      </c>
      <c r="D3321" t="s">
        <v>4476</v>
      </c>
      <c r="E3321" t="s">
        <v>4473</v>
      </c>
      <c r="F3321" s="3">
        <v>45196</v>
      </c>
      <c r="G3321" s="3">
        <v>45196</v>
      </c>
      <c r="H3321">
        <v>8.1</v>
      </c>
      <c r="I3321">
        <v>8</v>
      </c>
      <c r="J3321" t="s">
        <v>4440</v>
      </c>
      <c r="K3321" t="s">
        <v>4441</v>
      </c>
      <c r="L3321" t="s">
        <v>4512</v>
      </c>
      <c r="M3321" t="s">
        <v>4462</v>
      </c>
      <c r="N3321">
        <v>2</v>
      </c>
    </row>
    <row r="3322" spans="1:14" x14ac:dyDescent="0.35">
      <c r="A3322" t="s">
        <v>7801</v>
      </c>
      <c r="B3322" t="s">
        <v>144</v>
      </c>
      <c r="C3322" t="s">
        <v>1890</v>
      </c>
      <c r="D3322" t="s">
        <v>4472</v>
      </c>
      <c r="E3322" t="s">
        <v>4439</v>
      </c>
      <c r="F3322" s="3">
        <v>45316</v>
      </c>
      <c r="G3322" s="3">
        <v>45320</v>
      </c>
      <c r="H3322">
        <v>110.3</v>
      </c>
      <c r="I3322">
        <v>48</v>
      </c>
      <c r="J3322" t="s">
        <v>4440</v>
      </c>
      <c r="K3322" t="s">
        <v>4441</v>
      </c>
      <c r="L3322" t="s">
        <v>4533</v>
      </c>
      <c r="M3322" t="s">
        <v>4450</v>
      </c>
      <c r="N3322">
        <v>2</v>
      </c>
    </row>
    <row r="3323" spans="1:14" x14ac:dyDescent="0.35">
      <c r="A3323" t="s">
        <v>7802</v>
      </c>
      <c r="B3323" t="s">
        <v>357</v>
      </c>
      <c r="C3323" t="s">
        <v>1904</v>
      </c>
      <c r="D3323" t="s">
        <v>4460</v>
      </c>
      <c r="E3323" t="s">
        <v>4444</v>
      </c>
      <c r="F3323" s="3">
        <v>44932</v>
      </c>
      <c r="G3323" s="3" t="s">
        <v>537</v>
      </c>
      <c r="I3323">
        <v>24</v>
      </c>
      <c r="J3323" t="s">
        <v>4440</v>
      </c>
      <c r="K3323" t="s">
        <v>4457</v>
      </c>
      <c r="L3323" t="s">
        <v>4483</v>
      </c>
      <c r="M3323" t="s">
        <v>1625</v>
      </c>
    </row>
    <row r="3324" spans="1:14" x14ac:dyDescent="0.35">
      <c r="A3324" t="s">
        <v>7803</v>
      </c>
      <c r="B3324" t="s">
        <v>247</v>
      </c>
      <c r="C3324" t="s">
        <v>1915</v>
      </c>
      <c r="D3324" t="s">
        <v>4469</v>
      </c>
      <c r="E3324" t="s">
        <v>4444</v>
      </c>
      <c r="F3324" s="3">
        <v>44949</v>
      </c>
      <c r="G3324" s="3">
        <v>44951</v>
      </c>
      <c r="H3324">
        <v>59.3</v>
      </c>
      <c r="I3324">
        <v>24</v>
      </c>
      <c r="J3324" t="s">
        <v>4440</v>
      </c>
      <c r="K3324" t="s">
        <v>4441</v>
      </c>
      <c r="L3324" t="s">
        <v>4465</v>
      </c>
      <c r="M3324" t="s">
        <v>4446</v>
      </c>
      <c r="N3324">
        <v>4</v>
      </c>
    </row>
    <row r="3325" spans="1:14" x14ac:dyDescent="0.35">
      <c r="A3325" t="s">
        <v>7804</v>
      </c>
      <c r="B3325" t="s">
        <v>401</v>
      </c>
      <c r="C3325" t="s">
        <v>1927</v>
      </c>
      <c r="D3325" t="s">
        <v>4476</v>
      </c>
      <c r="E3325" t="s">
        <v>4473</v>
      </c>
      <c r="F3325" s="3">
        <v>45106</v>
      </c>
      <c r="G3325" s="3">
        <v>45106</v>
      </c>
      <c r="H3325">
        <v>19.8</v>
      </c>
      <c r="I3325">
        <v>8</v>
      </c>
      <c r="J3325" t="s">
        <v>4440</v>
      </c>
      <c r="K3325" t="s">
        <v>4441</v>
      </c>
      <c r="L3325" t="s">
        <v>4454</v>
      </c>
      <c r="M3325" t="s">
        <v>4462</v>
      </c>
      <c r="N3325">
        <v>5</v>
      </c>
    </row>
    <row r="3326" spans="1:14" x14ac:dyDescent="0.35">
      <c r="A3326" t="s">
        <v>7805</v>
      </c>
      <c r="B3326" t="s">
        <v>135</v>
      </c>
      <c r="C3326" t="s">
        <v>1883</v>
      </c>
      <c r="D3326" t="s">
        <v>4472</v>
      </c>
      <c r="E3326" t="s">
        <v>4473</v>
      </c>
      <c r="F3326" s="3">
        <v>45178</v>
      </c>
      <c r="G3326" s="3">
        <v>45178</v>
      </c>
      <c r="H3326">
        <v>18.5</v>
      </c>
      <c r="I3326">
        <v>8</v>
      </c>
      <c r="J3326" t="s">
        <v>4440</v>
      </c>
      <c r="K3326" t="s">
        <v>4441</v>
      </c>
      <c r="L3326" t="s">
        <v>4449</v>
      </c>
      <c r="M3326" t="s">
        <v>4450</v>
      </c>
      <c r="N3326">
        <v>5</v>
      </c>
    </row>
    <row r="3327" spans="1:14" x14ac:dyDescent="0.35">
      <c r="A3327" t="s">
        <v>7806</v>
      </c>
      <c r="B3327" t="s">
        <v>450</v>
      </c>
      <c r="C3327" t="s">
        <v>1927</v>
      </c>
      <c r="D3327" t="s">
        <v>4472</v>
      </c>
      <c r="E3327" t="s">
        <v>4439</v>
      </c>
      <c r="F3327" s="3">
        <v>45745</v>
      </c>
      <c r="G3327" s="3">
        <v>45748</v>
      </c>
      <c r="H3327">
        <v>75.5</v>
      </c>
      <c r="I3327">
        <v>48</v>
      </c>
      <c r="J3327" t="s">
        <v>4440</v>
      </c>
      <c r="K3327" t="s">
        <v>4441</v>
      </c>
      <c r="L3327" t="s">
        <v>4461</v>
      </c>
      <c r="M3327" t="s">
        <v>4450</v>
      </c>
      <c r="N3327">
        <v>3</v>
      </c>
    </row>
    <row r="3328" spans="1:14" x14ac:dyDescent="0.35">
      <c r="A3328" t="s">
        <v>7807</v>
      </c>
      <c r="B3328" t="s">
        <v>18</v>
      </c>
      <c r="C3328" t="s">
        <v>1904</v>
      </c>
      <c r="D3328" t="s">
        <v>4485</v>
      </c>
      <c r="E3328" t="s">
        <v>4444</v>
      </c>
      <c r="F3328" s="3">
        <v>45540</v>
      </c>
      <c r="G3328" s="3">
        <v>45540</v>
      </c>
      <c r="H3328">
        <v>10.4</v>
      </c>
      <c r="I3328">
        <v>24</v>
      </c>
      <c r="J3328" t="s">
        <v>4448</v>
      </c>
      <c r="K3328" t="s">
        <v>4441</v>
      </c>
      <c r="L3328" t="s">
        <v>4465</v>
      </c>
      <c r="M3328" t="s">
        <v>4450</v>
      </c>
      <c r="N3328">
        <v>1</v>
      </c>
    </row>
    <row r="3329" spans="1:14" x14ac:dyDescent="0.35">
      <c r="A3329" t="s">
        <v>7808</v>
      </c>
      <c r="B3329" t="s">
        <v>184</v>
      </c>
      <c r="C3329" t="s">
        <v>1904</v>
      </c>
      <c r="D3329" t="s">
        <v>4479</v>
      </c>
      <c r="E3329" t="s">
        <v>4473</v>
      </c>
      <c r="F3329" s="3">
        <v>45035</v>
      </c>
      <c r="G3329" s="3">
        <v>45035</v>
      </c>
      <c r="H3329">
        <v>16.3</v>
      </c>
      <c r="I3329">
        <v>8</v>
      </c>
      <c r="J3329" t="s">
        <v>4440</v>
      </c>
      <c r="K3329" t="s">
        <v>4441</v>
      </c>
      <c r="L3329" t="s">
        <v>4488</v>
      </c>
      <c r="M3329" t="s">
        <v>4450</v>
      </c>
      <c r="N3329">
        <v>1</v>
      </c>
    </row>
    <row r="3330" spans="1:14" x14ac:dyDescent="0.35">
      <c r="A3330" t="s">
        <v>7809</v>
      </c>
      <c r="B3330" t="s">
        <v>242</v>
      </c>
      <c r="C3330" t="s">
        <v>1915</v>
      </c>
      <c r="D3330" t="s">
        <v>4452</v>
      </c>
      <c r="E3330" t="s">
        <v>4444</v>
      </c>
      <c r="F3330" s="3">
        <v>45221</v>
      </c>
      <c r="G3330" s="3" t="s">
        <v>537</v>
      </c>
      <c r="I3330">
        <v>24</v>
      </c>
      <c r="J3330" t="s">
        <v>4448</v>
      </c>
      <c r="K3330" t="s">
        <v>4474</v>
      </c>
      <c r="L3330" t="s">
        <v>4533</v>
      </c>
      <c r="M3330" t="s">
        <v>4446</v>
      </c>
    </row>
    <row r="3331" spans="1:14" x14ac:dyDescent="0.35">
      <c r="A3331" t="s">
        <v>7810</v>
      </c>
      <c r="B3331" t="s">
        <v>144</v>
      </c>
      <c r="C3331" t="s">
        <v>1904</v>
      </c>
      <c r="D3331" t="s">
        <v>4438</v>
      </c>
      <c r="E3331" t="s">
        <v>4439</v>
      </c>
      <c r="F3331" s="3">
        <v>45581</v>
      </c>
      <c r="G3331" s="3">
        <v>45581</v>
      </c>
      <c r="H3331">
        <v>10.1</v>
      </c>
      <c r="I3331">
        <v>48</v>
      </c>
      <c r="J3331" t="s">
        <v>4448</v>
      </c>
      <c r="K3331" t="s">
        <v>4441</v>
      </c>
      <c r="L3331" t="s">
        <v>4445</v>
      </c>
      <c r="M3331" t="s">
        <v>4450</v>
      </c>
      <c r="N3331">
        <v>5</v>
      </c>
    </row>
    <row r="3332" spans="1:14" x14ac:dyDescent="0.35">
      <c r="A3332" t="s">
        <v>7811</v>
      </c>
      <c r="B3332" t="s">
        <v>176</v>
      </c>
      <c r="C3332" t="s">
        <v>1927</v>
      </c>
      <c r="D3332" t="s">
        <v>4452</v>
      </c>
      <c r="E3332" t="s">
        <v>4444</v>
      </c>
      <c r="F3332" s="3">
        <v>45642</v>
      </c>
      <c r="G3332" s="3">
        <v>45642</v>
      </c>
      <c r="H3332">
        <v>10.9</v>
      </c>
      <c r="I3332">
        <v>24</v>
      </c>
      <c r="J3332" t="s">
        <v>4448</v>
      </c>
      <c r="K3332" t="s">
        <v>4441</v>
      </c>
      <c r="L3332" t="s">
        <v>4445</v>
      </c>
      <c r="M3332" t="s">
        <v>4462</v>
      </c>
      <c r="N3332">
        <v>3</v>
      </c>
    </row>
    <row r="3333" spans="1:14" x14ac:dyDescent="0.35">
      <c r="A3333" t="s">
        <v>7812</v>
      </c>
      <c r="B3333" t="s">
        <v>467</v>
      </c>
      <c r="C3333" t="s">
        <v>1890</v>
      </c>
      <c r="D3333" t="s">
        <v>4476</v>
      </c>
      <c r="E3333" t="s">
        <v>4439</v>
      </c>
      <c r="F3333" s="3">
        <v>44983</v>
      </c>
      <c r="G3333" s="3">
        <v>44987</v>
      </c>
      <c r="H3333">
        <v>98.3</v>
      </c>
      <c r="I3333">
        <v>48</v>
      </c>
      <c r="J3333" t="s">
        <v>4440</v>
      </c>
      <c r="K3333" t="s">
        <v>4441</v>
      </c>
      <c r="L3333" t="s">
        <v>4483</v>
      </c>
      <c r="M3333" t="s">
        <v>4450</v>
      </c>
      <c r="N3333">
        <v>4</v>
      </c>
    </row>
    <row r="3334" spans="1:14" x14ac:dyDescent="0.35">
      <c r="A3334" t="s">
        <v>7813</v>
      </c>
      <c r="B3334" t="s">
        <v>437</v>
      </c>
      <c r="C3334" t="s">
        <v>1915</v>
      </c>
      <c r="D3334" t="s">
        <v>4485</v>
      </c>
      <c r="E3334" t="s">
        <v>4473</v>
      </c>
      <c r="F3334" s="3">
        <v>45418</v>
      </c>
      <c r="G3334" s="3" t="s">
        <v>537</v>
      </c>
      <c r="I3334">
        <v>8</v>
      </c>
      <c r="J3334" t="s">
        <v>4440</v>
      </c>
      <c r="K3334" t="s">
        <v>4457</v>
      </c>
      <c r="L3334" t="s">
        <v>4509</v>
      </c>
      <c r="M3334" t="s">
        <v>4450</v>
      </c>
    </row>
    <row r="3335" spans="1:14" x14ac:dyDescent="0.35">
      <c r="A3335" t="s">
        <v>7814</v>
      </c>
      <c r="B3335" t="s">
        <v>57</v>
      </c>
      <c r="C3335" t="s">
        <v>1904</v>
      </c>
      <c r="D3335" t="s">
        <v>4479</v>
      </c>
      <c r="E3335" t="s">
        <v>4439</v>
      </c>
      <c r="F3335" s="3">
        <v>45242</v>
      </c>
      <c r="G3335" s="3">
        <v>45242</v>
      </c>
      <c r="H3335">
        <v>8.1</v>
      </c>
      <c r="I3335">
        <v>48</v>
      </c>
      <c r="J3335" t="s">
        <v>4448</v>
      </c>
      <c r="K3335" t="s">
        <v>4441</v>
      </c>
      <c r="L3335" t="s">
        <v>4467</v>
      </c>
      <c r="M3335" t="s">
        <v>1625</v>
      </c>
      <c r="N3335">
        <v>4</v>
      </c>
    </row>
    <row r="3336" spans="1:14" x14ac:dyDescent="0.35">
      <c r="A3336" t="s">
        <v>7815</v>
      </c>
      <c r="B3336" t="s">
        <v>99</v>
      </c>
      <c r="C3336" t="s">
        <v>1899</v>
      </c>
      <c r="D3336" t="s">
        <v>4472</v>
      </c>
      <c r="E3336" t="s">
        <v>4439</v>
      </c>
      <c r="F3336" s="3">
        <v>45118</v>
      </c>
      <c r="G3336" s="3" t="s">
        <v>537</v>
      </c>
      <c r="I3336">
        <v>48</v>
      </c>
      <c r="J3336" t="s">
        <v>1945</v>
      </c>
      <c r="K3336" t="s">
        <v>4457</v>
      </c>
      <c r="L3336" t="s">
        <v>4509</v>
      </c>
      <c r="M3336" t="s">
        <v>4462</v>
      </c>
    </row>
    <row r="3337" spans="1:14" x14ac:dyDescent="0.35">
      <c r="A3337" t="s">
        <v>7816</v>
      </c>
      <c r="B3337" t="s">
        <v>140</v>
      </c>
      <c r="C3337" t="s">
        <v>1890</v>
      </c>
      <c r="D3337" t="s">
        <v>4452</v>
      </c>
      <c r="E3337" t="s">
        <v>4439</v>
      </c>
      <c r="F3337" s="3">
        <v>45107</v>
      </c>
      <c r="G3337" s="3" t="s">
        <v>537</v>
      </c>
      <c r="I3337">
        <v>48</v>
      </c>
      <c r="J3337" t="s">
        <v>4448</v>
      </c>
      <c r="K3337" t="s">
        <v>4474</v>
      </c>
      <c r="L3337" t="s">
        <v>4501</v>
      </c>
      <c r="M3337" t="s">
        <v>4462</v>
      </c>
    </row>
    <row r="3338" spans="1:14" x14ac:dyDescent="0.35">
      <c r="A3338" t="s">
        <v>7817</v>
      </c>
      <c r="B3338" t="s">
        <v>261</v>
      </c>
      <c r="C3338" t="s">
        <v>1899</v>
      </c>
      <c r="D3338" t="s">
        <v>4452</v>
      </c>
      <c r="E3338" t="s">
        <v>4439</v>
      </c>
      <c r="F3338" s="3">
        <v>45735</v>
      </c>
      <c r="G3338" s="3" t="s">
        <v>537</v>
      </c>
      <c r="I3338">
        <v>48</v>
      </c>
      <c r="J3338" t="s">
        <v>4440</v>
      </c>
      <c r="K3338" t="s">
        <v>4457</v>
      </c>
      <c r="L3338" t="s">
        <v>4527</v>
      </c>
      <c r="M3338" t="s">
        <v>4446</v>
      </c>
    </row>
    <row r="3339" spans="1:14" x14ac:dyDescent="0.35">
      <c r="A3339" t="s">
        <v>7818</v>
      </c>
      <c r="B3339" t="s">
        <v>455</v>
      </c>
      <c r="C3339" t="s">
        <v>1904</v>
      </c>
      <c r="D3339" t="s">
        <v>4476</v>
      </c>
      <c r="E3339" t="s">
        <v>4439</v>
      </c>
      <c r="F3339" s="3">
        <v>45450</v>
      </c>
      <c r="G3339" s="3">
        <v>45454</v>
      </c>
      <c r="H3339">
        <v>105.3</v>
      </c>
      <c r="I3339">
        <v>48</v>
      </c>
      <c r="J3339" t="s">
        <v>4440</v>
      </c>
      <c r="K3339" t="s">
        <v>4441</v>
      </c>
      <c r="L3339" t="s">
        <v>4488</v>
      </c>
      <c r="M3339" t="s">
        <v>4446</v>
      </c>
      <c r="N3339">
        <v>4</v>
      </c>
    </row>
    <row r="3340" spans="1:14" x14ac:dyDescent="0.35">
      <c r="A3340" t="s">
        <v>7819</v>
      </c>
      <c r="B3340" t="s">
        <v>475</v>
      </c>
      <c r="C3340" t="s">
        <v>1890</v>
      </c>
      <c r="D3340" t="s">
        <v>4443</v>
      </c>
      <c r="E3340" t="s">
        <v>4444</v>
      </c>
      <c r="F3340" s="3">
        <v>45224</v>
      </c>
      <c r="G3340" s="3">
        <v>45226</v>
      </c>
      <c r="H3340">
        <v>54.7</v>
      </c>
      <c r="I3340">
        <v>24</v>
      </c>
      <c r="J3340" t="s">
        <v>4440</v>
      </c>
      <c r="K3340" t="s">
        <v>4441</v>
      </c>
      <c r="L3340" t="s">
        <v>4470</v>
      </c>
      <c r="M3340" t="s">
        <v>1625</v>
      </c>
    </row>
    <row r="3341" spans="1:14" x14ac:dyDescent="0.35">
      <c r="A3341" t="s">
        <v>7820</v>
      </c>
      <c r="B3341" t="s">
        <v>214</v>
      </c>
      <c r="C3341" t="s">
        <v>1890</v>
      </c>
      <c r="D3341" t="s">
        <v>8505</v>
      </c>
      <c r="E3341" t="s">
        <v>4473</v>
      </c>
      <c r="F3341" s="3">
        <v>45542</v>
      </c>
      <c r="G3341" s="3">
        <v>45542</v>
      </c>
      <c r="H3341">
        <v>17.3</v>
      </c>
      <c r="I3341">
        <v>8</v>
      </c>
      <c r="J3341" t="s">
        <v>4440</v>
      </c>
      <c r="K3341" t="s">
        <v>4441</v>
      </c>
      <c r="L3341" t="s">
        <v>4465</v>
      </c>
      <c r="M3341" t="s">
        <v>1625</v>
      </c>
      <c r="N3341">
        <v>4</v>
      </c>
    </row>
    <row r="3342" spans="1:14" x14ac:dyDescent="0.35">
      <c r="A3342" t="s">
        <v>7821</v>
      </c>
      <c r="B3342" t="s">
        <v>386</v>
      </c>
      <c r="C3342" t="s">
        <v>1927</v>
      </c>
      <c r="D3342" t="s">
        <v>4482</v>
      </c>
      <c r="E3342" t="s">
        <v>4444</v>
      </c>
      <c r="F3342" s="3">
        <v>45125</v>
      </c>
      <c r="G3342" s="3">
        <v>45125</v>
      </c>
      <c r="H3342">
        <v>23.6</v>
      </c>
      <c r="I3342">
        <v>24</v>
      </c>
      <c r="J3342" t="s">
        <v>4448</v>
      </c>
      <c r="K3342" t="s">
        <v>4441</v>
      </c>
      <c r="L3342" t="s">
        <v>4454</v>
      </c>
      <c r="M3342" t="s">
        <v>4462</v>
      </c>
      <c r="N3342">
        <v>4</v>
      </c>
    </row>
    <row r="3343" spans="1:14" x14ac:dyDescent="0.35">
      <c r="A3343" t="s">
        <v>7822</v>
      </c>
      <c r="B3343" t="s">
        <v>461</v>
      </c>
      <c r="C3343" t="s">
        <v>1899</v>
      </c>
      <c r="D3343" t="s">
        <v>4490</v>
      </c>
      <c r="E3343" t="s">
        <v>4456</v>
      </c>
      <c r="F3343" s="3">
        <v>45624</v>
      </c>
      <c r="G3343" s="3" t="s">
        <v>537</v>
      </c>
      <c r="I3343">
        <v>4</v>
      </c>
      <c r="J3343" t="s">
        <v>4440</v>
      </c>
      <c r="K3343" t="s">
        <v>4474</v>
      </c>
      <c r="L3343" t="s">
        <v>4449</v>
      </c>
      <c r="M3343" t="s">
        <v>4450</v>
      </c>
    </row>
    <row r="3344" spans="1:14" x14ac:dyDescent="0.35">
      <c r="A3344" t="s">
        <v>7823</v>
      </c>
      <c r="B3344" t="s">
        <v>190</v>
      </c>
      <c r="C3344" t="s">
        <v>1927</v>
      </c>
      <c r="D3344" t="s">
        <v>4443</v>
      </c>
      <c r="E3344" t="s">
        <v>4444</v>
      </c>
      <c r="F3344" s="3">
        <v>45054</v>
      </c>
      <c r="G3344" s="3" t="s">
        <v>537</v>
      </c>
      <c r="I3344">
        <v>24</v>
      </c>
      <c r="J3344" t="s">
        <v>4440</v>
      </c>
      <c r="K3344" t="s">
        <v>4457</v>
      </c>
      <c r="L3344" t="s">
        <v>4509</v>
      </c>
      <c r="M3344" t="s">
        <v>4462</v>
      </c>
    </row>
    <row r="3345" spans="1:14" x14ac:dyDescent="0.35">
      <c r="A3345" t="s">
        <v>7824</v>
      </c>
      <c r="B3345" t="s">
        <v>345</v>
      </c>
      <c r="C3345" t="s">
        <v>1904</v>
      </c>
      <c r="D3345" t="s">
        <v>4438</v>
      </c>
      <c r="E3345" t="s">
        <v>4444</v>
      </c>
      <c r="F3345" s="3">
        <v>45545</v>
      </c>
      <c r="G3345" s="3">
        <v>45545</v>
      </c>
      <c r="H3345">
        <v>9.4</v>
      </c>
      <c r="I3345">
        <v>24</v>
      </c>
      <c r="J3345" t="s">
        <v>4448</v>
      </c>
      <c r="K3345" t="s">
        <v>4441</v>
      </c>
      <c r="L3345" t="s">
        <v>4461</v>
      </c>
      <c r="M3345" t="s">
        <v>4462</v>
      </c>
      <c r="N3345">
        <v>5</v>
      </c>
    </row>
    <row r="3346" spans="1:14" x14ac:dyDescent="0.35">
      <c r="A3346" t="s">
        <v>7825</v>
      </c>
      <c r="B3346" t="s">
        <v>337</v>
      </c>
      <c r="C3346" t="s">
        <v>1899</v>
      </c>
      <c r="D3346" t="s">
        <v>4476</v>
      </c>
      <c r="E3346" t="s">
        <v>4444</v>
      </c>
      <c r="F3346" s="3">
        <v>45682</v>
      </c>
      <c r="G3346" s="3">
        <v>45683</v>
      </c>
      <c r="H3346">
        <v>32.4</v>
      </c>
      <c r="I3346">
        <v>24</v>
      </c>
      <c r="J3346" t="s">
        <v>4440</v>
      </c>
      <c r="K3346" t="s">
        <v>4441</v>
      </c>
      <c r="L3346" t="s">
        <v>4501</v>
      </c>
      <c r="M3346" t="s">
        <v>4450</v>
      </c>
      <c r="N3346">
        <v>1</v>
      </c>
    </row>
    <row r="3347" spans="1:14" x14ac:dyDescent="0.35">
      <c r="A3347" t="s">
        <v>7826</v>
      </c>
      <c r="B3347" t="s">
        <v>318</v>
      </c>
      <c r="C3347" t="s">
        <v>1890</v>
      </c>
      <c r="D3347" t="s">
        <v>4476</v>
      </c>
      <c r="E3347" t="s">
        <v>4439</v>
      </c>
      <c r="F3347" s="3">
        <v>45490</v>
      </c>
      <c r="G3347" s="3">
        <v>45494</v>
      </c>
      <c r="H3347">
        <v>102</v>
      </c>
      <c r="I3347">
        <v>48</v>
      </c>
      <c r="J3347" t="s">
        <v>4440</v>
      </c>
      <c r="K3347" t="s">
        <v>4441</v>
      </c>
      <c r="L3347" t="s">
        <v>4445</v>
      </c>
      <c r="M3347" t="s">
        <v>4462</v>
      </c>
      <c r="N3347">
        <v>2</v>
      </c>
    </row>
    <row r="3348" spans="1:14" x14ac:dyDescent="0.35">
      <c r="A3348" t="s">
        <v>7827</v>
      </c>
      <c r="B3348" t="s">
        <v>99</v>
      </c>
      <c r="C3348" t="s">
        <v>1899</v>
      </c>
      <c r="D3348" t="s">
        <v>4460</v>
      </c>
      <c r="E3348" t="s">
        <v>4444</v>
      </c>
      <c r="F3348" s="3">
        <v>45278</v>
      </c>
      <c r="G3348" s="3">
        <v>45279</v>
      </c>
      <c r="H3348">
        <v>32.5</v>
      </c>
      <c r="I3348">
        <v>24</v>
      </c>
      <c r="J3348" t="s">
        <v>4440</v>
      </c>
      <c r="K3348" t="s">
        <v>4441</v>
      </c>
      <c r="L3348" t="s">
        <v>4533</v>
      </c>
      <c r="M3348" t="s">
        <v>4450</v>
      </c>
      <c r="N3348">
        <v>5</v>
      </c>
    </row>
    <row r="3349" spans="1:14" x14ac:dyDescent="0.35">
      <c r="A3349" t="s">
        <v>7828</v>
      </c>
      <c r="B3349" t="s">
        <v>461</v>
      </c>
      <c r="C3349" t="s">
        <v>1890</v>
      </c>
      <c r="D3349" t="s">
        <v>4476</v>
      </c>
      <c r="E3349" t="s">
        <v>4444</v>
      </c>
      <c r="F3349" s="3">
        <v>45582</v>
      </c>
      <c r="G3349" s="3" t="s">
        <v>537</v>
      </c>
      <c r="I3349">
        <v>24</v>
      </c>
      <c r="J3349" t="s">
        <v>4440</v>
      </c>
      <c r="K3349" t="s">
        <v>4457</v>
      </c>
      <c r="L3349" t="s">
        <v>4527</v>
      </c>
      <c r="M3349" t="s">
        <v>4462</v>
      </c>
    </row>
    <row r="3350" spans="1:14" x14ac:dyDescent="0.35">
      <c r="A3350" t="s">
        <v>7829</v>
      </c>
      <c r="B3350" t="s">
        <v>128</v>
      </c>
      <c r="C3350" t="s">
        <v>1899</v>
      </c>
      <c r="D3350" t="s">
        <v>4479</v>
      </c>
      <c r="E3350" t="s">
        <v>4456</v>
      </c>
      <c r="F3350" s="3">
        <v>45135</v>
      </c>
      <c r="G3350" s="3">
        <v>45135</v>
      </c>
      <c r="H3350">
        <v>2.4</v>
      </c>
      <c r="I3350">
        <v>4</v>
      </c>
      <c r="J3350" t="s">
        <v>4448</v>
      </c>
      <c r="K3350" t="s">
        <v>4441</v>
      </c>
      <c r="L3350" t="s">
        <v>4454</v>
      </c>
      <c r="M3350" t="s">
        <v>4462</v>
      </c>
      <c r="N3350">
        <v>4</v>
      </c>
    </row>
    <row r="3351" spans="1:14" x14ac:dyDescent="0.35">
      <c r="A3351" t="s">
        <v>7830</v>
      </c>
      <c r="B3351" t="s">
        <v>149</v>
      </c>
      <c r="C3351" t="s">
        <v>1904</v>
      </c>
      <c r="D3351" t="s">
        <v>4472</v>
      </c>
      <c r="E3351" t="s">
        <v>4473</v>
      </c>
      <c r="F3351" s="3">
        <v>45100</v>
      </c>
      <c r="G3351" s="3">
        <v>45100</v>
      </c>
      <c r="H3351">
        <v>7.6</v>
      </c>
      <c r="I3351">
        <v>8</v>
      </c>
      <c r="J3351" t="s">
        <v>4448</v>
      </c>
      <c r="K3351" t="s">
        <v>4441</v>
      </c>
      <c r="L3351" t="s">
        <v>4483</v>
      </c>
      <c r="M3351" t="s">
        <v>4462</v>
      </c>
      <c r="N3351">
        <v>3</v>
      </c>
    </row>
    <row r="3352" spans="1:14" x14ac:dyDescent="0.35">
      <c r="A3352" t="s">
        <v>7831</v>
      </c>
      <c r="B3352" t="s">
        <v>419</v>
      </c>
      <c r="C3352" t="s">
        <v>1899</v>
      </c>
      <c r="D3352" t="s">
        <v>4469</v>
      </c>
      <c r="E3352" t="s">
        <v>4444</v>
      </c>
      <c r="F3352" s="3">
        <v>45388</v>
      </c>
      <c r="G3352" s="3">
        <v>45389</v>
      </c>
      <c r="H3352">
        <v>40.1</v>
      </c>
      <c r="I3352">
        <v>24</v>
      </c>
      <c r="J3352" t="s">
        <v>4440</v>
      </c>
      <c r="K3352" t="s">
        <v>4441</v>
      </c>
      <c r="L3352" t="s">
        <v>4580</v>
      </c>
      <c r="M3352" t="s">
        <v>4450</v>
      </c>
      <c r="N3352">
        <v>4</v>
      </c>
    </row>
    <row r="3353" spans="1:14" x14ac:dyDescent="0.35">
      <c r="A3353" t="s">
        <v>7832</v>
      </c>
      <c r="B3353" t="s">
        <v>364</v>
      </c>
      <c r="C3353" t="s">
        <v>1927</v>
      </c>
      <c r="D3353" t="s">
        <v>8508</v>
      </c>
      <c r="E3353" t="s">
        <v>4473</v>
      </c>
      <c r="F3353" s="3">
        <v>45409</v>
      </c>
      <c r="G3353" s="3">
        <v>45409</v>
      </c>
      <c r="H3353">
        <v>5.9</v>
      </c>
      <c r="I3353">
        <v>8</v>
      </c>
      <c r="J3353" t="s">
        <v>4448</v>
      </c>
      <c r="K3353" t="s">
        <v>4441</v>
      </c>
      <c r="L3353" t="s">
        <v>4449</v>
      </c>
      <c r="M3353" t="s">
        <v>4450</v>
      </c>
      <c r="N3353">
        <v>5</v>
      </c>
    </row>
    <row r="3354" spans="1:14" x14ac:dyDescent="0.35">
      <c r="A3354" t="s">
        <v>7833</v>
      </c>
      <c r="B3354" t="s">
        <v>417</v>
      </c>
      <c r="C3354" t="s">
        <v>1904</v>
      </c>
      <c r="D3354" t="s">
        <v>4485</v>
      </c>
      <c r="E3354" t="s">
        <v>4456</v>
      </c>
      <c r="F3354" s="3">
        <v>45500</v>
      </c>
      <c r="G3354" s="3" t="s">
        <v>537</v>
      </c>
      <c r="I3354">
        <v>4</v>
      </c>
      <c r="J3354" t="s">
        <v>4440</v>
      </c>
      <c r="K3354" t="s">
        <v>4474</v>
      </c>
      <c r="L3354" t="s">
        <v>4512</v>
      </c>
      <c r="M3354" t="s">
        <v>4462</v>
      </c>
    </row>
    <row r="3355" spans="1:14" x14ac:dyDescent="0.35">
      <c r="A3355" t="s">
        <v>7834</v>
      </c>
      <c r="B3355" t="s">
        <v>323</v>
      </c>
      <c r="C3355" t="s">
        <v>1927</v>
      </c>
      <c r="D3355" t="s">
        <v>4472</v>
      </c>
      <c r="E3355" t="s">
        <v>4444</v>
      </c>
      <c r="F3355" s="3">
        <v>45194</v>
      </c>
      <c r="G3355" s="3">
        <v>45195</v>
      </c>
      <c r="H3355">
        <v>32.1</v>
      </c>
      <c r="I3355">
        <v>24</v>
      </c>
      <c r="J3355" t="s">
        <v>4440</v>
      </c>
      <c r="K3355" t="s">
        <v>4441</v>
      </c>
      <c r="L3355" t="s">
        <v>4483</v>
      </c>
      <c r="M3355" t="s">
        <v>1625</v>
      </c>
      <c r="N3355">
        <v>1</v>
      </c>
    </row>
    <row r="3356" spans="1:14" x14ac:dyDescent="0.35">
      <c r="A3356" t="s">
        <v>7835</v>
      </c>
      <c r="B3356" t="s">
        <v>211</v>
      </c>
      <c r="C3356" t="s">
        <v>1915</v>
      </c>
      <c r="D3356" t="s">
        <v>4485</v>
      </c>
      <c r="E3356" t="s">
        <v>4439</v>
      </c>
      <c r="F3356" s="3">
        <v>44949</v>
      </c>
      <c r="G3356" s="3">
        <v>44952</v>
      </c>
      <c r="H3356">
        <v>95</v>
      </c>
      <c r="I3356">
        <v>48</v>
      </c>
      <c r="J3356" t="s">
        <v>1945</v>
      </c>
      <c r="K3356" t="s">
        <v>4441</v>
      </c>
      <c r="L3356" t="s">
        <v>4509</v>
      </c>
      <c r="M3356" t="s">
        <v>4462</v>
      </c>
      <c r="N3356">
        <v>4</v>
      </c>
    </row>
    <row r="3357" spans="1:14" x14ac:dyDescent="0.35">
      <c r="A3357" t="s">
        <v>7836</v>
      </c>
      <c r="B3357" t="s">
        <v>77</v>
      </c>
      <c r="C3357" t="s">
        <v>1927</v>
      </c>
      <c r="D3357" t="s">
        <v>4443</v>
      </c>
      <c r="E3357" t="s">
        <v>4473</v>
      </c>
      <c r="F3357" s="3">
        <v>45077</v>
      </c>
      <c r="G3357" s="3" t="s">
        <v>537</v>
      </c>
      <c r="I3357">
        <v>8</v>
      </c>
      <c r="J3357" t="s">
        <v>4448</v>
      </c>
      <c r="K3357" t="s">
        <v>4474</v>
      </c>
      <c r="L3357" t="s">
        <v>4512</v>
      </c>
      <c r="M3357" t="s">
        <v>1625</v>
      </c>
    </row>
    <row r="3358" spans="1:14" x14ac:dyDescent="0.35">
      <c r="A3358" t="s">
        <v>7837</v>
      </c>
      <c r="B3358" t="s">
        <v>410</v>
      </c>
      <c r="C3358" t="s">
        <v>1915</v>
      </c>
      <c r="D3358" t="s">
        <v>4469</v>
      </c>
      <c r="E3358" t="s">
        <v>4444</v>
      </c>
      <c r="F3358" s="3">
        <v>45387</v>
      </c>
      <c r="G3358" s="3" t="s">
        <v>537</v>
      </c>
      <c r="I3358">
        <v>24</v>
      </c>
      <c r="J3358" t="s">
        <v>4440</v>
      </c>
      <c r="K3358" t="s">
        <v>4457</v>
      </c>
      <c r="L3358" t="s">
        <v>4454</v>
      </c>
      <c r="M3358" t="s">
        <v>4462</v>
      </c>
    </row>
    <row r="3359" spans="1:14" x14ac:dyDescent="0.35">
      <c r="A3359" t="s">
        <v>7838</v>
      </c>
      <c r="B3359" t="s">
        <v>250</v>
      </c>
      <c r="C3359" t="s">
        <v>1927</v>
      </c>
      <c r="D3359" t="s">
        <v>4476</v>
      </c>
      <c r="E3359" t="s">
        <v>4473</v>
      </c>
      <c r="F3359" s="3">
        <v>45537</v>
      </c>
      <c r="G3359" s="3">
        <v>45537</v>
      </c>
      <c r="H3359">
        <v>5.6</v>
      </c>
      <c r="I3359">
        <v>8</v>
      </c>
      <c r="J3359" t="s">
        <v>4448</v>
      </c>
      <c r="K3359" t="s">
        <v>4441</v>
      </c>
      <c r="L3359" t="s">
        <v>4580</v>
      </c>
      <c r="M3359" t="s">
        <v>4450</v>
      </c>
    </row>
    <row r="3360" spans="1:14" x14ac:dyDescent="0.35">
      <c r="A3360" t="s">
        <v>7839</v>
      </c>
      <c r="B3360" t="s">
        <v>178</v>
      </c>
      <c r="C3360" t="s">
        <v>1883</v>
      </c>
      <c r="D3360" t="s">
        <v>8506</v>
      </c>
      <c r="E3360" t="s">
        <v>4439</v>
      </c>
      <c r="F3360" s="3">
        <v>45600</v>
      </c>
      <c r="G3360" s="3">
        <v>45602</v>
      </c>
      <c r="H3360">
        <v>54.7</v>
      </c>
      <c r="I3360">
        <v>48</v>
      </c>
      <c r="J3360" t="s">
        <v>4440</v>
      </c>
      <c r="K3360" t="s">
        <v>4441</v>
      </c>
      <c r="L3360" t="s">
        <v>4449</v>
      </c>
      <c r="M3360" t="s">
        <v>4450</v>
      </c>
      <c r="N3360">
        <v>2</v>
      </c>
    </row>
    <row r="3361" spans="1:14" x14ac:dyDescent="0.35">
      <c r="A3361" t="s">
        <v>7840</v>
      </c>
      <c r="B3361" t="s">
        <v>184</v>
      </c>
      <c r="C3361" t="s">
        <v>1915</v>
      </c>
      <c r="D3361" t="s">
        <v>4452</v>
      </c>
      <c r="E3361" t="s">
        <v>4444</v>
      </c>
      <c r="F3361" s="3">
        <v>45072</v>
      </c>
      <c r="G3361" s="3">
        <v>45074</v>
      </c>
      <c r="H3361">
        <v>50.9</v>
      </c>
      <c r="I3361">
        <v>24</v>
      </c>
      <c r="J3361" t="s">
        <v>4440</v>
      </c>
      <c r="K3361" t="s">
        <v>4441</v>
      </c>
      <c r="L3361" t="s">
        <v>4449</v>
      </c>
      <c r="M3361" t="s">
        <v>1625</v>
      </c>
      <c r="N3361">
        <v>4</v>
      </c>
    </row>
    <row r="3362" spans="1:14" x14ac:dyDescent="0.35">
      <c r="A3362" t="s">
        <v>7841</v>
      </c>
      <c r="B3362" t="s">
        <v>461</v>
      </c>
      <c r="C3362" t="s">
        <v>1890</v>
      </c>
      <c r="D3362" t="s">
        <v>4476</v>
      </c>
      <c r="E3362" t="s">
        <v>4473</v>
      </c>
      <c r="F3362" s="3">
        <v>45106</v>
      </c>
      <c r="G3362" s="3">
        <v>45106</v>
      </c>
      <c r="H3362">
        <v>14.3</v>
      </c>
      <c r="I3362">
        <v>8</v>
      </c>
      <c r="J3362" t="s">
        <v>4440</v>
      </c>
      <c r="K3362" t="s">
        <v>4441</v>
      </c>
      <c r="L3362" t="s">
        <v>4449</v>
      </c>
      <c r="M3362" t="s">
        <v>4462</v>
      </c>
      <c r="N3362">
        <v>4</v>
      </c>
    </row>
    <row r="3363" spans="1:14" x14ac:dyDescent="0.35">
      <c r="A3363" t="s">
        <v>7842</v>
      </c>
      <c r="B3363" t="s">
        <v>411</v>
      </c>
      <c r="C3363" t="s">
        <v>1890</v>
      </c>
      <c r="D3363" t="s">
        <v>4469</v>
      </c>
      <c r="E3363" t="s">
        <v>4444</v>
      </c>
      <c r="F3363" s="3">
        <v>45259</v>
      </c>
      <c r="G3363" s="3">
        <v>45259</v>
      </c>
      <c r="H3363">
        <v>13.6</v>
      </c>
      <c r="I3363">
        <v>24</v>
      </c>
      <c r="J3363" t="s">
        <v>4448</v>
      </c>
      <c r="K3363" t="s">
        <v>4441</v>
      </c>
      <c r="L3363" t="s">
        <v>4470</v>
      </c>
      <c r="M3363" t="s">
        <v>1625</v>
      </c>
      <c r="N3363">
        <v>4</v>
      </c>
    </row>
    <row r="3364" spans="1:14" x14ac:dyDescent="0.35">
      <c r="A3364" t="s">
        <v>7843</v>
      </c>
      <c r="B3364" t="s">
        <v>264</v>
      </c>
      <c r="C3364" t="s">
        <v>1890</v>
      </c>
      <c r="D3364" t="s">
        <v>8506</v>
      </c>
      <c r="E3364" t="s">
        <v>4473</v>
      </c>
      <c r="F3364" s="3">
        <v>45328</v>
      </c>
      <c r="G3364" s="3">
        <v>45328</v>
      </c>
      <c r="H3364">
        <v>10.5</v>
      </c>
      <c r="I3364">
        <v>8</v>
      </c>
      <c r="J3364" t="s">
        <v>4440</v>
      </c>
      <c r="K3364" t="s">
        <v>4441</v>
      </c>
      <c r="L3364" t="s">
        <v>4467</v>
      </c>
      <c r="M3364" t="s">
        <v>1625</v>
      </c>
      <c r="N3364">
        <v>3</v>
      </c>
    </row>
    <row r="3365" spans="1:14" x14ac:dyDescent="0.35">
      <c r="A3365" t="s">
        <v>7844</v>
      </c>
      <c r="B3365" t="s">
        <v>394</v>
      </c>
      <c r="C3365" t="s">
        <v>1899</v>
      </c>
      <c r="D3365" t="s">
        <v>4479</v>
      </c>
      <c r="E3365" t="s">
        <v>4444</v>
      </c>
      <c r="F3365" s="3">
        <v>45261</v>
      </c>
      <c r="G3365" s="3">
        <v>45262</v>
      </c>
      <c r="H3365">
        <v>26.4</v>
      </c>
      <c r="I3365">
        <v>24</v>
      </c>
      <c r="J3365" t="s">
        <v>4440</v>
      </c>
      <c r="K3365" t="s">
        <v>4441</v>
      </c>
      <c r="L3365" t="s">
        <v>4501</v>
      </c>
      <c r="M3365" t="s">
        <v>4450</v>
      </c>
    </row>
    <row r="3366" spans="1:14" x14ac:dyDescent="0.35">
      <c r="A3366" t="s">
        <v>7845</v>
      </c>
      <c r="B3366" t="s">
        <v>11</v>
      </c>
      <c r="C3366" t="s">
        <v>1883</v>
      </c>
      <c r="D3366" t="s">
        <v>4464</v>
      </c>
      <c r="E3366" t="s">
        <v>4456</v>
      </c>
      <c r="F3366" s="3">
        <v>45734</v>
      </c>
      <c r="G3366" s="3" t="s">
        <v>537</v>
      </c>
      <c r="I3366">
        <v>4</v>
      </c>
      <c r="J3366" t="s">
        <v>4440</v>
      </c>
      <c r="K3366" t="s">
        <v>4457</v>
      </c>
      <c r="L3366" t="s">
        <v>4449</v>
      </c>
      <c r="M3366" t="s">
        <v>4446</v>
      </c>
    </row>
    <row r="3367" spans="1:14" x14ac:dyDescent="0.35">
      <c r="A3367" t="s">
        <v>7846</v>
      </c>
      <c r="B3367" t="s">
        <v>287</v>
      </c>
      <c r="C3367" t="s">
        <v>1883</v>
      </c>
      <c r="D3367" t="s">
        <v>4464</v>
      </c>
      <c r="E3367" t="s">
        <v>4444</v>
      </c>
      <c r="F3367" s="3">
        <v>45550</v>
      </c>
      <c r="G3367" s="3">
        <v>45550</v>
      </c>
      <c r="H3367">
        <v>14.2</v>
      </c>
      <c r="I3367">
        <v>24</v>
      </c>
      <c r="J3367" t="s">
        <v>4448</v>
      </c>
      <c r="K3367" t="s">
        <v>4441</v>
      </c>
      <c r="L3367" t="s">
        <v>4483</v>
      </c>
      <c r="M3367" t="s">
        <v>1625</v>
      </c>
      <c r="N3367">
        <v>2</v>
      </c>
    </row>
    <row r="3368" spans="1:14" x14ac:dyDescent="0.35">
      <c r="A3368" t="s">
        <v>7847</v>
      </c>
      <c r="B3368" t="s">
        <v>345</v>
      </c>
      <c r="C3368" t="s">
        <v>1890</v>
      </c>
      <c r="D3368" t="s">
        <v>4460</v>
      </c>
      <c r="E3368" t="s">
        <v>4439</v>
      </c>
      <c r="F3368" s="3">
        <v>45465</v>
      </c>
      <c r="G3368" s="3">
        <v>45467</v>
      </c>
      <c r="H3368">
        <v>48.2</v>
      </c>
      <c r="I3368">
        <v>48</v>
      </c>
      <c r="J3368" t="s">
        <v>4440</v>
      </c>
      <c r="K3368" t="s">
        <v>4441</v>
      </c>
      <c r="L3368" t="s">
        <v>4488</v>
      </c>
      <c r="M3368" t="s">
        <v>1625</v>
      </c>
      <c r="N3368">
        <v>5</v>
      </c>
    </row>
    <row r="3369" spans="1:14" x14ac:dyDescent="0.35">
      <c r="A3369" t="s">
        <v>7848</v>
      </c>
      <c r="B3369" t="s">
        <v>483</v>
      </c>
      <c r="C3369" t="s">
        <v>1904</v>
      </c>
      <c r="D3369" t="s">
        <v>4438</v>
      </c>
      <c r="E3369" t="s">
        <v>4456</v>
      </c>
      <c r="F3369" s="3">
        <v>45134</v>
      </c>
      <c r="G3369" s="3">
        <v>45134</v>
      </c>
      <c r="H3369">
        <v>3.2</v>
      </c>
      <c r="I3369">
        <v>4</v>
      </c>
      <c r="J3369" t="s">
        <v>4448</v>
      </c>
      <c r="K3369" t="s">
        <v>4441</v>
      </c>
      <c r="L3369" t="s">
        <v>4488</v>
      </c>
      <c r="M3369" t="s">
        <v>1625</v>
      </c>
      <c r="N3369">
        <v>1</v>
      </c>
    </row>
    <row r="3370" spans="1:14" x14ac:dyDescent="0.35">
      <c r="A3370" t="s">
        <v>7849</v>
      </c>
      <c r="B3370" t="s">
        <v>319</v>
      </c>
      <c r="C3370" t="s">
        <v>1890</v>
      </c>
      <c r="D3370" t="s">
        <v>4472</v>
      </c>
      <c r="E3370" t="s">
        <v>4444</v>
      </c>
      <c r="F3370" s="3">
        <v>45299</v>
      </c>
      <c r="G3370" s="3">
        <v>45300</v>
      </c>
      <c r="H3370">
        <v>39.6</v>
      </c>
      <c r="I3370">
        <v>24</v>
      </c>
      <c r="J3370" t="s">
        <v>4440</v>
      </c>
      <c r="K3370" t="s">
        <v>4441</v>
      </c>
      <c r="L3370" t="s">
        <v>4514</v>
      </c>
      <c r="M3370" t="s">
        <v>1625</v>
      </c>
    </row>
    <row r="3371" spans="1:14" x14ac:dyDescent="0.35">
      <c r="A3371" t="s">
        <v>7850</v>
      </c>
      <c r="B3371" t="s">
        <v>291</v>
      </c>
      <c r="C3371" t="s">
        <v>1927</v>
      </c>
      <c r="D3371" t="s">
        <v>4452</v>
      </c>
      <c r="E3371" t="s">
        <v>4439</v>
      </c>
      <c r="F3371" s="3">
        <v>45064</v>
      </c>
      <c r="G3371" s="3">
        <v>45068</v>
      </c>
      <c r="H3371">
        <v>98.1</v>
      </c>
      <c r="I3371">
        <v>48</v>
      </c>
      <c r="J3371" t="s">
        <v>4440</v>
      </c>
      <c r="K3371" t="s">
        <v>4441</v>
      </c>
      <c r="L3371" t="s">
        <v>4465</v>
      </c>
      <c r="M3371" t="s">
        <v>1625</v>
      </c>
      <c r="N3371">
        <v>4</v>
      </c>
    </row>
    <row r="3372" spans="1:14" x14ac:dyDescent="0.35">
      <c r="A3372" t="s">
        <v>7851</v>
      </c>
      <c r="B3372" t="s">
        <v>146</v>
      </c>
      <c r="C3372" t="s">
        <v>1915</v>
      </c>
      <c r="D3372" t="s">
        <v>4476</v>
      </c>
      <c r="E3372" t="s">
        <v>4473</v>
      </c>
      <c r="F3372" s="3">
        <v>45239</v>
      </c>
      <c r="G3372" s="3" t="s">
        <v>537</v>
      </c>
      <c r="I3372">
        <v>8</v>
      </c>
      <c r="J3372" t="s">
        <v>4440</v>
      </c>
      <c r="K3372" t="s">
        <v>4457</v>
      </c>
      <c r="L3372" t="s">
        <v>4461</v>
      </c>
      <c r="M3372" t="s">
        <v>4446</v>
      </c>
    </row>
    <row r="3373" spans="1:14" x14ac:dyDescent="0.35">
      <c r="A3373" t="s">
        <v>7852</v>
      </c>
      <c r="B3373" t="s">
        <v>201</v>
      </c>
      <c r="C3373" t="s">
        <v>1899</v>
      </c>
      <c r="D3373" t="s">
        <v>4476</v>
      </c>
      <c r="E3373" t="s">
        <v>4444</v>
      </c>
      <c r="F3373" s="3">
        <v>44999</v>
      </c>
      <c r="G3373" s="3" t="s">
        <v>537</v>
      </c>
      <c r="I3373">
        <v>24</v>
      </c>
      <c r="J3373" t="s">
        <v>4440</v>
      </c>
      <c r="K3373" t="s">
        <v>4474</v>
      </c>
      <c r="L3373" t="s">
        <v>4533</v>
      </c>
      <c r="M3373" t="s">
        <v>4446</v>
      </c>
    </row>
    <row r="3374" spans="1:14" x14ac:dyDescent="0.35">
      <c r="A3374" t="s">
        <v>7853</v>
      </c>
      <c r="B3374" t="s">
        <v>182</v>
      </c>
      <c r="C3374" t="s">
        <v>1883</v>
      </c>
      <c r="D3374" t="s">
        <v>8514</v>
      </c>
      <c r="E3374" t="s">
        <v>4473</v>
      </c>
      <c r="F3374" s="3">
        <v>44941</v>
      </c>
      <c r="G3374" s="3">
        <v>44941</v>
      </c>
      <c r="H3374">
        <v>12.5</v>
      </c>
      <c r="I3374">
        <v>8</v>
      </c>
      <c r="J3374" t="s">
        <v>4440</v>
      </c>
      <c r="K3374" t="s">
        <v>4441</v>
      </c>
      <c r="L3374" t="s">
        <v>4527</v>
      </c>
      <c r="M3374" t="s">
        <v>4446</v>
      </c>
      <c r="N3374">
        <v>4</v>
      </c>
    </row>
    <row r="3375" spans="1:14" x14ac:dyDescent="0.35">
      <c r="A3375" t="s">
        <v>7854</v>
      </c>
      <c r="B3375" t="s">
        <v>444</v>
      </c>
      <c r="C3375" t="s">
        <v>1927</v>
      </c>
      <c r="D3375" t="s">
        <v>4482</v>
      </c>
      <c r="E3375" t="s">
        <v>4444</v>
      </c>
      <c r="F3375" s="3">
        <v>45006</v>
      </c>
      <c r="G3375" s="3">
        <v>45006</v>
      </c>
      <c r="H3375">
        <v>19.3</v>
      </c>
      <c r="I3375">
        <v>24</v>
      </c>
      <c r="J3375" t="s">
        <v>4448</v>
      </c>
      <c r="K3375" t="s">
        <v>4441</v>
      </c>
      <c r="L3375" t="s">
        <v>4461</v>
      </c>
      <c r="M3375" t="s">
        <v>4446</v>
      </c>
      <c r="N3375">
        <v>3</v>
      </c>
    </row>
    <row r="3376" spans="1:14" x14ac:dyDescent="0.35">
      <c r="A3376" t="s">
        <v>7855</v>
      </c>
      <c r="B3376" t="s">
        <v>415</v>
      </c>
      <c r="C3376" t="s">
        <v>1927</v>
      </c>
      <c r="D3376" t="s">
        <v>4476</v>
      </c>
      <c r="E3376" t="s">
        <v>4439</v>
      </c>
      <c r="F3376" s="3">
        <v>45134</v>
      </c>
      <c r="G3376" s="3">
        <v>45135</v>
      </c>
      <c r="H3376">
        <v>46.5</v>
      </c>
      <c r="I3376">
        <v>48</v>
      </c>
      <c r="J3376" t="s">
        <v>4448</v>
      </c>
      <c r="K3376" t="s">
        <v>4441</v>
      </c>
      <c r="L3376" t="s">
        <v>4470</v>
      </c>
      <c r="M3376" t="s">
        <v>1625</v>
      </c>
      <c r="N3376">
        <v>5</v>
      </c>
    </row>
    <row r="3377" spans="1:14" x14ac:dyDescent="0.35">
      <c r="A3377" t="s">
        <v>7856</v>
      </c>
      <c r="B3377" t="s">
        <v>205</v>
      </c>
      <c r="C3377" t="s">
        <v>1915</v>
      </c>
      <c r="D3377" t="s">
        <v>4485</v>
      </c>
      <c r="E3377" t="s">
        <v>4439</v>
      </c>
      <c r="F3377" s="3">
        <v>44931</v>
      </c>
      <c r="G3377" s="3" t="s">
        <v>537</v>
      </c>
      <c r="I3377">
        <v>48</v>
      </c>
      <c r="J3377" t="s">
        <v>4440</v>
      </c>
      <c r="K3377" t="s">
        <v>4474</v>
      </c>
      <c r="L3377" t="s">
        <v>4461</v>
      </c>
      <c r="M3377" t="s">
        <v>4450</v>
      </c>
    </row>
    <row r="3378" spans="1:14" x14ac:dyDescent="0.35">
      <c r="A3378" t="s">
        <v>7857</v>
      </c>
      <c r="B3378" t="s">
        <v>458</v>
      </c>
      <c r="C3378" t="s">
        <v>1904</v>
      </c>
      <c r="D3378" t="s">
        <v>8504</v>
      </c>
      <c r="E3378" t="s">
        <v>4439</v>
      </c>
      <c r="F3378" s="3">
        <v>45026</v>
      </c>
      <c r="G3378" s="3" t="s">
        <v>537</v>
      </c>
      <c r="I3378">
        <v>48</v>
      </c>
      <c r="J3378" t="s">
        <v>4448</v>
      </c>
      <c r="K3378" t="s">
        <v>4453</v>
      </c>
      <c r="L3378" t="s">
        <v>4449</v>
      </c>
      <c r="M3378" t="s">
        <v>4446</v>
      </c>
    </row>
    <row r="3379" spans="1:14" x14ac:dyDescent="0.35">
      <c r="A3379" t="s">
        <v>7858</v>
      </c>
      <c r="B3379" t="s">
        <v>470</v>
      </c>
      <c r="C3379" t="s">
        <v>1927</v>
      </c>
      <c r="D3379" t="s">
        <v>4438</v>
      </c>
      <c r="E3379" t="s">
        <v>4473</v>
      </c>
      <c r="F3379" s="3">
        <v>45387</v>
      </c>
      <c r="G3379" s="3" t="s">
        <v>537</v>
      </c>
      <c r="I3379">
        <v>8</v>
      </c>
      <c r="J3379" t="s">
        <v>4440</v>
      </c>
      <c r="K3379" t="s">
        <v>4457</v>
      </c>
      <c r="L3379" t="s">
        <v>4480</v>
      </c>
      <c r="M3379" t="s">
        <v>4446</v>
      </c>
    </row>
    <row r="3380" spans="1:14" x14ac:dyDescent="0.35">
      <c r="A3380" t="s">
        <v>7859</v>
      </c>
      <c r="B3380" t="s">
        <v>280</v>
      </c>
      <c r="C3380" t="s">
        <v>1883</v>
      </c>
      <c r="D3380" t="s">
        <v>4464</v>
      </c>
      <c r="E3380" t="s">
        <v>4444</v>
      </c>
      <c r="F3380" s="3">
        <v>45061</v>
      </c>
      <c r="G3380" s="3">
        <v>45061</v>
      </c>
      <c r="H3380">
        <v>5.0999999999999996</v>
      </c>
      <c r="I3380">
        <v>24</v>
      </c>
      <c r="J3380" t="s">
        <v>4448</v>
      </c>
      <c r="K3380" t="s">
        <v>4441</v>
      </c>
      <c r="L3380" t="s">
        <v>4458</v>
      </c>
      <c r="M3380" t="s">
        <v>4462</v>
      </c>
    </row>
    <row r="3381" spans="1:14" x14ac:dyDescent="0.35">
      <c r="A3381" t="s">
        <v>7860</v>
      </c>
      <c r="B3381" t="s">
        <v>349</v>
      </c>
      <c r="C3381" t="s">
        <v>1904</v>
      </c>
      <c r="D3381" t="s">
        <v>4479</v>
      </c>
      <c r="E3381" t="s">
        <v>4456</v>
      </c>
      <c r="F3381" s="3">
        <v>45629</v>
      </c>
      <c r="G3381" s="3">
        <v>45629</v>
      </c>
      <c r="H3381">
        <v>1.5</v>
      </c>
      <c r="I3381">
        <v>4</v>
      </c>
      <c r="J3381" t="s">
        <v>4448</v>
      </c>
      <c r="K3381" t="s">
        <v>4441</v>
      </c>
      <c r="L3381" t="s">
        <v>4580</v>
      </c>
      <c r="M3381" t="s">
        <v>1625</v>
      </c>
      <c r="N3381">
        <v>5</v>
      </c>
    </row>
    <row r="3382" spans="1:14" x14ac:dyDescent="0.35">
      <c r="A3382" t="s">
        <v>7861</v>
      </c>
      <c r="B3382" t="s">
        <v>308</v>
      </c>
      <c r="C3382" t="s">
        <v>1899</v>
      </c>
      <c r="D3382" t="s">
        <v>4443</v>
      </c>
      <c r="E3382" t="s">
        <v>4456</v>
      </c>
      <c r="F3382" s="3">
        <v>45377</v>
      </c>
      <c r="G3382" s="3" t="s">
        <v>537</v>
      </c>
      <c r="I3382">
        <v>4</v>
      </c>
      <c r="J3382" t="s">
        <v>4440</v>
      </c>
      <c r="K3382" t="s">
        <v>4474</v>
      </c>
      <c r="L3382" t="s">
        <v>4492</v>
      </c>
      <c r="M3382" t="s">
        <v>4450</v>
      </c>
    </row>
    <row r="3383" spans="1:14" x14ac:dyDescent="0.35">
      <c r="A3383" t="s">
        <v>7862</v>
      </c>
      <c r="B3383" t="s">
        <v>357</v>
      </c>
      <c r="C3383" t="s">
        <v>1883</v>
      </c>
      <c r="D3383" t="s">
        <v>4464</v>
      </c>
      <c r="E3383" t="s">
        <v>4444</v>
      </c>
      <c r="F3383" s="3">
        <v>45024</v>
      </c>
      <c r="G3383" s="3" t="s">
        <v>537</v>
      </c>
      <c r="I3383">
        <v>24</v>
      </c>
      <c r="J3383" t="s">
        <v>4440</v>
      </c>
      <c r="K3383" t="s">
        <v>4474</v>
      </c>
      <c r="L3383" t="s">
        <v>4454</v>
      </c>
      <c r="M3383" t="s">
        <v>4446</v>
      </c>
    </row>
    <row r="3384" spans="1:14" x14ac:dyDescent="0.35">
      <c r="A3384" t="s">
        <v>7863</v>
      </c>
      <c r="B3384" t="s">
        <v>461</v>
      </c>
      <c r="C3384" t="s">
        <v>1904</v>
      </c>
      <c r="D3384" t="s">
        <v>4464</v>
      </c>
      <c r="E3384" t="s">
        <v>4444</v>
      </c>
      <c r="F3384" s="3">
        <v>45497</v>
      </c>
      <c r="G3384" s="3">
        <v>45497</v>
      </c>
      <c r="H3384">
        <v>7.2</v>
      </c>
      <c r="I3384">
        <v>24</v>
      </c>
      <c r="J3384" t="s">
        <v>4448</v>
      </c>
      <c r="K3384" t="s">
        <v>4441</v>
      </c>
      <c r="L3384" t="s">
        <v>4461</v>
      </c>
      <c r="M3384" t="s">
        <v>1625</v>
      </c>
      <c r="N3384">
        <v>1</v>
      </c>
    </row>
    <row r="3385" spans="1:14" x14ac:dyDescent="0.35">
      <c r="A3385" t="s">
        <v>7864</v>
      </c>
      <c r="B3385" t="s">
        <v>300</v>
      </c>
      <c r="C3385" t="s">
        <v>1927</v>
      </c>
      <c r="D3385" t="s">
        <v>4452</v>
      </c>
      <c r="E3385" t="s">
        <v>4444</v>
      </c>
      <c r="F3385" s="3">
        <v>45677</v>
      </c>
      <c r="G3385" s="3">
        <v>45679</v>
      </c>
      <c r="H3385">
        <v>48.9</v>
      </c>
      <c r="I3385">
        <v>24</v>
      </c>
      <c r="J3385" t="s">
        <v>1945</v>
      </c>
      <c r="K3385" t="s">
        <v>4441</v>
      </c>
      <c r="L3385" t="s">
        <v>4488</v>
      </c>
      <c r="M3385" t="s">
        <v>4450</v>
      </c>
      <c r="N3385">
        <v>4</v>
      </c>
    </row>
    <row r="3386" spans="1:14" x14ac:dyDescent="0.35">
      <c r="A3386" t="s">
        <v>7865</v>
      </c>
      <c r="B3386" t="s">
        <v>477</v>
      </c>
      <c r="C3386" t="s">
        <v>1915</v>
      </c>
      <c r="D3386" t="s">
        <v>4460</v>
      </c>
      <c r="E3386" t="s">
        <v>4473</v>
      </c>
      <c r="F3386" s="3">
        <v>45331</v>
      </c>
      <c r="G3386" s="3" t="s">
        <v>537</v>
      </c>
      <c r="I3386">
        <v>8</v>
      </c>
      <c r="J3386" t="s">
        <v>4440</v>
      </c>
      <c r="K3386" t="s">
        <v>4474</v>
      </c>
      <c r="L3386" t="s">
        <v>4512</v>
      </c>
      <c r="M3386" t="s">
        <v>1625</v>
      </c>
    </row>
    <row r="3387" spans="1:14" x14ac:dyDescent="0.35">
      <c r="A3387" t="s">
        <v>7866</v>
      </c>
      <c r="B3387" t="s">
        <v>457</v>
      </c>
      <c r="C3387" t="s">
        <v>1890</v>
      </c>
      <c r="D3387" t="s">
        <v>4452</v>
      </c>
      <c r="E3387" t="s">
        <v>4456</v>
      </c>
      <c r="F3387" s="3">
        <v>45406</v>
      </c>
      <c r="G3387" s="3" t="s">
        <v>537</v>
      </c>
      <c r="I3387">
        <v>4</v>
      </c>
      <c r="J3387" t="s">
        <v>4440</v>
      </c>
      <c r="K3387" t="s">
        <v>4457</v>
      </c>
      <c r="L3387" t="s">
        <v>4512</v>
      </c>
      <c r="M3387" t="s">
        <v>4446</v>
      </c>
    </row>
    <row r="3388" spans="1:14" x14ac:dyDescent="0.35">
      <c r="A3388" t="s">
        <v>7867</v>
      </c>
      <c r="B3388" t="s">
        <v>293</v>
      </c>
      <c r="C3388" t="s">
        <v>1927</v>
      </c>
      <c r="D3388" t="s">
        <v>4460</v>
      </c>
      <c r="E3388" t="s">
        <v>4439</v>
      </c>
      <c r="F3388" s="3">
        <v>45264</v>
      </c>
      <c r="G3388" s="3">
        <v>45266</v>
      </c>
      <c r="H3388">
        <v>55.8</v>
      </c>
      <c r="I3388">
        <v>48</v>
      </c>
      <c r="J3388" t="s">
        <v>4440</v>
      </c>
      <c r="K3388" t="s">
        <v>4441</v>
      </c>
      <c r="L3388" t="s">
        <v>4492</v>
      </c>
      <c r="M3388" t="s">
        <v>4450</v>
      </c>
      <c r="N3388">
        <v>4</v>
      </c>
    </row>
    <row r="3389" spans="1:14" x14ac:dyDescent="0.35">
      <c r="A3389" t="s">
        <v>7868</v>
      </c>
      <c r="B3389" t="s">
        <v>210</v>
      </c>
      <c r="C3389" t="s">
        <v>1890</v>
      </c>
      <c r="D3389" t="s">
        <v>4443</v>
      </c>
      <c r="E3389" t="s">
        <v>79</v>
      </c>
      <c r="F3389" s="3">
        <v>45198</v>
      </c>
      <c r="G3389" s="3" t="s">
        <v>537</v>
      </c>
      <c r="I3389">
        <v>24</v>
      </c>
      <c r="J3389" t="s">
        <v>4448</v>
      </c>
      <c r="K3389" t="s">
        <v>4457</v>
      </c>
      <c r="L3389" t="s">
        <v>4580</v>
      </c>
      <c r="M3389" t="s">
        <v>4446</v>
      </c>
    </row>
    <row r="3390" spans="1:14" x14ac:dyDescent="0.35">
      <c r="A3390" t="s">
        <v>7869</v>
      </c>
      <c r="B3390" t="s">
        <v>275</v>
      </c>
      <c r="C3390" t="s">
        <v>1904</v>
      </c>
      <c r="D3390" t="s">
        <v>4460</v>
      </c>
      <c r="E3390" t="s">
        <v>4473</v>
      </c>
      <c r="F3390" s="3">
        <v>45213</v>
      </c>
      <c r="G3390" s="3" t="s">
        <v>537</v>
      </c>
      <c r="I3390">
        <v>8</v>
      </c>
      <c r="J3390" t="s">
        <v>4440</v>
      </c>
      <c r="K3390" t="s">
        <v>4474</v>
      </c>
      <c r="L3390" t="s">
        <v>4467</v>
      </c>
      <c r="M3390" t="s">
        <v>4446</v>
      </c>
    </row>
    <row r="3391" spans="1:14" x14ac:dyDescent="0.35">
      <c r="A3391" t="s">
        <v>7870</v>
      </c>
      <c r="B3391" t="s">
        <v>455</v>
      </c>
      <c r="C3391" t="s">
        <v>1904</v>
      </c>
      <c r="D3391" t="s">
        <v>4479</v>
      </c>
      <c r="E3391" t="s">
        <v>4473</v>
      </c>
      <c r="F3391" s="3">
        <v>44976</v>
      </c>
      <c r="G3391" s="3">
        <v>44976</v>
      </c>
      <c r="H3391">
        <v>5.7</v>
      </c>
      <c r="I3391">
        <v>8</v>
      </c>
      <c r="J3391" t="s">
        <v>4448</v>
      </c>
      <c r="K3391" t="s">
        <v>4441</v>
      </c>
      <c r="L3391" t="s">
        <v>4514</v>
      </c>
      <c r="M3391" t="s">
        <v>4462</v>
      </c>
      <c r="N3391">
        <v>4</v>
      </c>
    </row>
    <row r="3392" spans="1:14" x14ac:dyDescent="0.35">
      <c r="A3392" t="s">
        <v>7871</v>
      </c>
      <c r="B3392" t="s">
        <v>483</v>
      </c>
      <c r="C3392" t="s">
        <v>1904</v>
      </c>
      <c r="D3392" t="s">
        <v>4479</v>
      </c>
      <c r="E3392" t="s">
        <v>4473</v>
      </c>
      <c r="F3392" s="3">
        <v>45624</v>
      </c>
      <c r="G3392" s="3">
        <v>45624</v>
      </c>
      <c r="H3392">
        <v>16.600000000000001</v>
      </c>
      <c r="I3392">
        <v>8</v>
      </c>
      <c r="J3392" t="s">
        <v>4440</v>
      </c>
      <c r="K3392" t="s">
        <v>4441</v>
      </c>
      <c r="L3392" t="s">
        <v>1907</v>
      </c>
      <c r="M3392" t="s">
        <v>4450</v>
      </c>
    </row>
    <row r="3393" spans="1:14" x14ac:dyDescent="0.35">
      <c r="A3393" t="s">
        <v>7872</v>
      </c>
      <c r="B3393" t="s">
        <v>470</v>
      </c>
      <c r="C3393" t="s">
        <v>1899</v>
      </c>
      <c r="D3393" t="s">
        <v>4460</v>
      </c>
      <c r="E3393" t="s">
        <v>4444</v>
      </c>
      <c r="F3393" s="3">
        <v>45042</v>
      </c>
      <c r="G3393" s="3" t="s">
        <v>537</v>
      </c>
      <c r="I3393">
        <v>24</v>
      </c>
      <c r="J3393" t="s">
        <v>4440</v>
      </c>
      <c r="K3393" t="s">
        <v>4453</v>
      </c>
      <c r="L3393" t="s">
        <v>1907</v>
      </c>
      <c r="M3393" t="s">
        <v>1625</v>
      </c>
    </row>
    <row r="3394" spans="1:14" x14ac:dyDescent="0.35">
      <c r="A3394" t="s">
        <v>7873</v>
      </c>
      <c r="B3394" t="s">
        <v>299</v>
      </c>
      <c r="C3394" t="s">
        <v>1904</v>
      </c>
      <c r="D3394" t="s">
        <v>4438</v>
      </c>
      <c r="E3394" t="s">
        <v>4473</v>
      </c>
      <c r="F3394" s="3">
        <v>45490</v>
      </c>
      <c r="G3394" s="3" t="s">
        <v>537</v>
      </c>
      <c r="I3394">
        <v>8</v>
      </c>
      <c r="J3394" t="s">
        <v>4440</v>
      </c>
      <c r="K3394" t="s">
        <v>4457</v>
      </c>
      <c r="L3394" t="s">
        <v>4580</v>
      </c>
      <c r="M3394" t="s">
        <v>4462</v>
      </c>
    </row>
    <row r="3395" spans="1:14" x14ac:dyDescent="0.35">
      <c r="A3395" t="s">
        <v>7874</v>
      </c>
      <c r="B3395" t="s">
        <v>410</v>
      </c>
      <c r="C3395" t="s">
        <v>1915</v>
      </c>
      <c r="D3395" t="s">
        <v>4472</v>
      </c>
      <c r="E3395" t="s">
        <v>4439</v>
      </c>
      <c r="F3395" s="3">
        <v>45013</v>
      </c>
      <c r="G3395" s="3">
        <v>45017</v>
      </c>
      <c r="H3395">
        <v>110.2</v>
      </c>
      <c r="I3395">
        <v>48</v>
      </c>
      <c r="J3395" t="s">
        <v>4440</v>
      </c>
      <c r="K3395" t="s">
        <v>4441</v>
      </c>
      <c r="L3395" t="s">
        <v>4470</v>
      </c>
      <c r="M3395" t="s">
        <v>4446</v>
      </c>
    </row>
    <row r="3396" spans="1:14" x14ac:dyDescent="0.35">
      <c r="A3396" t="s">
        <v>7875</v>
      </c>
      <c r="B3396" t="s">
        <v>497</v>
      </c>
      <c r="C3396" t="s">
        <v>1899</v>
      </c>
      <c r="D3396" t="s">
        <v>4479</v>
      </c>
      <c r="E3396" t="s">
        <v>4444</v>
      </c>
      <c r="F3396" s="3">
        <v>45329</v>
      </c>
      <c r="G3396" s="3" t="s">
        <v>537</v>
      </c>
      <c r="I3396">
        <v>24</v>
      </c>
      <c r="J3396" t="s">
        <v>4440</v>
      </c>
      <c r="K3396" t="s">
        <v>4474</v>
      </c>
      <c r="L3396" t="s">
        <v>4501</v>
      </c>
      <c r="M3396" t="s">
        <v>4450</v>
      </c>
    </row>
    <row r="3397" spans="1:14" x14ac:dyDescent="0.35">
      <c r="A3397" t="s">
        <v>7876</v>
      </c>
      <c r="B3397" t="s">
        <v>341</v>
      </c>
      <c r="C3397" t="s">
        <v>1927</v>
      </c>
      <c r="D3397" t="s">
        <v>4472</v>
      </c>
      <c r="E3397" t="s">
        <v>4456</v>
      </c>
      <c r="F3397" s="3">
        <v>45392</v>
      </c>
      <c r="G3397" s="3">
        <v>45392</v>
      </c>
      <c r="H3397">
        <v>2.8</v>
      </c>
      <c r="I3397">
        <v>4</v>
      </c>
      <c r="J3397" t="s">
        <v>4448</v>
      </c>
      <c r="K3397" t="s">
        <v>4441</v>
      </c>
      <c r="L3397" t="s">
        <v>4512</v>
      </c>
      <c r="M3397" t="s">
        <v>4462</v>
      </c>
      <c r="N3397">
        <v>3</v>
      </c>
    </row>
    <row r="3398" spans="1:14" x14ac:dyDescent="0.35">
      <c r="A3398" t="s">
        <v>7877</v>
      </c>
      <c r="B3398" t="s">
        <v>451</v>
      </c>
      <c r="C3398" t="s">
        <v>1883</v>
      </c>
      <c r="D3398" t="s">
        <v>4472</v>
      </c>
      <c r="E3398" t="s">
        <v>4444</v>
      </c>
      <c r="F3398" s="3">
        <v>45142</v>
      </c>
      <c r="G3398" s="3" t="s">
        <v>537</v>
      </c>
      <c r="I3398">
        <v>24</v>
      </c>
      <c r="J3398" t="s">
        <v>4440</v>
      </c>
      <c r="K3398" t="s">
        <v>4474</v>
      </c>
      <c r="L3398" t="s">
        <v>4480</v>
      </c>
      <c r="M3398" t="s">
        <v>4446</v>
      </c>
    </row>
    <row r="3399" spans="1:14" x14ac:dyDescent="0.35">
      <c r="A3399" t="s">
        <v>7878</v>
      </c>
      <c r="B3399" t="s">
        <v>214</v>
      </c>
      <c r="C3399" t="s">
        <v>1883</v>
      </c>
      <c r="D3399" t="s">
        <v>4460</v>
      </c>
      <c r="E3399" t="s">
        <v>4473</v>
      </c>
      <c r="F3399" s="3">
        <v>45017</v>
      </c>
      <c r="G3399" s="3">
        <v>45017</v>
      </c>
      <c r="H3399">
        <v>19.5</v>
      </c>
      <c r="I3399">
        <v>8</v>
      </c>
      <c r="J3399" t="s">
        <v>4440</v>
      </c>
      <c r="K3399" t="s">
        <v>4441</v>
      </c>
      <c r="L3399" t="s">
        <v>4449</v>
      </c>
      <c r="M3399" t="s">
        <v>4462</v>
      </c>
      <c r="N3399">
        <v>4</v>
      </c>
    </row>
    <row r="3400" spans="1:14" x14ac:dyDescent="0.35">
      <c r="A3400" t="s">
        <v>7879</v>
      </c>
      <c r="B3400" t="s">
        <v>360</v>
      </c>
      <c r="C3400" t="s">
        <v>1899</v>
      </c>
      <c r="D3400" t="s">
        <v>4469</v>
      </c>
      <c r="E3400" t="s">
        <v>4473</v>
      </c>
      <c r="F3400" s="3">
        <v>45022</v>
      </c>
      <c r="G3400" s="3">
        <v>45022</v>
      </c>
      <c r="H3400">
        <v>1</v>
      </c>
      <c r="I3400">
        <v>8</v>
      </c>
      <c r="J3400" t="s">
        <v>4448</v>
      </c>
      <c r="K3400" t="s">
        <v>4441</v>
      </c>
      <c r="L3400" t="s">
        <v>4580</v>
      </c>
      <c r="M3400" t="s">
        <v>4450</v>
      </c>
      <c r="N3400">
        <v>5</v>
      </c>
    </row>
    <row r="3401" spans="1:14" x14ac:dyDescent="0.35">
      <c r="A3401" t="s">
        <v>7880</v>
      </c>
      <c r="B3401" t="s">
        <v>305</v>
      </c>
      <c r="C3401" t="s">
        <v>1904</v>
      </c>
      <c r="D3401" t="s">
        <v>4490</v>
      </c>
      <c r="E3401" t="s">
        <v>4444</v>
      </c>
      <c r="F3401" s="3">
        <v>45291</v>
      </c>
      <c r="G3401" s="3">
        <v>45291</v>
      </c>
      <c r="H3401">
        <v>4.2</v>
      </c>
      <c r="I3401">
        <v>24</v>
      </c>
      <c r="J3401" t="s">
        <v>4448</v>
      </c>
      <c r="K3401" t="s">
        <v>4441</v>
      </c>
      <c r="L3401" t="s">
        <v>4488</v>
      </c>
      <c r="M3401" t="s">
        <v>1625</v>
      </c>
      <c r="N3401">
        <v>4</v>
      </c>
    </row>
    <row r="3402" spans="1:14" x14ac:dyDescent="0.35">
      <c r="A3402" t="s">
        <v>7881</v>
      </c>
      <c r="B3402" t="s">
        <v>453</v>
      </c>
      <c r="C3402" t="s">
        <v>1890</v>
      </c>
      <c r="D3402" t="s">
        <v>4464</v>
      </c>
      <c r="E3402" t="s">
        <v>4444</v>
      </c>
      <c r="F3402" s="3">
        <v>45695</v>
      </c>
      <c r="G3402" s="3">
        <v>45695</v>
      </c>
      <c r="H3402">
        <v>6.1</v>
      </c>
      <c r="I3402">
        <v>24</v>
      </c>
      <c r="J3402" t="s">
        <v>4448</v>
      </c>
      <c r="K3402" t="s">
        <v>4441</v>
      </c>
      <c r="L3402" t="s">
        <v>4501</v>
      </c>
      <c r="M3402" t="s">
        <v>4450</v>
      </c>
      <c r="N3402">
        <v>4</v>
      </c>
    </row>
    <row r="3403" spans="1:14" x14ac:dyDescent="0.35">
      <c r="A3403" t="s">
        <v>7882</v>
      </c>
      <c r="B3403" t="s">
        <v>27</v>
      </c>
      <c r="C3403" t="s">
        <v>1904</v>
      </c>
      <c r="D3403" t="s">
        <v>4452</v>
      </c>
      <c r="E3403" t="s">
        <v>4439</v>
      </c>
      <c r="F3403" s="3">
        <v>45637</v>
      </c>
      <c r="G3403" s="3">
        <v>45639</v>
      </c>
      <c r="H3403">
        <v>64.2</v>
      </c>
      <c r="I3403">
        <v>48</v>
      </c>
      <c r="J3403" t="s">
        <v>4440</v>
      </c>
      <c r="K3403" t="s">
        <v>4441</v>
      </c>
      <c r="L3403" t="s">
        <v>4458</v>
      </c>
      <c r="M3403" t="s">
        <v>4446</v>
      </c>
      <c r="N3403">
        <v>3</v>
      </c>
    </row>
    <row r="3404" spans="1:14" x14ac:dyDescent="0.35">
      <c r="A3404" t="s">
        <v>7883</v>
      </c>
      <c r="B3404" t="s">
        <v>238</v>
      </c>
      <c r="C3404" t="s">
        <v>1899</v>
      </c>
      <c r="D3404" t="s">
        <v>4476</v>
      </c>
      <c r="E3404" t="s">
        <v>4456</v>
      </c>
      <c r="F3404" s="3">
        <v>45286</v>
      </c>
      <c r="G3404" s="3">
        <v>45286</v>
      </c>
      <c r="H3404">
        <v>2.7</v>
      </c>
      <c r="I3404">
        <v>4</v>
      </c>
      <c r="J3404" t="s">
        <v>4448</v>
      </c>
      <c r="K3404" t="s">
        <v>4441</v>
      </c>
      <c r="L3404" t="s">
        <v>4509</v>
      </c>
      <c r="M3404" t="s">
        <v>4450</v>
      </c>
      <c r="N3404">
        <v>4</v>
      </c>
    </row>
    <row r="3405" spans="1:14" x14ac:dyDescent="0.35">
      <c r="A3405" t="s">
        <v>7884</v>
      </c>
      <c r="B3405" t="s">
        <v>208</v>
      </c>
      <c r="C3405" t="s">
        <v>1904</v>
      </c>
      <c r="D3405" t="s">
        <v>4490</v>
      </c>
      <c r="E3405" t="s">
        <v>4456</v>
      </c>
      <c r="F3405" s="3">
        <v>45302</v>
      </c>
      <c r="G3405" s="3" t="s">
        <v>537</v>
      </c>
      <c r="I3405">
        <v>4</v>
      </c>
      <c r="J3405" t="s">
        <v>4440</v>
      </c>
      <c r="K3405" t="s">
        <v>4474</v>
      </c>
      <c r="L3405" t="s">
        <v>4449</v>
      </c>
      <c r="M3405" t="s">
        <v>4450</v>
      </c>
    </row>
    <row r="3406" spans="1:14" x14ac:dyDescent="0.35">
      <c r="A3406" t="s">
        <v>7885</v>
      </c>
      <c r="B3406" t="s">
        <v>269</v>
      </c>
      <c r="C3406" t="s">
        <v>1899</v>
      </c>
      <c r="D3406" t="s">
        <v>4443</v>
      </c>
      <c r="E3406" t="s">
        <v>4456</v>
      </c>
      <c r="F3406" s="3">
        <v>45056</v>
      </c>
      <c r="G3406" s="3">
        <v>45056</v>
      </c>
      <c r="H3406">
        <v>5</v>
      </c>
      <c r="I3406">
        <v>4</v>
      </c>
      <c r="J3406" t="s">
        <v>4440</v>
      </c>
      <c r="K3406" t="s">
        <v>4441</v>
      </c>
      <c r="L3406" t="s">
        <v>4527</v>
      </c>
      <c r="M3406" t="s">
        <v>4462</v>
      </c>
      <c r="N3406">
        <v>3</v>
      </c>
    </row>
    <row r="3407" spans="1:14" x14ac:dyDescent="0.35">
      <c r="A3407" t="s">
        <v>7886</v>
      </c>
      <c r="B3407" t="s">
        <v>437</v>
      </c>
      <c r="C3407" t="s">
        <v>1915</v>
      </c>
      <c r="D3407" t="s">
        <v>4479</v>
      </c>
      <c r="E3407" t="s">
        <v>4473</v>
      </c>
      <c r="F3407" s="3">
        <v>45539</v>
      </c>
      <c r="G3407" s="3">
        <v>45539</v>
      </c>
      <c r="H3407">
        <v>13</v>
      </c>
      <c r="I3407">
        <v>8</v>
      </c>
      <c r="J3407" t="s">
        <v>4440</v>
      </c>
      <c r="K3407" t="s">
        <v>4441</v>
      </c>
      <c r="L3407" t="s">
        <v>4533</v>
      </c>
      <c r="M3407" t="s">
        <v>4446</v>
      </c>
      <c r="N3407">
        <v>4</v>
      </c>
    </row>
    <row r="3408" spans="1:14" x14ac:dyDescent="0.35">
      <c r="A3408" t="s">
        <v>7887</v>
      </c>
      <c r="B3408" t="s">
        <v>66</v>
      </c>
      <c r="C3408" t="s">
        <v>1904</v>
      </c>
      <c r="D3408" t="s">
        <v>4485</v>
      </c>
      <c r="E3408" t="s">
        <v>4444</v>
      </c>
      <c r="F3408" s="3">
        <v>45234</v>
      </c>
      <c r="G3408" s="3">
        <v>45234</v>
      </c>
      <c r="H3408">
        <v>14.4</v>
      </c>
      <c r="I3408">
        <v>24</v>
      </c>
      <c r="J3408" t="s">
        <v>4448</v>
      </c>
      <c r="K3408" t="s">
        <v>4441</v>
      </c>
      <c r="L3408" t="s">
        <v>4488</v>
      </c>
      <c r="M3408" t="s">
        <v>4450</v>
      </c>
      <c r="N3408">
        <v>4</v>
      </c>
    </row>
    <row r="3409" spans="1:14" x14ac:dyDescent="0.35">
      <c r="A3409" t="s">
        <v>7888</v>
      </c>
      <c r="B3409" t="s">
        <v>381</v>
      </c>
      <c r="C3409" t="s">
        <v>1915</v>
      </c>
      <c r="D3409" t="s">
        <v>4490</v>
      </c>
      <c r="E3409" t="s">
        <v>4444</v>
      </c>
      <c r="F3409" s="3">
        <v>45222</v>
      </c>
      <c r="G3409" s="3">
        <v>45223</v>
      </c>
      <c r="H3409">
        <v>24.5</v>
      </c>
      <c r="I3409">
        <v>24</v>
      </c>
      <c r="J3409" t="s">
        <v>4440</v>
      </c>
      <c r="K3409" t="s">
        <v>4441</v>
      </c>
      <c r="L3409" t="s">
        <v>4480</v>
      </c>
      <c r="M3409" t="s">
        <v>4446</v>
      </c>
      <c r="N3409">
        <v>5</v>
      </c>
    </row>
    <row r="3410" spans="1:14" x14ac:dyDescent="0.35">
      <c r="A3410" t="s">
        <v>7889</v>
      </c>
      <c r="B3410" t="s">
        <v>335</v>
      </c>
      <c r="C3410" t="s">
        <v>1904</v>
      </c>
      <c r="D3410" t="s">
        <v>4438</v>
      </c>
      <c r="E3410" t="s">
        <v>4473</v>
      </c>
      <c r="F3410" s="3">
        <v>45662</v>
      </c>
      <c r="G3410" s="3">
        <v>45662</v>
      </c>
      <c r="H3410">
        <v>6.9</v>
      </c>
      <c r="I3410">
        <v>8</v>
      </c>
      <c r="J3410" t="s">
        <v>4448</v>
      </c>
      <c r="K3410" t="s">
        <v>4441</v>
      </c>
      <c r="L3410" t="s">
        <v>4492</v>
      </c>
      <c r="M3410" t="s">
        <v>4446</v>
      </c>
      <c r="N3410">
        <v>4</v>
      </c>
    </row>
    <row r="3411" spans="1:14" x14ac:dyDescent="0.35">
      <c r="A3411" t="s">
        <v>7890</v>
      </c>
      <c r="B3411" t="s">
        <v>228</v>
      </c>
      <c r="C3411" t="s">
        <v>1915</v>
      </c>
      <c r="D3411" t="s">
        <v>4476</v>
      </c>
      <c r="E3411" t="s">
        <v>4444</v>
      </c>
      <c r="F3411" s="3">
        <v>45105</v>
      </c>
      <c r="G3411" s="3">
        <v>45106</v>
      </c>
      <c r="H3411">
        <v>34.4</v>
      </c>
      <c r="I3411">
        <v>24</v>
      </c>
      <c r="J3411" t="s">
        <v>4440</v>
      </c>
      <c r="K3411" t="s">
        <v>4441</v>
      </c>
      <c r="L3411" t="s">
        <v>4580</v>
      </c>
      <c r="M3411" t="s">
        <v>4462</v>
      </c>
    </row>
    <row r="3412" spans="1:14" x14ac:dyDescent="0.35">
      <c r="A3412" t="s">
        <v>7891</v>
      </c>
      <c r="B3412" t="s">
        <v>454</v>
      </c>
      <c r="C3412" t="s">
        <v>1915</v>
      </c>
      <c r="D3412" t="s">
        <v>4472</v>
      </c>
      <c r="E3412" t="s">
        <v>4444</v>
      </c>
      <c r="F3412" s="3">
        <v>45460</v>
      </c>
      <c r="G3412" s="3" t="s">
        <v>537</v>
      </c>
      <c r="I3412">
        <v>24</v>
      </c>
      <c r="J3412" t="s">
        <v>4440</v>
      </c>
      <c r="K3412" t="s">
        <v>4474</v>
      </c>
      <c r="L3412" t="s">
        <v>4480</v>
      </c>
      <c r="M3412" t="s">
        <v>4446</v>
      </c>
    </row>
    <row r="3413" spans="1:14" x14ac:dyDescent="0.35">
      <c r="A3413" t="s">
        <v>7892</v>
      </c>
      <c r="B3413" t="s">
        <v>287</v>
      </c>
      <c r="C3413" t="s">
        <v>1883</v>
      </c>
      <c r="D3413" t="s">
        <v>4472</v>
      </c>
      <c r="E3413" t="s">
        <v>4444</v>
      </c>
      <c r="F3413" s="3">
        <v>45626</v>
      </c>
      <c r="G3413" s="3" t="s">
        <v>537</v>
      </c>
      <c r="I3413">
        <v>24</v>
      </c>
      <c r="J3413" t="s">
        <v>4448</v>
      </c>
      <c r="K3413" t="s">
        <v>4457</v>
      </c>
      <c r="L3413" t="s">
        <v>4458</v>
      </c>
      <c r="M3413" t="s">
        <v>4446</v>
      </c>
    </row>
    <row r="3414" spans="1:14" x14ac:dyDescent="0.35">
      <c r="A3414" t="s">
        <v>7893</v>
      </c>
      <c r="B3414" t="s">
        <v>142</v>
      </c>
      <c r="C3414" t="s">
        <v>1890</v>
      </c>
      <c r="D3414" t="s">
        <v>4452</v>
      </c>
      <c r="E3414" t="s">
        <v>4444</v>
      </c>
      <c r="F3414" s="3">
        <v>45133</v>
      </c>
      <c r="G3414" s="3">
        <v>45135</v>
      </c>
      <c r="H3414">
        <v>50.9</v>
      </c>
      <c r="I3414">
        <v>24</v>
      </c>
      <c r="J3414" t="s">
        <v>4440</v>
      </c>
      <c r="K3414" t="s">
        <v>4441</v>
      </c>
      <c r="L3414" t="s">
        <v>4445</v>
      </c>
      <c r="M3414" t="s">
        <v>1625</v>
      </c>
      <c r="N3414">
        <v>3</v>
      </c>
    </row>
    <row r="3415" spans="1:14" x14ac:dyDescent="0.35">
      <c r="A3415" t="s">
        <v>7894</v>
      </c>
      <c r="B3415" t="s">
        <v>400</v>
      </c>
      <c r="C3415" t="s">
        <v>1899</v>
      </c>
      <c r="D3415" t="s">
        <v>4485</v>
      </c>
      <c r="E3415" t="s">
        <v>4439</v>
      </c>
      <c r="F3415" s="3">
        <v>45455</v>
      </c>
      <c r="G3415" s="3">
        <v>45459</v>
      </c>
      <c r="H3415">
        <v>114.5</v>
      </c>
      <c r="I3415">
        <v>48</v>
      </c>
      <c r="J3415" t="s">
        <v>1945</v>
      </c>
      <c r="K3415" t="s">
        <v>4441</v>
      </c>
      <c r="L3415" t="s">
        <v>4514</v>
      </c>
      <c r="M3415" t="s">
        <v>1625</v>
      </c>
      <c r="N3415">
        <v>4</v>
      </c>
    </row>
    <row r="3416" spans="1:14" x14ac:dyDescent="0.35">
      <c r="A3416" t="s">
        <v>7895</v>
      </c>
      <c r="B3416" t="s">
        <v>434</v>
      </c>
      <c r="C3416" t="s">
        <v>1890</v>
      </c>
      <c r="D3416" t="s">
        <v>4482</v>
      </c>
      <c r="E3416" t="s">
        <v>4439</v>
      </c>
      <c r="F3416" s="3">
        <v>45231</v>
      </c>
      <c r="G3416" s="3">
        <v>45235</v>
      </c>
      <c r="H3416">
        <v>98.7</v>
      </c>
      <c r="I3416">
        <v>48</v>
      </c>
      <c r="J3416" t="s">
        <v>4440</v>
      </c>
      <c r="K3416" t="s">
        <v>4441</v>
      </c>
      <c r="L3416" t="s">
        <v>4580</v>
      </c>
      <c r="M3416" t="s">
        <v>4446</v>
      </c>
      <c r="N3416">
        <v>5</v>
      </c>
    </row>
    <row r="3417" spans="1:14" x14ac:dyDescent="0.35">
      <c r="A3417" t="s">
        <v>7896</v>
      </c>
      <c r="B3417" t="s">
        <v>395</v>
      </c>
      <c r="C3417" t="s">
        <v>1915</v>
      </c>
      <c r="D3417" t="s">
        <v>4485</v>
      </c>
      <c r="E3417" t="s">
        <v>4439</v>
      </c>
      <c r="F3417" s="3">
        <v>45363</v>
      </c>
      <c r="G3417" s="3">
        <v>45364</v>
      </c>
      <c r="H3417">
        <v>27.1</v>
      </c>
      <c r="I3417">
        <v>48</v>
      </c>
      <c r="J3417" t="s">
        <v>4448</v>
      </c>
      <c r="K3417" t="s">
        <v>4441</v>
      </c>
      <c r="L3417" t="s">
        <v>4501</v>
      </c>
      <c r="M3417" t="s">
        <v>4446</v>
      </c>
      <c r="N3417">
        <v>5</v>
      </c>
    </row>
    <row r="3418" spans="1:14" x14ac:dyDescent="0.35">
      <c r="A3418" t="s">
        <v>7897</v>
      </c>
      <c r="B3418" t="s">
        <v>180</v>
      </c>
      <c r="C3418" t="s">
        <v>1927</v>
      </c>
      <c r="D3418" t="s">
        <v>4464</v>
      </c>
      <c r="E3418" t="s">
        <v>4473</v>
      </c>
      <c r="F3418" s="3">
        <v>45539</v>
      </c>
      <c r="G3418" s="3" t="s">
        <v>537</v>
      </c>
      <c r="I3418">
        <v>8</v>
      </c>
      <c r="J3418" t="s">
        <v>4448</v>
      </c>
      <c r="K3418" t="s">
        <v>4474</v>
      </c>
      <c r="L3418" t="s">
        <v>4483</v>
      </c>
      <c r="M3418" t="s">
        <v>4446</v>
      </c>
    </row>
    <row r="3419" spans="1:14" x14ac:dyDescent="0.35">
      <c r="A3419" t="s">
        <v>7898</v>
      </c>
      <c r="B3419" t="s">
        <v>424</v>
      </c>
      <c r="C3419" t="s">
        <v>1904</v>
      </c>
      <c r="D3419" t="s">
        <v>4485</v>
      </c>
      <c r="E3419" t="s">
        <v>4473</v>
      </c>
      <c r="F3419" s="3">
        <v>45274</v>
      </c>
      <c r="G3419" s="3" t="s">
        <v>537</v>
      </c>
      <c r="I3419">
        <v>8</v>
      </c>
      <c r="J3419" t="s">
        <v>4440</v>
      </c>
      <c r="K3419" t="s">
        <v>4474</v>
      </c>
      <c r="L3419" t="s">
        <v>4501</v>
      </c>
      <c r="M3419" t="s">
        <v>4446</v>
      </c>
    </row>
    <row r="3420" spans="1:14" x14ac:dyDescent="0.35">
      <c r="A3420" t="s">
        <v>7899</v>
      </c>
      <c r="B3420" t="s">
        <v>80</v>
      </c>
      <c r="C3420" t="s">
        <v>1899</v>
      </c>
      <c r="D3420" t="s">
        <v>4479</v>
      </c>
      <c r="E3420" t="s">
        <v>4439</v>
      </c>
      <c r="F3420" s="3">
        <v>45228</v>
      </c>
      <c r="G3420" s="3" t="s">
        <v>537</v>
      </c>
      <c r="I3420">
        <v>48</v>
      </c>
      <c r="J3420" t="s">
        <v>4448</v>
      </c>
      <c r="K3420" t="s">
        <v>4453</v>
      </c>
      <c r="L3420" t="s">
        <v>4454</v>
      </c>
      <c r="M3420" t="s">
        <v>4462</v>
      </c>
    </row>
    <row r="3421" spans="1:14" x14ac:dyDescent="0.35">
      <c r="A3421" t="s">
        <v>7900</v>
      </c>
      <c r="B3421" t="s">
        <v>383</v>
      </c>
      <c r="C3421" t="s">
        <v>1890</v>
      </c>
      <c r="D3421" t="s">
        <v>4472</v>
      </c>
      <c r="E3421" t="s">
        <v>4473</v>
      </c>
      <c r="F3421" s="3">
        <v>45627</v>
      </c>
      <c r="G3421" s="3" t="s">
        <v>537</v>
      </c>
      <c r="I3421">
        <v>8</v>
      </c>
      <c r="J3421" t="s">
        <v>4440</v>
      </c>
      <c r="K3421" t="s">
        <v>4474</v>
      </c>
      <c r="L3421" t="s">
        <v>4533</v>
      </c>
      <c r="M3421" t="s">
        <v>4462</v>
      </c>
    </row>
    <row r="3422" spans="1:14" x14ac:dyDescent="0.35">
      <c r="A3422" t="s">
        <v>7901</v>
      </c>
      <c r="B3422" t="s">
        <v>457</v>
      </c>
      <c r="C3422" t="s">
        <v>1927</v>
      </c>
      <c r="D3422" t="s">
        <v>4460</v>
      </c>
      <c r="E3422" t="s">
        <v>79</v>
      </c>
      <c r="F3422" s="3">
        <v>45195</v>
      </c>
      <c r="G3422" s="3">
        <v>45196</v>
      </c>
      <c r="H3422">
        <v>43.5</v>
      </c>
      <c r="I3422">
        <v>24</v>
      </c>
      <c r="J3422" t="s">
        <v>4440</v>
      </c>
      <c r="K3422" t="s">
        <v>4441</v>
      </c>
      <c r="L3422" t="s">
        <v>4480</v>
      </c>
      <c r="M3422" t="s">
        <v>4450</v>
      </c>
      <c r="N3422">
        <v>5</v>
      </c>
    </row>
    <row r="3423" spans="1:14" x14ac:dyDescent="0.35">
      <c r="A3423" t="s">
        <v>7902</v>
      </c>
      <c r="B3423" t="s">
        <v>329</v>
      </c>
      <c r="C3423" t="s">
        <v>1927</v>
      </c>
      <c r="D3423" t="s">
        <v>4490</v>
      </c>
      <c r="E3423" t="s">
        <v>4439</v>
      </c>
      <c r="F3423" s="3">
        <v>45533</v>
      </c>
      <c r="G3423" s="3">
        <v>45535</v>
      </c>
      <c r="H3423">
        <v>68.400000000000006</v>
      </c>
      <c r="I3423">
        <v>48</v>
      </c>
      <c r="J3423" t="s">
        <v>4440</v>
      </c>
      <c r="K3423" t="s">
        <v>4441</v>
      </c>
      <c r="L3423" t="s">
        <v>4501</v>
      </c>
      <c r="M3423" t="s">
        <v>1625</v>
      </c>
      <c r="N3423">
        <v>3</v>
      </c>
    </row>
    <row r="3424" spans="1:14" x14ac:dyDescent="0.35">
      <c r="A3424" t="s">
        <v>7903</v>
      </c>
      <c r="B3424" t="s">
        <v>319</v>
      </c>
      <c r="C3424" t="s">
        <v>1890</v>
      </c>
      <c r="D3424" t="s">
        <v>4482</v>
      </c>
      <c r="E3424" t="s">
        <v>4439</v>
      </c>
      <c r="F3424" s="3">
        <v>45496</v>
      </c>
      <c r="G3424" s="3" t="s">
        <v>537</v>
      </c>
      <c r="I3424">
        <v>48</v>
      </c>
      <c r="J3424" t="s">
        <v>4440</v>
      </c>
      <c r="K3424" t="s">
        <v>4453</v>
      </c>
      <c r="L3424" t="s">
        <v>4512</v>
      </c>
      <c r="M3424" t="s">
        <v>4446</v>
      </c>
    </row>
    <row r="3425" spans="1:14" x14ac:dyDescent="0.35">
      <c r="A3425" t="s">
        <v>7904</v>
      </c>
      <c r="B3425" t="s">
        <v>114</v>
      </c>
      <c r="C3425" t="s">
        <v>1915</v>
      </c>
      <c r="D3425" t="s">
        <v>4472</v>
      </c>
      <c r="E3425" t="s">
        <v>4473</v>
      </c>
      <c r="F3425" s="3">
        <v>45059</v>
      </c>
      <c r="G3425" s="3">
        <v>45059</v>
      </c>
      <c r="H3425">
        <v>13.5</v>
      </c>
      <c r="I3425">
        <v>8</v>
      </c>
      <c r="J3425" t="s">
        <v>4440</v>
      </c>
      <c r="K3425" t="s">
        <v>4441</v>
      </c>
      <c r="L3425" t="s">
        <v>4501</v>
      </c>
      <c r="M3425" t="s">
        <v>1625</v>
      </c>
      <c r="N3425">
        <v>4</v>
      </c>
    </row>
    <row r="3426" spans="1:14" x14ac:dyDescent="0.35">
      <c r="A3426" t="s">
        <v>7905</v>
      </c>
      <c r="B3426" t="s">
        <v>130</v>
      </c>
      <c r="C3426" t="s">
        <v>1904</v>
      </c>
      <c r="D3426" t="s">
        <v>4464</v>
      </c>
      <c r="E3426" t="s">
        <v>4473</v>
      </c>
      <c r="F3426" s="3">
        <v>45203</v>
      </c>
      <c r="G3426" s="3">
        <v>45203</v>
      </c>
      <c r="H3426">
        <v>16.8</v>
      </c>
      <c r="I3426">
        <v>8</v>
      </c>
      <c r="J3426" t="s">
        <v>4440</v>
      </c>
      <c r="K3426" t="s">
        <v>4441</v>
      </c>
      <c r="L3426" t="s">
        <v>4465</v>
      </c>
      <c r="M3426" t="s">
        <v>4462</v>
      </c>
      <c r="N3426">
        <v>4</v>
      </c>
    </row>
    <row r="3427" spans="1:14" x14ac:dyDescent="0.35">
      <c r="A3427" t="s">
        <v>7906</v>
      </c>
      <c r="B3427" t="s">
        <v>372</v>
      </c>
      <c r="C3427" t="s">
        <v>1883</v>
      </c>
      <c r="D3427" t="s">
        <v>4479</v>
      </c>
      <c r="E3427" t="s">
        <v>4473</v>
      </c>
      <c r="F3427" s="3">
        <v>45736</v>
      </c>
      <c r="G3427" s="3" t="s">
        <v>537</v>
      </c>
      <c r="I3427">
        <v>8</v>
      </c>
      <c r="J3427" t="s">
        <v>4448</v>
      </c>
      <c r="K3427" t="s">
        <v>4453</v>
      </c>
      <c r="L3427" t="s">
        <v>4512</v>
      </c>
      <c r="M3427" t="s">
        <v>4446</v>
      </c>
    </row>
    <row r="3428" spans="1:14" x14ac:dyDescent="0.35">
      <c r="A3428" t="s">
        <v>7907</v>
      </c>
      <c r="B3428" t="s">
        <v>243</v>
      </c>
      <c r="C3428" t="s">
        <v>1927</v>
      </c>
      <c r="D3428" t="s">
        <v>4482</v>
      </c>
      <c r="E3428" t="s">
        <v>4456</v>
      </c>
      <c r="F3428" s="3">
        <v>45092</v>
      </c>
      <c r="G3428" s="3">
        <v>45092</v>
      </c>
      <c r="H3428">
        <v>9.1999999999999993</v>
      </c>
      <c r="I3428">
        <v>4</v>
      </c>
      <c r="J3428" t="s">
        <v>4440</v>
      </c>
      <c r="K3428" t="s">
        <v>4441</v>
      </c>
      <c r="L3428" t="s">
        <v>4492</v>
      </c>
      <c r="M3428" t="s">
        <v>4446</v>
      </c>
      <c r="N3428">
        <v>5</v>
      </c>
    </row>
    <row r="3429" spans="1:14" x14ac:dyDescent="0.35">
      <c r="A3429" t="s">
        <v>7908</v>
      </c>
      <c r="B3429" t="s">
        <v>394</v>
      </c>
      <c r="C3429" t="s">
        <v>1883</v>
      </c>
      <c r="D3429" t="s">
        <v>4438</v>
      </c>
      <c r="E3429" t="s">
        <v>4439</v>
      </c>
      <c r="F3429" s="3">
        <v>45264</v>
      </c>
      <c r="G3429" s="3" t="s">
        <v>537</v>
      </c>
      <c r="I3429">
        <v>48</v>
      </c>
      <c r="J3429" t="s">
        <v>4448</v>
      </c>
      <c r="K3429" t="s">
        <v>4474</v>
      </c>
      <c r="L3429" t="s">
        <v>4458</v>
      </c>
      <c r="M3429" t="s">
        <v>4446</v>
      </c>
    </row>
    <row r="3430" spans="1:14" x14ac:dyDescent="0.35">
      <c r="A3430" t="s">
        <v>7909</v>
      </c>
      <c r="B3430" t="s">
        <v>207</v>
      </c>
      <c r="C3430" t="s">
        <v>1890</v>
      </c>
      <c r="D3430" t="s">
        <v>4443</v>
      </c>
      <c r="E3430" t="s">
        <v>4473</v>
      </c>
      <c r="F3430" s="3">
        <v>45445</v>
      </c>
      <c r="G3430" s="3" t="s">
        <v>537</v>
      </c>
      <c r="I3430">
        <v>8</v>
      </c>
      <c r="J3430" t="s">
        <v>4440</v>
      </c>
      <c r="K3430" t="s">
        <v>4457</v>
      </c>
      <c r="L3430" t="s">
        <v>4465</v>
      </c>
      <c r="M3430" t="s">
        <v>4450</v>
      </c>
    </row>
    <row r="3431" spans="1:14" x14ac:dyDescent="0.35">
      <c r="A3431" t="s">
        <v>7910</v>
      </c>
      <c r="B3431" t="s">
        <v>357</v>
      </c>
      <c r="C3431" t="s">
        <v>1883</v>
      </c>
      <c r="D3431" t="s">
        <v>4472</v>
      </c>
      <c r="E3431" t="s">
        <v>4444</v>
      </c>
      <c r="F3431" s="3">
        <v>45042</v>
      </c>
      <c r="G3431" s="3" t="s">
        <v>537</v>
      </c>
      <c r="I3431">
        <v>24</v>
      </c>
      <c r="J3431" t="s">
        <v>4448</v>
      </c>
      <c r="K3431" t="s">
        <v>4453</v>
      </c>
      <c r="L3431" t="s">
        <v>4467</v>
      </c>
      <c r="M3431" t="s">
        <v>4446</v>
      </c>
    </row>
    <row r="3432" spans="1:14" x14ac:dyDescent="0.35">
      <c r="A3432" t="s">
        <v>7911</v>
      </c>
      <c r="B3432" t="s">
        <v>483</v>
      </c>
      <c r="C3432" t="s">
        <v>1904</v>
      </c>
      <c r="D3432" t="s">
        <v>4479</v>
      </c>
      <c r="E3432" t="s">
        <v>4444</v>
      </c>
      <c r="F3432" s="3">
        <v>45518</v>
      </c>
      <c r="G3432" s="3">
        <v>45518</v>
      </c>
      <c r="H3432">
        <v>6.1</v>
      </c>
      <c r="I3432">
        <v>24</v>
      </c>
      <c r="J3432" t="s">
        <v>4448</v>
      </c>
      <c r="K3432" t="s">
        <v>4441</v>
      </c>
      <c r="L3432" t="s">
        <v>4454</v>
      </c>
      <c r="M3432" t="s">
        <v>1625</v>
      </c>
      <c r="N3432">
        <v>4</v>
      </c>
    </row>
    <row r="3433" spans="1:14" x14ac:dyDescent="0.35">
      <c r="A3433" t="s">
        <v>7912</v>
      </c>
      <c r="B3433" t="s">
        <v>238</v>
      </c>
      <c r="C3433" t="s">
        <v>1890</v>
      </c>
      <c r="D3433" t="s">
        <v>4452</v>
      </c>
      <c r="E3433" t="s">
        <v>4444</v>
      </c>
      <c r="F3433" s="3">
        <v>45698</v>
      </c>
      <c r="G3433" s="3">
        <v>45698</v>
      </c>
      <c r="H3433">
        <v>14.4</v>
      </c>
      <c r="I3433">
        <v>24</v>
      </c>
      <c r="J3433" t="s">
        <v>4448</v>
      </c>
      <c r="K3433" t="s">
        <v>4441</v>
      </c>
      <c r="L3433" t="s">
        <v>4533</v>
      </c>
      <c r="M3433" t="s">
        <v>4462</v>
      </c>
      <c r="N3433">
        <v>3</v>
      </c>
    </row>
    <row r="3434" spans="1:14" x14ac:dyDescent="0.35">
      <c r="A3434" t="s">
        <v>7913</v>
      </c>
      <c r="B3434" t="s">
        <v>301</v>
      </c>
      <c r="C3434" t="s">
        <v>1890</v>
      </c>
      <c r="D3434" t="s">
        <v>4490</v>
      </c>
      <c r="E3434" t="s">
        <v>4444</v>
      </c>
      <c r="F3434" s="3">
        <v>45416</v>
      </c>
      <c r="G3434" s="3" t="s">
        <v>537</v>
      </c>
      <c r="I3434">
        <v>24</v>
      </c>
      <c r="J3434" t="s">
        <v>4440</v>
      </c>
      <c r="K3434" t="s">
        <v>4457</v>
      </c>
      <c r="L3434" t="s">
        <v>4492</v>
      </c>
      <c r="M3434" t="s">
        <v>4446</v>
      </c>
    </row>
    <row r="3435" spans="1:14" x14ac:dyDescent="0.35">
      <c r="A3435" t="s">
        <v>7914</v>
      </c>
      <c r="B3435" t="s">
        <v>374</v>
      </c>
      <c r="C3435" t="s">
        <v>1899</v>
      </c>
      <c r="D3435" t="s">
        <v>4490</v>
      </c>
      <c r="E3435" t="s">
        <v>4444</v>
      </c>
      <c r="F3435" s="3">
        <v>45124</v>
      </c>
      <c r="G3435" s="3">
        <v>45124</v>
      </c>
      <c r="H3435">
        <v>14.2</v>
      </c>
      <c r="I3435">
        <v>24</v>
      </c>
      <c r="J3435" t="s">
        <v>4448</v>
      </c>
      <c r="K3435" t="s">
        <v>4441</v>
      </c>
      <c r="L3435" t="s">
        <v>4509</v>
      </c>
      <c r="M3435" t="s">
        <v>4462</v>
      </c>
      <c r="N3435">
        <v>4</v>
      </c>
    </row>
    <row r="3436" spans="1:14" x14ac:dyDescent="0.35">
      <c r="A3436" t="s">
        <v>7915</v>
      </c>
      <c r="B3436" t="s">
        <v>164</v>
      </c>
      <c r="C3436" t="s">
        <v>1899</v>
      </c>
      <c r="D3436" t="s">
        <v>4469</v>
      </c>
      <c r="E3436" t="s">
        <v>4456</v>
      </c>
      <c r="F3436" s="3">
        <v>45015</v>
      </c>
      <c r="G3436" s="3">
        <v>45015</v>
      </c>
      <c r="H3436">
        <v>3</v>
      </c>
      <c r="I3436">
        <v>4</v>
      </c>
      <c r="J3436" t="s">
        <v>4448</v>
      </c>
      <c r="K3436" t="s">
        <v>4441</v>
      </c>
      <c r="L3436" t="s">
        <v>4465</v>
      </c>
      <c r="M3436" t="s">
        <v>4462</v>
      </c>
      <c r="N3436">
        <v>5</v>
      </c>
    </row>
    <row r="3437" spans="1:14" x14ac:dyDescent="0.35">
      <c r="A3437" t="s">
        <v>7916</v>
      </c>
      <c r="B3437" t="s">
        <v>164</v>
      </c>
      <c r="C3437" t="s">
        <v>1904</v>
      </c>
      <c r="D3437" t="s">
        <v>4464</v>
      </c>
      <c r="E3437" t="s">
        <v>4444</v>
      </c>
      <c r="F3437" s="3">
        <v>45655</v>
      </c>
      <c r="G3437" s="3" t="s">
        <v>537</v>
      </c>
      <c r="I3437">
        <v>24</v>
      </c>
      <c r="J3437" t="s">
        <v>4440</v>
      </c>
      <c r="K3437" t="s">
        <v>4474</v>
      </c>
      <c r="L3437" t="s">
        <v>4527</v>
      </c>
      <c r="M3437" t="s">
        <v>4462</v>
      </c>
    </row>
    <row r="3438" spans="1:14" x14ac:dyDescent="0.35">
      <c r="A3438" t="s">
        <v>7917</v>
      </c>
      <c r="B3438" t="s">
        <v>480</v>
      </c>
      <c r="C3438" t="s">
        <v>1883</v>
      </c>
      <c r="D3438" t="s">
        <v>4469</v>
      </c>
      <c r="E3438" t="s">
        <v>4444</v>
      </c>
      <c r="F3438" s="3">
        <v>45656</v>
      </c>
      <c r="G3438" s="3">
        <v>45658</v>
      </c>
      <c r="H3438">
        <v>52.8</v>
      </c>
      <c r="I3438">
        <v>24</v>
      </c>
      <c r="J3438" t="s">
        <v>4440</v>
      </c>
      <c r="K3438" t="s">
        <v>4441</v>
      </c>
      <c r="L3438" t="s">
        <v>1907</v>
      </c>
      <c r="M3438" t="s">
        <v>4446</v>
      </c>
      <c r="N3438">
        <v>5</v>
      </c>
    </row>
    <row r="3439" spans="1:14" x14ac:dyDescent="0.35">
      <c r="A3439" t="s">
        <v>7918</v>
      </c>
      <c r="B3439" t="s">
        <v>413</v>
      </c>
      <c r="C3439" t="s">
        <v>1904</v>
      </c>
      <c r="D3439" t="s">
        <v>4460</v>
      </c>
      <c r="E3439" t="s">
        <v>4456</v>
      </c>
      <c r="F3439" s="3">
        <v>45032</v>
      </c>
      <c r="G3439" s="3" t="s">
        <v>537</v>
      </c>
      <c r="I3439">
        <v>4</v>
      </c>
      <c r="J3439" t="s">
        <v>4448</v>
      </c>
      <c r="K3439" t="s">
        <v>4453</v>
      </c>
      <c r="L3439" t="s">
        <v>4449</v>
      </c>
      <c r="M3439" t="s">
        <v>4450</v>
      </c>
    </row>
    <row r="3440" spans="1:14" x14ac:dyDescent="0.35">
      <c r="A3440" t="s">
        <v>7919</v>
      </c>
      <c r="B3440" t="s">
        <v>493</v>
      </c>
      <c r="C3440" t="s">
        <v>1883</v>
      </c>
      <c r="D3440" t="s">
        <v>4485</v>
      </c>
      <c r="E3440" t="s">
        <v>4439</v>
      </c>
      <c r="F3440" s="3">
        <v>45225</v>
      </c>
      <c r="G3440" s="3" t="s">
        <v>537</v>
      </c>
      <c r="I3440">
        <v>48</v>
      </c>
      <c r="J3440" t="s">
        <v>4448</v>
      </c>
      <c r="K3440" t="s">
        <v>4474</v>
      </c>
      <c r="L3440" t="s">
        <v>4445</v>
      </c>
      <c r="M3440" t="s">
        <v>4450</v>
      </c>
    </row>
    <row r="3441" spans="1:14" x14ac:dyDescent="0.35">
      <c r="A3441" t="s">
        <v>7920</v>
      </c>
      <c r="B3441" t="s">
        <v>337</v>
      </c>
      <c r="C3441" t="s">
        <v>1883</v>
      </c>
      <c r="D3441" t="s">
        <v>4476</v>
      </c>
      <c r="E3441" t="s">
        <v>4439</v>
      </c>
      <c r="F3441" s="3">
        <v>45263</v>
      </c>
      <c r="G3441" s="3" t="s">
        <v>537</v>
      </c>
      <c r="I3441">
        <v>48</v>
      </c>
      <c r="J3441" t="s">
        <v>4448</v>
      </c>
      <c r="K3441" t="s">
        <v>4457</v>
      </c>
      <c r="L3441" t="s">
        <v>4458</v>
      </c>
      <c r="M3441" t="s">
        <v>4446</v>
      </c>
    </row>
    <row r="3442" spans="1:14" x14ac:dyDescent="0.35">
      <c r="A3442" t="s">
        <v>7921</v>
      </c>
      <c r="B3442" t="s">
        <v>308</v>
      </c>
      <c r="C3442" t="s">
        <v>1904</v>
      </c>
      <c r="D3442" t="s">
        <v>4460</v>
      </c>
      <c r="E3442" t="s">
        <v>4444</v>
      </c>
      <c r="F3442" s="3">
        <v>45117</v>
      </c>
      <c r="G3442" s="3" t="s">
        <v>537</v>
      </c>
      <c r="I3442">
        <v>24</v>
      </c>
      <c r="J3442" t="s">
        <v>4440</v>
      </c>
      <c r="K3442" t="s">
        <v>4474</v>
      </c>
      <c r="L3442" t="s">
        <v>4533</v>
      </c>
      <c r="M3442" t="s">
        <v>4446</v>
      </c>
    </row>
    <row r="3443" spans="1:14" x14ac:dyDescent="0.35">
      <c r="A3443" t="s">
        <v>7922</v>
      </c>
      <c r="B3443" t="s">
        <v>238</v>
      </c>
      <c r="C3443" t="s">
        <v>1883</v>
      </c>
      <c r="D3443" t="s">
        <v>4438</v>
      </c>
      <c r="E3443" t="s">
        <v>4439</v>
      </c>
      <c r="F3443" s="3">
        <v>45429</v>
      </c>
      <c r="G3443" s="3">
        <v>45431</v>
      </c>
      <c r="H3443">
        <v>53.7</v>
      </c>
      <c r="I3443">
        <v>48</v>
      </c>
      <c r="J3443" t="s">
        <v>4440</v>
      </c>
      <c r="K3443" t="s">
        <v>4441</v>
      </c>
      <c r="L3443" t="s">
        <v>4458</v>
      </c>
      <c r="M3443" t="s">
        <v>1625</v>
      </c>
      <c r="N3443">
        <v>5</v>
      </c>
    </row>
    <row r="3444" spans="1:14" x14ac:dyDescent="0.35">
      <c r="A3444" t="s">
        <v>7923</v>
      </c>
      <c r="B3444" t="s">
        <v>258</v>
      </c>
      <c r="C3444" t="s">
        <v>1904</v>
      </c>
      <c r="D3444" t="s">
        <v>4438</v>
      </c>
      <c r="E3444" t="s">
        <v>4473</v>
      </c>
      <c r="F3444" s="3">
        <v>45549</v>
      </c>
      <c r="G3444" s="3">
        <v>45549</v>
      </c>
      <c r="H3444">
        <v>8</v>
      </c>
      <c r="I3444">
        <v>8</v>
      </c>
      <c r="J3444" t="s">
        <v>4448</v>
      </c>
      <c r="K3444" t="s">
        <v>4441</v>
      </c>
      <c r="L3444" t="s">
        <v>4454</v>
      </c>
      <c r="M3444" t="s">
        <v>4450</v>
      </c>
      <c r="N3444">
        <v>5</v>
      </c>
    </row>
    <row r="3445" spans="1:14" x14ac:dyDescent="0.35">
      <c r="A3445" t="s">
        <v>7924</v>
      </c>
      <c r="B3445" t="s">
        <v>410</v>
      </c>
      <c r="C3445" t="s">
        <v>1904</v>
      </c>
      <c r="D3445" t="s">
        <v>4443</v>
      </c>
      <c r="E3445" t="s">
        <v>4473</v>
      </c>
      <c r="F3445" s="3">
        <v>45333</v>
      </c>
      <c r="G3445" s="3" t="s">
        <v>537</v>
      </c>
      <c r="I3445">
        <v>8</v>
      </c>
      <c r="J3445" t="s">
        <v>4440</v>
      </c>
      <c r="K3445" t="s">
        <v>4474</v>
      </c>
      <c r="L3445" t="s">
        <v>4488</v>
      </c>
      <c r="M3445" t="s">
        <v>4446</v>
      </c>
    </row>
    <row r="3446" spans="1:14" x14ac:dyDescent="0.35">
      <c r="A3446" t="s">
        <v>7925</v>
      </c>
      <c r="B3446" t="s">
        <v>483</v>
      </c>
      <c r="C3446" t="s">
        <v>1899</v>
      </c>
      <c r="D3446" t="s">
        <v>4490</v>
      </c>
      <c r="E3446" t="s">
        <v>4444</v>
      </c>
      <c r="F3446" s="3">
        <v>45232</v>
      </c>
      <c r="G3446" s="3" t="s">
        <v>537</v>
      </c>
      <c r="I3446">
        <v>24</v>
      </c>
      <c r="J3446" t="s">
        <v>4440</v>
      </c>
      <c r="K3446" t="s">
        <v>4453</v>
      </c>
      <c r="L3446" t="s">
        <v>4461</v>
      </c>
      <c r="M3446" t="s">
        <v>1625</v>
      </c>
    </row>
    <row r="3447" spans="1:14" x14ac:dyDescent="0.35">
      <c r="A3447" t="s">
        <v>7926</v>
      </c>
      <c r="B3447" t="s">
        <v>472</v>
      </c>
      <c r="C3447" t="s">
        <v>1899</v>
      </c>
      <c r="D3447" t="s">
        <v>4476</v>
      </c>
      <c r="E3447" t="s">
        <v>4444</v>
      </c>
      <c r="F3447" s="3">
        <v>45457</v>
      </c>
      <c r="G3447" s="3">
        <v>45459</v>
      </c>
      <c r="H3447">
        <v>56.9</v>
      </c>
      <c r="I3447">
        <v>24</v>
      </c>
      <c r="J3447" t="s">
        <v>4440</v>
      </c>
      <c r="K3447" t="s">
        <v>4441</v>
      </c>
      <c r="L3447" t="s">
        <v>4492</v>
      </c>
      <c r="M3447" t="s">
        <v>4446</v>
      </c>
      <c r="N3447">
        <v>3</v>
      </c>
    </row>
    <row r="3448" spans="1:14" x14ac:dyDescent="0.35">
      <c r="A3448" t="s">
        <v>7927</v>
      </c>
      <c r="B3448" t="s">
        <v>446</v>
      </c>
      <c r="C3448" t="s">
        <v>1883</v>
      </c>
      <c r="D3448" t="s">
        <v>4452</v>
      </c>
      <c r="E3448" t="s">
        <v>4444</v>
      </c>
      <c r="F3448" s="3">
        <v>45719</v>
      </c>
      <c r="G3448" s="3">
        <v>45720</v>
      </c>
      <c r="H3448">
        <v>33.799999999999997</v>
      </c>
      <c r="I3448">
        <v>24</v>
      </c>
      <c r="J3448" t="s">
        <v>4440</v>
      </c>
      <c r="K3448" t="s">
        <v>4441</v>
      </c>
      <c r="L3448" t="s">
        <v>4514</v>
      </c>
      <c r="M3448" t="s">
        <v>4462</v>
      </c>
      <c r="N3448">
        <v>2</v>
      </c>
    </row>
    <row r="3449" spans="1:14" x14ac:dyDescent="0.35">
      <c r="A3449" t="s">
        <v>7928</v>
      </c>
      <c r="B3449" t="s">
        <v>216</v>
      </c>
      <c r="C3449" t="s">
        <v>1890</v>
      </c>
      <c r="D3449" t="s">
        <v>4464</v>
      </c>
      <c r="E3449" t="s">
        <v>79</v>
      </c>
      <c r="F3449" s="3">
        <v>45347</v>
      </c>
      <c r="G3449" s="3" t="s">
        <v>537</v>
      </c>
      <c r="I3449">
        <v>24</v>
      </c>
      <c r="J3449" t="s">
        <v>4448</v>
      </c>
      <c r="K3449" t="s">
        <v>4457</v>
      </c>
      <c r="L3449" t="s">
        <v>4509</v>
      </c>
      <c r="M3449" t="s">
        <v>4450</v>
      </c>
    </row>
    <row r="3450" spans="1:14" x14ac:dyDescent="0.35">
      <c r="A3450" t="s">
        <v>7929</v>
      </c>
      <c r="B3450" t="s">
        <v>431</v>
      </c>
      <c r="C3450" t="s">
        <v>1904</v>
      </c>
      <c r="D3450" t="s">
        <v>4464</v>
      </c>
      <c r="E3450" t="s">
        <v>4444</v>
      </c>
      <c r="F3450" s="3">
        <v>45053</v>
      </c>
      <c r="G3450" s="3">
        <v>45055</v>
      </c>
      <c r="H3450">
        <v>52.9</v>
      </c>
      <c r="I3450">
        <v>24</v>
      </c>
      <c r="J3450" t="s">
        <v>4440</v>
      </c>
      <c r="K3450" t="s">
        <v>4441</v>
      </c>
      <c r="L3450" t="s">
        <v>4454</v>
      </c>
      <c r="M3450" t="s">
        <v>1625</v>
      </c>
      <c r="N3450">
        <v>4</v>
      </c>
    </row>
    <row r="3451" spans="1:14" x14ac:dyDescent="0.35">
      <c r="A3451" t="s">
        <v>7930</v>
      </c>
      <c r="B3451" t="s">
        <v>92</v>
      </c>
      <c r="C3451" t="s">
        <v>1890</v>
      </c>
      <c r="D3451" t="s">
        <v>4485</v>
      </c>
      <c r="E3451" t="s">
        <v>4444</v>
      </c>
      <c r="F3451" s="3">
        <v>45333</v>
      </c>
      <c r="G3451" s="3">
        <v>45334</v>
      </c>
      <c r="H3451">
        <v>33.9</v>
      </c>
      <c r="I3451">
        <v>24</v>
      </c>
      <c r="J3451" t="s">
        <v>4440</v>
      </c>
      <c r="K3451" t="s">
        <v>4441</v>
      </c>
      <c r="L3451" t="s">
        <v>4454</v>
      </c>
      <c r="M3451" t="s">
        <v>4462</v>
      </c>
      <c r="N3451">
        <v>4</v>
      </c>
    </row>
    <row r="3452" spans="1:14" x14ac:dyDescent="0.35">
      <c r="A3452" t="s">
        <v>7931</v>
      </c>
      <c r="B3452" t="s">
        <v>380</v>
      </c>
      <c r="C3452" t="s">
        <v>1890</v>
      </c>
      <c r="D3452" t="s">
        <v>4485</v>
      </c>
      <c r="E3452" t="s">
        <v>4456</v>
      </c>
      <c r="F3452" s="3">
        <v>45388</v>
      </c>
      <c r="G3452" s="3">
        <v>45388</v>
      </c>
      <c r="H3452">
        <v>7.5</v>
      </c>
      <c r="I3452">
        <v>4</v>
      </c>
      <c r="J3452" t="s">
        <v>4440</v>
      </c>
      <c r="K3452" t="s">
        <v>4441</v>
      </c>
      <c r="L3452" t="s">
        <v>4454</v>
      </c>
      <c r="M3452" t="s">
        <v>1625</v>
      </c>
      <c r="N3452">
        <v>4</v>
      </c>
    </row>
    <row r="3453" spans="1:14" x14ac:dyDescent="0.35">
      <c r="A3453" t="s">
        <v>7932</v>
      </c>
      <c r="B3453" t="s">
        <v>243</v>
      </c>
      <c r="C3453" t="s">
        <v>1899</v>
      </c>
      <c r="D3453" t="s">
        <v>4476</v>
      </c>
      <c r="E3453" t="s">
        <v>4473</v>
      </c>
      <c r="F3453" s="3">
        <v>45325</v>
      </c>
      <c r="G3453" s="3">
        <v>45325</v>
      </c>
      <c r="H3453">
        <v>1.7</v>
      </c>
      <c r="I3453">
        <v>8</v>
      </c>
      <c r="J3453" t="s">
        <v>4448</v>
      </c>
      <c r="K3453" t="s">
        <v>4441</v>
      </c>
      <c r="L3453" t="s">
        <v>4533</v>
      </c>
      <c r="M3453" t="s">
        <v>1625</v>
      </c>
      <c r="N3453">
        <v>4</v>
      </c>
    </row>
    <row r="3454" spans="1:14" x14ac:dyDescent="0.35">
      <c r="A3454" t="s">
        <v>7933</v>
      </c>
      <c r="B3454" t="s">
        <v>18</v>
      </c>
      <c r="C3454" t="s">
        <v>1904</v>
      </c>
      <c r="D3454" t="s">
        <v>4438</v>
      </c>
      <c r="E3454" t="s">
        <v>4444</v>
      </c>
      <c r="F3454" s="3">
        <v>45250</v>
      </c>
      <c r="G3454" s="3">
        <v>45250</v>
      </c>
      <c r="H3454">
        <v>7.5</v>
      </c>
      <c r="I3454">
        <v>24</v>
      </c>
      <c r="J3454" t="s">
        <v>4448</v>
      </c>
      <c r="K3454" t="s">
        <v>4441</v>
      </c>
      <c r="L3454" t="s">
        <v>4488</v>
      </c>
      <c r="M3454" t="s">
        <v>1625</v>
      </c>
      <c r="N3454">
        <v>5</v>
      </c>
    </row>
    <row r="3455" spans="1:14" x14ac:dyDescent="0.35">
      <c r="A3455" t="s">
        <v>7934</v>
      </c>
      <c r="B3455" t="s">
        <v>484</v>
      </c>
      <c r="C3455" t="s">
        <v>1904</v>
      </c>
      <c r="D3455" t="s">
        <v>4472</v>
      </c>
      <c r="E3455" t="s">
        <v>4444</v>
      </c>
      <c r="F3455" s="3">
        <v>45033</v>
      </c>
      <c r="G3455" s="3">
        <v>45033</v>
      </c>
      <c r="H3455">
        <v>15.3</v>
      </c>
      <c r="I3455">
        <v>24</v>
      </c>
      <c r="J3455" t="s">
        <v>4448</v>
      </c>
      <c r="K3455" t="s">
        <v>4441</v>
      </c>
      <c r="L3455" t="s">
        <v>4458</v>
      </c>
      <c r="M3455" t="s">
        <v>4446</v>
      </c>
      <c r="N3455">
        <v>1</v>
      </c>
    </row>
    <row r="3456" spans="1:14" x14ac:dyDescent="0.35">
      <c r="A3456" t="s">
        <v>7935</v>
      </c>
      <c r="B3456" t="s">
        <v>402</v>
      </c>
      <c r="C3456" t="s">
        <v>1927</v>
      </c>
      <c r="D3456" t="s">
        <v>4452</v>
      </c>
      <c r="E3456" t="s">
        <v>4473</v>
      </c>
      <c r="F3456" s="3">
        <v>45519</v>
      </c>
      <c r="G3456" s="3">
        <v>45519</v>
      </c>
      <c r="H3456">
        <v>13.9</v>
      </c>
      <c r="I3456">
        <v>8</v>
      </c>
      <c r="J3456" t="s">
        <v>4440</v>
      </c>
      <c r="K3456" t="s">
        <v>4441</v>
      </c>
      <c r="L3456" t="s">
        <v>4533</v>
      </c>
      <c r="M3456" t="s">
        <v>1625</v>
      </c>
    </row>
    <row r="3457" spans="1:14" x14ac:dyDescent="0.35">
      <c r="A3457" t="s">
        <v>7936</v>
      </c>
      <c r="B3457" t="s">
        <v>444</v>
      </c>
      <c r="C3457" t="s">
        <v>1883</v>
      </c>
      <c r="D3457" t="s">
        <v>4469</v>
      </c>
      <c r="E3457" t="s">
        <v>4439</v>
      </c>
      <c r="F3457" s="3">
        <v>45388</v>
      </c>
      <c r="G3457" s="3">
        <v>45392</v>
      </c>
      <c r="H3457">
        <v>99.8</v>
      </c>
      <c r="I3457">
        <v>48</v>
      </c>
      <c r="J3457" t="s">
        <v>4440</v>
      </c>
      <c r="K3457" t="s">
        <v>4441</v>
      </c>
      <c r="L3457" t="s">
        <v>4449</v>
      </c>
      <c r="M3457" t="s">
        <v>4462</v>
      </c>
      <c r="N3457">
        <v>2</v>
      </c>
    </row>
    <row r="3458" spans="1:14" x14ac:dyDescent="0.35">
      <c r="A3458" t="s">
        <v>7937</v>
      </c>
      <c r="B3458" t="s">
        <v>462</v>
      </c>
      <c r="C3458" t="s">
        <v>1890</v>
      </c>
      <c r="D3458" t="s">
        <v>4482</v>
      </c>
      <c r="E3458" t="s">
        <v>4439</v>
      </c>
      <c r="F3458" s="3">
        <v>44998</v>
      </c>
      <c r="G3458" s="3">
        <v>45001</v>
      </c>
      <c r="H3458">
        <v>87.6</v>
      </c>
      <c r="I3458">
        <v>48</v>
      </c>
      <c r="J3458" t="s">
        <v>4440</v>
      </c>
      <c r="K3458" t="s">
        <v>4441</v>
      </c>
      <c r="L3458" t="s">
        <v>4467</v>
      </c>
      <c r="M3458" t="s">
        <v>1625</v>
      </c>
      <c r="N3458">
        <v>4</v>
      </c>
    </row>
    <row r="3459" spans="1:14" x14ac:dyDescent="0.35">
      <c r="A3459" t="s">
        <v>7938</v>
      </c>
      <c r="B3459" t="s">
        <v>133</v>
      </c>
      <c r="C3459" t="s">
        <v>1927</v>
      </c>
      <c r="D3459" t="s">
        <v>4464</v>
      </c>
      <c r="E3459" t="s">
        <v>4439</v>
      </c>
      <c r="F3459" s="3">
        <v>45108</v>
      </c>
      <c r="G3459" s="3">
        <v>45109</v>
      </c>
      <c r="H3459">
        <v>43</v>
      </c>
      <c r="I3459">
        <v>48</v>
      </c>
      <c r="J3459" t="s">
        <v>4448</v>
      </c>
      <c r="K3459" t="s">
        <v>4441</v>
      </c>
      <c r="L3459" t="s">
        <v>4533</v>
      </c>
      <c r="M3459" t="s">
        <v>1625</v>
      </c>
      <c r="N3459">
        <v>4</v>
      </c>
    </row>
    <row r="3460" spans="1:14" x14ac:dyDescent="0.35">
      <c r="A3460" t="s">
        <v>7939</v>
      </c>
      <c r="B3460" t="s">
        <v>160</v>
      </c>
      <c r="C3460" t="s">
        <v>1899</v>
      </c>
      <c r="D3460" t="s">
        <v>4469</v>
      </c>
      <c r="E3460" t="s">
        <v>4444</v>
      </c>
      <c r="F3460" s="3">
        <v>45402</v>
      </c>
      <c r="G3460" s="3" t="s">
        <v>537</v>
      </c>
      <c r="I3460">
        <v>24</v>
      </c>
      <c r="J3460" t="s">
        <v>4440</v>
      </c>
      <c r="K3460" t="s">
        <v>4457</v>
      </c>
      <c r="L3460" t="s">
        <v>4467</v>
      </c>
      <c r="M3460" t="s">
        <v>4450</v>
      </c>
    </row>
    <row r="3461" spans="1:14" x14ac:dyDescent="0.35">
      <c r="A3461" t="s">
        <v>7940</v>
      </c>
      <c r="B3461" t="s">
        <v>376</v>
      </c>
      <c r="C3461" t="s">
        <v>1904</v>
      </c>
      <c r="D3461" t="s">
        <v>4479</v>
      </c>
      <c r="E3461" t="s">
        <v>4473</v>
      </c>
      <c r="F3461" s="3">
        <v>45533</v>
      </c>
      <c r="G3461" s="3" t="s">
        <v>537</v>
      </c>
      <c r="I3461">
        <v>8</v>
      </c>
      <c r="J3461" t="s">
        <v>4448</v>
      </c>
      <c r="K3461" t="s">
        <v>4457</v>
      </c>
      <c r="L3461" t="s">
        <v>4449</v>
      </c>
      <c r="M3461" t="s">
        <v>4450</v>
      </c>
    </row>
    <row r="3462" spans="1:14" x14ac:dyDescent="0.35">
      <c r="A3462" t="s">
        <v>7941</v>
      </c>
      <c r="B3462" t="s">
        <v>470</v>
      </c>
      <c r="C3462" t="s">
        <v>1904</v>
      </c>
      <c r="D3462" t="s">
        <v>4479</v>
      </c>
      <c r="E3462" t="s">
        <v>4444</v>
      </c>
      <c r="F3462" s="3">
        <v>45537</v>
      </c>
      <c r="G3462" s="3">
        <v>45537</v>
      </c>
      <c r="H3462">
        <v>3.6</v>
      </c>
      <c r="I3462">
        <v>24</v>
      </c>
      <c r="J3462" t="s">
        <v>4448</v>
      </c>
      <c r="K3462" t="s">
        <v>4441</v>
      </c>
      <c r="L3462" t="s">
        <v>4449</v>
      </c>
      <c r="M3462" t="s">
        <v>1625</v>
      </c>
      <c r="N3462">
        <v>4</v>
      </c>
    </row>
    <row r="3463" spans="1:14" x14ac:dyDescent="0.35">
      <c r="A3463" t="s">
        <v>7942</v>
      </c>
      <c r="B3463" t="s">
        <v>280</v>
      </c>
      <c r="C3463" t="s">
        <v>1904</v>
      </c>
      <c r="D3463" t="s">
        <v>4482</v>
      </c>
      <c r="E3463" t="s">
        <v>4473</v>
      </c>
      <c r="F3463" s="3">
        <v>45420</v>
      </c>
      <c r="G3463" s="3">
        <v>45420</v>
      </c>
      <c r="H3463">
        <v>9.1999999999999993</v>
      </c>
      <c r="I3463">
        <v>8</v>
      </c>
      <c r="J3463" t="s">
        <v>4440</v>
      </c>
      <c r="K3463" t="s">
        <v>4441</v>
      </c>
      <c r="L3463" t="s">
        <v>4509</v>
      </c>
      <c r="M3463" t="s">
        <v>4450</v>
      </c>
      <c r="N3463">
        <v>3</v>
      </c>
    </row>
    <row r="3464" spans="1:14" x14ac:dyDescent="0.35">
      <c r="A3464" t="s">
        <v>7943</v>
      </c>
      <c r="B3464" t="s">
        <v>106</v>
      </c>
      <c r="C3464" t="s">
        <v>1927</v>
      </c>
      <c r="D3464" t="s">
        <v>4476</v>
      </c>
      <c r="E3464" t="s">
        <v>4473</v>
      </c>
      <c r="F3464" s="3">
        <v>45420</v>
      </c>
      <c r="G3464" s="3" t="s">
        <v>537</v>
      </c>
      <c r="I3464">
        <v>8</v>
      </c>
      <c r="J3464" t="s">
        <v>4448</v>
      </c>
      <c r="K3464" t="s">
        <v>4474</v>
      </c>
      <c r="L3464" t="s">
        <v>4449</v>
      </c>
      <c r="M3464" t="s">
        <v>4462</v>
      </c>
    </row>
    <row r="3465" spans="1:14" x14ac:dyDescent="0.35">
      <c r="A3465" t="s">
        <v>7944</v>
      </c>
      <c r="B3465" t="s">
        <v>52</v>
      </c>
      <c r="C3465" t="s">
        <v>1899</v>
      </c>
      <c r="D3465" t="s">
        <v>4476</v>
      </c>
      <c r="E3465" t="s">
        <v>4439</v>
      </c>
      <c r="F3465" s="3">
        <v>45664</v>
      </c>
      <c r="G3465" s="3" t="s">
        <v>537</v>
      </c>
      <c r="I3465">
        <v>48</v>
      </c>
      <c r="J3465" t="s">
        <v>4448</v>
      </c>
      <c r="K3465" t="s">
        <v>4474</v>
      </c>
      <c r="L3465" t="s">
        <v>4458</v>
      </c>
      <c r="M3465" t="s">
        <v>4462</v>
      </c>
    </row>
    <row r="3466" spans="1:14" x14ac:dyDescent="0.35">
      <c r="A3466" t="s">
        <v>7945</v>
      </c>
      <c r="B3466" t="s">
        <v>444</v>
      </c>
      <c r="C3466" t="s">
        <v>1927</v>
      </c>
      <c r="D3466" t="s">
        <v>4469</v>
      </c>
      <c r="E3466" t="s">
        <v>4439</v>
      </c>
      <c r="F3466" s="3">
        <v>45099</v>
      </c>
      <c r="G3466" s="3">
        <v>45102</v>
      </c>
      <c r="H3466">
        <v>94.4</v>
      </c>
      <c r="I3466">
        <v>48</v>
      </c>
      <c r="J3466" t="s">
        <v>4440</v>
      </c>
      <c r="K3466" t="s">
        <v>4441</v>
      </c>
      <c r="L3466" t="s">
        <v>1907</v>
      </c>
      <c r="M3466" t="s">
        <v>4450</v>
      </c>
      <c r="N3466">
        <v>5</v>
      </c>
    </row>
    <row r="3467" spans="1:14" x14ac:dyDescent="0.35">
      <c r="A3467" t="s">
        <v>7946</v>
      </c>
      <c r="B3467" t="s">
        <v>382</v>
      </c>
      <c r="C3467" t="s">
        <v>1883</v>
      </c>
      <c r="D3467" t="s">
        <v>4485</v>
      </c>
      <c r="E3467" t="s">
        <v>4444</v>
      </c>
      <c r="F3467" s="3">
        <v>45562</v>
      </c>
      <c r="G3467" s="3">
        <v>45564</v>
      </c>
      <c r="H3467">
        <v>52</v>
      </c>
      <c r="I3467">
        <v>24</v>
      </c>
      <c r="J3467" t="s">
        <v>4440</v>
      </c>
      <c r="K3467" t="s">
        <v>4441</v>
      </c>
      <c r="L3467" t="s">
        <v>4580</v>
      </c>
      <c r="M3467" t="s">
        <v>1625</v>
      </c>
    </row>
    <row r="3468" spans="1:14" x14ac:dyDescent="0.35">
      <c r="A3468" t="s">
        <v>7947</v>
      </c>
      <c r="B3468" t="s">
        <v>370</v>
      </c>
      <c r="C3468" t="s">
        <v>1904</v>
      </c>
      <c r="D3468" t="s">
        <v>4438</v>
      </c>
      <c r="E3468" t="s">
        <v>4444</v>
      </c>
      <c r="F3468" s="3">
        <v>44996</v>
      </c>
      <c r="G3468" s="3" t="s">
        <v>537</v>
      </c>
      <c r="I3468">
        <v>24</v>
      </c>
      <c r="J3468" t="s">
        <v>4448</v>
      </c>
      <c r="K3468" t="s">
        <v>4474</v>
      </c>
      <c r="L3468" t="s">
        <v>4458</v>
      </c>
      <c r="M3468" t="s">
        <v>1625</v>
      </c>
    </row>
    <row r="3469" spans="1:14" x14ac:dyDescent="0.35">
      <c r="A3469" t="s">
        <v>7948</v>
      </c>
      <c r="B3469" t="s">
        <v>235</v>
      </c>
      <c r="C3469" t="s">
        <v>1899</v>
      </c>
      <c r="D3469" t="s">
        <v>4443</v>
      </c>
      <c r="E3469" t="s">
        <v>4473</v>
      </c>
      <c r="F3469" s="3">
        <v>45720</v>
      </c>
      <c r="G3469" s="3" t="s">
        <v>537</v>
      </c>
      <c r="I3469">
        <v>8</v>
      </c>
      <c r="J3469" t="s">
        <v>4448</v>
      </c>
      <c r="K3469" t="s">
        <v>4457</v>
      </c>
      <c r="L3469" t="s">
        <v>4449</v>
      </c>
      <c r="M3469" t="s">
        <v>4450</v>
      </c>
    </row>
    <row r="3470" spans="1:14" x14ac:dyDescent="0.35">
      <c r="A3470" t="s">
        <v>7949</v>
      </c>
      <c r="B3470" t="s">
        <v>495</v>
      </c>
      <c r="C3470" t="s">
        <v>1890</v>
      </c>
      <c r="D3470" t="s">
        <v>4464</v>
      </c>
      <c r="E3470" t="s">
        <v>4473</v>
      </c>
      <c r="F3470" s="3">
        <v>45352</v>
      </c>
      <c r="G3470" s="3">
        <v>45352</v>
      </c>
      <c r="H3470">
        <v>1.1000000000000001</v>
      </c>
      <c r="I3470">
        <v>8</v>
      </c>
      <c r="J3470" t="s">
        <v>4448</v>
      </c>
      <c r="K3470" t="s">
        <v>4441</v>
      </c>
      <c r="L3470" t="s">
        <v>4514</v>
      </c>
      <c r="M3470" t="s">
        <v>1625</v>
      </c>
    </row>
    <row r="3471" spans="1:14" x14ac:dyDescent="0.35">
      <c r="A3471" t="s">
        <v>7950</v>
      </c>
      <c r="B3471" t="s">
        <v>285</v>
      </c>
      <c r="C3471" t="s">
        <v>1899</v>
      </c>
      <c r="D3471" t="s">
        <v>4464</v>
      </c>
      <c r="E3471" t="s">
        <v>4444</v>
      </c>
      <c r="F3471" s="3">
        <v>45735</v>
      </c>
      <c r="G3471" s="3">
        <v>45735</v>
      </c>
      <c r="H3471">
        <v>9.6999999999999993</v>
      </c>
      <c r="I3471">
        <v>24</v>
      </c>
      <c r="J3471" t="s">
        <v>4448</v>
      </c>
      <c r="K3471" t="s">
        <v>4441</v>
      </c>
      <c r="L3471" t="s">
        <v>4527</v>
      </c>
      <c r="M3471" t="s">
        <v>4462</v>
      </c>
      <c r="N3471">
        <v>5</v>
      </c>
    </row>
    <row r="3472" spans="1:14" x14ac:dyDescent="0.35">
      <c r="A3472" t="s">
        <v>7951</v>
      </c>
      <c r="B3472" t="s">
        <v>94</v>
      </c>
      <c r="C3472" t="s">
        <v>1927</v>
      </c>
      <c r="D3472" t="s">
        <v>4469</v>
      </c>
      <c r="E3472" t="s">
        <v>4439</v>
      </c>
      <c r="F3472" s="3">
        <v>45736</v>
      </c>
      <c r="G3472" s="3">
        <v>45738</v>
      </c>
      <c r="H3472">
        <v>66.8</v>
      </c>
      <c r="I3472">
        <v>48</v>
      </c>
      <c r="J3472" t="s">
        <v>4440</v>
      </c>
      <c r="K3472" t="s">
        <v>4441</v>
      </c>
      <c r="L3472" t="s">
        <v>4449</v>
      </c>
      <c r="M3472" t="s">
        <v>4462</v>
      </c>
      <c r="N3472">
        <v>3</v>
      </c>
    </row>
    <row r="3473" spans="1:14" x14ac:dyDescent="0.35">
      <c r="A3473" t="s">
        <v>7952</v>
      </c>
      <c r="B3473" t="s">
        <v>27</v>
      </c>
      <c r="C3473" t="s">
        <v>1915</v>
      </c>
      <c r="D3473" t="s">
        <v>4460</v>
      </c>
      <c r="E3473" t="s">
        <v>4439</v>
      </c>
      <c r="F3473" s="3">
        <v>45326</v>
      </c>
      <c r="G3473" s="3" t="s">
        <v>537</v>
      </c>
      <c r="I3473">
        <v>48</v>
      </c>
      <c r="J3473" t="s">
        <v>4448</v>
      </c>
      <c r="K3473" t="s">
        <v>4474</v>
      </c>
      <c r="L3473" t="s">
        <v>4467</v>
      </c>
      <c r="M3473" t="s">
        <v>4446</v>
      </c>
    </row>
    <row r="3474" spans="1:14" x14ac:dyDescent="0.35">
      <c r="A3474" t="s">
        <v>7953</v>
      </c>
      <c r="B3474" t="s">
        <v>382</v>
      </c>
      <c r="C3474" t="s">
        <v>1883</v>
      </c>
      <c r="D3474" t="s">
        <v>4469</v>
      </c>
      <c r="E3474" t="s">
        <v>4473</v>
      </c>
      <c r="F3474" s="3">
        <v>45188</v>
      </c>
      <c r="G3474" s="3" t="s">
        <v>537</v>
      </c>
      <c r="I3474">
        <v>8</v>
      </c>
      <c r="J3474" t="s">
        <v>4440</v>
      </c>
      <c r="K3474" t="s">
        <v>4457</v>
      </c>
      <c r="L3474" t="s">
        <v>4470</v>
      </c>
      <c r="M3474" t="s">
        <v>4450</v>
      </c>
    </row>
    <row r="3475" spans="1:14" x14ac:dyDescent="0.35">
      <c r="A3475" t="s">
        <v>7954</v>
      </c>
      <c r="B3475" t="s">
        <v>214</v>
      </c>
      <c r="C3475" t="s">
        <v>1915</v>
      </c>
      <c r="D3475" t="s">
        <v>4485</v>
      </c>
      <c r="E3475" t="s">
        <v>4473</v>
      </c>
      <c r="F3475" s="3">
        <v>45517</v>
      </c>
      <c r="G3475" s="3" t="s">
        <v>537</v>
      </c>
      <c r="I3475">
        <v>8</v>
      </c>
      <c r="J3475" t="s">
        <v>4440</v>
      </c>
      <c r="K3475" t="s">
        <v>4474</v>
      </c>
      <c r="L3475" t="s">
        <v>4492</v>
      </c>
      <c r="M3475" t="s">
        <v>4450</v>
      </c>
    </row>
    <row r="3476" spans="1:14" x14ac:dyDescent="0.35">
      <c r="A3476" t="s">
        <v>7955</v>
      </c>
      <c r="B3476" t="s">
        <v>146</v>
      </c>
      <c r="C3476" t="s">
        <v>1927</v>
      </c>
      <c r="D3476" t="s">
        <v>4452</v>
      </c>
      <c r="E3476" t="s">
        <v>4439</v>
      </c>
      <c r="F3476" s="3">
        <v>45695</v>
      </c>
      <c r="G3476" s="3" t="s">
        <v>537</v>
      </c>
      <c r="I3476">
        <v>48</v>
      </c>
      <c r="J3476" t="s">
        <v>4448</v>
      </c>
      <c r="K3476" t="s">
        <v>4474</v>
      </c>
      <c r="L3476" t="s">
        <v>4467</v>
      </c>
      <c r="M3476" t="s">
        <v>4450</v>
      </c>
    </row>
    <row r="3477" spans="1:14" x14ac:dyDescent="0.35">
      <c r="A3477" t="s">
        <v>7956</v>
      </c>
      <c r="B3477" t="s">
        <v>173</v>
      </c>
      <c r="C3477" t="s">
        <v>1915</v>
      </c>
      <c r="D3477" t="s">
        <v>8511</v>
      </c>
      <c r="E3477" t="s">
        <v>4473</v>
      </c>
      <c r="F3477" s="3">
        <v>45202</v>
      </c>
      <c r="G3477" s="3" t="s">
        <v>537</v>
      </c>
      <c r="I3477">
        <v>8</v>
      </c>
      <c r="J3477" t="s">
        <v>4440</v>
      </c>
      <c r="K3477" t="s">
        <v>4457</v>
      </c>
      <c r="L3477" t="s">
        <v>4480</v>
      </c>
      <c r="M3477" t="s">
        <v>4446</v>
      </c>
    </row>
    <row r="3478" spans="1:14" x14ac:dyDescent="0.35">
      <c r="A3478" t="s">
        <v>7957</v>
      </c>
      <c r="B3478" t="s">
        <v>140</v>
      </c>
      <c r="C3478" t="s">
        <v>1890</v>
      </c>
      <c r="D3478" t="s">
        <v>4460</v>
      </c>
      <c r="E3478" t="s">
        <v>4439</v>
      </c>
      <c r="F3478" s="3">
        <v>45534</v>
      </c>
      <c r="G3478" s="3">
        <v>45538</v>
      </c>
      <c r="H3478">
        <v>99.6</v>
      </c>
      <c r="I3478">
        <v>48</v>
      </c>
      <c r="J3478" t="s">
        <v>4440</v>
      </c>
      <c r="K3478" t="s">
        <v>4441</v>
      </c>
      <c r="L3478" t="s">
        <v>4470</v>
      </c>
      <c r="M3478" t="s">
        <v>4446</v>
      </c>
    </row>
    <row r="3479" spans="1:14" x14ac:dyDescent="0.35">
      <c r="A3479" t="s">
        <v>7958</v>
      </c>
      <c r="B3479" t="s">
        <v>419</v>
      </c>
      <c r="C3479" t="s">
        <v>1927</v>
      </c>
      <c r="D3479" t="s">
        <v>4476</v>
      </c>
      <c r="E3479" t="s">
        <v>4444</v>
      </c>
      <c r="F3479" s="3">
        <v>45022</v>
      </c>
      <c r="G3479" s="3" t="s">
        <v>537</v>
      </c>
      <c r="I3479">
        <v>24</v>
      </c>
      <c r="J3479" t="s">
        <v>4440</v>
      </c>
      <c r="K3479" t="s">
        <v>4474</v>
      </c>
      <c r="L3479" t="s">
        <v>4527</v>
      </c>
      <c r="M3479" t="s">
        <v>4446</v>
      </c>
    </row>
    <row r="3480" spans="1:14" x14ac:dyDescent="0.35">
      <c r="A3480" t="s">
        <v>7959</v>
      </c>
      <c r="B3480" t="s">
        <v>349</v>
      </c>
      <c r="C3480" t="s">
        <v>1883</v>
      </c>
      <c r="D3480" t="s">
        <v>4460</v>
      </c>
      <c r="E3480" t="s">
        <v>4439</v>
      </c>
      <c r="F3480" s="3">
        <v>45435</v>
      </c>
      <c r="G3480" s="3">
        <v>45435</v>
      </c>
      <c r="H3480">
        <v>7.7</v>
      </c>
      <c r="I3480">
        <v>48</v>
      </c>
      <c r="J3480" t="s">
        <v>1945</v>
      </c>
      <c r="K3480" t="s">
        <v>4441</v>
      </c>
      <c r="L3480" t="s">
        <v>4467</v>
      </c>
      <c r="M3480" t="s">
        <v>4446</v>
      </c>
      <c r="N3480">
        <v>5</v>
      </c>
    </row>
    <row r="3481" spans="1:14" x14ac:dyDescent="0.35">
      <c r="A3481" t="s">
        <v>7960</v>
      </c>
      <c r="B3481" t="s">
        <v>458</v>
      </c>
      <c r="C3481" t="s">
        <v>1915</v>
      </c>
      <c r="D3481" t="s">
        <v>4479</v>
      </c>
      <c r="E3481" t="s">
        <v>4473</v>
      </c>
      <c r="F3481" s="3">
        <v>45328</v>
      </c>
      <c r="G3481" s="3">
        <v>45328</v>
      </c>
      <c r="H3481">
        <v>3.2</v>
      </c>
      <c r="I3481">
        <v>8</v>
      </c>
      <c r="J3481" t="s">
        <v>4448</v>
      </c>
      <c r="K3481" t="s">
        <v>4441</v>
      </c>
      <c r="L3481" t="s">
        <v>1907</v>
      </c>
      <c r="M3481" t="s">
        <v>4446</v>
      </c>
      <c r="N3481">
        <v>4</v>
      </c>
    </row>
    <row r="3482" spans="1:14" x14ac:dyDescent="0.35">
      <c r="A3482" t="s">
        <v>7961</v>
      </c>
      <c r="B3482" t="s">
        <v>446</v>
      </c>
      <c r="C3482" t="s">
        <v>1890</v>
      </c>
      <c r="D3482" t="s">
        <v>4469</v>
      </c>
      <c r="E3482" t="s">
        <v>4439</v>
      </c>
      <c r="F3482" s="3">
        <v>44992</v>
      </c>
      <c r="G3482" s="3">
        <v>44992</v>
      </c>
      <c r="H3482">
        <v>1.6</v>
      </c>
      <c r="I3482">
        <v>48</v>
      </c>
      <c r="J3482" t="s">
        <v>4448</v>
      </c>
      <c r="K3482" t="s">
        <v>4441</v>
      </c>
      <c r="L3482" t="s">
        <v>4509</v>
      </c>
      <c r="M3482" t="s">
        <v>4462</v>
      </c>
      <c r="N3482">
        <v>4</v>
      </c>
    </row>
    <row r="3483" spans="1:14" x14ac:dyDescent="0.35">
      <c r="A3483" t="s">
        <v>7962</v>
      </c>
      <c r="B3483" t="s">
        <v>376</v>
      </c>
      <c r="C3483" t="s">
        <v>1883</v>
      </c>
      <c r="D3483" t="s">
        <v>4490</v>
      </c>
      <c r="E3483" t="s">
        <v>4473</v>
      </c>
      <c r="F3483" s="3">
        <v>45249</v>
      </c>
      <c r="G3483" s="3" t="s">
        <v>537</v>
      </c>
      <c r="I3483">
        <v>8</v>
      </c>
      <c r="J3483" t="s">
        <v>4440</v>
      </c>
      <c r="K3483" t="s">
        <v>4474</v>
      </c>
      <c r="L3483" t="s">
        <v>4449</v>
      </c>
      <c r="M3483" t="s">
        <v>4462</v>
      </c>
    </row>
    <row r="3484" spans="1:14" x14ac:dyDescent="0.35">
      <c r="A3484" t="s">
        <v>7963</v>
      </c>
      <c r="B3484" t="s">
        <v>493</v>
      </c>
      <c r="C3484" t="s">
        <v>1927</v>
      </c>
      <c r="D3484" t="s">
        <v>4460</v>
      </c>
      <c r="E3484" t="s">
        <v>4456</v>
      </c>
      <c r="F3484" s="3">
        <v>45654</v>
      </c>
      <c r="G3484" s="3" t="s">
        <v>537</v>
      </c>
      <c r="I3484">
        <v>4</v>
      </c>
      <c r="J3484" t="s">
        <v>4448</v>
      </c>
      <c r="K3484" t="s">
        <v>4474</v>
      </c>
      <c r="L3484" t="s">
        <v>4458</v>
      </c>
      <c r="M3484" t="s">
        <v>4450</v>
      </c>
    </row>
    <row r="3485" spans="1:14" x14ac:dyDescent="0.35">
      <c r="A3485" t="s">
        <v>7964</v>
      </c>
      <c r="B3485" t="s">
        <v>182</v>
      </c>
      <c r="C3485" t="s">
        <v>1904</v>
      </c>
      <c r="D3485" t="s">
        <v>8515</v>
      </c>
      <c r="E3485" t="s">
        <v>4444</v>
      </c>
      <c r="F3485" s="3">
        <v>45289</v>
      </c>
      <c r="G3485" s="3">
        <v>45289</v>
      </c>
      <c r="H3485">
        <v>5.2</v>
      </c>
      <c r="I3485">
        <v>24</v>
      </c>
      <c r="J3485" t="s">
        <v>4448</v>
      </c>
      <c r="K3485" t="s">
        <v>4441</v>
      </c>
      <c r="L3485" t="s">
        <v>4470</v>
      </c>
      <c r="M3485" t="s">
        <v>4450</v>
      </c>
      <c r="N3485">
        <v>5</v>
      </c>
    </row>
    <row r="3486" spans="1:14" x14ac:dyDescent="0.35">
      <c r="A3486" t="s">
        <v>7965</v>
      </c>
      <c r="B3486" t="s">
        <v>300</v>
      </c>
      <c r="C3486" t="s">
        <v>1883</v>
      </c>
      <c r="D3486" t="s">
        <v>4482</v>
      </c>
      <c r="E3486" t="s">
        <v>4439</v>
      </c>
      <c r="F3486" s="3">
        <v>45485</v>
      </c>
      <c r="G3486" s="3" t="s">
        <v>537</v>
      </c>
      <c r="I3486">
        <v>48</v>
      </c>
      <c r="J3486" t="s">
        <v>4440</v>
      </c>
      <c r="K3486" t="s">
        <v>4474</v>
      </c>
      <c r="L3486" t="s">
        <v>4492</v>
      </c>
      <c r="M3486" t="s">
        <v>4462</v>
      </c>
    </row>
    <row r="3487" spans="1:14" x14ac:dyDescent="0.35">
      <c r="A3487" t="s">
        <v>7966</v>
      </c>
      <c r="B3487" t="s">
        <v>262</v>
      </c>
      <c r="C3487" t="s">
        <v>1915</v>
      </c>
      <c r="D3487" t="s">
        <v>4443</v>
      </c>
      <c r="E3487" t="s">
        <v>4444</v>
      </c>
      <c r="F3487" s="3">
        <v>45384</v>
      </c>
      <c r="G3487" s="3" t="s">
        <v>537</v>
      </c>
      <c r="I3487">
        <v>24</v>
      </c>
      <c r="J3487" t="s">
        <v>4440</v>
      </c>
      <c r="K3487" t="s">
        <v>4453</v>
      </c>
      <c r="L3487" t="s">
        <v>4488</v>
      </c>
      <c r="M3487" t="s">
        <v>1625</v>
      </c>
    </row>
    <row r="3488" spans="1:14" x14ac:dyDescent="0.35">
      <c r="A3488" t="s">
        <v>7967</v>
      </c>
      <c r="B3488" t="s">
        <v>316</v>
      </c>
      <c r="C3488" t="s">
        <v>1899</v>
      </c>
      <c r="D3488" t="s">
        <v>4443</v>
      </c>
      <c r="E3488" t="s">
        <v>4456</v>
      </c>
      <c r="F3488" s="3">
        <v>45402</v>
      </c>
      <c r="G3488" s="3" t="s">
        <v>537</v>
      </c>
      <c r="I3488">
        <v>4</v>
      </c>
      <c r="J3488" t="s">
        <v>4440</v>
      </c>
      <c r="K3488" t="s">
        <v>4457</v>
      </c>
      <c r="L3488" t="s">
        <v>4454</v>
      </c>
      <c r="M3488" t="s">
        <v>4446</v>
      </c>
    </row>
    <row r="3489" spans="1:14" x14ac:dyDescent="0.35">
      <c r="A3489" t="s">
        <v>7968</v>
      </c>
      <c r="B3489" t="s">
        <v>372</v>
      </c>
      <c r="C3489" t="s">
        <v>1915</v>
      </c>
      <c r="D3489" t="s">
        <v>4464</v>
      </c>
      <c r="E3489" t="s">
        <v>4439</v>
      </c>
      <c r="F3489" s="3">
        <v>45235</v>
      </c>
      <c r="G3489" s="3" t="s">
        <v>537</v>
      </c>
      <c r="I3489">
        <v>48</v>
      </c>
      <c r="J3489" t="s">
        <v>4448</v>
      </c>
      <c r="K3489" t="s">
        <v>4457</v>
      </c>
      <c r="L3489" t="s">
        <v>4492</v>
      </c>
      <c r="M3489" t="s">
        <v>4462</v>
      </c>
    </row>
    <row r="3490" spans="1:14" x14ac:dyDescent="0.35">
      <c r="A3490" t="s">
        <v>7969</v>
      </c>
      <c r="B3490" t="s">
        <v>411</v>
      </c>
      <c r="C3490" t="s">
        <v>1899</v>
      </c>
      <c r="D3490" t="s">
        <v>4443</v>
      </c>
      <c r="E3490" t="s">
        <v>4444</v>
      </c>
      <c r="F3490" s="3">
        <v>45476</v>
      </c>
      <c r="G3490" s="3" t="s">
        <v>537</v>
      </c>
      <c r="I3490">
        <v>24</v>
      </c>
      <c r="J3490" t="s">
        <v>4448</v>
      </c>
      <c r="K3490" t="s">
        <v>4457</v>
      </c>
      <c r="L3490" t="s">
        <v>4445</v>
      </c>
      <c r="M3490" t="s">
        <v>4450</v>
      </c>
    </row>
    <row r="3491" spans="1:14" x14ac:dyDescent="0.35">
      <c r="A3491" t="s">
        <v>7970</v>
      </c>
      <c r="B3491" t="s">
        <v>459</v>
      </c>
      <c r="C3491" t="s">
        <v>1927</v>
      </c>
      <c r="D3491" t="s">
        <v>4472</v>
      </c>
      <c r="E3491" t="s">
        <v>4439</v>
      </c>
      <c r="F3491" s="3">
        <v>45359</v>
      </c>
      <c r="G3491" s="3" t="s">
        <v>537</v>
      </c>
      <c r="I3491">
        <v>48</v>
      </c>
      <c r="J3491" t="s">
        <v>4440</v>
      </c>
      <c r="K3491" t="s">
        <v>4453</v>
      </c>
      <c r="L3491" t="s">
        <v>4527</v>
      </c>
      <c r="M3491" t="s">
        <v>1625</v>
      </c>
    </row>
    <row r="3492" spans="1:14" x14ac:dyDescent="0.35">
      <c r="A3492" t="s">
        <v>7971</v>
      </c>
      <c r="B3492" t="s">
        <v>450</v>
      </c>
      <c r="C3492" t="s">
        <v>1915</v>
      </c>
      <c r="D3492" t="s">
        <v>4438</v>
      </c>
      <c r="E3492" t="s">
        <v>4444</v>
      </c>
      <c r="F3492" s="3">
        <v>45110</v>
      </c>
      <c r="G3492" s="3" t="s">
        <v>537</v>
      </c>
      <c r="I3492">
        <v>24</v>
      </c>
      <c r="J3492" t="s">
        <v>4448</v>
      </c>
      <c r="K3492" t="s">
        <v>4457</v>
      </c>
      <c r="L3492" t="s">
        <v>4501</v>
      </c>
      <c r="M3492" t="s">
        <v>4450</v>
      </c>
    </row>
    <row r="3493" spans="1:14" x14ac:dyDescent="0.35">
      <c r="A3493" t="s">
        <v>7972</v>
      </c>
      <c r="B3493" t="s">
        <v>346</v>
      </c>
      <c r="C3493" t="s">
        <v>1927</v>
      </c>
      <c r="D3493" t="s">
        <v>4438</v>
      </c>
      <c r="E3493" t="s">
        <v>4456</v>
      </c>
      <c r="F3493" s="3">
        <v>45659</v>
      </c>
      <c r="G3493" s="3">
        <v>45659</v>
      </c>
      <c r="H3493">
        <v>3.9</v>
      </c>
      <c r="I3493">
        <v>4</v>
      </c>
      <c r="J3493" t="s">
        <v>4448</v>
      </c>
      <c r="K3493" t="s">
        <v>4441</v>
      </c>
      <c r="L3493" t="s">
        <v>4514</v>
      </c>
      <c r="M3493" t="s">
        <v>4462</v>
      </c>
      <c r="N3493">
        <v>2</v>
      </c>
    </row>
    <row r="3494" spans="1:14" x14ac:dyDescent="0.35">
      <c r="A3494" t="s">
        <v>7973</v>
      </c>
      <c r="B3494" t="s">
        <v>226</v>
      </c>
      <c r="C3494" t="s">
        <v>1890</v>
      </c>
      <c r="D3494" t="s">
        <v>4482</v>
      </c>
      <c r="E3494" t="s">
        <v>79</v>
      </c>
      <c r="F3494" s="3">
        <v>45079</v>
      </c>
      <c r="G3494" s="3" t="s">
        <v>537</v>
      </c>
      <c r="I3494">
        <v>48</v>
      </c>
      <c r="J3494" t="s">
        <v>4440</v>
      </c>
      <c r="K3494" t="s">
        <v>4474</v>
      </c>
      <c r="L3494" t="s">
        <v>4480</v>
      </c>
      <c r="M3494" t="s">
        <v>4450</v>
      </c>
    </row>
    <row r="3495" spans="1:14" x14ac:dyDescent="0.35">
      <c r="A3495" t="s">
        <v>7974</v>
      </c>
      <c r="B3495" t="s">
        <v>414</v>
      </c>
      <c r="C3495" t="s">
        <v>1904</v>
      </c>
      <c r="D3495" t="s">
        <v>4464</v>
      </c>
      <c r="E3495" t="s">
        <v>4444</v>
      </c>
      <c r="F3495" s="3">
        <v>45385</v>
      </c>
      <c r="G3495" s="3">
        <v>45385</v>
      </c>
      <c r="H3495">
        <v>10.1</v>
      </c>
      <c r="I3495">
        <v>24</v>
      </c>
      <c r="J3495" t="s">
        <v>4448</v>
      </c>
      <c r="K3495" t="s">
        <v>4441</v>
      </c>
      <c r="L3495" t="s">
        <v>4454</v>
      </c>
      <c r="M3495" t="s">
        <v>4450</v>
      </c>
      <c r="N3495">
        <v>4</v>
      </c>
    </row>
    <row r="3496" spans="1:14" x14ac:dyDescent="0.35">
      <c r="A3496" t="s">
        <v>7975</v>
      </c>
      <c r="B3496" t="s">
        <v>316</v>
      </c>
      <c r="C3496" t="s">
        <v>1927</v>
      </c>
      <c r="D3496" t="s">
        <v>4476</v>
      </c>
      <c r="E3496" t="s">
        <v>4473</v>
      </c>
      <c r="F3496" s="3">
        <v>44992</v>
      </c>
      <c r="G3496" s="3">
        <v>44992</v>
      </c>
      <c r="H3496">
        <v>18.5</v>
      </c>
      <c r="I3496">
        <v>8</v>
      </c>
      <c r="J3496" t="s">
        <v>4440</v>
      </c>
      <c r="K3496" t="s">
        <v>4441</v>
      </c>
      <c r="L3496" t="s">
        <v>4527</v>
      </c>
      <c r="M3496" t="s">
        <v>1625</v>
      </c>
      <c r="N3496">
        <v>5</v>
      </c>
    </row>
    <row r="3497" spans="1:14" x14ac:dyDescent="0.35">
      <c r="A3497" t="s">
        <v>7976</v>
      </c>
      <c r="B3497" t="s">
        <v>200</v>
      </c>
      <c r="C3497" t="s">
        <v>1904</v>
      </c>
      <c r="D3497" t="s">
        <v>4479</v>
      </c>
      <c r="E3497" t="s">
        <v>4473</v>
      </c>
      <c r="F3497" s="3">
        <v>45118</v>
      </c>
      <c r="G3497" s="3" t="s">
        <v>537</v>
      </c>
      <c r="I3497">
        <v>8</v>
      </c>
      <c r="J3497" t="s">
        <v>4440</v>
      </c>
      <c r="K3497" t="s">
        <v>4474</v>
      </c>
      <c r="L3497" t="s">
        <v>4445</v>
      </c>
      <c r="M3497" t="s">
        <v>4450</v>
      </c>
    </row>
    <row r="3498" spans="1:14" x14ac:dyDescent="0.35">
      <c r="A3498" t="s">
        <v>7977</v>
      </c>
      <c r="B3498" t="s">
        <v>400</v>
      </c>
      <c r="C3498" t="s">
        <v>1915</v>
      </c>
      <c r="D3498" t="s">
        <v>4438</v>
      </c>
      <c r="E3498" t="s">
        <v>4444</v>
      </c>
      <c r="F3498" s="3">
        <v>45082</v>
      </c>
      <c r="G3498" s="3">
        <v>45083</v>
      </c>
      <c r="H3498">
        <v>25.3</v>
      </c>
      <c r="I3498">
        <v>24</v>
      </c>
      <c r="J3498" t="s">
        <v>4440</v>
      </c>
      <c r="K3498" t="s">
        <v>4441</v>
      </c>
      <c r="L3498" t="s">
        <v>4514</v>
      </c>
      <c r="M3498" t="s">
        <v>4446</v>
      </c>
      <c r="N3498">
        <v>3</v>
      </c>
    </row>
    <row r="3499" spans="1:14" x14ac:dyDescent="0.35">
      <c r="A3499" t="s">
        <v>7978</v>
      </c>
      <c r="B3499" t="s">
        <v>140</v>
      </c>
      <c r="C3499" t="s">
        <v>1904</v>
      </c>
      <c r="D3499" t="s">
        <v>4443</v>
      </c>
      <c r="E3499" t="s">
        <v>4473</v>
      </c>
      <c r="F3499" s="3">
        <v>45193</v>
      </c>
      <c r="G3499" s="3" t="s">
        <v>537</v>
      </c>
      <c r="I3499">
        <v>8</v>
      </c>
      <c r="J3499" t="s">
        <v>4440</v>
      </c>
      <c r="K3499" t="s">
        <v>4457</v>
      </c>
      <c r="L3499" t="s">
        <v>4449</v>
      </c>
      <c r="M3499" t="s">
        <v>4446</v>
      </c>
    </row>
    <row r="3500" spans="1:14" x14ac:dyDescent="0.35">
      <c r="A3500" t="s">
        <v>7979</v>
      </c>
      <c r="B3500" t="s">
        <v>459</v>
      </c>
      <c r="C3500" t="s">
        <v>1890</v>
      </c>
      <c r="D3500" t="s">
        <v>4490</v>
      </c>
      <c r="E3500" t="s">
        <v>4439</v>
      </c>
      <c r="F3500" s="3">
        <v>45675</v>
      </c>
      <c r="G3500" s="3">
        <v>45678</v>
      </c>
      <c r="H3500">
        <v>85.5</v>
      </c>
      <c r="I3500">
        <v>48</v>
      </c>
      <c r="J3500" t="s">
        <v>4440</v>
      </c>
      <c r="K3500" t="s">
        <v>4441</v>
      </c>
      <c r="L3500" t="s">
        <v>4509</v>
      </c>
      <c r="M3500" t="s">
        <v>4446</v>
      </c>
      <c r="N3500">
        <v>1</v>
      </c>
    </row>
    <row r="3501" spans="1:14" x14ac:dyDescent="0.35">
      <c r="A3501" t="s">
        <v>7980</v>
      </c>
      <c r="B3501" t="s">
        <v>242</v>
      </c>
      <c r="C3501" t="s">
        <v>1915</v>
      </c>
      <c r="D3501" t="s">
        <v>4452</v>
      </c>
      <c r="E3501" t="s">
        <v>4439</v>
      </c>
      <c r="F3501" s="3">
        <v>45700</v>
      </c>
      <c r="G3501" s="3">
        <v>45700</v>
      </c>
      <c r="H3501">
        <v>22.4</v>
      </c>
      <c r="I3501">
        <v>48</v>
      </c>
      <c r="J3501" t="s">
        <v>4448</v>
      </c>
      <c r="K3501" t="s">
        <v>4441</v>
      </c>
      <c r="L3501" t="s">
        <v>4458</v>
      </c>
      <c r="M3501" t="s">
        <v>4446</v>
      </c>
      <c r="N3501">
        <v>5</v>
      </c>
    </row>
    <row r="3502" spans="1:14" x14ac:dyDescent="0.35">
      <c r="A3502" t="s">
        <v>7981</v>
      </c>
      <c r="B3502" t="s">
        <v>82</v>
      </c>
      <c r="C3502" t="s">
        <v>1904</v>
      </c>
      <c r="D3502" t="s">
        <v>4452</v>
      </c>
      <c r="E3502" t="s">
        <v>4439</v>
      </c>
      <c r="F3502" s="3">
        <v>45703</v>
      </c>
      <c r="G3502" s="3" t="s">
        <v>537</v>
      </c>
      <c r="I3502">
        <v>48</v>
      </c>
      <c r="J3502" t="s">
        <v>4440</v>
      </c>
      <c r="K3502" t="s">
        <v>4453</v>
      </c>
      <c r="L3502" t="s">
        <v>4580</v>
      </c>
      <c r="M3502" t="s">
        <v>4462</v>
      </c>
    </row>
    <row r="3503" spans="1:14" x14ac:dyDescent="0.35">
      <c r="A3503" t="s">
        <v>7982</v>
      </c>
      <c r="B3503" t="s">
        <v>378</v>
      </c>
      <c r="C3503" t="s">
        <v>1883</v>
      </c>
      <c r="D3503" t="s">
        <v>4452</v>
      </c>
      <c r="E3503" t="s">
        <v>4444</v>
      </c>
      <c r="F3503" s="3">
        <v>45232</v>
      </c>
      <c r="G3503" s="3" t="s">
        <v>537</v>
      </c>
      <c r="I3503">
        <v>24</v>
      </c>
      <c r="J3503" t="s">
        <v>4448</v>
      </c>
      <c r="K3503" t="s">
        <v>4453</v>
      </c>
      <c r="L3503" t="s">
        <v>4580</v>
      </c>
      <c r="M3503" t="s">
        <v>1625</v>
      </c>
    </row>
    <row r="3504" spans="1:14" x14ac:dyDescent="0.35">
      <c r="A3504" t="s">
        <v>7983</v>
      </c>
      <c r="B3504" t="s">
        <v>279</v>
      </c>
      <c r="C3504" t="s">
        <v>1904</v>
      </c>
      <c r="D3504" t="s">
        <v>4479</v>
      </c>
      <c r="E3504" t="s">
        <v>4473</v>
      </c>
      <c r="F3504" s="3">
        <v>45709</v>
      </c>
      <c r="G3504" s="3" t="s">
        <v>537</v>
      </c>
      <c r="I3504">
        <v>8</v>
      </c>
      <c r="J3504" t="s">
        <v>4440</v>
      </c>
      <c r="K3504" t="s">
        <v>4474</v>
      </c>
      <c r="L3504" t="s">
        <v>4488</v>
      </c>
      <c r="M3504" t="s">
        <v>4462</v>
      </c>
    </row>
    <row r="3505" spans="1:14" x14ac:dyDescent="0.35">
      <c r="A3505" t="s">
        <v>7984</v>
      </c>
      <c r="B3505" t="s">
        <v>446</v>
      </c>
      <c r="C3505" t="s">
        <v>1904</v>
      </c>
      <c r="D3505" t="s">
        <v>4479</v>
      </c>
      <c r="E3505" t="s">
        <v>4444</v>
      </c>
      <c r="F3505" s="3">
        <v>45289</v>
      </c>
      <c r="G3505" s="3">
        <v>45289</v>
      </c>
      <c r="H3505">
        <v>13.7</v>
      </c>
      <c r="I3505">
        <v>24</v>
      </c>
      <c r="J3505" t="s">
        <v>4448</v>
      </c>
      <c r="K3505" t="s">
        <v>4441</v>
      </c>
      <c r="L3505" t="s">
        <v>4467</v>
      </c>
      <c r="M3505" t="s">
        <v>4462</v>
      </c>
      <c r="N3505">
        <v>3</v>
      </c>
    </row>
    <row r="3506" spans="1:14" x14ac:dyDescent="0.35">
      <c r="A3506" t="s">
        <v>7985</v>
      </c>
      <c r="B3506" t="s">
        <v>412</v>
      </c>
      <c r="C3506" t="s">
        <v>1904</v>
      </c>
      <c r="D3506" t="s">
        <v>4472</v>
      </c>
      <c r="E3506" t="s">
        <v>4473</v>
      </c>
      <c r="F3506" s="3">
        <v>45227</v>
      </c>
      <c r="G3506" s="3" t="s">
        <v>537</v>
      </c>
      <c r="I3506">
        <v>8</v>
      </c>
      <c r="J3506" t="s">
        <v>4440</v>
      </c>
      <c r="K3506" t="s">
        <v>4474</v>
      </c>
      <c r="L3506" t="s">
        <v>4580</v>
      </c>
      <c r="M3506" t="s">
        <v>4462</v>
      </c>
    </row>
    <row r="3507" spans="1:14" x14ac:dyDescent="0.35">
      <c r="A3507" t="s">
        <v>7986</v>
      </c>
      <c r="B3507" t="s">
        <v>222</v>
      </c>
      <c r="C3507" t="s">
        <v>1883</v>
      </c>
      <c r="D3507" t="s">
        <v>4476</v>
      </c>
      <c r="E3507" t="s">
        <v>4444</v>
      </c>
      <c r="F3507" s="3">
        <v>45151</v>
      </c>
      <c r="G3507" s="3">
        <v>45152</v>
      </c>
      <c r="H3507">
        <v>42.3</v>
      </c>
      <c r="I3507">
        <v>24</v>
      </c>
      <c r="J3507" t="s">
        <v>4440</v>
      </c>
      <c r="K3507" t="s">
        <v>4441</v>
      </c>
      <c r="L3507" t="s">
        <v>4480</v>
      </c>
      <c r="M3507" t="s">
        <v>4462</v>
      </c>
      <c r="N3507">
        <v>1</v>
      </c>
    </row>
    <row r="3508" spans="1:14" x14ac:dyDescent="0.35">
      <c r="A3508" t="s">
        <v>7987</v>
      </c>
      <c r="B3508" t="s">
        <v>285</v>
      </c>
      <c r="C3508" t="s">
        <v>1904</v>
      </c>
      <c r="D3508" t="s">
        <v>4452</v>
      </c>
      <c r="E3508" t="s">
        <v>4439</v>
      </c>
      <c r="F3508" s="3">
        <v>45492</v>
      </c>
      <c r="G3508" s="3">
        <v>45495</v>
      </c>
      <c r="H3508">
        <v>77.099999999999994</v>
      </c>
      <c r="I3508">
        <v>48</v>
      </c>
      <c r="J3508" t="s">
        <v>4440</v>
      </c>
      <c r="K3508" t="s">
        <v>4441</v>
      </c>
      <c r="L3508" t="s">
        <v>4467</v>
      </c>
      <c r="M3508" t="s">
        <v>4446</v>
      </c>
    </row>
    <row r="3509" spans="1:14" x14ac:dyDescent="0.35">
      <c r="A3509" t="s">
        <v>7988</v>
      </c>
      <c r="B3509" t="s">
        <v>120</v>
      </c>
      <c r="C3509" t="s">
        <v>1883</v>
      </c>
      <c r="D3509" t="s">
        <v>4472</v>
      </c>
      <c r="E3509" t="s">
        <v>4456</v>
      </c>
      <c r="F3509" s="3">
        <v>45051</v>
      </c>
      <c r="G3509" s="3" t="s">
        <v>537</v>
      </c>
      <c r="I3509">
        <v>4</v>
      </c>
      <c r="J3509" t="s">
        <v>4448</v>
      </c>
      <c r="K3509" t="s">
        <v>4474</v>
      </c>
      <c r="L3509" t="s">
        <v>4492</v>
      </c>
      <c r="M3509" t="s">
        <v>4450</v>
      </c>
    </row>
    <row r="3510" spans="1:14" x14ac:dyDescent="0.35">
      <c r="A3510" t="s">
        <v>7989</v>
      </c>
      <c r="B3510" t="s">
        <v>335</v>
      </c>
      <c r="C3510" t="s">
        <v>1899</v>
      </c>
      <c r="D3510" t="s">
        <v>4485</v>
      </c>
      <c r="E3510" t="s">
        <v>4473</v>
      </c>
      <c r="F3510" s="3">
        <v>45393</v>
      </c>
      <c r="G3510" s="3">
        <v>45393</v>
      </c>
      <c r="H3510">
        <v>2.8</v>
      </c>
      <c r="I3510">
        <v>8</v>
      </c>
      <c r="J3510" t="s">
        <v>4448</v>
      </c>
      <c r="K3510" t="s">
        <v>4441</v>
      </c>
      <c r="L3510" t="s">
        <v>4465</v>
      </c>
      <c r="M3510" t="s">
        <v>4446</v>
      </c>
      <c r="N3510">
        <v>5</v>
      </c>
    </row>
    <row r="3511" spans="1:14" x14ac:dyDescent="0.35">
      <c r="A3511" t="s">
        <v>7990</v>
      </c>
      <c r="B3511" t="s">
        <v>258</v>
      </c>
      <c r="C3511" t="s">
        <v>1883</v>
      </c>
      <c r="D3511" t="s">
        <v>4460</v>
      </c>
      <c r="E3511" t="s">
        <v>4473</v>
      </c>
      <c r="F3511" s="3">
        <v>44929</v>
      </c>
      <c r="G3511" s="3">
        <v>44929</v>
      </c>
      <c r="H3511">
        <v>3.8</v>
      </c>
      <c r="I3511">
        <v>8</v>
      </c>
      <c r="J3511" t="s">
        <v>4448</v>
      </c>
      <c r="K3511" t="s">
        <v>4441</v>
      </c>
      <c r="L3511" t="s">
        <v>1907</v>
      </c>
      <c r="M3511" t="s">
        <v>4462</v>
      </c>
      <c r="N3511">
        <v>5</v>
      </c>
    </row>
    <row r="3512" spans="1:14" x14ac:dyDescent="0.35">
      <c r="A3512" t="s">
        <v>7991</v>
      </c>
      <c r="B3512" t="s">
        <v>309</v>
      </c>
      <c r="C3512" t="s">
        <v>1915</v>
      </c>
      <c r="D3512" t="s">
        <v>4472</v>
      </c>
      <c r="E3512" t="s">
        <v>4439</v>
      </c>
      <c r="F3512" s="3">
        <v>45352</v>
      </c>
      <c r="G3512" s="3">
        <v>45352</v>
      </c>
      <c r="H3512">
        <v>21.1</v>
      </c>
      <c r="I3512">
        <v>48</v>
      </c>
      <c r="J3512" t="s">
        <v>4448</v>
      </c>
      <c r="K3512" t="s">
        <v>4441</v>
      </c>
      <c r="L3512" t="s">
        <v>4533</v>
      </c>
      <c r="M3512" t="s">
        <v>4462</v>
      </c>
      <c r="N3512">
        <v>5</v>
      </c>
    </row>
    <row r="3513" spans="1:14" x14ac:dyDescent="0.35">
      <c r="A3513" t="s">
        <v>7992</v>
      </c>
      <c r="B3513" t="s">
        <v>498</v>
      </c>
      <c r="C3513" t="s">
        <v>1927</v>
      </c>
      <c r="D3513" t="s">
        <v>4490</v>
      </c>
      <c r="E3513" t="s">
        <v>4444</v>
      </c>
      <c r="F3513" s="3">
        <v>45159</v>
      </c>
      <c r="G3513" s="3">
        <v>45159</v>
      </c>
      <c r="H3513">
        <v>20.8</v>
      </c>
      <c r="I3513">
        <v>24</v>
      </c>
      <c r="J3513" t="s">
        <v>4448</v>
      </c>
      <c r="K3513" t="s">
        <v>4441</v>
      </c>
      <c r="L3513" t="s">
        <v>4458</v>
      </c>
      <c r="M3513" t="s">
        <v>4462</v>
      </c>
      <c r="N3513">
        <v>2</v>
      </c>
    </row>
    <row r="3514" spans="1:14" x14ac:dyDescent="0.35">
      <c r="A3514" t="s">
        <v>7993</v>
      </c>
      <c r="B3514" t="s">
        <v>368</v>
      </c>
      <c r="C3514" t="s">
        <v>1890</v>
      </c>
      <c r="D3514" t="s">
        <v>4452</v>
      </c>
      <c r="E3514" t="s">
        <v>4456</v>
      </c>
      <c r="F3514" s="3">
        <v>45144</v>
      </c>
      <c r="G3514" s="3" t="s">
        <v>537</v>
      </c>
      <c r="I3514">
        <v>4</v>
      </c>
      <c r="J3514" t="s">
        <v>4448</v>
      </c>
      <c r="K3514" t="s">
        <v>4474</v>
      </c>
      <c r="L3514" t="s">
        <v>4488</v>
      </c>
      <c r="M3514" t="s">
        <v>4462</v>
      </c>
    </row>
    <row r="3515" spans="1:14" x14ac:dyDescent="0.35">
      <c r="A3515" t="s">
        <v>7994</v>
      </c>
      <c r="B3515" t="s">
        <v>395</v>
      </c>
      <c r="C3515" t="s">
        <v>1927</v>
      </c>
      <c r="D3515" t="s">
        <v>8504</v>
      </c>
      <c r="E3515" t="s">
        <v>4444</v>
      </c>
      <c r="F3515" s="3">
        <v>45503</v>
      </c>
      <c r="G3515" s="3">
        <v>45504</v>
      </c>
      <c r="H3515">
        <v>39.799999999999997</v>
      </c>
      <c r="I3515">
        <v>24</v>
      </c>
      <c r="J3515" t="s">
        <v>4440</v>
      </c>
      <c r="K3515" t="s">
        <v>4441</v>
      </c>
      <c r="L3515" t="s">
        <v>4512</v>
      </c>
      <c r="M3515" t="s">
        <v>1625</v>
      </c>
      <c r="N3515">
        <v>3</v>
      </c>
    </row>
    <row r="3516" spans="1:14" x14ac:dyDescent="0.35">
      <c r="A3516" t="s">
        <v>7995</v>
      </c>
      <c r="B3516" t="s">
        <v>128</v>
      </c>
      <c r="C3516" t="s">
        <v>1915</v>
      </c>
      <c r="D3516" t="s">
        <v>4464</v>
      </c>
      <c r="E3516" t="s">
        <v>4456</v>
      </c>
      <c r="F3516" s="3">
        <v>45148</v>
      </c>
      <c r="G3516" s="3">
        <v>45148</v>
      </c>
      <c r="H3516">
        <v>3.3</v>
      </c>
      <c r="I3516">
        <v>4</v>
      </c>
      <c r="J3516" t="s">
        <v>1945</v>
      </c>
      <c r="K3516" t="s">
        <v>4441</v>
      </c>
      <c r="L3516" t="s">
        <v>4461</v>
      </c>
      <c r="M3516" t="s">
        <v>4446</v>
      </c>
      <c r="N3516">
        <v>5</v>
      </c>
    </row>
    <row r="3517" spans="1:14" x14ac:dyDescent="0.35">
      <c r="A3517" t="s">
        <v>7996</v>
      </c>
      <c r="B3517" t="s">
        <v>99</v>
      </c>
      <c r="C3517" t="s">
        <v>1927</v>
      </c>
      <c r="D3517" t="s">
        <v>4452</v>
      </c>
      <c r="E3517" t="s">
        <v>4473</v>
      </c>
      <c r="F3517" s="3">
        <v>45208</v>
      </c>
      <c r="G3517" s="3" t="s">
        <v>537</v>
      </c>
      <c r="I3517">
        <v>8</v>
      </c>
      <c r="J3517" t="s">
        <v>4448</v>
      </c>
      <c r="K3517" t="s">
        <v>4474</v>
      </c>
      <c r="L3517" t="s">
        <v>4501</v>
      </c>
      <c r="M3517" t="s">
        <v>4450</v>
      </c>
    </row>
    <row r="3518" spans="1:14" x14ac:dyDescent="0.35">
      <c r="A3518" t="s">
        <v>7997</v>
      </c>
      <c r="B3518" t="s">
        <v>477</v>
      </c>
      <c r="C3518" t="s">
        <v>1899</v>
      </c>
      <c r="D3518" t="s">
        <v>4479</v>
      </c>
      <c r="E3518" t="s">
        <v>4444</v>
      </c>
      <c r="F3518" s="3">
        <v>45025</v>
      </c>
      <c r="G3518" s="3">
        <v>45027</v>
      </c>
      <c r="H3518">
        <v>55.8</v>
      </c>
      <c r="I3518">
        <v>24</v>
      </c>
      <c r="J3518" t="s">
        <v>1945</v>
      </c>
      <c r="K3518" t="s">
        <v>4441</v>
      </c>
      <c r="L3518" t="s">
        <v>4501</v>
      </c>
      <c r="M3518" t="s">
        <v>1625</v>
      </c>
      <c r="N3518">
        <v>5</v>
      </c>
    </row>
    <row r="3519" spans="1:14" x14ac:dyDescent="0.35">
      <c r="A3519" t="s">
        <v>7998</v>
      </c>
      <c r="B3519" t="s">
        <v>238</v>
      </c>
      <c r="C3519" t="s">
        <v>1890</v>
      </c>
      <c r="D3519" t="s">
        <v>4452</v>
      </c>
      <c r="E3519" t="s">
        <v>4444</v>
      </c>
      <c r="F3519" s="3">
        <v>45537</v>
      </c>
      <c r="G3519" s="3" t="s">
        <v>537</v>
      </c>
      <c r="I3519">
        <v>24</v>
      </c>
      <c r="J3519" t="s">
        <v>4448</v>
      </c>
      <c r="K3519" t="s">
        <v>4457</v>
      </c>
      <c r="L3519" t="s">
        <v>4527</v>
      </c>
      <c r="M3519" t="s">
        <v>4446</v>
      </c>
    </row>
    <row r="3520" spans="1:14" x14ac:dyDescent="0.35">
      <c r="A3520" t="s">
        <v>7999</v>
      </c>
      <c r="B3520" t="s">
        <v>357</v>
      </c>
      <c r="C3520" t="s">
        <v>1883</v>
      </c>
      <c r="D3520" t="s">
        <v>4476</v>
      </c>
      <c r="E3520" t="s">
        <v>4439</v>
      </c>
      <c r="F3520" s="3">
        <v>45744</v>
      </c>
      <c r="G3520" s="3" t="s">
        <v>537</v>
      </c>
      <c r="I3520">
        <v>48</v>
      </c>
      <c r="J3520" t="s">
        <v>4448</v>
      </c>
      <c r="K3520" t="s">
        <v>4457</v>
      </c>
      <c r="L3520" t="s">
        <v>4470</v>
      </c>
      <c r="M3520" t="s">
        <v>4450</v>
      </c>
    </row>
    <row r="3521" spans="1:14" x14ac:dyDescent="0.35">
      <c r="A3521" t="s">
        <v>8000</v>
      </c>
      <c r="B3521" t="s">
        <v>32</v>
      </c>
      <c r="C3521" t="s">
        <v>1899</v>
      </c>
      <c r="D3521" t="s">
        <v>4485</v>
      </c>
      <c r="E3521" t="s">
        <v>4473</v>
      </c>
      <c r="F3521" s="3">
        <v>45470</v>
      </c>
      <c r="G3521" s="3">
        <v>45470</v>
      </c>
      <c r="H3521">
        <v>12.9</v>
      </c>
      <c r="I3521">
        <v>8</v>
      </c>
      <c r="J3521" t="s">
        <v>1945</v>
      </c>
      <c r="K3521" t="s">
        <v>4441</v>
      </c>
      <c r="L3521" t="s">
        <v>4461</v>
      </c>
      <c r="M3521" t="s">
        <v>4446</v>
      </c>
      <c r="N3521">
        <v>3</v>
      </c>
    </row>
    <row r="3522" spans="1:14" x14ac:dyDescent="0.35">
      <c r="A3522" t="s">
        <v>8001</v>
      </c>
      <c r="B3522" t="s">
        <v>110</v>
      </c>
      <c r="C3522" t="s">
        <v>1883</v>
      </c>
      <c r="D3522" t="s">
        <v>4452</v>
      </c>
      <c r="E3522" t="s">
        <v>4444</v>
      </c>
      <c r="F3522" s="3">
        <v>45312</v>
      </c>
      <c r="G3522" s="3" t="s">
        <v>537</v>
      </c>
      <c r="I3522">
        <v>24</v>
      </c>
      <c r="J3522" t="s">
        <v>4448</v>
      </c>
      <c r="K3522" t="s">
        <v>4474</v>
      </c>
      <c r="L3522" t="s">
        <v>4465</v>
      </c>
      <c r="M3522" t="s">
        <v>1625</v>
      </c>
    </row>
    <row r="3523" spans="1:14" x14ac:dyDescent="0.35">
      <c r="A3523" t="s">
        <v>8002</v>
      </c>
      <c r="B3523" t="s">
        <v>381</v>
      </c>
      <c r="C3523" t="s">
        <v>1915</v>
      </c>
      <c r="D3523" t="s">
        <v>4490</v>
      </c>
      <c r="E3523" t="s">
        <v>4444</v>
      </c>
      <c r="F3523" s="3">
        <v>45122</v>
      </c>
      <c r="G3523" s="3">
        <v>45123</v>
      </c>
      <c r="H3523">
        <v>43.6</v>
      </c>
      <c r="I3523">
        <v>24</v>
      </c>
      <c r="J3523" t="s">
        <v>4440</v>
      </c>
      <c r="K3523" t="s">
        <v>4441</v>
      </c>
      <c r="L3523" t="s">
        <v>1907</v>
      </c>
      <c r="M3523" t="s">
        <v>4462</v>
      </c>
    </row>
    <row r="3524" spans="1:14" x14ac:dyDescent="0.35">
      <c r="A3524" t="s">
        <v>8003</v>
      </c>
      <c r="B3524" t="s">
        <v>488</v>
      </c>
      <c r="C3524" t="s">
        <v>1904</v>
      </c>
      <c r="D3524" t="s">
        <v>4452</v>
      </c>
      <c r="E3524" t="s">
        <v>4444</v>
      </c>
      <c r="F3524" s="3">
        <v>45499</v>
      </c>
      <c r="G3524" s="3" t="s">
        <v>537</v>
      </c>
      <c r="I3524">
        <v>24</v>
      </c>
      <c r="J3524" t="s">
        <v>4440</v>
      </c>
      <c r="K3524" t="s">
        <v>4474</v>
      </c>
      <c r="L3524" t="s">
        <v>4514</v>
      </c>
      <c r="M3524" t="s">
        <v>4462</v>
      </c>
    </row>
    <row r="3525" spans="1:14" x14ac:dyDescent="0.35">
      <c r="A3525" t="s">
        <v>8004</v>
      </c>
      <c r="B3525" t="s">
        <v>449</v>
      </c>
      <c r="C3525" t="s">
        <v>1899</v>
      </c>
      <c r="D3525" t="s">
        <v>4482</v>
      </c>
      <c r="E3525" t="s">
        <v>4439</v>
      </c>
      <c r="F3525" s="3">
        <v>45434</v>
      </c>
      <c r="G3525" s="3">
        <v>45438</v>
      </c>
      <c r="H3525">
        <v>101.3</v>
      </c>
      <c r="I3525">
        <v>48</v>
      </c>
      <c r="J3525" t="s">
        <v>4440</v>
      </c>
      <c r="K3525" t="s">
        <v>4441</v>
      </c>
      <c r="L3525" t="s">
        <v>4458</v>
      </c>
      <c r="M3525" t="s">
        <v>4450</v>
      </c>
      <c r="N3525">
        <v>4</v>
      </c>
    </row>
    <row r="3526" spans="1:14" x14ac:dyDescent="0.35">
      <c r="A3526" t="s">
        <v>8005</v>
      </c>
      <c r="B3526" t="s">
        <v>355</v>
      </c>
      <c r="C3526" t="s">
        <v>1899</v>
      </c>
      <c r="D3526" t="s">
        <v>4476</v>
      </c>
      <c r="E3526" t="s">
        <v>4444</v>
      </c>
      <c r="F3526" s="3">
        <v>45262</v>
      </c>
      <c r="G3526" s="3">
        <v>45264</v>
      </c>
      <c r="H3526">
        <v>57.5</v>
      </c>
      <c r="I3526">
        <v>24</v>
      </c>
      <c r="J3526" t="s">
        <v>4440</v>
      </c>
      <c r="K3526" t="s">
        <v>4441</v>
      </c>
      <c r="L3526" t="s">
        <v>1907</v>
      </c>
      <c r="M3526" t="s">
        <v>4450</v>
      </c>
      <c r="N3526">
        <v>4</v>
      </c>
    </row>
    <row r="3527" spans="1:14" x14ac:dyDescent="0.35">
      <c r="A3527" t="s">
        <v>8006</v>
      </c>
      <c r="B3527" t="s">
        <v>220</v>
      </c>
      <c r="C3527" t="s">
        <v>1915</v>
      </c>
      <c r="D3527" t="s">
        <v>4452</v>
      </c>
      <c r="E3527" t="s">
        <v>4439</v>
      </c>
      <c r="F3527" s="3">
        <v>44950</v>
      </c>
      <c r="G3527" s="3" t="s">
        <v>537</v>
      </c>
      <c r="I3527">
        <v>48</v>
      </c>
      <c r="J3527" t="s">
        <v>1945</v>
      </c>
      <c r="K3527" t="s">
        <v>4474</v>
      </c>
      <c r="L3527" t="s">
        <v>4449</v>
      </c>
      <c r="M3527" t="s">
        <v>1625</v>
      </c>
    </row>
    <row r="3528" spans="1:14" x14ac:dyDescent="0.35">
      <c r="A3528" t="s">
        <v>8007</v>
      </c>
      <c r="B3528" t="s">
        <v>45</v>
      </c>
      <c r="C3528" t="s">
        <v>1927</v>
      </c>
      <c r="D3528" t="s">
        <v>4464</v>
      </c>
      <c r="E3528" t="s">
        <v>4444</v>
      </c>
      <c r="F3528" s="3">
        <v>45488</v>
      </c>
      <c r="G3528" s="3" t="s">
        <v>537</v>
      </c>
      <c r="I3528">
        <v>24</v>
      </c>
      <c r="J3528" t="s">
        <v>4440</v>
      </c>
      <c r="K3528" t="s">
        <v>4453</v>
      </c>
      <c r="L3528" t="s">
        <v>4465</v>
      </c>
      <c r="M3528" t="s">
        <v>4450</v>
      </c>
    </row>
    <row r="3529" spans="1:14" x14ac:dyDescent="0.35">
      <c r="A3529" t="s">
        <v>8008</v>
      </c>
      <c r="B3529" t="s">
        <v>130</v>
      </c>
      <c r="C3529" t="s">
        <v>1890</v>
      </c>
      <c r="D3529" t="s">
        <v>4438</v>
      </c>
      <c r="E3529" t="s">
        <v>4439</v>
      </c>
      <c r="F3529" s="3">
        <v>45553</v>
      </c>
      <c r="G3529" s="3" t="s">
        <v>537</v>
      </c>
      <c r="I3529">
        <v>48</v>
      </c>
      <c r="J3529" t="s">
        <v>4440</v>
      </c>
      <c r="K3529" t="s">
        <v>4474</v>
      </c>
      <c r="L3529" t="s">
        <v>4465</v>
      </c>
      <c r="M3529" t="s">
        <v>1625</v>
      </c>
    </row>
    <row r="3530" spans="1:14" x14ac:dyDescent="0.35">
      <c r="A3530" t="s">
        <v>8009</v>
      </c>
      <c r="B3530" t="s">
        <v>235</v>
      </c>
      <c r="C3530" t="s">
        <v>1890</v>
      </c>
      <c r="D3530" t="s">
        <v>4472</v>
      </c>
      <c r="E3530" t="s">
        <v>4439</v>
      </c>
      <c r="F3530" s="3">
        <v>45118</v>
      </c>
      <c r="G3530" s="3">
        <v>45118</v>
      </c>
      <c r="H3530">
        <v>17.899999999999999</v>
      </c>
      <c r="I3530">
        <v>48</v>
      </c>
      <c r="J3530" t="s">
        <v>4448</v>
      </c>
      <c r="K3530" t="s">
        <v>4441</v>
      </c>
      <c r="L3530" t="s">
        <v>4514</v>
      </c>
      <c r="M3530" t="s">
        <v>4450</v>
      </c>
    </row>
    <row r="3531" spans="1:14" x14ac:dyDescent="0.35">
      <c r="A3531" t="s">
        <v>8010</v>
      </c>
      <c r="B3531" t="s">
        <v>236</v>
      </c>
      <c r="C3531" t="s">
        <v>1915</v>
      </c>
      <c r="D3531" t="s">
        <v>4443</v>
      </c>
      <c r="E3531" t="s">
        <v>4444</v>
      </c>
      <c r="F3531" s="3">
        <v>45323</v>
      </c>
      <c r="G3531" s="3" t="s">
        <v>537</v>
      </c>
      <c r="I3531">
        <v>24</v>
      </c>
      <c r="J3531" t="s">
        <v>4440</v>
      </c>
      <c r="K3531" t="s">
        <v>4457</v>
      </c>
      <c r="L3531" t="s">
        <v>4533</v>
      </c>
      <c r="M3531" t="s">
        <v>4446</v>
      </c>
    </row>
    <row r="3532" spans="1:14" x14ac:dyDescent="0.35">
      <c r="A3532" t="s">
        <v>8011</v>
      </c>
      <c r="B3532" t="s">
        <v>252</v>
      </c>
      <c r="C3532" t="s">
        <v>1899</v>
      </c>
      <c r="D3532" t="s">
        <v>4438</v>
      </c>
      <c r="E3532" t="s">
        <v>4456</v>
      </c>
      <c r="F3532" s="3">
        <v>45685</v>
      </c>
      <c r="G3532" s="3" t="s">
        <v>537</v>
      </c>
      <c r="I3532">
        <v>4</v>
      </c>
      <c r="J3532" t="s">
        <v>4448</v>
      </c>
      <c r="K3532" t="s">
        <v>4457</v>
      </c>
      <c r="L3532" t="s">
        <v>4488</v>
      </c>
      <c r="M3532" t="s">
        <v>4462</v>
      </c>
    </row>
    <row r="3533" spans="1:14" x14ac:dyDescent="0.35">
      <c r="A3533" t="s">
        <v>8012</v>
      </c>
      <c r="B3533" t="s">
        <v>112</v>
      </c>
      <c r="C3533" t="s">
        <v>1883</v>
      </c>
      <c r="D3533" t="s">
        <v>4482</v>
      </c>
      <c r="E3533" t="s">
        <v>79</v>
      </c>
      <c r="F3533" s="3">
        <v>45432</v>
      </c>
      <c r="G3533" s="3">
        <v>45432</v>
      </c>
      <c r="H3533">
        <v>11.1</v>
      </c>
      <c r="I3533">
        <v>8</v>
      </c>
      <c r="J3533" t="s">
        <v>4440</v>
      </c>
      <c r="K3533" t="s">
        <v>4441</v>
      </c>
      <c r="L3533" t="s">
        <v>4483</v>
      </c>
      <c r="M3533" t="s">
        <v>4446</v>
      </c>
    </row>
    <row r="3534" spans="1:14" x14ac:dyDescent="0.35">
      <c r="A3534" t="s">
        <v>8013</v>
      </c>
      <c r="B3534" t="s">
        <v>128</v>
      </c>
      <c r="C3534" t="s">
        <v>1904</v>
      </c>
      <c r="D3534" t="s">
        <v>4479</v>
      </c>
      <c r="E3534" t="s">
        <v>4439</v>
      </c>
      <c r="F3534" s="3">
        <v>45680</v>
      </c>
      <c r="G3534" s="3">
        <v>45680</v>
      </c>
      <c r="H3534">
        <v>17</v>
      </c>
      <c r="I3534">
        <v>48</v>
      </c>
      <c r="J3534" t="s">
        <v>4448</v>
      </c>
      <c r="K3534" t="s">
        <v>4441</v>
      </c>
      <c r="L3534" t="s">
        <v>4509</v>
      </c>
      <c r="M3534" t="s">
        <v>1625</v>
      </c>
      <c r="N3534">
        <v>5</v>
      </c>
    </row>
    <row r="3535" spans="1:14" x14ac:dyDescent="0.35">
      <c r="A3535" t="s">
        <v>8014</v>
      </c>
      <c r="B3535" t="s">
        <v>300</v>
      </c>
      <c r="C3535" t="s">
        <v>1890</v>
      </c>
      <c r="D3535" t="s">
        <v>4469</v>
      </c>
      <c r="E3535" t="s">
        <v>4473</v>
      </c>
      <c r="F3535" s="3">
        <v>44960</v>
      </c>
      <c r="G3535" s="3">
        <v>44960</v>
      </c>
      <c r="H3535">
        <v>13.6</v>
      </c>
      <c r="I3535">
        <v>8</v>
      </c>
      <c r="J3535" t="s">
        <v>4440</v>
      </c>
      <c r="K3535" t="s">
        <v>4441</v>
      </c>
      <c r="L3535" t="s">
        <v>4512</v>
      </c>
      <c r="M3535" t="s">
        <v>1625</v>
      </c>
      <c r="N3535">
        <v>3</v>
      </c>
    </row>
    <row r="3536" spans="1:14" x14ac:dyDescent="0.35">
      <c r="A3536" t="s">
        <v>8015</v>
      </c>
      <c r="B3536" t="s">
        <v>473</v>
      </c>
      <c r="C3536" t="s">
        <v>1915</v>
      </c>
      <c r="D3536" t="s">
        <v>8515</v>
      </c>
      <c r="E3536" t="s">
        <v>4473</v>
      </c>
      <c r="F3536" s="3">
        <v>45506</v>
      </c>
      <c r="G3536" s="3">
        <v>45506</v>
      </c>
      <c r="H3536">
        <v>12.5</v>
      </c>
      <c r="I3536">
        <v>8</v>
      </c>
      <c r="J3536" t="s">
        <v>4440</v>
      </c>
      <c r="K3536" t="s">
        <v>4441</v>
      </c>
      <c r="L3536" t="s">
        <v>4527</v>
      </c>
      <c r="M3536" t="s">
        <v>4450</v>
      </c>
      <c r="N3536">
        <v>2</v>
      </c>
    </row>
    <row r="3537" spans="1:14" x14ac:dyDescent="0.35">
      <c r="A3537" t="s">
        <v>8016</v>
      </c>
      <c r="B3537" t="s">
        <v>250</v>
      </c>
      <c r="C3537" t="s">
        <v>1883</v>
      </c>
      <c r="D3537" t="s">
        <v>4460</v>
      </c>
      <c r="E3537" t="s">
        <v>4439</v>
      </c>
      <c r="F3537" s="3">
        <v>45719</v>
      </c>
      <c r="G3537" s="3" t="s">
        <v>537</v>
      </c>
      <c r="I3537">
        <v>48</v>
      </c>
      <c r="J3537" t="s">
        <v>4448</v>
      </c>
      <c r="K3537" t="s">
        <v>4453</v>
      </c>
      <c r="L3537" t="s">
        <v>4480</v>
      </c>
      <c r="M3537" t="s">
        <v>1625</v>
      </c>
    </row>
    <row r="3538" spans="1:14" x14ac:dyDescent="0.35">
      <c r="A3538" t="s">
        <v>8017</v>
      </c>
      <c r="B3538" t="s">
        <v>426</v>
      </c>
      <c r="C3538" t="s">
        <v>1915</v>
      </c>
      <c r="D3538" t="s">
        <v>4476</v>
      </c>
      <c r="E3538" t="s">
        <v>4444</v>
      </c>
      <c r="F3538" s="3">
        <v>45126</v>
      </c>
      <c r="G3538" s="3">
        <v>45126</v>
      </c>
      <c r="H3538">
        <v>16.2</v>
      </c>
      <c r="I3538">
        <v>24</v>
      </c>
      <c r="J3538" t="s">
        <v>4448</v>
      </c>
      <c r="K3538" t="s">
        <v>4441</v>
      </c>
      <c r="L3538" t="s">
        <v>4480</v>
      </c>
      <c r="M3538" t="s">
        <v>4446</v>
      </c>
      <c r="N3538">
        <v>1</v>
      </c>
    </row>
    <row r="3539" spans="1:14" x14ac:dyDescent="0.35">
      <c r="A3539" t="s">
        <v>8018</v>
      </c>
      <c r="B3539" t="s">
        <v>486</v>
      </c>
      <c r="C3539" t="s">
        <v>1915</v>
      </c>
      <c r="D3539" t="s">
        <v>4472</v>
      </c>
      <c r="E3539" t="s">
        <v>4439</v>
      </c>
      <c r="F3539" s="3">
        <v>45038</v>
      </c>
      <c r="G3539" s="3">
        <v>45040</v>
      </c>
      <c r="H3539">
        <v>50.6</v>
      </c>
      <c r="I3539">
        <v>48</v>
      </c>
      <c r="J3539" t="s">
        <v>4440</v>
      </c>
      <c r="K3539" t="s">
        <v>4441</v>
      </c>
      <c r="L3539" t="s">
        <v>4514</v>
      </c>
      <c r="M3539" t="s">
        <v>4450</v>
      </c>
      <c r="N3539">
        <v>4</v>
      </c>
    </row>
    <row r="3540" spans="1:14" x14ac:dyDescent="0.35">
      <c r="A3540" t="s">
        <v>8019</v>
      </c>
      <c r="B3540" t="s">
        <v>301</v>
      </c>
      <c r="C3540" t="s">
        <v>1890</v>
      </c>
      <c r="D3540" t="s">
        <v>4472</v>
      </c>
      <c r="E3540" t="s">
        <v>4456</v>
      </c>
      <c r="F3540" s="3">
        <v>45367</v>
      </c>
      <c r="G3540" s="3">
        <v>45367</v>
      </c>
      <c r="H3540">
        <v>5.8</v>
      </c>
      <c r="I3540">
        <v>4</v>
      </c>
      <c r="J3540" t="s">
        <v>4440</v>
      </c>
      <c r="K3540" t="s">
        <v>4441</v>
      </c>
      <c r="L3540" t="s">
        <v>4449</v>
      </c>
      <c r="M3540" t="s">
        <v>4462</v>
      </c>
      <c r="N3540">
        <v>4</v>
      </c>
    </row>
    <row r="3541" spans="1:14" x14ac:dyDescent="0.35">
      <c r="A3541" t="s">
        <v>8020</v>
      </c>
      <c r="B3541" t="s">
        <v>263</v>
      </c>
      <c r="C3541" t="s">
        <v>1890</v>
      </c>
      <c r="D3541" t="s">
        <v>4485</v>
      </c>
      <c r="E3541" t="s">
        <v>79</v>
      </c>
      <c r="F3541" s="3">
        <v>44954</v>
      </c>
      <c r="G3541" s="3">
        <v>44954</v>
      </c>
      <c r="H3541">
        <v>7.7</v>
      </c>
      <c r="I3541">
        <v>8</v>
      </c>
      <c r="J3541" t="s">
        <v>4448</v>
      </c>
      <c r="K3541" t="s">
        <v>4441</v>
      </c>
      <c r="L3541" t="s">
        <v>4509</v>
      </c>
      <c r="M3541" t="s">
        <v>1625</v>
      </c>
    </row>
    <row r="3542" spans="1:14" x14ac:dyDescent="0.35">
      <c r="A3542" t="s">
        <v>8021</v>
      </c>
      <c r="B3542" t="s">
        <v>245</v>
      </c>
      <c r="C3542" t="s">
        <v>1899</v>
      </c>
      <c r="D3542" t="s">
        <v>4490</v>
      </c>
      <c r="E3542" t="s">
        <v>4473</v>
      </c>
      <c r="F3542" s="3">
        <v>45511</v>
      </c>
      <c r="G3542" s="3" t="s">
        <v>537</v>
      </c>
      <c r="I3542">
        <v>8</v>
      </c>
      <c r="J3542" t="s">
        <v>4440</v>
      </c>
      <c r="K3542" t="s">
        <v>4474</v>
      </c>
      <c r="L3542" t="s">
        <v>4470</v>
      </c>
      <c r="M3542" t="s">
        <v>4450</v>
      </c>
    </row>
    <row r="3543" spans="1:14" x14ac:dyDescent="0.35">
      <c r="A3543" t="s">
        <v>8022</v>
      </c>
      <c r="B3543" t="s">
        <v>458</v>
      </c>
      <c r="C3543" t="s">
        <v>1890</v>
      </c>
      <c r="D3543" t="s">
        <v>4472</v>
      </c>
      <c r="E3543" t="s">
        <v>4473</v>
      </c>
      <c r="F3543" s="3">
        <v>45604</v>
      </c>
      <c r="G3543" s="3">
        <v>45604</v>
      </c>
      <c r="H3543">
        <v>9.3000000000000007</v>
      </c>
      <c r="I3543">
        <v>8</v>
      </c>
      <c r="J3543" t="s">
        <v>4440</v>
      </c>
      <c r="K3543" t="s">
        <v>4441</v>
      </c>
      <c r="L3543" t="s">
        <v>4449</v>
      </c>
      <c r="M3543" t="s">
        <v>4450</v>
      </c>
      <c r="N3543">
        <v>4</v>
      </c>
    </row>
    <row r="3544" spans="1:14" x14ac:dyDescent="0.35">
      <c r="A3544" t="s">
        <v>8023</v>
      </c>
      <c r="B3544" t="s">
        <v>337</v>
      </c>
      <c r="C3544" t="s">
        <v>1927</v>
      </c>
      <c r="D3544" t="s">
        <v>4476</v>
      </c>
      <c r="E3544" t="s">
        <v>4444</v>
      </c>
      <c r="F3544" s="3">
        <v>45744</v>
      </c>
      <c r="G3544" s="3">
        <v>45744</v>
      </c>
      <c r="H3544">
        <v>18.8</v>
      </c>
      <c r="I3544">
        <v>24</v>
      </c>
      <c r="J3544" t="s">
        <v>4448</v>
      </c>
      <c r="K3544" t="s">
        <v>4441</v>
      </c>
      <c r="L3544" t="s">
        <v>4449</v>
      </c>
      <c r="M3544" t="s">
        <v>1625</v>
      </c>
      <c r="N3544">
        <v>5</v>
      </c>
    </row>
    <row r="3545" spans="1:14" x14ac:dyDescent="0.35">
      <c r="A3545" t="s">
        <v>8024</v>
      </c>
      <c r="B3545" t="s">
        <v>300</v>
      </c>
      <c r="C3545" t="s">
        <v>1904</v>
      </c>
      <c r="D3545" t="s">
        <v>4476</v>
      </c>
      <c r="E3545" t="s">
        <v>4444</v>
      </c>
      <c r="F3545" s="3">
        <v>45185</v>
      </c>
      <c r="G3545" s="3">
        <v>45185</v>
      </c>
      <c r="H3545">
        <v>1.3</v>
      </c>
      <c r="I3545">
        <v>24</v>
      </c>
      <c r="J3545" t="s">
        <v>4448</v>
      </c>
      <c r="K3545" t="s">
        <v>4441</v>
      </c>
      <c r="L3545" t="s">
        <v>4458</v>
      </c>
      <c r="M3545" t="s">
        <v>4450</v>
      </c>
    </row>
    <row r="3546" spans="1:14" x14ac:dyDescent="0.35">
      <c r="A3546" t="s">
        <v>8025</v>
      </c>
      <c r="B3546" t="s">
        <v>388</v>
      </c>
      <c r="C3546" t="s">
        <v>1927</v>
      </c>
      <c r="D3546" t="s">
        <v>8513</v>
      </c>
      <c r="E3546" t="s">
        <v>4473</v>
      </c>
      <c r="F3546" s="3">
        <v>45561</v>
      </c>
      <c r="G3546" s="3">
        <v>45561</v>
      </c>
      <c r="H3546">
        <v>12.5</v>
      </c>
      <c r="I3546">
        <v>8</v>
      </c>
      <c r="J3546" t="s">
        <v>4440</v>
      </c>
      <c r="K3546" t="s">
        <v>4441</v>
      </c>
      <c r="L3546" t="s">
        <v>4492</v>
      </c>
      <c r="M3546" t="s">
        <v>4462</v>
      </c>
      <c r="N3546">
        <v>5</v>
      </c>
    </row>
    <row r="3547" spans="1:14" x14ac:dyDescent="0.35">
      <c r="A3547" t="s">
        <v>8026</v>
      </c>
      <c r="B3547" t="s">
        <v>462</v>
      </c>
      <c r="C3547" t="s">
        <v>1883</v>
      </c>
      <c r="D3547" t="s">
        <v>4485</v>
      </c>
      <c r="E3547" t="s">
        <v>4444</v>
      </c>
      <c r="F3547" s="3">
        <v>44943</v>
      </c>
      <c r="G3547" s="3" t="s">
        <v>537</v>
      </c>
      <c r="I3547">
        <v>24</v>
      </c>
      <c r="J3547" t="s">
        <v>4440</v>
      </c>
      <c r="K3547" t="s">
        <v>4474</v>
      </c>
      <c r="L3547" t="s">
        <v>4449</v>
      </c>
      <c r="M3547" t="s">
        <v>1625</v>
      </c>
    </row>
    <row r="3548" spans="1:14" x14ac:dyDescent="0.35">
      <c r="A3548" t="s">
        <v>8027</v>
      </c>
      <c r="B3548" t="s">
        <v>77</v>
      </c>
      <c r="C3548" t="s">
        <v>1899</v>
      </c>
      <c r="D3548" t="s">
        <v>4479</v>
      </c>
      <c r="E3548" t="s">
        <v>4456</v>
      </c>
      <c r="F3548" s="3">
        <v>44992</v>
      </c>
      <c r="G3548" s="3" t="s">
        <v>537</v>
      </c>
      <c r="I3548">
        <v>4</v>
      </c>
      <c r="J3548" t="s">
        <v>4440</v>
      </c>
      <c r="K3548" t="s">
        <v>4457</v>
      </c>
      <c r="L3548" t="s">
        <v>4509</v>
      </c>
      <c r="M3548" t="s">
        <v>4462</v>
      </c>
    </row>
    <row r="3549" spans="1:14" x14ac:dyDescent="0.35">
      <c r="A3549" t="s">
        <v>8028</v>
      </c>
      <c r="B3549" t="s">
        <v>211</v>
      </c>
      <c r="C3549" t="s">
        <v>1883</v>
      </c>
      <c r="D3549" t="s">
        <v>4476</v>
      </c>
      <c r="E3549" t="s">
        <v>4439</v>
      </c>
      <c r="F3549" s="3">
        <v>45729</v>
      </c>
      <c r="G3549" s="3">
        <v>45730</v>
      </c>
      <c r="H3549">
        <v>39.299999999999997</v>
      </c>
      <c r="I3549">
        <v>48</v>
      </c>
      <c r="J3549" t="s">
        <v>4448</v>
      </c>
      <c r="K3549" t="s">
        <v>4441</v>
      </c>
      <c r="L3549" t="s">
        <v>4509</v>
      </c>
      <c r="M3549" t="s">
        <v>4462</v>
      </c>
      <c r="N3549">
        <v>5</v>
      </c>
    </row>
    <row r="3550" spans="1:14" x14ac:dyDescent="0.35">
      <c r="A3550" t="s">
        <v>8029</v>
      </c>
      <c r="B3550" t="s">
        <v>433</v>
      </c>
      <c r="C3550" t="s">
        <v>1899</v>
      </c>
      <c r="D3550" t="s">
        <v>4476</v>
      </c>
      <c r="E3550" t="s">
        <v>4439</v>
      </c>
      <c r="F3550" s="3">
        <v>45392</v>
      </c>
      <c r="G3550" s="3">
        <v>45392</v>
      </c>
      <c r="H3550">
        <v>0.9</v>
      </c>
      <c r="I3550">
        <v>48</v>
      </c>
      <c r="J3550" t="s">
        <v>4448</v>
      </c>
      <c r="K3550" t="s">
        <v>4441</v>
      </c>
      <c r="L3550" t="s">
        <v>4445</v>
      </c>
      <c r="M3550" t="s">
        <v>4450</v>
      </c>
      <c r="N3550">
        <v>3</v>
      </c>
    </row>
    <row r="3551" spans="1:14" x14ac:dyDescent="0.35">
      <c r="A3551" t="s">
        <v>8030</v>
      </c>
      <c r="B3551" t="s">
        <v>310</v>
      </c>
      <c r="C3551" t="s">
        <v>1927</v>
      </c>
      <c r="D3551" t="s">
        <v>4452</v>
      </c>
      <c r="E3551" t="s">
        <v>4444</v>
      </c>
      <c r="F3551" s="3">
        <v>45221</v>
      </c>
      <c r="G3551" s="3">
        <v>45223</v>
      </c>
      <c r="H3551">
        <v>48.9</v>
      </c>
      <c r="I3551">
        <v>24</v>
      </c>
      <c r="J3551" t="s">
        <v>4440</v>
      </c>
      <c r="K3551" t="s">
        <v>4441</v>
      </c>
      <c r="L3551" t="s">
        <v>4445</v>
      </c>
      <c r="M3551" t="s">
        <v>4462</v>
      </c>
    </row>
    <row r="3552" spans="1:14" x14ac:dyDescent="0.35">
      <c r="A3552" t="s">
        <v>8031</v>
      </c>
      <c r="B3552" t="s">
        <v>423</v>
      </c>
      <c r="C3552" t="s">
        <v>1927</v>
      </c>
      <c r="D3552" t="s">
        <v>4482</v>
      </c>
      <c r="E3552" t="s">
        <v>4444</v>
      </c>
      <c r="F3552" s="3">
        <v>45512</v>
      </c>
      <c r="G3552" s="3">
        <v>45512</v>
      </c>
      <c r="H3552">
        <v>12.4</v>
      </c>
      <c r="I3552">
        <v>24</v>
      </c>
      <c r="J3552" t="s">
        <v>4448</v>
      </c>
      <c r="K3552" t="s">
        <v>4441</v>
      </c>
      <c r="L3552" t="s">
        <v>4465</v>
      </c>
      <c r="M3552" t="s">
        <v>4450</v>
      </c>
      <c r="N3552">
        <v>5</v>
      </c>
    </row>
    <row r="3553" spans="1:14" x14ac:dyDescent="0.35">
      <c r="A3553" t="s">
        <v>8032</v>
      </c>
      <c r="B3553" t="s">
        <v>138</v>
      </c>
      <c r="C3553" t="s">
        <v>1904</v>
      </c>
      <c r="D3553" t="s">
        <v>4464</v>
      </c>
      <c r="E3553" t="s">
        <v>4444</v>
      </c>
      <c r="F3553" s="3">
        <v>45406</v>
      </c>
      <c r="G3553" s="3">
        <v>45408</v>
      </c>
      <c r="H3553">
        <v>58.9</v>
      </c>
      <c r="I3553">
        <v>24</v>
      </c>
      <c r="J3553" t="s">
        <v>4440</v>
      </c>
      <c r="K3553" t="s">
        <v>4441</v>
      </c>
      <c r="L3553" t="s">
        <v>4488</v>
      </c>
      <c r="M3553" t="s">
        <v>4462</v>
      </c>
      <c r="N3553">
        <v>4</v>
      </c>
    </row>
    <row r="3554" spans="1:14" x14ac:dyDescent="0.35">
      <c r="A3554" t="s">
        <v>8033</v>
      </c>
      <c r="B3554" t="s">
        <v>398</v>
      </c>
      <c r="C3554" t="s">
        <v>1890</v>
      </c>
      <c r="D3554" t="s">
        <v>4438</v>
      </c>
      <c r="E3554" t="s">
        <v>4439</v>
      </c>
      <c r="F3554" s="3">
        <v>45386</v>
      </c>
      <c r="G3554" s="3">
        <v>45390</v>
      </c>
      <c r="H3554">
        <v>104.7</v>
      </c>
      <c r="I3554">
        <v>48</v>
      </c>
      <c r="J3554" t="s">
        <v>4440</v>
      </c>
      <c r="K3554" t="s">
        <v>4441</v>
      </c>
      <c r="L3554" t="s">
        <v>4480</v>
      </c>
      <c r="M3554" t="s">
        <v>4450</v>
      </c>
      <c r="N3554">
        <v>3</v>
      </c>
    </row>
    <row r="3555" spans="1:14" x14ac:dyDescent="0.35">
      <c r="A3555" t="s">
        <v>8034</v>
      </c>
      <c r="B3555" t="s">
        <v>305</v>
      </c>
      <c r="C3555" t="s">
        <v>1883</v>
      </c>
      <c r="D3555" t="s">
        <v>4479</v>
      </c>
      <c r="E3555" t="s">
        <v>4473</v>
      </c>
      <c r="F3555" s="3">
        <v>44981</v>
      </c>
      <c r="G3555" s="3">
        <v>44981</v>
      </c>
      <c r="H3555">
        <v>11.4</v>
      </c>
      <c r="I3555">
        <v>8</v>
      </c>
      <c r="J3555" t="s">
        <v>4440</v>
      </c>
      <c r="K3555" t="s">
        <v>4441</v>
      </c>
      <c r="L3555" t="s">
        <v>4449</v>
      </c>
      <c r="M3555" t="s">
        <v>4446</v>
      </c>
    </row>
    <row r="3556" spans="1:14" x14ac:dyDescent="0.35">
      <c r="A3556" t="s">
        <v>8035</v>
      </c>
      <c r="B3556" t="s">
        <v>465</v>
      </c>
      <c r="C3556" t="s">
        <v>1890</v>
      </c>
      <c r="D3556" t="s">
        <v>4476</v>
      </c>
      <c r="E3556" t="s">
        <v>4444</v>
      </c>
      <c r="F3556" s="3">
        <v>44965</v>
      </c>
      <c r="G3556" s="3">
        <v>44966</v>
      </c>
      <c r="H3556">
        <v>42.4</v>
      </c>
      <c r="I3556">
        <v>24</v>
      </c>
      <c r="J3556" t="s">
        <v>4440</v>
      </c>
      <c r="K3556" t="s">
        <v>4441</v>
      </c>
      <c r="L3556" t="s">
        <v>4580</v>
      </c>
      <c r="M3556" t="s">
        <v>1625</v>
      </c>
      <c r="N3556">
        <v>3</v>
      </c>
    </row>
    <row r="3557" spans="1:14" x14ac:dyDescent="0.35">
      <c r="A3557" t="s">
        <v>8036</v>
      </c>
      <c r="B3557" t="s">
        <v>455</v>
      </c>
      <c r="C3557" t="s">
        <v>1883</v>
      </c>
      <c r="D3557" t="s">
        <v>4479</v>
      </c>
      <c r="E3557" t="s">
        <v>4444</v>
      </c>
      <c r="F3557" s="3">
        <v>45251</v>
      </c>
      <c r="G3557" s="3">
        <v>45251</v>
      </c>
      <c r="H3557">
        <v>2.8</v>
      </c>
      <c r="I3557">
        <v>24</v>
      </c>
      <c r="J3557" t="s">
        <v>4448</v>
      </c>
      <c r="K3557" t="s">
        <v>4441</v>
      </c>
      <c r="L3557" t="s">
        <v>4445</v>
      </c>
      <c r="M3557" t="s">
        <v>4450</v>
      </c>
      <c r="N3557">
        <v>5</v>
      </c>
    </row>
    <row r="3558" spans="1:14" x14ac:dyDescent="0.35">
      <c r="A3558" t="s">
        <v>8037</v>
      </c>
      <c r="B3558" t="s">
        <v>288</v>
      </c>
      <c r="C3558" t="s">
        <v>1899</v>
      </c>
      <c r="D3558" t="s">
        <v>4452</v>
      </c>
      <c r="E3558" t="s">
        <v>4444</v>
      </c>
      <c r="F3558" s="3">
        <v>45655</v>
      </c>
      <c r="G3558" s="3" t="s">
        <v>537</v>
      </c>
      <c r="I3558">
        <v>24</v>
      </c>
      <c r="J3558" t="s">
        <v>4448</v>
      </c>
      <c r="K3558" t="s">
        <v>4457</v>
      </c>
      <c r="L3558" t="s">
        <v>4533</v>
      </c>
      <c r="M3558" t="s">
        <v>4446</v>
      </c>
    </row>
    <row r="3559" spans="1:14" x14ac:dyDescent="0.35">
      <c r="A3559" t="s">
        <v>8038</v>
      </c>
      <c r="B3559" t="s">
        <v>266</v>
      </c>
      <c r="C3559" t="s">
        <v>1915</v>
      </c>
      <c r="D3559" t="s">
        <v>4490</v>
      </c>
      <c r="E3559" t="s">
        <v>4439</v>
      </c>
      <c r="F3559" s="3">
        <v>45639</v>
      </c>
      <c r="G3559" s="3" t="s">
        <v>537</v>
      </c>
      <c r="I3559">
        <v>48</v>
      </c>
      <c r="J3559" t="s">
        <v>4440</v>
      </c>
      <c r="K3559" t="s">
        <v>4457</v>
      </c>
      <c r="L3559" t="s">
        <v>4449</v>
      </c>
      <c r="M3559" t="s">
        <v>1625</v>
      </c>
    </row>
    <row r="3560" spans="1:14" x14ac:dyDescent="0.35">
      <c r="A3560" t="s">
        <v>8039</v>
      </c>
      <c r="B3560" t="s">
        <v>472</v>
      </c>
      <c r="C3560" t="s">
        <v>1904</v>
      </c>
      <c r="D3560" t="s">
        <v>4482</v>
      </c>
      <c r="E3560" t="s">
        <v>4439</v>
      </c>
      <c r="F3560" s="3">
        <v>44942</v>
      </c>
      <c r="G3560" s="3" t="s">
        <v>537</v>
      </c>
      <c r="I3560">
        <v>48</v>
      </c>
      <c r="J3560" t="s">
        <v>4440</v>
      </c>
      <c r="K3560" t="s">
        <v>4453</v>
      </c>
      <c r="L3560" t="s">
        <v>4488</v>
      </c>
      <c r="M3560" t="s">
        <v>4450</v>
      </c>
    </row>
    <row r="3561" spans="1:14" x14ac:dyDescent="0.35">
      <c r="A3561" t="s">
        <v>8040</v>
      </c>
      <c r="B3561" t="s">
        <v>370</v>
      </c>
      <c r="C3561" t="s">
        <v>1915</v>
      </c>
      <c r="D3561" t="s">
        <v>4460</v>
      </c>
      <c r="E3561" t="s">
        <v>4473</v>
      </c>
      <c r="F3561" s="3">
        <v>45072</v>
      </c>
      <c r="G3561" s="3">
        <v>45072</v>
      </c>
      <c r="H3561">
        <v>12</v>
      </c>
      <c r="I3561">
        <v>8</v>
      </c>
      <c r="J3561" t="s">
        <v>4440</v>
      </c>
      <c r="K3561" t="s">
        <v>4441</v>
      </c>
      <c r="L3561" t="s">
        <v>4445</v>
      </c>
      <c r="M3561" t="s">
        <v>4462</v>
      </c>
      <c r="N3561">
        <v>5</v>
      </c>
    </row>
    <row r="3562" spans="1:14" x14ac:dyDescent="0.35">
      <c r="A3562" t="s">
        <v>8041</v>
      </c>
      <c r="B3562" t="s">
        <v>384</v>
      </c>
      <c r="C3562" t="s">
        <v>1890</v>
      </c>
      <c r="D3562" t="s">
        <v>4479</v>
      </c>
      <c r="E3562" t="s">
        <v>4456</v>
      </c>
      <c r="F3562" s="3">
        <v>45601</v>
      </c>
      <c r="G3562" s="3" t="s">
        <v>537</v>
      </c>
      <c r="I3562">
        <v>4</v>
      </c>
      <c r="J3562" t="s">
        <v>4440</v>
      </c>
      <c r="K3562" t="s">
        <v>4453</v>
      </c>
      <c r="L3562" t="s">
        <v>4449</v>
      </c>
      <c r="M3562" t="s">
        <v>4446</v>
      </c>
    </row>
    <row r="3563" spans="1:14" x14ac:dyDescent="0.35">
      <c r="A3563" t="s">
        <v>8042</v>
      </c>
      <c r="B3563" t="s">
        <v>114</v>
      </c>
      <c r="C3563" t="s">
        <v>1883</v>
      </c>
      <c r="D3563" t="s">
        <v>4464</v>
      </c>
      <c r="E3563" t="s">
        <v>4444</v>
      </c>
      <c r="F3563" s="3">
        <v>45085</v>
      </c>
      <c r="G3563" s="3" t="s">
        <v>537</v>
      </c>
      <c r="I3563">
        <v>24</v>
      </c>
      <c r="J3563" t="s">
        <v>4440</v>
      </c>
      <c r="K3563" t="s">
        <v>4474</v>
      </c>
      <c r="L3563" t="s">
        <v>4512</v>
      </c>
      <c r="M3563" t="s">
        <v>1625</v>
      </c>
    </row>
    <row r="3564" spans="1:14" x14ac:dyDescent="0.35">
      <c r="A3564" t="s">
        <v>8043</v>
      </c>
      <c r="B3564" t="s">
        <v>321</v>
      </c>
      <c r="C3564" t="s">
        <v>1890</v>
      </c>
      <c r="D3564" t="s">
        <v>4460</v>
      </c>
      <c r="E3564" t="s">
        <v>4444</v>
      </c>
      <c r="F3564" s="3">
        <v>45057</v>
      </c>
      <c r="G3564" s="3">
        <v>45057</v>
      </c>
      <c r="H3564">
        <v>3.5</v>
      </c>
      <c r="I3564">
        <v>24</v>
      </c>
      <c r="J3564" t="s">
        <v>4448</v>
      </c>
      <c r="K3564" t="s">
        <v>4441</v>
      </c>
      <c r="L3564" t="s">
        <v>4580</v>
      </c>
      <c r="M3564" t="s">
        <v>4462</v>
      </c>
      <c r="N3564">
        <v>3</v>
      </c>
    </row>
    <row r="3565" spans="1:14" x14ac:dyDescent="0.35">
      <c r="A3565" t="s">
        <v>8044</v>
      </c>
      <c r="B3565" t="s">
        <v>146</v>
      </c>
      <c r="C3565" t="s">
        <v>1883</v>
      </c>
      <c r="D3565" t="s">
        <v>4482</v>
      </c>
      <c r="E3565" t="s">
        <v>4439</v>
      </c>
      <c r="F3565" s="3">
        <v>45496</v>
      </c>
      <c r="G3565" s="3">
        <v>45496</v>
      </c>
      <c r="H3565">
        <v>22.8</v>
      </c>
      <c r="I3565">
        <v>48</v>
      </c>
      <c r="J3565" t="s">
        <v>4448</v>
      </c>
      <c r="K3565" t="s">
        <v>4441</v>
      </c>
      <c r="L3565" t="s">
        <v>4501</v>
      </c>
      <c r="M3565" t="s">
        <v>4450</v>
      </c>
      <c r="N3565">
        <v>5</v>
      </c>
    </row>
    <row r="3566" spans="1:14" x14ac:dyDescent="0.35">
      <c r="A3566" t="s">
        <v>8045</v>
      </c>
      <c r="B3566" t="s">
        <v>201</v>
      </c>
      <c r="C3566" t="s">
        <v>1927</v>
      </c>
      <c r="D3566" t="s">
        <v>4479</v>
      </c>
      <c r="E3566" t="s">
        <v>4444</v>
      </c>
      <c r="F3566" s="3">
        <v>45322</v>
      </c>
      <c r="G3566" s="3" t="s">
        <v>537</v>
      </c>
      <c r="I3566">
        <v>24</v>
      </c>
      <c r="J3566" t="s">
        <v>4440</v>
      </c>
      <c r="K3566" t="s">
        <v>4457</v>
      </c>
      <c r="L3566" t="s">
        <v>4461</v>
      </c>
      <c r="M3566" t="s">
        <v>4450</v>
      </c>
    </row>
    <row r="3567" spans="1:14" x14ac:dyDescent="0.35">
      <c r="A3567" t="s">
        <v>8046</v>
      </c>
      <c r="B3567" t="s">
        <v>201</v>
      </c>
      <c r="C3567" t="s">
        <v>1890</v>
      </c>
      <c r="D3567" t="s">
        <v>4479</v>
      </c>
      <c r="E3567" t="s">
        <v>4444</v>
      </c>
      <c r="F3567" s="3">
        <v>45007</v>
      </c>
      <c r="G3567" s="3" t="s">
        <v>537</v>
      </c>
      <c r="I3567">
        <v>24</v>
      </c>
      <c r="J3567" t="s">
        <v>4448</v>
      </c>
      <c r="K3567" t="s">
        <v>4457</v>
      </c>
      <c r="L3567" t="s">
        <v>4512</v>
      </c>
      <c r="M3567" t="s">
        <v>1625</v>
      </c>
    </row>
    <row r="3568" spans="1:14" x14ac:dyDescent="0.35">
      <c r="A3568" t="s">
        <v>8047</v>
      </c>
      <c r="B3568" t="s">
        <v>309</v>
      </c>
      <c r="C3568" t="s">
        <v>1904</v>
      </c>
      <c r="D3568" t="s">
        <v>4469</v>
      </c>
      <c r="E3568" t="s">
        <v>4456</v>
      </c>
      <c r="F3568" s="3">
        <v>45098</v>
      </c>
      <c r="G3568" s="3">
        <v>45098</v>
      </c>
      <c r="H3568">
        <v>8.4</v>
      </c>
      <c r="I3568">
        <v>4</v>
      </c>
      <c r="J3568" t="s">
        <v>4440</v>
      </c>
      <c r="K3568" t="s">
        <v>4441</v>
      </c>
      <c r="L3568" t="s">
        <v>4527</v>
      </c>
      <c r="M3568" t="s">
        <v>4462</v>
      </c>
      <c r="N3568">
        <v>5</v>
      </c>
    </row>
    <row r="3569" spans="1:14" x14ac:dyDescent="0.35">
      <c r="A3569" t="s">
        <v>8048</v>
      </c>
      <c r="B3569" t="s">
        <v>130</v>
      </c>
      <c r="C3569" t="s">
        <v>1883</v>
      </c>
      <c r="D3569" t="s">
        <v>4479</v>
      </c>
      <c r="E3569" t="s">
        <v>4439</v>
      </c>
      <c r="F3569" s="3">
        <v>44960</v>
      </c>
      <c r="G3569" s="3" t="s">
        <v>537</v>
      </c>
      <c r="I3569">
        <v>48</v>
      </c>
      <c r="J3569" t="s">
        <v>4448</v>
      </c>
      <c r="K3569" t="s">
        <v>4474</v>
      </c>
      <c r="L3569" t="s">
        <v>4454</v>
      </c>
      <c r="M3569" t="s">
        <v>4446</v>
      </c>
    </row>
    <row r="3570" spans="1:14" x14ac:dyDescent="0.35">
      <c r="A3570" t="s">
        <v>8049</v>
      </c>
      <c r="B3570" t="s">
        <v>471</v>
      </c>
      <c r="C3570" t="s">
        <v>1899</v>
      </c>
      <c r="D3570" t="s">
        <v>4485</v>
      </c>
      <c r="E3570" t="s">
        <v>4439</v>
      </c>
      <c r="F3570" s="3">
        <v>45139</v>
      </c>
      <c r="G3570" s="3">
        <v>45141</v>
      </c>
      <c r="H3570">
        <v>66</v>
      </c>
      <c r="I3570">
        <v>48</v>
      </c>
      <c r="J3570" t="s">
        <v>4440</v>
      </c>
      <c r="K3570" t="s">
        <v>4441</v>
      </c>
      <c r="L3570" t="s">
        <v>4454</v>
      </c>
      <c r="M3570" t="s">
        <v>4450</v>
      </c>
      <c r="N3570">
        <v>3</v>
      </c>
    </row>
    <row r="3571" spans="1:14" x14ac:dyDescent="0.35">
      <c r="A3571" t="s">
        <v>8050</v>
      </c>
      <c r="B3571" t="s">
        <v>88</v>
      </c>
      <c r="C3571" t="s">
        <v>1890</v>
      </c>
      <c r="D3571" t="s">
        <v>4438</v>
      </c>
      <c r="E3571" t="s">
        <v>4456</v>
      </c>
      <c r="F3571" s="3">
        <v>45296</v>
      </c>
      <c r="G3571" s="3">
        <v>45296</v>
      </c>
      <c r="H3571">
        <v>5.8</v>
      </c>
      <c r="I3571">
        <v>4</v>
      </c>
      <c r="J3571" t="s">
        <v>4440</v>
      </c>
      <c r="K3571" t="s">
        <v>4441</v>
      </c>
      <c r="L3571" t="s">
        <v>4465</v>
      </c>
      <c r="M3571" t="s">
        <v>4446</v>
      </c>
    </row>
    <row r="3572" spans="1:14" x14ac:dyDescent="0.35">
      <c r="A3572" t="s">
        <v>8051</v>
      </c>
      <c r="B3572" t="s">
        <v>135</v>
      </c>
      <c r="C3572" t="s">
        <v>1883</v>
      </c>
      <c r="D3572" t="s">
        <v>4469</v>
      </c>
      <c r="E3572" t="s">
        <v>4439</v>
      </c>
      <c r="F3572" s="3">
        <v>45217</v>
      </c>
      <c r="G3572" s="3" t="s">
        <v>537</v>
      </c>
      <c r="I3572">
        <v>48</v>
      </c>
      <c r="J3572" t="s">
        <v>4448</v>
      </c>
      <c r="K3572" t="s">
        <v>4474</v>
      </c>
      <c r="L3572" t="s">
        <v>4483</v>
      </c>
      <c r="M3572" t="s">
        <v>4462</v>
      </c>
    </row>
    <row r="3573" spans="1:14" x14ac:dyDescent="0.35">
      <c r="A3573" t="s">
        <v>8052</v>
      </c>
      <c r="B3573" t="s">
        <v>200</v>
      </c>
      <c r="C3573" t="s">
        <v>1883</v>
      </c>
      <c r="D3573" t="s">
        <v>4479</v>
      </c>
      <c r="E3573" t="s">
        <v>4444</v>
      </c>
      <c r="F3573" s="3">
        <v>45705</v>
      </c>
      <c r="G3573" s="3">
        <v>45705</v>
      </c>
      <c r="H3573">
        <v>7.7</v>
      </c>
      <c r="I3573">
        <v>24</v>
      </c>
      <c r="J3573" t="s">
        <v>4448</v>
      </c>
      <c r="K3573" t="s">
        <v>4441</v>
      </c>
      <c r="L3573" t="s">
        <v>4514</v>
      </c>
      <c r="M3573" t="s">
        <v>4450</v>
      </c>
      <c r="N3573">
        <v>5</v>
      </c>
    </row>
    <row r="3574" spans="1:14" x14ac:dyDescent="0.35">
      <c r="A3574" t="s">
        <v>8053</v>
      </c>
      <c r="B3574" t="s">
        <v>339</v>
      </c>
      <c r="C3574" t="s">
        <v>1904</v>
      </c>
      <c r="D3574" t="s">
        <v>4472</v>
      </c>
      <c r="E3574" t="s">
        <v>4439</v>
      </c>
      <c r="F3574" s="3">
        <v>45422</v>
      </c>
      <c r="G3574" s="3" t="s">
        <v>537</v>
      </c>
      <c r="I3574">
        <v>48</v>
      </c>
      <c r="J3574" t="s">
        <v>4440</v>
      </c>
      <c r="K3574" t="s">
        <v>4453</v>
      </c>
      <c r="L3574" t="s">
        <v>4480</v>
      </c>
      <c r="M3574" t="s">
        <v>1625</v>
      </c>
    </row>
    <row r="3575" spans="1:14" x14ac:dyDescent="0.35">
      <c r="A3575" t="s">
        <v>8054</v>
      </c>
      <c r="B3575" t="s">
        <v>299</v>
      </c>
      <c r="C3575" t="s">
        <v>1883</v>
      </c>
      <c r="D3575" t="s">
        <v>4476</v>
      </c>
      <c r="E3575" t="s">
        <v>4444</v>
      </c>
      <c r="F3575" s="3">
        <v>45525</v>
      </c>
      <c r="G3575" s="3">
        <v>45525</v>
      </c>
      <c r="H3575">
        <v>16.7</v>
      </c>
      <c r="I3575">
        <v>24</v>
      </c>
      <c r="J3575" t="s">
        <v>4448</v>
      </c>
      <c r="K3575" t="s">
        <v>4441</v>
      </c>
      <c r="L3575" t="s">
        <v>4465</v>
      </c>
      <c r="M3575" t="s">
        <v>1625</v>
      </c>
      <c r="N3575">
        <v>4</v>
      </c>
    </row>
    <row r="3576" spans="1:14" x14ac:dyDescent="0.35">
      <c r="A3576" t="s">
        <v>8055</v>
      </c>
      <c r="B3576" t="s">
        <v>214</v>
      </c>
      <c r="C3576" t="s">
        <v>1927</v>
      </c>
      <c r="D3576" t="s">
        <v>4485</v>
      </c>
      <c r="E3576" t="s">
        <v>4439</v>
      </c>
      <c r="F3576" s="3">
        <v>45342</v>
      </c>
      <c r="G3576" s="3">
        <v>45344</v>
      </c>
      <c r="H3576">
        <v>70.599999999999994</v>
      </c>
      <c r="I3576">
        <v>48</v>
      </c>
      <c r="J3576" t="s">
        <v>4440</v>
      </c>
      <c r="K3576" t="s">
        <v>4441</v>
      </c>
      <c r="L3576" t="s">
        <v>4454</v>
      </c>
      <c r="M3576" t="s">
        <v>4462</v>
      </c>
    </row>
    <row r="3577" spans="1:14" x14ac:dyDescent="0.35">
      <c r="A3577" t="s">
        <v>8056</v>
      </c>
      <c r="B3577" t="s">
        <v>126</v>
      </c>
      <c r="C3577" t="s">
        <v>1899</v>
      </c>
      <c r="D3577" t="s">
        <v>4472</v>
      </c>
      <c r="E3577" t="s">
        <v>4456</v>
      </c>
      <c r="F3577" s="3">
        <v>45133</v>
      </c>
      <c r="G3577" s="3">
        <v>45133</v>
      </c>
      <c r="H3577">
        <v>5.9</v>
      </c>
      <c r="I3577">
        <v>4</v>
      </c>
      <c r="J3577" t="s">
        <v>4440</v>
      </c>
      <c r="K3577" t="s">
        <v>4441</v>
      </c>
      <c r="L3577" t="s">
        <v>4461</v>
      </c>
      <c r="M3577" t="s">
        <v>4462</v>
      </c>
      <c r="N3577">
        <v>4</v>
      </c>
    </row>
    <row r="3578" spans="1:14" x14ac:dyDescent="0.35">
      <c r="A3578" t="s">
        <v>8057</v>
      </c>
      <c r="B3578" t="s">
        <v>494</v>
      </c>
      <c r="C3578" t="s">
        <v>1899</v>
      </c>
      <c r="D3578" t="s">
        <v>4479</v>
      </c>
      <c r="E3578" t="s">
        <v>4444</v>
      </c>
      <c r="F3578" s="3">
        <v>44934</v>
      </c>
      <c r="G3578" s="3">
        <v>44935</v>
      </c>
      <c r="H3578">
        <v>40.200000000000003</v>
      </c>
      <c r="I3578">
        <v>24</v>
      </c>
      <c r="J3578" t="s">
        <v>4440</v>
      </c>
      <c r="K3578" t="s">
        <v>4441</v>
      </c>
      <c r="L3578" t="s">
        <v>4501</v>
      </c>
      <c r="M3578" t="s">
        <v>4446</v>
      </c>
      <c r="N3578">
        <v>4</v>
      </c>
    </row>
    <row r="3579" spans="1:14" x14ac:dyDescent="0.35">
      <c r="A3579" t="s">
        <v>8058</v>
      </c>
      <c r="B3579" t="s">
        <v>345</v>
      </c>
      <c r="C3579" t="s">
        <v>1883</v>
      </c>
      <c r="D3579" t="s">
        <v>4438</v>
      </c>
      <c r="E3579" t="s">
        <v>4444</v>
      </c>
      <c r="F3579" s="3">
        <v>45561</v>
      </c>
      <c r="G3579" s="3">
        <v>45562</v>
      </c>
      <c r="H3579">
        <v>32.4</v>
      </c>
      <c r="I3579">
        <v>24</v>
      </c>
      <c r="J3579" t="s">
        <v>4440</v>
      </c>
      <c r="K3579" t="s">
        <v>4441</v>
      </c>
      <c r="L3579" t="s">
        <v>4480</v>
      </c>
      <c r="M3579" t="s">
        <v>4446</v>
      </c>
      <c r="N3579">
        <v>4</v>
      </c>
    </row>
    <row r="3580" spans="1:14" x14ac:dyDescent="0.35">
      <c r="A3580" t="s">
        <v>8059</v>
      </c>
      <c r="B3580" t="s">
        <v>180</v>
      </c>
      <c r="C3580" t="s">
        <v>1890</v>
      </c>
      <c r="D3580" t="s">
        <v>4469</v>
      </c>
      <c r="E3580" t="s">
        <v>4439</v>
      </c>
      <c r="F3580" s="3">
        <v>45512</v>
      </c>
      <c r="G3580" s="3">
        <v>45516</v>
      </c>
      <c r="H3580">
        <v>117.1</v>
      </c>
      <c r="I3580">
        <v>48</v>
      </c>
      <c r="J3580" t="s">
        <v>4440</v>
      </c>
      <c r="K3580" t="s">
        <v>4441</v>
      </c>
      <c r="L3580" t="s">
        <v>4533</v>
      </c>
      <c r="M3580" t="s">
        <v>4446</v>
      </c>
      <c r="N3580">
        <v>3</v>
      </c>
    </row>
    <row r="3581" spans="1:14" x14ac:dyDescent="0.35">
      <c r="A3581" t="s">
        <v>8060</v>
      </c>
      <c r="B3581" t="s">
        <v>356</v>
      </c>
      <c r="C3581" t="s">
        <v>1883</v>
      </c>
      <c r="D3581" t="s">
        <v>4443</v>
      </c>
      <c r="E3581" t="s">
        <v>4473</v>
      </c>
      <c r="F3581" s="3">
        <v>45393</v>
      </c>
      <c r="G3581" s="3">
        <v>45393</v>
      </c>
      <c r="H3581">
        <v>2.4</v>
      </c>
      <c r="I3581">
        <v>8</v>
      </c>
      <c r="J3581" t="s">
        <v>4448</v>
      </c>
      <c r="K3581" t="s">
        <v>4441</v>
      </c>
      <c r="L3581" t="s">
        <v>4449</v>
      </c>
      <c r="M3581" t="s">
        <v>4450</v>
      </c>
      <c r="N3581">
        <v>5</v>
      </c>
    </row>
    <row r="3582" spans="1:14" x14ac:dyDescent="0.35">
      <c r="A3582" t="s">
        <v>8061</v>
      </c>
      <c r="B3582" t="s">
        <v>128</v>
      </c>
      <c r="C3582" t="s">
        <v>1904</v>
      </c>
      <c r="D3582" t="s">
        <v>4472</v>
      </c>
      <c r="E3582" t="s">
        <v>4444</v>
      </c>
      <c r="F3582" s="3">
        <v>44990</v>
      </c>
      <c r="G3582" s="3">
        <v>44992</v>
      </c>
      <c r="H3582">
        <v>52.5</v>
      </c>
      <c r="I3582">
        <v>24</v>
      </c>
      <c r="J3582" t="s">
        <v>4440</v>
      </c>
      <c r="K3582" t="s">
        <v>4441</v>
      </c>
      <c r="L3582" t="s">
        <v>4509</v>
      </c>
      <c r="M3582" t="s">
        <v>4462</v>
      </c>
      <c r="N3582">
        <v>2</v>
      </c>
    </row>
    <row r="3583" spans="1:14" x14ac:dyDescent="0.35">
      <c r="A3583" t="s">
        <v>8062</v>
      </c>
      <c r="B3583" t="s">
        <v>88</v>
      </c>
      <c r="C3583" t="s">
        <v>1915</v>
      </c>
      <c r="D3583" t="s">
        <v>4472</v>
      </c>
      <c r="E3583" t="s">
        <v>4456</v>
      </c>
      <c r="F3583" s="3">
        <v>45078</v>
      </c>
      <c r="G3583" s="3" t="s">
        <v>537</v>
      </c>
      <c r="I3583">
        <v>4</v>
      </c>
      <c r="J3583" t="s">
        <v>4448</v>
      </c>
      <c r="K3583" t="s">
        <v>4457</v>
      </c>
      <c r="L3583" t="s">
        <v>4454</v>
      </c>
      <c r="M3583" t="s">
        <v>4462</v>
      </c>
    </row>
    <row r="3584" spans="1:14" x14ac:dyDescent="0.35">
      <c r="A3584" t="s">
        <v>8063</v>
      </c>
      <c r="B3584" t="s">
        <v>118</v>
      </c>
      <c r="C3584" t="s">
        <v>1890</v>
      </c>
      <c r="D3584" t="s">
        <v>4438</v>
      </c>
      <c r="E3584" t="s">
        <v>4444</v>
      </c>
      <c r="F3584" s="3">
        <v>45254</v>
      </c>
      <c r="G3584" s="3">
        <v>45256</v>
      </c>
      <c r="H3584">
        <v>49</v>
      </c>
      <c r="I3584">
        <v>24</v>
      </c>
      <c r="J3584" t="s">
        <v>4440</v>
      </c>
      <c r="K3584" t="s">
        <v>4441</v>
      </c>
      <c r="L3584" t="s">
        <v>4458</v>
      </c>
      <c r="M3584" t="s">
        <v>4446</v>
      </c>
      <c r="N3584">
        <v>4</v>
      </c>
    </row>
    <row r="3585" spans="1:14" x14ac:dyDescent="0.35">
      <c r="A3585" t="s">
        <v>8064</v>
      </c>
      <c r="B3585" t="s">
        <v>27</v>
      </c>
      <c r="C3585" t="s">
        <v>1899</v>
      </c>
      <c r="D3585" t="s">
        <v>4476</v>
      </c>
      <c r="E3585" t="s">
        <v>4439</v>
      </c>
      <c r="F3585" s="3">
        <v>45632</v>
      </c>
      <c r="G3585" s="3">
        <v>45635</v>
      </c>
      <c r="H3585">
        <v>84</v>
      </c>
      <c r="I3585">
        <v>48</v>
      </c>
      <c r="J3585" t="s">
        <v>4440</v>
      </c>
      <c r="K3585" t="s">
        <v>4441</v>
      </c>
      <c r="L3585" t="s">
        <v>4483</v>
      </c>
      <c r="M3585" t="s">
        <v>4446</v>
      </c>
      <c r="N3585">
        <v>3</v>
      </c>
    </row>
    <row r="3586" spans="1:14" x14ac:dyDescent="0.35">
      <c r="A3586" t="s">
        <v>8065</v>
      </c>
      <c r="B3586" t="s">
        <v>289</v>
      </c>
      <c r="C3586" t="s">
        <v>1915</v>
      </c>
      <c r="D3586" t="s">
        <v>4452</v>
      </c>
      <c r="E3586" t="s">
        <v>4473</v>
      </c>
      <c r="F3586" s="3">
        <v>45555</v>
      </c>
      <c r="G3586" s="3" t="s">
        <v>537</v>
      </c>
      <c r="I3586">
        <v>8</v>
      </c>
      <c r="J3586" t="s">
        <v>4440</v>
      </c>
      <c r="K3586" t="s">
        <v>4457</v>
      </c>
      <c r="L3586" t="s">
        <v>4470</v>
      </c>
      <c r="M3586" t="s">
        <v>1625</v>
      </c>
    </row>
    <row r="3587" spans="1:14" x14ac:dyDescent="0.35">
      <c r="A3587" t="s">
        <v>8066</v>
      </c>
      <c r="B3587" t="s">
        <v>176</v>
      </c>
      <c r="C3587" t="s">
        <v>1927</v>
      </c>
      <c r="D3587" t="s">
        <v>4452</v>
      </c>
      <c r="E3587" t="s">
        <v>4444</v>
      </c>
      <c r="F3587" s="3">
        <v>45330</v>
      </c>
      <c r="G3587" s="3">
        <v>45331</v>
      </c>
      <c r="H3587">
        <v>34.6</v>
      </c>
      <c r="I3587">
        <v>24</v>
      </c>
      <c r="J3587" t="s">
        <v>4440</v>
      </c>
      <c r="K3587" t="s">
        <v>4441</v>
      </c>
      <c r="L3587" t="s">
        <v>4461</v>
      </c>
      <c r="M3587" t="s">
        <v>1625</v>
      </c>
      <c r="N3587">
        <v>3</v>
      </c>
    </row>
    <row r="3588" spans="1:14" x14ac:dyDescent="0.35">
      <c r="A3588" t="s">
        <v>8067</v>
      </c>
      <c r="B3588" t="s">
        <v>176</v>
      </c>
      <c r="C3588" t="s">
        <v>1927</v>
      </c>
      <c r="D3588" t="s">
        <v>4476</v>
      </c>
      <c r="E3588" t="s">
        <v>4444</v>
      </c>
      <c r="F3588" s="3">
        <v>44986</v>
      </c>
      <c r="G3588" s="3">
        <v>44987</v>
      </c>
      <c r="H3588">
        <v>47.8</v>
      </c>
      <c r="I3588">
        <v>24</v>
      </c>
      <c r="J3588" t="s">
        <v>4440</v>
      </c>
      <c r="K3588" t="s">
        <v>4441</v>
      </c>
      <c r="L3588" t="s">
        <v>4533</v>
      </c>
      <c r="M3588" t="s">
        <v>1625</v>
      </c>
      <c r="N3588">
        <v>1</v>
      </c>
    </row>
    <row r="3589" spans="1:14" x14ac:dyDescent="0.35">
      <c r="A3589" t="s">
        <v>8068</v>
      </c>
      <c r="B3589" t="s">
        <v>230</v>
      </c>
      <c r="C3589" t="s">
        <v>1915</v>
      </c>
      <c r="D3589" t="s">
        <v>4479</v>
      </c>
      <c r="E3589" t="s">
        <v>4439</v>
      </c>
      <c r="F3589" s="3">
        <v>45109</v>
      </c>
      <c r="G3589" s="3" t="s">
        <v>537</v>
      </c>
      <c r="I3589">
        <v>48</v>
      </c>
      <c r="J3589" t="s">
        <v>4440</v>
      </c>
      <c r="K3589" t="s">
        <v>4474</v>
      </c>
      <c r="L3589" t="s">
        <v>4458</v>
      </c>
      <c r="M3589" t="s">
        <v>4446</v>
      </c>
    </row>
    <row r="3590" spans="1:14" x14ac:dyDescent="0.35">
      <c r="A3590" t="s">
        <v>8069</v>
      </c>
      <c r="B3590" t="s">
        <v>193</v>
      </c>
      <c r="C3590" t="s">
        <v>1904</v>
      </c>
      <c r="D3590" t="s">
        <v>4472</v>
      </c>
      <c r="E3590" t="s">
        <v>4444</v>
      </c>
      <c r="F3590" s="3">
        <v>45309</v>
      </c>
      <c r="G3590" s="3">
        <v>45310</v>
      </c>
      <c r="H3590">
        <v>34.799999999999997</v>
      </c>
      <c r="I3590">
        <v>24</v>
      </c>
      <c r="J3590" t="s">
        <v>4440</v>
      </c>
      <c r="K3590" t="s">
        <v>4441</v>
      </c>
      <c r="L3590" t="s">
        <v>1907</v>
      </c>
      <c r="M3590" t="s">
        <v>4450</v>
      </c>
      <c r="N3590">
        <v>3</v>
      </c>
    </row>
    <row r="3591" spans="1:14" x14ac:dyDescent="0.35">
      <c r="A3591" t="s">
        <v>8070</v>
      </c>
      <c r="B3591" t="s">
        <v>444</v>
      </c>
      <c r="C3591" t="s">
        <v>1899</v>
      </c>
      <c r="D3591" t="s">
        <v>4485</v>
      </c>
      <c r="E3591" t="s">
        <v>4444</v>
      </c>
      <c r="F3591" s="3">
        <v>45197</v>
      </c>
      <c r="G3591" s="3" t="s">
        <v>537</v>
      </c>
      <c r="I3591">
        <v>24</v>
      </c>
      <c r="J3591" t="s">
        <v>4440</v>
      </c>
      <c r="K3591" t="s">
        <v>4457</v>
      </c>
      <c r="L3591" t="s">
        <v>4480</v>
      </c>
      <c r="M3591" t="s">
        <v>4446</v>
      </c>
    </row>
    <row r="3592" spans="1:14" x14ac:dyDescent="0.35">
      <c r="A3592" t="s">
        <v>8071</v>
      </c>
      <c r="B3592" t="s">
        <v>471</v>
      </c>
      <c r="C3592" t="s">
        <v>1904</v>
      </c>
      <c r="D3592" t="s">
        <v>4460</v>
      </c>
      <c r="E3592" t="s">
        <v>4439</v>
      </c>
      <c r="F3592" s="3">
        <v>45369</v>
      </c>
      <c r="G3592" s="3">
        <v>45372</v>
      </c>
      <c r="H3592">
        <v>77</v>
      </c>
      <c r="I3592">
        <v>48</v>
      </c>
      <c r="J3592" t="s">
        <v>4440</v>
      </c>
      <c r="K3592" t="s">
        <v>4441</v>
      </c>
      <c r="L3592" t="s">
        <v>4512</v>
      </c>
      <c r="M3592" t="s">
        <v>1625</v>
      </c>
      <c r="N3592">
        <v>5</v>
      </c>
    </row>
    <row r="3593" spans="1:14" x14ac:dyDescent="0.35">
      <c r="A3593" t="s">
        <v>8072</v>
      </c>
      <c r="B3593" t="s">
        <v>200</v>
      </c>
      <c r="C3593" t="s">
        <v>1927</v>
      </c>
      <c r="D3593" t="s">
        <v>4472</v>
      </c>
      <c r="E3593" t="s">
        <v>4473</v>
      </c>
      <c r="F3593" s="3">
        <v>45354</v>
      </c>
      <c r="G3593" s="3">
        <v>45354</v>
      </c>
      <c r="H3593">
        <v>1.6</v>
      </c>
      <c r="I3593">
        <v>8</v>
      </c>
      <c r="J3593" t="s">
        <v>4448</v>
      </c>
      <c r="K3593" t="s">
        <v>4441</v>
      </c>
      <c r="L3593" t="s">
        <v>4488</v>
      </c>
      <c r="M3593" t="s">
        <v>4450</v>
      </c>
    </row>
    <row r="3594" spans="1:14" x14ac:dyDescent="0.35">
      <c r="A3594" t="s">
        <v>8073</v>
      </c>
      <c r="B3594" t="s">
        <v>408</v>
      </c>
      <c r="C3594" t="s">
        <v>1883</v>
      </c>
      <c r="D3594" t="s">
        <v>4479</v>
      </c>
      <c r="E3594" t="s">
        <v>4439</v>
      </c>
      <c r="F3594" s="3">
        <v>45655</v>
      </c>
      <c r="G3594" s="3">
        <v>45659</v>
      </c>
      <c r="H3594">
        <v>117.2</v>
      </c>
      <c r="I3594">
        <v>48</v>
      </c>
      <c r="J3594" t="s">
        <v>4440</v>
      </c>
      <c r="K3594" t="s">
        <v>4441</v>
      </c>
      <c r="L3594" t="s">
        <v>4527</v>
      </c>
      <c r="M3594" t="s">
        <v>4446</v>
      </c>
      <c r="N3594">
        <v>3</v>
      </c>
    </row>
    <row r="3595" spans="1:14" x14ac:dyDescent="0.35">
      <c r="A3595" t="s">
        <v>8074</v>
      </c>
      <c r="B3595" t="s">
        <v>392</v>
      </c>
      <c r="C3595" t="s">
        <v>1904</v>
      </c>
      <c r="D3595" t="s">
        <v>4482</v>
      </c>
      <c r="E3595" t="s">
        <v>4444</v>
      </c>
      <c r="F3595" s="3">
        <v>45085</v>
      </c>
      <c r="G3595" s="3" t="s">
        <v>537</v>
      </c>
      <c r="I3595">
        <v>24</v>
      </c>
      <c r="J3595" t="s">
        <v>4448</v>
      </c>
      <c r="K3595" t="s">
        <v>4474</v>
      </c>
      <c r="L3595" t="s">
        <v>1907</v>
      </c>
      <c r="M3595" t="s">
        <v>4450</v>
      </c>
    </row>
    <row r="3596" spans="1:14" x14ac:dyDescent="0.35">
      <c r="A3596" t="s">
        <v>8075</v>
      </c>
      <c r="B3596" t="s">
        <v>68</v>
      </c>
      <c r="C3596" t="s">
        <v>1904</v>
      </c>
      <c r="D3596" t="s">
        <v>4485</v>
      </c>
      <c r="E3596" t="s">
        <v>4473</v>
      </c>
      <c r="F3596" s="3">
        <v>45620</v>
      </c>
      <c r="G3596" s="3">
        <v>45620</v>
      </c>
      <c r="H3596">
        <v>9.3000000000000007</v>
      </c>
      <c r="I3596">
        <v>8</v>
      </c>
      <c r="J3596" t="s">
        <v>4440</v>
      </c>
      <c r="K3596" t="s">
        <v>4441</v>
      </c>
      <c r="L3596" t="s">
        <v>4461</v>
      </c>
      <c r="M3596" t="s">
        <v>1625</v>
      </c>
      <c r="N3596">
        <v>3</v>
      </c>
    </row>
    <row r="3597" spans="1:14" x14ac:dyDescent="0.35">
      <c r="A3597" t="s">
        <v>8076</v>
      </c>
      <c r="B3597" t="s">
        <v>11</v>
      </c>
      <c r="C3597" t="s">
        <v>1883</v>
      </c>
      <c r="D3597" t="s">
        <v>4438</v>
      </c>
      <c r="E3597" t="s">
        <v>4444</v>
      </c>
      <c r="F3597" s="3">
        <v>45348</v>
      </c>
      <c r="G3597" s="3">
        <v>45349</v>
      </c>
      <c r="H3597">
        <v>47.5</v>
      </c>
      <c r="I3597">
        <v>24</v>
      </c>
      <c r="J3597" t="s">
        <v>4440</v>
      </c>
      <c r="K3597" t="s">
        <v>4441</v>
      </c>
      <c r="L3597" t="s">
        <v>4492</v>
      </c>
      <c r="M3597" t="s">
        <v>4446</v>
      </c>
      <c r="N3597">
        <v>4</v>
      </c>
    </row>
    <row r="3598" spans="1:14" x14ac:dyDescent="0.35">
      <c r="A3598" t="s">
        <v>8077</v>
      </c>
      <c r="B3598" t="s">
        <v>297</v>
      </c>
      <c r="C3598" t="s">
        <v>1890</v>
      </c>
      <c r="D3598" t="s">
        <v>4438</v>
      </c>
      <c r="E3598" t="s">
        <v>4473</v>
      </c>
      <c r="F3598" s="3">
        <v>45088</v>
      </c>
      <c r="G3598" s="3">
        <v>45088</v>
      </c>
      <c r="H3598">
        <v>10.199999999999999</v>
      </c>
      <c r="I3598">
        <v>8</v>
      </c>
      <c r="J3598" t="s">
        <v>4440</v>
      </c>
      <c r="K3598" t="s">
        <v>4441</v>
      </c>
      <c r="L3598" t="s">
        <v>4449</v>
      </c>
      <c r="M3598" t="s">
        <v>4450</v>
      </c>
      <c r="N3598">
        <v>4</v>
      </c>
    </row>
    <row r="3599" spans="1:14" x14ac:dyDescent="0.35">
      <c r="A3599" t="s">
        <v>8078</v>
      </c>
      <c r="B3599" t="s">
        <v>112</v>
      </c>
      <c r="C3599" t="s">
        <v>1915</v>
      </c>
      <c r="D3599" t="s">
        <v>4464</v>
      </c>
      <c r="E3599" t="s">
        <v>4473</v>
      </c>
      <c r="F3599" s="3">
        <v>45195</v>
      </c>
      <c r="G3599" s="3">
        <v>45195</v>
      </c>
      <c r="H3599">
        <v>16.899999999999999</v>
      </c>
      <c r="I3599">
        <v>8</v>
      </c>
      <c r="J3599" t="s">
        <v>4440</v>
      </c>
      <c r="K3599" t="s">
        <v>4441</v>
      </c>
      <c r="L3599" t="s">
        <v>4488</v>
      </c>
      <c r="M3599" t="s">
        <v>4462</v>
      </c>
      <c r="N3599">
        <v>5</v>
      </c>
    </row>
    <row r="3600" spans="1:14" x14ac:dyDescent="0.35">
      <c r="A3600" t="s">
        <v>8079</v>
      </c>
      <c r="B3600" t="s">
        <v>494</v>
      </c>
      <c r="C3600" t="s">
        <v>1927</v>
      </c>
      <c r="D3600" t="s">
        <v>4443</v>
      </c>
      <c r="E3600" t="s">
        <v>4473</v>
      </c>
      <c r="F3600" s="3">
        <v>44943</v>
      </c>
      <c r="G3600" s="3" t="s">
        <v>537</v>
      </c>
      <c r="I3600">
        <v>8</v>
      </c>
      <c r="J3600" t="s">
        <v>4440</v>
      </c>
      <c r="K3600" t="s">
        <v>4474</v>
      </c>
      <c r="L3600" t="s">
        <v>4465</v>
      </c>
      <c r="M3600" t="s">
        <v>4446</v>
      </c>
    </row>
    <row r="3601" spans="1:14" x14ac:dyDescent="0.35">
      <c r="A3601" t="s">
        <v>8080</v>
      </c>
      <c r="B3601" t="s">
        <v>494</v>
      </c>
      <c r="C3601" t="s">
        <v>1890</v>
      </c>
      <c r="D3601" t="s">
        <v>4460</v>
      </c>
      <c r="E3601" t="s">
        <v>4439</v>
      </c>
      <c r="F3601" s="3">
        <v>45344</v>
      </c>
      <c r="G3601" s="3">
        <v>45346</v>
      </c>
      <c r="H3601">
        <v>70.8</v>
      </c>
      <c r="I3601">
        <v>48</v>
      </c>
      <c r="J3601" t="s">
        <v>4440</v>
      </c>
      <c r="K3601" t="s">
        <v>4441</v>
      </c>
      <c r="L3601" t="s">
        <v>4580</v>
      </c>
      <c r="M3601" t="s">
        <v>4446</v>
      </c>
    </row>
    <row r="3602" spans="1:14" x14ac:dyDescent="0.35">
      <c r="A3602" t="s">
        <v>8081</v>
      </c>
      <c r="B3602" t="s">
        <v>60</v>
      </c>
      <c r="C3602" t="s">
        <v>1899</v>
      </c>
      <c r="D3602" t="s">
        <v>4482</v>
      </c>
      <c r="E3602" t="s">
        <v>4439</v>
      </c>
      <c r="F3602" s="3">
        <v>45345</v>
      </c>
      <c r="G3602" s="3" t="s">
        <v>537</v>
      </c>
      <c r="I3602">
        <v>48</v>
      </c>
      <c r="J3602" t="s">
        <v>4448</v>
      </c>
      <c r="K3602" t="s">
        <v>4474</v>
      </c>
      <c r="L3602" t="s">
        <v>4449</v>
      </c>
      <c r="M3602" t="s">
        <v>1625</v>
      </c>
    </row>
    <row r="3603" spans="1:14" x14ac:dyDescent="0.35">
      <c r="A3603" t="s">
        <v>8082</v>
      </c>
      <c r="B3603" t="s">
        <v>404</v>
      </c>
      <c r="C3603" t="s">
        <v>1899</v>
      </c>
      <c r="D3603" t="s">
        <v>4438</v>
      </c>
      <c r="E3603" t="s">
        <v>4444</v>
      </c>
      <c r="F3603" s="3">
        <v>45656</v>
      </c>
      <c r="G3603" s="3" t="s">
        <v>537</v>
      </c>
      <c r="I3603">
        <v>24</v>
      </c>
      <c r="J3603" t="s">
        <v>4448</v>
      </c>
      <c r="K3603" t="s">
        <v>4457</v>
      </c>
      <c r="L3603" t="s">
        <v>4488</v>
      </c>
      <c r="M3603" t="s">
        <v>4446</v>
      </c>
    </row>
    <row r="3604" spans="1:14" x14ac:dyDescent="0.35">
      <c r="A3604" t="s">
        <v>8083</v>
      </c>
      <c r="B3604" t="s">
        <v>428</v>
      </c>
      <c r="C3604" t="s">
        <v>1883</v>
      </c>
      <c r="D3604" t="s">
        <v>4476</v>
      </c>
      <c r="E3604" t="s">
        <v>4473</v>
      </c>
      <c r="F3604" s="3">
        <v>45119</v>
      </c>
      <c r="G3604" s="3">
        <v>45119</v>
      </c>
      <c r="H3604">
        <v>3.8</v>
      </c>
      <c r="I3604">
        <v>8</v>
      </c>
      <c r="J3604" t="s">
        <v>4448</v>
      </c>
      <c r="K3604" t="s">
        <v>4441</v>
      </c>
      <c r="L3604" t="s">
        <v>4501</v>
      </c>
      <c r="M3604" t="s">
        <v>4446</v>
      </c>
      <c r="N3604">
        <v>4</v>
      </c>
    </row>
    <row r="3605" spans="1:14" x14ac:dyDescent="0.35">
      <c r="A3605" t="s">
        <v>8084</v>
      </c>
      <c r="B3605" t="s">
        <v>324</v>
      </c>
      <c r="C3605" t="s">
        <v>1927</v>
      </c>
      <c r="D3605" t="s">
        <v>4460</v>
      </c>
      <c r="E3605" t="s">
        <v>4439</v>
      </c>
      <c r="F3605" s="3">
        <v>45350</v>
      </c>
      <c r="G3605" s="3" t="s">
        <v>537</v>
      </c>
      <c r="I3605">
        <v>48</v>
      </c>
      <c r="J3605" t="s">
        <v>4440</v>
      </c>
      <c r="K3605" t="s">
        <v>4474</v>
      </c>
      <c r="L3605" t="s">
        <v>4533</v>
      </c>
      <c r="M3605" t="s">
        <v>4450</v>
      </c>
    </row>
    <row r="3606" spans="1:14" x14ac:dyDescent="0.35">
      <c r="A3606" t="s">
        <v>8085</v>
      </c>
      <c r="B3606" t="s">
        <v>473</v>
      </c>
      <c r="C3606" t="s">
        <v>1927</v>
      </c>
      <c r="D3606" t="s">
        <v>4460</v>
      </c>
      <c r="E3606" t="s">
        <v>4444</v>
      </c>
      <c r="F3606" s="3">
        <v>45435</v>
      </c>
      <c r="G3606" s="3">
        <v>45435</v>
      </c>
      <c r="H3606">
        <v>17.3</v>
      </c>
      <c r="I3606">
        <v>24</v>
      </c>
      <c r="J3606" t="s">
        <v>4448</v>
      </c>
      <c r="K3606" t="s">
        <v>4441</v>
      </c>
      <c r="L3606" t="s">
        <v>4465</v>
      </c>
      <c r="M3606" t="s">
        <v>4462</v>
      </c>
    </row>
    <row r="3607" spans="1:14" x14ac:dyDescent="0.35">
      <c r="A3607" t="s">
        <v>8086</v>
      </c>
      <c r="B3607" t="s">
        <v>483</v>
      </c>
      <c r="C3607" t="s">
        <v>1915</v>
      </c>
      <c r="D3607" t="s">
        <v>4479</v>
      </c>
      <c r="E3607" t="s">
        <v>79</v>
      </c>
      <c r="F3607" s="3">
        <v>45418</v>
      </c>
      <c r="G3607" s="3">
        <v>45419</v>
      </c>
      <c r="H3607">
        <v>38.200000000000003</v>
      </c>
      <c r="I3607">
        <v>24</v>
      </c>
      <c r="J3607" t="s">
        <v>4440</v>
      </c>
      <c r="K3607" t="s">
        <v>4441</v>
      </c>
      <c r="L3607" t="s">
        <v>4445</v>
      </c>
      <c r="M3607" t="s">
        <v>1625</v>
      </c>
      <c r="N3607">
        <v>4</v>
      </c>
    </row>
    <row r="3608" spans="1:14" x14ac:dyDescent="0.35">
      <c r="A3608" t="s">
        <v>8087</v>
      </c>
      <c r="B3608" t="s">
        <v>236</v>
      </c>
      <c r="C3608" t="s">
        <v>1904</v>
      </c>
      <c r="D3608" t="s">
        <v>8510</v>
      </c>
      <c r="E3608" t="s">
        <v>4444</v>
      </c>
      <c r="F3608" s="3">
        <v>45685</v>
      </c>
      <c r="G3608" s="3">
        <v>45687</v>
      </c>
      <c r="H3608">
        <v>51.7</v>
      </c>
      <c r="I3608">
        <v>24</v>
      </c>
      <c r="J3608" t="s">
        <v>4440</v>
      </c>
      <c r="K3608" t="s">
        <v>4441</v>
      </c>
      <c r="L3608" t="s">
        <v>4449</v>
      </c>
      <c r="M3608" t="s">
        <v>1625</v>
      </c>
      <c r="N3608">
        <v>5</v>
      </c>
    </row>
    <row r="3609" spans="1:14" x14ac:dyDescent="0.35">
      <c r="A3609" t="s">
        <v>8088</v>
      </c>
      <c r="B3609" t="s">
        <v>395</v>
      </c>
      <c r="C3609" t="s">
        <v>1883</v>
      </c>
      <c r="D3609" t="s">
        <v>4479</v>
      </c>
      <c r="E3609" t="s">
        <v>4444</v>
      </c>
      <c r="F3609" s="3">
        <v>45252</v>
      </c>
      <c r="G3609" s="3" t="s">
        <v>537</v>
      </c>
      <c r="I3609">
        <v>24</v>
      </c>
      <c r="J3609" t="s">
        <v>4448</v>
      </c>
      <c r="K3609" t="s">
        <v>4457</v>
      </c>
      <c r="L3609" t="s">
        <v>4449</v>
      </c>
      <c r="M3609" t="s">
        <v>1625</v>
      </c>
    </row>
    <row r="3610" spans="1:14" x14ac:dyDescent="0.35">
      <c r="A3610" t="s">
        <v>8089</v>
      </c>
      <c r="B3610" t="s">
        <v>319</v>
      </c>
      <c r="C3610" t="s">
        <v>1915</v>
      </c>
      <c r="D3610" t="s">
        <v>4460</v>
      </c>
      <c r="E3610" t="s">
        <v>4439</v>
      </c>
      <c r="F3610" s="3">
        <v>45607</v>
      </c>
      <c r="G3610" s="3" t="s">
        <v>537</v>
      </c>
      <c r="I3610">
        <v>48</v>
      </c>
      <c r="J3610" t="s">
        <v>4440</v>
      </c>
      <c r="K3610" t="s">
        <v>4474</v>
      </c>
      <c r="L3610" t="s">
        <v>4465</v>
      </c>
      <c r="M3610" t="s">
        <v>4462</v>
      </c>
    </row>
    <row r="3611" spans="1:14" x14ac:dyDescent="0.35">
      <c r="A3611" t="s">
        <v>8090</v>
      </c>
      <c r="B3611" t="s">
        <v>344</v>
      </c>
      <c r="C3611" t="s">
        <v>1890</v>
      </c>
      <c r="D3611" t="s">
        <v>8513</v>
      </c>
      <c r="E3611" t="s">
        <v>4444</v>
      </c>
      <c r="F3611" s="3">
        <v>45193</v>
      </c>
      <c r="G3611" s="3">
        <v>45194</v>
      </c>
      <c r="H3611">
        <v>27.7</v>
      </c>
      <c r="I3611">
        <v>24</v>
      </c>
      <c r="J3611" t="s">
        <v>4440</v>
      </c>
      <c r="K3611" t="s">
        <v>4441</v>
      </c>
      <c r="L3611" t="s">
        <v>4458</v>
      </c>
      <c r="M3611" t="s">
        <v>4446</v>
      </c>
      <c r="N3611">
        <v>4</v>
      </c>
    </row>
    <row r="3612" spans="1:14" x14ac:dyDescent="0.35">
      <c r="A3612" t="s">
        <v>8091</v>
      </c>
      <c r="B3612" t="s">
        <v>175</v>
      </c>
      <c r="C3612" t="s">
        <v>1927</v>
      </c>
      <c r="D3612" t="s">
        <v>4464</v>
      </c>
      <c r="E3612" t="s">
        <v>4444</v>
      </c>
      <c r="F3612" s="3">
        <v>45741</v>
      </c>
      <c r="G3612" s="3" t="s">
        <v>537</v>
      </c>
      <c r="I3612">
        <v>24</v>
      </c>
      <c r="J3612" t="s">
        <v>4440</v>
      </c>
      <c r="K3612" t="s">
        <v>4474</v>
      </c>
      <c r="L3612" t="s">
        <v>4509</v>
      </c>
      <c r="M3612" t="s">
        <v>4462</v>
      </c>
    </row>
    <row r="3613" spans="1:14" x14ac:dyDescent="0.35">
      <c r="A3613" t="s">
        <v>8092</v>
      </c>
      <c r="B3613" t="s">
        <v>301</v>
      </c>
      <c r="C3613" t="s">
        <v>1904</v>
      </c>
      <c r="D3613" t="s">
        <v>4482</v>
      </c>
      <c r="E3613" t="s">
        <v>4456</v>
      </c>
      <c r="F3613" s="3">
        <v>45341</v>
      </c>
      <c r="G3613" s="3">
        <v>45341</v>
      </c>
      <c r="H3613">
        <v>0.6</v>
      </c>
      <c r="I3613">
        <v>4</v>
      </c>
      <c r="J3613" t="s">
        <v>4448</v>
      </c>
      <c r="K3613" t="s">
        <v>4441</v>
      </c>
      <c r="L3613" t="s">
        <v>4492</v>
      </c>
      <c r="M3613" t="s">
        <v>1625</v>
      </c>
      <c r="N3613">
        <v>2</v>
      </c>
    </row>
    <row r="3614" spans="1:14" x14ac:dyDescent="0.35">
      <c r="A3614" t="s">
        <v>8093</v>
      </c>
      <c r="B3614" t="s">
        <v>462</v>
      </c>
      <c r="C3614" t="s">
        <v>1904</v>
      </c>
      <c r="D3614" t="s">
        <v>4460</v>
      </c>
      <c r="E3614" t="s">
        <v>4444</v>
      </c>
      <c r="F3614" s="3">
        <v>45438</v>
      </c>
      <c r="G3614" s="3">
        <v>45439</v>
      </c>
      <c r="H3614">
        <v>26.7</v>
      </c>
      <c r="I3614">
        <v>24</v>
      </c>
      <c r="J3614" t="s">
        <v>4440</v>
      </c>
      <c r="K3614" t="s">
        <v>4441</v>
      </c>
      <c r="L3614" t="s">
        <v>4480</v>
      </c>
      <c r="M3614" t="s">
        <v>4446</v>
      </c>
      <c r="N3614">
        <v>4</v>
      </c>
    </row>
    <row r="3615" spans="1:14" x14ac:dyDescent="0.35">
      <c r="A3615" t="s">
        <v>8094</v>
      </c>
      <c r="B3615" t="s">
        <v>411</v>
      </c>
      <c r="C3615" t="s">
        <v>1890</v>
      </c>
      <c r="D3615" t="s">
        <v>4460</v>
      </c>
      <c r="E3615" t="s">
        <v>4473</v>
      </c>
      <c r="F3615" s="3">
        <v>45238</v>
      </c>
      <c r="G3615" s="3">
        <v>45238</v>
      </c>
      <c r="H3615">
        <v>8.9</v>
      </c>
      <c r="I3615">
        <v>8</v>
      </c>
      <c r="J3615" t="s">
        <v>4440</v>
      </c>
      <c r="K3615" t="s">
        <v>4441</v>
      </c>
      <c r="L3615" t="s">
        <v>4461</v>
      </c>
      <c r="M3615" t="s">
        <v>1625</v>
      </c>
      <c r="N3615">
        <v>4</v>
      </c>
    </row>
    <row r="3616" spans="1:14" x14ac:dyDescent="0.35">
      <c r="A3616" t="s">
        <v>8095</v>
      </c>
      <c r="B3616" t="s">
        <v>367</v>
      </c>
      <c r="C3616" t="s">
        <v>1915</v>
      </c>
      <c r="D3616" t="s">
        <v>4464</v>
      </c>
      <c r="E3616" t="s">
        <v>4473</v>
      </c>
      <c r="F3616" s="3">
        <v>45708</v>
      </c>
      <c r="G3616" s="3">
        <v>45708</v>
      </c>
      <c r="H3616">
        <v>14.1</v>
      </c>
      <c r="I3616">
        <v>8</v>
      </c>
      <c r="J3616" t="s">
        <v>4440</v>
      </c>
      <c r="K3616" t="s">
        <v>4441</v>
      </c>
      <c r="L3616" t="s">
        <v>4533</v>
      </c>
      <c r="M3616" t="s">
        <v>4446</v>
      </c>
      <c r="N3616">
        <v>5</v>
      </c>
    </row>
    <row r="3617" spans="1:14" x14ac:dyDescent="0.35">
      <c r="A3617" t="s">
        <v>8096</v>
      </c>
      <c r="B3617" t="s">
        <v>230</v>
      </c>
      <c r="C3617" t="s">
        <v>1883</v>
      </c>
      <c r="D3617" t="s">
        <v>4476</v>
      </c>
      <c r="E3617" t="s">
        <v>4444</v>
      </c>
      <c r="F3617" s="3">
        <v>45503</v>
      </c>
      <c r="G3617" s="3">
        <v>45504</v>
      </c>
      <c r="H3617">
        <v>33.4</v>
      </c>
      <c r="I3617">
        <v>24</v>
      </c>
      <c r="J3617" t="s">
        <v>4440</v>
      </c>
      <c r="K3617" t="s">
        <v>4441</v>
      </c>
      <c r="L3617" t="s">
        <v>4488</v>
      </c>
      <c r="M3617" t="s">
        <v>4450</v>
      </c>
      <c r="N3617">
        <v>4</v>
      </c>
    </row>
    <row r="3618" spans="1:14" x14ac:dyDescent="0.35">
      <c r="A3618" t="s">
        <v>8097</v>
      </c>
      <c r="B3618" t="s">
        <v>493</v>
      </c>
      <c r="C3618" t="s">
        <v>1904</v>
      </c>
      <c r="D3618" t="s">
        <v>4464</v>
      </c>
      <c r="E3618" t="s">
        <v>4444</v>
      </c>
      <c r="F3618" s="3">
        <v>45395</v>
      </c>
      <c r="G3618" s="3">
        <v>45396</v>
      </c>
      <c r="H3618">
        <v>24.8</v>
      </c>
      <c r="I3618">
        <v>24</v>
      </c>
      <c r="J3618" t="s">
        <v>4440</v>
      </c>
      <c r="K3618" t="s">
        <v>4441</v>
      </c>
      <c r="L3618" t="s">
        <v>4480</v>
      </c>
      <c r="M3618" t="s">
        <v>4446</v>
      </c>
      <c r="N3618">
        <v>4</v>
      </c>
    </row>
    <row r="3619" spans="1:14" x14ac:dyDescent="0.35">
      <c r="A3619" t="s">
        <v>8098</v>
      </c>
      <c r="B3619" t="s">
        <v>288</v>
      </c>
      <c r="C3619" t="s">
        <v>1904</v>
      </c>
      <c r="D3619" t="s">
        <v>4476</v>
      </c>
      <c r="E3619" t="s">
        <v>4456</v>
      </c>
      <c r="F3619" s="3">
        <v>45720</v>
      </c>
      <c r="G3619" s="3">
        <v>45720</v>
      </c>
      <c r="H3619">
        <v>9.3000000000000007</v>
      </c>
      <c r="I3619">
        <v>4</v>
      </c>
      <c r="J3619" t="s">
        <v>4440</v>
      </c>
      <c r="K3619" t="s">
        <v>4441</v>
      </c>
      <c r="L3619" t="s">
        <v>4449</v>
      </c>
      <c r="M3619" t="s">
        <v>1625</v>
      </c>
    </row>
    <row r="3620" spans="1:14" x14ac:dyDescent="0.35">
      <c r="A3620" t="s">
        <v>8099</v>
      </c>
      <c r="B3620" t="s">
        <v>258</v>
      </c>
      <c r="C3620" t="s">
        <v>1927</v>
      </c>
      <c r="D3620" t="s">
        <v>4490</v>
      </c>
      <c r="E3620" t="s">
        <v>4473</v>
      </c>
      <c r="F3620" s="3">
        <v>45253</v>
      </c>
      <c r="G3620" s="3" t="s">
        <v>537</v>
      </c>
      <c r="I3620">
        <v>8</v>
      </c>
      <c r="J3620" t="s">
        <v>4440</v>
      </c>
      <c r="K3620" t="s">
        <v>4453</v>
      </c>
      <c r="L3620" t="s">
        <v>4514</v>
      </c>
      <c r="M3620" t="s">
        <v>4450</v>
      </c>
    </row>
    <row r="3621" spans="1:14" x14ac:dyDescent="0.35">
      <c r="A3621" t="s">
        <v>8100</v>
      </c>
      <c r="B3621" t="s">
        <v>23</v>
      </c>
      <c r="C3621" t="s">
        <v>1883</v>
      </c>
      <c r="D3621" t="s">
        <v>4479</v>
      </c>
      <c r="E3621" t="s">
        <v>4456</v>
      </c>
      <c r="F3621" s="3">
        <v>45213</v>
      </c>
      <c r="G3621" s="3">
        <v>45213</v>
      </c>
      <c r="H3621">
        <v>9.6999999999999993</v>
      </c>
      <c r="I3621">
        <v>4</v>
      </c>
      <c r="J3621" t="s">
        <v>4440</v>
      </c>
      <c r="K3621" t="s">
        <v>4441</v>
      </c>
      <c r="L3621" t="s">
        <v>4488</v>
      </c>
      <c r="M3621" t="s">
        <v>4446</v>
      </c>
      <c r="N3621">
        <v>4</v>
      </c>
    </row>
    <row r="3622" spans="1:14" x14ac:dyDescent="0.35">
      <c r="A3622" t="s">
        <v>8101</v>
      </c>
      <c r="B3622" t="s">
        <v>236</v>
      </c>
      <c r="C3622" t="s">
        <v>1915</v>
      </c>
      <c r="D3622" t="s">
        <v>4472</v>
      </c>
      <c r="E3622" t="s">
        <v>4456</v>
      </c>
      <c r="F3622" s="3">
        <v>45328</v>
      </c>
      <c r="G3622" s="3">
        <v>45328</v>
      </c>
      <c r="H3622">
        <v>1.9</v>
      </c>
      <c r="I3622">
        <v>4</v>
      </c>
      <c r="J3622" t="s">
        <v>4448</v>
      </c>
      <c r="K3622" t="s">
        <v>4441</v>
      </c>
      <c r="L3622" t="s">
        <v>4483</v>
      </c>
      <c r="M3622" t="s">
        <v>4450</v>
      </c>
      <c r="N3622">
        <v>4</v>
      </c>
    </row>
    <row r="3623" spans="1:14" x14ac:dyDescent="0.35">
      <c r="A3623" t="s">
        <v>8102</v>
      </c>
      <c r="B3623" t="s">
        <v>108</v>
      </c>
      <c r="C3623" t="s">
        <v>1915</v>
      </c>
      <c r="D3623" t="s">
        <v>4476</v>
      </c>
      <c r="E3623" t="s">
        <v>4444</v>
      </c>
      <c r="F3623" s="3">
        <v>45658</v>
      </c>
      <c r="G3623" s="3">
        <v>45658</v>
      </c>
      <c r="H3623">
        <v>18.5</v>
      </c>
      <c r="I3623">
        <v>24</v>
      </c>
      <c r="J3623" t="s">
        <v>4448</v>
      </c>
      <c r="K3623" t="s">
        <v>4441</v>
      </c>
      <c r="L3623" t="s">
        <v>4488</v>
      </c>
      <c r="M3623" t="s">
        <v>1625</v>
      </c>
      <c r="N3623">
        <v>3</v>
      </c>
    </row>
    <row r="3624" spans="1:14" x14ac:dyDescent="0.35">
      <c r="A3624" t="s">
        <v>8103</v>
      </c>
      <c r="B3624" t="s">
        <v>373</v>
      </c>
      <c r="C3624" t="s">
        <v>1883</v>
      </c>
      <c r="D3624" t="s">
        <v>4464</v>
      </c>
      <c r="E3624" t="s">
        <v>4444</v>
      </c>
      <c r="F3624" s="3">
        <v>45653</v>
      </c>
      <c r="G3624" s="3">
        <v>45655</v>
      </c>
      <c r="H3624">
        <v>51.5</v>
      </c>
      <c r="I3624">
        <v>24</v>
      </c>
      <c r="J3624" t="s">
        <v>4440</v>
      </c>
      <c r="K3624" t="s">
        <v>4441</v>
      </c>
      <c r="L3624" t="s">
        <v>4454</v>
      </c>
      <c r="M3624" t="s">
        <v>4450</v>
      </c>
      <c r="N3624">
        <v>1</v>
      </c>
    </row>
    <row r="3625" spans="1:14" x14ac:dyDescent="0.35">
      <c r="A3625" t="s">
        <v>8104</v>
      </c>
      <c r="B3625" t="s">
        <v>446</v>
      </c>
      <c r="C3625" t="s">
        <v>1904</v>
      </c>
      <c r="D3625" t="s">
        <v>8514</v>
      </c>
      <c r="E3625" t="s">
        <v>4444</v>
      </c>
      <c r="F3625" s="3">
        <v>45314</v>
      </c>
      <c r="G3625" s="3" t="s">
        <v>537</v>
      </c>
      <c r="I3625">
        <v>24</v>
      </c>
      <c r="J3625" t="s">
        <v>4440</v>
      </c>
      <c r="K3625" t="s">
        <v>4474</v>
      </c>
      <c r="L3625" t="s">
        <v>4480</v>
      </c>
      <c r="M3625" t="s">
        <v>4446</v>
      </c>
    </row>
    <row r="3626" spans="1:14" x14ac:dyDescent="0.35">
      <c r="A3626" t="s">
        <v>8105</v>
      </c>
      <c r="B3626" t="s">
        <v>498</v>
      </c>
      <c r="C3626" t="s">
        <v>1927</v>
      </c>
      <c r="D3626" t="s">
        <v>4438</v>
      </c>
      <c r="E3626" t="s">
        <v>4439</v>
      </c>
      <c r="F3626" s="3">
        <v>45462</v>
      </c>
      <c r="G3626" s="3" t="s">
        <v>537</v>
      </c>
      <c r="I3626">
        <v>48</v>
      </c>
      <c r="J3626" t="s">
        <v>4448</v>
      </c>
      <c r="K3626" t="s">
        <v>4474</v>
      </c>
      <c r="L3626" t="s">
        <v>4458</v>
      </c>
      <c r="M3626" t="s">
        <v>4450</v>
      </c>
    </row>
    <row r="3627" spans="1:14" x14ac:dyDescent="0.35">
      <c r="A3627" t="s">
        <v>8106</v>
      </c>
      <c r="B3627" t="s">
        <v>417</v>
      </c>
      <c r="C3627" t="s">
        <v>1927</v>
      </c>
      <c r="D3627" t="s">
        <v>4482</v>
      </c>
      <c r="E3627" t="s">
        <v>4444</v>
      </c>
      <c r="F3627" s="3">
        <v>45046</v>
      </c>
      <c r="G3627" s="3" t="s">
        <v>537</v>
      </c>
      <c r="I3627">
        <v>24</v>
      </c>
      <c r="J3627" t="s">
        <v>4440</v>
      </c>
      <c r="K3627" t="s">
        <v>4474</v>
      </c>
      <c r="L3627" t="s">
        <v>4483</v>
      </c>
      <c r="M3627" t="s">
        <v>4462</v>
      </c>
    </row>
    <row r="3628" spans="1:14" x14ac:dyDescent="0.35">
      <c r="A3628" t="s">
        <v>8107</v>
      </c>
      <c r="B3628" t="s">
        <v>122</v>
      </c>
      <c r="C3628" t="s">
        <v>1899</v>
      </c>
      <c r="D3628" t="s">
        <v>4443</v>
      </c>
      <c r="E3628" t="s">
        <v>4444</v>
      </c>
      <c r="F3628" s="3">
        <v>45117</v>
      </c>
      <c r="G3628" s="3">
        <v>45117</v>
      </c>
      <c r="H3628">
        <v>13.5</v>
      </c>
      <c r="I3628">
        <v>24</v>
      </c>
      <c r="J3628" t="s">
        <v>4448</v>
      </c>
      <c r="K3628" t="s">
        <v>4441</v>
      </c>
      <c r="L3628" t="s">
        <v>4449</v>
      </c>
      <c r="M3628" t="s">
        <v>1625</v>
      </c>
    </row>
    <row r="3629" spans="1:14" x14ac:dyDescent="0.35">
      <c r="A3629" t="s">
        <v>8108</v>
      </c>
      <c r="B3629" t="s">
        <v>470</v>
      </c>
      <c r="C3629" t="s">
        <v>1899</v>
      </c>
      <c r="D3629" t="s">
        <v>4464</v>
      </c>
      <c r="E3629" t="s">
        <v>4473</v>
      </c>
      <c r="F3629" s="3">
        <v>45396</v>
      </c>
      <c r="G3629" s="3" t="s">
        <v>537</v>
      </c>
      <c r="I3629">
        <v>8</v>
      </c>
      <c r="J3629" t="s">
        <v>4440</v>
      </c>
      <c r="K3629" t="s">
        <v>4474</v>
      </c>
      <c r="L3629" t="s">
        <v>1907</v>
      </c>
      <c r="M3629" t="s">
        <v>1625</v>
      </c>
    </row>
    <row r="3630" spans="1:14" x14ac:dyDescent="0.35">
      <c r="A3630" t="s">
        <v>8109</v>
      </c>
      <c r="B3630" t="s">
        <v>355</v>
      </c>
      <c r="C3630" t="s">
        <v>1915</v>
      </c>
      <c r="D3630" t="s">
        <v>4464</v>
      </c>
      <c r="E3630" t="s">
        <v>4473</v>
      </c>
      <c r="F3630" s="3">
        <v>45365</v>
      </c>
      <c r="G3630" s="3">
        <v>45365</v>
      </c>
      <c r="H3630">
        <v>2.5</v>
      </c>
      <c r="I3630">
        <v>8</v>
      </c>
      <c r="J3630" t="s">
        <v>4448</v>
      </c>
      <c r="K3630" t="s">
        <v>4441</v>
      </c>
      <c r="L3630" t="s">
        <v>4480</v>
      </c>
      <c r="M3630" t="s">
        <v>1625</v>
      </c>
      <c r="N3630">
        <v>4</v>
      </c>
    </row>
    <row r="3631" spans="1:14" x14ac:dyDescent="0.35">
      <c r="A3631" t="s">
        <v>8110</v>
      </c>
      <c r="B3631" t="s">
        <v>483</v>
      </c>
      <c r="C3631" t="s">
        <v>1915</v>
      </c>
      <c r="D3631" t="s">
        <v>4469</v>
      </c>
      <c r="E3631" t="s">
        <v>4439</v>
      </c>
      <c r="F3631" s="3">
        <v>45285</v>
      </c>
      <c r="G3631" s="3">
        <v>45289</v>
      </c>
      <c r="H3631">
        <v>116.2</v>
      </c>
      <c r="I3631">
        <v>48</v>
      </c>
      <c r="J3631" t="s">
        <v>4440</v>
      </c>
      <c r="K3631" t="s">
        <v>4441</v>
      </c>
      <c r="L3631" t="s">
        <v>4512</v>
      </c>
      <c r="M3631" t="s">
        <v>4462</v>
      </c>
      <c r="N3631">
        <v>4</v>
      </c>
    </row>
    <row r="3632" spans="1:14" x14ac:dyDescent="0.35">
      <c r="A3632" t="s">
        <v>8111</v>
      </c>
      <c r="B3632" t="s">
        <v>357</v>
      </c>
      <c r="C3632" t="s">
        <v>1899</v>
      </c>
      <c r="D3632" t="s">
        <v>4490</v>
      </c>
      <c r="E3632" t="s">
        <v>4444</v>
      </c>
      <c r="F3632" s="3">
        <v>45323</v>
      </c>
      <c r="G3632" s="3" t="s">
        <v>537</v>
      </c>
      <c r="I3632">
        <v>24</v>
      </c>
      <c r="J3632" t="s">
        <v>4448</v>
      </c>
      <c r="K3632" t="s">
        <v>4453</v>
      </c>
      <c r="L3632" t="s">
        <v>4580</v>
      </c>
      <c r="M3632" t="s">
        <v>4450</v>
      </c>
    </row>
    <row r="3633" spans="1:14" x14ac:dyDescent="0.35">
      <c r="A3633" t="s">
        <v>8112</v>
      </c>
      <c r="B3633" t="s">
        <v>331</v>
      </c>
      <c r="C3633" t="s">
        <v>1915</v>
      </c>
      <c r="D3633" t="s">
        <v>4443</v>
      </c>
      <c r="E3633" t="s">
        <v>79</v>
      </c>
      <c r="F3633" s="3">
        <v>45608</v>
      </c>
      <c r="G3633" s="3" t="s">
        <v>537</v>
      </c>
      <c r="I3633">
        <v>8</v>
      </c>
      <c r="J3633" t="s">
        <v>4448</v>
      </c>
      <c r="K3633" t="s">
        <v>4474</v>
      </c>
      <c r="L3633" t="s">
        <v>4501</v>
      </c>
      <c r="M3633" t="s">
        <v>4462</v>
      </c>
    </row>
    <row r="3634" spans="1:14" x14ac:dyDescent="0.35">
      <c r="A3634" t="s">
        <v>8113</v>
      </c>
      <c r="B3634" t="s">
        <v>80</v>
      </c>
      <c r="C3634" t="s">
        <v>1927</v>
      </c>
      <c r="D3634" t="s">
        <v>4452</v>
      </c>
      <c r="E3634" t="s">
        <v>4439</v>
      </c>
      <c r="F3634" s="3">
        <v>44991</v>
      </c>
      <c r="G3634" s="3">
        <v>44993</v>
      </c>
      <c r="H3634">
        <v>63.6</v>
      </c>
      <c r="I3634">
        <v>48</v>
      </c>
      <c r="J3634" t="s">
        <v>4440</v>
      </c>
      <c r="K3634" t="s">
        <v>4441</v>
      </c>
      <c r="L3634" t="s">
        <v>4445</v>
      </c>
      <c r="M3634" t="s">
        <v>1625</v>
      </c>
      <c r="N3634">
        <v>3</v>
      </c>
    </row>
    <row r="3635" spans="1:14" x14ac:dyDescent="0.35">
      <c r="A3635" t="s">
        <v>8114</v>
      </c>
      <c r="B3635" t="s">
        <v>255</v>
      </c>
      <c r="C3635" t="s">
        <v>1927</v>
      </c>
      <c r="D3635" t="s">
        <v>4452</v>
      </c>
      <c r="E3635" t="s">
        <v>4456</v>
      </c>
      <c r="F3635" s="3">
        <v>45106</v>
      </c>
      <c r="G3635" s="3">
        <v>45106</v>
      </c>
      <c r="H3635">
        <v>3.8</v>
      </c>
      <c r="I3635">
        <v>4</v>
      </c>
      <c r="J3635" t="s">
        <v>4448</v>
      </c>
      <c r="K3635" t="s">
        <v>4441</v>
      </c>
      <c r="L3635" t="s">
        <v>4514</v>
      </c>
      <c r="M3635" t="s">
        <v>4446</v>
      </c>
      <c r="N3635">
        <v>3</v>
      </c>
    </row>
    <row r="3636" spans="1:14" x14ac:dyDescent="0.35">
      <c r="A3636" t="s">
        <v>8115</v>
      </c>
      <c r="B3636" t="s">
        <v>424</v>
      </c>
      <c r="C3636" t="s">
        <v>1927</v>
      </c>
      <c r="D3636" t="s">
        <v>4476</v>
      </c>
      <c r="E3636" t="s">
        <v>4456</v>
      </c>
      <c r="F3636" s="3">
        <v>45448</v>
      </c>
      <c r="G3636" s="3">
        <v>45448</v>
      </c>
      <c r="H3636">
        <v>9.9</v>
      </c>
      <c r="I3636">
        <v>4</v>
      </c>
      <c r="J3636" t="s">
        <v>4440</v>
      </c>
      <c r="K3636" t="s">
        <v>4441</v>
      </c>
      <c r="L3636" t="s">
        <v>4488</v>
      </c>
      <c r="M3636" t="s">
        <v>1625</v>
      </c>
      <c r="N3636">
        <v>1</v>
      </c>
    </row>
    <row r="3637" spans="1:14" x14ac:dyDescent="0.35">
      <c r="A3637" t="s">
        <v>8116</v>
      </c>
      <c r="B3637" t="s">
        <v>434</v>
      </c>
      <c r="C3637" t="s">
        <v>1904</v>
      </c>
      <c r="D3637" t="s">
        <v>4482</v>
      </c>
      <c r="E3637" t="s">
        <v>4444</v>
      </c>
      <c r="F3637" s="3">
        <v>45392</v>
      </c>
      <c r="G3637" s="3">
        <v>45392</v>
      </c>
      <c r="H3637">
        <v>8.5</v>
      </c>
      <c r="I3637">
        <v>24</v>
      </c>
      <c r="J3637" t="s">
        <v>4448</v>
      </c>
      <c r="K3637" t="s">
        <v>4441</v>
      </c>
      <c r="L3637" t="s">
        <v>4501</v>
      </c>
      <c r="M3637" t="s">
        <v>1625</v>
      </c>
      <c r="N3637">
        <v>5</v>
      </c>
    </row>
    <row r="3638" spans="1:14" x14ac:dyDescent="0.35">
      <c r="A3638" t="s">
        <v>8117</v>
      </c>
      <c r="B3638" t="s">
        <v>337</v>
      </c>
      <c r="C3638" t="s">
        <v>1883</v>
      </c>
      <c r="D3638" t="s">
        <v>4482</v>
      </c>
      <c r="E3638" t="s">
        <v>4473</v>
      </c>
      <c r="F3638" s="3">
        <v>45069</v>
      </c>
      <c r="G3638" s="3">
        <v>45069</v>
      </c>
      <c r="H3638">
        <v>16.2</v>
      </c>
      <c r="I3638">
        <v>8</v>
      </c>
      <c r="J3638" t="s">
        <v>4440</v>
      </c>
      <c r="K3638" t="s">
        <v>4441</v>
      </c>
      <c r="L3638" t="s">
        <v>4533</v>
      </c>
      <c r="M3638" t="s">
        <v>4450</v>
      </c>
    </row>
    <row r="3639" spans="1:14" x14ac:dyDescent="0.35">
      <c r="A3639" t="s">
        <v>8118</v>
      </c>
      <c r="B3639" t="s">
        <v>414</v>
      </c>
      <c r="C3639" t="s">
        <v>1890</v>
      </c>
      <c r="D3639" t="s">
        <v>4460</v>
      </c>
      <c r="E3639" t="s">
        <v>4473</v>
      </c>
      <c r="F3639" s="3">
        <v>45312</v>
      </c>
      <c r="G3639" s="3" t="s">
        <v>537</v>
      </c>
      <c r="I3639">
        <v>8</v>
      </c>
      <c r="J3639" t="s">
        <v>4448</v>
      </c>
      <c r="K3639" t="s">
        <v>4453</v>
      </c>
      <c r="L3639" t="s">
        <v>4445</v>
      </c>
      <c r="M3639" t="s">
        <v>4446</v>
      </c>
    </row>
    <row r="3640" spans="1:14" x14ac:dyDescent="0.35">
      <c r="A3640" t="s">
        <v>8119</v>
      </c>
      <c r="B3640" t="s">
        <v>321</v>
      </c>
      <c r="C3640" t="s">
        <v>1904</v>
      </c>
      <c r="D3640" t="s">
        <v>4464</v>
      </c>
      <c r="E3640" t="s">
        <v>4439</v>
      </c>
      <c r="F3640" s="3">
        <v>45231</v>
      </c>
      <c r="G3640" s="3" t="s">
        <v>537</v>
      </c>
      <c r="I3640">
        <v>48</v>
      </c>
      <c r="J3640" t="s">
        <v>4440</v>
      </c>
      <c r="K3640" t="s">
        <v>4474</v>
      </c>
      <c r="L3640" t="s">
        <v>4492</v>
      </c>
      <c r="M3640" t="s">
        <v>4450</v>
      </c>
    </row>
    <row r="3641" spans="1:14" x14ac:dyDescent="0.35">
      <c r="A3641" t="s">
        <v>8120</v>
      </c>
      <c r="B3641" t="s">
        <v>330</v>
      </c>
      <c r="C3641" t="s">
        <v>1904</v>
      </c>
      <c r="D3641" t="s">
        <v>4438</v>
      </c>
      <c r="E3641" t="s">
        <v>4473</v>
      </c>
      <c r="F3641" s="3">
        <v>44953</v>
      </c>
      <c r="G3641" s="3">
        <v>44953</v>
      </c>
      <c r="H3641">
        <v>11</v>
      </c>
      <c r="I3641">
        <v>8</v>
      </c>
      <c r="J3641" t="s">
        <v>4440</v>
      </c>
      <c r="K3641" t="s">
        <v>4441</v>
      </c>
      <c r="L3641" t="s">
        <v>4488</v>
      </c>
      <c r="M3641" t="s">
        <v>4450</v>
      </c>
      <c r="N3641">
        <v>3</v>
      </c>
    </row>
    <row r="3642" spans="1:14" x14ac:dyDescent="0.35">
      <c r="A3642" t="s">
        <v>8121</v>
      </c>
      <c r="B3642" t="s">
        <v>390</v>
      </c>
      <c r="C3642" t="s">
        <v>1904</v>
      </c>
      <c r="D3642" t="s">
        <v>4479</v>
      </c>
      <c r="E3642" t="s">
        <v>4456</v>
      </c>
      <c r="F3642" s="3">
        <v>45549</v>
      </c>
      <c r="G3642" s="3">
        <v>45549</v>
      </c>
      <c r="H3642">
        <v>3.5</v>
      </c>
      <c r="I3642">
        <v>4</v>
      </c>
      <c r="J3642" t="s">
        <v>4448</v>
      </c>
      <c r="K3642" t="s">
        <v>4441</v>
      </c>
      <c r="L3642" t="s">
        <v>4533</v>
      </c>
      <c r="M3642" t="s">
        <v>4462</v>
      </c>
      <c r="N3642">
        <v>5</v>
      </c>
    </row>
    <row r="3643" spans="1:14" x14ac:dyDescent="0.35">
      <c r="A3643" t="s">
        <v>8122</v>
      </c>
      <c r="B3643" t="s">
        <v>490</v>
      </c>
      <c r="C3643" t="s">
        <v>1899</v>
      </c>
      <c r="D3643" t="s">
        <v>4438</v>
      </c>
      <c r="E3643" t="s">
        <v>4473</v>
      </c>
      <c r="F3643" s="3">
        <v>45642</v>
      </c>
      <c r="G3643" s="3" t="s">
        <v>537</v>
      </c>
      <c r="I3643">
        <v>8</v>
      </c>
      <c r="J3643" t="s">
        <v>4440</v>
      </c>
      <c r="K3643" t="s">
        <v>4474</v>
      </c>
      <c r="L3643" t="s">
        <v>4445</v>
      </c>
      <c r="M3643" t="s">
        <v>4446</v>
      </c>
    </row>
    <row r="3644" spans="1:14" x14ac:dyDescent="0.35">
      <c r="A3644" t="s">
        <v>8123</v>
      </c>
      <c r="B3644" t="s">
        <v>287</v>
      </c>
      <c r="C3644" t="s">
        <v>1890</v>
      </c>
      <c r="D3644" t="s">
        <v>4482</v>
      </c>
      <c r="E3644" t="s">
        <v>4473</v>
      </c>
      <c r="F3644" s="3">
        <v>45103</v>
      </c>
      <c r="G3644" s="3">
        <v>45103</v>
      </c>
      <c r="H3644">
        <v>19.3</v>
      </c>
      <c r="I3644">
        <v>8</v>
      </c>
      <c r="J3644" t="s">
        <v>4440</v>
      </c>
      <c r="K3644" t="s">
        <v>4441</v>
      </c>
      <c r="L3644" t="s">
        <v>4488</v>
      </c>
      <c r="M3644" t="s">
        <v>4450</v>
      </c>
      <c r="N3644">
        <v>4</v>
      </c>
    </row>
    <row r="3645" spans="1:14" x14ac:dyDescent="0.35">
      <c r="A3645" t="s">
        <v>8124</v>
      </c>
      <c r="B3645" t="s">
        <v>296</v>
      </c>
      <c r="C3645" t="s">
        <v>1915</v>
      </c>
      <c r="D3645" t="s">
        <v>4460</v>
      </c>
      <c r="E3645" t="s">
        <v>4444</v>
      </c>
      <c r="F3645" s="3">
        <v>45291</v>
      </c>
      <c r="G3645" s="3" t="s">
        <v>537</v>
      </c>
      <c r="I3645">
        <v>24</v>
      </c>
      <c r="J3645" t="s">
        <v>4440</v>
      </c>
      <c r="K3645" t="s">
        <v>4453</v>
      </c>
      <c r="L3645" t="s">
        <v>4492</v>
      </c>
      <c r="M3645" t="s">
        <v>1625</v>
      </c>
    </row>
    <row r="3646" spans="1:14" x14ac:dyDescent="0.35">
      <c r="A3646" t="s">
        <v>8125</v>
      </c>
      <c r="B3646" t="s">
        <v>493</v>
      </c>
      <c r="C3646" t="s">
        <v>1915</v>
      </c>
      <c r="D3646" t="s">
        <v>4452</v>
      </c>
      <c r="E3646" t="s">
        <v>4439</v>
      </c>
      <c r="F3646" s="3">
        <v>45106</v>
      </c>
      <c r="G3646" s="3">
        <v>45108</v>
      </c>
      <c r="H3646">
        <v>55.9</v>
      </c>
      <c r="I3646">
        <v>48</v>
      </c>
      <c r="J3646" t="s">
        <v>4440</v>
      </c>
      <c r="K3646" t="s">
        <v>4441</v>
      </c>
      <c r="L3646" t="s">
        <v>4480</v>
      </c>
      <c r="M3646" t="s">
        <v>4450</v>
      </c>
    </row>
    <row r="3647" spans="1:14" x14ac:dyDescent="0.35">
      <c r="A3647" t="s">
        <v>8126</v>
      </c>
      <c r="B3647" t="s">
        <v>396</v>
      </c>
      <c r="C3647" t="s">
        <v>1927</v>
      </c>
      <c r="D3647" t="s">
        <v>4476</v>
      </c>
      <c r="E3647" t="s">
        <v>4456</v>
      </c>
      <c r="F3647" s="3">
        <v>45255</v>
      </c>
      <c r="G3647" s="3" t="s">
        <v>537</v>
      </c>
      <c r="I3647">
        <v>4</v>
      </c>
      <c r="J3647" t="s">
        <v>4440</v>
      </c>
      <c r="K3647" t="s">
        <v>4457</v>
      </c>
      <c r="L3647" t="s">
        <v>4480</v>
      </c>
      <c r="M3647" t="s">
        <v>4446</v>
      </c>
    </row>
    <row r="3648" spans="1:14" x14ac:dyDescent="0.35">
      <c r="A3648" t="s">
        <v>8127</v>
      </c>
      <c r="B3648" t="s">
        <v>280</v>
      </c>
      <c r="C3648" t="s">
        <v>1890</v>
      </c>
      <c r="D3648" t="s">
        <v>4479</v>
      </c>
      <c r="E3648" t="s">
        <v>4456</v>
      </c>
      <c r="F3648" s="3">
        <v>45642</v>
      </c>
      <c r="G3648" s="3">
        <v>45642</v>
      </c>
      <c r="H3648">
        <v>9.9</v>
      </c>
      <c r="I3648">
        <v>4</v>
      </c>
      <c r="J3648" t="s">
        <v>4440</v>
      </c>
      <c r="K3648" t="s">
        <v>4441</v>
      </c>
      <c r="L3648" t="s">
        <v>4467</v>
      </c>
      <c r="M3648" t="s">
        <v>1625</v>
      </c>
    </row>
    <row r="3649" spans="1:14" x14ac:dyDescent="0.35">
      <c r="A3649" t="s">
        <v>8128</v>
      </c>
      <c r="B3649" t="s">
        <v>23</v>
      </c>
      <c r="C3649" t="s">
        <v>1899</v>
      </c>
      <c r="D3649" t="s">
        <v>4460</v>
      </c>
      <c r="E3649" t="s">
        <v>4473</v>
      </c>
      <c r="F3649" s="3">
        <v>45652</v>
      </c>
      <c r="G3649" s="3">
        <v>45652</v>
      </c>
      <c r="H3649">
        <v>0.8</v>
      </c>
      <c r="I3649">
        <v>8</v>
      </c>
      <c r="J3649" t="s">
        <v>4448</v>
      </c>
      <c r="K3649" t="s">
        <v>4441</v>
      </c>
      <c r="L3649" t="s">
        <v>4509</v>
      </c>
      <c r="M3649" t="s">
        <v>1625</v>
      </c>
      <c r="N3649">
        <v>4</v>
      </c>
    </row>
    <row r="3650" spans="1:14" x14ac:dyDescent="0.35">
      <c r="A3650" t="s">
        <v>8129</v>
      </c>
      <c r="B3650" t="s">
        <v>321</v>
      </c>
      <c r="C3650" t="s">
        <v>1899</v>
      </c>
      <c r="D3650" t="s">
        <v>4482</v>
      </c>
      <c r="E3650" t="s">
        <v>4473</v>
      </c>
      <c r="F3650" s="3">
        <v>45219</v>
      </c>
      <c r="G3650" s="3" t="s">
        <v>537</v>
      </c>
      <c r="I3650">
        <v>8</v>
      </c>
      <c r="J3650" t="s">
        <v>4440</v>
      </c>
      <c r="K3650" t="s">
        <v>4457</v>
      </c>
      <c r="L3650" t="s">
        <v>4483</v>
      </c>
      <c r="M3650" t="s">
        <v>4450</v>
      </c>
    </row>
    <row r="3651" spans="1:14" x14ac:dyDescent="0.35">
      <c r="A3651" t="s">
        <v>8130</v>
      </c>
      <c r="B3651" t="s">
        <v>350</v>
      </c>
      <c r="C3651" t="s">
        <v>1883</v>
      </c>
      <c r="D3651" t="s">
        <v>4479</v>
      </c>
      <c r="E3651" t="s">
        <v>4439</v>
      </c>
      <c r="F3651" s="3">
        <v>45393</v>
      </c>
      <c r="G3651" s="3" t="s">
        <v>537</v>
      </c>
      <c r="I3651">
        <v>48</v>
      </c>
      <c r="J3651" t="s">
        <v>4440</v>
      </c>
      <c r="K3651" t="s">
        <v>4474</v>
      </c>
      <c r="L3651" t="s">
        <v>4509</v>
      </c>
      <c r="M3651" t="s">
        <v>1625</v>
      </c>
    </row>
    <row r="3652" spans="1:14" x14ac:dyDescent="0.35">
      <c r="A3652" t="s">
        <v>8131</v>
      </c>
      <c r="B3652" t="s">
        <v>395</v>
      </c>
      <c r="C3652" t="s">
        <v>1927</v>
      </c>
      <c r="D3652" t="s">
        <v>4485</v>
      </c>
      <c r="E3652" t="s">
        <v>4444</v>
      </c>
      <c r="F3652" s="3">
        <v>45296</v>
      </c>
      <c r="G3652" s="3">
        <v>45298</v>
      </c>
      <c r="H3652">
        <v>57.1</v>
      </c>
      <c r="I3652">
        <v>24</v>
      </c>
      <c r="J3652" t="s">
        <v>4440</v>
      </c>
      <c r="K3652" t="s">
        <v>4441</v>
      </c>
      <c r="L3652" t="s">
        <v>4480</v>
      </c>
      <c r="M3652" t="s">
        <v>4446</v>
      </c>
      <c r="N3652">
        <v>5</v>
      </c>
    </row>
    <row r="3653" spans="1:14" x14ac:dyDescent="0.35">
      <c r="A3653" t="s">
        <v>8132</v>
      </c>
      <c r="B3653" t="s">
        <v>361</v>
      </c>
      <c r="C3653" t="s">
        <v>1899</v>
      </c>
      <c r="D3653" t="s">
        <v>4452</v>
      </c>
      <c r="E3653" t="s">
        <v>4444</v>
      </c>
      <c r="F3653" s="3">
        <v>45537</v>
      </c>
      <c r="G3653" s="3" t="s">
        <v>537</v>
      </c>
      <c r="I3653">
        <v>24</v>
      </c>
      <c r="J3653" t="s">
        <v>4440</v>
      </c>
      <c r="K3653" t="s">
        <v>4453</v>
      </c>
      <c r="L3653" t="s">
        <v>4533</v>
      </c>
      <c r="M3653" t="s">
        <v>4462</v>
      </c>
    </row>
    <row r="3654" spans="1:14" x14ac:dyDescent="0.35">
      <c r="A3654" t="s">
        <v>8133</v>
      </c>
      <c r="B3654" t="s">
        <v>287</v>
      </c>
      <c r="C3654" t="s">
        <v>1904</v>
      </c>
      <c r="D3654" t="s">
        <v>4464</v>
      </c>
      <c r="E3654" t="s">
        <v>4439</v>
      </c>
      <c r="F3654" s="3">
        <v>45548</v>
      </c>
      <c r="G3654" s="3">
        <v>45550</v>
      </c>
      <c r="H3654">
        <v>70.7</v>
      </c>
      <c r="I3654">
        <v>48</v>
      </c>
      <c r="J3654" t="s">
        <v>4440</v>
      </c>
      <c r="K3654" t="s">
        <v>4441</v>
      </c>
      <c r="L3654" t="s">
        <v>4533</v>
      </c>
      <c r="M3654" t="s">
        <v>4450</v>
      </c>
      <c r="N3654">
        <v>4</v>
      </c>
    </row>
    <row r="3655" spans="1:14" x14ac:dyDescent="0.35">
      <c r="A3655" t="s">
        <v>8134</v>
      </c>
      <c r="B3655" t="s">
        <v>114</v>
      </c>
      <c r="C3655" t="s">
        <v>1904</v>
      </c>
      <c r="D3655" t="s">
        <v>4485</v>
      </c>
      <c r="E3655" t="s">
        <v>4439</v>
      </c>
      <c r="F3655" s="3">
        <v>44985</v>
      </c>
      <c r="G3655" s="3" t="s">
        <v>537</v>
      </c>
      <c r="I3655">
        <v>48</v>
      </c>
      <c r="J3655" t="s">
        <v>4440</v>
      </c>
      <c r="K3655" t="s">
        <v>4474</v>
      </c>
      <c r="L3655" t="s">
        <v>4467</v>
      </c>
      <c r="M3655" t="s">
        <v>4446</v>
      </c>
    </row>
    <row r="3656" spans="1:14" x14ac:dyDescent="0.35">
      <c r="A3656" t="s">
        <v>8135</v>
      </c>
      <c r="B3656" t="s">
        <v>186</v>
      </c>
      <c r="C3656" t="s">
        <v>1904</v>
      </c>
      <c r="D3656" t="s">
        <v>4438</v>
      </c>
      <c r="E3656" t="s">
        <v>4473</v>
      </c>
      <c r="F3656" s="3">
        <v>45571</v>
      </c>
      <c r="G3656" s="3">
        <v>45571</v>
      </c>
      <c r="H3656">
        <v>5.8</v>
      </c>
      <c r="I3656">
        <v>8</v>
      </c>
      <c r="J3656" t="s">
        <v>4448</v>
      </c>
      <c r="K3656" t="s">
        <v>4441</v>
      </c>
      <c r="L3656" t="s">
        <v>4533</v>
      </c>
      <c r="M3656" t="s">
        <v>1625</v>
      </c>
      <c r="N3656">
        <v>4</v>
      </c>
    </row>
    <row r="3657" spans="1:14" x14ac:dyDescent="0.35">
      <c r="A3657" t="s">
        <v>8136</v>
      </c>
      <c r="B3657" t="s">
        <v>284</v>
      </c>
      <c r="C3657" t="s">
        <v>1899</v>
      </c>
      <c r="D3657" t="s">
        <v>4469</v>
      </c>
      <c r="E3657" t="s">
        <v>4444</v>
      </c>
      <c r="F3657" s="3">
        <v>45622</v>
      </c>
      <c r="G3657" s="3">
        <v>45622</v>
      </c>
      <c r="H3657">
        <v>5.6</v>
      </c>
      <c r="I3657">
        <v>24</v>
      </c>
      <c r="J3657" t="s">
        <v>4448</v>
      </c>
      <c r="K3657" t="s">
        <v>4441</v>
      </c>
      <c r="L3657" t="s">
        <v>4492</v>
      </c>
      <c r="M3657" t="s">
        <v>4462</v>
      </c>
    </row>
    <row r="3658" spans="1:14" x14ac:dyDescent="0.35">
      <c r="A3658" t="s">
        <v>8137</v>
      </c>
      <c r="B3658" t="s">
        <v>318</v>
      </c>
      <c r="C3658" t="s">
        <v>1890</v>
      </c>
      <c r="D3658" t="s">
        <v>4482</v>
      </c>
      <c r="E3658" t="s">
        <v>4439</v>
      </c>
      <c r="F3658" s="3">
        <v>45363</v>
      </c>
      <c r="G3658" s="3" t="s">
        <v>537</v>
      </c>
      <c r="I3658">
        <v>48</v>
      </c>
      <c r="J3658" t="s">
        <v>4440</v>
      </c>
      <c r="K3658" t="s">
        <v>4457</v>
      </c>
      <c r="L3658" t="s">
        <v>4454</v>
      </c>
      <c r="M3658" t="s">
        <v>4462</v>
      </c>
    </row>
    <row r="3659" spans="1:14" x14ac:dyDescent="0.35">
      <c r="A3659" t="s">
        <v>8138</v>
      </c>
      <c r="B3659" t="s">
        <v>238</v>
      </c>
      <c r="C3659" t="s">
        <v>1883</v>
      </c>
      <c r="D3659" t="s">
        <v>4485</v>
      </c>
      <c r="E3659" t="s">
        <v>4439</v>
      </c>
      <c r="F3659" s="3">
        <v>45229</v>
      </c>
      <c r="G3659" s="3">
        <v>45232</v>
      </c>
      <c r="H3659">
        <v>77.8</v>
      </c>
      <c r="I3659">
        <v>48</v>
      </c>
      <c r="J3659" t="s">
        <v>4440</v>
      </c>
      <c r="K3659" t="s">
        <v>4441</v>
      </c>
      <c r="L3659" t="s">
        <v>4465</v>
      </c>
      <c r="M3659" t="s">
        <v>4446</v>
      </c>
      <c r="N3659">
        <v>5</v>
      </c>
    </row>
    <row r="3660" spans="1:14" x14ac:dyDescent="0.35">
      <c r="A3660" t="s">
        <v>8139</v>
      </c>
      <c r="B3660" t="s">
        <v>389</v>
      </c>
      <c r="C3660" t="s">
        <v>1890</v>
      </c>
      <c r="D3660" t="s">
        <v>4485</v>
      </c>
      <c r="E3660" t="s">
        <v>4444</v>
      </c>
      <c r="F3660" s="3">
        <v>45308</v>
      </c>
      <c r="G3660" s="3" t="s">
        <v>537</v>
      </c>
      <c r="I3660">
        <v>24</v>
      </c>
      <c r="J3660" t="s">
        <v>4448</v>
      </c>
      <c r="K3660" t="s">
        <v>4474</v>
      </c>
      <c r="L3660" t="s">
        <v>4467</v>
      </c>
      <c r="M3660" t="s">
        <v>4450</v>
      </c>
    </row>
    <row r="3661" spans="1:14" x14ac:dyDescent="0.35">
      <c r="A3661" t="s">
        <v>8140</v>
      </c>
      <c r="B3661" t="s">
        <v>310</v>
      </c>
      <c r="C3661" t="s">
        <v>1883</v>
      </c>
      <c r="D3661" t="s">
        <v>4476</v>
      </c>
      <c r="E3661" t="s">
        <v>4444</v>
      </c>
      <c r="F3661" s="3">
        <v>45424</v>
      </c>
      <c r="G3661" s="3">
        <v>45425</v>
      </c>
      <c r="H3661">
        <v>44.8</v>
      </c>
      <c r="I3661">
        <v>24</v>
      </c>
      <c r="J3661" t="s">
        <v>4440</v>
      </c>
      <c r="K3661" t="s">
        <v>4441</v>
      </c>
      <c r="L3661" t="s">
        <v>4514</v>
      </c>
      <c r="M3661" t="s">
        <v>4450</v>
      </c>
      <c r="N3661">
        <v>4</v>
      </c>
    </row>
    <row r="3662" spans="1:14" x14ac:dyDescent="0.35">
      <c r="A3662" t="s">
        <v>8141</v>
      </c>
      <c r="B3662" t="s">
        <v>196</v>
      </c>
      <c r="C3662" t="s">
        <v>1927</v>
      </c>
      <c r="D3662" t="s">
        <v>4460</v>
      </c>
      <c r="E3662" t="s">
        <v>4456</v>
      </c>
      <c r="F3662" s="3">
        <v>45071</v>
      </c>
      <c r="G3662" s="3">
        <v>45071</v>
      </c>
      <c r="H3662">
        <v>5.6</v>
      </c>
      <c r="I3662">
        <v>4</v>
      </c>
      <c r="J3662" t="s">
        <v>4440</v>
      </c>
      <c r="K3662" t="s">
        <v>4441</v>
      </c>
      <c r="L3662" t="s">
        <v>4580</v>
      </c>
      <c r="M3662" t="s">
        <v>1625</v>
      </c>
      <c r="N3662">
        <v>3</v>
      </c>
    </row>
    <row r="3663" spans="1:14" x14ac:dyDescent="0.35">
      <c r="A3663" t="s">
        <v>8142</v>
      </c>
      <c r="B3663" t="s">
        <v>313</v>
      </c>
      <c r="C3663" t="s">
        <v>1904</v>
      </c>
      <c r="D3663" t="s">
        <v>4460</v>
      </c>
      <c r="E3663" t="s">
        <v>4444</v>
      </c>
      <c r="F3663" s="3">
        <v>45604</v>
      </c>
      <c r="G3663" s="3">
        <v>45605</v>
      </c>
      <c r="H3663">
        <v>29.3</v>
      </c>
      <c r="I3663">
        <v>24</v>
      </c>
      <c r="J3663" t="s">
        <v>4440</v>
      </c>
      <c r="K3663" t="s">
        <v>4441</v>
      </c>
      <c r="L3663" t="s">
        <v>4492</v>
      </c>
      <c r="M3663" t="s">
        <v>4462</v>
      </c>
      <c r="N3663">
        <v>5</v>
      </c>
    </row>
    <row r="3664" spans="1:14" x14ac:dyDescent="0.35">
      <c r="A3664" t="s">
        <v>8143</v>
      </c>
      <c r="B3664" t="s">
        <v>247</v>
      </c>
      <c r="C3664" t="s">
        <v>1904</v>
      </c>
      <c r="D3664" t="s">
        <v>4482</v>
      </c>
      <c r="E3664" t="s">
        <v>4439</v>
      </c>
      <c r="F3664" s="3">
        <v>45155</v>
      </c>
      <c r="G3664" s="3" t="s">
        <v>537</v>
      </c>
      <c r="I3664">
        <v>48</v>
      </c>
      <c r="J3664" t="s">
        <v>4440</v>
      </c>
      <c r="K3664" t="s">
        <v>4457</v>
      </c>
      <c r="L3664" t="s">
        <v>4533</v>
      </c>
      <c r="M3664" t="s">
        <v>4462</v>
      </c>
    </row>
    <row r="3665" spans="1:14" x14ac:dyDescent="0.35">
      <c r="A3665" t="s">
        <v>8144</v>
      </c>
      <c r="B3665" t="s">
        <v>414</v>
      </c>
      <c r="C3665" t="s">
        <v>1883</v>
      </c>
      <c r="D3665" t="s">
        <v>4490</v>
      </c>
      <c r="E3665" t="s">
        <v>4439</v>
      </c>
      <c r="F3665" s="3">
        <v>45393</v>
      </c>
      <c r="G3665" s="3" t="s">
        <v>537</v>
      </c>
      <c r="I3665">
        <v>48</v>
      </c>
      <c r="J3665" t="s">
        <v>4440</v>
      </c>
      <c r="K3665" t="s">
        <v>4453</v>
      </c>
      <c r="L3665" t="s">
        <v>4458</v>
      </c>
      <c r="M3665" t="s">
        <v>4462</v>
      </c>
    </row>
    <row r="3666" spans="1:14" x14ac:dyDescent="0.35">
      <c r="A3666" t="s">
        <v>8145</v>
      </c>
      <c r="B3666" t="s">
        <v>451</v>
      </c>
      <c r="C3666" t="s">
        <v>1915</v>
      </c>
      <c r="D3666" t="s">
        <v>4464</v>
      </c>
      <c r="E3666" t="s">
        <v>4444</v>
      </c>
      <c r="F3666" s="3">
        <v>45511</v>
      </c>
      <c r="G3666" s="3">
        <v>45513</v>
      </c>
      <c r="H3666">
        <v>49</v>
      </c>
      <c r="I3666">
        <v>24</v>
      </c>
      <c r="J3666" t="s">
        <v>4440</v>
      </c>
      <c r="K3666" t="s">
        <v>4441</v>
      </c>
      <c r="L3666" t="s">
        <v>4445</v>
      </c>
      <c r="M3666" t="s">
        <v>4446</v>
      </c>
      <c r="N3666">
        <v>5</v>
      </c>
    </row>
    <row r="3667" spans="1:14" x14ac:dyDescent="0.35">
      <c r="A3667" t="s">
        <v>8146</v>
      </c>
      <c r="B3667" t="s">
        <v>482</v>
      </c>
      <c r="C3667" t="s">
        <v>1890</v>
      </c>
      <c r="D3667" t="s">
        <v>4464</v>
      </c>
      <c r="E3667" t="s">
        <v>4456</v>
      </c>
      <c r="F3667" s="3">
        <v>45562</v>
      </c>
      <c r="G3667" s="3">
        <v>45562</v>
      </c>
      <c r="H3667">
        <v>8.1999999999999993</v>
      </c>
      <c r="I3667">
        <v>4</v>
      </c>
      <c r="J3667" t="s">
        <v>4440</v>
      </c>
      <c r="K3667" t="s">
        <v>4441</v>
      </c>
      <c r="L3667" t="s">
        <v>4449</v>
      </c>
      <c r="M3667" t="s">
        <v>4446</v>
      </c>
      <c r="N3667">
        <v>5</v>
      </c>
    </row>
    <row r="3668" spans="1:14" x14ac:dyDescent="0.35">
      <c r="A3668" t="s">
        <v>8147</v>
      </c>
      <c r="B3668" t="s">
        <v>313</v>
      </c>
      <c r="C3668" t="s">
        <v>1927</v>
      </c>
      <c r="D3668" t="s">
        <v>4460</v>
      </c>
      <c r="E3668" t="s">
        <v>4473</v>
      </c>
      <c r="F3668" s="3">
        <v>45163</v>
      </c>
      <c r="G3668" s="3" t="s">
        <v>537</v>
      </c>
      <c r="I3668">
        <v>8</v>
      </c>
      <c r="J3668" t="s">
        <v>4440</v>
      </c>
      <c r="K3668" t="s">
        <v>4453</v>
      </c>
      <c r="L3668" t="s">
        <v>4449</v>
      </c>
      <c r="M3668" t="s">
        <v>1625</v>
      </c>
    </row>
    <row r="3669" spans="1:14" x14ac:dyDescent="0.35">
      <c r="A3669" t="s">
        <v>8148</v>
      </c>
      <c r="B3669" t="s">
        <v>184</v>
      </c>
      <c r="C3669" t="s">
        <v>1890</v>
      </c>
      <c r="D3669" t="s">
        <v>4490</v>
      </c>
      <c r="E3669" t="s">
        <v>4439</v>
      </c>
      <c r="F3669" s="3">
        <v>45520</v>
      </c>
      <c r="G3669" s="3">
        <v>45524</v>
      </c>
      <c r="H3669">
        <v>113.6</v>
      </c>
      <c r="I3669">
        <v>48</v>
      </c>
      <c r="J3669" t="s">
        <v>4440</v>
      </c>
      <c r="K3669" t="s">
        <v>4441</v>
      </c>
      <c r="L3669" t="s">
        <v>4527</v>
      </c>
      <c r="M3669" t="s">
        <v>1625</v>
      </c>
      <c r="N3669">
        <v>5</v>
      </c>
    </row>
    <row r="3670" spans="1:14" x14ac:dyDescent="0.35">
      <c r="A3670" t="s">
        <v>8149</v>
      </c>
      <c r="B3670" t="s">
        <v>236</v>
      </c>
      <c r="C3670" t="s">
        <v>1890</v>
      </c>
      <c r="D3670" t="s">
        <v>4482</v>
      </c>
      <c r="E3670" t="s">
        <v>79</v>
      </c>
      <c r="F3670" s="3">
        <v>45110</v>
      </c>
      <c r="G3670" s="3">
        <v>45111</v>
      </c>
      <c r="H3670">
        <v>25.9</v>
      </c>
      <c r="I3670">
        <v>24</v>
      </c>
      <c r="J3670" t="s">
        <v>4440</v>
      </c>
      <c r="K3670" t="s">
        <v>4441</v>
      </c>
      <c r="L3670" t="s">
        <v>4501</v>
      </c>
      <c r="M3670" t="s">
        <v>1625</v>
      </c>
    </row>
    <row r="3671" spans="1:14" x14ac:dyDescent="0.35">
      <c r="A3671" t="s">
        <v>8150</v>
      </c>
      <c r="B3671" t="s">
        <v>392</v>
      </c>
      <c r="C3671" t="s">
        <v>1899</v>
      </c>
      <c r="D3671" t="s">
        <v>4438</v>
      </c>
      <c r="E3671" t="s">
        <v>4473</v>
      </c>
      <c r="F3671" s="3">
        <v>45492</v>
      </c>
      <c r="G3671" s="3">
        <v>45492</v>
      </c>
      <c r="H3671">
        <v>12.4</v>
      </c>
      <c r="I3671">
        <v>8</v>
      </c>
      <c r="J3671" t="s">
        <v>4440</v>
      </c>
      <c r="K3671" t="s">
        <v>4441</v>
      </c>
      <c r="L3671" t="s">
        <v>4467</v>
      </c>
      <c r="M3671" t="s">
        <v>4446</v>
      </c>
      <c r="N3671">
        <v>5</v>
      </c>
    </row>
    <row r="3672" spans="1:14" x14ac:dyDescent="0.35">
      <c r="A3672" t="s">
        <v>8151</v>
      </c>
      <c r="B3672" t="s">
        <v>499</v>
      </c>
      <c r="C3672" t="s">
        <v>1915</v>
      </c>
      <c r="D3672" t="s">
        <v>4464</v>
      </c>
      <c r="E3672" t="s">
        <v>4444</v>
      </c>
      <c r="F3672" s="3">
        <v>45304</v>
      </c>
      <c r="G3672" s="3" t="s">
        <v>537</v>
      </c>
      <c r="I3672">
        <v>24</v>
      </c>
      <c r="J3672" t="s">
        <v>1945</v>
      </c>
      <c r="K3672" t="s">
        <v>4457</v>
      </c>
      <c r="L3672" t="s">
        <v>4501</v>
      </c>
      <c r="M3672" t="s">
        <v>1625</v>
      </c>
    </row>
    <row r="3673" spans="1:14" x14ac:dyDescent="0.35">
      <c r="A3673" t="s">
        <v>8152</v>
      </c>
      <c r="B3673" t="s">
        <v>415</v>
      </c>
      <c r="C3673" t="s">
        <v>1927</v>
      </c>
      <c r="D3673" t="s">
        <v>4485</v>
      </c>
      <c r="E3673" t="s">
        <v>4473</v>
      </c>
      <c r="F3673" s="3">
        <v>45330</v>
      </c>
      <c r="G3673" s="3">
        <v>45330</v>
      </c>
      <c r="H3673">
        <v>5.2</v>
      </c>
      <c r="I3673">
        <v>8</v>
      </c>
      <c r="J3673" t="s">
        <v>1945</v>
      </c>
      <c r="K3673" t="s">
        <v>4441</v>
      </c>
      <c r="L3673" t="s">
        <v>4533</v>
      </c>
      <c r="M3673" t="s">
        <v>4450</v>
      </c>
      <c r="N3673">
        <v>2</v>
      </c>
    </row>
    <row r="3674" spans="1:14" x14ac:dyDescent="0.35">
      <c r="A3674" t="s">
        <v>8153</v>
      </c>
      <c r="B3674" t="s">
        <v>297</v>
      </c>
      <c r="C3674" t="s">
        <v>1883</v>
      </c>
      <c r="D3674" t="s">
        <v>4452</v>
      </c>
      <c r="E3674" t="s">
        <v>4444</v>
      </c>
      <c r="F3674" s="3">
        <v>45153</v>
      </c>
      <c r="G3674" s="3" t="s">
        <v>537</v>
      </c>
      <c r="I3674">
        <v>24</v>
      </c>
      <c r="J3674" t="s">
        <v>4440</v>
      </c>
      <c r="K3674" t="s">
        <v>4474</v>
      </c>
      <c r="L3674" t="s">
        <v>4512</v>
      </c>
      <c r="M3674" t="s">
        <v>1625</v>
      </c>
    </row>
    <row r="3675" spans="1:14" x14ac:dyDescent="0.35">
      <c r="A3675" t="s">
        <v>8154</v>
      </c>
      <c r="B3675" t="s">
        <v>68</v>
      </c>
      <c r="C3675" t="s">
        <v>1899</v>
      </c>
      <c r="D3675" t="s">
        <v>4443</v>
      </c>
      <c r="E3675" t="s">
        <v>4444</v>
      </c>
      <c r="F3675" s="3">
        <v>45433</v>
      </c>
      <c r="G3675" s="3">
        <v>45434</v>
      </c>
      <c r="H3675">
        <v>45.5</v>
      </c>
      <c r="I3675">
        <v>24</v>
      </c>
      <c r="J3675" t="s">
        <v>4440</v>
      </c>
      <c r="K3675" t="s">
        <v>4441</v>
      </c>
      <c r="L3675" t="s">
        <v>4488</v>
      </c>
      <c r="M3675" t="s">
        <v>4446</v>
      </c>
      <c r="N3675">
        <v>2</v>
      </c>
    </row>
    <row r="3676" spans="1:14" x14ac:dyDescent="0.35">
      <c r="A3676" t="s">
        <v>8155</v>
      </c>
      <c r="B3676" t="s">
        <v>319</v>
      </c>
      <c r="C3676" t="s">
        <v>1899</v>
      </c>
      <c r="D3676" t="s">
        <v>4476</v>
      </c>
      <c r="E3676" t="s">
        <v>4473</v>
      </c>
      <c r="F3676" s="3">
        <v>45566</v>
      </c>
      <c r="G3676" s="3">
        <v>45566</v>
      </c>
      <c r="H3676">
        <v>18.399999999999999</v>
      </c>
      <c r="I3676">
        <v>8</v>
      </c>
      <c r="J3676" t="s">
        <v>4440</v>
      </c>
      <c r="K3676" t="s">
        <v>4441</v>
      </c>
      <c r="L3676" t="s">
        <v>4461</v>
      </c>
      <c r="M3676" t="s">
        <v>4446</v>
      </c>
      <c r="N3676">
        <v>2</v>
      </c>
    </row>
    <row r="3677" spans="1:14" x14ac:dyDescent="0.35">
      <c r="A3677" t="s">
        <v>8156</v>
      </c>
      <c r="B3677" t="s">
        <v>376</v>
      </c>
      <c r="C3677" t="s">
        <v>1899</v>
      </c>
      <c r="D3677" t="s">
        <v>4452</v>
      </c>
      <c r="E3677" t="s">
        <v>4444</v>
      </c>
      <c r="F3677" s="3">
        <v>45277</v>
      </c>
      <c r="G3677" s="3">
        <v>45277</v>
      </c>
      <c r="H3677">
        <v>20.9</v>
      </c>
      <c r="I3677">
        <v>24</v>
      </c>
      <c r="J3677" t="s">
        <v>4448</v>
      </c>
      <c r="K3677" t="s">
        <v>4441</v>
      </c>
      <c r="L3677" t="s">
        <v>4509</v>
      </c>
      <c r="M3677" t="s">
        <v>4446</v>
      </c>
      <c r="N3677">
        <v>3</v>
      </c>
    </row>
    <row r="3678" spans="1:14" x14ac:dyDescent="0.35">
      <c r="A3678" t="s">
        <v>8157</v>
      </c>
      <c r="B3678" t="s">
        <v>240</v>
      </c>
      <c r="C3678" t="s">
        <v>1927</v>
      </c>
      <c r="D3678" t="s">
        <v>4476</v>
      </c>
      <c r="E3678" t="s">
        <v>4439</v>
      </c>
      <c r="F3678" s="3">
        <v>45237</v>
      </c>
      <c r="G3678" s="3">
        <v>45237</v>
      </c>
      <c r="H3678">
        <v>17.600000000000001</v>
      </c>
      <c r="I3678">
        <v>48</v>
      </c>
      <c r="J3678" t="s">
        <v>4448</v>
      </c>
      <c r="K3678" t="s">
        <v>4441</v>
      </c>
      <c r="L3678" t="s">
        <v>4445</v>
      </c>
      <c r="M3678" t="s">
        <v>4446</v>
      </c>
    </row>
    <row r="3679" spans="1:14" x14ac:dyDescent="0.35">
      <c r="A3679" t="s">
        <v>8158</v>
      </c>
      <c r="B3679" t="s">
        <v>297</v>
      </c>
      <c r="C3679" t="s">
        <v>1915</v>
      </c>
      <c r="D3679" t="s">
        <v>4485</v>
      </c>
      <c r="E3679" t="s">
        <v>4439</v>
      </c>
      <c r="F3679" s="3">
        <v>45741</v>
      </c>
      <c r="G3679" s="3" t="s">
        <v>537</v>
      </c>
      <c r="I3679">
        <v>48</v>
      </c>
      <c r="J3679" t="s">
        <v>4448</v>
      </c>
      <c r="K3679" t="s">
        <v>4474</v>
      </c>
      <c r="L3679" t="s">
        <v>4458</v>
      </c>
      <c r="M3679" t="s">
        <v>1625</v>
      </c>
    </row>
    <row r="3680" spans="1:14" x14ac:dyDescent="0.35">
      <c r="A3680" t="s">
        <v>8159</v>
      </c>
      <c r="B3680" t="s">
        <v>466</v>
      </c>
      <c r="C3680" t="s">
        <v>1915</v>
      </c>
      <c r="D3680" t="s">
        <v>8511</v>
      </c>
      <c r="E3680" t="s">
        <v>4444</v>
      </c>
      <c r="F3680" s="3">
        <v>45473</v>
      </c>
      <c r="G3680" s="3">
        <v>45474</v>
      </c>
      <c r="H3680">
        <v>24.6</v>
      </c>
      <c r="I3680">
        <v>24</v>
      </c>
      <c r="J3680" t="s">
        <v>4440</v>
      </c>
      <c r="K3680" t="s">
        <v>4441</v>
      </c>
      <c r="L3680" t="s">
        <v>4467</v>
      </c>
      <c r="M3680" t="s">
        <v>1625</v>
      </c>
    </row>
    <row r="3681" spans="1:14" x14ac:dyDescent="0.35">
      <c r="A3681" t="s">
        <v>8160</v>
      </c>
      <c r="B3681" t="s">
        <v>410</v>
      </c>
      <c r="C3681" t="s">
        <v>1904</v>
      </c>
      <c r="D3681" t="s">
        <v>4460</v>
      </c>
      <c r="E3681" t="s">
        <v>4456</v>
      </c>
      <c r="F3681" s="3">
        <v>45707</v>
      </c>
      <c r="G3681" s="3">
        <v>45707</v>
      </c>
      <c r="H3681">
        <v>2.5</v>
      </c>
      <c r="I3681">
        <v>4</v>
      </c>
      <c r="J3681" t="s">
        <v>4448</v>
      </c>
      <c r="K3681" t="s">
        <v>4441</v>
      </c>
      <c r="L3681" t="s">
        <v>4458</v>
      </c>
      <c r="M3681" t="s">
        <v>4462</v>
      </c>
    </row>
    <row r="3682" spans="1:14" x14ac:dyDescent="0.35">
      <c r="A3682" t="s">
        <v>8161</v>
      </c>
      <c r="B3682" t="s">
        <v>106</v>
      </c>
      <c r="C3682" t="s">
        <v>1915</v>
      </c>
      <c r="D3682" t="s">
        <v>4490</v>
      </c>
      <c r="E3682" t="s">
        <v>4456</v>
      </c>
      <c r="F3682" s="3">
        <v>45676</v>
      </c>
      <c r="G3682" s="3" t="s">
        <v>537</v>
      </c>
      <c r="I3682">
        <v>4</v>
      </c>
      <c r="J3682" t="s">
        <v>4440</v>
      </c>
      <c r="K3682" t="s">
        <v>4474</v>
      </c>
      <c r="L3682" t="s">
        <v>1907</v>
      </c>
      <c r="M3682" t="s">
        <v>4450</v>
      </c>
    </row>
    <row r="3683" spans="1:14" x14ac:dyDescent="0.35">
      <c r="A3683" t="s">
        <v>8162</v>
      </c>
      <c r="B3683" t="s">
        <v>323</v>
      </c>
      <c r="C3683" t="s">
        <v>1904</v>
      </c>
      <c r="D3683" t="s">
        <v>4452</v>
      </c>
      <c r="E3683" t="s">
        <v>4444</v>
      </c>
      <c r="F3683" s="3">
        <v>45165</v>
      </c>
      <c r="G3683" s="3">
        <v>45167</v>
      </c>
      <c r="H3683">
        <v>57.5</v>
      </c>
      <c r="I3683">
        <v>24</v>
      </c>
      <c r="J3683" t="s">
        <v>4440</v>
      </c>
      <c r="K3683" t="s">
        <v>4441</v>
      </c>
      <c r="L3683" t="s">
        <v>4454</v>
      </c>
      <c r="M3683" t="s">
        <v>4450</v>
      </c>
      <c r="N3683">
        <v>4</v>
      </c>
    </row>
    <row r="3684" spans="1:14" x14ac:dyDescent="0.35">
      <c r="A3684" t="s">
        <v>8163</v>
      </c>
      <c r="B3684" t="s">
        <v>360</v>
      </c>
      <c r="C3684" t="s">
        <v>1899</v>
      </c>
      <c r="D3684" t="s">
        <v>4479</v>
      </c>
      <c r="E3684" t="s">
        <v>4473</v>
      </c>
      <c r="F3684" s="3">
        <v>44969</v>
      </c>
      <c r="G3684" s="3">
        <v>44969</v>
      </c>
      <c r="H3684">
        <v>1.8</v>
      </c>
      <c r="I3684">
        <v>8</v>
      </c>
      <c r="J3684" t="s">
        <v>4448</v>
      </c>
      <c r="K3684" t="s">
        <v>4441</v>
      </c>
      <c r="L3684" t="s">
        <v>4483</v>
      </c>
      <c r="M3684" t="s">
        <v>4450</v>
      </c>
      <c r="N3684">
        <v>3</v>
      </c>
    </row>
    <row r="3685" spans="1:14" x14ac:dyDescent="0.35">
      <c r="A3685" t="s">
        <v>8164</v>
      </c>
      <c r="B3685" t="s">
        <v>406</v>
      </c>
      <c r="C3685" t="s">
        <v>1904</v>
      </c>
      <c r="D3685" t="s">
        <v>4482</v>
      </c>
      <c r="E3685" t="s">
        <v>4444</v>
      </c>
      <c r="F3685" s="3">
        <v>44975</v>
      </c>
      <c r="G3685" s="3">
        <v>44975</v>
      </c>
      <c r="H3685">
        <v>13.5</v>
      </c>
      <c r="I3685">
        <v>24</v>
      </c>
      <c r="J3685" t="s">
        <v>4448</v>
      </c>
      <c r="K3685" t="s">
        <v>4441</v>
      </c>
      <c r="L3685" t="s">
        <v>4527</v>
      </c>
      <c r="M3685" t="s">
        <v>1625</v>
      </c>
    </row>
    <row r="3686" spans="1:14" x14ac:dyDescent="0.35">
      <c r="A3686" t="s">
        <v>8165</v>
      </c>
      <c r="B3686" t="s">
        <v>444</v>
      </c>
      <c r="C3686" t="s">
        <v>1899</v>
      </c>
      <c r="D3686" t="s">
        <v>4482</v>
      </c>
      <c r="E3686" t="s">
        <v>4439</v>
      </c>
      <c r="F3686" s="3">
        <v>45239</v>
      </c>
      <c r="G3686" s="3">
        <v>45240</v>
      </c>
      <c r="H3686">
        <v>32.700000000000003</v>
      </c>
      <c r="I3686">
        <v>48</v>
      </c>
      <c r="J3686" t="s">
        <v>4448</v>
      </c>
      <c r="K3686" t="s">
        <v>4441</v>
      </c>
      <c r="L3686" t="s">
        <v>4480</v>
      </c>
      <c r="M3686" t="s">
        <v>4446</v>
      </c>
      <c r="N3686">
        <v>2</v>
      </c>
    </row>
    <row r="3687" spans="1:14" x14ac:dyDescent="0.35">
      <c r="A3687" t="s">
        <v>8166</v>
      </c>
      <c r="B3687" t="s">
        <v>94</v>
      </c>
      <c r="C3687" t="s">
        <v>1890</v>
      </c>
      <c r="D3687" t="s">
        <v>4482</v>
      </c>
      <c r="E3687" t="s">
        <v>4444</v>
      </c>
      <c r="F3687" s="3">
        <v>44949</v>
      </c>
      <c r="G3687" s="3">
        <v>44949</v>
      </c>
      <c r="H3687">
        <v>20.6</v>
      </c>
      <c r="I3687">
        <v>24</v>
      </c>
      <c r="J3687" t="s">
        <v>4448</v>
      </c>
      <c r="K3687" t="s">
        <v>4441</v>
      </c>
      <c r="L3687" t="s">
        <v>1907</v>
      </c>
      <c r="M3687" t="s">
        <v>4462</v>
      </c>
      <c r="N3687">
        <v>5</v>
      </c>
    </row>
    <row r="3688" spans="1:14" x14ac:dyDescent="0.35">
      <c r="A3688" t="s">
        <v>8167</v>
      </c>
      <c r="B3688" t="s">
        <v>99</v>
      </c>
      <c r="C3688" t="s">
        <v>1899</v>
      </c>
      <c r="D3688" t="s">
        <v>4472</v>
      </c>
      <c r="E3688" t="s">
        <v>4439</v>
      </c>
      <c r="F3688" s="3">
        <v>45308</v>
      </c>
      <c r="G3688" s="3" t="s">
        <v>537</v>
      </c>
      <c r="I3688">
        <v>48</v>
      </c>
      <c r="J3688" t="s">
        <v>4448</v>
      </c>
      <c r="K3688" t="s">
        <v>4474</v>
      </c>
      <c r="L3688" t="s">
        <v>4461</v>
      </c>
      <c r="M3688" t="s">
        <v>4462</v>
      </c>
    </row>
    <row r="3689" spans="1:14" x14ac:dyDescent="0.35">
      <c r="A3689" t="s">
        <v>8168</v>
      </c>
      <c r="B3689" t="s">
        <v>485</v>
      </c>
      <c r="C3689" t="s">
        <v>1883</v>
      </c>
      <c r="D3689" t="s">
        <v>4482</v>
      </c>
      <c r="E3689" t="s">
        <v>4473</v>
      </c>
      <c r="F3689" s="3">
        <v>45158</v>
      </c>
      <c r="G3689" s="3" t="s">
        <v>537</v>
      </c>
      <c r="I3689">
        <v>8</v>
      </c>
      <c r="J3689" t="s">
        <v>4440</v>
      </c>
      <c r="K3689" t="s">
        <v>4457</v>
      </c>
      <c r="L3689" t="s">
        <v>4449</v>
      </c>
      <c r="M3689" t="s">
        <v>1625</v>
      </c>
    </row>
    <row r="3690" spans="1:14" x14ac:dyDescent="0.35">
      <c r="A3690" t="s">
        <v>8169</v>
      </c>
      <c r="B3690" t="s">
        <v>171</v>
      </c>
      <c r="C3690" t="s">
        <v>1883</v>
      </c>
      <c r="D3690" t="s">
        <v>4476</v>
      </c>
      <c r="E3690" t="s">
        <v>4473</v>
      </c>
      <c r="F3690" s="3">
        <v>45259</v>
      </c>
      <c r="G3690" s="3" t="s">
        <v>537</v>
      </c>
      <c r="I3690">
        <v>8</v>
      </c>
      <c r="J3690" t="s">
        <v>4440</v>
      </c>
      <c r="K3690" t="s">
        <v>4457</v>
      </c>
      <c r="L3690" t="s">
        <v>4580</v>
      </c>
      <c r="M3690" t="s">
        <v>4446</v>
      </c>
    </row>
    <row r="3691" spans="1:14" x14ac:dyDescent="0.35">
      <c r="A3691" t="s">
        <v>8170</v>
      </c>
      <c r="B3691" t="s">
        <v>457</v>
      </c>
      <c r="C3691" t="s">
        <v>1904</v>
      </c>
      <c r="D3691" t="s">
        <v>4464</v>
      </c>
      <c r="E3691" t="s">
        <v>4439</v>
      </c>
      <c r="F3691" s="3">
        <v>45183</v>
      </c>
      <c r="G3691" s="3">
        <v>45186</v>
      </c>
      <c r="H3691">
        <v>77.3</v>
      </c>
      <c r="I3691">
        <v>48</v>
      </c>
      <c r="J3691" t="s">
        <v>4440</v>
      </c>
      <c r="K3691" t="s">
        <v>4441</v>
      </c>
      <c r="L3691" t="s">
        <v>4454</v>
      </c>
      <c r="M3691" t="s">
        <v>4450</v>
      </c>
      <c r="N3691">
        <v>3</v>
      </c>
    </row>
    <row r="3692" spans="1:14" x14ac:dyDescent="0.35">
      <c r="A3692" t="s">
        <v>8171</v>
      </c>
      <c r="B3692" t="s">
        <v>394</v>
      </c>
      <c r="C3692" t="s">
        <v>1915</v>
      </c>
      <c r="D3692" t="s">
        <v>8506</v>
      </c>
      <c r="E3692" t="s">
        <v>4439</v>
      </c>
      <c r="F3692" s="3">
        <v>45079</v>
      </c>
      <c r="G3692" s="3">
        <v>45080</v>
      </c>
      <c r="H3692">
        <v>28.9</v>
      </c>
      <c r="I3692">
        <v>48</v>
      </c>
      <c r="J3692" t="s">
        <v>4448</v>
      </c>
      <c r="K3692" t="s">
        <v>4441</v>
      </c>
      <c r="L3692" t="s">
        <v>4454</v>
      </c>
      <c r="M3692" t="s">
        <v>4462</v>
      </c>
      <c r="N3692">
        <v>4</v>
      </c>
    </row>
    <row r="3693" spans="1:14" x14ac:dyDescent="0.35">
      <c r="A3693" t="s">
        <v>8172</v>
      </c>
      <c r="B3693" t="s">
        <v>32</v>
      </c>
      <c r="C3693" t="s">
        <v>1890</v>
      </c>
      <c r="D3693" t="s">
        <v>4460</v>
      </c>
      <c r="E3693" t="s">
        <v>4444</v>
      </c>
      <c r="F3693" s="3">
        <v>45300</v>
      </c>
      <c r="G3693" s="3" t="s">
        <v>537</v>
      </c>
      <c r="I3693">
        <v>24</v>
      </c>
      <c r="J3693" t="s">
        <v>4440</v>
      </c>
      <c r="K3693" t="s">
        <v>4453</v>
      </c>
      <c r="L3693" t="s">
        <v>4445</v>
      </c>
      <c r="M3693" t="s">
        <v>4450</v>
      </c>
    </row>
    <row r="3694" spans="1:14" x14ac:dyDescent="0.35">
      <c r="A3694" t="s">
        <v>8173</v>
      </c>
      <c r="B3694" t="s">
        <v>314</v>
      </c>
      <c r="C3694" t="s">
        <v>1883</v>
      </c>
      <c r="D3694" t="s">
        <v>4460</v>
      </c>
      <c r="E3694" t="s">
        <v>4456</v>
      </c>
      <c r="F3694" s="3">
        <v>45654</v>
      </c>
      <c r="G3694" s="3" t="s">
        <v>537</v>
      </c>
      <c r="I3694">
        <v>4</v>
      </c>
      <c r="J3694" t="s">
        <v>4440</v>
      </c>
      <c r="K3694" t="s">
        <v>4453</v>
      </c>
      <c r="L3694" t="s">
        <v>4533</v>
      </c>
      <c r="M3694" t="s">
        <v>4446</v>
      </c>
    </row>
    <row r="3695" spans="1:14" x14ac:dyDescent="0.35">
      <c r="A3695" t="s">
        <v>8174</v>
      </c>
      <c r="B3695" t="s">
        <v>408</v>
      </c>
      <c r="C3695" t="s">
        <v>1899</v>
      </c>
      <c r="D3695" t="s">
        <v>4472</v>
      </c>
      <c r="E3695" t="s">
        <v>4444</v>
      </c>
      <c r="F3695" s="3">
        <v>45549</v>
      </c>
      <c r="G3695" s="3">
        <v>45551</v>
      </c>
      <c r="H3695">
        <v>57.4</v>
      </c>
      <c r="I3695">
        <v>24</v>
      </c>
      <c r="J3695" t="s">
        <v>4440</v>
      </c>
      <c r="K3695" t="s">
        <v>4441</v>
      </c>
      <c r="L3695" t="s">
        <v>4509</v>
      </c>
      <c r="M3695" t="s">
        <v>4450</v>
      </c>
      <c r="N3695">
        <v>3</v>
      </c>
    </row>
    <row r="3696" spans="1:14" x14ac:dyDescent="0.35">
      <c r="A3696" t="s">
        <v>8175</v>
      </c>
      <c r="B3696" t="s">
        <v>368</v>
      </c>
      <c r="C3696" t="s">
        <v>1915</v>
      </c>
      <c r="D3696" t="s">
        <v>4469</v>
      </c>
      <c r="E3696" t="s">
        <v>4439</v>
      </c>
      <c r="F3696" s="3">
        <v>44959</v>
      </c>
      <c r="G3696" s="3" t="s">
        <v>537</v>
      </c>
      <c r="I3696">
        <v>48</v>
      </c>
      <c r="J3696" t="s">
        <v>4440</v>
      </c>
      <c r="K3696" t="s">
        <v>4474</v>
      </c>
      <c r="L3696" t="s">
        <v>4512</v>
      </c>
      <c r="M3696" t="s">
        <v>1625</v>
      </c>
    </row>
    <row r="3697" spans="1:14" x14ac:dyDescent="0.35">
      <c r="A3697" t="s">
        <v>8176</v>
      </c>
      <c r="B3697" t="s">
        <v>458</v>
      </c>
      <c r="C3697" t="s">
        <v>1927</v>
      </c>
      <c r="D3697" t="s">
        <v>4479</v>
      </c>
      <c r="E3697" t="s">
        <v>4439</v>
      </c>
      <c r="F3697" s="3">
        <v>45108</v>
      </c>
      <c r="G3697" s="3" t="s">
        <v>537</v>
      </c>
      <c r="I3697">
        <v>48</v>
      </c>
      <c r="J3697" t="s">
        <v>4440</v>
      </c>
      <c r="K3697" t="s">
        <v>4457</v>
      </c>
      <c r="L3697" t="s">
        <v>4461</v>
      </c>
      <c r="M3697" t="s">
        <v>1625</v>
      </c>
    </row>
    <row r="3698" spans="1:14" x14ac:dyDescent="0.35">
      <c r="A3698" t="s">
        <v>8177</v>
      </c>
      <c r="B3698" t="s">
        <v>138</v>
      </c>
      <c r="C3698" t="s">
        <v>1927</v>
      </c>
      <c r="D3698" t="s">
        <v>4464</v>
      </c>
      <c r="E3698" t="s">
        <v>4456</v>
      </c>
      <c r="F3698" s="3">
        <v>44953</v>
      </c>
      <c r="G3698" s="3">
        <v>44953</v>
      </c>
      <c r="H3698">
        <v>2.2999999999999998</v>
      </c>
      <c r="I3698">
        <v>4</v>
      </c>
      <c r="J3698" t="s">
        <v>4448</v>
      </c>
      <c r="K3698" t="s">
        <v>4441</v>
      </c>
      <c r="L3698" t="s">
        <v>4454</v>
      </c>
      <c r="M3698" t="s">
        <v>4446</v>
      </c>
      <c r="N3698">
        <v>3</v>
      </c>
    </row>
    <row r="3699" spans="1:14" x14ac:dyDescent="0.35">
      <c r="A3699" t="s">
        <v>8178</v>
      </c>
      <c r="B3699" t="s">
        <v>423</v>
      </c>
      <c r="C3699" t="s">
        <v>1883</v>
      </c>
      <c r="D3699" t="s">
        <v>4469</v>
      </c>
      <c r="E3699" t="s">
        <v>4439</v>
      </c>
      <c r="F3699" s="3">
        <v>45112</v>
      </c>
      <c r="G3699" s="3">
        <v>45114</v>
      </c>
      <c r="H3699">
        <v>49</v>
      </c>
      <c r="I3699">
        <v>48</v>
      </c>
      <c r="J3699" t="s">
        <v>4440</v>
      </c>
      <c r="K3699" t="s">
        <v>4441</v>
      </c>
      <c r="L3699" t="s">
        <v>4527</v>
      </c>
      <c r="M3699" t="s">
        <v>4450</v>
      </c>
      <c r="N3699">
        <v>5</v>
      </c>
    </row>
    <row r="3700" spans="1:14" x14ac:dyDescent="0.35">
      <c r="A3700" t="s">
        <v>8179</v>
      </c>
      <c r="B3700" t="s">
        <v>371</v>
      </c>
      <c r="C3700" t="s">
        <v>1915</v>
      </c>
      <c r="D3700" t="s">
        <v>4479</v>
      </c>
      <c r="E3700" t="s">
        <v>4473</v>
      </c>
      <c r="F3700" s="3">
        <v>45367</v>
      </c>
      <c r="G3700" s="3" t="s">
        <v>537</v>
      </c>
      <c r="I3700">
        <v>8</v>
      </c>
      <c r="J3700" t="s">
        <v>4440</v>
      </c>
      <c r="K3700" t="s">
        <v>4474</v>
      </c>
      <c r="L3700" t="s">
        <v>4514</v>
      </c>
      <c r="M3700" t="s">
        <v>4446</v>
      </c>
    </row>
    <row r="3701" spans="1:14" x14ac:dyDescent="0.35">
      <c r="A3701" t="s">
        <v>8180</v>
      </c>
      <c r="B3701" t="s">
        <v>414</v>
      </c>
      <c r="C3701" t="s">
        <v>1883</v>
      </c>
      <c r="D3701" t="s">
        <v>4443</v>
      </c>
      <c r="E3701" t="s">
        <v>4444</v>
      </c>
      <c r="F3701" s="3">
        <v>45603</v>
      </c>
      <c r="G3701" s="3">
        <v>45604</v>
      </c>
      <c r="H3701">
        <v>41</v>
      </c>
      <c r="I3701">
        <v>24</v>
      </c>
      <c r="J3701" t="s">
        <v>4440</v>
      </c>
      <c r="K3701" t="s">
        <v>4441</v>
      </c>
      <c r="L3701" t="s">
        <v>4449</v>
      </c>
      <c r="M3701" t="s">
        <v>4446</v>
      </c>
      <c r="N3701">
        <v>5</v>
      </c>
    </row>
    <row r="3702" spans="1:14" x14ac:dyDescent="0.35">
      <c r="A3702" t="s">
        <v>8181</v>
      </c>
      <c r="B3702" t="s">
        <v>160</v>
      </c>
      <c r="C3702" t="s">
        <v>1883</v>
      </c>
      <c r="D3702" t="s">
        <v>4452</v>
      </c>
      <c r="E3702" t="s">
        <v>4473</v>
      </c>
      <c r="F3702" s="3">
        <v>45213</v>
      </c>
      <c r="G3702" s="3" t="s">
        <v>537</v>
      </c>
      <c r="I3702">
        <v>8</v>
      </c>
      <c r="J3702" t="s">
        <v>4440</v>
      </c>
      <c r="K3702" t="s">
        <v>4453</v>
      </c>
      <c r="L3702" t="s">
        <v>4454</v>
      </c>
      <c r="M3702" t="s">
        <v>4462</v>
      </c>
    </row>
    <row r="3703" spans="1:14" x14ac:dyDescent="0.35">
      <c r="A3703" t="s">
        <v>8182</v>
      </c>
      <c r="B3703" t="s">
        <v>175</v>
      </c>
      <c r="C3703" t="s">
        <v>1927</v>
      </c>
      <c r="D3703" t="s">
        <v>4438</v>
      </c>
      <c r="E3703" t="s">
        <v>4444</v>
      </c>
      <c r="F3703" s="3">
        <v>45699</v>
      </c>
      <c r="G3703" s="3" t="s">
        <v>537</v>
      </c>
      <c r="I3703">
        <v>24</v>
      </c>
      <c r="J3703" t="s">
        <v>4448</v>
      </c>
      <c r="K3703" t="s">
        <v>4453</v>
      </c>
      <c r="L3703" t="s">
        <v>4467</v>
      </c>
      <c r="M3703" t="s">
        <v>4446</v>
      </c>
    </row>
    <row r="3704" spans="1:14" x14ac:dyDescent="0.35">
      <c r="A3704" t="s">
        <v>8183</v>
      </c>
      <c r="B3704" t="s">
        <v>328</v>
      </c>
      <c r="C3704" t="s">
        <v>1915</v>
      </c>
      <c r="D3704" t="s">
        <v>4472</v>
      </c>
      <c r="E3704" t="s">
        <v>4456</v>
      </c>
      <c r="F3704" s="3">
        <v>45552</v>
      </c>
      <c r="G3704" s="3" t="s">
        <v>537</v>
      </c>
      <c r="I3704">
        <v>4</v>
      </c>
      <c r="J3704" t="s">
        <v>4440</v>
      </c>
      <c r="K3704" t="s">
        <v>4453</v>
      </c>
      <c r="L3704" t="s">
        <v>4483</v>
      </c>
      <c r="M3704" t="s">
        <v>4450</v>
      </c>
    </row>
    <row r="3705" spans="1:14" x14ac:dyDescent="0.35">
      <c r="A3705" t="s">
        <v>8184</v>
      </c>
      <c r="B3705" t="s">
        <v>184</v>
      </c>
      <c r="C3705" t="s">
        <v>1927</v>
      </c>
      <c r="D3705" t="s">
        <v>4438</v>
      </c>
      <c r="E3705" t="s">
        <v>4456</v>
      </c>
      <c r="F3705" s="3">
        <v>45360</v>
      </c>
      <c r="G3705" s="3">
        <v>45360</v>
      </c>
      <c r="H3705">
        <v>5.8</v>
      </c>
      <c r="I3705">
        <v>4</v>
      </c>
      <c r="J3705" t="s">
        <v>4440</v>
      </c>
      <c r="K3705" t="s">
        <v>4441</v>
      </c>
      <c r="L3705" t="s">
        <v>4449</v>
      </c>
      <c r="M3705" t="s">
        <v>4446</v>
      </c>
      <c r="N3705">
        <v>2</v>
      </c>
    </row>
    <row r="3706" spans="1:14" x14ac:dyDescent="0.35">
      <c r="A3706" t="s">
        <v>8185</v>
      </c>
      <c r="B3706" t="s">
        <v>403</v>
      </c>
      <c r="C3706" t="s">
        <v>1927</v>
      </c>
      <c r="D3706" t="s">
        <v>4443</v>
      </c>
      <c r="E3706" t="s">
        <v>4444</v>
      </c>
      <c r="F3706" s="3">
        <v>45638</v>
      </c>
      <c r="G3706" s="3">
        <v>45639</v>
      </c>
      <c r="H3706">
        <v>37.700000000000003</v>
      </c>
      <c r="I3706">
        <v>24</v>
      </c>
      <c r="J3706" t="s">
        <v>4440</v>
      </c>
      <c r="K3706" t="s">
        <v>4441</v>
      </c>
      <c r="L3706" t="s">
        <v>4458</v>
      </c>
      <c r="M3706" t="s">
        <v>4462</v>
      </c>
      <c r="N3706">
        <v>3</v>
      </c>
    </row>
    <row r="3707" spans="1:14" x14ac:dyDescent="0.35">
      <c r="A3707" t="s">
        <v>8186</v>
      </c>
      <c r="B3707" t="s">
        <v>116</v>
      </c>
      <c r="C3707" t="s">
        <v>1899</v>
      </c>
      <c r="D3707" t="s">
        <v>4482</v>
      </c>
      <c r="E3707" t="s">
        <v>4439</v>
      </c>
      <c r="F3707" s="3">
        <v>45131</v>
      </c>
      <c r="G3707" s="3" t="s">
        <v>537</v>
      </c>
      <c r="I3707">
        <v>48</v>
      </c>
      <c r="J3707" t="s">
        <v>4440</v>
      </c>
      <c r="K3707" t="s">
        <v>4474</v>
      </c>
      <c r="L3707" t="s">
        <v>4501</v>
      </c>
      <c r="M3707" t="s">
        <v>1625</v>
      </c>
    </row>
    <row r="3708" spans="1:14" x14ac:dyDescent="0.35">
      <c r="A3708" t="s">
        <v>8187</v>
      </c>
      <c r="B3708" t="s">
        <v>268</v>
      </c>
      <c r="C3708" t="s">
        <v>1883</v>
      </c>
      <c r="D3708" t="s">
        <v>4438</v>
      </c>
      <c r="E3708" t="s">
        <v>4444</v>
      </c>
      <c r="F3708" s="3">
        <v>44956</v>
      </c>
      <c r="G3708" s="3" t="s">
        <v>537</v>
      </c>
      <c r="I3708">
        <v>24</v>
      </c>
      <c r="J3708" t="s">
        <v>4448</v>
      </c>
      <c r="K3708" t="s">
        <v>4457</v>
      </c>
      <c r="L3708" t="s">
        <v>4580</v>
      </c>
      <c r="M3708" t="s">
        <v>4450</v>
      </c>
    </row>
    <row r="3709" spans="1:14" x14ac:dyDescent="0.35">
      <c r="A3709" t="s">
        <v>8188</v>
      </c>
      <c r="B3709" t="s">
        <v>455</v>
      </c>
      <c r="C3709" t="s">
        <v>1890</v>
      </c>
      <c r="D3709" t="s">
        <v>4476</v>
      </c>
      <c r="E3709" t="s">
        <v>4473</v>
      </c>
      <c r="F3709" s="3">
        <v>45237</v>
      </c>
      <c r="G3709" s="3" t="s">
        <v>537</v>
      </c>
      <c r="I3709">
        <v>8</v>
      </c>
      <c r="J3709" t="s">
        <v>4448</v>
      </c>
      <c r="K3709" t="s">
        <v>4457</v>
      </c>
      <c r="L3709" t="s">
        <v>4488</v>
      </c>
      <c r="M3709" t="s">
        <v>4462</v>
      </c>
    </row>
    <row r="3710" spans="1:14" x14ac:dyDescent="0.35">
      <c r="A3710" t="s">
        <v>8189</v>
      </c>
      <c r="B3710" t="s">
        <v>370</v>
      </c>
      <c r="C3710" t="s">
        <v>1904</v>
      </c>
      <c r="D3710" t="s">
        <v>4485</v>
      </c>
      <c r="E3710" t="s">
        <v>4439</v>
      </c>
      <c r="F3710" s="3">
        <v>45673</v>
      </c>
      <c r="G3710" s="3">
        <v>45674</v>
      </c>
      <c r="H3710">
        <v>33.299999999999997</v>
      </c>
      <c r="I3710">
        <v>48</v>
      </c>
      <c r="J3710" t="s">
        <v>4448</v>
      </c>
      <c r="K3710" t="s">
        <v>4441</v>
      </c>
      <c r="L3710" t="s">
        <v>4509</v>
      </c>
      <c r="M3710" t="s">
        <v>1625</v>
      </c>
      <c r="N3710">
        <v>3</v>
      </c>
    </row>
    <row r="3711" spans="1:14" x14ac:dyDescent="0.35">
      <c r="A3711" t="s">
        <v>8190</v>
      </c>
      <c r="B3711" t="s">
        <v>332</v>
      </c>
      <c r="C3711" t="s">
        <v>1915</v>
      </c>
      <c r="D3711" t="s">
        <v>4452</v>
      </c>
      <c r="E3711" t="s">
        <v>4444</v>
      </c>
      <c r="F3711" s="3">
        <v>45586</v>
      </c>
      <c r="G3711" s="3">
        <v>45587</v>
      </c>
      <c r="H3711">
        <v>44.1</v>
      </c>
      <c r="I3711">
        <v>24</v>
      </c>
      <c r="J3711" t="s">
        <v>4440</v>
      </c>
      <c r="K3711" t="s">
        <v>4441</v>
      </c>
      <c r="L3711" t="s">
        <v>4470</v>
      </c>
      <c r="M3711" t="s">
        <v>4462</v>
      </c>
      <c r="N3711">
        <v>4</v>
      </c>
    </row>
    <row r="3712" spans="1:14" x14ac:dyDescent="0.35">
      <c r="A3712" t="s">
        <v>8191</v>
      </c>
      <c r="B3712" t="s">
        <v>319</v>
      </c>
      <c r="C3712" t="s">
        <v>1915</v>
      </c>
      <c r="D3712" t="s">
        <v>4443</v>
      </c>
      <c r="E3712" t="s">
        <v>4444</v>
      </c>
      <c r="F3712" s="3">
        <v>45478</v>
      </c>
      <c r="G3712" s="3" t="s">
        <v>537</v>
      </c>
      <c r="I3712">
        <v>24</v>
      </c>
      <c r="J3712" t="s">
        <v>4440</v>
      </c>
      <c r="K3712" t="s">
        <v>4474</v>
      </c>
      <c r="L3712" t="s">
        <v>4449</v>
      </c>
      <c r="M3712" t="s">
        <v>4446</v>
      </c>
    </row>
    <row r="3713" spans="1:14" x14ac:dyDescent="0.35">
      <c r="A3713" t="s">
        <v>8192</v>
      </c>
      <c r="B3713" t="s">
        <v>324</v>
      </c>
      <c r="C3713" t="s">
        <v>1890</v>
      </c>
      <c r="D3713" t="s">
        <v>4476</v>
      </c>
      <c r="E3713" t="s">
        <v>4444</v>
      </c>
      <c r="F3713" s="3">
        <v>45661</v>
      </c>
      <c r="G3713" s="3">
        <v>45662</v>
      </c>
      <c r="H3713">
        <v>32.9</v>
      </c>
      <c r="I3713">
        <v>24</v>
      </c>
      <c r="J3713" t="s">
        <v>4440</v>
      </c>
      <c r="K3713" t="s">
        <v>4441</v>
      </c>
      <c r="L3713" t="s">
        <v>4465</v>
      </c>
      <c r="M3713" t="s">
        <v>1625</v>
      </c>
      <c r="N3713">
        <v>5</v>
      </c>
    </row>
    <row r="3714" spans="1:14" x14ac:dyDescent="0.35">
      <c r="A3714" t="s">
        <v>8193</v>
      </c>
      <c r="B3714" t="s">
        <v>335</v>
      </c>
      <c r="C3714" t="s">
        <v>1899</v>
      </c>
      <c r="D3714" t="s">
        <v>4490</v>
      </c>
      <c r="E3714" t="s">
        <v>4444</v>
      </c>
      <c r="F3714" s="3">
        <v>45270</v>
      </c>
      <c r="G3714" s="3">
        <v>45270</v>
      </c>
      <c r="H3714">
        <v>14.1</v>
      </c>
      <c r="I3714">
        <v>24</v>
      </c>
      <c r="J3714" t="s">
        <v>4448</v>
      </c>
      <c r="K3714" t="s">
        <v>4441</v>
      </c>
      <c r="L3714" t="s">
        <v>4467</v>
      </c>
      <c r="M3714" t="s">
        <v>4462</v>
      </c>
      <c r="N3714">
        <v>3</v>
      </c>
    </row>
    <row r="3715" spans="1:14" x14ac:dyDescent="0.35">
      <c r="A3715" t="s">
        <v>8194</v>
      </c>
      <c r="B3715" t="s">
        <v>214</v>
      </c>
      <c r="C3715" t="s">
        <v>1899</v>
      </c>
      <c r="D3715" t="s">
        <v>4452</v>
      </c>
      <c r="E3715" t="s">
        <v>4439</v>
      </c>
      <c r="F3715" s="3">
        <v>45465</v>
      </c>
      <c r="G3715" s="3" t="s">
        <v>537</v>
      </c>
      <c r="I3715">
        <v>48</v>
      </c>
      <c r="J3715" t="s">
        <v>4448</v>
      </c>
      <c r="K3715" t="s">
        <v>4457</v>
      </c>
      <c r="L3715" t="s">
        <v>4467</v>
      </c>
      <c r="M3715" t="s">
        <v>4462</v>
      </c>
    </row>
    <row r="3716" spans="1:14" x14ac:dyDescent="0.35">
      <c r="A3716" t="s">
        <v>8195</v>
      </c>
      <c r="B3716" t="s">
        <v>230</v>
      </c>
      <c r="C3716" t="s">
        <v>1890</v>
      </c>
      <c r="D3716" t="s">
        <v>8504</v>
      </c>
      <c r="E3716" t="s">
        <v>4439</v>
      </c>
      <c r="F3716" s="3">
        <v>45154</v>
      </c>
      <c r="G3716" s="3">
        <v>45155</v>
      </c>
      <c r="H3716">
        <v>44.7</v>
      </c>
      <c r="I3716">
        <v>48</v>
      </c>
      <c r="J3716" t="s">
        <v>4448</v>
      </c>
      <c r="K3716" t="s">
        <v>4441</v>
      </c>
      <c r="L3716" t="s">
        <v>1907</v>
      </c>
      <c r="M3716" t="s">
        <v>4446</v>
      </c>
      <c r="N3716">
        <v>4</v>
      </c>
    </row>
    <row r="3717" spans="1:14" x14ac:dyDescent="0.35">
      <c r="A3717" t="s">
        <v>8196</v>
      </c>
      <c r="B3717" t="s">
        <v>130</v>
      </c>
      <c r="C3717" t="s">
        <v>1915</v>
      </c>
      <c r="D3717" t="s">
        <v>4443</v>
      </c>
      <c r="E3717" t="s">
        <v>4439</v>
      </c>
      <c r="F3717" s="3">
        <v>45673</v>
      </c>
      <c r="G3717" s="3">
        <v>45677</v>
      </c>
      <c r="H3717">
        <v>103</v>
      </c>
      <c r="I3717">
        <v>48</v>
      </c>
      <c r="J3717" t="s">
        <v>4440</v>
      </c>
      <c r="K3717" t="s">
        <v>4441</v>
      </c>
      <c r="L3717" t="s">
        <v>4470</v>
      </c>
      <c r="M3717" t="s">
        <v>4462</v>
      </c>
    </row>
    <row r="3718" spans="1:14" x14ac:dyDescent="0.35">
      <c r="A3718" t="s">
        <v>8197</v>
      </c>
      <c r="B3718" t="s">
        <v>474</v>
      </c>
      <c r="C3718" t="s">
        <v>1927</v>
      </c>
      <c r="D3718" t="s">
        <v>4452</v>
      </c>
      <c r="E3718" t="s">
        <v>4444</v>
      </c>
      <c r="F3718" s="3">
        <v>45046</v>
      </c>
      <c r="G3718" s="3" t="s">
        <v>537</v>
      </c>
      <c r="I3718">
        <v>24</v>
      </c>
      <c r="J3718" t="s">
        <v>4440</v>
      </c>
      <c r="K3718" t="s">
        <v>4453</v>
      </c>
      <c r="L3718" t="s">
        <v>4449</v>
      </c>
      <c r="M3718" t="s">
        <v>4462</v>
      </c>
    </row>
    <row r="3719" spans="1:14" x14ac:dyDescent="0.35">
      <c r="A3719" t="s">
        <v>8198</v>
      </c>
      <c r="B3719" t="s">
        <v>362</v>
      </c>
      <c r="C3719" t="s">
        <v>1883</v>
      </c>
      <c r="D3719" t="s">
        <v>4460</v>
      </c>
      <c r="E3719" t="s">
        <v>4444</v>
      </c>
      <c r="F3719" s="3">
        <v>45087</v>
      </c>
      <c r="G3719" s="3">
        <v>45088</v>
      </c>
      <c r="H3719">
        <v>30.1</v>
      </c>
      <c r="I3719">
        <v>24</v>
      </c>
      <c r="J3719" t="s">
        <v>4440</v>
      </c>
      <c r="K3719" t="s">
        <v>4441</v>
      </c>
      <c r="L3719" t="s">
        <v>4467</v>
      </c>
      <c r="M3719" t="s">
        <v>4450</v>
      </c>
      <c r="N3719">
        <v>3</v>
      </c>
    </row>
    <row r="3720" spans="1:14" x14ac:dyDescent="0.35">
      <c r="A3720" t="s">
        <v>8199</v>
      </c>
      <c r="B3720" t="s">
        <v>440</v>
      </c>
      <c r="C3720" t="s">
        <v>1904</v>
      </c>
      <c r="D3720" t="s">
        <v>4464</v>
      </c>
      <c r="E3720" t="s">
        <v>4444</v>
      </c>
      <c r="F3720" s="3">
        <v>45056</v>
      </c>
      <c r="G3720" s="3">
        <v>45056</v>
      </c>
      <c r="H3720">
        <v>12.4</v>
      </c>
      <c r="I3720">
        <v>24</v>
      </c>
      <c r="J3720" t="s">
        <v>4448</v>
      </c>
      <c r="K3720" t="s">
        <v>4441</v>
      </c>
      <c r="L3720" t="s">
        <v>4480</v>
      </c>
      <c r="M3720" t="s">
        <v>4450</v>
      </c>
      <c r="N3720">
        <v>4</v>
      </c>
    </row>
    <row r="3721" spans="1:14" x14ac:dyDescent="0.35">
      <c r="A3721" t="s">
        <v>8200</v>
      </c>
      <c r="B3721" t="s">
        <v>496</v>
      </c>
      <c r="C3721" t="s">
        <v>1904</v>
      </c>
      <c r="D3721" t="s">
        <v>8508</v>
      </c>
      <c r="E3721" t="s">
        <v>4439</v>
      </c>
      <c r="F3721" s="3">
        <v>45471</v>
      </c>
      <c r="G3721" s="3" t="s">
        <v>537</v>
      </c>
      <c r="I3721">
        <v>48</v>
      </c>
      <c r="J3721" t="s">
        <v>4440</v>
      </c>
      <c r="K3721" t="s">
        <v>4474</v>
      </c>
      <c r="L3721" t="s">
        <v>4488</v>
      </c>
      <c r="M3721" t="s">
        <v>4462</v>
      </c>
    </row>
    <row r="3722" spans="1:14" x14ac:dyDescent="0.35">
      <c r="A3722" t="s">
        <v>8201</v>
      </c>
      <c r="B3722" t="s">
        <v>122</v>
      </c>
      <c r="C3722" t="s">
        <v>1904</v>
      </c>
      <c r="D3722" t="s">
        <v>8515</v>
      </c>
      <c r="E3722" t="s">
        <v>4439</v>
      </c>
      <c r="F3722" s="3">
        <v>45240</v>
      </c>
      <c r="G3722" s="3" t="s">
        <v>537</v>
      </c>
      <c r="I3722">
        <v>48</v>
      </c>
      <c r="J3722" t="s">
        <v>4448</v>
      </c>
      <c r="K3722" t="s">
        <v>4453</v>
      </c>
      <c r="L3722" t="s">
        <v>4527</v>
      </c>
      <c r="M3722" t="s">
        <v>4446</v>
      </c>
    </row>
    <row r="3723" spans="1:14" x14ac:dyDescent="0.35">
      <c r="A3723" t="s">
        <v>8202</v>
      </c>
      <c r="B3723" t="s">
        <v>198</v>
      </c>
      <c r="C3723" t="s">
        <v>1899</v>
      </c>
      <c r="D3723" t="s">
        <v>4460</v>
      </c>
      <c r="E3723" t="s">
        <v>4456</v>
      </c>
      <c r="F3723" s="3">
        <v>45375</v>
      </c>
      <c r="G3723" s="3" t="s">
        <v>537</v>
      </c>
      <c r="I3723">
        <v>4</v>
      </c>
      <c r="J3723" t="s">
        <v>4440</v>
      </c>
      <c r="K3723" t="s">
        <v>4453</v>
      </c>
      <c r="L3723" t="s">
        <v>4470</v>
      </c>
      <c r="M3723" t="s">
        <v>4450</v>
      </c>
    </row>
    <row r="3724" spans="1:14" x14ac:dyDescent="0.35">
      <c r="A3724" t="s">
        <v>8203</v>
      </c>
      <c r="B3724" t="s">
        <v>169</v>
      </c>
      <c r="C3724" t="s">
        <v>1904</v>
      </c>
      <c r="D3724" t="s">
        <v>4482</v>
      </c>
      <c r="E3724" t="s">
        <v>4444</v>
      </c>
      <c r="F3724" s="3">
        <v>45441</v>
      </c>
      <c r="G3724" s="3">
        <v>45441</v>
      </c>
      <c r="H3724">
        <v>19.8</v>
      </c>
      <c r="I3724">
        <v>24</v>
      </c>
      <c r="J3724" t="s">
        <v>4448</v>
      </c>
      <c r="K3724" t="s">
        <v>4441</v>
      </c>
      <c r="L3724" t="s">
        <v>4512</v>
      </c>
      <c r="M3724" t="s">
        <v>4462</v>
      </c>
    </row>
    <row r="3725" spans="1:14" x14ac:dyDescent="0.35">
      <c r="A3725" t="s">
        <v>8204</v>
      </c>
      <c r="B3725" t="s">
        <v>339</v>
      </c>
      <c r="C3725" t="s">
        <v>1927</v>
      </c>
      <c r="D3725" t="s">
        <v>4452</v>
      </c>
      <c r="E3725" t="s">
        <v>4439</v>
      </c>
      <c r="F3725" s="3">
        <v>45216</v>
      </c>
      <c r="G3725" s="3" t="s">
        <v>537</v>
      </c>
      <c r="I3725">
        <v>48</v>
      </c>
      <c r="J3725" t="s">
        <v>4448</v>
      </c>
      <c r="K3725" t="s">
        <v>4457</v>
      </c>
      <c r="L3725" t="s">
        <v>4454</v>
      </c>
      <c r="M3725" t="s">
        <v>4450</v>
      </c>
    </row>
    <row r="3726" spans="1:14" x14ac:dyDescent="0.35">
      <c r="A3726" t="s">
        <v>8205</v>
      </c>
      <c r="B3726" t="s">
        <v>196</v>
      </c>
      <c r="C3726" t="s">
        <v>1883</v>
      </c>
      <c r="D3726" t="s">
        <v>4485</v>
      </c>
      <c r="E3726" t="s">
        <v>4444</v>
      </c>
      <c r="F3726" s="3">
        <v>45277</v>
      </c>
      <c r="G3726" s="3">
        <v>45279</v>
      </c>
      <c r="H3726">
        <v>59</v>
      </c>
      <c r="I3726">
        <v>24</v>
      </c>
      <c r="J3726" t="s">
        <v>4440</v>
      </c>
      <c r="K3726" t="s">
        <v>4441</v>
      </c>
      <c r="L3726" t="s">
        <v>4449</v>
      </c>
      <c r="M3726" t="s">
        <v>4450</v>
      </c>
    </row>
    <row r="3727" spans="1:14" x14ac:dyDescent="0.35">
      <c r="A3727" t="s">
        <v>8206</v>
      </c>
      <c r="B3727" t="s">
        <v>432</v>
      </c>
      <c r="C3727" t="s">
        <v>1904</v>
      </c>
      <c r="D3727" t="s">
        <v>4443</v>
      </c>
      <c r="E3727" t="s">
        <v>4444</v>
      </c>
      <c r="F3727" s="3">
        <v>45640</v>
      </c>
      <c r="G3727" s="3" t="s">
        <v>537</v>
      </c>
      <c r="I3727">
        <v>24</v>
      </c>
      <c r="J3727" t="s">
        <v>4448</v>
      </c>
      <c r="K3727" t="s">
        <v>4474</v>
      </c>
      <c r="L3727" t="s">
        <v>4509</v>
      </c>
      <c r="M3727" t="s">
        <v>4446</v>
      </c>
    </row>
    <row r="3728" spans="1:14" x14ac:dyDescent="0.35">
      <c r="A3728" t="s">
        <v>8207</v>
      </c>
      <c r="B3728" t="s">
        <v>130</v>
      </c>
      <c r="C3728" t="s">
        <v>1899</v>
      </c>
      <c r="D3728" t="s">
        <v>4452</v>
      </c>
      <c r="E3728" t="s">
        <v>4439</v>
      </c>
      <c r="F3728" s="3">
        <v>45030</v>
      </c>
      <c r="G3728" s="3" t="s">
        <v>537</v>
      </c>
      <c r="I3728">
        <v>48</v>
      </c>
      <c r="J3728" t="s">
        <v>4440</v>
      </c>
      <c r="K3728" t="s">
        <v>4457</v>
      </c>
      <c r="L3728" t="s">
        <v>4449</v>
      </c>
      <c r="M3728" t="s">
        <v>4450</v>
      </c>
    </row>
    <row r="3729" spans="1:14" x14ac:dyDescent="0.35">
      <c r="A3729" t="s">
        <v>8208</v>
      </c>
      <c r="B3729" t="s">
        <v>135</v>
      </c>
      <c r="C3729" t="s">
        <v>1904</v>
      </c>
      <c r="D3729" t="s">
        <v>4464</v>
      </c>
      <c r="E3729" t="s">
        <v>79</v>
      </c>
      <c r="F3729" s="3">
        <v>45240</v>
      </c>
      <c r="G3729" s="3" t="s">
        <v>537</v>
      </c>
      <c r="I3729">
        <v>24</v>
      </c>
      <c r="J3729" t="s">
        <v>4448</v>
      </c>
      <c r="K3729" t="s">
        <v>4474</v>
      </c>
      <c r="L3729" t="s">
        <v>4533</v>
      </c>
      <c r="M3729" t="s">
        <v>4446</v>
      </c>
    </row>
    <row r="3730" spans="1:14" x14ac:dyDescent="0.35">
      <c r="A3730" t="s">
        <v>8209</v>
      </c>
      <c r="B3730" t="s">
        <v>451</v>
      </c>
      <c r="C3730" t="s">
        <v>1899</v>
      </c>
      <c r="D3730" t="s">
        <v>4443</v>
      </c>
      <c r="E3730" t="s">
        <v>4473</v>
      </c>
      <c r="F3730" s="3">
        <v>45595</v>
      </c>
      <c r="G3730" s="3" t="s">
        <v>537</v>
      </c>
      <c r="I3730">
        <v>8</v>
      </c>
      <c r="J3730" t="s">
        <v>4440</v>
      </c>
      <c r="K3730" t="s">
        <v>4453</v>
      </c>
      <c r="L3730" t="s">
        <v>4580</v>
      </c>
      <c r="M3730" t="s">
        <v>4446</v>
      </c>
    </row>
    <row r="3731" spans="1:14" x14ac:dyDescent="0.35">
      <c r="A3731" t="s">
        <v>8210</v>
      </c>
      <c r="B3731" t="s">
        <v>255</v>
      </c>
      <c r="C3731" t="s">
        <v>1904</v>
      </c>
      <c r="D3731" t="s">
        <v>4490</v>
      </c>
      <c r="E3731" t="s">
        <v>4439</v>
      </c>
      <c r="F3731" s="3">
        <v>45171</v>
      </c>
      <c r="G3731" s="3" t="s">
        <v>537</v>
      </c>
      <c r="I3731">
        <v>48</v>
      </c>
      <c r="J3731" t="s">
        <v>4440</v>
      </c>
      <c r="K3731" t="s">
        <v>4474</v>
      </c>
      <c r="L3731" t="s">
        <v>4483</v>
      </c>
      <c r="M3731" t="s">
        <v>1625</v>
      </c>
    </row>
    <row r="3732" spans="1:14" x14ac:dyDescent="0.35">
      <c r="A3732" t="s">
        <v>8211</v>
      </c>
      <c r="B3732" t="s">
        <v>243</v>
      </c>
      <c r="C3732" t="s">
        <v>1899</v>
      </c>
      <c r="D3732" t="s">
        <v>4469</v>
      </c>
      <c r="E3732" t="s">
        <v>4456</v>
      </c>
      <c r="F3732" s="3">
        <v>45385</v>
      </c>
      <c r="G3732" s="3" t="s">
        <v>537</v>
      </c>
      <c r="I3732">
        <v>4</v>
      </c>
      <c r="J3732" t="s">
        <v>4440</v>
      </c>
      <c r="K3732" t="s">
        <v>4457</v>
      </c>
      <c r="L3732" t="s">
        <v>4533</v>
      </c>
      <c r="M3732" t="s">
        <v>4450</v>
      </c>
    </row>
    <row r="3733" spans="1:14" x14ac:dyDescent="0.35">
      <c r="A3733" t="s">
        <v>8212</v>
      </c>
      <c r="B3733" t="s">
        <v>394</v>
      </c>
      <c r="C3733" t="s">
        <v>1915</v>
      </c>
      <c r="D3733" t="s">
        <v>4460</v>
      </c>
      <c r="E3733" t="s">
        <v>4444</v>
      </c>
      <c r="F3733" s="3">
        <v>45131</v>
      </c>
      <c r="G3733" s="3">
        <v>45131</v>
      </c>
      <c r="H3733">
        <v>17</v>
      </c>
      <c r="I3733">
        <v>24</v>
      </c>
      <c r="J3733" t="s">
        <v>4448</v>
      </c>
      <c r="K3733" t="s">
        <v>4441</v>
      </c>
      <c r="L3733" t="s">
        <v>4501</v>
      </c>
      <c r="M3733" t="s">
        <v>4450</v>
      </c>
      <c r="N3733">
        <v>2</v>
      </c>
    </row>
    <row r="3734" spans="1:14" x14ac:dyDescent="0.35">
      <c r="A3734" t="s">
        <v>8213</v>
      </c>
      <c r="B3734" t="s">
        <v>330</v>
      </c>
      <c r="C3734" t="s">
        <v>1904</v>
      </c>
      <c r="D3734" t="s">
        <v>4482</v>
      </c>
      <c r="E3734" t="s">
        <v>4444</v>
      </c>
      <c r="F3734" s="3">
        <v>45107</v>
      </c>
      <c r="G3734" s="3">
        <v>45107</v>
      </c>
      <c r="H3734">
        <v>14.4</v>
      </c>
      <c r="I3734">
        <v>24</v>
      </c>
      <c r="J3734" t="s">
        <v>4448</v>
      </c>
      <c r="K3734" t="s">
        <v>4441</v>
      </c>
      <c r="L3734" t="s">
        <v>4514</v>
      </c>
      <c r="M3734" t="s">
        <v>4450</v>
      </c>
    </row>
    <row r="3735" spans="1:14" x14ac:dyDescent="0.35">
      <c r="A3735" t="s">
        <v>8214</v>
      </c>
      <c r="B3735" t="s">
        <v>297</v>
      </c>
      <c r="C3735" t="s">
        <v>1915</v>
      </c>
      <c r="D3735" t="s">
        <v>4460</v>
      </c>
      <c r="E3735" t="s">
        <v>4444</v>
      </c>
      <c r="F3735" s="3">
        <v>45439</v>
      </c>
      <c r="G3735" s="3">
        <v>45439</v>
      </c>
      <c r="H3735">
        <v>16.8</v>
      </c>
      <c r="I3735">
        <v>24</v>
      </c>
      <c r="J3735" t="s">
        <v>4448</v>
      </c>
      <c r="K3735" t="s">
        <v>4441</v>
      </c>
      <c r="L3735" t="s">
        <v>4449</v>
      </c>
      <c r="M3735" t="s">
        <v>1625</v>
      </c>
      <c r="N3735">
        <v>5</v>
      </c>
    </row>
    <row r="3736" spans="1:14" x14ac:dyDescent="0.35">
      <c r="A3736" t="s">
        <v>8215</v>
      </c>
      <c r="B3736" t="s">
        <v>214</v>
      </c>
      <c r="C3736" t="s">
        <v>1899</v>
      </c>
      <c r="D3736" t="s">
        <v>4490</v>
      </c>
      <c r="E3736" t="s">
        <v>4444</v>
      </c>
      <c r="F3736" s="3">
        <v>45672</v>
      </c>
      <c r="G3736" s="3" t="s">
        <v>537</v>
      </c>
      <c r="I3736">
        <v>24</v>
      </c>
      <c r="J3736" t="s">
        <v>4440</v>
      </c>
      <c r="K3736" t="s">
        <v>4457</v>
      </c>
      <c r="L3736" t="s">
        <v>4483</v>
      </c>
      <c r="M3736" t="s">
        <v>4446</v>
      </c>
    </row>
    <row r="3737" spans="1:14" x14ac:dyDescent="0.35">
      <c r="A3737" t="s">
        <v>8216</v>
      </c>
      <c r="B3737" t="s">
        <v>288</v>
      </c>
      <c r="C3737" t="s">
        <v>1904</v>
      </c>
      <c r="D3737" t="s">
        <v>4482</v>
      </c>
      <c r="E3737" t="s">
        <v>4473</v>
      </c>
      <c r="F3737" s="3">
        <v>44987</v>
      </c>
      <c r="G3737" s="3" t="s">
        <v>537</v>
      </c>
      <c r="I3737">
        <v>8</v>
      </c>
      <c r="J3737" t="s">
        <v>4440</v>
      </c>
      <c r="K3737" t="s">
        <v>4474</v>
      </c>
      <c r="L3737" t="s">
        <v>4480</v>
      </c>
      <c r="M3737" t="s">
        <v>1625</v>
      </c>
    </row>
    <row r="3738" spans="1:14" x14ac:dyDescent="0.35">
      <c r="A3738" t="s">
        <v>8217</v>
      </c>
      <c r="B3738" t="s">
        <v>451</v>
      </c>
      <c r="C3738" t="s">
        <v>1899</v>
      </c>
      <c r="D3738" t="s">
        <v>4479</v>
      </c>
      <c r="E3738" t="s">
        <v>4473</v>
      </c>
      <c r="F3738" s="3">
        <v>45247</v>
      </c>
      <c r="G3738" s="3" t="s">
        <v>537</v>
      </c>
      <c r="I3738">
        <v>8</v>
      </c>
      <c r="J3738" t="s">
        <v>4440</v>
      </c>
      <c r="K3738" t="s">
        <v>4453</v>
      </c>
      <c r="L3738" t="s">
        <v>4449</v>
      </c>
      <c r="M3738" t="s">
        <v>1625</v>
      </c>
    </row>
    <row r="3739" spans="1:14" x14ac:dyDescent="0.35">
      <c r="A3739" t="s">
        <v>8218</v>
      </c>
      <c r="B3739" t="s">
        <v>415</v>
      </c>
      <c r="C3739" t="s">
        <v>1904</v>
      </c>
      <c r="D3739" t="s">
        <v>4452</v>
      </c>
      <c r="E3739" t="s">
        <v>4473</v>
      </c>
      <c r="F3739" s="3">
        <v>45304</v>
      </c>
      <c r="G3739" s="3">
        <v>45304</v>
      </c>
      <c r="H3739">
        <v>4.9000000000000004</v>
      </c>
      <c r="I3739">
        <v>8</v>
      </c>
      <c r="J3739" t="s">
        <v>4448</v>
      </c>
      <c r="K3739" t="s">
        <v>4441</v>
      </c>
      <c r="L3739" t="s">
        <v>4461</v>
      </c>
      <c r="M3739" t="s">
        <v>4446</v>
      </c>
      <c r="N3739">
        <v>5</v>
      </c>
    </row>
    <row r="3740" spans="1:14" x14ac:dyDescent="0.35">
      <c r="A3740" t="s">
        <v>8219</v>
      </c>
      <c r="B3740" t="s">
        <v>219</v>
      </c>
      <c r="C3740" t="s">
        <v>1915</v>
      </c>
      <c r="D3740" t="s">
        <v>4460</v>
      </c>
      <c r="E3740" t="s">
        <v>4444</v>
      </c>
      <c r="F3740" s="3">
        <v>45298</v>
      </c>
      <c r="G3740" s="3">
        <v>45298</v>
      </c>
      <c r="H3740">
        <v>23.7</v>
      </c>
      <c r="I3740">
        <v>24</v>
      </c>
      <c r="J3740" t="s">
        <v>4448</v>
      </c>
      <c r="K3740" t="s">
        <v>4441</v>
      </c>
      <c r="L3740" t="s">
        <v>4527</v>
      </c>
      <c r="M3740" t="s">
        <v>4450</v>
      </c>
      <c r="N3740">
        <v>4</v>
      </c>
    </row>
    <row r="3741" spans="1:14" x14ac:dyDescent="0.35">
      <c r="A3741" t="s">
        <v>8220</v>
      </c>
      <c r="B3741" t="s">
        <v>175</v>
      </c>
      <c r="C3741" t="s">
        <v>1904</v>
      </c>
      <c r="D3741" t="s">
        <v>4443</v>
      </c>
      <c r="E3741" t="s">
        <v>4439</v>
      </c>
      <c r="F3741" s="3">
        <v>45387</v>
      </c>
      <c r="G3741" s="3" t="s">
        <v>537</v>
      </c>
      <c r="I3741">
        <v>48</v>
      </c>
      <c r="J3741" t="s">
        <v>4448</v>
      </c>
      <c r="K3741" t="s">
        <v>4453</v>
      </c>
      <c r="L3741" t="s">
        <v>4514</v>
      </c>
      <c r="M3741" t="s">
        <v>4450</v>
      </c>
    </row>
    <row r="3742" spans="1:14" x14ac:dyDescent="0.35">
      <c r="A3742" t="s">
        <v>8221</v>
      </c>
      <c r="B3742" t="s">
        <v>232</v>
      </c>
      <c r="C3742" t="s">
        <v>1904</v>
      </c>
      <c r="D3742" t="s">
        <v>4476</v>
      </c>
      <c r="E3742" t="s">
        <v>4439</v>
      </c>
      <c r="F3742" s="3">
        <v>45523</v>
      </c>
      <c r="G3742" s="3" t="s">
        <v>537</v>
      </c>
      <c r="I3742">
        <v>48</v>
      </c>
      <c r="J3742" t="s">
        <v>4440</v>
      </c>
      <c r="K3742" t="s">
        <v>4457</v>
      </c>
      <c r="L3742" t="s">
        <v>4501</v>
      </c>
      <c r="M3742" t="s">
        <v>4446</v>
      </c>
    </row>
    <row r="3743" spans="1:14" x14ac:dyDescent="0.35">
      <c r="A3743" t="s">
        <v>8222</v>
      </c>
      <c r="B3743" t="s">
        <v>42</v>
      </c>
      <c r="C3743" t="s">
        <v>1883</v>
      </c>
      <c r="D3743" t="s">
        <v>4485</v>
      </c>
      <c r="E3743" t="s">
        <v>4444</v>
      </c>
      <c r="F3743" s="3">
        <v>45410</v>
      </c>
      <c r="G3743" s="3">
        <v>45411</v>
      </c>
      <c r="H3743">
        <v>46.3</v>
      </c>
      <c r="I3743">
        <v>24</v>
      </c>
      <c r="J3743" t="s">
        <v>4440</v>
      </c>
      <c r="K3743" t="s">
        <v>4441</v>
      </c>
      <c r="L3743" t="s">
        <v>4527</v>
      </c>
      <c r="M3743" t="s">
        <v>4446</v>
      </c>
      <c r="N3743">
        <v>5</v>
      </c>
    </row>
    <row r="3744" spans="1:14" x14ac:dyDescent="0.35">
      <c r="A3744" t="s">
        <v>8223</v>
      </c>
      <c r="B3744" t="s">
        <v>219</v>
      </c>
      <c r="C3744" t="s">
        <v>1904</v>
      </c>
      <c r="D3744" t="s">
        <v>4485</v>
      </c>
      <c r="E3744" t="s">
        <v>4439</v>
      </c>
      <c r="F3744" s="3">
        <v>45130</v>
      </c>
      <c r="G3744" s="3">
        <v>45130</v>
      </c>
      <c r="H3744">
        <v>19.7</v>
      </c>
      <c r="I3744">
        <v>48</v>
      </c>
      <c r="J3744" t="s">
        <v>4448</v>
      </c>
      <c r="K3744" t="s">
        <v>4441</v>
      </c>
      <c r="L3744" t="s">
        <v>4445</v>
      </c>
      <c r="M3744" t="s">
        <v>4462</v>
      </c>
    </row>
    <row r="3745" spans="1:14" x14ac:dyDescent="0.35">
      <c r="A3745" t="s">
        <v>8224</v>
      </c>
      <c r="B3745" t="s">
        <v>389</v>
      </c>
      <c r="C3745" t="s">
        <v>1904</v>
      </c>
      <c r="D3745" t="s">
        <v>4443</v>
      </c>
      <c r="E3745" t="s">
        <v>4439</v>
      </c>
      <c r="F3745" s="3">
        <v>45156</v>
      </c>
      <c r="G3745" s="3" t="s">
        <v>537</v>
      </c>
      <c r="I3745">
        <v>48</v>
      </c>
      <c r="J3745" t="s">
        <v>4448</v>
      </c>
      <c r="K3745" t="s">
        <v>4453</v>
      </c>
      <c r="L3745" t="s">
        <v>4465</v>
      </c>
      <c r="M3745" t="s">
        <v>4450</v>
      </c>
    </row>
    <row r="3746" spans="1:14" x14ac:dyDescent="0.35">
      <c r="A3746" t="s">
        <v>8225</v>
      </c>
      <c r="B3746" t="s">
        <v>194</v>
      </c>
      <c r="C3746" t="s">
        <v>1927</v>
      </c>
      <c r="D3746" t="s">
        <v>4469</v>
      </c>
      <c r="E3746" t="s">
        <v>4444</v>
      </c>
      <c r="F3746" s="3">
        <v>45016</v>
      </c>
      <c r="G3746" s="3">
        <v>45018</v>
      </c>
      <c r="H3746">
        <v>54.6</v>
      </c>
      <c r="I3746">
        <v>24</v>
      </c>
      <c r="J3746" t="s">
        <v>4440</v>
      </c>
      <c r="K3746" t="s">
        <v>4441</v>
      </c>
      <c r="L3746" t="s">
        <v>4467</v>
      </c>
      <c r="M3746" t="s">
        <v>4446</v>
      </c>
      <c r="N3746">
        <v>5</v>
      </c>
    </row>
    <row r="3747" spans="1:14" x14ac:dyDescent="0.35">
      <c r="A3747" t="s">
        <v>8226</v>
      </c>
      <c r="B3747" t="s">
        <v>222</v>
      </c>
      <c r="C3747" t="s">
        <v>1915</v>
      </c>
      <c r="D3747" t="s">
        <v>4490</v>
      </c>
      <c r="E3747" t="s">
        <v>4456</v>
      </c>
      <c r="F3747" s="3">
        <v>45461</v>
      </c>
      <c r="G3747" s="3">
        <v>45461</v>
      </c>
      <c r="H3747">
        <v>8.6999999999999993</v>
      </c>
      <c r="I3747">
        <v>4</v>
      </c>
      <c r="J3747" t="s">
        <v>4440</v>
      </c>
      <c r="K3747" t="s">
        <v>4441</v>
      </c>
      <c r="L3747" t="s">
        <v>4509</v>
      </c>
      <c r="M3747" t="s">
        <v>4462</v>
      </c>
      <c r="N3747">
        <v>3</v>
      </c>
    </row>
    <row r="3748" spans="1:14" x14ac:dyDescent="0.35">
      <c r="A3748" t="s">
        <v>8227</v>
      </c>
      <c r="B3748" t="s">
        <v>355</v>
      </c>
      <c r="C3748" t="s">
        <v>1904</v>
      </c>
      <c r="D3748" t="s">
        <v>4485</v>
      </c>
      <c r="E3748" t="s">
        <v>4444</v>
      </c>
      <c r="F3748" s="3">
        <v>45227</v>
      </c>
      <c r="G3748" s="3">
        <v>45228</v>
      </c>
      <c r="H3748">
        <v>41.3</v>
      </c>
      <c r="I3748">
        <v>24</v>
      </c>
      <c r="J3748" t="s">
        <v>4440</v>
      </c>
      <c r="K3748" t="s">
        <v>4441</v>
      </c>
      <c r="L3748" t="s">
        <v>4492</v>
      </c>
      <c r="M3748" t="s">
        <v>4462</v>
      </c>
      <c r="N3748">
        <v>3</v>
      </c>
    </row>
    <row r="3749" spans="1:14" x14ac:dyDescent="0.35">
      <c r="A3749" t="s">
        <v>8228</v>
      </c>
      <c r="B3749" t="s">
        <v>94</v>
      </c>
      <c r="C3749" t="s">
        <v>1890</v>
      </c>
      <c r="D3749" t="s">
        <v>4476</v>
      </c>
      <c r="E3749" t="s">
        <v>4456</v>
      </c>
      <c r="F3749" s="3">
        <v>45367</v>
      </c>
      <c r="G3749" s="3">
        <v>45367</v>
      </c>
      <c r="H3749">
        <v>2.1</v>
      </c>
      <c r="I3749">
        <v>4</v>
      </c>
      <c r="J3749" t="s">
        <v>4448</v>
      </c>
      <c r="K3749" t="s">
        <v>4441</v>
      </c>
      <c r="L3749" t="s">
        <v>4454</v>
      </c>
      <c r="M3749" t="s">
        <v>4462</v>
      </c>
      <c r="N3749">
        <v>4</v>
      </c>
    </row>
    <row r="3750" spans="1:14" x14ac:dyDescent="0.35">
      <c r="A3750" t="s">
        <v>8229</v>
      </c>
      <c r="B3750" t="s">
        <v>465</v>
      </c>
      <c r="C3750" t="s">
        <v>1915</v>
      </c>
      <c r="D3750" t="s">
        <v>4472</v>
      </c>
      <c r="E3750" t="s">
        <v>4473</v>
      </c>
      <c r="F3750" s="3">
        <v>45593</v>
      </c>
      <c r="G3750" s="3">
        <v>45593</v>
      </c>
      <c r="H3750">
        <v>4.2</v>
      </c>
      <c r="I3750">
        <v>8</v>
      </c>
      <c r="J3750" t="s">
        <v>4448</v>
      </c>
      <c r="K3750" t="s">
        <v>4441</v>
      </c>
      <c r="L3750" t="s">
        <v>4467</v>
      </c>
      <c r="M3750" t="s">
        <v>4446</v>
      </c>
    </row>
    <row r="3751" spans="1:14" x14ac:dyDescent="0.35">
      <c r="A3751" t="s">
        <v>8230</v>
      </c>
      <c r="B3751" t="s">
        <v>400</v>
      </c>
      <c r="C3751" t="s">
        <v>1883</v>
      </c>
      <c r="D3751" t="s">
        <v>4485</v>
      </c>
      <c r="E3751" t="s">
        <v>4456</v>
      </c>
      <c r="F3751" s="3">
        <v>45485</v>
      </c>
      <c r="G3751" s="3" t="s">
        <v>537</v>
      </c>
      <c r="I3751">
        <v>4</v>
      </c>
      <c r="J3751" t="s">
        <v>4440</v>
      </c>
      <c r="K3751" t="s">
        <v>4457</v>
      </c>
      <c r="L3751" t="s">
        <v>4527</v>
      </c>
      <c r="M3751" t="s">
        <v>4446</v>
      </c>
    </row>
    <row r="3752" spans="1:14" x14ac:dyDescent="0.35">
      <c r="A3752" t="s">
        <v>8231</v>
      </c>
      <c r="B3752" t="s">
        <v>236</v>
      </c>
      <c r="C3752" t="s">
        <v>1899</v>
      </c>
      <c r="D3752" t="s">
        <v>4472</v>
      </c>
      <c r="E3752" t="s">
        <v>4473</v>
      </c>
      <c r="F3752" s="3">
        <v>45188</v>
      </c>
      <c r="G3752" s="3">
        <v>45188</v>
      </c>
      <c r="H3752">
        <v>9</v>
      </c>
      <c r="I3752">
        <v>8</v>
      </c>
      <c r="J3752" t="s">
        <v>4440</v>
      </c>
      <c r="K3752" t="s">
        <v>4441</v>
      </c>
      <c r="L3752" t="s">
        <v>4461</v>
      </c>
      <c r="M3752" t="s">
        <v>4446</v>
      </c>
      <c r="N3752">
        <v>3</v>
      </c>
    </row>
    <row r="3753" spans="1:14" x14ac:dyDescent="0.35">
      <c r="A3753" t="s">
        <v>8232</v>
      </c>
      <c r="B3753" t="s">
        <v>417</v>
      </c>
      <c r="C3753" t="s">
        <v>1927</v>
      </c>
      <c r="D3753" t="s">
        <v>4479</v>
      </c>
      <c r="E3753" t="s">
        <v>4456</v>
      </c>
      <c r="F3753" s="3">
        <v>45450</v>
      </c>
      <c r="G3753" s="3">
        <v>45450</v>
      </c>
      <c r="H3753">
        <v>2</v>
      </c>
      <c r="I3753">
        <v>4</v>
      </c>
      <c r="J3753" t="s">
        <v>4448</v>
      </c>
      <c r="K3753" t="s">
        <v>4441</v>
      </c>
      <c r="L3753" t="s">
        <v>4527</v>
      </c>
      <c r="M3753" t="s">
        <v>4446</v>
      </c>
    </row>
    <row r="3754" spans="1:14" x14ac:dyDescent="0.35">
      <c r="A3754" t="s">
        <v>8233</v>
      </c>
      <c r="B3754" t="s">
        <v>343</v>
      </c>
      <c r="C3754" t="s">
        <v>1890</v>
      </c>
      <c r="D3754" t="s">
        <v>4485</v>
      </c>
      <c r="E3754" t="s">
        <v>4444</v>
      </c>
      <c r="F3754" s="3">
        <v>45610</v>
      </c>
      <c r="G3754" s="3" t="s">
        <v>537</v>
      </c>
      <c r="I3754">
        <v>24</v>
      </c>
      <c r="J3754" t="s">
        <v>4440</v>
      </c>
      <c r="K3754" t="s">
        <v>4457</v>
      </c>
      <c r="L3754" t="s">
        <v>1907</v>
      </c>
      <c r="M3754" t="s">
        <v>4450</v>
      </c>
    </row>
    <row r="3755" spans="1:14" x14ac:dyDescent="0.35">
      <c r="A3755" t="s">
        <v>8234</v>
      </c>
      <c r="B3755" t="s">
        <v>319</v>
      </c>
      <c r="C3755" t="s">
        <v>1890</v>
      </c>
      <c r="D3755" t="s">
        <v>4479</v>
      </c>
      <c r="E3755" t="s">
        <v>4444</v>
      </c>
      <c r="F3755" s="3">
        <v>44935</v>
      </c>
      <c r="G3755" s="3" t="s">
        <v>537</v>
      </c>
      <c r="I3755">
        <v>24</v>
      </c>
      <c r="J3755" t="s">
        <v>4448</v>
      </c>
      <c r="K3755" t="s">
        <v>4453</v>
      </c>
      <c r="L3755" t="s">
        <v>4514</v>
      </c>
      <c r="M3755" t="s">
        <v>4446</v>
      </c>
    </row>
    <row r="3756" spans="1:14" x14ac:dyDescent="0.35">
      <c r="A3756" t="s">
        <v>8235</v>
      </c>
      <c r="B3756" t="s">
        <v>351</v>
      </c>
      <c r="C3756" t="s">
        <v>1915</v>
      </c>
      <c r="D3756" t="s">
        <v>4472</v>
      </c>
      <c r="E3756" t="s">
        <v>4444</v>
      </c>
      <c r="F3756" s="3">
        <v>45268</v>
      </c>
      <c r="G3756" s="3">
        <v>45269</v>
      </c>
      <c r="H3756">
        <v>27.6</v>
      </c>
      <c r="I3756">
        <v>24</v>
      </c>
      <c r="J3756" t="s">
        <v>4440</v>
      </c>
      <c r="K3756" t="s">
        <v>4441</v>
      </c>
      <c r="L3756" t="s">
        <v>4533</v>
      </c>
      <c r="M3756" t="s">
        <v>4450</v>
      </c>
      <c r="N3756">
        <v>5</v>
      </c>
    </row>
    <row r="3757" spans="1:14" x14ac:dyDescent="0.35">
      <c r="A3757" t="s">
        <v>8236</v>
      </c>
      <c r="B3757" t="s">
        <v>108</v>
      </c>
      <c r="C3757" t="s">
        <v>1904</v>
      </c>
      <c r="D3757" t="s">
        <v>4469</v>
      </c>
      <c r="E3757" t="s">
        <v>4444</v>
      </c>
      <c r="F3757" s="3">
        <v>45132</v>
      </c>
      <c r="G3757" s="3">
        <v>45133</v>
      </c>
      <c r="H3757">
        <v>37.700000000000003</v>
      </c>
      <c r="I3757">
        <v>24</v>
      </c>
      <c r="J3757" t="s">
        <v>4440</v>
      </c>
      <c r="K3757" t="s">
        <v>4441</v>
      </c>
      <c r="L3757" t="s">
        <v>4488</v>
      </c>
      <c r="M3757" t="s">
        <v>4446</v>
      </c>
      <c r="N3757">
        <v>3</v>
      </c>
    </row>
    <row r="3758" spans="1:14" x14ac:dyDescent="0.35">
      <c r="A3758" t="s">
        <v>8237</v>
      </c>
      <c r="B3758" t="s">
        <v>62</v>
      </c>
      <c r="C3758" t="s">
        <v>1927</v>
      </c>
      <c r="D3758" t="s">
        <v>4438</v>
      </c>
      <c r="E3758" t="s">
        <v>4444</v>
      </c>
      <c r="F3758" s="3">
        <v>45574</v>
      </c>
      <c r="G3758" s="3">
        <v>45574</v>
      </c>
      <c r="H3758">
        <v>11</v>
      </c>
      <c r="I3758">
        <v>24</v>
      </c>
      <c r="J3758" t="s">
        <v>4448</v>
      </c>
      <c r="K3758" t="s">
        <v>4441</v>
      </c>
      <c r="L3758" t="s">
        <v>4527</v>
      </c>
      <c r="M3758" t="s">
        <v>4462</v>
      </c>
      <c r="N3758">
        <v>4</v>
      </c>
    </row>
    <row r="3759" spans="1:14" x14ac:dyDescent="0.35">
      <c r="A3759" t="s">
        <v>8238</v>
      </c>
      <c r="B3759" t="s">
        <v>370</v>
      </c>
      <c r="C3759" t="s">
        <v>1883</v>
      </c>
      <c r="D3759" t="s">
        <v>4469</v>
      </c>
      <c r="E3759" t="s">
        <v>4439</v>
      </c>
      <c r="F3759" s="3">
        <v>45557</v>
      </c>
      <c r="G3759" s="3" t="s">
        <v>537</v>
      </c>
      <c r="I3759">
        <v>48</v>
      </c>
      <c r="J3759" t="s">
        <v>4448</v>
      </c>
      <c r="K3759" t="s">
        <v>4457</v>
      </c>
      <c r="L3759" t="s">
        <v>4458</v>
      </c>
      <c r="M3759" t="s">
        <v>1625</v>
      </c>
    </row>
    <row r="3760" spans="1:14" x14ac:dyDescent="0.35">
      <c r="A3760" t="s">
        <v>8239</v>
      </c>
      <c r="B3760" t="s">
        <v>474</v>
      </c>
      <c r="C3760" t="s">
        <v>1927</v>
      </c>
      <c r="D3760" t="s">
        <v>4485</v>
      </c>
      <c r="E3760" t="s">
        <v>4473</v>
      </c>
      <c r="F3760" s="3">
        <v>45261</v>
      </c>
      <c r="G3760" s="3">
        <v>45261</v>
      </c>
      <c r="H3760">
        <v>18.600000000000001</v>
      </c>
      <c r="I3760">
        <v>8</v>
      </c>
      <c r="J3760" t="s">
        <v>4440</v>
      </c>
      <c r="K3760" t="s">
        <v>4441</v>
      </c>
      <c r="L3760" t="s">
        <v>4488</v>
      </c>
      <c r="M3760" t="s">
        <v>4450</v>
      </c>
      <c r="N3760">
        <v>4</v>
      </c>
    </row>
    <row r="3761" spans="1:14" x14ac:dyDescent="0.35">
      <c r="A3761" t="s">
        <v>8240</v>
      </c>
      <c r="B3761" t="s">
        <v>130</v>
      </c>
      <c r="C3761" t="s">
        <v>1915</v>
      </c>
      <c r="D3761" t="s">
        <v>4438</v>
      </c>
      <c r="E3761" t="s">
        <v>4439</v>
      </c>
      <c r="F3761" s="3">
        <v>45656</v>
      </c>
      <c r="G3761" s="3">
        <v>45660</v>
      </c>
      <c r="H3761">
        <v>109</v>
      </c>
      <c r="I3761">
        <v>48</v>
      </c>
      <c r="J3761" t="s">
        <v>4440</v>
      </c>
      <c r="K3761" t="s">
        <v>4441</v>
      </c>
      <c r="L3761" t="s">
        <v>4580</v>
      </c>
      <c r="M3761" t="s">
        <v>4446</v>
      </c>
    </row>
    <row r="3762" spans="1:14" x14ac:dyDescent="0.35">
      <c r="A3762" t="s">
        <v>8241</v>
      </c>
      <c r="B3762" t="s">
        <v>303</v>
      </c>
      <c r="C3762" t="s">
        <v>1883</v>
      </c>
      <c r="D3762" t="s">
        <v>4438</v>
      </c>
      <c r="E3762" t="s">
        <v>4473</v>
      </c>
      <c r="F3762" s="3">
        <v>45228</v>
      </c>
      <c r="G3762" s="3" t="s">
        <v>537</v>
      </c>
      <c r="I3762">
        <v>8</v>
      </c>
      <c r="J3762" t="s">
        <v>4448</v>
      </c>
      <c r="K3762" t="s">
        <v>4474</v>
      </c>
      <c r="L3762" t="s">
        <v>1907</v>
      </c>
      <c r="M3762" t="s">
        <v>4446</v>
      </c>
    </row>
    <row r="3763" spans="1:14" x14ac:dyDescent="0.35">
      <c r="A3763" t="s">
        <v>8242</v>
      </c>
      <c r="B3763" t="s">
        <v>162</v>
      </c>
      <c r="C3763" t="s">
        <v>1915</v>
      </c>
      <c r="D3763" t="s">
        <v>4490</v>
      </c>
      <c r="E3763" t="s">
        <v>4444</v>
      </c>
      <c r="F3763" s="3">
        <v>45475</v>
      </c>
      <c r="G3763" s="3" t="s">
        <v>537</v>
      </c>
      <c r="I3763">
        <v>24</v>
      </c>
      <c r="J3763" t="s">
        <v>4448</v>
      </c>
      <c r="K3763" t="s">
        <v>4457</v>
      </c>
      <c r="L3763" t="s">
        <v>4465</v>
      </c>
      <c r="M3763" t="s">
        <v>4450</v>
      </c>
    </row>
    <row r="3764" spans="1:14" x14ac:dyDescent="0.35">
      <c r="A3764" t="s">
        <v>8243</v>
      </c>
      <c r="B3764" t="s">
        <v>450</v>
      </c>
      <c r="C3764" t="s">
        <v>1899</v>
      </c>
      <c r="D3764" t="s">
        <v>4472</v>
      </c>
      <c r="E3764" t="s">
        <v>4439</v>
      </c>
      <c r="F3764" s="3">
        <v>45468</v>
      </c>
      <c r="G3764" s="3">
        <v>45470</v>
      </c>
      <c r="H3764">
        <v>64</v>
      </c>
      <c r="I3764">
        <v>48</v>
      </c>
      <c r="J3764" t="s">
        <v>4440</v>
      </c>
      <c r="K3764" t="s">
        <v>4441</v>
      </c>
      <c r="L3764" t="s">
        <v>4461</v>
      </c>
      <c r="M3764" t="s">
        <v>1625</v>
      </c>
      <c r="N3764">
        <v>4</v>
      </c>
    </row>
    <row r="3765" spans="1:14" x14ac:dyDescent="0.35">
      <c r="A3765" t="s">
        <v>8244</v>
      </c>
      <c r="B3765" t="s">
        <v>266</v>
      </c>
      <c r="C3765" t="s">
        <v>1883</v>
      </c>
      <c r="D3765" t="s">
        <v>4472</v>
      </c>
      <c r="E3765" t="s">
        <v>4439</v>
      </c>
      <c r="F3765" s="3">
        <v>44949</v>
      </c>
      <c r="G3765" s="3" t="s">
        <v>537</v>
      </c>
      <c r="I3765">
        <v>48</v>
      </c>
      <c r="J3765" t="s">
        <v>4440</v>
      </c>
      <c r="K3765" t="s">
        <v>4474</v>
      </c>
      <c r="L3765" t="s">
        <v>4454</v>
      </c>
      <c r="M3765" t="s">
        <v>4446</v>
      </c>
    </row>
    <row r="3766" spans="1:14" x14ac:dyDescent="0.35">
      <c r="A3766" t="s">
        <v>8245</v>
      </c>
      <c r="B3766" t="s">
        <v>285</v>
      </c>
      <c r="C3766" t="s">
        <v>1899</v>
      </c>
      <c r="D3766" t="s">
        <v>4469</v>
      </c>
      <c r="E3766" t="s">
        <v>79</v>
      </c>
      <c r="F3766" s="3">
        <v>45699</v>
      </c>
      <c r="G3766" s="3">
        <v>45702</v>
      </c>
      <c r="H3766">
        <v>83.9</v>
      </c>
      <c r="I3766">
        <v>48</v>
      </c>
      <c r="J3766" t="s">
        <v>4440</v>
      </c>
      <c r="K3766" t="s">
        <v>4441</v>
      </c>
      <c r="L3766" t="s">
        <v>4449</v>
      </c>
      <c r="M3766" t="s">
        <v>4446</v>
      </c>
      <c r="N3766">
        <v>3</v>
      </c>
    </row>
    <row r="3767" spans="1:14" x14ac:dyDescent="0.35">
      <c r="A3767" t="s">
        <v>8246</v>
      </c>
      <c r="B3767" t="s">
        <v>142</v>
      </c>
      <c r="C3767" t="s">
        <v>1890</v>
      </c>
      <c r="D3767" t="s">
        <v>4479</v>
      </c>
      <c r="E3767" t="s">
        <v>4439</v>
      </c>
      <c r="F3767" s="3">
        <v>45291</v>
      </c>
      <c r="G3767" s="3">
        <v>45292</v>
      </c>
      <c r="H3767">
        <v>28.5</v>
      </c>
      <c r="I3767">
        <v>48</v>
      </c>
      <c r="J3767" t="s">
        <v>4448</v>
      </c>
      <c r="K3767" t="s">
        <v>4441</v>
      </c>
      <c r="L3767" t="s">
        <v>4449</v>
      </c>
      <c r="M3767" t="s">
        <v>4446</v>
      </c>
      <c r="N3767">
        <v>2</v>
      </c>
    </row>
    <row r="3768" spans="1:14" x14ac:dyDescent="0.35">
      <c r="A3768" t="s">
        <v>8247</v>
      </c>
      <c r="B3768" t="s">
        <v>498</v>
      </c>
      <c r="C3768" t="s">
        <v>1915</v>
      </c>
      <c r="D3768" t="s">
        <v>4476</v>
      </c>
      <c r="E3768" t="s">
        <v>4473</v>
      </c>
      <c r="F3768" s="3">
        <v>44953</v>
      </c>
      <c r="G3768" s="3">
        <v>44953</v>
      </c>
      <c r="H3768">
        <v>8.1999999999999993</v>
      </c>
      <c r="I3768">
        <v>8</v>
      </c>
      <c r="J3768" t="s">
        <v>4440</v>
      </c>
      <c r="K3768" t="s">
        <v>4441</v>
      </c>
      <c r="L3768" t="s">
        <v>4445</v>
      </c>
      <c r="M3768" t="s">
        <v>4446</v>
      </c>
      <c r="N3768">
        <v>2</v>
      </c>
    </row>
    <row r="3769" spans="1:14" x14ac:dyDescent="0.35">
      <c r="A3769" t="s">
        <v>8248</v>
      </c>
      <c r="B3769" t="s">
        <v>11</v>
      </c>
      <c r="C3769" t="s">
        <v>1890</v>
      </c>
      <c r="D3769" t="s">
        <v>4476</v>
      </c>
      <c r="E3769" t="s">
        <v>4473</v>
      </c>
      <c r="F3769" s="3">
        <v>45191</v>
      </c>
      <c r="G3769" s="3">
        <v>45191</v>
      </c>
      <c r="H3769">
        <v>12.6</v>
      </c>
      <c r="I3769">
        <v>8</v>
      </c>
      <c r="J3769" t="s">
        <v>4440</v>
      </c>
      <c r="K3769" t="s">
        <v>4441</v>
      </c>
      <c r="L3769" t="s">
        <v>4509</v>
      </c>
      <c r="M3769" t="s">
        <v>1625</v>
      </c>
      <c r="N3769">
        <v>5</v>
      </c>
    </row>
    <row r="3770" spans="1:14" x14ac:dyDescent="0.35">
      <c r="A3770" t="s">
        <v>8249</v>
      </c>
      <c r="B3770" t="s">
        <v>328</v>
      </c>
      <c r="C3770" t="s">
        <v>1883</v>
      </c>
      <c r="D3770" t="s">
        <v>4476</v>
      </c>
      <c r="E3770" t="s">
        <v>4473</v>
      </c>
      <c r="F3770" s="3">
        <v>45600</v>
      </c>
      <c r="G3770" s="3" t="s">
        <v>537</v>
      </c>
      <c r="I3770">
        <v>8</v>
      </c>
      <c r="J3770" t="s">
        <v>4440</v>
      </c>
      <c r="K3770" t="s">
        <v>4474</v>
      </c>
      <c r="L3770" t="s">
        <v>4501</v>
      </c>
      <c r="M3770" t="s">
        <v>4450</v>
      </c>
    </row>
    <row r="3771" spans="1:14" x14ac:dyDescent="0.35">
      <c r="A3771" t="s">
        <v>8250</v>
      </c>
      <c r="B3771" t="s">
        <v>472</v>
      </c>
      <c r="C3771" t="s">
        <v>1904</v>
      </c>
      <c r="D3771" t="s">
        <v>4479</v>
      </c>
      <c r="E3771" t="s">
        <v>4439</v>
      </c>
      <c r="F3771" s="3">
        <v>45499</v>
      </c>
      <c r="G3771" s="3">
        <v>45500</v>
      </c>
      <c r="H3771">
        <v>37.700000000000003</v>
      </c>
      <c r="I3771">
        <v>48</v>
      </c>
      <c r="J3771" t="s">
        <v>4448</v>
      </c>
      <c r="K3771" t="s">
        <v>4441</v>
      </c>
      <c r="L3771" t="s">
        <v>4458</v>
      </c>
      <c r="M3771" t="s">
        <v>4462</v>
      </c>
      <c r="N3771">
        <v>3</v>
      </c>
    </row>
    <row r="3772" spans="1:14" x14ac:dyDescent="0.35">
      <c r="A3772" t="s">
        <v>8251</v>
      </c>
      <c r="B3772" t="s">
        <v>401</v>
      </c>
      <c r="C3772" t="s">
        <v>1883</v>
      </c>
      <c r="D3772" t="s">
        <v>4472</v>
      </c>
      <c r="E3772" t="s">
        <v>4444</v>
      </c>
      <c r="F3772" s="3">
        <v>45672</v>
      </c>
      <c r="G3772" s="3">
        <v>45673</v>
      </c>
      <c r="H3772">
        <v>46.4</v>
      </c>
      <c r="I3772">
        <v>24</v>
      </c>
      <c r="J3772" t="s">
        <v>4440</v>
      </c>
      <c r="K3772" t="s">
        <v>4441</v>
      </c>
      <c r="L3772" t="s">
        <v>4509</v>
      </c>
      <c r="M3772" t="s">
        <v>4450</v>
      </c>
      <c r="N3772">
        <v>2</v>
      </c>
    </row>
    <row r="3773" spans="1:14" x14ac:dyDescent="0.35">
      <c r="A3773" t="s">
        <v>8252</v>
      </c>
      <c r="B3773" t="s">
        <v>417</v>
      </c>
      <c r="C3773" t="s">
        <v>1890</v>
      </c>
      <c r="D3773" t="s">
        <v>4490</v>
      </c>
      <c r="E3773" t="s">
        <v>4444</v>
      </c>
      <c r="F3773" s="3">
        <v>45685</v>
      </c>
      <c r="G3773" s="3">
        <v>45687</v>
      </c>
      <c r="H3773">
        <v>59.5</v>
      </c>
      <c r="I3773">
        <v>24</v>
      </c>
      <c r="J3773" t="s">
        <v>4440</v>
      </c>
      <c r="K3773" t="s">
        <v>4441</v>
      </c>
      <c r="L3773" t="s">
        <v>4454</v>
      </c>
      <c r="M3773" t="s">
        <v>1625</v>
      </c>
    </row>
    <row r="3774" spans="1:14" x14ac:dyDescent="0.35">
      <c r="A3774" t="s">
        <v>8253</v>
      </c>
      <c r="B3774" t="s">
        <v>421</v>
      </c>
      <c r="C3774" t="s">
        <v>1915</v>
      </c>
      <c r="D3774" t="s">
        <v>4476</v>
      </c>
      <c r="E3774" t="s">
        <v>4439</v>
      </c>
      <c r="F3774" s="3">
        <v>45741</v>
      </c>
      <c r="G3774" s="3" t="s">
        <v>537</v>
      </c>
      <c r="I3774">
        <v>48</v>
      </c>
      <c r="J3774" t="s">
        <v>4440</v>
      </c>
      <c r="K3774" t="s">
        <v>4474</v>
      </c>
      <c r="L3774" t="s">
        <v>4492</v>
      </c>
      <c r="M3774" t="s">
        <v>4462</v>
      </c>
    </row>
    <row r="3775" spans="1:14" x14ac:dyDescent="0.35">
      <c r="A3775" t="s">
        <v>8254</v>
      </c>
      <c r="B3775" t="s">
        <v>462</v>
      </c>
      <c r="C3775" t="s">
        <v>1915</v>
      </c>
      <c r="D3775" t="s">
        <v>4485</v>
      </c>
      <c r="E3775" t="s">
        <v>4473</v>
      </c>
      <c r="F3775" s="3">
        <v>45682</v>
      </c>
      <c r="G3775" s="3" t="s">
        <v>537</v>
      </c>
      <c r="I3775">
        <v>8</v>
      </c>
      <c r="J3775" t="s">
        <v>4448</v>
      </c>
      <c r="K3775" t="s">
        <v>4474</v>
      </c>
      <c r="L3775" t="s">
        <v>4449</v>
      </c>
      <c r="M3775" t="s">
        <v>4446</v>
      </c>
    </row>
    <row r="3776" spans="1:14" x14ac:dyDescent="0.35">
      <c r="A3776" t="s">
        <v>8255</v>
      </c>
      <c r="B3776" t="s">
        <v>480</v>
      </c>
      <c r="C3776" t="s">
        <v>1927</v>
      </c>
      <c r="D3776" t="s">
        <v>4469</v>
      </c>
      <c r="E3776" t="s">
        <v>4444</v>
      </c>
      <c r="F3776" s="3">
        <v>44989</v>
      </c>
      <c r="G3776" s="3" t="s">
        <v>537</v>
      </c>
      <c r="I3776">
        <v>24</v>
      </c>
      <c r="J3776" t="s">
        <v>4448</v>
      </c>
      <c r="K3776" t="s">
        <v>4474</v>
      </c>
      <c r="L3776" t="s">
        <v>4501</v>
      </c>
      <c r="M3776" t="s">
        <v>1625</v>
      </c>
    </row>
    <row r="3777" spans="1:14" x14ac:dyDescent="0.35">
      <c r="A3777" t="s">
        <v>8256</v>
      </c>
      <c r="B3777" t="s">
        <v>428</v>
      </c>
      <c r="C3777" t="s">
        <v>1899</v>
      </c>
      <c r="D3777" t="s">
        <v>4485</v>
      </c>
      <c r="E3777" t="s">
        <v>4444</v>
      </c>
      <c r="F3777" s="3">
        <v>45739</v>
      </c>
      <c r="G3777" s="3">
        <v>45739</v>
      </c>
      <c r="H3777">
        <v>10</v>
      </c>
      <c r="I3777">
        <v>24</v>
      </c>
      <c r="J3777" t="s">
        <v>4448</v>
      </c>
      <c r="K3777" t="s">
        <v>4441</v>
      </c>
      <c r="L3777" t="s">
        <v>4465</v>
      </c>
      <c r="M3777" t="s">
        <v>4446</v>
      </c>
    </row>
    <row r="3778" spans="1:14" x14ac:dyDescent="0.35">
      <c r="A3778" t="s">
        <v>8257</v>
      </c>
      <c r="B3778" t="s">
        <v>344</v>
      </c>
      <c r="C3778" t="s">
        <v>1890</v>
      </c>
      <c r="D3778" t="s">
        <v>4452</v>
      </c>
      <c r="E3778" t="s">
        <v>4456</v>
      </c>
      <c r="F3778" s="3">
        <v>45208</v>
      </c>
      <c r="G3778" s="3" t="s">
        <v>537</v>
      </c>
      <c r="I3778">
        <v>4</v>
      </c>
      <c r="J3778" t="s">
        <v>4448</v>
      </c>
      <c r="K3778" t="s">
        <v>4453</v>
      </c>
      <c r="L3778" t="s">
        <v>4470</v>
      </c>
      <c r="M3778" t="s">
        <v>4462</v>
      </c>
    </row>
    <row r="3779" spans="1:14" x14ac:dyDescent="0.35">
      <c r="A3779" t="s">
        <v>8258</v>
      </c>
      <c r="B3779" t="s">
        <v>330</v>
      </c>
      <c r="C3779" t="s">
        <v>1883</v>
      </c>
      <c r="D3779" t="s">
        <v>4452</v>
      </c>
      <c r="E3779" t="s">
        <v>4444</v>
      </c>
      <c r="F3779" s="3">
        <v>45743</v>
      </c>
      <c r="G3779" s="3">
        <v>45743</v>
      </c>
      <c r="H3779">
        <v>18.8</v>
      </c>
      <c r="I3779">
        <v>24</v>
      </c>
      <c r="J3779" t="s">
        <v>4448</v>
      </c>
      <c r="K3779" t="s">
        <v>4441</v>
      </c>
      <c r="L3779" t="s">
        <v>4449</v>
      </c>
      <c r="M3779" t="s">
        <v>4462</v>
      </c>
      <c r="N3779">
        <v>5</v>
      </c>
    </row>
    <row r="3780" spans="1:14" x14ac:dyDescent="0.35">
      <c r="A3780" t="s">
        <v>8259</v>
      </c>
      <c r="B3780" t="s">
        <v>42</v>
      </c>
      <c r="C3780" t="s">
        <v>1927</v>
      </c>
      <c r="D3780" t="s">
        <v>4479</v>
      </c>
      <c r="E3780" t="s">
        <v>4444</v>
      </c>
      <c r="F3780" s="3">
        <v>44983</v>
      </c>
      <c r="G3780" s="3">
        <v>44983</v>
      </c>
      <c r="H3780">
        <v>5.0999999999999996</v>
      </c>
      <c r="I3780">
        <v>24</v>
      </c>
      <c r="J3780" t="s">
        <v>4448</v>
      </c>
      <c r="K3780" t="s">
        <v>4441</v>
      </c>
      <c r="L3780" t="s">
        <v>4483</v>
      </c>
      <c r="M3780" t="s">
        <v>4462</v>
      </c>
    </row>
    <row r="3781" spans="1:14" x14ac:dyDescent="0.35">
      <c r="A3781" t="s">
        <v>8260</v>
      </c>
      <c r="B3781" t="s">
        <v>307</v>
      </c>
      <c r="C3781" t="s">
        <v>1883</v>
      </c>
      <c r="D3781" t="s">
        <v>4452</v>
      </c>
      <c r="E3781" t="s">
        <v>4439</v>
      </c>
      <c r="F3781" s="3">
        <v>45475</v>
      </c>
      <c r="G3781" s="3" t="s">
        <v>537</v>
      </c>
      <c r="I3781">
        <v>48</v>
      </c>
      <c r="J3781" t="s">
        <v>4440</v>
      </c>
      <c r="K3781" t="s">
        <v>4453</v>
      </c>
      <c r="L3781" t="s">
        <v>4454</v>
      </c>
      <c r="M3781" t="s">
        <v>4446</v>
      </c>
    </row>
    <row r="3782" spans="1:14" x14ac:dyDescent="0.35">
      <c r="A3782" t="s">
        <v>8261</v>
      </c>
      <c r="B3782" t="s">
        <v>228</v>
      </c>
      <c r="C3782" t="s">
        <v>1927</v>
      </c>
      <c r="D3782" t="s">
        <v>4472</v>
      </c>
      <c r="E3782" t="s">
        <v>4473</v>
      </c>
      <c r="F3782" s="3">
        <v>45657</v>
      </c>
      <c r="G3782" s="3" t="s">
        <v>537</v>
      </c>
      <c r="I3782">
        <v>8</v>
      </c>
      <c r="J3782" t="s">
        <v>4448</v>
      </c>
      <c r="K3782" t="s">
        <v>4474</v>
      </c>
      <c r="L3782" t="s">
        <v>4467</v>
      </c>
      <c r="M3782" t="s">
        <v>4446</v>
      </c>
    </row>
    <row r="3783" spans="1:14" x14ac:dyDescent="0.35">
      <c r="A3783" t="s">
        <v>8262</v>
      </c>
      <c r="B3783" t="s">
        <v>208</v>
      </c>
      <c r="C3783" t="s">
        <v>1899</v>
      </c>
      <c r="D3783" t="s">
        <v>4469</v>
      </c>
      <c r="E3783" t="s">
        <v>4473</v>
      </c>
      <c r="F3783" s="3">
        <v>44974</v>
      </c>
      <c r="G3783" s="3">
        <v>44974</v>
      </c>
      <c r="H3783">
        <v>0.9</v>
      </c>
      <c r="I3783">
        <v>8</v>
      </c>
      <c r="J3783" t="s">
        <v>4448</v>
      </c>
      <c r="K3783" t="s">
        <v>4441</v>
      </c>
      <c r="L3783" t="s">
        <v>4501</v>
      </c>
      <c r="M3783" t="s">
        <v>4446</v>
      </c>
      <c r="N3783">
        <v>1</v>
      </c>
    </row>
    <row r="3784" spans="1:14" x14ac:dyDescent="0.35">
      <c r="A3784" t="s">
        <v>8263</v>
      </c>
      <c r="B3784" t="s">
        <v>479</v>
      </c>
      <c r="C3784" t="s">
        <v>1899</v>
      </c>
      <c r="D3784" t="s">
        <v>4469</v>
      </c>
      <c r="E3784" t="s">
        <v>4444</v>
      </c>
      <c r="F3784" s="3">
        <v>45331</v>
      </c>
      <c r="G3784" s="3">
        <v>45331</v>
      </c>
      <c r="H3784">
        <v>23.6</v>
      </c>
      <c r="I3784">
        <v>24</v>
      </c>
      <c r="J3784" t="s">
        <v>4448</v>
      </c>
      <c r="K3784" t="s">
        <v>4441</v>
      </c>
      <c r="L3784" t="s">
        <v>4470</v>
      </c>
      <c r="M3784" t="s">
        <v>4446</v>
      </c>
      <c r="N3784">
        <v>3</v>
      </c>
    </row>
    <row r="3785" spans="1:14" x14ac:dyDescent="0.35">
      <c r="A3785" t="s">
        <v>8264</v>
      </c>
      <c r="B3785" t="s">
        <v>436</v>
      </c>
      <c r="C3785" t="s">
        <v>1899</v>
      </c>
      <c r="D3785" t="s">
        <v>4443</v>
      </c>
      <c r="E3785" t="s">
        <v>4439</v>
      </c>
      <c r="F3785" s="3">
        <v>45554</v>
      </c>
      <c r="G3785" s="3" t="s">
        <v>537</v>
      </c>
      <c r="I3785">
        <v>48</v>
      </c>
      <c r="J3785" t="s">
        <v>4440</v>
      </c>
      <c r="K3785" t="s">
        <v>4474</v>
      </c>
      <c r="L3785" t="s">
        <v>4514</v>
      </c>
      <c r="M3785" t="s">
        <v>4462</v>
      </c>
    </row>
    <row r="3786" spans="1:14" x14ac:dyDescent="0.35">
      <c r="A3786" t="s">
        <v>8265</v>
      </c>
      <c r="B3786" t="s">
        <v>480</v>
      </c>
      <c r="C3786" t="s">
        <v>1927</v>
      </c>
      <c r="D3786" t="s">
        <v>4438</v>
      </c>
      <c r="E3786" t="s">
        <v>4439</v>
      </c>
      <c r="F3786" s="3">
        <v>44998</v>
      </c>
      <c r="G3786" s="3">
        <v>45002</v>
      </c>
      <c r="H3786">
        <v>100.7</v>
      </c>
      <c r="I3786">
        <v>48</v>
      </c>
      <c r="J3786" t="s">
        <v>4440</v>
      </c>
      <c r="K3786" t="s">
        <v>4441</v>
      </c>
      <c r="L3786" t="s">
        <v>4514</v>
      </c>
      <c r="M3786" t="s">
        <v>1625</v>
      </c>
      <c r="N3786">
        <v>4</v>
      </c>
    </row>
    <row r="3787" spans="1:14" x14ac:dyDescent="0.35">
      <c r="A3787" t="s">
        <v>8266</v>
      </c>
      <c r="B3787" t="s">
        <v>211</v>
      </c>
      <c r="C3787" t="s">
        <v>1883</v>
      </c>
      <c r="D3787" t="s">
        <v>4460</v>
      </c>
      <c r="E3787" t="s">
        <v>4444</v>
      </c>
      <c r="F3787" s="3">
        <v>45472</v>
      </c>
      <c r="G3787" s="3" t="s">
        <v>537</v>
      </c>
      <c r="I3787">
        <v>24</v>
      </c>
      <c r="J3787" t="s">
        <v>4440</v>
      </c>
      <c r="K3787" t="s">
        <v>4457</v>
      </c>
      <c r="L3787" t="s">
        <v>4465</v>
      </c>
      <c r="M3787" t="s">
        <v>1625</v>
      </c>
    </row>
    <row r="3788" spans="1:14" x14ac:dyDescent="0.35">
      <c r="A3788" t="s">
        <v>8267</v>
      </c>
      <c r="B3788" t="s">
        <v>128</v>
      </c>
      <c r="C3788" t="s">
        <v>1890</v>
      </c>
      <c r="D3788" t="s">
        <v>4479</v>
      </c>
      <c r="E3788" t="s">
        <v>4444</v>
      </c>
      <c r="F3788" s="3">
        <v>45053</v>
      </c>
      <c r="G3788" s="3">
        <v>45054</v>
      </c>
      <c r="H3788">
        <v>24.8</v>
      </c>
      <c r="I3788">
        <v>24</v>
      </c>
      <c r="J3788" t="s">
        <v>4440</v>
      </c>
      <c r="K3788" t="s">
        <v>4441</v>
      </c>
      <c r="L3788" t="s">
        <v>4449</v>
      </c>
      <c r="M3788" t="s">
        <v>4462</v>
      </c>
      <c r="N3788">
        <v>4</v>
      </c>
    </row>
    <row r="3789" spans="1:14" x14ac:dyDescent="0.35">
      <c r="A3789" t="s">
        <v>8268</v>
      </c>
      <c r="B3789" t="s">
        <v>297</v>
      </c>
      <c r="C3789" t="s">
        <v>1899</v>
      </c>
      <c r="D3789" t="s">
        <v>4476</v>
      </c>
      <c r="E3789" t="s">
        <v>4439</v>
      </c>
      <c r="F3789" s="3">
        <v>45326</v>
      </c>
      <c r="G3789" s="3" t="s">
        <v>537</v>
      </c>
      <c r="I3789">
        <v>48</v>
      </c>
      <c r="J3789" t="s">
        <v>4440</v>
      </c>
      <c r="K3789" t="s">
        <v>4457</v>
      </c>
      <c r="L3789" t="s">
        <v>4514</v>
      </c>
      <c r="M3789" t="s">
        <v>4446</v>
      </c>
    </row>
    <row r="3790" spans="1:14" x14ac:dyDescent="0.35">
      <c r="A3790" t="s">
        <v>8269</v>
      </c>
      <c r="B3790" t="s">
        <v>261</v>
      </c>
      <c r="C3790" t="s">
        <v>1899</v>
      </c>
      <c r="D3790" t="s">
        <v>4469</v>
      </c>
      <c r="E3790" t="s">
        <v>4444</v>
      </c>
      <c r="F3790" s="3">
        <v>45494</v>
      </c>
      <c r="G3790" s="3">
        <v>45495</v>
      </c>
      <c r="H3790">
        <v>33.700000000000003</v>
      </c>
      <c r="I3790">
        <v>24</v>
      </c>
      <c r="J3790" t="s">
        <v>4440</v>
      </c>
      <c r="K3790" t="s">
        <v>4441</v>
      </c>
      <c r="L3790" t="s">
        <v>4449</v>
      </c>
      <c r="M3790" t="s">
        <v>4446</v>
      </c>
      <c r="N3790">
        <v>4</v>
      </c>
    </row>
    <row r="3791" spans="1:14" x14ac:dyDescent="0.35">
      <c r="A3791" t="s">
        <v>8270</v>
      </c>
      <c r="B3791" t="s">
        <v>423</v>
      </c>
      <c r="C3791" t="s">
        <v>1927</v>
      </c>
      <c r="D3791" t="s">
        <v>4452</v>
      </c>
      <c r="E3791" t="s">
        <v>4444</v>
      </c>
      <c r="F3791" s="3">
        <v>44962</v>
      </c>
      <c r="G3791" s="3">
        <v>44963</v>
      </c>
      <c r="H3791">
        <v>38.1</v>
      </c>
      <c r="I3791">
        <v>24</v>
      </c>
      <c r="J3791" t="s">
        <v>4440</v>
      </c>
      <c r="K3791" t="s">
        <v>4441</v>
      </c>
      <c r="L3791" t="s">
        <v>4445</v>
      </c>
      <c r="M3791" t="s">
        <v>4462</v>
      </c>
    </row>
    <row r="3792" spans="1:14" x14ac:dyDescent="0.35">
      <c r="A3792" t="s">
        <v>8271</v>
      </c>
      <c r="B3792" t="s">
        <v>23</v>
      </c>
      <c r="C3792" t="s">
        <v>1915</v>
      </c>
      <c r="D3792" t="s">
        <v>4476</v>
      </c>
      <c r="E3792" t="s">
        <v>4473</v>
      </c>
      <c r="F3792" s="3">
        <v>45203</v>
      </c>
      <c r="G3792" s="3">
        <v>45203</v>
      </c>
      <c r="H3792">
        <v>12.8</v>
      </c>
      <c r="I3792">
        <v>8</v>
      </c>
      <c r="J3792" t="s">
        <v>4440</v>
      </c>
      <c r="K3792" t="s">
        <v>4441</v>
      </c>
      <c r="L3792" t="s">
        <v>4454</v>
      </c>
      <c r="M3792" t="s">
        <v>4450</v>
      </c>
      <c r="N3792">
        <v>5</v>
      </c>
    </row>
    <row r="3793" spans="1:14" x14ac:dyDescent="0.35">
      <c r="A3793" t="s">
        <v>8272</v>
      </c>
      <c r="B3793" t="s">
        <v>303</v>
      </c>
      <c r="C3793" t="s">
        <v>1899</v>
      </c>
      <c r="D3793" t="s">
        <v>4479</v>
      </c>
      <c r="E3793" t="s">
        <v>4439</v>
      </c>
      <c r="F3793" s="3">
        <v>44938</v>
      </c>
      <c r="G3793" s="3" t="s">
        <v>537</v>
      </c>
      <c r="I3793">
        <v>48</v>
      </c>
      <c r="J3793" t="s">
        <v>4440</v>
      </c>
      <c r="K3793" t="s">
        <v>4457</v>
      </c>
      <c r="L3793" t="s">
        <v>4527</v>
      </c>
      <c r="M3793" t="s">
        <v>4446</v>
      </c>
    </row>
    <row r="3794" spans="1:14" x14ac:dyDescent="0.35">
      <c r="A3794" t="s">
        <v>8273</v>
      </c>
      <c r="B3794" t="s">
        <v>448</v>
      </c>
      <c r="C3794" t="s">
        <v>1927</v>
      </c>
      <c r="D3794" t="s">
        <v>4460</v>
      </c>
      <c r="E3794" t="s">
        <v>4444</v>
      </c>
      <c r="F3794" s="3">
        <v>45669</v>
      </c>
      <c r="G3794" s="3">
        <v>45669</v>
      </c>
      <c r="H3794">
        <v>15.1</v>
      </c>
      <c r="I3794">
        <v>24</v>
      </c>
      <c r="J3794" t="s">
        <v>4448</v>
      </c>
      <c r="K3794" t="s">
        <v>4441</v>
      </c>
      <c r="L3794" t="s">
        <v>4533</v>
      </c>
      <c r="M3794" t="s">
        <v>4462</v>
      </c>
    </row>
    <row r="3795" spans="1:14" x14ac:dyDescent="0.35">
      <c r="A3795" t="s">
        <v>8274</v>
      </c>
      <c r="B3795" t="s">
        <v>454</v>
      </c>
      <c r="C3795" t="s">
        <v>1915</v>
      </c>
      <c r="D3795" t="s">
        <v>4438</v>
      </c>
      <c r="E3795" t="s">
        <v>4456</v>
      </c>
      <c r="F3795" s="3">
        <v>45212</v>
      </c>
      <c r="G3795" s="3">
        <v>45212</v>
      </c>
      <c r="H3795">
        <v>5.9</v>
      </c>
      <c r="I3795">
        <v>4</v>
      </c>
      <c r="J3795" t="s">
        <v>4440</v>
      </c>
      <c r="K3795" t="s">
        <v>4441</v>
      </c>
      <c r="L3795" t="s">
        <v>4480</v>
      </c>
      <c r="M3795" t="s">
        <v>4450</v>
      </c>
      <c r="N3795">
        <v>3</v>
      </c>
    </row>
    <row r="3796" spans="1:14" x14ac:dyDescent="0.35">
      <c r="A3796" t="s">
        <v>8275</v>
      </c>
      <c r="B3796" t="s">
        <v>428</v>
      </c>
      <c r="C3796" t="s">
        <v>1883</v>
      </c>
      <c r="D3796" t="s">
        <v>4472</v>
      </c>
      <c r="E3796" t="s">
        <v>4444</v>
      </c>
      <c r="F3796" s="3">
        <v>45659</v>
      </c>
      <c r="G3796" s="3">
        <v>45660</v>
      </c>
      <c r="H3796">
        <v>39.1</v>
      </c>
      <c r="I3796">
        <v>24</v>
      </c>
      <c r="J3796" t="s">
        <v>4440</v>
      </c>
      <c r="K3796" t="s">
        <v>4441</v>
      </c>
      <c r="L3796" t="s">
        <v>4509</v>
      </c>
      <c r="M3796" t="s">
        <v>4450</v>
      </c>
      <c r="N3796">
        <v>3</v>
      </c>
    </row>
    <row r="3797" spans="1:14" x14ac:dyDescent="0.35">
      <c r="A3797" t="s">
        <v>8276</v>
      </c>
      <c r="B3797" t="s">
        <v>395</v>
      </c>
      <c r="C3797" t="s">
        <v>1883</v>
      </c>
      <c r="D3797" t="s">
        <v>4472</v>
      </c>
      <c r="E3797" t="s">
        <v>4444</v>
      </c>
      <c r="F3797" s="3">
        <v>45187</v>
      </c>
      <c r="G3797" s="3">
        <v>45188</v>
      </c>
      <c r="H3797">
        <v>43.3</v>
      </c>
      <c r="I3797">
        <v>24</v>
      </c>
      <c r="J3797" t="s">
        <v>4440</v>
      </c>
      <c r="K3797" t="s">
        <v>4441</v>
      </c>
      <c r="L3797" t="s">
        <v>4533</v>
      </c>
      <c r="M3797" t="s">
        <v>1625</v>
      </c>
      <c r="N3797">
        <v>5</v>
      </c>
    </row>
    <row r="3798" spans="1:14" x14ac:dyDescent="0.35">
      <c r="A3798" t="s">
        <v>8277</v>
      </c>
      <c r="B3798" t="s">
        <v>243</v>
      </c>
      <c r="C3798" t="s">
        <v>1883</v>
      </c>
      <c r="D3798" t="s">
        <v>4452</v>
      </c>
      <c r="E3798" t="s">
        <v>4439</v>
      </c>
      <c r="F3798" s="3">
        <v>45364</v>
      </c>
      <c r="G3798" s="3">
        <v>45364</v>
      </c>
      <c r="H3798">
        <v>21.2</v>
      </c>
      <c r="I3798">
        <v>48</v>
      </c>
      <c r="J3798" t="s">
        <v>4448</v>
      </c>
      <c r="K3798" t="s">
        <v>4441</v>
      </c>
      <c r="L3798" t="s">
        <v>4533</v>
      </c>
      <c r="M3798" t="s">
        <v>1625</v>
      </c>
      <c r="N3798">
        <v>5</v>
      </c>
    </row>
    <row r="3799" spans="1:14" x14ac:dyDescent="0.35">
      <c r="A3799" t="s">
        <v>8278</v>
      </c>
      <c r="B3799" t="s">
        <v>387</v>
      </c>
      <c r="C3799" t="s">
        <v>1927</v>
      </c>
      <c r="D3799" t="s">
        <v>4452</v>
      </c>
      <c r="E3799" t="s">
        <v>4444</v>
      </c>
      <c r="F3799" s="3">
        <v>45286</v>
      </c>
      <c r="G3799" s="3" t="s">
        <v>537</v>
      </c>
      <c r="I3799">
        <v>24</v>
      </c>
      <c r="J3799" t="s">
        <v>4440</v>
      </c>
      <c r="K3799" t="s">
        <v>4457</v>
      </c>
      <c r="L3799" t="s">
        <v>4467</v>
      </c>
      <c r="M3799" t="s">
        <v>4446</v>
      </c>
    </row>
    <row r="3800" spans="1:14" x14ac:dyDescent="0.35">
      <c r="A3800" t="s">
        <v>8279</v>
      </c>
      <c r="B3800" t="s">
        <v>412</v>
      </c>
      <c r="C3800" t="s">
        <v>1904</v>
      </c>
      <c r="D3800" t="s">
        <v>4485</v>
      </c>
      <c r="E3800" t="s">
        <v>4439</v>
      </c>
      <c r="F3800" s="3">
        <v>45629</v>
      </c>
      <c r="G3800" s="3" t="s">
        <v>537</v>
      </c>
      <c r="I3800">
        <v>48</v>
      </c>
      <c r="J3800" t="s">
        <v>4440</v>
      </c>
      <c r="K3800" t="s">
        <v>4474</v>
      </c>
      <c r="L3800" t="s">
        <v>4449</v>
      </c>
      <c r="M3800" t="s">
        <v>4450</v>
      </c>
    </row>
    <row r="3801" spans="1:14" x14ac:dyDescent="0.35">
      <c r="A3801" t="s">
        <v>8280</v>
      </c>
      <c r="B3801" t="s">
        <v>126</v>
      </c>
      <c r="C3801" t="s">
        <v>1883</v>
      </c>
      <c r="D3801" t="s">
        <v>4460</v>
      </c>
      <c r="E3801" t="s">
        <v>4473</v>
      </c>
      <c r="F3801" s="3">
        <v>45327</v>
      </c>
      <c r="G3801" s="3">
        <v>45327</v>
      </c>
      <c r="H3801">
        <v>1.8</v>
      </c>
      <c r="I3801">
        <v>8</v>
      </c>
      <c r="J3801" t="s">
        <v>4448</v>
      </c>
      <c r="K3801" t="s">
        <v>4441</v>
      </c>
      <c r="L3801" t="s">
        <v>4512</v>
      </c>
      <c r="M3801" t="s">
        <v>4462</v>
      </c>
      <c r="N3801">
        <v>4</v>
      </c>
    </row>
    <row r="3802" spans="1:14" x14ac:dyDescent="0.35">
      <c r="A3802" t="s">
        <v>8281</v>
      </c>
      <c r="B3802" t="s">
        <v>280</v>
      </c>
      <c r="C3802" t="s">
        <v>1899</v>
      </c>
      <c r="D3802" t="s">
        <v>4469</v>
      </c>
      <c r="E3802" t="s">
        <v>4439</v>
      </c>
      <c r="F3802" s="3">
        <v>45162</v>
      </c>
      <c r="G3802" s="3" t="s">
        <v>537</v>
      </c>
      <c r="I3802">
        <v>48</v>
      </c>
      <c r="J3802" t="s">
        <v>4440</v>
      </c>
      <c r="K3802" t="s">
        <v>4457</v>
      </c>
      <c r="L3802" t="s">
        <v>4512</v>
      </c>
      <c r="M3802" t="s">
        <v>4450</v>
      </c>
    </row>
    <row r="3803" spans="1:14" x14ac:dyDescent="0.35">
      <c r="A3803" t="s">
        <v>8282</v>
      </c>
      <c r="B3803" t="s">
        <v>303</v>
      </c>
      <c r="C3803" t="s">
        <v>1899</v>
      </c>
      <c r="D3803" t="s">
        <v>4443</v>
      </c>
      <c r="E3803" t="s">
        <v>4456</v>
      </c>
      <c r="F3803" s="3">
        <v>45630</v>
      </c>
      <c r="G3803" s="3" t="s">
        <v>537</v>
      </c>
      <c r="I3803">
        <v>4</v>
      </c>
      <c r="J3803" t="s">
        <v>4440</v>
      </c>
      <c r="K3803" t="s">
        <v>4474</v>
      </c>
      <c r="L3803" t="s">
        <v>4501</v>
      </c>
      <c r="M3803" t="s">
        <v>4450</v>
      </c>
    </row>
    <row r="3804" spans="1:14" x14ac:dyDescent="0.35">
      <c r="A3804" t="s">
        <v>8283</v>
      </c>
      <c r="B3804" t="s">
        <v>252</v>
      </c>
      <c r="C3804" t="s">
        <v>1927</v>
      </c>
      <c r="D3804" t="s">
        <v>4479</v>
      </c>
      <c r="E3804" t="s">
        <v>4444</v>
      </c>
      <c r="F3804" s="3">
        <v>45311</v>
      </c>
      <c r="G3804" s="3">
        <v>45311</v>
      </c>
      <c r="H3804">
        <v>7</v>
      </c>
      <c r="I3804">
        <v>24</v>
      </c>
      <c r="J3804" t="s">
        <v>4448</v>
      </c>
      <c r="K3804" t="s">
        <v>4441</v>
      </c>
      <c r="L3804" t="s">
        <v>4580</v>
      </c>
      <c r="M3804" t="s">
        <v>4446</v>
      </c>
      <c r="N3804">
        <v>2</v>
      </c>
    </row>
    <row r="3805" spans="1:14" x14ac:dyDescent="0.35">
      <c r="A3805" t="s">
        <v>8284</v>
      </c>
      <c r="B3805" t="s">
        <v>275</v>
      </c>
      <c r="C3805" t="s">
        <v>1890</v>
      </c>
      <c r="D3805" t="s">
        <v>4469</v>
      </c>
      <c r="E3805" t="s">
        <v>4473</v>
      </c>
      <c r="F3805" s="3">
        <v>45071</v>
      </c>
      <c r="G3805" s="3">
        <v>45071</v>
      </c>
      <c r="H3805">
        <v>1.1000000000000001</v>
      </c>
      <c r="I3805">
        <v>8</v>
      </c>
      <c r="J3805" t="s">
        <v>4448</v>
      </c>
      <c r="K3805" t="s">
        <v>4441</v>
      </c>
      <c r="L3805" t="s">
        <v>4470</v>
      </c>
      <c r="M3805" t="s">
        <v>1625</v>
      </c>
      <c r="N3805">
        <v>3</v>
      </c>
    </row>
    <row r="3806" spans="1:14" x14ac:dyDescent="0.35">
      <c r="A3806" t="s">
        <v>8285</v>
      </c>
      <c r="B3806" t="s">
        <v>447</v>
      </c>
      <c r="C3806" t="s">
        <v>1927</v>
      </c>
      <c r="D3806" t="s">
        <v>4485</v>
      </c>
      <c r="E3806" t="s">
        <v>4473</v>
      </c>
      <c r="F3806" s="3">
        <v>45384</v>
      </c>
      <c r="G3806" s="3" t="s">
        <v>537</v>
      </c>
      <c r="I3806">
        <v>8</v>
      </c>
      <c r="J3806" t="s">
        <v>4448</v>
      </c>
      <c r="K3806" t="s">
        <v>4453</v>
      </c>
      <c r="L3806" t="s">
        <v>4480</v>
      </c>
      <c r="M3806" t="s">
        <v>1625</v>
      </c>
    </row>
    <row r="3807" spans="1:14" x14ac:dyDescent="0.35">
      <c r="A3807" t="s">
        <v>8286</v>
      </c>
      <c r="B3807" t="s">
        <v>446</v>
      </c>
      <c r="C3807" t="s">
        <v>1915</v>
      </c>
      <c r="D3807" t="s">
        <v>4460</v>
      </c>
      <c r="E3807" t="s">
        <v>4439</v>
      </c>
      <c r="F3807" s="3">
        <v>45033</v>
      </c>
      <c r="G3807" s="3" t="s">
        <v>537</v>
      </c>
      <c r="I3807">
        <v>48</v>
      </c>
      <c r="J3807" t="s">
        <v>4440</v>
      </c>
      <c r="K3807" t="s">
        <v>4453</v>
      </c>
      <c r="L3807" t="s">
        <v>4509</v>
      </c>
      <c r="M3807" t="s">
        <v>4446</v>
      </c>
    </row>
    <row r="3808" spans="1:14" x14ac:dyDescent="0.35">
      <c r="A3808" t="s">
        <v>8287</v>
      </c>
      <c r="B3808" t="s">
        <v>103</v>
      </c>
      <c r="C3808" t="s">
        <v>1927</v>
      </c>
      <c r="D3808" t="s">
        <v>4482</v>
      </c>
      <c r="E3808" t="s">
        <v>4444</v>
      </c>
      <c r="F3808" s="3">
        <v>45548</v>
      </c>
      <c r="G3808" s="3">
        <v>45549</v>
      </c>
      <c r="H3808">
        <v>31.4</v>
      </c>
      <c r="I3808">
        <v>24</v>
      </c>
      <c r="J3808" t="s">
        <v>4440</v>
      </c>
      <c r="K3808" t="s">
        <v>4441</v>
      </c>
      <c r="L3808" t="s">
        <v>4533</v>
      </c>
      <c r="M3808" t="s">
        <v>4450</v>
      </c>
      <c r="N3808">
        <v>4</v>
      </c>
    </row>
    <row r="3809" spans="1:14" x14ac:dyDescent="0.35">
      <c r="A3809" t="s">
        <v>8288</v>
      </c>
      <c r="B3809" t="s">
        <v>484</v>
      </c>
      <c r="C3809" t="s">
        <v>1904</v>
      </c>
      <c r="D3809" t="s">
        <v>4476</v>
      </c>
      <c r="E3809" t="s">
        <v>4439</v>
      </c>
      <c r="F3809" s="3">
        <v>45170</v>
      </c>
      <c r="G3809" s="3">
        <v>45174</v>
      </c>
      <c r="H3809">
        <v>112.4</v>
      </c>
      <c r="I3809">
        <v>48</v>
      </c>
      <c r="J3809" t="s">
        <v>4440</v>
      </c>
      <c r="K3809" t="s">
        <v>4441</v>
      </c>
      <c r="L3809" t="s">
        <v>4492</v>
      </c>
      <c r="M3809" t="s">
        <v>4450</v>
      </c>
      <c r="N3809">
        <v>5</v>
      </c>
    </row>
    <row r="3810" spans="1:14" x14ac:dyDescent="0.35">
      <c r="A3810" t="s">
        <v>8289</v>
      </c>
      <c r="B3810" t="s">
        <v>140</v>
      </c>
      <c r="C3810" t="s">
        <v>1883</v>
      </c>
      <c r="D3810" t="s">
        <v>4479</v>
      </c>
      <c r="E3810" t="s">
        <v>4444</v>
      </c>
      <c r="F3810" s="3">
        <v>45094</v>
      </c>
      <c r="G3810" s="3">
        <v>45096</v>
      </c>
      <c r="H3810">
        <v>49.5</v>
      </c>
      <c r="I3810">
        <v>24</v>
      </c>
      <c r="J3810" t="s">
        <v>4440</v>
      </c>
      <c r="K3810" t="s">
        <v>4441</v>
      </c>
      <c r="L3810" t="s">
        <v>4509</v>
      </c>
      <c r="M3810" t="s">
        <v>4446</v>
      </c>
      <c r="N3810">
        <v>3</v>
      </c>
    </row>
    <row r="3811" spans="1:14" x14ac:dyDescent="0.35">
      <c r="A3811" t="s">
        <v>8290</v>
      </c>
      <c r="B3811" t="s">
        <v>335</v>
      </c>
      <c r="C3811" t="s">
        <v>1890</v>
      </c>
      <c r="D3811" t="s">
        <v>4490</v>
      </c>
      <c r="E3811" t="s">
        <v>4444</v>
      </c>
      <c r="F3811" s="3">
        <v>45496</v>
      </c>
      <c r="G3811" s="3" t="s">
        <v>537</v>
      </c>
      <c r="I3811">
        <v>24</v>
      </c>
      <c r="J3811" t="s">
        <v>4440</v>
      </c>
      <c r="K3811" t="s">
        <v>4474</v>
      </c>
      <c r="L3811" t="s">
        <v>4580</v>
      </c>
      <c r="M3811" t="s">
        <v>1625</v>
      </c>
    </row>
    <row r="3812" spans="1:14" x14ac:dyDescent="0.35">
      <c r="A3812" t="s">
        <v>8291</v>
      </c>
      <c r="B3812" t="s">
        <v>426</v>
      </c>
      <c r="C3812" t="s">
        <v>1899</v>
      </c>
      <c r="D3812" t="s">
        <v>4469</v>
      </c>
      <c r="E3812" t="s">
        <v>4444</v>
      </c>
      <c r="F3812" s="3">
        <v>45190</v>
      </c>
      <c r="G3812" s="3">
        <v>45190</v>
      </c>
      <c r="H3812">
        <v>2.2000000000000002</v>
      </c>
      <c r="I3812">
        <v>24</v>
      </c>
      <c r="J3812" t="s">
        <v>4448</v>
      </c>
      <c r="K3812" t="s">
        <v>4441</v>
      </c>
      <c r="L3812" t="s">
        <v>4483</v>
      </c>
      <c r="M3812" t="s">
        <v>4462</v>
      </c>
      <c r="N3812">
        <v>3</v>
      </c>
    </row>
    <row r="3813" spans="1:14" x14ac:dyDescent="0.35">
      <c r="A3813" t="s">
        <v>8292</v>
      </c>
      <c r="B3813" t="s">
        <v>147</v>
      </c>
      <c r="C3813" t="s">
        <v>1899</v>
      </c>
      <c r="D3813" t="s">
        <v>4479</v>
      </c>
      <c r="E3813" t="s">
        <v>4444</v>
      </c>
      <c r="F3813" s="3">
        <v>45123</v>
      </c>
      <c r="G3813" s="3">
        <v>45125</v>
      </c>
      <c r="H3813">
        <v>51.7</v>
      </c>
      <c r="I3813">
        <v>24</v>
      </c>
      <c r="J3813" t="s">
        <v>4440</v>
      </c>
      <c r="K3813" t="s">
        <v>4441</v>
      </c>
      <c r="L3813" t="s">
        <v>4509</v>
      </c>
      <c r="M3813" t="s">
        <v>4446</v>
      </c>
      <c r="N3813">
        <v>3</v>
      </c>
    </row>
    <row r="3814" spans="1:14" x14ac:dyDescent="0.35">
      <c r="A3814" t="s">
        <v>8293</v>
      </c>
      <c r="B3814" t="s">
        <v>147</v>
      </c>
      <c r="C3814" t="s">
        <v>1915</v>
      </c>
      <c r="D3814" t="s">
        <v>4460</v>
      </c>
      <c r="E3814" t="s">
        <v>4439</v>
      </c>
      <c r="F3814" s="3">
        <v>45049</v>
      </c>
      <c r="G3814" s="3">
        <v>45053</v>
      </c>
      <c r="H3814">
        <v>109.2</v>
      </c>
      <c r="I3814">
        <v>48</v>
      </c>
      <c r="J3814" t="s">
        <v>4440</v>
      </c>
      <c r="K3814" t="s">
        <v>4441</v>
      </c>
      <c r="L3814" t="s">
        <v>4533</v>
      </c>
      <c r="M3814" t="s">
        <v>4462</v>
      </c>
      <c r="N3814">
        <v>4</v>
      </c>
    </row>
    <row r="3815" spans="1:14" x14ac:dyDescent="0.35">
      <c r="A3815" t="s">
        <v>8294</v>
      </c>
      <c r="B3815" t="s">
        <v>339</v>
      </c>
      <c r="C3815" t="s">
        <v>1890</v>
      </c>
      <c r="D3815" t="s">
        <v>4452</v>
      </c>
      <c r="E3815" t="s">
        <v>4473</v>
      </c>
      <c r="F3815" s="3">
        <v>45240</v>
      </c>
      <c r="G3815" s="3">
        <v>45240</v>
      </c>
      <c r="H3815">
        <v>3.7</v>
      </c>
      <c r="I3815">
        <v>8</v>
      </c>
      <c r="J3815" t="s">
        <v>4448</v>
      </c>
      <c r="K3815" t="s">
        <v>4441</v>
      </c>
      <c r="L3815" t="s">
        <v>4580</v>
      </c>
      <c r="M3815" t="s">
        <v>4462</v>
      </c>
      <c r="N3815">
        <v>5</v>
      </c>
    </row>
    <row r="3816" spans="1:14" x14ac:dyDescent="0.35">
      <c r="A3816" t="s">
        <v>8295</v>
      </c>
      <c r="B3816" t="s">
        <v>356</v>
      </c>
      <c r="C3816" t="s">
        <v>1899</v>
      </c>
      <c r="D3816" t="s">
        <v>4452</v>
      </c>
      <c r="E3816" t="s">
        <v>4444</v>
      </c>
      <c r="F3816" s="3">
        <v>44968</v>
      </c>
      <c r="G3816" s="3" t="s">
        <v>537</v>
      </c>
      <c r="I3816">
        <v>24</v>
      </c>
      <c r="J3816" t="s">
        <v>4440</v>
      </c>
      <c r="K3816" t="s">
        <v>4457</v>
      </c>
      <c r="L3816" t="s">
        <v>4454</v>
      </c>
      <c r="M3816" t="s">
        <v>4446</v>
      </c>
    </row>
    <row r="3817" spans="1:14" x14ac:dyDescent="0.35">
      <c r="A3817" t="s">
        <v>8296</v>
      </c>
      <c r="B3817" t="s">
        <v>27</v>
      </c>
      <c r="C3817" t="s">
        <v>1904</v>
      </c>
      <c r="D3817" t="s">
        <v>4443</v>
      </c>
      <c r="E3817" t="s">
        <v>4444</v>
      </c>
      <c r="F3817" s="3">
        <v>44998</v>
      </c>
      <c r="G3817" s="3">
        <v>44998</v>
      </c>
      <c r="H3817">
        <v>7.4</v>
      </c>
      <c r="I3817">
        <v>24</v>
      </c>
      <c r="J3817" t="s">
        <v>4448</v>
      </c>
      <c r="K3817" t="s">
        <v>4441</v>
      </c>
      <c r="L3817" t="s">
        <v>4458</v>
      </c>
      <c r="M3817" t="s">
        <v>1625</v>
      </c>
      <c r="N3817">
        <v>4</v>
      </c>
    </row>
    <row r="3818" spans="1:14" x14ac:dyDescent="0.35">
      <c r="A3818" t="s">
        <v>8297</v>
      </c>
      <c r="B3818" t="s">
        <v>444</v>
      </c>
      <c r="C3818" t="s">
        <v>1890</v>
      </c>
      <c r="D3818" t="s">
        <v>4472</v>
      </c>
      <c r="E3818" t="s">
        <v>4456</v>
      </c>
      <c r="F3818" s="3">
        <v>45644</v>
      </c>
      <c r="G3818" s="3">
        <v>45644</v>
      </c>
      <c r="H3818">
        <v>6.1</v>
      </c>
      <c r="I3818">
        <v>4</v>
      </c>
      <c r="J3818" t="s">
        <v>4440</v>
      </c>
      <c r="K3818" t="s">
        <v>4441</v>
      </c>
      <c r="L3818" t="s">
        <v>4580</v>
      </c>
      <c r="M3818" t="s">
        <v>4462</v>
      </c>
      <c r="N3818">
        <v>4</v>
      </c>
    </row>
    <row r="3819" spans="1:14" x14ac:dyDescent="0.35">
      <c r="A3819" t="s">
        <v>8298</v>
      </c>
      <c r="B3819" t="s">
        <v>171</v>
      </c>
      <c r="C3819" t="s">
        <v>1899</v>
      </c>
      <c r="D3819" t="s">
        <v>4490</v>
      </c>
      <c r="E3819" t="s">
        <v>4473</v>
      </c>
      <c r="F3819" s="3">
        <v>45036</v>
      </c>
      <c r="G3819" s="3">
        <v>45036</v>
      </c>
      <c r="H3819">
        <v>19.399999999999999</v>
      </c>
      <c r="I3819">
        <v>8</v>
      </c>
      <c r="J3819" t="s">
        <v>4440</v>
      </c>
      <c r="K3819" t="s">
        <v>4441</v>
      </c>
      <c r="L3819" t="s">
        <v>4527</v>
      </c>
      <c r="M3819" t="s">
        <v>4462</v>
      </c>
      <c r="N3819">
        <v>4</v>
      </c>
    </row>
    <row r="3820" spans="1:14" x14ac:dyDescent="0.35">
      <c r="A3820" t="s">
        <v>8299</v>
      </c>
      <c r="B3820" t="s">
        <v>400</v>
      </c>
      <c r="C3820" t="s">
        <v>1899</v>
      </c>
      <c r="D3820" t="s">
        <v>4479</v>
      </c>
      <c r="E3820" t="s">
        <v>4444</v>
      </c>
      <c r="F3820" s="3">
        <v>44964</v>
      </c>
      <c r="G3820" s="3">
        <v>44966</v>
      </c>
      <c r="H3820">
        <v>52.6</v>
      </c>
      <c r="I3820">
        <v>24</v>
      </c>
      <c r="J3820" t="s">
        <v>4440</v>
      </c>
      <c r="K3820" t="s">
        <v>4441</v>
      </c>
      <c r="L3820" t="s">
        <v>4445</v>
      </c>
      <c r="M3820" t="s">
        <v>4462</v>
      </c>
      <c r="N3820">
        <v>4</v>
      </c>
    </row>
    <row r="3821" spans="1:14" x14ac:dyDescent="0.35">
      <c r="A3821" t="s">
        <v>8300</v>
      </c>
      <c r="B3821" t="s">
        <v>275</v>
      </c>
      <c r="C3821" t="s">
        <v>1890</v>
      </c>
      <c r="D3821" t="s">
        <v>4452</v>
      </c>
      <c r="E3821" t="s">
        <v>4444</v>
      </c>
      <c r="F3821" s="3">
        <v>44981</v>
      </c>
      <c r="G3821" s="3" t="s">
        <v>537</v>
      </c>
      <c r="I3821">
        <v>24</v>
      </c>
      <c r="J3821" t="s">
        <v>4440</v>
      </c>
      <c r="K3821" t="s">
        <v>4474</v>
      </c>
      <c r="L3821" t="s">
        <v>4480</v>
      </c>
      <c r="M3821" t="s">
        <v>1625</v>
      </c>
    </row>
    <row r="3822" spans="1:14" x14ac:dyDescent="0.35">
      <c r="A3822" t="s">
        <v>8301</v>
      </c>
      <c r="B3822" t="s">
        <v>358</v>
      </c>
      <c r="C3822" t="s">
        <v>1883</v>
      </c>
      <c r="D3822" t="s">
        <v>4438</v>
      </c>
      <c r="E3822" t="s">
        <v>4444</v>
      </c>
      <c r="F3822" s="3">
        <v>45122</v>
      </c>
      <c r="G3822" s="3" t="s">
        <v>537</v>
      </c>
      <c r="I3822">
        <v>24</v>
      </c>
      <c r="J3822" t="s">
        <v>4448</v>
      </c>
      <c r="K3822" t="s">
        <v>4457</v>
      </c>
      <c r="L3822" t="s">
        <v>4458</v>
      </c>
      <c r="M3822" t="s">
        <v>4462</v>
      </c>
    </row>
    <row r="3823" spans="1:14" x14ac:dyDescent="0.35">
      <c r="A3823" t="s">
        <v>8302</v>
      </c>
      <c r="B3823" t="s">
        <v>268</v>
      </c>
      <c r="C3823" t="s">
        <v>1883</v>
      </c>
      <c r="D3823" t="s">
        <v>4460</v>
      </c>
      <c r="E3823" t="s">
        <v>4456</v>
      </c>
      <c r="F3823" s="3">
        <v>45479</v>
      </c>
      <c r="G3823" s="3" t="s">
        <v>537</v>
      </c>
      <c r="I3823">
        <v>4</v>
      </c>
      <c r="J3823" t="s">
        <v>4448</v>
      </c>
      <c r="K3823" t="s">
        <v>4457</v>
      </c>
      <c r="L3823" t="s">
        <v>4488</v>
      </c>
      <c r="M3823" t="s">
        <v>1625</v>
      </c>
    </row>
    <row r="3824" spans="1:14" x14ac:dyDescent="0.35">
      <c r="A3824" t="s">
        <v>8303</v>
      </c>
      <c r="B3824" t="s">
        <v>112</v>
      </c>
      <c r="C3824" t="s">
        <v>1904</v>
      </c>
      <c r="D3824" t="s">
        <v>8506</v>
      </c>
      <c r="E3824" t="s">
        <v>4444</v>
      </c>
      <c r="F3824" s="3">
        <v>45463</v>
      </c>
      <c r="G3824" s="3">
        <v>45465</v>
      </c>
      <c r="H3824">
        <v>49.4</v>
      </c>
      <c r="I3824">
        <v>24</v>
      </c>
      <c r="J3824" t="s">
        <v>4440</v>
      </c>
      <c r="K3824" t="s">
        <v>4441</v>
      </c>
      <c r="L3824" t="s">
        <v>4470</v>
      </c>
      <c r="M3824" t="s">
        <v>1625</v>
      </c>
      <c r="N3824">
        <v>5</v>
      </c>
    </row>
    <row r="3825" spans="1:14" x14ac:dyDescent="0.35">
      <c r="A3825" t="s">
        <v>8304</v>
      </c>
      <c r="B3825" t="s">
        <v>440</v>
      </c>
      <c r="C3825" t="s">
        <v>1904</v>
      </c>
      <c r="D3825" t="s">
        <v>4482</v>
      </c>
      <c r="E3825" t="s">
        <v>4439</v>
      </c>
      <c r="F3825" s="3">
        <v>45254</v>
      </c>
      <c r="G3825" s="3" t="s">
        <v>537</v>
      </c>
      <c r="I3825">
        <v>48</v>
      </c>
      <c r="J3825" t="s">
        <v>4440</v>
      </c>
      <c r="K3825" t="s">
        <v>4453</v>
      </c>
      <c r="L3825" t="s">
        <v>4483</v>
      </c>
      <c r="M3825" t="s">
        <v>1625</v>
      </c>
    </row>
    <row r="3826" spans="1:14" x14ac:dyDescent="0.35">
      <c r="A3826" t="s">
        <v>8305</v>
      </c>
      <c r="B3826" t="s">
        <v>457</v>
      </c>
      <c r="C3826" t="s">
        <v>1904</v>
      </c>
      <c r="D3826" t="s">
        <v>8514</v>
      </c>
      <c r="E3826" t="s">
        <v>4444</v>
      </c>
      <c r="F3826" s="3">
        <v>44970</v>
      </c>
      <c r="G3826" s="3">
        <v>44971</v>
      </c>
      <c r="H3826">
        <v>38.9</v>
      </c>
      <c r="I3826">
        <v>24</v>
      </c>
      <c r="J3826" t="s">
        <v>4440</v>
      </c>
      <c r="K3826" t="s">
        <v>4441</v>
      </c>
      <c r="L3826" t="s">
        <v>4501</v>
      </c>
      <c r="M3826" t="s">
        <v>4462</v>
      </c>
      <c r="N3826">
        <v>4</v>
      </c>
    </row>
    <row r="3827" spans="1:14" x14ac:dyDescent="0.35">
      <c r="A3827" t="s">
        <v>8306</v>
      </c>
      <c r="B3827" t="s">
        <v>273</v>
      </c>
      <c r="C3827" t="s">
        <v>1899</v>
      </c>
      <c r="D3827" t="s">
        <v>4438</v>
      </c>
      <c r="E3827" t="s">
        <v>4444</v>
      </c>
      <c r="F3827" s="3">
        <v>45672</v>
      </c>
      <c r="G3827" s="3" t="s">
        <v>537</v>
      </c>
      <c r="I3827">
        <v>24</v>
      </c>
      <c r="J3827" t="s">
        <v>4440</v>
      </c>
      <c r="K3827" t="s">
        <v>4474</v>
      </c>
      <c r="L3827" t="s">
        <v>4465</v>
      </c>
      <c r="M3827" t="s">
        <v>1625</v>
      </c>
    </row>
    <row r="3828" spans="1:14" x14ac:dyDescent="0.35">
      <c r="A3828" t="s">
        <v>8307</v>
      </c>
      <c r="B3828" t="s">
        <v>210</v>
      </c>
      <c r="C3828" t="s">
        <v>1904</v>
      </c>
      <c r="D3828" t="s">
        <v>4443</v>
      </c>
      <c r="E3828" t="s">
        <v>4444</v>
      </c>
      <c r="F3828" s="3">
        <v>44949</v>
      </c>
      <c r="G3828" s="3" t="s">
        <v>537</v>
      </c>
      <c r="I3828">
        <v>24</v>
      </c>
      <c r="J3828" t="s">
        <v>4448</v>
      </c>
      <c r="K3828" t="s">
        <v>4474</v>
      </c>
      <c r="L3828" t="s">
        <v>4514</v>
      </c>
      <c r="M3828" t="s">
        <v>4462</v>
      </c>
    </row>
    <row r="3829" spans="1:14" x14ac:dyDescent="0.35">
      <c r="A3829" t="s">
        <v>8308</v>
      </c>
      <c r="B3829" t="s">
        <v>182</v>
      </c>
      <c r="C3829" t="s">
        <v>1927</v>
      </c>
      <c r="D3829" t="s">
        <v>4476</v>
      </c>
      <c r="E3829" t="s">
        <v>4456</v>
      </c>
      <c r="F3829" s="3">
        <v>45714</v>
      </c>
      <c r="G3829" s="3" t="s">
        <v>537</v>
      </c>
      <c r="I3829">
        <v>4</v>
      </c>
      <c r="J3829" t="s">
        <v>4440</v>
      </c>
      <c r="K3829" t="s">
        <v>4457</v>
      </c>
      <c r="L3829" t="s">
        <v>4580</v>
      </c>
      <c r="M3829" t="s">
        <v>1625</v>
      </c>
    </row>
    <row r="3830" spans="1:14" x14ac:dyDescent="0.35">
      <c r="A3830" t="s">
        <v>8309</v>
      </c>
      <c r="B3830" t="s">
        <v>326</v>
      </c>
      <c r="C3830" t="s">
        <v>1904</v>
      </c>
      <c r="D3830" t="s">
        <v>4460</v>
      </c>
      <c r="E3830" t="s">
        <v>4473</v>
      </c>
      <c r="F3830" s="3">
        <v>45348</v>
      </c>
      <c r="G3830" s="3">
        <v>45348</v>
      </c>
      <c r="H3830">
        <v>3.1</v>
      </c>
      <c r="I3830">
        <v>8</v>
      </c>
      <c r="J3830" t="s">
        <v>4448</v>
      </c>
      <c r="K3830" t="s">
        <v>4441</v>
      </c>
      <c r="L3830" t="s">
        <v>4580</v>
      </c>
      <c r="M3830" t="s">
        <v>1625</v>
      </c>
    </row>
    <row r="3831" spans="1:14" x14ac:dyDescent="0.35">
      <c r="A3831" t="s">
        <v>8310</v>
      </c>
      <c r="B3831" t="s">
        <v>334</v>
      </c>
      <c r="C3831" t="s">
        <v>1904</v>
      </c>
      <c r="D3831" t="s">
        <v>4464</v>
      </c>
      <c r="E3831" t="s">
        <v>4444</v>
      </c>
      <c r="F3831" s="3">
        <v>44938</v>
      </c>
      <c r="G3831" s="3">
        <v>44938</v>
      </c>
      <c r="H3831">
        <v>11.5</v>
      </c>
      <c r="I3831">
        <v>24</v>
      </c>
      <c r="J3831" t="s">
        <v>4448</v>
      </c>
      <c r="K3831" t="s">
        <v>4441</v>
      </c>
      <c r="L3831" t="s">
        <v>4501</v>
      </c>
      <c r="M3831" t="s">
        <v>1625</v>
      </c>
    </row>
    <row r="3832" spans="1:14" x14ac:dyDescent="0.35">
      <c r="A3832" t="s">
        <v>8311</v>
      </c>
      <c r="B3832" t="s">
        <v>414</v>
      </c>
      <c r="C3832" t="s">
        <v>1915</v>
      </c>
      <c r="D3832" t="s">
        <v>4482</v>
      </c>
      <c r="E3832" t="s">
        <v>4439</v>
      </c>
      <c r="F3832" s="3">
        <v>45142</v>
      </c>
      <c r="G3832" s="3">
        <v>45145</v>
      </c>
      <c r="H3832">
        <v>91.1</v>
      </c>
      <c r="I3832">
        <v>48</v>
      </c>
      <c r="J3832" t="s">
        <v>4440</v>
      </c>
      <c r="K3832" t="s">
        <v>4441</v>
      </c>
      <c r="L3832" t="s">
        <v>4480</v>
      </c>
      <c r="M3832" t="s">
        <v>4462</v>
      </c>
      <c r="N3832">
        <v>4</v>
      </c>
    </row>
    <row r="3833" spans="1:14" x14ac:dyDescent="0.35">
      <c r="A3833" t="s">
        <v>8312</v>
      </c>
      <c r="B3833" t="s">
        <v>434</v>
      </c>
      <c r="C3833" t="s">
        <v>1927</v>
      </c>
      <c r="D3833" t="s">
        <v>4490</v>
      </c>
      <c r="E3833" t="s">
        <v>4439</v>
      </c>
      <c r="F3833" s="3">
        <v>45666</v>
      </c>
      <c r="G3833" s="3" t="s">
        <v>537</v>
      </c>
      <c r="I3833">
        <v>48</v>
      </c>
      <c r="J3833" t="s">
        <v>4448</v>
      </c>
      <c r="K3833" t="s">
        <v>4457</v>
      </c>
      <c r="L3833" t="s">
        <v>4470</v>
      </c>
      <c r="M3833" t="s">
        <v>4450</v>
      </c>
    </row>
    <row r="3834" spans="1:14" x14ac:dyDescent="0.35">
      <c r="A3834" t="s">
        <v>8313</v>
      </c>
      <c r="B3834" t="s">
        <v>372</v>
      </c>
      <c r="C3834" t="s">
        <v>1915</v>
      </c>
      <c r="D3834" t="s">
        <v>4482</v>
      </c>
      <c r="E3834" t="s">
        <v>4444</v>
      </c>
      <c r="F3834" s="3">
        <v>45026</v>
      </c>
      <c r="G3834" s="3" t="s">
        <v>537</v>
      </c>
      <c r="I3834">
        <v>24</v>
      </c>
      <c r="J3834" t="s">
        <v>4448</v>
      </c>
      <c r="K3834" t="s">
        <v>4457</v>
      </c>
      <c r="L3834" t="s">
        <v>4449</v>
      </c>
      <c r="M3834" t="s">
        <v>4462</v>
      </c>
    </row>
    <row r="3835" spans="1:14" x14ac:dyDescent="0.35">
      <c r="A3835" t="s">
        <v>8314</v>
      </c>
      <c r="B3835" t="s">
        <v>116</v>
      </c>
      <c r="C3835" t="s">
        <v>1883</v>
      </c>
      <c r="D3835" t="s">
        <v>4490</v>
      </c>
      <c r="E3835" t="s">
        <v>4439</v>
      </c>
      <c r="F3835" s="3">
        <v>45193</v>
      </c>
      <c r="G3835" s="3" t="s">
        <v>537</v>
      </c>
      <c r="I3835">
        <v>48</v>
      </c>
      <c r="J3835" t="s">
        <v>4440</v>
      </c>
      <c r="K3835" t="s">
        <v>4453</v>
      </c>
      <c r="L3835" t="s">
        <v>4465</v>
      </c>
      <c r="M3835" t="s">
        <v>4462</v>
      </c>
    </row>
    <row r="3836" spans="1:14" x14ac:dyDescent="0.35">
      <c r="A3836" t="s">
        <v>8315</v>
      </c>
      <c r="B3836" t="s">
        <v>234</v>
      </c>
      <c r="C3836" t="s">
        <v>1904</v>
      </c>
      <c r="D3836" t="s">
        <v>4479</v>
      </c>
      <c r="E3836" t="s">
        <v>4444</v>
      </c>
      <c r="F3836" s="3">
        <v>45299</v>
      </c>
      <c r="G3836" s="3">
        <v>45300</v>
      </c>
      <c r="H3836">
        <v>39.5</v>
      </c>
      <c r="I3836">
        <v>24</v>
      </c>
      <c r="J3836" t="s">
        <v>4440</v>
      </c>
      <c r="K3836" t="s">
        <v>4441</v>
      </c>
      <c r="L3836" t="s">
        <v>4445</v>
      </c>
      <c r="M3836" t="s">
        <v>4450</v>
      </c>
      <c r="N3836">
        <v>4</v>
      </c>
    </row>
    <row r="3837" spans="1:14" x14ac:dyDescent="0.35">
      <c r="A3837" t="s">
        <v>8316</v>
      </c>
      <c r="B3837" t="s">
        <v>186</v>
      </c>
      <c r="C3837" t="s">
        <v>1927</v>
      </c>
      <c r="D3837" t="s">
        <v>4485</v>
      </c>
      <c r="E3837" t="s">
        <v>4444</v>
      </c>
      <c r="F3837" s="3">
        <v>45734</v>
      </c>
      <c r="G3837" s="3">
        <v>45734</v>
      </c>
      <c r="H3837">
        <v>0.8</v>
      </c>
      <c r="I3837">
        <v>24</v>
      </c>
      <c r="J3837" t="s">
        <v>4448</v>
      </c>
      <c r="K3837" t="s">
        <v>4441</v>
      </c>
      <c r="L3837" t="s">
        <v>4492</v>
      </c>
      <c r="M3837" t="s">
        <v>4446</v>
      </c>
      <c r="N3837">
        <v>5</v>
      </c>
    </row>
    <row r="3838" spans="1:14" x14ac:dyDescent="0.35">
      <c r="A3838" t="s">
        <v>8317</v>
      </c>
      <c r="B3838" t="s">
        <v>86</v>
      </c>
      <c r="C3838" t="s">
        <v>1904</v>
      </c>
      <c r="D3838" t="s">
        <v>4472</v>
      </c>
      <c r="E3838" t="s">
        <v>4439</v>
      </c>
      <c r="F3838" s="3">
        <v>45541</v>
      </c>
      <c r="G3838" s="3" t="s">
        <v>537</v>
      </c>
      <c r="I3838">
        <v>48</v>
      </c>
      <c r="J3838" t="s">
        <v>4440</v>
      </c>
      <c r="K3838" t="s">
        <v>4474</v>
      </c>
      <c r="L3838" t="s">
        <v>4449</v>
      </c>
      <c r="M3838" t="s">
        <v>4450</v>
      </c>
    </row>
    <row r="3839" spans="1:14" x14ac:dyDescent="0.35">
      <c r="A3839" t="s">
        <v>8318</v>
      </c>
      <c r="B3839" t="s">
        <v>458</v>
      </c>
      <c r="C3839" t="s">
        <v>1927</v>
      </c>
      <c r="D3839" t="s">
        <v>4485</v>
      </c>
      <c r="E3839" t="s">
        <v>4473</v>
      </c>
      <c r="F3839" s="3">
        <v>45146</v>
      </c>
      <c r="G3839" s="3">
        <v>45146</v>
      </c>
      <c r="H3839">
        <v>9.6999999999999993</v>
      </c>
      <c r="I3839">
        <v>8</v>
      </c>
      <c r="J3839" t="s">
        <v>4440</v>
      </c>
      <c r="K3839" t="s">
        <v>4441</v>
      </c>
      <c r="L3839" t="s">
        <v>4488</v>
      </c>
      <c r="M3839" t="s">
        <v>1625</v>
      </c>
    </row>
    <row r="3840" spans="1:14" x14ac:dyDescent="0.35">
      <c r="A3840" t="s">
        <v>8319</v>
      </c>
      <c r="B3840" t="s">
        <v>370</v>
      </c>
      <c r="C3840" t="s">
        <v>1915</v>
      </c>
      <c r="D3840" t="s">
        <v>4438</v>
      </c>
      <c r="E3840" t="s">
        <v>4456</v>
      </c>
      <c r="F3840" s="3">
        <v>45653</v>
      </c>
      <c r="G3840" s="3" t="s">
        <v>537</v>
      </c>
      <c r="I3840">
        <v>4</v>
      </c>
      <c r="J3840" t="s">
        <v>4440</v>
      </c>
      <c r="K3840" t="s">
        <v>4453</v>
      </c>
      <c r="L3840" t="s">
        <v>4501</v>
      </c>
      <c r="M3840" t="s">
        <v>1625</v>
      </c>
    </row>
    <row r="3841" spans="1:14" x14ac:dyDescent="0.35">
      <c r="A3841" t="s">
        <v>8320</v>
      </c>
      <c r="B3841" t="s">
        <v>444</v>
      </c>
      <c r="C3841" t="s">
        <v>1904</v>
      </c>
      <c r="D3841" t="s">
        <v>4443</v>
      </c>
      <c r="E3841" t="s">
        <v>4444</v>
      </c>
      <c r="F3841" s="3">
        <v>45475</v>
      </c>
      <c r="G3841" s="3" t="s">
        <v>537</v>
      </c>
      <c r="I3841">
        <v>24</v>
      </c>
      <c r="J3841" t="s">
        <v>4440</v>
      </c>
      <c r="K3841" t="s">
        <v>4453</v>
      </c>
      <c r="L3841" t="s">
        <v>4580</v>
      </c>
      <c r="M3841" t="s">
        <v>4462</v>
      </c>
    </row>
    <row r="3842" spans="1:14" x14ac:dyDescent="0.35">
      <c r="A3842" t="s">
        <v>8321</v>
      </c>
      <c r="B3842" t="s">
        <v>434</v>
      </c>
      <c r="C3842" t="s">
        <v>1915</v>
      </c>
      <c r="D3842" t="s">
        <v>4469</v>
      </c>
      <c r="E3842" t="s">
        <v>4456</v>
      </c>
      <c r="F3842" s="3">
        <v>45448</v>
      </c>
      <c r="G3842" s="3" t="s">
        <v>537</v>
      </c>
      <c r="I3842">
        <v>4</v>
      </c>
      <c r="J3842" t="s">
        <v>4440</v>
      </c>
      <c r="K3842" t="s">
        <v>4474</v>
      </c>
      <c r="L3842" t="s">
        <v>4483</v>
      </c>
      <c r="M3842" t="s">
        <v>4462</v>
      </c>
    </row>
    <row r="3843" spans="1:14" x14ac:dyDescent="0.35">
      <c r="A3843" t="s">
        <v>8322</v>
      </c>
      <c r="B3843" t="s">
        <v>490</v>
      </c>
      <c r="C3843" t="s">
        <v>1915</v>
      </c>
      <c r="D3843" t="s">
        <v>4482</v>
      </c>
      <c r="E3843" t="s">
        <v>4473</v>
      </c>
      <c r="F3843" s="3">
        <v>45744</v>
      </c>
      <c r="G3843" s="3" t="s">
        <v>537</v>
      </c>
      <c r="I3843">
        <v>8</v>
      </c>
      <c r="J3843" t="s">
        <v>4440</v>
      </c>
      <c r="K3843" t="s">
        <v>4474</v>
      </c>
      <c r="L3843" t="s">
        <v>1907</v>
      </c>
      <c r="M3843" t="s">
        <v>4446</v>
      </c>
    </row>
    <row r="3844" spans="1:14" x14ac:dyDescent="0.35">
      <c r="A3844" t="s">
        <v>8323</v>
      </c>
      <c r="B3844" t="s">
        <v>240</v>
      </c>
      <c r="C3844" t="s">
        <v>1890</v>
      </c>
      <c r="D3844" t="s">
        <v>4460</v>
      </c>
      <c r="E3844" t="s">
        <v>4444</v>
      </c>
      <c r="F3844" s="3">
        <v>45574</v>
      </c>
      <c r="G3844" s="3">
        <v>45576</v>
      </c>
      <c r="H3844">
        <v>52.8</v>
      </c>
      <c r="I3844">
        <v>24</v>
      </c>
      <c r="J3844" t="s">
        <v>4440</v>
      </c>
      <c r="K3844" t="s">
        <v>4441</v>
      </c>
      <c r="L3844" t="s">
        <v>4445</v>
      </c>
      <c r="M3844" t="s">
        <v>4450</v>
      </c>
      <c r="N3844">
        <v>5</v>
      </c>
    </row>
    <row r="3845" spans="1:14" x14ac:dyDescent="0.35">
      <c r="A3845" t="s">
        <v>8324</v>
      </c>
      <c r="B3845" t="s">
        <v>18</v>
      </c>
      <c r="C3845" t="s">
        <v>1915</v>
      </c>
      <c r="D3845" t="s">
        <v>4464</v>
      </c>
      <c r="E3845" t="s">
        <v>4456</v>
      </c>
      <c r="F3845" s="3">
        <v>45069</v>
      </c>
      <c r="G3845" s="3" t="s">
        <v>537</v>
      </c>
      <c r="I3845">
        <v>4</v>
      </c>
      <c r="J3845" t="s">
        <v>4440</v>
      </c>
      <c r="K3845" t="s">
        <v>4457</v>
      </c>
      <c r="L3845" t="s">
        <v>4533</v>
      </c>
      <c r="M3845" t="s">
        <v>1625</v>
      </c>
    </row>
    <row r="3846" spans="1:14" x14ac:dyDescent="0.35">
      <c r="A3846" t="s">
        <v>8325</v>
      </c>
      <c r="B3846" t="s">
        <v>293</v>
      </c>
      <c r="C3846" t="s">
        <v>1890</v>
      </c>
      <c r="D3846" t="s">
        <v>4476</v>
      </c>
      <c r="E3846" t="s">
        <v>4473</v>
      </c>
      <c r="F3846" s="3">
        <v>45368</v>
      </c>
      <c r="G3846" s="3">
        <v>45368</v>
      </c>
      <c r="H3846">
        <v>14.4</v>
      </c>
      <c r="I3846">
        <v>8</v>
      </c>
      <c r="J3846" t="s">
        <v>4440</v>
      </c>
      <c r="K3846" t="s">
        <v>4441</v>
      </c>
      <c r="L3846" t="s">
        <v>4514</v>
      </c>
      <c r="M3846" t="s">
        <v>4462</v>
      </c>
      <c r="N3846">
        <v>5</v>
      </c>
    </row>
    <row r="3847" spans="1:14" x14ac:dyDescent="0.35">
      <c r="A3847" t="s">
        <v>8326</v>
      </c>
      <c r="B3847" t="s">
        <v>337</v>
      </c>
      <c r="C3847" t="s">
        <v>1904</v>
      </c>
      <c r="D3847" t="s">
        <v>4490</v>
      </c>
      <c r="E3847" t="s">
        <v>4473</v>
      </c>
      <c r="F3847" s="3">
        <v>45314</v>
      </c>
      <c r="G3847" s="3">
        <v>45314</v>
      </c>
      <c r="H3847">
        <v>9.9</v>
      </c>
      <c r="I3847">
        <v>8</v>
      </c>
      <c r="J3847" t="s">
        <v>4440</v>
      </c>
      <c r="K3847" t="s">
        <v>4441</v>
      </c>
      <c r="L3847" t="s">
        <v>4449</v>
      </c>
      <c r="M3847" t="s">
        <v>4450</v>
      </c>
    </row>
    <row r="3848" spans="1:14" x14ac:dyDescent="0.35">
      <c r="A3848" t="s">
        <v>8327</v>
      </c>
      <c r="B3848" t="s">
        <v>323</v>
      </c>
      <c r="C3848" t="s">
        <v>1915</v>
      </c>
      <c r="D3848" t="s">
        <v>4443</v>
      </c>
      <c r="E3848" t="s">
        <v>4473</v>
      </c>
      <c r="F3848" s="3">
        <v>45642</v>
      </c>
      <c r="G3848" s="3">
        <v>45642</v>
      </c>
      <c r="H3848">
        <v>19.600000000000001</v>
      </c>
      <c r="I3848">
        <v>8</v>
      </c>
      <c r="J3848" t="s">
        <v>4440</v>
      </c>
      <c r="K3848" t="s">
        <v>4441</v>
      </c>
      <c r="L3848" t="s">
        <v>4580</v>
      </c>
      <c r="M3848" t="s">
        <v>4462</v>
      </c>
      <c r="N3848">
        <v>4</v>
      </c>
    </row>
    <row r="3849" spans="1:14" x14ac:dyDescent="0.35">
      <c r="A3849" t="s">
        <v>8328</v>
      </c>
      <c r="B3849" t="s">
        <v>182</v>
      </c>
      <c r="C3849" t="s">
        <v>1904</v>
      </c>
      <c r="D3849" t="s">
        <v>4464</v>
      </c>
      <c r="E3849" t="s">
        <v>4444</v>
      </c>
      <c r="F3849" s="3">
        <v>45246</v>
      </c>
      <c r="G3849" s="3" t="s">
        <v>537</v>
      </c>
      <c r="I3849">
        <v>24</v>
      </c>
      <c r="J3849" t="s">
        <v>4440</v>
      </c>
      <c r="K3849" t="s">
        <v>4457</v>
      </c>
      <c r="L3849" t="s">
        <v>4492</v>
      </c>
      <c r="M3849" t="s">
        <v>4450</v>
      </c>
    </row>
    <row r="3850" spans="1:14" x14ac:dyDescent="0.35">
      <c r="A3850" t="s">
        <v>8329</v>
      </c>
      <c r="B3850" t="s">
        <v>307</v>
      </c>
      <c r="C3850" t="s">
        <v>1883</v>
      </c>
      <c r="D3850" t="s">
        <v>4464</v>
      </c>
      <c r="E3850" t="s">
        <v>4473</v>
      </c>
      <c r="F3850" s="3">
        <v>45357</v>
      </c>
      <c r="G3850" s="3">
        <v>45357</v>
      </c>
      <c r="H3850">
        <v>13.2</v>
      </c>
      <c r="I3850">
        <v>8</v>
      </c>
      <c r="J3850" t="s">
        <v>4440</v>
      </c>
      <c r="K3850" t="s">
        <v>4441</v>
      </c>
      <c r="L3850" t="s">
        <v>4492</v>
      </c>
      <c r="M3850" t="s">
        <v>1625</v>
      </c>
      <c r="N3850">
        <v>4</v>
      </c>
    </row>
    <row r="3851" spans="1:14" x14ac:dyDescent="0.35">
      <c r="A3851" t="s">
        <v>8330</v>
      </c>
      <c r="B3851" t="s">
        <v>431</v>
      </c>
      <c r="C3851" t="s">
        <v>1899</v>
      </c>
      <c r="D3851" t="s">
        <v>4479</v>
      </c>
      <c r="E3851" t="s">
        <v>4444</v>
      </c>
      <c r="F3851" s="3">
        <v>45083</v>
      </c>
      <c r="G3851" s="3">
        <v>45085</v>
      </c>
      <c r="H3851">
        <v>51</v>
      </c>
      <c r="I3851">
        <v>24</v>
      </c>
      <c r="J3851" t="s">
        <v>4440</v>
      </c>
      <c r="K3851" t="s">
        <v>4441</v>
      </c>
      <c r="L3851" t="s">
        <v>4580</v>
      </c>
      <c r="M3851" t="s">
        <v>4462</v>
      </c>
      <c r="N3851">
        <v>4</v>
      </c>
    </row>
    <row r="3852" spans="1:14" x14ac:dyDescent="0.35">
      <c r="A3852" t="s">
        <v>8331</v>
      </c>
      <c r="B3852" t="s">
        <v>258</v>
      </c>
      <c r="C3852" t="s">
        <v>1904</v>
      </c>
      <c r="D3852" t="s">
        <v>4482</v>
      </c>
      <c r="E3852" t="s">
        <v>4473</v>
      </c>
      <c r="F3852" s="3">
        <v>45521</v>
      </c>
      <c r="G3852" s="3">
        <v>45521</v>
      </c>
      <c r="H3852">
        <v>17.5</v>
      </c>
      <c r="I3852">
        <v>8</v>
      </c>
      <c r="J3852" t="s">
        <v>4440</v>
      </c>
      <c r="K3852" t="s">
        <v>4441</v>
      </c>
      <c r="L3852" t="s">
        <v>4488</v>
      </c>
      <c r="M3852" t="s">
        <v>4462</v>
      </c>
      <c r="N3852">
        <v>5</v>
      </c>
    </row>
    <row r="3853" spans="1:14" x14ac:dyDescent="0.35">
      <c r="A3853" t="s">
        <v>8332</v>
      </c>
      <c r="B3853" t="s">
        <v>498</v>
      </c>
      <c r="C3853" t="s">
        <v>1927</v>
      </c>
      <c r="D3853" t="s">
        <v>4452</v>
      </c>
      <c r="E3853" t="s">
        <v>4439</v>
      </c>
      <c r="F3853" s="3">
        <v>44990</v>
      </c>
      <c r="G3853" s="3">
        <v>44990</v>
      </c>
      <c r="H3853">
        <v>9.6999999999999993</v>
      </c>
      <c r="I3853">
        <v>48</v>
      </c>
      <c r="J3853" t="s">
        <v>4448</v>
      </c>
      <c r="K3853" t="s">
        <v>4441</v>
      </c>
      <c r="L3853" t="s">
        <v>4467</v>
      </c>
      <c r="M3853" t="s">
        <v>4450</v>
      </c>
      <c r="N3853">
        <v>1</v>
      </c>
    </row>
    <row r="3854" spans="1:14" x14ac:dyDescent="0.35">
      <c r="A3854" t="s">
        <v>8333</v>
      </c>
      <c r="B3854" t="s">
        <v>101</v>
      </c>
      <c r="C3854" t="s">
        <v>1890</v>
      </c>
      <c r="D3854" t="s">
        <v>4460</v>
      </c>
      <c r="E3854" t="s">
        <v>4439</v>
      </c>
      <c r="F3854" s="3">
        <v>45237</v>
      </c>
      <c r="G3854" s="3">
        <v>45238</v>
      </c>
      <c r="H3854">
        <v>26</v>
      </c>
      <c r="I3854">
        <v>48</v>
      </c>
      <c r="J3854" t="s">
        <v>4448</v>
      </c>
      <c r="K3854" t="s">
        <v>4441</v>
      </c>
      <c r="L3854" t="s">
        <v>4527</v>
      </c>
      <c r="M3854" t="s">
        <v>4446</v>
      </c>
      <c r="N3854">
        <v>4</v>
      </c>
    </row>
    <row r="3855" spans="1:14" x14ac:dyDescent="0.35">
      <c r="A3855" t="s">
        <v>8334</v>
      </c>
      <c r="B3855" t="s">
        <v>198</v>
      </c>
      <c r="C3855" t="s">
        <v>1904</v>
      </c>
      <c r="D3855" t="s">
        <v>4469</v>
      </c>
      <c r="E3855" t="s">
        <v>4439</v>
      </c>
      <c r="F3855" s="3">
        <v>45256</v>
      </c>
      <c r="G3855" s="3" t="s">
        <v>537</v>
      </c>
      <c r="I3855">
        <v>48</v>
      </c>
      <c r="J3855" t="s">
        <v>4440</v>
      </c>
      <c r="K3855" t="s">
        <v>4474</v>
      </c>
      <c r="L3855" t="s">
        <v>4488</v>
      </c>
      <c r="M3855" t="s">
        <v>4450</v>
      </c>
    </row>
    <row r="3856" spans="1:14" x14ac:dyDescent="0.35">
      <c r="A3856" t="s">
        <v>8335</v>
      </c>
      <c r="B3856" t="s">
        <v>287</v>
      </c>
      <c r="C3856" t="s">
        <v>1883</v>
      </c>
      <c r="D3856" t="s">
        <v>4443</v>
      </c>
      <c r="E3856" t="s">
        <v>4473</v>
      </c>
      <c r="F3856" s="3">
        <v>45384</v>
      </c>
      <c r="G3856" s="3" t="s">
        <v>537</v>
      </c>
      <c r="I3856">
        <v>8</v>
      </c>
      <c r="J3856" t="s">
        <v>4448</v>
      </c>
      <c r="K3856" t="s">
        <v>4457</v>
      </c>
      <c r="L3856" t="s">
        <v>4509</v>
      </c>
      <c r="M3856" t="s">
        <v>4462</v>
      </c>
    </row>
    <row r="3857" spans="1:14" x14ac:dyDescent="0.35">
      <c r="A3857" t="s">
        <v>8336</v>
      </c>
      <c r="B3857" t="s">
        <v>242</v>
      </c>
      <c r="C3857" t="s">
        <v>1890</v>
      </c>
      <c r="D3857" t="s">
        <v>4438</v>
      </c>
      <c r="E3857" t="s">
        <v>4444</v>
      </c>
      <c r="F3857" s="3">
        <v>45121</v>
      </c>
      <c r="G3857" s="3" t="s">
        <v>537</v>
      </c>
      <c r="I3857">
        <v>24</v>
      </c>
      <c r="J3857" t="s">
        <v>4440</v>
      </c>
      <c r="K3857" t="s">
        <v>4457</v>
      </c>
      <c r="L3857" t="s">
        <v>4445</v>
      </c>
      <c r="M3857" t="s">
        <v>4446</v>
      </c>
    </row>
    <row r="3858" spans="1:14" x14ac:dyDescent="0.35">
      <c r="A3858" t="s">
        <v>8337</v>
      </c>
      <c r="B3858" t="s">
        <v>483</v>
      </c>
      <c r="C3858" t="s">
        <v>1927</v>
      </c>
      <c r="D3858" t="s">
        <v>4490</v>
      </c>
      <c r="E3858" t="s">
        <v>4444</v>
      </c>
      <c r="F3858" s="3">
        <v>45690</v>
      </c>
      <c r="G3858" s="3">
        <v>45691</v>
      </c>
      <c r="H3858">
        <v>29.5</v>
      </c>
      <c r="I3858">
        <v>24</v>
      </c>
      <c r="J3858" t="s">
        <v>4440</v>
      </c>
      <c r="K3858" t="s">
        <v>4441</v>
      </c>
      <c r="L3858" t="s">
        <v>4449</v>
      </c>
      <c r="M3858" t="s">
        <v>4450</v>
      </c>
      <c r="N3858">
        <v>5</v>
      </c>
    </row>
    <row r="3859" spans="1:14" x14ac:dyDescent="0.35">
      <c r="A3859" t="s">
        <v>8338</v>
      </c>
      <c r="B3859" t="s">
        <v>88</v>
      </c>
      <c r="C3859" t="s">
        <v>1927</v>
      </c>
      <c r="D3859" t="s">
        <v>4464</v>
      </c>
      <c r="E3859" t="s">
        <v>4444</v>
      </c>
      <c r="F3859" s="3">
        <v>45419</v>
      </c>
      <c r="G3859" s="3">
        <v>45420</v>
      </c>
      <c r="H3859">
        <v>41.8</v>
      </c>
      <c r="I3859">
        <v>24</v>
      </c>
      <c r="J3859" t="s">
        <v>4440</v>
      </c>
      <c r="K3859" t="s">
        <v>4441</v>
      </c>
      <c r="L3859" t="s">
        <v>4512</v>
      </c>
      <c r="M3859" t="s">
        <v>4462</v>
      </c>
      <c r="N3859">
        <v>1</v>
      </c>
    </row>
    <row r="3860" spans="1:14" x14ac:dyDescent="0.35">
      <c r="A3860" t="s">
        <v>8339</v>
      </c>
      <c r="B3860" t="s">
        <v>357</v>
      </c>
      <c r="C3860" t="s">
        <v>1899</v>
      </c>
      <c r="D3860" t="s">
        <v>4443</v>
      </c>
      <c r="E3860" t="s">
        <v>4439</v>
      </c>
      <c r="F3860" s="3">
        <v>45247</v>
      </c>
      <c r="G3860" s="3" t="s">
        <v>537</v>
      </c>
      <c r="I3860">
        <v>48</v>
      </c>
      <c r="J3860" t="s">
        <v>4448</v>
      </c>
      <c r="K3860" t="s">
        <v>4474</v>
      </c>
      <c r="L3860" t="s">
        <v>4449</v>
      </c>
      <c r="M3860" t="s">
        <v>4450</v>
      </c>
    </row>
    <row r="3861" spans="1:14" x14ac:dyDescent="0.35">
      <c r="A3861" t="s">
        <v>8340</v>
      </c>
      <c r="B3861" t="s">
        <v>266</v>
      </c>
      <c r="C3861" t="s">
        <v>1927</v>
      </c>
      <c r="D3861" t="s">
        <v>4443</v>
      </c>
      <c r="E3861" t="s">
        <v>4473</v>
      </c>
      <c r="F3861" s="3">
        <v>44974</v>
      </c>
      <c r="G3861" s="3">
        <v>44974</v>
      </c>
      <c r="H3861">
        <v>12.3</v>
      </c>
      <c r="I3861">
        <v>8</v>
      </c>
      <c r="J3861" t="s">
        <v>4440</v>
      </c>
      <c r="K3861" t="s">
        <v>4441</v>
      </c>
      <c r="L3861" t="s">
        <v>4480</v>
      </c>
      <c r="M3861" t="s">
        <v>4446</v>
      </c>
      <c r="N3861">
        <v>4</v>
      </c>
    </row>
    <row r="3862" spans="1:14" x14ac:dyDescent="0.35">
      <c r="A3862" t="s">
        <v>8341</v>
      </c>
      <c r="B3862" t="s">
        <v>481</v>
      </c>
      <c r="C3862" t="s">
        <v>1899</v>
      </c>
      <c r="D3862" t="s">
        <v>4460</v>
      </c>
      <c r="E3862" t="s">
        <v>4444</v>
      </c>
      <c r="F3862" s="3">
        <v>45720</v>
      </c>
      <c r="G3862" s="3" t="s">
        <v>537</v>
      </c>
      <c r="I3862">
        <v>24</v>
      </c>
      <c r="J3862" t="s">
        <v>4440</v>
      </c>
      <c r="K3862" t="s">
        <v>4453</v>
      </c>
      <c r="L3862" t="s">
        <v>4465</v>
      </c>
      <c r="M3862" t="s">
        <v>4446</v>
      </c>
    </row>
    <row r="3863" spans="1:14" x14ac:dyDescent="0.35">
      <c r="A3863" t="s">
        <v>8342</v>
      </c>
      <c r="B3863" t="s">
        <v>473</v>
      </c>
      <c r="C3863" t="s">
        <v>1883</v>
      </c>
      <c r="D3863" t="s">
        <v>4482</v>
      </c>
      <c r="E3863" t="s">
        <v>4439</v>
      </c>
      <c r="F3863" s="3">
        <v>45330</v>
      </c>
      <c r="G3863" s="3" t="s">
        <v>537</v>
      </c>
      <c r="I3863">
        <v>48</v>
      </c>
      <c r="J3863" t="s">
        <v>4448</v>
      </c>
      <c r="K3863" t="s">
        <v>4457</v>
      </c>
      <c r="L3863" t="s">
        <v>4449</v>
      </c>
      <c r="M3863" t="s">
        <v>1625</v>
      </c>
    </row>
    <row r="3864" spans="1:14" x14ac:dyDescent="0.35">
      <c r="A3864" t="s">
        <v>8343</v>
      </c>
      <c r="B3864" t="s">
        <v>66</v>
      </c>
      <c r="C3864" t="s">
        <v>1904</v>
      </c>
      <c r="D3864" t="s">
        <v>4469</v>
      </c>
      <c r="E3864" t="s">
        <v>4473</v>
      </c>
      <c r="F3864" s="3">
        <v>45253</v>
      </c>
      <c r="G3864" s="3" t="s">
        <v>537</v>
      </c>
      <c r="I3864">
        <v>8</v>
      </c>
      <c r="J3864" t="s">
        <v>4440</v>
      </c>
      <c r="K3864" t="s">
        <v>4453</v>
      </c>
      <c r="L3864" t="s">
        <v>4461</v>
      </c>
      <c r="M3864" t="s">
        <v>4462</v>
      </c>
    </row>
    <row r="3865" spans="1:14" x14ac:dyDescent="0.35">
      <c r="A3865" t="s">
        <v>8344</v>
      </c>
      <c r="B3865" t="s">
        <v>387</v>
      </c>
      <c r="C3865" t="s">
        <v>1904</v>
      </c>
      <c r="D3865" t="s">
        <v>4460</v>
      </c>
      <c r="E3865" t="s">
        <v>4473</v>
      </c>
      <c r="F3865" s="3">
        <v>45411</v>
      </c>
      <c r="G3865" s="3" t="s">
        <v>537</v>
      </c>
      <c r="I3865">
        <v>8</v>
      </c>
      <c r="J3865" t="s">
        <v>4440</v>
      </c>
      <c r="K3865" t="s">
        <v>4474</v>
      </c>
      <c r="L3865" t="s">
        <v>4449</v>
      </c>
      <c r="M3865" t="s">
        <v>4450</v>
      </c>
    </row>
    <row r="3866" spans="1:14" x14ac:dyDescent="0.35">
      <c r="A3866" t="s">
        <v>8345</v>
      </c>
      <c r="B3866" t="s">
        <v>388</v>
      </c>
      <c r="C3866" t="s">
        <v>1904</v>
      </c>
      <c r="D3866" t="s">
        <v>4469</v>
      </c>
      <c r="E3866" t="s">
        <v>4444</v>
      </c>
      <c r="F3866" s="3">
        <v>45690</v>
      </c>
      <c r="G3866" s="3">
        <v>45690</v>
      </c>
      <c r="H3866">
        <v>6.2</v>
      </c>
      <c r="I3866">
        <v>24</v>
      </c>
      <c r="J3866" t="s">
        <v>4448</v>
      </c>
      <c r="K3866" t="s">
        <v>4441</v>
      </c>
      <c r="L3866" t="s">
        <v>4488</v>
      </c>
      <c r="M3866" t="s">
        <v>1625</v>
      </c>
      <c r="N3866">
        <v>4</v>
      </c>
    </row>
    <row r="3867" spans="1:14" x14ac:dyDescent="0.35">
      <c r="A3867" t="s">
        <v>8346</v>
      </c>
      <c r="B3867" t="s">
        <v>371</v>
      </c>
      <c r="C3867" t="s">
        <v>1915</v>
      </c>
      <c r="D3867" t="s">
        <v>4438</v>
      </c>
      <c r="E3867" t="s">
        <v>4473</v>
      </c>
      <c r="F3867" s="3">
        <v>45234</v>
      </c>
      <c r="G3867" s="3" t="s">
        <v>537</v>
      </c>
      <c r="I3867">
        <v>8</v>
      </c>
      <c r="J3867" t="s">
        <v>4448</v>
      </c>
      <c r="K3867" t="s">
        <v>4474</v>
      </c>
      <c r="L3867" t="s">
        <v>4470</v>
      </c>
      <c r="M3867" t="s">
        <v>4446</v>
      </c>
    </row>
    <row r="3868" spans="1:14" x14ac:dyDescent="0.35">
      <c r="A3868" t="s">
        <v>8347</v>
      </c>
      <c r="B3868" t="s">
        <v>473</v>
      </c>
      <c r="C3868" t="s">
        <v>1904</v>
      </c>
      <c r="D3868" t="s">
        <v>4490</v>
      </c>
      <c r="E3868" t="s">
        <v>4473</v>
      </c>
      <c r="F3868" s="3">
        <v>45053</v>
      </c>
      <c r="G3868" s="3">
        <v>45053</v>
      </c>
      <c r="H3868">
        <v>17.5</v>
      </c>
      <c r="I3868">
        <v>8</v>
      </c>
      <c r="J3868" t="s">
        <v>4440</v>
      </c>
      <c r="K3868" t="s">
        <v>4441</v>
      </c>
      <c r="L3868" t="s">
        <v>4449</v>
      </c>
      <c r="M3868" t="s">
        <v>4446</v>
      </c>
      <c r="N3868">
        <v>4</v>
      </c>
    </row>
    <row r="3869" spans="1:14" x14ac:dyDescent="0.35">
      <c r="A3869" t="s">
        <v>8348</v>
      </c>
      <c r="B3869" t="s">
        <v>118</v>
      </c>
      <c r="C3869" t="s">
        <v>1899</v>
      </c>
      <c r="D3869" t="s">
        <v>4443</v>
      </c>
      <c r="E3869" t="s">
        <v>4439</v>
      </c>
      <c r="F3869" s="3">
        <v>45372</v>
      </c>
      <c r="G3869" s="3" t="s">
        <v>537</v>
      </c>
      <c r="I3869">
        <v>48</v>
      </c>
      <c r="J3869" t="s">
        <v>4440</v>
      </c>
      <c r="K3869" t="s">
        <v>4457</v>
      </c>
      <c r="L3869" t="s">
        <v>4449</v>
      </c>
      <c r="M3869" t="s">
        <v>1625</v>
      </c>
    </row>
    <row r="3870" spans="1:14" x14ac:dyDescent="0.35">
      <c r="A3870" t="s">
        <v>8349</v>
      </c>
      <c r="B3870" t="s">
        <v>432</v>
      </c>
      <c r="C3870" t="s">
        <v>1899</v>
      </c>
      <c r="D3870" t="s">
        <v>4482</v>
      </c>
      <c r="E3870" t="s">
        <v>4444</v>
      </c>
      <c r="F3870" s="3">
        <v>45649</v>
      </c>
      <c r="G3870" s="3">
        <v>45650</v>
      </c>
      <c r="H3870">
        <v>28.2</v>
      </c>
      <c r="I3870">
        <v>24</v>
      </c>
      <c r="J3870" t="s">
        <v>4440</v>
      </c>
      <c r="K3870" t="s">
        <v>4441</v>
      </c>
      <c r="L3870" t="s">
        <v>4488</v>
      </c>
      <c r="M3870" t="s">
        <v>4462</v>
      </c>
      <c r="N3870">
        <v>3</v>
      </c>
    </row>
    <row r="3871" spans="1:14" x14ac:dyDescent="0.35">
      <c r="A3871" t="s">
        <v>8350</v>
      </c>
      <c r="B3871" t="s">
        <v>57</v>
      </c>
      <c r="C3871" t="s">
        <v>1915</v>
      </c>
      <c r="D3871" t="s">
        <v>4469</v>
      </c>
      <c r="E3871" t="s">
        <v>4473</v>
      </c>
      <c r="F3871" s="3">
        <v>45478</v>
      </c>
      <c r="G3871" s="3">
        <v>45478</v>
      </c>
      <c r="H3871">
        <v>6.1</v>
      </c>
      <c r="I3871">
        <v>8</v>
      </c>
      <c r="J3871" t="s">
        <v>4448</v>
      </c>
      <c r="K3871" t="s">
        <v>4441</v>
      </c>
      <c r="L3871" t="s">
        <v>4488</v>
      </c>
      <c r="M3871" t="s">
        <v>4462</v>
      </c>
      <c r="N3871">
        <v>3</v>
      </c>
    </row>
    <row r="3872" spans="1:14" x14ac:dyDescent="0.35">
      <c r="A3872" t="s">
        <v>8351</v>
      </c>
      <c r="B3872" t="s">
        <v>118</v>
      </c>
      <c r="C3872" t="s">
        <v>1904</v>
      </c>
      <c r="D3872" t="s">
        <v>4482</v>
      </c>
      <c r="E3872" t="s">
        <v>4444</v>
      </c>
      <c r="F3872" s="3">
        <v>45048</v>
      </c>
      <c r="G3872" s="3" t="s">
        <v>537</v>
      </c>
      <c r="I3872">
        <v>24</v>
      </c>
      <c r="J3872" t="s">
        <v>4448</v>
      </c>
      <c r="K3872" t="s">
        <v>4474</v>
      </c>
      <c r="L3872" t="s">
        <v>4465</v>
      </c>
      <c r="M3872" t="s">
        <v>1625</v>
      </c>
    </row>
    <row r="3873" spans="1:14" x14ac:dyDescent="0.35">
      <c r="A3873" t="s">
        <v>8352</v>
      </c>
      <c r="B3873" t="s">
        <v>372</v>
      </c>
      <c r="C3873" t="s">
        <v>1915</v>
      </c>
      <c r="D3873" t="s">
        <v>4490</v>
      </c>
      <c r="E3873" t="s">
        <v>4444</v>
      </c>
      <c r="F3873" s="3">
        <v>45397</v>
      </c>
      <c r="G3873" s="3" t="s">
        <v>537</v>
      </c>
      <c r="I3873">
        <v>24</v>
      </c>
      <c r="J3873" t="s">
        <v>4448</v>
      </c>
      <c r="K3873" t="s">
        <v>4453</v>
      </c>
      <c r="L3873" t="s">
        <v>4501</v>
      </c>
      <c r="M3873" t="s">
        <v>4446</v>
      </c>
    </row>
    <row r="3874" spans="1:14" x14ac:dyDescent="0.35">
      <c r="A3874" t="s">
        <v>8353</v>
      </c>
      <c r="B3874" t="s">
        <v>436</v>
      </c>
      <c r="C3874" t="s">
        <v>1904</v>
      </c>
      <c r="D3874" t="s">
        <v>4479</v>
      </c>
      <c r="E3874" t="s">
        <v>4439</v>
      </c>
      <c r="F3874" s="3">
        <v>44999</v>
      </c>
      <c r="G3874" s="3">
        <v>44999</v>
      </c>
      <c r="H3874">
        <v>7.7</v>
      </c>
      <c r="I3874">
        <v>48</v>
      </c>
      <c r="J3874" t="s">
        <v>4448</v>
      </c>
      <c r="K3874" t="s">
        <v>4441</v>
      </c>
      <c r="L3874" t="s">
        <v>4458</v>
      </c>
      <c r="M3874" t="s">
        <v>1625</v>
      </c>
      <c r="N3874">
        <v>2</v>
      </c>
    </row>
    <row r="3875" spans="1:14" x14ac:dyDescent="0.35">
      <c r="A3875" t="s">
        <v>8354</v>
      </c>
      <c r="B3875" t="s">
        <v>300</v>
      </c>
      <c r="C3875" t="s">
        <v>1890</v>
      </c>
      <c r="D3875" t="s">
        <v>4438</v>
      </c>
      <c r="E3875" t="s">
        <v>4444</v>
      </c>
      <c r="F3875" s="3">
        <v>44945</v>
      </c>
      <c r="G3875" s="3">
        <v>44945</v>
      </c>
      <c r="H3875">
        <v>2.6</v>
      </c>
      <c r="I3875">
        <v>24</v>
      </c>
      <c r="J3875" t="s">
        <v>4448</v>
      </c>
      <c r="K3875" t="s">
        <v>4441</v>
      </c>
      <c r="L3875" t="s">
        <v>4533</v>
      </c>
      <c r="M3875" t="s">
        <v>4462</v>
      </c>
      <c r="N3875">
        <v>2</v>
      </c>
    </row>
    <row r="3876" spans="1:14" x14ac:dyDescent="0.35">
      <c r="A3876" t="s">
        <v>8355</v>
      </c>
      <c r="B3876" t="s">
        <v>309</v>
      </c>
      <c r="C3876" t="s">
        <v>1883</v>
      </c>
      <c r="D3876" t="s">
        <v>4476</v>
      </c>
      <c r="E3876" t="s">
        <v>4473</v>
      </c>
      <c r="F3876" s="3">
        <v>45213</v>
      </c>
      <c r="G3876" s="3">
        <v>45213</v>
      </c>
      <c r="H3876">
        <v>13.8</v>
      </c>
      <c r="I3876">
        <v>8</v>
      </c>
      <c r="J3876" t="s">
        <v>4440</v>
      </c>
      <c r="K3876" t="s">
        <v>4441</v>
      </c>
      <c r="L3876" t="s">
        <v>4483</v>
      </c>
      <c r="M3876" t="s">
        <v>4462</v>
      </c>
      <c r="N3876">
        <v>4</v>
      </c>
    </row>
    <row r="3877" spans="1:14" x14ac:dyDescent="0.35">
      <c r="A3877" t="s">
        <v>8356</v>
      </c>
      <c r="B3877" t="s">
        <v>353</v>
      </c>
      <c r="C3877" t="s">
        <v>1904</v>
      </c>
      <c r="D3877" t="s">
        <v>4482</v>
      </c>
      <c r="E3877" t="s">
        <v>4444</v>
      </c>
      <c r="F3877" s="3">
        <v>45297</v>
      </c>
      <c r="G3877" s="3">
        <v>45298</v>
      </c>
      <c r="H3877">
        <v>36.799999999999997</v>
      </c>
      <c r="I3877">
        <v>24</v>
      </c>
      <c r="J3877" t="s">
        <v>4440</v>
      </c>
      <c r="K3877" t="s">
        <v>4441</v>
      </c>
      <c r="L3877" t="s">
        <v>4449</v>
      </c>
      <c r="M3877" t="s">
        <v>4462</v>
      </c>
      <c r="N3877">
        <v>3</v>
      </c>
    </row>
    <row r="3878" spans="1:14" x14ac:dyDescent="0.35">
      <c r="A3878" t="s">
        <v>8357</v>
      </c>
      <c r="B3878" t="s">
        <v>292</v>
      </c>
      <c r="C3878" t="s">
        <v>1883</v>
      </c>
      <c r="D3878" t="s">
        <v>4469</v>
      </c>
      <c r="E3878" t="s">
        <v>4444</v>
      </c>
      <c r="F3878" s="3">
        <v>45000</v>
      </c>
      <c r="G3878" s="3">
        <v>45002</v>
      </c>
      <c r="H3878">
        <v>52.2</v>
      </c>
      <c r="I3878">
        <v>24</v>
      </c>
      <c r="J3878" t="s">
        <v>4440</v>
      </c>
      <c r="K3878" t="s">
        <v>4441</v>
      </c>
      <c r="L3878" t="s">
        <v>4470</v>
      </c>
      <c r="M3878" t="s">
        <v>4446</v>
      </c>
      <c r="N3878">
        <v>4</v>
      </c>
    </row>
    <row r="3879" spans="1:14" x14ac:dyDescent="0.35">
      <c r="A3879" t="s">
        <v>8358</v>
      </c>
      <c r="B3879" t="s">
        <v>424</v>
      </c>
      <c r="C3879" t="s">
        <v>1927</v>
      </c>
      <c r="D3879" t="s">
        <v>4443</v>
      </c>
      <c r="E3879" t="s">
        <v>4439</v>
      </c>
      <c r="F3879" s="3">
        <v>45414</v>
      </c>
      <c r="G3879" s="3" t="s">
        <v>537</v>
      </c>
      <c r="I3879">
        <v>48</v>
      </c>
      <c r="J3879" t="s">
        <v>4440</v>
      </c>
      <c r="K3879" t="s">
        <v>4457</v>
      </c>
      <c r="L3879" t="s">
        <v>4501</v>
      </c>
      <c r="M3879" t="s">
        <v>4450</v>
      </c>
    </row>
    <row r="3880" spans="1:14" x14ac:dyDescent="0.35">
      <c r="A3880" t="s">
        <v>8359</v>
      </c>
      <c r="B3880" t="s">
        <v>410</v>
      </c>
      <c r="C3880" t="s">
        <v>1890</v>
      </c>
      <c r="D3880" t="s">
        <v>4482</v>
      </c>
      <c r="E3880" t="s">
        <v>4444</v>
      </c>
      <c r="F3880" s="3">
        <v>45082</v>
      </c>
      <c r="G3880" s="3">
        <v>45084</v>
      </c>
      <c r="H3880">
        <v>50</v>
      </c>
      <c r="I3880">
        <v>24</v>
      </c>
      <c r="J3880" t="s">
        <v>4440</v>
      </c>
      <c r="K3880" t="s">
        <v>4441</v>
      </c>
      <c r="L3880" t="s">
        <v>4509</v>
      </c>
      <c r="M3880" t="s">
        <v>4450</v>
      </c>
      <c r="N3880">
        <v>5</v>
      </c>
    </row>
    <row r="3881" spans="1:14" x14ac:dyDescent="0.35">
      <c r="A3881" t="s">
        <v>8360</v>
      </c>
      <c r="B3881" t="s">
        <v>57</v>
      </c>
      <c r="C3881" t="s">
        <v>1883</v>
      </c>
      <c r="D3881" t="s">
        <v>4476</v>
      </c>
      <c r="E3881" t="s">
        <v>4444</v>
      </c>
      <c r="F3881" s="3">
        <v>45663</v>
      </c>
      <c r="G3881" s="3">
        <v>45665</v>
      </c>
      <c r="H3881">
        <v>50.8</v>
      </c>
      <c r="I3881">
        <v>24</v>
      </c>
      <c r="J3881" t="s">
        <v>4440</v>
      </c>
      <c r="K3881" t="s">
        <v>4441</v>
      </c>
      <c r="L3881" t="s">
        <v>4480</v>
      </c>
      <c r="M3881" t="s">
        <v>4462</v>
      </c>
      <c r="N3881">
        <v>4</v>
      </c>
    </row>
    <row r="3882" spans="1:14" x14ac:dyDescent="0.35">
      <c r="A3882" t="s">
        <v>8361</v>
      </c>
      <c r="B3882" t="s">
        <v>424</v>
      </c>
      <c r="C3882" t="s">
        <v>1915</v>
      </c>
      <c r="D3882" t="s">
        <v>4438</v>
      </c>
      <c r="E3882" t="s">
        <v>4444</v>
      </c>
      <c r="F3882" s="3">
        <v>45185</v>
      </c>
      <c r="G3882" s="3" t="s">
        <v>537</v>
      </c>
      <c r="I3882">
        <v>24</v>
      </c>
      <c r="J3882" t="s">
        <v>4448</v>
      </c>
      <c r="K3882" t="s">
        <v>4453</v>
      </c>
      <c r="L3882" t="s">
        <v>4527</v>
      </c>
      <c r="M3882" t="s">
        <v>4462</v>
      </c>
    </row>
    <row r="3883" spans="1:14" x14ac:dyDescent="0.35">
      <c r="A3883" t="s">
        <v>8362</v>
      </c>
      <c r="B3883" t="s">
        <v>149</v>
      </c>
      <c r="C3883" t="s">
        <v>1899</v>
      </c>
      <c r="D3883" t="s">
        <v>4469</v>
      </c>
      <c r="E3883" t="s">
        <v>4439</v>
      </c>
      <c r="F3883" s="3">
        <v>45003</v>
      </c>
      <c r="G3883" s="3">
        <v>45005</v>
      </c>
      <c r="H3883">
        <v>55.9</v>
      </c>
      <c r="I3883">
        <v>48</v>
      </c>
      <c r="J3883" t="s">
        <v>4440</v>
      </c>
      <c r="K3883" t="s">
        <v>4441</v>
      </c>
      <c r="L3883" t="s">
        <v>4512</v>
      </c>
      <c r="M3883" t="s">
        <v>4462</v>
      </c>
      <c r="N3883">
        <v>4</v>
      </c>
    </row>
    <row r="3884" spans="1:14" x14ac:dyDescent="0.35">
      <c r="A3884" t="s">
        <v>8363</v>
      </c>
      <c r="B3884" t="s">
        <v>473</v>
      </c>
      <c r="C3884" t="s">
        <v>1915</v>
      </c>
      <c r="D3884" t="s">
        <v>4438</v>
      </c>
      <c r="E3884" t="s">
        <v>4444</v>
      </c>
      <c r="F3884" s="3">
        <v>45141</v>
      </c>
      <c r="G3884" s="3" t="s">
        <v>537</v>
      </c>
      <c r="I3884">
        <v>24</v>
      </c>
      <c r="J3884" t="s">
        <v>4440</v>
      </c>
      <c r="K3884" t="s">
        <v>4457</v>
      </c>
      <c r="L3884" t="s">
        <v>1907</v>
      </c>
      <c r="M3884" t="s">
        <v>4462</v>
      </c>
    </row>
    <row r="3885" spans="1:14" x14ac:dyDescent="0.35">
      <c r="A3885" t="s">
        <v>8364</v>
      </c>
      <c r="B3885" t="s">
        <v>319</v>
      </c>
      <c r="C3885" t="s">
        <v>1899</v>
      </c>
      <c r="D3885" t="s">
        <v>4476</v>
      </c>
      <c r="E3885" t="s">
        <v>4473</v>
      </c>
      <c r="F3885" s="3">
        <v>45240</v>
      </c>
      <c r="G3885" s="3" t="s">
        <v>537</v>
      </c>
      <c r="I3885">
        <v>8</v>
      </c>
      <c r="J3885" t="s">
        <v>4448</v>
      </c>
      <c r="K3885" t="s">
        <v>4453</v>
      </c>
      <c r="L3885" t="s">
        <v>4454</v>
      </c>
      <c r="M3885" t="s">
        <v>4450</v>
      </c>
    </row>
    <row r="3886" spans="1:14" x14ac:dyDescent="0.35">
      <c r="A3886" t="s">
        <v>8365</v>
      </c>
      <c r="B3886" t="s">
        <v>382</v>
      </c>
      <c r="C3886" t="s">
        <v>1915</v>
      </c>
      <c r="D3886" t="s">
        <v>4469</v>
      </c>
      <c r="E3886" t="s">
        <v>4473</v>
      </c>
      <c r="F3886" s="3">
        <v>45158</v>
      </c>
      <c r="G3886" s="3">
        <v>45158</v>
      </c>
      <c r="H3886">
        <v>6.9</v>
      </c>
      <c r="I3886">
        <v>8</v>
      </c>
      <c r="J3886" t="s">
        <v>4448</v>
      </c>
      <c r="K3886" t="s">
        <v>4441</v>
      </c>
      <c r="L3886" t="s">
        <v>4580</v>
      </c>
      <c r="M3886" t="s">
        <v>1625</v>
      </c>
      <c r="N3886">
        <v>4</v>
      </c>
    </row>
    <row r="3887" spans="1:14" x14ac:dyDescent="0.35">
      <c r="A3887" t="s">
        <v>8366</v>
      </c>
      <c r="B3887" t="s">
        <v>147</v>
      </c>
      <c r="C3887" t="s">
        <v>1927</v>
      </c>
      <c r="D3887" t="s">
        <v>4464</v>
      </c>
      <c r="E3887" t="s">
        <v>4444</v>
      </c>
      <c r="F3887" s="3">
        <v>45729</v>
      </c>
      <c r="G3887" s="3" t="s">
        <v>537</v>
      </c>
      <c r="I3887">
        <v>24</v>
      </c>
      <c r="J3887" t="s">
        <v>4448</v>
      </c>
      <c r="K3887" t="s">
        <v>4453</v>
      </c>
      <c r="L3887" t="s">
        <v>1907</v>
      </c>
      <c r="M3887" t="s">
        <v>4450</v>
      </c>
    </row>
    <row r="3888" spans="1:14" x14ac:dyDescent="0.35">
      <c r="A3888" t="s">
        <v>8367</v>
      </c>
      <c r="B3888" t="s">
        <v>364</v>
      </c>
      <c r="C3888" t="s">
        <v>1915</v>
      </c>
      <c r="D3888" t="s">
        <v>4482</v>
      </c>
      <c r="E3888" t="s">
        <v>4473</v>
      </c>
      <c r="F3888" s="3">
        <v>45702</v>
      </c>
      <c r="G3888" s="3">
        <v>45702</v>
      </c>
      <c r="H3888">
        <v>4.2</v>
      </c>
      <c r="I3888">
        <v>8</v>
      </c>
      <c r="J3888" t="s">
        <v>4448</v>
      </c>
      <c r="K3888" t="s">
        <v>4441</v>
      </c>
      <c r="L3888" t="s">
        <v>4470</v>
      </c>
      <c r="M3888" t="s">
        <v>4446</v>
      </c>
    </row>
    <row r="3889" spans="1:14" x14ac:dyDescent="0.35">
      <c r="A3889" t="s">
        <v>8368</v>
      </c>
      <c r="B3889" t="s">
        <v>74</v>
      </c>
      <c r="C3889" t="s">
        <v>1899</v>
      </c>
      <c r="D3889" t="s">
        <v>4479</v>
      </c>
      <c r="E3889" t="s">
        <v>4473</v>
      </c>
      <c r="F3889" s="3">
        <v>45017</v>
      </c>
      <c r="G3889" s="3" t="s">
        <v>537</v>
      </c>
      <c r="I3889">
        <v>8</v>
      </c>
      <c r="J3889" t="s">
        <v>4440</v>
      </c>
      <c r="K3889" t="s">
        <v>4474</v>
      </c>
      <c r="L3889" t="s">
        <v>4533</v>
      </c>
      <c r="M3889" t="s">
        <v>1625</v>
      </c>
    </row>
    <row r="3890" spans="1:14" x14ac:dyDescent="0.35">
      <c r="A3890" t="s">
        <v>8369</v>
      </c>
      <c r="B3890" t="s">
        <v>486</v>
      </c>
      <c r="C3890" t="s">
        <v>1899</v>
      </c>
      <c r="D3890" t="s">
        <v>4469</v>
      </c>
      <c r="E3890" t="s">
        <v>4444</v>
      </c>
      <c r="F3890" s="3">
        <v>45530</v>
      </c>
      <c r="G3890" s="3">
        <v>45532</v>
      </c>
      <c r="H3890">
        <v>56.8</v>
      </c>
      <c r="I3890">
        <v>24</v>
      </c>
      <c r="J3890" t="s">
        <v>4440</v>
      </c>
      <c r="K3890" t="s">
        <v>4441</v>
      </c>
      <c r="L3890" t="s">
        <v>4470</v>
      </c>
      <c r="M3890" t="s">
        <v>4446</v>
      </c>
      <c r="N3890">
        <v>5</v>
      </c>
    </row>
    <row r="3891" spans="1:14" x14ac:dyDescent="0.35">
      <c r="A3891" t="s">
        <v>8370</v>
      </c>
      <c r="B3891" t="s">
        <v>419</v>
      </c>
      <c r="C3891" t="s">
        <v>1927</v>
      </c>
      <c r="D3891" t="s">
        <v>4485</v>
      </c>
      <c r="E3891" t="s">
        <v>4444</v>
      </c>
      <c r="F3891" s="3">
        <v>45250</v>
      </c>
      <c r="G3891" s="3">
        <v>45250</v>
      </c>
      <c r="H3891">
        <v>22.2</v>
      </c>
      <c r="I3891">
        <v>24</v>
      </c>
      <c r="J3891" t="s">
        <v>4448</v>
      </c>
      <c r="K3891" t="s">
        <v>4441</v>
      </c>
      <c r="L3891" t="s">
        <v>4492</v>
      </c>
      <c r="M3891" t="s">
        <v>4462</v>
      </c>
    </row>
    <row r="3892" spans="1:14" x14ac:dyDescent="0.35">
      <c r="A3892" t="s">
        <v>8371</v>
      </c>
      <c r="B3892" t="s">
        <v>219</v>
      </c>
      <c r="C3892" t="s">
        <v>1904</v>
      </c>
      <c r="D3892" t="s">
        <v>4464</v>
      </c>
      <c r="E3892" t="s">
        <v>4456</v>
      </c>
      <c r="F3892" s="3">
        <v>45455</v>
      </c>
      <c r="G3892" s="3">
        <v>45455</v>
      </c>
      <c r="H3892">
        <v>3.1</v>
      </c>
      <c r="I3892">
        <v>4</v>
      </c>
      <c r="J3892" t="s">
        <v>4448</v>
      </c>
      <c r="K3892" t="s">
        <v>4441</v>
      </c>
      <c r="L3892" t="s">
        <v>4533</v>
      </c>
      <c r="M3892" t="s">
        <v>4462</v>
      </c>
    </row>
    <row r="3893" spans="1:14" x14ac:dyDescent="0.35">
      <c r="A3893" t="s">
        <v>8372</v>
      </c>
      <c r="B3893" t="s">
        <v>275</v>
      </c>
      <c r="C3893" t="s">
        <v>1890</v>
      </c>
      <c r="D3893" t="s">
        <v>4479</v>
      </c>
      <c r="E3893" t="s">
        <v>4473</v>
      </c>
      <c r="F3893" s="3">
        <v>45071</v>
      </c>
      <c r="G3893" s="3" t="s">
        <v>537</v>
      </c>
      <c r="I3893">
        <v>8</v>
      </c>
      <c r="J3893" t="s">
        <v>4440</v>
      </c>
      <c r="K3893" t="s">
        <v>4457</v>
      </c>
      <c r="L3893" t="s">
        <v>4449</v>
      </c>
      <c r="M3893" t="s">
        <v>4462</v>
      </c>
    </row>
    <row r="3894" spans="1:14" x14ac:dyDescent="0.35">
      <c r="A3894" t="s">
        <v>8373</v>
      </c>
      <c r="B3894" t="s">
        <v>495</v>
      </c>
      <c r="C3894" t="s">
        <v>1927</v>
      </c>
      <c r="D3894" t="s">
        <v>4452</v>
      </c>
      <c r="E3894" t="s">
        <v>4439</v>
      </c>
      <c r="F3894" s="3">
        <v>45421</v>
      </c>
      <c r="G3894" s="3" t="s">
        <v>537</v>
      </c>
      <c r="I3894">
        <v>48</v>
      </c>
      <c r="J3894" t="s">
        <v>4440</v>
      </c>
      <c r="K3894" t="s">
        <v>4453</v>
      </c>
      <c r="L3894" t="s">
        <v>4580</v>
      </c>
      <c r="M3894" t="s">
        <v>4462</v>
      </c>
    </row>
    <row r="3895" spans="1:14" x14ac:dyDescent="0.35">
      <c r="A3895" t="s">
        <v>8374</v>
      </c>
      <c r="B3895" t="s">
        <v>388</v>
      </c>
      <c r="C3895" t="s">
        <v>1890</v>
      </c>
      <c r="D3895" t="s">
        <v>4476</v>
      </c>
      <c r="E3895" t="s">
        <v>4456</v>
      </c>
      <c r="F3895" s="3">
        <v>45024</v>
      </c>
      <c r="G3895" s="3">
        <v>45024</v>
      </c>
      <c r="H3895">
        <v>1.3</v>
      </c>
      <c r="I3895">
        <v>4</v>
      </c>
      <c r="J3895" t="s">
        <v>4448</v>
      </c>
      <c r="K3895" t="s">
        <v>4441</v>
      </c>
      <c r="L3895" t="s">
        <v>4445</v>
      </c>
      <c r="M3895" t="s">
        <v>4446</v>
      </c>
      <c r="N3895">
        <v>5</v>
      </c>
    </row>
    <row r="3896" spans="1:14" x14ac:dyDescent="0.35">
      <c r="A3896" t="s">
        <v>8375</v>
      </c>
      <c r="B3896" t="s">
        <v>458</v>
      </c>
      <c r="C3896" t="s">
        <v>1890</v>
      </c>
      <c r="D3896" t="s">
        <v>4472</v>
      </c>
      <c r="E3896" t="s">
        <v>4444</v>
      </c>
      <c r="F3896" s="3">
        <v>44963</v>
      </c>
      <c r="G3896" s="3" t="s">
        <v>537</v>
      </c>
      <c r="I3896">
        <v>24</v>
      </c>
      <c r="J3896" t="s">
        <v>4440</v>
      </c>
      <c r="K3896" t="s">
        <v>4453</v>
      </c>
      <c r="L3896" t="s">
        <v>4454</v>
      </c>
      <c r="M3896" t="s">
        <v>4462</v>
      </c>
    </row>
    <row r="3897" spans="1:14" x14ac:dyDescent="0.35">
      <c r="A3897" t="s">
        <v>8376</v>
      </c>
      <c r="B3897" t="s">
        <v>186</v>
      </c>
      <c r="C3897" t="s">
        <v>1899</v>
      </c>
      <c r="D3897" t="s">
        <v>4476</v>
      </c>
      <c r="E3897" t="s">
        <v>4473</v>
      </c>
      <c r="F3897" s="3">
        <v>45650</v>
      </c>
      <c r="G3897" s="3">
        <v>45650</v>
      </c>
      <c r="H3897">
        <v>2.9</v>
      </c>
      <c r="I3897">
        <v>8</v>
      </c>
      <c r="J3897" t="s">
        <v>4448</v>
      </c>
      <c r="K3897" t="s">
        <v>4441</v>
      </c>
      <c r="L3897" t="s">
        <v>4470</v>
      </c>
      <c r="M3897" t="s">
        <v>4446</v>
      </c>
      <c r="N3897">
        <v>3</v>
      </c>
    </row>
    <row r="3898" spans="1:14" x14ac:dyDescent="0.35">
      <c r="A3898" t="s">
        <v>8377</v>
      </c>
      <c r="B3898" t="s">
        <v>164</v>
      </c>
      <c r="C3898" t="s">
        <v>1899</v>
      </c>
      <c r="D3898" t="s">
        <v>4479</v>
      </c>
      <c r="E3898" t="s">
        <v>4439</v>
      </c>
      <c r="F3898" s="3">
        <v>45298</v>
      </c>
      <c r="G3898" s="3">
        <v>45300</v>
      </c>
      <c r="H3898">
        <v>50.2</v>
      </c>
      <c r="I3898">
        <v>48</v>
      </c>
      <c r="J3898" t="s">
        <v>4440</v>
      </c>
      <c r="K3898" t="s">
        <v>4441</v>
      </c>
      <c r="L3898" t="s">
        <v>4449</v>
      </c>
      <c r="M3898" t="s">
        <v>4450</v>
      </c>
      <c r="N3898">
        <v>5</v>
      </c>
    </row>
    <row r="3899" spans="1:14" x14ac:dyDescent="0.35">
      <c r="A3899" t="s">
        <v>8378</v>
      </c>
      <c r="B3899" t="s">
        <v>122</v>
      </c>
      <c r="C3899" t="s">
        <v>1899</v>
      </c>
      <c r="D3899" t="s">
        <v>4485</v>
      </c>
      <c r="E3899" t="s">
        <v>4439</v>
      </c>
      <c r="F3899" s="3">
        <v>45092</v>
      </c>
      <c r="G3899" s="3">
        <v>45096</v>
      </c>
      <c r="H3899">
        <v>107.8</v>
      </c>
      <c r="I3899">
        <v>48</v>
      </c>
      <c r="J3899" t="s">
        <v>4440</v>
      </c>
      <c r="K3899" t="s">
        <v>4441</v>
      </c>
      <c r="L3899" t="s">
        <v>4445</v>
      </c>
      <c r="M3899" t="s">
        <v>1625</v>
      </c>
      <c r="N3899">
        <v>5</v>
      </c>
    </row>
    <row r="3900" spans="1:14" x14ac:dyDescent="0.35">
      <c r="A3900" t="s">
        <v>8379</v>
      </c>
      <c r="B3900" t="s">
        <v>266</v>
      </c>
      <c r="C3900" t="s">
        <v>1883</v>
      </c>
      <c r="D3900" t="s">
        <v>4469</v>
      </c>
      <c r="E3900" t="s">
        <v>4444</v>
      </c>
      <c r="F3900" s="3">
        <v>45690</v>
      </c>
      <c r="G3900" s="3" t="s">
        <v>537</v>
      </c>
      <c r="I3900">
        <v>24</v>
      </c>
      <c r="J3900" t="s">
        <v>4440</v>
      </c>
      <c r="K3900" t="s">
        <v>4474</v>
      </c>
      <c r="L3900" t="s">
        <v>4533</v>
      </c>
      <c r="M3900" t="s">
        <v>4446</v>
      </c>
    </row>
    <row r="3901" spans="1:14" x14ac:dyDescent="0.35">
      <c r="A3901" t="s">
        <v>8380</v>
      </c>
      <c r="B3901" t="s">
        <v>455</v>
      </c>
      <c r="C3901" t="s">
        <v>1915</v>
      </c>
      <c r="D3901" t="s">
        <v>4443</v>
      </c>
      <c r="E3901" t="s">
        <v>4444</v>
      </c>
      <c r="F3901" s="3">
        <v>45730</v>
      </c>
      <c r="G3901" s="3" t="s">
        <v>537</v>
      </c>
      <c r="I3901">
        <v>24</v>
      </c>
      <c r="J3901" t="s">
        <v>4448</v>
      </c>
      <c r="K3901" t="s">
        <v>4474</v>
      </c>
      <c r="L3901" t="s">
        <v>4492</v>
      </c>
      <c r="M3901" t="s">
        <v>1625</v>
      </c>
    </row>
    <row r="3902" spans="1:14" x14ac:dyDescent="0.35">
      <c r="A3902" t="s">
        <v>8381</v>
      </c>
      <c r="B3902" t="s">
        <v>341</v>
      </c>
      <c r="C3902" t="s">
        <v>1904</v>
      </c>
      <c r="D3902" t="s">
        <v>4490</v>
      </c>
      <c r="E3902" t="s">
        <v>4473</v>
      </c>
      <c r="F3902" s="3">
        <v>45027</v>
      </c>
      <c r="G3902" s="3">
        <v>45027</v>
      </c>
      <c r="H3902">
        <v>11.2</v>
      </c>
      <c r="I3902">
        <v>8</v>
      </c>
      <c r="J3902" t="s">
        <v>4440</v>
      </c>
      <c r="K3902" t="s">
        <v>4441</v>
      </c>
      <c r="L3902" t="s">
        <v>4514</v>
      </c>
      <c r="M3902" t="s">
        <v>4450</v>
      </c>
      <c r="N3902">
        <v>2</v>
      </c>
    </row>
    <row r="3903" spans="1:14" x14ac:dyDescent="0.35">
      <c r="A3903" t="s">
        <v>8382</v>
      </c>
      <c r="B3903" t="s">
        <v>405</v>
      </c>
      <c r="C3903" t="s">
        <v>1883</v>
      </c>
      <c r="D3903" t="s">
        <v>4482</v>
      </c>
      <c r="E3903" t="s">
        <v>4473</v>
      </c>
      <c r="F3903" s="3">
        <v>45366</v>
      </c>
      <c r="G3903" s="3">
        <v>45366</v>
      </c>
      <c r="H3903">
        <v>18.899999999999999</v>
      </c>
      <c r="I3903">
        <v>8</v>
      </c>
      <c r="J3903" t="s">
        <v>4440</v>
      </c>
      <c r="K3903" t="s">
        <v>4441</v>
      </c>
      <c r="L3903" t="s">
        <v>4483</v>
      </c>
      <c r="M3903" t="s">
        <v>4462</v>
      </c>
    </row>
    <row r="3904" spans="1:14" x14ac:dyDescent="0.35">
      <c r="A3904" t="s">
        <v>8383</v>
      </c>
      <c r="B3904" t="s">
        <v>484</v>
      </c>
      <c r="C3904" t="s">
        <v>1899</v>
      </c>
      <c r="D3904" t="s">
        <v>4482</v>
      </c>
      <c r="E3904" t="s">
        <v>4444</v>
      </c>
      <c r="F3904" s="3">
        <v>45541</v>
      </c>
      <c r="G3904" s="3" t="s">
        <v>537</v>
      </c>
      <c r="I3904">
        <v>24</v>
      </c>
      <c r="J3904" t="s">
        <v>4440</v>
      </c>
      <c r="K3904" t="s">
        <v>4474</v>
      </c>
      <c r="L3904" t="s">
        <v>4509</v>
      </c>
      <c r="M3904" t="s">
        <v>4450</v>
      </c>
    </row>
    <row r="3905" spans="1:14" x14ac:dyDescent="0.35">
      <c r="A3905" t="s">
        <v>8384</v>
      </c>
      <c r="B3905" t="s">
        <v>467</v>
      </c>
      <c r="C3905" t="s">
        <v>1904</v>
      </c>
      <c r="D3905" t="s">
        <v>4479</v>
      </c>
      <c r="E3905" t="s">
        <v>4473</v>
      </c>
      <c r="F3905" s="3">
        <v>45432</v>
      </c>
      <c r="G3905" s="3" t="s">
        <v>537</v>
      </c>
      <c r="I3905">
        <v>8</v>
      </c>
      <c r="J3905" t="s">
        <v>4440</v>
      </c>
      <c r="K3905" t="s">
        <v>4474</v>
      </c>
      <c r="L3905" t="s">
        <v>1907</v>
      </c>
      <c r="M3905" t="s">
        <v>4462</v>
      </c>
    </row>
    <row r="3906" spans="1:14" x14ac:dyDescent="0.35">
      <c r="A3906" t="s">
        <v>8385</v>
      </c>
      <c r="B3906" t="s">
        <v>373</v>
      </c>
      <c r="C3906" t="s">
        <v>1899</v>
      </c>
      <c r="D3906" t="s">
        <v>4482</v>
      </c>
      <c r="E3906" t="s">
        <v>4444</v>
      </c>
      <c r="F3906" s="3">
        <v>45246</v>
      </c>
      <c r="G3906" s="3">
        <v>45246</v>
      </c>
      <c r="H3906">
        <v>23.2</v>
      </c>
      <c r="I3906">
        <v>24</v>
      </c>
      <c r="J3906" t="s">
        <v>4448</v>
      </c>
      <c r="K3906" t="s">
        <v>4441</v>
      </c>
      <c r="L3906" t="s">
        <v>4488</v>
      </c>
      <c r="M3906" t="s">
        <v>4446</v>
      </c>
      <c r="N3906">
        <v>5</v>
      </c>
    </row>
    <row r="3907" spans="1:14" x14ac:dyDescent="0.35">
      <c r="A3907" t="s">
        <v>8386</v>
      </c>
      <c r="B3907" t="s">
        <v>444</v>
      </c>
      <c r="C3907" t="s">
        <v>1915</v>
      </c>
      <c r="D3907" t="s">
        <v>4472</v>
      </c>
      <c r="E3907" t="s">
        <v>4444</v>
      </c>
      <c r="F3907" s="3">
        <v>45702</v>
      </c>
      <c r="G3907" s="3">
        <v>45702</v>
      </c>
      <c r="H3907">
        <v>20.7</v>
      </c>
      <c r="I3907">
        <v>24</v>
      </c>
      <c r="J3907" t="s">
        <v>1945</v>
      </c>
      <c r="K3907" t="s">
        <v>4441</v>
      </c>
      <c r="L3907" t="s">
        <v>4514</v>
      </c>
      <c r="M3907" t="s">
        <v>4462</v>
      </c>
      <c r="N3907">
        <v>5</v>
      </c>
    </row>
    <row r="3908" spans="1:14" x14ac:dyDescent="0.35">
      <c r="A3908" t="s">
        <v>8387</v>
      </c>
      <c r="B3908" t="s">
        <v>491</v>
      </c>
      <c r="C3908" t="s">
        <v>1899</v>
      </c>
      <c r="D3908" t="s">
        <v>4452</v>
      </c>
      <c r="E3908" t="s">
        <v>4473</v>
      </c>
      <c r="F3908" s="3">
        <v>45171</v>
      </c>
      <c r="G3908" s="3">
        <v>45171</v>
      </c>
      <c r="H3908">
        <v>10.3</v>
      </c>
      <c r="I3908">
        <v>8</v>
      </c>
      <c r="J3908" t="s">
        <v>4440</v>
      </c>
      <c r="K3908" t="s">
        <v>4441</v>
      </c>
      <c r="L3908" t="s">
        <v>4488</v>
      </c>
      <c r="M3908" t="s">
        <v>4446</v>
      </c>
      <c r="N3908">
        <v>3</v>
      </c>
    </row>
    <row r="3909" spans="1:14" x14ac:dyDescent="0.35">
      <c r="A3909" t="s">
        <v>8388</v>
      </c>
      <c r="B3909" t="s">
        <v>403</v>
      </c>
      <c r="C3909" t="s">
        <v>1904</v>
      </c>
      <c r="D3909" t="s">
        <v>4443</v>
      </c>
      <c r="E3909" t="s">
        <v>4439</v>
      </c>
      <c r="F3909" s="3">
        <v>45233</v>
      </c>
      <c r="G3909" s="3">
        <v>45236</v>
      </c>
      <c r="H3909">
        <v>77.8</v>
      </c>
      <c r="I3909">
        <v>48</v>
      </c>
      <c r="J3909" t="s">
        <v>4440</v>
      </c>
      <c r="K3909" t="s">
        <v>4441</v>
      </c>
      <c r="L3909" t="s">
        <v>4580</v>
      </c>
      <c r="M3909" t="s">
        <v>1625</v>
      </c>
      <c r="N3909">
        <v>4</v>
      </c>
    </row>
    <row r="3910" spans="1:14" x14ac:dyDescent="0.35">
      <c r="A3910" t="s">
        <v>8389</v>
      </c>
      <c r="B3910" t="s">
        <v>419</v>
      </c>
      <c r="C3910" t="s">
        <v>1904</v>
      </c>
      <c r="D3910" t="s">
        <v>4460</v>
      </c>
      <c r="E3910" t="s">
        <v>4473</v>
      </c>
      <c r="F3910" s="3">
        <v>45640</v>
      </c>
      <c r="G3910" s="3" t="s">
        <v>537</v>
      </c>
      <c r="I3910">
        <v>8</v>
      </c>
      <c r="J3910" t="s">
        <v>4440</v>
      </c>
      <c r="K3910" t="s">
        <v>4457</v>
      </c>
      <c r="L3910" t="s">
        <v>4514</v>
      </c>
      <c r="M3910" t="s">
        <v>1625</v>
      </c>
    </row>
    <row r="3911" spans="1:14" x14ac:dyDescent="0.35">
      <c r="A3911" t="s">
        <v>8390</v>
      </c>
      <c r="B3911" t="s">
        <v>201</v>
      </c>
      <c r="C3911" t="s">
        <v>1899</v>
      </c>
      <c r="D3911" t="s">
        <v>4452</v>
      </c>
      <c r="E3911" t="s">
        <v>4444</v>
      </c>
      <c r="F3911" s="3">
        <v>45050</v>
      </c>
      <c r="G3911" s="3" t="s">
        <v>537</v>
      </c>
      <c r="I3911">
        <v>24</v>
      </c>
      <c r="J3911" t="s">
        <v>4440</v>
      </c>
      <c r="K3911" t="s">
        <v>4453</v>
      </c>
      <c r="L3911" t="s">
        <v>4465</v>
      </c>
      <c r="M3911" t="s">
        <v>1625</v>
      </c>
    </row>
    <row r="3912" spans="1:14" x14ac:dyDescent="0.35">
      <c r="A3912" t="s">
        <v>8391</v>
      </c>
      <c r="B3912" t="s">
        <v>228</v>
      </c>
      <c r="C3912" t="s">
        <v>1883</v>
      </c>
      <c r="D3912" t="s">
        <v>4476</v>
      </c>
      <c r="E3912" t="s">
        <v>4473</v>
      </c>
      <c r="F3912" s="3">
        <v>45329</v>
      </c>
      <c r="G3912" s="3" t="s">
        <v>537</v>
      </c>
      <c r="I3912">
        <v>8</v>
      </c>
      <c r="J3912" t="s">
        <v>4448</v>
      </c>
      <c r="K3912" t="s">
        <v>4457</v>
      </c>
      <c r="L3912" t="s">
        <v>1907</v>
      </c>
      <c r="M3912" t="s">
        <v>4462</v>
      </c>
    </row>
    <row r="3913" spans="1:14" x14ac:dyDescent="0.35">
      <c r="A3913" t="s">
        <v>8392</v>
      </c>
      <c r="B3913" t="s">
        <v>77</v>
      </c>
      <c r="C3913" t="s">
        <v>1890</v>
      </c>
      <c r="D3913" t="s">
        <v>4479</v>
      </c>
      <c r="E3913" t="s">
        <v>4473</v>
      </c>
      <c r="F3913" s="3">
        <v>45485</v>
      </c>
      <c r="G3913" s="3">
        <v>45485</v>
      </c>
      <c r="H3913">
        <v>2.8</v>
      </c>
      <c r="I3913">
        <v>8</v>
      </c>
      <c r="J3913" t="s">
        <v>4448</v>
      </c>
      <c r="K3913" t="s">
        <v>4441</v>
      </c>
      <c r="L3913" t="s">
        <v>4454</v>
      </c>
      <c r="M3913" t="s">
        <v>4450</v>
      </c>
      <c r="N3913">
        <v>4</v>
      </c>
    </row>
    <row r="3914" spans="1:14" x14ac:dyDescent="0.35">
      <c r="A3914" t="s">
        <v>8393</v>
      </c>
      <c r="B3914" t="s">
        <v>269</v>
      </c>
      <c r="C3914" t="s">
        <v>1904</v>
      </c>
      <c r="D3914" t="s">
        <v>4479</v>
      </c>
      <c r="E3914" t="s">
        <v>4439</v>
      </c>
      <c r="F3914" s="3">
        <v>45395</v>
      </c>
      <c r="G3914" s="3">
        <v>45398</v>
      </c>
      <c r="H3914">
        <v>72.400000000000006</v>
      </c>
      <c r="I3914">
        <v>48</v>
      </c>
      <c r="J3914" t="s">
        <v>4440</v>
      </c>
      <c r="K3914" t="s">
        <v>4441</v>
      </c>
      <c r="L3914" t="s">
        <v>4458</v>
      </c>
      <c r="M3914" t="s">
        <v>4462</v>
      </c>
      <c r="N3914">
        <v>4</v>
      </c>
    </row>
    <row r="3915" spans="1:14" x14ac:dyDescent="0.35">
      <c r="A3915" t="s">
        <v>8394</v>
      </c>
      <c r="B3915" t="s">
        <v>417</v>
      </c>
      <c r="C3915" t="s">
        <v>1890</v>
      </c>
      <c r="D3915" t="s">
        <v>4482</v>
      </c>
      <c r="E3915" t="s">
        <v>4444</v>
      </c>
      <c r="F3915" s="3">
        <v>45733</v>
      </c>
      <c r="G3915" s="3" t="s">
        <v>537</v>
      </c>
      <c r="I3915">
        <v>24</v>
      </c>
      <c r="J3915" t="s">
        <v>4448</v>
      </c>
      <c r="K3915" t="s">
        <v>4457</v>
      </c>
      <c r="L3915" t="s">
        <v>4458</v>
      </c>
      <c r="M3915" t="s">
        <v>4446</v>
      </c>
    </row>
    <row r="3916" spans="1:14" x14ac:dyDescent="0.35">
      <c r="A3916" t="s">
        <v>8395</v>
      </c>
      <c r="B3916" t="s">
        <v>486</v>
      </c>
      <c r="C3916" t="s">
        <v>1904</v>
      </c>
      <c r="D3916" t="s">
        <v>4452</v>
      </c>
      <c r="E3916" t="s">
        <v>4439</v>
      </c>
      <c r="F3916" s="3">
        <v>45685</v>
      </c>
      <c r="G3916" s="3">
        <v>45687</v>
      </c>
      <c r="H3916">
        <v>61.2</v>
      </c>
      <c r="I3916">
        <v>48</v>
      </c>
      <c r="J3916" t="s">
        <v>4440</v>
      </c>
      <c r="K3916" t="s">
        <v>4441</v>
      </c>
      <c r="L3916" t="s">
        <v>4454</v>
      </c>
      <c r="M3916" t="s">
        <v>4462</v>
      </c>
      <c r="N3916">
        <v>2</v>
      </c>
    </row>
    <row r="3917" spans="1:14" x14ac:dyDescent="0.35">
      <c r="A3917" t="s">
        <v>8396</v>
      </c>
      <c r="B3917" t="s">
        <v>372</v>
      </c>
      <c r="C3917" t="s">
        <v>1904</v>
      </c>
      <c r="D3917" t="s">
        <v>4443</v>
      </c>
      <c r="E3917" t="s">
        <v>4444</v>
      </c>
      <c r="F3917" s="3">
        <v>45675</v>
      </c>
      <c r="G3917" s="3">
        <v>45675</v>
      </c>
      <c r="H3917">
        <v>3.8</v>
      </c>
      <c r="I3917">
        <v>24</v>
      </c>
      <c r="J3917" t="s">
        <v>4448</v>
      </c>
      <c r="K3917" t="s">
        <v>4441</v>
      </c>
      <c r="L3917" t="s">
        <v>4467</v>
      </c>
      <c r="M3917" t="s">
        <v>4450</v>
      </c>
      <c r="N3917">
        <v>5</v>
      </c>
    </row>
    <row r="3918" spans="1:14" x14ac:dyDescent="0.35">
      <c r="A3918" t="s">
        <v>8397</v>
      </c>
      <c r="B3918" t="s">
        <v>122</v>
      </c>
      <c r="C3918" t="s">
        <v>1927</v>
      </c>
      <c r="D3918" t="s">
        <v>4452</v>
      </c>
      <c r="E3918" t="s">
        <v>4473</v>
      </c>
      <c r="F3918" s="3">
        <v>45463</v>
      </c>
      <c r="G3918" s="3" t="s">
        <v>537</v>
      </c>
      <c r="I3918">
        <v>8</v>
      </c>
      <c r="J3918" t="s">
        <v>4440</v>
      </c>
      <c r="K3918" t="s">
        <v>4457</v>
      </c>
      <c r="L3918" t="s">
        <v>4467</v>
      </c>
      <c r="M3918" t="s">
        <v>4462</v>
      </c>
    </row>
    <row r="3919" spans="1:14" x14ac:dyDescent="0.35">
      <c r="A3919" t="s">
        <v>8398</v>
      </c>
      <c r="B3919" t="s">
        <v>18</v>
      </c>
      <c r="C3919" t="s">
        <v>1927</v>
      </c>
      <c r="D3919" t="s">
        <v>4438</v>
      </c>
      <c r="E3919" t="s">
        <v>4439</v>
      </c>
      <c r="F3919" s="3">
        <v>45211</v>
      </c>
      <c r="G3919" s="3" t="s">
        <v>537</v>
      </c>
      <c r="I3919">
        <v>48</v>
      </c>
      <c r="J3919" t="s">
        <v>4440</v>
      </c>
      <c r="K3919" t="s">
        <v>4453</v>
      </c>
      <c r="L3919" t="s">
        <v>4470</v>
      </c>
      <c r="M3919" t="s">
        <v>4462</v>
      </c>
    </row>
    <row r="3920" spans="1:14" x14ac:dyDescent="0.35">
      <c r="A3920" t="s">
        <v>8399</v>
      </c>
      <c r="B3920" t="s">
        <v>257</v>
      </c>
      <c r="C3920" t="s">
        <v>1883</v>
      </c>
      <c r="D3920" t="s">
        <v>4476</v>
      </c>
      <c r="E3920" t="s">
        <v>4444</v>
      </c>
      <c r="F3920" s="3">
        <v>45381</v>
      </c>
      <c r="G3920" s="3" t="s">
        <v>537</v>
      </c>
      <c r="I3920">
        <v>24</v>
      </c>
      <c r="J3920" t="s">
        <v>4448</v>
      </c>
      <c r="K3920" t="s">
        <v>4453</v>
      </c>
      <c r="L3920" t="s">
        <v>4465</v>
      </c>
      <c r="M3920" t="s">
        <v>4462</v>
      </c>
    </row>
    <row r="3921" spans="1:14" x14ac:dyDescent="0.35">
      <c r="A3921" t="s">
        <v>8400</v>
      </c>
      <c r="B3921" t="s">
        <v>303</v>
      </c>
      <c r="C3921" t="s">
        <v>1890</v>
      </c>
      <c r="D3921" t="s">
        <v>4482</v>
      </c>
      <c r="E3921" t="s">
        <v>4439</v>
      </c>
      <c r="F3921" s="3">
        <v>45322</v>
      </c>
      <c r="G3921" s="3" t="s">
        <v>537</v>
      </c>
      <c r="I3921">
        <v>48</v>
      </c>
      <c r="J3921" t="s">
        <v>4440</v>
      </c>
      <c r="K3921" t="s">
        <v>4453</v>
      </c>
      <c r="L3921" t="s">
        <v>4461</v>
      </c>
      <c r="M3921" t="s">
        <v>4462</v>
      </c>
    </row>
    <row r="3922" spans="1:14" x14ac:dyDescent="0.35">
      <c r="A3922" t="s">
        <v>8401</v>
      </c>
      <c r="B3922" t="s">
        <v>424</v>
      </c>
      <c r="C3922" t="s">
        <v>1904</v>
      </c>
      <c r="D3922" t="s">
        <v>4472</v>
      </c>
      <c r="E3922" t="s">
        <v>4439</v>
      </c>
      <c r="F3922" s="3">
        <v>45284</v>
      </c>
      <c r="G3922" s="3">
        <v>45287</v>
      </c>
      <c r="H3922">
        <v>89.2</v>
      </c>
      <c r="I3922">
        <v>48</v>
      </c>
      <c r="J3922" t="s">
        <v>1945</v>
      </c>
      <c r="K3922" t="s">
        <v>4441</v>
      </c>
      <c r="L3922" t="s">
        <v>4480</v>
      </c>
      <c r="M3922" t="s">
        <v>4446</v>
      </c>
      <c r="N3922">
        <v>3</v>
      </c>
    </row>
    <row r="3923" spans="1:14" x14ac:dyDescent="0.35">
      <c r="A3923" t="s">
        <v>8402</v>
      </c>
      <c r="B3923" t="s">
        <v>220</v>
      </c>
      <c r="C3923" t="s">
        <v>1915</v>
      </c>
      <c r="D3923" t="s">
        <v>4490</v>
      </c>
      <c r="E3923" t="s">
        <v>4439</v>
      </c>
      <c r="F3923" s="3">
        <v>45664</v>
      </c>
      <c r="G3923" s="3" t="s">
        <v>537</v>
      </c>
      <c r="I3923">
        <v>48</v>
      </c>
      <c r="J3923" t="s">
        <v>4440</v>
      </c>
      <c r="K3923" t="s">
        <v>4453</v>
      </c>
      <c r="L3923" t="s">
        <v>4480</v>
      </c>
      <c r="M3923" t="s">
        <v>1625</v>
      </c>
    </row>
    <row r="3924" spans="1:14" x14ac:dyDescent="0.35">
      <c r="A3924" t="s">
        <v>8403</v>
      </c>
      <c r="B3924" t="s">
        <v>249</v>
      </c>
      <c r="C3924" t="s">
        <v>1915</v>
      </c>
      <c r="D3924" t="s">
        <v>8506</v>
      </c>
      <c r="E3924" t="s">
        <v>4473</v>
      </c>
      <c r="F3924" s="3">
        <v>45300</v>
      </c>
      <c r="G3924" s="3">
        <v>45300</v>
      </c>
      <c r="H3924">
        <v>13.1</v>
      </c>
      <c r="I3924">
        <v>8</v>
      </c>
      <c r="J3924" t="s">
        <v>1945</v>
      </c>
      <c r="K3924" t="s">
        <v>4441</v>
      </c>
      <c r="L3924" t="s">
        <v>4449</v>
      </c>
      <c r="M3924" t="s">
        <v>1625</v>
      </c>
      <c r="N3924">
        <v>3</v>
      </c>
    </row>
    <row r="3925" spans="1:14" x14ac:dyDescent="0.35">
      <c r="A3925" t="s">
        <v>8404</v>
      </c>
      <c r="B3925" t="s">
        <v>374</v>
      </c>
      <c r="C3925" t="s">
        <v>1915</v>
      </c>
      <c r="D3925" t="s">
        <v>4490</v>
      </c>
      <c r="E3925" t="s">
        <v>4439</v>
      </c>
      <c r="F3925" s="3">
        <v>45118</v>
      </c>
      <c r="G3925" s="3">
        <v>45121</v>
      </c>
      <c r="H3925">
        <v>72.3</v>
      </c>
      <c r="I3925">
        <v>48</v>
      </c>
      <c r="J3925" t="s">
        <v>4440</v>
      </c>
      <c r="K3925" t="s">
        <v>4441</v>
      </c>
      <c r="L3925" t="s">
        <v>4512</v>
      </c>
      <c r="M3925" t="s">
        <v>1625</v>
      </c>
    </row>
    <row r="3926" spans="1:14" x14ac:dyDescent="0.35">
      <c r="A3926" t="s">
        <v>8405</v>
      </c>
      <c r="B3926" t="s">
        <v>330</v>
      </c>
      <c r="C3926" t="s">
        <v>1927</v>
      </c>
      <c r="D3926" t="s">
        <v>4490</v>
      </c>
      <c r="E3926" t="s">
        <v>4473</v>
      </c>
      <c r="F3926" s="3">
        <v>45089</v>
      </c>
      <c r="G3926" s="3" t="s">
        <v>537</v>
      </c>
      <c r="I3926">
        <v>8</v>
      </c>
      <c r="J3926" t="s">
        <v>4448</v>
      </c>
      <c r="K3926" t="s">
        <v>4457</v>
      </c>
      <c r="L3926" t="s">
        <v>4533</v>
      </c>
      <c r="M3926" t="s">
        <v>4450</v>
      </c>
    </row>
    <row r="3927" spans="1:14" x14ac:dyDescent="0.35">
      <c r="A3927" t="s">
        <v>8406</v>
      </c>
      <c r="B3927" t="s">
        <v>390</v>
      </c>
      <c r="C3927" t="s">
        <v>1915</v>
      </c>
      <c r="D3927" t="s">
        <v>4476</v>
      </c>
      <c r="E3927" t="s">
        <v>4473</v>
      </c>
      <c r="F3927" s="3">
        <v>45449</v>
      </c>
      <c r="G3927" s="3">
        <v>45449</v>
      </c>
      <c r="H3927">
        <v>18.2</v>
      </c>
      <c r="I3927">
        <v>8</v>
      </c>
      <c r="J3927" t="s">
        <v>4440</v>
      </c>
      <c r="K3927" t="s">
        <v>4441</v>
      </c>
      <c r="L3927" t="s">
        <v>4454</v>
      </c>
      <c r="M3927" t="s">
        <v>4446</v>
      </c>
      <c r="N3927">
        <v>1</v>
      </c>
    </row>
    <row r="3928" spans="1:14" x14ac:dyDescent="0.35">
      <c r="A3928" t="s">
        <v>8407</v>
      </c>
      <c r="B3928" t="s">
        <v>499</v>
      </c>
      <c r="C3928" t="s">
        <v>1899</v>
      </c>
      <c r="D3928" t="s">
        <v>4460</v>
      </c>
      <c r="E3928" t="s">
        <v>4473</v>
      </c>
      <c r="F3928" s="3">
        <v>45468</v>
      </c>
      <c r="G3928" s="3" t="s">
        <v>537</v>
      </c>
      <c r="I3928">
        <v>8</v>
      </c>
      <c r="J3928" t="s">
        <v>4448</v>
      </c>
      <c r="K3928" t="s">
        <v>4474</v>
      </c>
      <c r="L3928" t="s">
        <v>4445</v>
      </c>
      <c r="M3928" t="s">
        <v>4446</v>
      </c>
    </row>
    <row r="3929" spans="1:14" x14ac:dyDescent="0.35">
      <c r="A3929" t="s">
        <v>8408</v>
      </c>
      <c r="B3929" t="s">
        <v>133</v>
      </c>
      <c r="C3929" t="s">
        <v>1883</v>
      </c>
      <c r="D3929" t="s">
        <v>4469</v>
      </c>
      <c r="E3929" t="s">
        <v>4473</v>
      </c>
      <c r="F3929" s="3">
        <v>45234</v>
      </c>
      <c r="G3929" s="3">
        <v>45234</v>
      </c>
      <c r="H3929">
        <v>0.8</v>
      </c>
      <c r="I3929">
        <v>8</v>
      </c>
      <c r="J3929" t="s">
        <v>4448</v>
      </c>
      <c r="K3929" t="s">
        <v>4441</v>
      </c>
      <c r="L3929" t="s">
        <v>4501</v>
      </c>
      <c r="M3929" t="s">
        <v>4450</v>
      </c>
      <c r="N3929">
        <v>4</v>
      </c>
    </row>
    <row r="3930" spans="1:14" x14ac:dyDescent="0.35">
      <c r="A3930" t="s">
        <v>8409</v>
      </c>
      <c r="B3930" t="s">
        <v>423</v>
      </c>
      <c r="C3930" t="s">
        <v>1904</v>
      </c>
      <c r="D3930" t="s">
        <v>4479</v>
      </c>
      <c r="E3930" t="s">
        <v>4444</v>
      </c>
      <c r="F3930" s="3">
        <v>45232</v>
      </c>
      <c r="G3930" s="3">
        <v>45232</v>
      </c>
      <c r="H3930">
        <v>7.1</v>
      </c>
      <c r="I3930">
        <v>24</v>
      </c>
      <c r="J3930" t="s">
        <v>4448</v>
      </c>
      <c r="K3930" t="s">
        <v>4441</v>
      </c>
      <c r="L3930" t="s">
        <v>4461</v>
      </c>
      <c r="M3930" t="s">
        <v>4462</v>
      </c>
      <c r="N3930">
        <v>3</v>
      </c>
    </row>
    <row r="3931" spans="1:14" x14ac:dyDescent="0.35">
      <c r="A3931" t="s">
        <v>8410</v>
      </c>
      <c r="B3931" t="s">
        <v>434</v>
      </c>
      <c r="C3931" t="s">
        <v>1883</v>
      </c>
      <c r="D3931" t="s">
        <v>4460</v>
      </c>
      <c r="E3931" t="s">
        <v>4439</v>
      </c>
      <c r="F3931" s="3">
        <v>45031</v>
      </c>
      <c r="G3931" s="3" t="s">
        <v>537</v>
      </c>
      <c r="I3931">
        <v>48</v>
      </c>
      <c r="J3931" t="s">
        <v>4448</v>
      </c>
      <c r="K3931" t="s">
        <v>4457</v>
      </c>
      <c r="L3931" t="s">
        <v>4465</v>
      </c>
      <c r="M3931" t="s">
        <v>4450</v>
      </c>
    </row>
    <row r="3932" spans="1:14" x14ac:dyDescent="0.35">
      <c r="A3932" t="s">
        <v>8411</v>
      </c>
      <c r="B3932" t="s">
        <v>324</v>
      </c>
      <c r="C3932" t="s">
        <v>1899</v>
      </c>
      <c r="D3932" t="s">
        <v>4476</v>
      </c>
      <c r="E3932" t="s">
        <v>4473</v>
      </c>
      <c r="F3932" s="3">
        <v>45272</v>
      </c>
      <c r="G3932" s="3">
        <v>45272</v>
      </c>
      <c r="H3932">
        <v>14.9</v>
      </c>
      <c r="I3932">
        <v>8</v>
      </c>
      <c r="J3932" t="s">
        <v>4440</v>
      </c>
      <c r="K3932" t="s">
        <v>4441</v>
      </c>
      <c r="L3932" t="s">
        <v>4527</v>
      </c>
      <c r="M3932" t="s">
        <v>4450</v>
      </c>
      <c r="N3932">
        <v>5</v>
      </c>
    </row>
    <row r="3933" spans="1:14" x14ac:dyDescent="0.35">
      <c r="A3933" t="s">
        <v>8412</v>
      </c>
      <c r="B3933" t="s">
        <v>402</v>
      </c>
      <c r="C3933" t="s">
        <v>1899</v>
      </c>
      <c r="D3933" t="s">
        <v>4469</v>
      </c>
      <c r="E3933" t="s">
        <v>4473</v>
      </c>
      <c r="F3933" s="3">
        <v>45740</v>
      </c>
      <c r="G3933" s="3">
        <v>45740</v>
      </c>
      <c r="H3933">
        <v>5.9</v>
      </c>
      <c r="I3933">
        <v>8</v>
      </c>
      <c r="J3933" t="s">
        <v>4448</v>
      </c>
      <c r="K3933" t="s">
        <v>4441</v>
      </c>
      <c r="L3933" t="s">
        <v>4454</v>
      </c>
      <c r="M3933" t="s">
        <v>4450</v>
      </c>
      <c r="N3933">
        <v>5</v>
      </c>
    </row>
    <row r="3934" spans="1:14" x14ac:dyDescent="0.35">
      <c r="A3934" t="s">
        <v>8413</v>
      </c>
      <c r="B3934" t="s">
        <v>165</v>
      </c>
      <c r="C3934" t="s">
        <v>1927</v>
      </c>
      <c r="D3934" t="s">
        <v>4452</v>
      </c>
      <c r="E3934" t="s">
        <v>79</v>
      </c>
      <c r="F3934" s="3">
        <v>45279</v>
      </c>
      <c r="G3934" s="3" t="s">
        <v>537</v>
      </c>
      <c r="I3934">
        <v>8</v>
      </c>
      <c r="J3934" t="s">
        <v>4440</v>
      </c>
      <c r="K3934" t="s">
        <v>4457</v>
      </c>
      <c r="L3934" t="s">
        <v>4445</v>
      </c>
      <c r="M3934" t="s">
        <v>4450</v>
      </c>
    </row>
    <row r="3935" spans="1:14" x14ac:dyDescent="0.35">
      <c r="A3935" t="s">
        <v>8414</v>
      </c>
      <c r="B3935" t="s">
        <v>106</v>
      </c>
      <c r="C3935" t="s">
        <v>1915</v>
      </c>
      <c r="D3935" t="s">
        <v>4479</v>
      </c>
      <c r="E3935" t="s">
        <v>4444</v>
      </c>
      <c r="F3935" s="3">
        <v>45515</v>
      </c>
      <c r="G3935" s="3" t="s">
        <v>537</v>
      </c>
      <c r="I3935">
        <v>24</v>
      </c>
      <c r="J3935" t="s">
        <v>4440</v>
      </c>
      <c r="K3935" t="s">
        <v>4453</v>
      </c>
      <c r="L3935" t="s">
        <v>4458</v>
      </c>
      <c r="M3935" t="s">
        <v>4462</v>
      </c>
    </row>
    <row r="3936" spans="1:14" x14ac:dyDescent="0.35">
      <c r="A3936" t="s">
        <v>8415</v>
      </c>
      <c r="B3936" t="s">
        <v>82</v>
      </c>
      <c r="C3936" t="s">
        <v>1915</v>
      </c>
      <c r="D3936" t="s">
        <v>4443</v>
      </c>
      <c r="E3936" t="s">
        <v>4444</v>
      </c>
      <c r="F3936" s="3">
        <v>45052</v>
      </c>
      <c r="G3936" s="3">
        <v>45053</v>
      </c>
      <c r="H3936">
        <v>42.7</v>
      </c>
      <c r="I3936">
        <v>24</v>
      </c>
      <c r="J3936" t="s">
        <v>4440</v>
      </c>
      <c r="K3936" t="s">
        <v>4441</v>
      </c>
      <c r="L3936" t="s">
        <v>4488</v>
      </c>
      <c r="M3936" t="s">
        <v>4450</v>
      </c>
      <c r="N3936">
        <v>4</v>
      </c>
    </row>
    <row r="3937" spans="1:14" x14ac:dyDescent="0.35">
      <c r="A3937" t="s">
        <v>8416</v>
      </c>
      <c r="B3937" t="s">
        <v>358</v>
      </c>
      <c r="C3937" t="s">
        <v>1927</v>
      </c>
      <c r="D3937" t="s">
        <v>4485</v>
      </c>
      <c r="E3937" t="s">
        <v>4444</v>
      </c>
      <c r="F3937" s="3">
        <v>45189</v>
      </c>
      <c r="G3937" s="3">
        <v>45189</v>
      </c>
      <c r="H3937">
        <v>15.2</v>
      </c>
      <c r="I3937">
        <v>24</v>
      </c>
      <c r="J3937" t="s">
        <v>4448</v>
      </c>
      <c r="K3937" t="s">
        <v>4441</v>
      </c>
      <c r="L3937" t="s">
        <v>4514</v>
      </c>
      <c r="M3937" t="s">
        <v>4462</v>
      </c>
      <c r="N3937">
        <v>2</v>
      </c>
    </row>
    <row r="3938" spans="1:14" x14ac:dyDescent="0.35">
      <c r="A3938" t="s">
        <v>8417</v>
      </c>
      <c r="B3938" t="s">
        <v>186</v>
      </c>
      <c r="C3938" t="s">
        <v>1890</v>
      </c>
      <c r="D3938" t="s">
        <v>4443</v>
      </c>
      <c r="E3938" t="s">
        <v>4444</v>
      </c>
      <c r="F3938" s="3">
        <v>45613</v>
      </c>
      <c r="G3938" s="3" t="s">
        <v>537</v>
      </c>
      <c r="I3938">
        <v>24</v>
      </c>
      <c r="J3938" t="s">
        <v>4440</v>
      </c>
      <c r="K3938" t="s">
        <v>4457</v>
      </c>
      <c r="L3938" t="s">
        <v>1907</v>
      </c>
      <c r="M3938" t="s">
        <v>4462</v>
      </c>
    </row>
    <row r="3939" spans="1:14" x14ac:dyDescent="0.35">
      <c r="A3939" t="s">
        <v>8418</v>
      </c>
      <c r="B3939" t="s">
        <v>429</v>
      </c>
      <c r="C3939" t="s">
        <v>1890</v>
      </c>
      <c r="D3939" t="s">
        <v>4482</v>
      </c>
      <c r="E3939" t="s">
        <v>4439</v>
      </c>
      <c r="F3939" s="3">
        <v>45343</v>
      </c>
      <c r="G3939" s="3">
        <v>45347</v>
      </c>
      <c r="H3939">
        <v>105.8</v>
      </c>
      <c r="I3939">
        <v>48</v>
      </c>
      <c r="J3939" t="s">
        <v>4440</v>
      </c>
      <c r="K3939" t="s">
        <v>4441</v>
      </c>
      <c r="L3939" t="s">
        <v>4480</v>
      </c>
      <c r="M3939" t="s">
        <v>1625</v>
      </c>
      <c r="N3939">
        <v>4</v>
      </c>
    </row>
    <row r="3940" spans="1:14" x14ac:dyDescent="0.35">
      <c r="A3940" t="s">
        <v>8419</v>
      </c>
      <c r="B3940" t="s">
        <v>194</v>
      </c>
      <c r="C3940" t="s">
        <v>1904</v>
      </c>
      <c r="D3940" t="s">
        <v>4452</v>
      </c>
      <c r="E3940" t="s">
        <v>79</v>
      </c>
      <c r="F3940" s="3">
        <v>45016</v>
      </c>
      <c r="G3940" s="3" t="s">
        <v>537</v>
      </c>
      <c r="I3940">
        <v>48</v>
      </c>
      <c r="J3940" t="s">
        <v>4448</v>
      </c>
      <c r="K3940" t="s">
        <v>4474</v>
      </c>
      <c r="L3940" t="s">
        <v>4483</v>
      </c>
      <c r="M3940" t="s">
        <v>4450</v>
      </c>
    </row>
    <row r="3941" spans="1:14" x14ac:dyDescent="0.35">
      <c r="A3941" t="s">
        <v>8420</v>
      </c>
      <c r="B3941" t="s">
        <v>216</v>
      </c>
      <c r="C3941" t="s">
        <v>1899</v>
      </c>
      <c r="D3941" t="s">
        <v>4476</v>
      </c>
      <c r="E3941" t="s">
        <v>4456</v>
      </c>
      <c r="F3941" s="3">
        <v>45487</v>
      </c>
      <c r="G3941" s="3" t="s">
        <v>537</v>
      </c>
      <c r="I3941">
        <v>4</v>
      </c>
      <c r="J3941" t="s">
        <v>4440</v>
      </c>
      <c r="K3941" t="s">
        <v>4474</v>
      </c>
      <c r="L3941" t="s">
        <v>4483</v>
      </c>
      <c r="M3941" t="s">
        <v>4450</v>
      </c>
    </row>
    <row r="3942" spans="1:14" x14ac:dyDescent="0.35">
      <c r="A3942" t="s">
        <v>8421</v>
      </c>
      <c r="B3942" t="s">
        <v>146</v>
      </c>
      <c r="C3942" t="s">
        <v>1899</v>
      </c>
      <c r="D3942" t="s">
        <v>4452</v>
      </c>
      <c r="E3942" t="s">
        <v>4444</v>
      </c>
      <c r="F3942" s="3">
        <v>45252</v>
      </c>
      <c r="G3942" s="3">
        <v>45253</v>
      </c>
      <c r="H3942">
        <v>39.6</v>
      </c>
      <c r="I3942">
        <v>24</v>
      </c>
      <c r="J3942" t="s">
        <v>4440</v>
      </c>
      <c r="K3942" t="s">
        <v>4441</v>
      </c>
      <c r="L3942" t="s">
        <v>4509</v>
      </c>
      <c r="M3942" t="s">
        <v>4446</v>
      </c>
      <c r="N3942">
        <v>4</v>
      </c>
    </row>
    <row r="3943" spans="1:14" x14ac:dyDescent="0.35">
      <c r="A3943" t="s">
        <v>8422</v>
      </c>
      <c r="B3943" t="s">
        <v>374</v>
      </c>
      <c r="C3943" t="s">
        <v>1904</v>
      </c>
      <c r="D3943" t="s">
        <v>4443</v>
      </c>
      <c r="E3943" t="s">
        <v>4444</v>
      </c>
      <c r="F3943" s="3">
        <v>45461</v>
      </c>
      <c r="G3943" s="3">
        <v>45462</v>
      </c>
      <c r="H3943">
        <v>44.7</v>
      </c>
      <c r="I3943">
        <v>24</v>
      </c>
      <c r="J3943" t="s">
        <v>4440</v>
      </c>
      <c r="K3943" t="s">
        <v>4441</v>
      </c>
      <c r="L3943" t="s">
        <v>4512</v>
      </c>
      <c r="M3943" t="s">
        <v>4462</v>
      </c>
      <c r="N3943">
        <v>1</v>
      </c>
    </row>
    <row r="3944" spans="1:14" x14ac:dyDescent="0.35">
      <c r="A3944" t="s">
        <v>8423</v>
      </c>
      <c r="B3944" t="s">
        <v>252</v>
      </c>
      <c r="C3944" t="s">
        <v>1890</v>
      </c>
      <c r="D3944" t="s">
        <v>4464</v>
      </c>
      <c r="E3944" t="s">
        <v>4473</v>
      </c>
      <c r="F3944" s="3">
        <v>45421</v>
      </c>
      <c r="G3944" s="3">
        <v>45421</v>
      </c>
      <c r="H3944">
        <v>14</v>
      </c>
      <c r="I3944">
        <v>8</v>
      </c>
      <c r="J3944" t="s">
        <v>4440</v>
      </c>
      <c r="K3944" t="s">
        <v>4441</v>
      </c>
      <c r="L3944" t="s">
        <v>4458</v>
      </c>
      <c r="M3944" t="s">
        <v>1625</v>
      </c>
      <c r="N3944">
        <v>3</v>
      </c>
    </row>
    <row r="3945" spans="1:14" x14ac:dyDescent="0.35">
      <c r="A3945" t="s">
        <v>8424</v>
      </c>
      <c r="B3945" t="s">
        <v>444</v>
      </c>
      <c r="C3945" t="s">
        <v>1927</v>
      </c>
      <c r="D3945" t="s">
        <v>4452</v>
      </c>
      <c r="E3945" t="s">
        <v>4444</v>
      </c>
      <c r="F3945" s="3">
        <v>45306</v>
      </c>
      <c r="G3945" s="3" t="s">
        <v>537</v>
      </c>
      <c r="I3945">
        <v>24</v>
      </c>
      <c r="J3945" t="s">
        <v>4440</v>
      </c>
      <c r="K3945" t="s">
        <v>4453</v>
      </c>
      <c r="L3945" t="s">
        <v>4514</v>
      </c>
      <c r="M3945" t="s">
        <v>4446</v>
      </c>
    </row>
    <row r="3946" spans="1:14" x14ac:dyDescent="0.35">
      <c r="A3946" t="s">
        <v>8425</v>
      </c>
      <c r="B3946" t="s">
        <v>350</v>
      </c>
      <c r="C3946" t="s">
        <v>1927</v>
      </c>
      <c r="D3946" t="s">
        <v>4472</v>
      </c>
      <c r="E3946" t="s">
        <v>4473</v>
      </c>
      <c r="F3946" s="3">
        <v>45112</v>
      </c>
      <c r="G3946" s="3">
        <v>45112</v>
      </c>
      <c r="H3946">
        <v>8.5</v>
      </c>
      <c r="I3946">
        <v>8</v>
      </c>
      <c r="J3946" t="s">
        <v>4440</v>
      </c>
      <c r="K3946" t="s">
        <v>4441</v>
      </c>
      <c r="L3946" t="s">
        <v>4467</v>
      </c>
      <c r="M3946" t="s">
        <v>4450</v>
      </c>
      <c r="N3946">
        <v>2</v>
      </c>
    </row>
    <row r="3947" spans="1:14" x14ac:dyDescent="0.35">
      <c r="A3947" t="s">
        <v>8426</v>
      </c>
      <c r="B3947" t="s">
        <v>214</v>
      </c>
      <c r="C3947" t="s">
        <v>1883</v>
      </c>
      <c r="D3947" t="s">
        <v>4443</v>
      </c>
      <c r="E3947" t="s">
        <v>4444</v>
      </c>
      <c r="F3947" s="3">
        <v>45135</v>
      </c>
      <c r="G3947" s="3">
        <v>45137</v>
      </c>
      <c r="H3947">
        <v>48.7</v>
      </c>
      <c r="I3947">
        <v>24</v>
      </c>
      <c r="J3947" t="s">
        <v>1945</v>
      </c>
      <c r="K3947" t="s">
        <v>4441</v>
      </c>
      <c r="L3947" t="s">
        <v>4461</v>
      </c>
      <c r="M3947" t="s">
        <v>4446</v>
      </c>
      <c r="N3947">
        <v>5</v>
      </c>
    </row>
    <row r="3948" spans="1:14" x14ac:dyDescent="0.35">
      <c r="A3948" t="s">
        <v>8427</v>
      </c>
      <c r="B3948" t="s">
        <v>277</v>
      </c>
      <c r="C3948" t="s">
        <v>1927</v>
      </c>
      <c r="D3948" t="s">
        <v>4469</v>
      </c>
      <c r="E3948" t="s">
        <v>4439</v>
      </c>
      <c r="F3948" s="3">
        <v>45351</v>
      </c>
      <c r="G3948" s="3">
        <v>45351</v>
      </c>
      <c r="H3948">
        <v>16.8</v>
      </c>
      <c r="I3948">
        <v>48</v>
      </c>
      <c r="J3948" t="s">
        <v>4448</v>
      </c>
      <c r="K3948" t="s">
        <v>4441</v>
      </c>
      <c r="L3948" t="s">
        <v>4509</v>
      </c>
      <c r="M3948" t="s">
        <v>4462</v>
      </c>
      <c r="N3948">
        <v>3</v>
      </c>
    </row>
    <row r="3949" spans="1:14" x14ac:dyDescent="0.35">
      <c r="A3949" t="s">
        <v>8428</v>
      </c>
      <c r="B3949" t="s">
        <v>345</v>
      </c>
      <c r="C3949" t="s">
        <v>1904</v>
      </c>
      <c r="D3949" t="s">
        <v>4443</v>
      </c>
      <c r="E3949" t="s">
        <v>4444</v>
      </c>
      <c r="F3949" s="3">
        <v>45256</v>
      </c>
      <c r="G3949" s="3">
        <v>45256</v>
      </c>
      <c r="H3949">
        <v>20.5</v>
      </c>
      <c r="I3949">
        <v>24</v>
      </c>
      <c r="J3949" t="s">
        <v>4448</v>
      </c>
      <c r="K3949" t="s">
        <v>4441</v>
      </c>
      <c r="L3949" t="s">
        <v>4449</v>
      </c>
      <c r="M3949" t="s">
        <v>1625</v>
      </c>
      <c r="N3949">
        <v>4</v>
      </c>
    </row>
    <row r="3950" spans="1:14" x14ac:dyDescent="0.35">
      <c r="A3950" t="s">
        <v>8429</v>
      </c>
      <c r="B3950" t="s">
        <v>307</v>
      </c>
      <c r="C3950" t="s">
        <v>1883</v>
      </c>
      <c r="D3950" t="s">
        <v>4443</v>
      </c>
      <c r="E3950" t="s">
        <v>4444</v>
      </c>
      <c r="F3950" s="3">
        <v>45646</v>
      </c>
      <c r="G3950" s="3" t="s">
        <v>537</v>
      </c>
      <c r="I3950">
        <v>24</v>
      </c>
      <c r="J3950" t="s">
        <v>4448</v>
      </c>
      <c r="K3950" t="s">
        <v>4474</v>
      </c>
      <c r="L3950" t="s">
        <v>4449</v>
      </c>
      <c r="M3950" t="s">
        <v>4450</v>
      </c>
    </row>
    <row r="3951" spans="1:14" x14ac:dyDescent="0.35">
      <c r="A3951" t="s">
        <v>8430</v>
      </c>
      <c r="B3951" t="s">
        <v>396</v>
      </c>
      <c r="C3951" t="s">
        <v>1915</v>
      </c>
      <c r="D3951" t="s">
        <v>4464</v>
      </c>
      <c r="E3951" t="s">
        <v>4444</v>
      </c>
      <c r="F3951" s="3">
        <v>45747</v>
      </c>
      <c r="G3951" s="3" t="s">
        <v>537</v>
      </c>
      <c r="I3951">
        <v>24</v>
      </c>
      <c r="J3951" t="s">
        <v>4440</v>
      </c>
      <c r="K3951" t="s">
        <v>4453</v>
      </c>
      <c r="L3951" t="s">
        <v>4445</v>
      </c>
      <c r="M3951" t="s">
        <v>4450</v>
      </c>
    </row>
    <row r="3952" spans="1:14" x14ac:dyDescent="0.35">
      <c r="A3952" t="s">
        <v>8431</v>
      </c>
      <c r="B3952" t="s">
        <v>337</v>
      </c>
      <c r="C3952" t="s">
        <v>1883</v>
      </c>
      <c r="D3952" t="s">
        <v>4438</v>
      </c>
      <c r="E3952" t="s">
        <v>4444</v>
      </c>
      <c r="F3952" s="3">
        <v>45609</v>
      </c>
      <c r="G3952" s="3">
        <v>45610</v>
      </c>
      <c r="H3952">
        <v>42.2</v>
      </c>
      <c r="I3952">
        <v>24</v>
      </c>
      <c r="J3952" t="s">
        <v>4440</v>
      </c>
      <c r="K3952" t="s">
        <v>4441</v>
      </c>
      <c r="L3952" t="s">
        <v>4501</v>
      </c>
      <c r="M3952" t="s">
        <v>4446</v>
      </c>
    </row>
    <row r="3953" spans="1:14" x14ac:dyDescent="0.35">
      <c r="A3953" t="s">
        <v>8432</v>
      </c>
      <c r="B3953" t="s">
        <v>483</v>
      </c>
      <c r="C3953" t="s">
        <v>1899</v>
      </c>
      <c r="D3953" t="s">
        <v>4472</v>
      </c>
      <c r="E3953" t="s">
        <v>4473</v>
      </c>
      <c r="F3953" s="3">
        <v>45661</v>
      </c>
      <c r="G3953" s="3" t="s">
        <v>537</v>
      </c>
      <c r="I3953">
        <v>8</v>
      </c>
      <c r="J3953" t="s">
        <v>4440</v>
      </c>
      <c r="K3953" t="s">
        <v>4474</v>
      </c>
      <c r="L3953" t="s">
        <v>4465</v>
      </c>
      <c r="M3953" t="s">
        <v>4450</v>
      </c>
    </row>
    <row r="3954" spans="1:14" x14ac:dyDescent="0.35">
      <c r="A3954" t="s">
        <v>8433</v>
      </c>
      <c r="B3954" t="s">
        <v>300</v>
      </c>
      <c r="C3954" t="s">
        <v>1890</v>
      </c>
      <c r="D3954" t="s">
        <v>4452</v>
      </c>
      <c r="E3954" t="s">
        <v>4444</v>
      </c>
      <c r="F3954" s="3">
        <v>45566</v>
      </c>
      <c r="G3954" s="3" t="s">
        <v>537</v>
      </c>
      <c r="I3954">
        <v>24</v>
      </c>
      <c r="J3954" t="s">
        <v>4440</v>
      </c>
      <c r="K3954" t="s">
        <v>4474</v>
      </c>
      <c r="L3954" t="s">
        <v>4509</v>
      </c>
      <c r="M3954" t="s">
        <v>4462</v>
      </c>
    </row>
    <row r="3955" spans="1:14" x14ac:dyDescent="0.35">
      <c r="A3955" t="s">
        <v>8434</v>
      </c>
      <c r="B3955" t="s">
        <v>258</v>
      </c>
      <c r="C3955" t="s">
        <v>1899</v>
      </c>
      <c r="D3955" t="s">
        <v>4438</v>
      </c>
      <c r="E3955" t="s">
        <v>4444</v>
      </c>
      <c r="F3955" s="3">
        <v>45073</v>
      </c>
      <c r="G3955" s="3" t="s">
        <v>537</v>
      </c>
      <c r="I3955">
        <v>24</v>
      </c>
      <c r="J3955" t="s">
        <v>4448</v>
      </c>
      <c r="K3955" t="s">
        <v>4453</v>
      </c>
      <c r="L3955" t="s">
        <v>4480</v>
      </c>
      <c r="M3955" t="s">
        <v>1625</v>
      </c>
    </row>
    <row r="3956" spans="1:14" x14ac:dyDescent="0.35">
      <c r="A3956" t="s">
        <v>8435</v>
      </c>
      <c r="B3956" t="s">
        <v>266</v>
      </c>
      <c r="C3956" t="s">
        <v>1890</v>
      </c>
      <c r="D3956" t="s">
        <v>4479</v>
      </c>
      <c r="E3956" t="s">
        <v>4456</v>
      </c>
      <c r="F3956" s="3">
        <v>44946</v>
      </c>
      <c r="G3956" s="3">
        <v>44946</v>
      </c>
      <c r="H3956">
        <v>7.3</v>
      </c>
      <c r="I3956">
        <v>4</v>
      </c>
      <c r="J3956" t="s">
        <v>4440</v>
      </c>
      <c r="K3956" t="s">
        <v>4441</v>
      </c>
      <c r="L3956" t="s">
        <v>4465</v>
      </c>
      <c r="M3956" t="s">
        <v>4450</v>
      </c>
      <c r="N3956">
        <v>3</v>
      </c>
    </row>
    <row r="3957" spans="1:14" x14ac:dyDescent="0.35">
      <c r="A3957" t="s">
        <v>8436</v>
      </c>
      <c r="B3957" t="s">
        <v>165</v>
      </c>
      <c r="C3957" t="s">
        <v>1915</v>
      </c>
      <c r="D3957" t="s">
        <v>4472</v>
      </c>
      <c r="E3957" t="s">
        <v>4473</v>
      </c>
      <c r="F3957" s="3">
        <v>45311</v>
      </c>
      <c r="G3957" s="3">
        <v>45311</v>
      </c>
      <c r="H3957">
        <v>14.6</v>
      </c>
      <c r="I3957">
        <v>8</v>
      </c>
      <c r="J3957" t="s">
        <v>4440</v>
      </c>
      <c r="K3957" t="s">
        <v>4441</v>
      </c>
      <c r="L3957" t="s">
        <v>1907</v>
      </c>
      <c r="M3957" t="s">
        <v>4446</v>
      </c>
      <c r="N3957">
        <v>5</v>
      </c>
    </row>
    <row r="3958" spans="1:14" x14ac:dyDescent="0.35">
      <c r="A3958" t="s">
        <v>8437</v>
      </c>
      <c r="B3958" t="s">
        <v>34</v>
      </c>
      <c r="C3958" t="s">
        <v>1890</v>
      </c>
      <c r="D3958" t="s">
        <v>4469</v>
      </c>
      <c r="E3958" t="s">
        <v>4439</v>
      </c>
      <c r="F3958" s="3">
        <v>45428</v>
      </c>
      <c r="G3958" s="3">
        <v>45428</v>
      </c>
      <c r="H3958">
        <v>3.6</v>
      </c>
      <c r="I3958">
        <v>48</v>
      </c>
      <c r="J3958" t="s">
        <v>4448</v>
      </c>
      <c r="K3958" t="s">
        <v>4441</v>
      </c>
      <c r="L3958" t="s">
        <v>4465</v>
      </c>
      <c r="M3958" t="s">
        <v>4446</v>
      </c>
      <c r="N3958">
        <v>5</v>
      </c>
    </row>
    <row r="3959" spans="1:14" x14ac:dyDescent="0.35">
      <c r="A3959" t="s">
        <v>8438</v>
      </c>
      <c r="B3959" t="s">
        <v>402</v>
      </c>
      <c r="C3959" t="s">
        <v>1915</v>
      </c>
      <c r="D3959" t="s">
        <v>4464</v>
      </c>
      <c r="E3959" t="s">
        <v>4473</v>
      </c>
      <c r="F3959" s="3">
        <v>44932</v>
      </c>
      <c r="G3959" s="3">
        <v>44932</v>
      </c>
      <c r="H3959">
        <v>14.6</v>
      </c>
      <c r="I3959">
        <v>8</v>
      </c>
      <c r="J3959" t="s">
        <v>1945</v>
      </c>
      <c r="K3959" t="s">
        <v>4441</v>
      </c>
      <c r="L3959" t="s">
        <v>4454</v>
      </c>
      <c r="M3959" t="s">
        <v>4462</v>
      </c>
      <c r="N3959">
        <v>4</v>
      </c>
    </row>
    <row r="3960" spans="1:14" x14ac:dyDescent="0.35">
      <c r="A3960" t="s">
        <v>8439</v>
      </c>
      <c r="B3960" t="s">
        <v>90</v>
      </c>
      <c r="C3960" t="s">
        <v>1890</v>
      </c>
      <c r="D3960" t="s">
        <v>4460</v>
      </c>
      <c r="E3960" t="s">
        <v>4473</v>
      </c>
      <c r="F3960" s="3">
        <v>44979</v>
      </c>
      <c r="G3960" s="3" t="s">
        <v>537</v>
      </c>
      <c r="I3960">
        <v>8</v>
      </c>
      <c r="J3960" t="s">
        <v>4448</v>
      </c>
      <c r="K3960" t="s">
        <v>4453</v>
      </c>
      <c r="L3960" t="s">
        <v>4492</v>
      </c>
      <c r="M3960" t="s">
        <v>4462</v>
      </c>
    </row>
    <row r="3961" spans="1:14" x14ac:dyDescent="0.35">
      <c r="A3961" t="s">
        <v>8440</v>
      </c>
      <c r="B3961" t="s">
        <v>128</v>
      </c>
      <c r="C3961" t="s">
        <v>1927</v>
      </c>
      <c r="D3961" t="s">
        <v>8509</v>
      </c>
      <c r="E3961" t="s">
        <v>4473</v>
      </c>
      <c r="F3961" s="3">
        <v>45126</v>
      </c>
      <c r="G3961" s="3">
        <v>45126</v>
      </c>
      <c r="H3961">
        <v>13.9</v>
      </c>
      <c r="I3961">
        <v>8</v>
      </c>
      <c r="J3961" t="s">
        <v>4440</v>
      </c>
      <c r="K3961" t="s">
        <v>4441</v>
      </c>
      <c r="L3961" t="s">
        <v>4527</v>
      </c>
      <c r="M3961" t="s">
        <v>1625</v>
      </c>
      <c r="N3961">
        <v>5</v>
      </c>
    </row>
    <row r="3962" spans="1:14" x14ac:dyDescent="0.35">
      <c r="A3962" t="s">
        <v>8441</v>
      </c>
      <c r="B3962" t="s">
        <v>447</v>
      </c>
      <c r="C3962" t="s">
        <v>1890</v>
      </c>
      <c r="D3962" t="s">
        <v>4472</v>
      </c>
      <c r="E3962" t="s">
        <v>4456</v>
      </c>
      <c r="F3962" s="3">
        <v>44972</v>
      </c>
      <c r="G3962" s="3">
        <v>44972</v>
      </c>
      <c r="H3962">
        <v>9.6</v>
      </c>
      <c r="I3962">
        <v>4</v>
      </c>
      <c r="J3962" t="s">
        <v>4440</v>
      </c>
      <c r="K3962" t="s">
        <v>4441</v>
      </c>
      <c r="L3962" t="s">
        <v>4488</v>
      </c>
      <c r="M3962" t="s">
        <v>4450</v>
      </c>
      <c r="N3962">
        <v>5</v>
      </c>
    </row>
    <row r="3963" spans="1:14" x14ac:dyDescent="0.35">
      <c r="A3963" t="s">
        <v>8442</v>
      </c>
      <c r="B3963" t="s">
        <v>341</v>
      </c>
      <c r="C3963" t="s">
        <v>1883</v>
      </c>
      <c r="D3963" t="s">
        <v>4460</v>
      </c>
      <c r="E3963" t="s">
        <v>4439</v>
      </c>
      <c r="F3963" s="3">
        <v>45117</v>
      </c>
      <c r="G3963" s="3" t="s">
        <v>537</v>
      </c>
      <c r="I3963">
        <v>48</v>
      </c>
      <c r="J3963" t="s">
        <v>4448</v>
      </c>
      <c r="K3963" t="s">
        <v>4453</v>
      </c>
      <c r="L3963" t="s">
        <v>4492</v>
      </c>
      <c r="M3963" t="s">
        <v>4450</v>
      </c>
    </row>
    <row r="3964" spans="1:14" x14ac:dyDescent="0.35">
      <c r="A3964" t="s">
        <v>8443</v>
      </c>
      <c r="B3964" t="s">
        <v>287</v>
      </c>
      <c r="C3964" t="s">
        <v>1883</v>
      </c>
      <c r="D3964" t="s">
        <v>4452</v>
      </c>
      <c r="E3964" t="s">
        <v>4473</v>
      </c>
      <c r="F3964" s="3">
        <v>45129</v>
      </c>
      <c r="G3964" s="3">
        <v>45129</v>
      </c>
      <c r="H3964">
        <v>15.6</v>
      </c>
      <c r="I3964">
        <v>8</v>
      </c>
      <c r="J3964" t="s">
        <v>4440</v>
      </c>
      <c r="K3964" t="s">
        <v>4441</v>
      </c>
      <c r="L3964" t="s">
        <v>4458</v>
      </c>
      <c r="M3964" t="s">
        <v>4446</v>
      </c>
      <c r="N3964">
        <v>5</v>
      </c>
    </row>
    <row r="3965" spans="1:14" x14ac:dyDescent="0.35">
      <c r="A3965" t="s">
        <v>8444</v>
      </c>
      <c r="B3965" t="s">
        <v>214</v>
      </c>
      <c r="C3965" t="s">
        <v>1890</v>
      </c>
      <c r="D3965" t="s">
        <v>4472</v>
      </c>
      <c r="E3965" t="s">
        <v>4439</v>
      </c>
      <c r="F3965" s="3">
        <v>45676</v>
      </c>
      <c r="G3965" s="3" t="s">
        <v>537</v>
      </c>
      <c r="I3965">
        <v>48</v>
      </c>
      <c r="J3965" t="s">
        <v>4440</v>
      </c>
      <c r="K3965" t="s">
        <v>4457</v>
      </c>
      <c r="L3965" t="s">
        <v>4449</v>
      </c>
      <c r="M3965" t="s">
        <v>1625</v>
      </c>
    </row>
    <row r="3966" spans="1:14" x14ac:dyDescent="0.35">
      <c r="A3966" t="s">
        <v>8445</v>
      </c>
      <c r="B3966" t="s">
        <v>495</v>
      </c>
      <c r="C3966" t="s">
        <v>1915</v>
      </c>
      <c r="D3966" t="s">
        <v>4460</v>
      </c>
      <c r="E3966" t="s">
        <v>4439</v>
      </c>
      <c r="F3966" s="3">
        <v>45652</v>
      </c>
      <c r="G3966" s="3">
        <v>45655</v>
      </c>
      <c r="H3966">
        <v>76</v>
      </c>
      <c r="I3966">
        <v>48</v>
      </c>
      <c r="J3966" t="s">
        <v>4440</v>
      </c>
      <c r="K3966" t="s">
        <v>4441</v>
      </c>
      <c r="L3966" t="s">
        <v>4449</v>
      </c>
      <c r="M3966" t="s">
        <v>4446</v>
      </c>
      <c r="N3966">
        <v>4</v>
      </c>
    </row>
    <row r="3967" spans="1:14" x14ac:dyDescent="0.35">
      <c r="A3967" t="s">
        <v>8446</v>
      </c>
      <c r="B3967" t="s">
        <v>457</v>
      </c>
      <c r="C3967" t="s">
        <v>1883</v>
      </c>
      <c r="D3967" t="s">
        <v>4472</v>
      </c>
      <c r="E3967" t="s">
        <v>4439</v>
      </c>
      <c r="F3967" s="3">
        <v>45712</v>
      </c>
      <c r="G3967" s="3">
        <v>45712</v>
      </c>
      <c r="H3967">
        <v>3.7</v>
      </c>
      <c r="I3967">
        <v>48</v>
      </c>
      <c r="J3967" t="s">
        <v>4448</v>
      </c>
      <c r="K3967" t="s">
        <v>4441</v>
      </c>
      <c r="L3967" t="s">
        <v>4533</v>
      </c>
      <c r="M3967" t="s">
        <v>4462</v>
      </c>
      <c r="N3967">
        <v>2</v>
      </c>
    </row>
    <row r="3968" spans="1:14" x14ac:dyDescent="0.35">
      <c r="A3968" t="s">
        <v>8447</v>
      </c>
      <c r="B3968" t="s">
        <v>255</v>
      </c>
      <c r="C3968" t="s">
        <v>1883</v>
      </c>
      <c r="D3968" t="s">
        <v>4485</v>
      </c>
      <c r="E3968" t="s">
        <v>4444</v>
      </c>
      <c r="F3968" s="3">
        <v>45014</v>
      </c>
      <c r="G3968" s="3">
        <v>45016</v>
      </c>
      <c r="H3968">
        <v>58.6</v>
      </c>
      <c r="I3968">
        <v>24</v>
      </c>
      <c r="J3968" t="s">
        <v>4440</v>
      </c>
      <c r="K3968" t="s">
        <v>4441</v>
      </c>
      <c r="L3968" t="s">
        <v>4465</v>
      </c>
      <c r="M3968" t="s">
        <v>1625</v>
      </c>
    </row>
    <row r="3969" spans="1:14" x14ac:dyDescent="0.35">
      <c r="A3969" t="s">
        <v>8448</v>
      </c>
      <c r="B3969" t="s">
        <v>285</v>
      </c>
      <c r="C3969" t="s">
        <v>1883</v>
      </c>
      <c r="D3969" t="s">
        <v>4452</v>
      </c>
      <c r="E3969" t="s">
        <v>4444</v>
      </c>
      <c r="F3969" s="3">
        <v>44971</v>
      </c>
      <c r="G3969" s="3" t="s">
        <v>537</v>
      </c>
      <c r="I3969">
        <v>24</v>
      </c>
      <c r="J3969" t="s">
        <v>4440</v>
      </c>
      <c r="K3969" t="s">
        <v>4457</v>
      </c>
      <c r="L3969" t="s">
        <v>4470</v>
      </c>
      <c r="M3969" t="s">
        <v>4462</v>
      </c>
    </row>
    <row r="3970" spans="1:14" x14ac:dyDescent="0.35">
      <c r="A3970" t="s">
        <v>8449</v>
      </c>
      <c r="B3970" t="s">
        <v>236</v>
      </c>
      <c r="C3970" t="s">
        <v>1915</v>
      </c>
      <c r="D3970" t="s">
        <v>4452</v>
      </c>
      <c r="E3970" t="s">
        <v>4444</v>
      </c>
      <c r="F3970" s="3">
        <v>45064</v>
      </c>
      <c r="G3970" s="3">
        <v>45065</v>
      </c>
      <c r="H3970">
        <v>44</v>
      </c>
      <c r="I3970">
        <v>24</v>
      </c>
      <c r="J3970" t="s">
        <v>4440</v>
      </c>
      <c r="K3970" t="s">
        <v>4441</v>
      </c>
      <c r="L3970" t="s">
        <v>4458</v>
      </c>
      <c r="M3970" t="s">
        <v>1625</v>
      </c>
      <c r="N3970">
        <v>4</v>
      </c>
    </row>
    <row r="3971" spans="1:14" x14ac:dyDescent="0.35">
      <c r="A3971" t="s">
        <v>8450</v>
      </c>
      <c r="B3971" t="s">
        <v>279</v>
      </c>
      <c r="C3971" t="s">
        <v>1927</v>
      </c>
      <c r="D3971" t="s">
        <v>4443</v>
      </c>
      <c r="E3971" t="s">
        <v>4473</v>
      </c>
      <c r="F3971" s="3">
        <v>44963</v>
      </c>
      <c r="G3971" s="3">
        <v>44963</v>
      </c>
      <c r="H3971">
        <v>17.899999999999999</v>
      </c>
      <c r="I3971">
        <v>8</v>
      </c>
      <c r="J3971" t="s">
        <v>4440</v>
      </c>
      <c r="K3971" t="s">
        <v>4441</v>
      </c>
      <c r="L3971" t="s">
        <v>4580</v>
      </c>
      <c r="M3971" t="s">
        <v>1625</v>
      </c>
      <c r="N3971">
        <v>5</v>
      </c>
    </row>
    <row r="3972" spans="1:14" x14ac:dyDescent="0.35">
      <c r="A3972" t="s">
        <v>8451</v>
      </c>
      <c r="B3972" t="s">
        <v>467</v>
      </c>
      <c r="C3972" t="s">
        <v>1904</v>
      </c>
      <c r="D3972" t="s">
        <v>4472</v>
      </c>
      <c r="E3972" t="s">
        <v>79</v>
      </c>
      <c r="F3972" s="3">
        <v>45618</v>
      </c>
      <c r="G3972" s="3">
        <v>45618</v>
      </c>
      <c r="H3972">
        <v>15.5</v>
      </c>
      <c r="I3972">
        <v>24</v>
      </c>
      <c r="J3972" t="s">
        <v>4448</v>
      </c>
      <c r="K3972" t="s">
        <v>4441</v>
      </c>
      <c r="L3972" t="s">
        <v>4509</v>
      </c>
      <c r="M3972" t="s">
        <v>4446</v>
      </c>
      <c r="N3972">
        <v>5</v>
      </c>
    </row>
    <row r="3973" spans="1:14" x14ac:dyDescent="0.35">
      <c r="A3973" t="s">
        <v>8452</v>
      </c>
      <c r="B3973" t="s">
        <v>203</v>
      </c>
      <c r="C3973" t="s">
        <v>1927</v>
      </c>
      <c r="D3973" t="s">
        <v>4485</v>
      </c>
      <c r="E3973" t="s">
        <v>4444</v>
      </c>
      <c r="F3973" s="3">
        <v>45249</v>
      </c>
      <c r="G3973" s="3">
        <v>45250</v>
      </c>
      <c r="H3973">
        <v>38.700000000000003</v>
      </c>
      <c r="I3973">
        <v>24</v>
      </c>
      <c r="J3973" t="s">
        <v>1945</v>
      </c>
      <c r="K3973" t="s">
        <v>4441</v>
      </c>
      <c r="L3973" t="s">
        <v>4467</v>
      </c>
      <c r="M3973" t="s">
        <v>4450</v>
      </c>
      <c r="N3973">
        <v>3</v>
      </c>
    </row>
    <row r="3974" spans="1:14" x14ac:dyDescent="0.35">
      <c r="A3974" t="s">
        <v>8453</v>
      </c>
      <c r="B3974" t="s">
        <v>436</v>
      </c>
      <c r="C3974" t="s">
        <v>1915</v>
      </c>
      <c r="D3974" t="s">
        <v>4452</v>
      </c>
      <c r="E3974" t="s">
        <v>4439</v>
      </c>
      <c r="F3974" s="3">
        <v>45265</v>
      </c>
      <c r="G3974" s="3">
        <v>45265</v>
      </c>
      <c r="H3974">
        <v>18.5</v>
      </c>
      <c r="I3974">
        <v>48</v>
      </c>
      <c r="J3974" t="s">
        <v>4448</v>
      </c>
      <c r="K3974" t="s">
        <v>4441</v>
      </c>
      <c r="L3974" t="s">
        <v>4449</v>
      </c>
      <c r="M3974" t="s">
        <v>4462</v>
      </c>
    </row>
    <row r="3975" spans="1:14" x14ac:dyDescent="0.35">
      <c r="A3975" t="s">
        <v>8454</v>
      </c>
      <c r="B3975" t="s">
        <v>417</v>
      </c>
      <c r="C3975" t="s">
        <v>1927</v>
      </c>
      <c r="D3975" t="s">
        <v>4490</v>
      </c>
      <c r="E3975" t="s">
        <v>4439</v>
      </c>
      <c r="F3975" s="3">
        <v>45215</v>
      </c>
      <c r="G3975" s="3">
        <v>45216</v>
      </c>
      <c r="H3975">
        <v>37.299999999999997</v>
      </c>
      <c r="I3975">
        <v>48</v>
      </c>
      <c r="J3975" t="s">
        <v>4448</v>
      </c>
      <c r="K3975" t="s">
        <v>4441</v>
      </c>
      <c r="L3975" t="s">
        <v>4501</v>
      </c>
      <c r="M3975" t="s">
        <v>4446</v>
      </c>
      <c r="N3975">
        <v>4</v>
      </c>
    </row>
    <row r="3976" spans="1:14" x14ac:dyDescent="0.35">
      <c r="A3976" t="s">
        <v>8455</v>
      </c>
      <c r="B3976" t="s">
        <v>307</v>
      </c>
      <c r="C3976" t="s">
        <v>1890</v>
      </c>
      <c r="D3976" t="s">
        <v>4490</v>
      </c>
      <c r="E3976" t="s">
        <v>4444</v>
      </c>
      <c r="F3976" s="3">
        <v>45270</v>
      </c>
      <c r="G3976" s="3">
        <v>45272</v>
      </c>
      <c r="H3976">
        <v>48</v>
      </c>
      <c r="I3976">
        <v>24</v>
      </c>
      <c r="J3976" t="s">
        <v>4440</v>
      </c>
      <c r="K3976" t="s">
        <v>4441</v>
      </c>
      <c r="L3976" t="s">
        <v>4470</v>
      </c>
      <c r="M3976" t="s">
        <v>1625</v>
      </c>
    </row>
    <row r="3977" spans="1:14" x14ac:dyDescent="0.35">
      <c r="A3977" t="s">
        <v>8456</v>
      </c>
      <c r="B3977" t="s">
        <v>475</v>
      </c>
      <c r="C3977" t="s">
        <v>1899</v>
      </c>
      <c r="D3977" t="s">
        <v>4460</v>
      </c>
      <c r="E3977" t="s">
        <v>4439</v>
      </c>
      <c r="F3977" s="3">
        <v>45663</v>
      </c>
      <c r="G3977" s="3">
        <v>45665</v>
      </c>
      <c r="H3977">
        <v>66.2</v>
      </c>
      <c r="I3977">
        <v>48</v>
      </c>
      <c r="J3977" t="s">
        <v>4440</v>
      </c>
      <c r="K3977" t="s">
        <v>4441</v>
      </c>
      <c r="L3977" t="s">
        <v>4465</v>
      </c>
      <c r="M3977" t="s">
        <v>1625</v>
      </c>
      <c r="N3977">
        <v>3</v>
      </c>
    </row>
    <row r="3978" spans="1:14" x14ac:dyDescent="0.35">
      <c r="A3978" t="s">
        <v>8457</v>
      </c>
      <c r="B3978" t="s">
        <v>156</v>
      </c>
      <c r="C3978" t="s">
        <v>1890</v>
      </c>
      <c r="D3978" t="s">
        <v>4452</v>
      </c>
      <c r="E3978" t="s">
        <v>4473</v>
      </c>
      <c r="F3978" s="3">
        <v>44957</v>
      </c>
      <c r="G3978" s="3">
        <v>44957</v>
      </c>
      <c r="H3978">
        <v>16.899999999999999</v>
      </c>
      <c r="I3978">
        <v>8</v>
      </c>
      <c r="J3978" t="s">
        <v>4440</v>
      </c>
      <c r="K3978" t="s">
        <v>4441</v>
      </c>
      <c r="L3978" t="s">
        <v>4449</v>
      </c>
      <c r="M3978" t="s">
        <v>1625</v>
      </c>
      <c r="N3978">
        <v>3</v>
      </c>
    </row>
    <row r="3979" spans="1:14" x14ac:dyDescent="0.35">
      <c r="A3979" t="s">
        <v>8458</v>
      </c>
      <c r="B3979" t="s">
        <v>428</v>
      </c>
      <c r="C3979" t="s">
        <v>1904</v>
      </c>
      <c r="D3979" t="s">
        <v>8504</v>
      </c>
      <c r="E3979" t="s">
        <v>4439</v>
      </c>
      <c r="F3979" s="3">
        <v>45116</v>
      </c>
      <c r="G3979" s="3">
        <v>45117</v>
      </c>
      <c r="H3979">
        <v>43.5</v>
      </c>
      <c r="I3979">
        <v>48</v>
      </c>
      <c r="J3979" t="s">
        <v>4448</v>
      </c>
      <c r="K3979" t="s">
        <v>4441</v>
      </c>
      <c r="L3979" t="s">
        <v>4509</v>
      </c>
      <c r="M3979" t="s">
        <v>1625</v>
      </c>
      <c r="N3979">
        <v>4</v>
      </c>
    </row>
    <row r="3980" spans="1:14" x14ac:dyDescent="0.35">
      <c r="A3980" t="s">
        <v>8459</v>
      </c>
      <c r="B3980" t="s">
        <v>355</v>
      </c>
      <c r="C3980" t="s">
        <v>1899</v>
      </c>
      <c r="D3980" t="s">
        <v>4464</v>
      </c>
      <c r="E3980" t="s">
        <v>79</v>
      </c>
      <c r="F3980" s="3">
        <v>45626</v>
      </c>
      <c r="G3980" s="3">
        <v>45626</v>
      </c>
      <c r="H3980">
        <v>5.4</v>
      </c>
      <c r="I3980">
        <v>8</v>
      </c>
      <c r="J3980" t="s">
        <v>4448</v>
      </c>
      <c r="K3980" t="s">
        <v>4441</v>
      </c>
      <c r="L3980" t="s">
        <v>4509</v>
      </c>
      <c r="M3980" t="s">
        <v>1625</v>
      </c>
      <c r="N3980">
        <v>3</v>
      </c>
    </row>
    <row r="3981" spans="1:14" x14ac:dyDescent="0.35">
      <c r="A3981" t="s">
        <v>8460</v>
      </c>
      <c r="B3981" t="s">
        <v>279</v>
      </c>
      <c r="C3981" t="s">
        <v>1890</v>
      </c>
      <c r="D3981" t="s">
        <v>4464</v>
      </c>
      <c r="E3981" t="s">
        <v>4444</v>
      </c>
      <c r="F3981" s="3">
        <v>45168</v>
      </c>
      <c r="G3981" s="3" t="s">
        <v>537</v>
      </c>
      <c r="I3981">
        <v>24</v>
      </c>
      <c r="J3981" t="s">
        <v>4448</v>
      </c>
      <c r="K3981" t="s">
        <v>4457</v>
      </c>
      <c r="L3981" t="s">
        <v>4509</v>
      </c>
      <c r="M3981" t="s">
        <v>1625</v>
      </c>
    </row>
    <row r="3982" spans="1:14" x14ac:dyDescent="0.35">
      <c r="A3982" t="s">
        <v>8461</v>
      </c>
      <c r="B3982" t="s">
        <v>378</v>
      </c>
      <c r="C3982" t="s">
        <v>1915</v>
      </c>
      <c r="D3982" t="s">
        <v>4479</v>
      </c>
      <c r="E3982" t="s">
        <v>4444</v>
      </c>
      <c r="F3982" s="3">
        <v>45184</v>
      </c>
      <c r="G3982" s="3">
        <v>45184</v>
      </c>
      <c r="H3982">
        <v>9.8000000000000007</v>
      </c>
      <c r="I3982">
        <v>24</v>
      </c>
      <c r="J3982" t="s">
        <v>4448</v>
      </c>
      <c r="K3982" t="s">
        <v>4441</v>
      </c>
      <c r="L3982" t="s">
        <v>4449</v>
      </c>
      <c r="M3982" t="s">
        <v>4450</v>
      </c>
      <c r="N3982">
        <v>4</v>
      </c>
    </row>
    <row r="3983" spans="1:14" x14ac:dyDescent="0.35">
      <c r="A3983" t="s">
        <v>8462</v>
      </c>
      <c r="B3983" t="s">
        <v>461</v>
      </c>
      <c r="C3983" t="s">
        <v>1883</v>
      </c>
      <c r="D3983" t="s">
        <v>4443</v>
      </c>
      <c r="E3983" t="s">
        <v>4473</v>
      </c>
      <c r="F3983" s="3">
        <v>45644</v>
      </c>
      <c r="G3983" s="3">
        <v>45644</v>
      </c>
      <c r="H3983">
        <v>6</v>
      </c>
      <c r="I3983">
        <v>8</v>
      </c>
      <c r="J3983" t="s">
        <v>4448</v>
      </c>
      <c r="K3983" t="s">
        <v>4441</v>
      </c>
      <c r="L3983" t="s">
        <v>4454</v>
      </c>
      <c r="M3983" t="s">
        <v>4446</v>
      </c>
    </row>
    <row r="3984" spans="1:14" x14ac:dyDescent="0.35">
      <c r="A3984" t="s">
        <v>8463</v>
      </c>
      <c r="B3984" t="s">
        <v>458</v>
      </c>
      <c r="C3984" t="s">
        <v>1899</v>
      </c>
      <c r="D3984" t="s">
        <v>4479</v>
      </c>
      <c r="E3984" t="s">
        <v>4473</v>
      </c>
      <c r="F3984" s="3">
        <v>45589</v>
      </c>
      <c r="G3984" s="3" t="s">
        <v>537</v>
      </c>
      <c r="I3984">
        <v>8</v>
      </c>
      <c r="J3984" t="s">
        <v>4440</v>
      </c>
      <c r="K3984" t="s">
        <v>4457</v>
      </c>
      <c r="L3984" t="s">
        <v>4445</v>
      </c>
      <c r="M3984" t="s">
        <v>4462</v>
      </c>
    </row>
    <row r="3985" spans="1:14" x14ac:dyDescent="0.35">
      <c r="A3985" t="s">
        <v>8464</v>
      </c>
      <c r="B3985" t="s">
        <v>372</v>
      </c>
      <c r="C3985" t="s">
        <v>1915</v>
      </c>
      <c r="D3985" t="s">
        <v>4460</v>
      </c>
      <c r="E3985" t="s">
        <v>4444</v>
      </c>
      <c r="F3985" s="3">
        <v>45610</v>
      </c>
      <c r="G3985" s="3">
        <v>45612</v>
      </c>
      <c r="H3985">
        <v>52.1</v>
      </c>
      <c r="I3985">
        <v>24</v>
      </c>
      <c r="J3985" t="s">
        <v>4440</v>
      </c>
      <c r="K3985" t="s">
        <v>4441</v>
      </c>
      <c r="L3985" t="s">
        <v>4449</v>
      </c>
      <c r="M3985" t="s">
        <v>4450</v>
      </c>
      <c r="N3985">
        <v>5</v>
      </c>
    </row>
    <row r="3986" spans="1:14" x14ac:dyDescent="0.35">
      <c r="A3986" t="s">
        <v>8465</v>
      </c>
      <c r="B3986" t="s">
        <v>461</v>
      </c>
      <c r="C3986" t="s">
        <v>1915</v>
      </c>
      <c r="D3986" t="s">
        <v>4485</v>
      </c>
      <c r="E3986" t="s">
        <v>4439</v>
      </c>
      <c r="F3986" s="3">
        <v>45559</v>
      </c>
      <c r="G3986" s="3">
        <v>45562</v>
      </c>
      <c r="H3986">
        <v>76.599999999999994</v>
      </c>
      <c r="I3986">
        <v>48</v>
      </c>
      <c r="J3986" t="s">
        <v>4440</v>
      </c>
      <c r="K3986" t="s">
        <v>4441</v>
      </c>
      <c r="L3986" t="s">
        <v>4454</v>
      </c>
      <c r="M3986" t="s">
        <v>4462</v>
      </c>
      <c r="N3986">
        <v>2</v>
      </c>
    </row>
    <row r="3987" spans="1:14" x14ac:dyDescent="0.35">
      <c r="A3987" t="s">
        <v>8466</v>
      </c>
      <c r="B3987" t="s">
        <v>224</v>
      </c>
      <c r="C3987" t="s">
        <v>1890</v>
      </c>
      <c r="D3987" t="s">
        <v>4476</v>
      </c>
      <c r="E3987" t="s">
        <v>4439</v>
      </c>
      <c r="F3987" s="3">
        <v>45579</v>
      </c>
      <c r="G3987" s="3">
        <v>45579</v>
      </c>
      <c r="H3987">
        <v>1.3</v>
      </c>
      <c r="I3987">
        <v>48</v>
      </c>
      <c r="J3987" t="s">
        <v>4448</v>
      </c>
      <c r="K3987" t="s">
        <v>4441</v>
      </c>
      <c r="L3987" t="s">
        <v>4449</v>
      </c>
      <c r="M3987" t="s">
        <v>4446</v>
      </c>
      <c r="N3987">
        <v>3</v>
      </c>
    </row>
    <row r="3988" spans="1:14" x14ac:dyDescent="0.35">
      <c r="A3988" t="s">
        <v>8467</v>
      </c>
      <c r="B3988" t="s">
        <v>374</v>
      </c>
      <c r="C3988" t="s">
        <v>1899</v>
      </c>
      <c r="D3988" t="s">
        <v>4438</v>
      </c>
      <c r="E3988" t="s">
        <v>4473</v>
      </c>
      <c r="F3988" s="3">
        <v>45411</v>
      </c>
      <c r="G3988" s="3" t="s">
        <v>537</v>
      </c>
      <c r="I3988">
        <v>8</v>
      </c>
      <c r="J3988" t="s">
        <v>4440</v>
      </c>
      <c r="K3988" t="s">
        <v>4453</v>
      </c>
      <c r="L3988" t="s">
        <v>4501</v>
      </c>
      <c r="M3988" t="s">
        <v>4462</v>
      </c>
    </row>
    <row r="3989" spans="1:14" x14ac:dyDescent="0.35">
      <c r="A3989" t="s">
        <v>8468</v>
      </c>
      <c r="B3989" t="s">
        <v>470</v>
      </c>
      <c r="C3989" t="s">
        <v>1915</v>
      </c>
      <c r="D3989" t="s">
        <v>8513</v>
      </c>
      <c r="E3989" t="s">
        <v>4444</v>
      </c>
      <c r="F3989" s="3">
        <v>45311</v>
      </c>
      <c r="G3989" s="3" t="s">
        <v>537</v>
      </c>
      <c r="I3989">
        <v>24</v>
      </c>
      <c r="J3989" t="s">
        <v>4448</v>
      </c>
      <c r="K3989" t="s">
        <v>4457</v>
      </c>
      <c r="L3989" t="s">
        <v>4509</v>
      </c>
      <c r="M3989" t="s">
        <v>4462</v>
      </c>
    </row>
    <row r="3990" spans="1:14" x14ac:dyDescent="0.35">
      <c r="A3990" t="s">
        <v>8469</v>
      </c>
      <c r="B3990" t="s">
        <v>222</v>
      </c>
      <c r="C3990" t="s">
        <v>1904</v>
      </c>
      <c r="D3990" t="s">
        <v>4476</v>
      </c>
      <c r="E3990" t="s">
        <v>4444</v>
      </c>
      <c r="F3990" s="3">
        <v>45080</v>
      </c>
      <c r="G3990" s="3">
        <v>45080</v>
      </c>
      <c r="H3990">
        <v>4.0999999999999996</v>
      </c>
      <c r="I3990">
        <v>24</v>
      </c>
      <c r="J3990" t="s">
        <v>4448</v>
      </c>
      <c r="K3990" t="s">
        <v>4441</v>
      </c>
      <c r="L3990" t="s">
        <v>4512</v>
      </c>
      <c r="M3990" t="s">
        <v>1625</v>
      </c>
      <c r="N3990">
        <v>3</v>
      </c>
    </row>
    <row r="3991" spans="1:14" x14ac:dyDescent="0.35">
      <c r="A3991" t="s">
        <v>8470</v>
      </c>
      <c r="B3991" t="s">
        <v>196</v>
      </c>
      <c r="C3991" t="s">
        <v>1927</v>
      </c>
      <c r="D3991" t="s">
        <v>4452</v>
      </c>
      <c r="E3991" t="s">
        <v>4473</v>
      </c>
      <c r="F3991" s="3">
        <v>45337</v>
      </c>
      <c r="G3991" s="3">
        <v>45337</v>
      </c>
      <c r="H3991">
        <v>2.2999999999999998</v>
      </c>
      <c r="I3991">
        <v>8</v>
      </c>
      <c r="J3991" t="s">
        <v>4448</v>
      </c>
      <c r="K3991" t="s">
        <v>4441</v>
      </c>
      <c r="L3991" t="s">
        <v>4449</v>
      </c>
      <c r="M3991" t="s">
        <v>4462</v>
      </c>
    </row>
    <row r="3992" spans="1:14" x14ac:dyDescent="0.35">
      <c r="A3992" t="s">
        <v>8471</v>
      </c>
      <c r="B3992" t="s">
        <v>414</v>
      </c>
      <c r="C3992" t="s">
        <v>1904</v>
      </c>
      <c r="D3992" t="s">
        <v>4452</v>
      </c>
      <c r="E3992" t="s">
        <v>79</v>
      </c>
      <c r="F3992" s="3">
        <v>45238</v>
      </c>
      <c r="G3992" s="3" t="s">
        <v>537</v>
      </c>
      <c r="I3992">
        <v>24</v>
      </c>
      <c r="J3992" t="s">
        <v>4448</v>
      </c>
      <c r="K3992" t="s">
        <v>4457</v>
      </c>
      <c r="L3992" t="s">
        <v>4480</v>
      </c>
      <c r="M3992" t="s">
        <v>4446</v>
      </c>
    </row>
    <row r="3993" spans="1:14" x14ac:dyDescent="0.35">
      <c r="A3993" t="s">
        <v>8472</v>
      </c>
      <c r="B3993" t="s">
        <v>346</v>
      </c>
      <c r="C3993" t="s">
        <v>1927</v>
      </c>
      <c r="D3993" t="s">
        <v>4482</v>
      </c>
      <c r="E3993" t="s">
        <v>4439</v>
      </c>
      <c r="F3993" s="3">
        <v>45156</v>
      </c>
      <c r="G3993" s="3">
        <v>45156</v>
      </c>
      <c r="H3993">
        <v>10.7</v>
      </c>
      <c r="I3993">
        <v>48</v>
      </c>
      <c r="J3993" t="s">
        <v>4448</v>
      </c>
      <c r="K3993" t="s">
        <v>4441</v>
      </c>
      <c r="L3993" t="s">
        <v>4512</v>
      </c>
      <c r="M3993" t="s">
        <v>1625</v>
      </c>
      <c r="N3993">
        <v>3</v>
      </c>
    </row>
    <row r="3994" spans="1:14" x14ac:dyDescent="0.35">
      <c r="A3994" t="s">
        <v>8473</v>
      </c>
      <c r="B3994" t="s">
        <v>146</v>
      </c>
      <c r="C3994" t="s">
        <v>1904</v>
      </c>
      <c r="D3994" t="s">
        <v>4479</v>
      </c>
      <c r="E3994" t="s">
        <v>4444</v>
      </c>
      <c r="F3994" s="3">
        <v>45305</v>
      </c>
      <c r="G3994" s="3">
        <v>45305</v>
      </c>
      <c r="H3994">
        <v>13.7</v>
      </c>
      <c r="I3994">
        <v>24</v>
      </c>
      <c r="J3994" t="s">
        <v>4448</v>
      </c>
      <c r="K3994" t="s">
        <v>4441</v>
      </c>
      <c r="L3994" t="s">
        <v>4458</v>
      </c>
      <c r="M3994" t="s">
        <v>4450</v>
      </c>
      <c r="N3994">
        <v>5</v>
      </c>
    </row>
    <row r="3995" spans="1:14" x14ac:dyDescent="0.35">
      <c r="A3995" t="s">
        <v>8474</v>
      </c>
      <c r="B3995" t="s">
        <v>135</v>
      </c>
      <c r="C3995" t="s">
        <v>1904</v>
      </c>
      <c r="D3995" t="s">
        <v>4443</v>
      </c>
      <c r="E3995" t="s">
        <v>4456</v>
      </c>
      <c r="F3995" s="3">
        <v>44963</v>
      </c>
      <c r="G3995" s="3" t="s">
        <v>537</v>
      </c>
      <c r="I3995">
        <v>4</v>
      </c>
      <c r="J3995" t="s">
        <v>4448</v>
      </c>
      <c r="K3995" t="s">
        <v>4453</v>
      </c>
      <c r="L3995" t="s">
        <v>4449</v>
      </c>
      <c r="M3995" t="s">
        <v>4446</v>
      </c>
    </row>
    <row r="3996" spans="1:14" x14ac:dyDescent="0.35">
      <c r="A3996" t="s">
        <v>8475</v>
      </c>
      <c r="B3996" t="s">
        <v>228</v>
      </c>
      <c r="C3996" t="s">
        <v>1927</v>
      </c>
      <c r="D3996" t="s">
        <v>4460</v>
      </c>
      <c r="E3996" t="s">
        <v>4473</v>
      </c>
      <c r="F3996" s="3">
        <v>45507</v>
      </c>
      <c r="G3996" s="3" t="s">
        <v>537</v>
      </c>
      <c r="I3996">
        <v>8</v>
      </c>
      <c r="J3996" t="s">
        <v>4440</v>
      </c>
      <c r="K3996" t="s">
        <v>4453</v>
      </c>
      <c r="L3996" t="s">
        <v>4467</v>
      </c>
      <c r="M3996" t="s">
        <v>4446</v>
      </c>
    </row>
    <row r="3997" spans="1:14" x14ac:dyDescent="0.35">
      <c r="A3997" t="s">
        <v>8476</v>
      </c>
      <c r="B3997" t="s">
        <v>446</v>
      </c>
      <c r="C3997" t="s">
        <v>1927</v>
      </c>
      <c r="D3997" t="s">
        <v>4490</v>
      </c>
      <c r="E3997" t="s">
        <v>4456</v>
      </c>
      <c r="F3997" s="3">
        <v>44996</v>
      </c>
      <c r="G3997" s="3">
        <v>44996</v>
      </c>
      <c r="H3997">
        <v>8.1999999999999993</v>
      </c>
      <c r="I3997">
        <v>4</v>
      </c>
      <c r="J3997" t="s">
        <v>4440</v>
      </c>
      <c r="K3997" t="s">
        <v>4441</v>
      </c>
      <c r="L3997" t="s">
        <v>4527</v>
      </c>
      <c r="M3997" t="s">
        <v>4450</v>
      </c>
      <c r="N3997">
        <v>1</v>
      </c>
    </row>
    <row r="3998" spans="1:14" x14ac:dyDescent="0.35">
      <c r="A3998" t="s">
        <v>8477</v>
      </c>
      <c r="B3998" t="s">
        <v>458</v>
      </c>
      <c r="C3998" t="s">
        <v>1899</v>
      </c>
      <c r="D3998" t="s">
        <v>4479</v>
      </c>
      <c r="E3998" t="s">
        <v>4444</v>
      </c>
      <c r="F3998" s="3">
        <v>45458</v>
      </c>
      <c r="G3998" s="3" t="s">
        <v>537</v>
      </c>
      <c r="I3998">
        <v>24</v>
      </c>
      <c r="J3998" t="s">
        <v>4440</v>
      </c>
      <c r="K3998" t="s">
        <v>4457</v>
      </c>
      <c r="L3998" t="s">
        <v>4488</v>
      </c>
      <c r="M3998" t="s">
        <v>4462</v>
      </c>
    </row>
    <row r="3999" spans="1:14" x14ac:dyDescent="0.35">
      <c r="A3999" t="s">
        <v>8478</v>
      </c>
      <c r="B3999" t="s">
        <v>273</v>
      </c>
      <c r="C3999" t="s">
        <v>1915</v>
      </c>
      <c r="D3999" t="s">
        <v>4460</v>
      </c>
      <c r="E3999" t="s">
        <v>79</v>
      </c>
      <c r="F3999" s="3">
        <v>45628</v>
      </c>
      <c r="G3999" s="3" t="s">
        <v>537</v>
      </c>
      <c r="I3999">
        <v>4</v>
      </c>
      <c r="J3999" t="s">
        <v>4440</v>
      </c>
      <c r="K3999" t="s">
        <v>4474</v>
      </c>
      <c r="L3999" t="s">
        <v>4512</v>
      </c>
      <c r="M3999" t="s">
        <v>4462</v>
      </c>
    </row>
    <row r="4000" spans="1:14" x14ac:dyDescent="0.35">
      <c r="A4000" t="s">
        <v>8479</v>
      </c>
      <c r="B4000" t="s">
        <v>493</v>
      </c>
      <c r="C4000" t="s">
        <v>1890</v>
      </c>
      <c r="D4000" t="s">
        <v>4485</v>
      </c>
      <c r="E4000" t="s">
        <v>4439</v>
      </c>
      <c r="F4000" s="3">
        <v>45635</v>
      </c>
      <c r="G4000" s="3" t="s">
        <v>537</v>
      </c>
      <c r="I4000">
        <v>48</v>
      </c>
      <c r="J4000" t="s">
        <v>4448</v>
      </c>
      <c r="K4000" t="s">
        <v>4453</v>
      </c>
      <c r="L4000" t="s">
        <v>4488</v>
      </c>
      <c r="M4000" t="s">
        <v>1625</v>
      </c>
    </row>
    <row r="4001" spans="1:13" x14ac:dyDescent="0.35">
      <c r="A4001" t="s">
        <v>8480</v>
      </c>
      <c r="B4001" t="s">
        <v>280</v>
      </c>
      <c r="C4001" t="s">
        <v>1927</v>
      </c>
      <c r="D4001" t="s">
        <v>4452</v>
      </c>
      <c r="E4001" t="s">
        <v>4473</v>
      </c>
      <c r="F4001" s="3">
        <v>45604</v>
      </c>
      <c r="G4001" s="3" t="s">
        <v>537</v>
      </c>
      <c r="I4001">
        <v>8</v>
      </c>
      <c r="J4001" t="s">
        <v>4440</v>
      </c>
      <c r="K4001" t="s">
        <v>4453</v>
      </c>
      <c r="L4001" t="s">
        <v>4480</v>
      </c>
      <c r="M4001" t="s">
        <v>1625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23FB-C41B-474E-A940-D229AB4E1E07}">
  <dimension ref="A1:I27"/>
  <sheetViews>
    <sheetView topLeftCell="A17" workbookViewId="0">
      <selection activeCell="J9" sqref="J9"/>
    </sheetView>
  </sheetViews>
  <sheetFormatPr defaultRowHeight="14.5" x14ac:dyDescent="0.35"/>
  <cols>
    <col min="1" max="1" width="23.6328125" customWidth="1"/>
    <col min="2" max="2" width="13.08984375" customWidth="1"/>
    <col min="3" max="3" width="12.453125" customWidth="1"/>
  </cols>
  <sheetData>
    <row r="1" spans="1:9" ht="26" x14ac:dyDescent="0.6">
      <c r="A1" s="84" t="s">
        <v>8481</v>
      </c>
      <c r="B1" s="84"/>
      <c r="C1" s="84"/>
      <c r="D1" s="84"/>
      <c r="E1" s="84"/>
      <c r="F1" s="84"/>
      <c r="G1" s="84"/>
      <c r="H1" s="84"/>
      <c r="I1" s="84"/>
    </row>
    <row r="2" spans="1:9" x14ac:dyDescent="0.35">
      <c r="A2" s="26" t="s">
        <v>8482</v>
      </c>
      <c r="B2" s="22"/>
      <c r="C2" s="22"/>
      <c r="D2" s="22"/>
      <c r="E2" s="22"/>
      <c r="F2" s="22"/>
    </row>
    <row r="3" spans="1:9" x14ac:dyDescent="0.35">
      <c r="A3" s="26" t="s">
        <v>8483</v>
      </c>
      <c r="B3" s="22"/>
      <c r="C3" s="22"/>
      <c r="D3" s="22"/>
      <c r="E3" s="22"/>
      <c r="F3" s="22"/>
    </row>
    <row r="4" spans="1:9" x14ac:dyDescent="0.35">
      <c r="A4" s="26"/>
      <c r="B4" s="22"/>
      <c r="C4" s="22"/>
      <c r="D4" s="22"/>
      <c r="E4" s="22"/>
      <c r="F4" s="22"/>
    </row>
    <row r="5" spans="1:9" x14ac:dyDescent="0.35">
      <c r="A5" s="26" t="s">
        <v>8484</v>
      </c>
      <c r="B5" s="22"/>
      <c r="C5" s="22"/>
      <c r="D5" s="22"/>
      <c r="E5" s="22"/>
      <c r="F5" s="22"/>
    </row>
    <row r="6" spans="1:9" x14ac:dyDescent="0.35">
      <c r="A6" s="26" t="s">
        <v>8485</v>
      </c>
      <c r="B6" s="22"/>
      <c r="C6" s="22"/>
      <c r="D6" s="22"/>
      <c r="E6" s="22"/>
      <c r="F6" s="22"/>
    </row>
    <row r="7" spans="1:9" x14ac:dyDescent="0.35">
      <c r="A7" s="26" t="s">
        <v>8486</v>
      </c>
      <c r="B7" s="22"/>
      <c r="C7" s="22"/>
      <c r="D7" s="22"/>
      <c r="E7" s="22"/>
      <c r="F7" s="22"/>
    </row>
    <row r="9" spans="1:9" ht="18.5" x14ac:dyDescent="0.45">
      <c r="A9" s="5" t="s">
        <v>8487</v>
      </c>
      <c r="B9" s="4"/>
      <c r="C9" s="4"/>
    </row>
    <row r="10" spans="1:9" x14ac:dyDescent="0.35">
      <c r="A10" s="12" t="s">
        <v>1570</v>
      </c>
      <c r="B10" s="13" t="s">
        <v>1900</v>
      </c>
      <c r="C10" s="13" t="s">
        <v>1885</v>
      </c>
      <c r="D10" s="14" t="s">
        <v>8490</v>
      </c>
    </row>
    <row r="11" spans="1:9" x14ac:dyDescent="0.35">
      <c r="A11" s="6" t="s">
        <v>8488</v>
      </c>
      <c r="B11" s="15">
        <f>COUNTIFS(Sales_Deals!$E$2:$E$2501,"Google Ads",Sales_Deals!$F$2:$F$2501,"Closed Won")+COUNTIFS(Sales_Deals!$E$2:$E$2501,"LinkedIn Campaign",Sales_Deals!$F$2:$F$2501,"Closed Won")+COUNTIFS(Sales_Deals!$E$2:$E$2501,"Email Campaign",Sales_Deals!$F$2:$F$2501,"Closed Won")</f>
        <v>224</v>
      </c>
      <c r="C11" s="15">
        <f>COUNTIFS(Sales_Deals!$E$2:$E$2501,"Google Ads",Sales_Deals!$F$2:$F$2501,"Closed Lost")+COUNTIFS(Sales_Deals!$E$2:$E$2501,"LinkedIn Campaign",Sales_Deals!$F$2:$F$2501,"Closed Lost")+COUNTIFS(Sales_Deals!$E$2:$E$2501,"Email Campaign",Sales_Deals!$F$2:$F$2501,"Closed Lost")</f>
        <v>129</v>
      </c>
      <c r="D11" s="16">
        <f>B11+C11</f>
        <v>353</v>
      </c>
    </row>
    <row r="12" spans="1:9" x14ac:dyDescent="0.35">
      <c r="A12" s="6" t="s">
        <v>8489</v>
      </c>
      <c r="B12" s="15">
        <f>COUNTIFS(Sales_Deals!$E$2:$E$2501,"Referral",Sales_Deals!$F$2:$F$2501,"Closed Won")+COUNTIFS(Sales_Deals!$E$2:$E$2501,"Trade Show",Sales_Deals!$F$2:$F$2501,"Closed Won")+COUNTIFS(Sales_Deals!$E$2:$E$2501,"Cold Outreach",Sales_Deals!$F$2:$F$2501,"Closed Won")</f>
        <v>245</v>
      </c>
      <c r="C12" s="15">
        <f>COUNTIFS(Sales_Deals!$E$2:$E$2501,"Referral",Sales_Deals!$F$2:$F$2501,"Closed Lost")+COUNTIFS(Sales_Deals!$E$2:$E$2501,"Trade Show",Sales_Deals!$F$2:$F$2501,"Closed Lost")+COUNTIFS(Sales_Deals!$E$2:$E$2501,"Cold Outreach",Sales_Deals!$F$2:$F$2501,"Closed Lost")</f>
        <v>137</v>
      </c>
      <c r="D12" s="16">
        <f>B12+C12</f>
        <v>382</v>
      </c>
    </row>
    <row r="13" spans="1:9" x14ac:dyDescent="0.35">
      <c r="A13" s="9" t="s">
        <v>8490</v>
      </c>
      <c r="B13" s="17">
        <f>B11+B12</f>
        <v>469</v>
      </c>
      <c r="C13" s="17">
        <f>C11+C12</f>
        <v>266</v>
      </c>
      <c r="D13" s="18">
        <f>D11+D12</f>
        <v>735</v>
      </c>
    </row>
    <row r="15" spans="1:9" ht="18.5" x14ac:dyDescent="0.45">
      <c r="A15" s="5" t="s">
        <v>8491</v>
      </c>
    </row>
    <row r="16" spans="1:9" x14ac:dyDescent="0.35">
      <c r="A16" s="28" t="s">
        <v>1570</v>
      </c>
      <c r="B16" s="29" t="s">
        <v>1900</v>
      </c>
      <c r="C16" s="30" t="s">
        <v>8492</v>
      </c>
    </row>
    <row r="17" spans="1:6" x14ac:dyDescent="0.35">
      <c r="A17" s="6" t="s">
        <v>8488</v>
      </c>
      <c r="B17" s="7">
        <f>$D11*B$13/$D$13</f>
        <v>225.24761904761905</v>
      </c>
      <c r="C17" s="8">
        <f>$D11*C$13/$D$13</f>
        <v>127.75238095238095</v>
      </c>
    </row>
    <row r="18" spans="1:6" x14ac:dyDescent="0.35">
      <c r="A18" s="9" t="s">
        <v>8489</v>
      </c>
      <c r="B18" s="10">
        <f>$D12*B$13/$D$13</f>
        <v>243.75238095238095</v>
      </c>
      <c r="C18" s="11">
        <f>$D12*C$13/$D$13</f>
        <v>138.24761904761905</v>
      </c>
    </row>
    <row r="20" spans="1:6" ht="18.5" x14ac:dyDescent="0.45">
      <c r="A20" s="5" t="s">
        <v>8493</v>
      </c>
    </row>
    <row r="21" spans="1:6" x14ac:dyDescent="0.35">
      <c r="A21" s="32" t="s">
        <v>8494</v>
      </c>
      <c r="B21" s="34">
        <f>SUM((B11-B17)^2/B17,(C11-C17)^2/C17,(B12-B18)^2/B18,(C12-C18)^2/C18)</f>
        <v>3.6739518714776667E-2</v>
      </c>
    </row>
    <row r="22" spans="1:6" x14ac:dyDescent="0.35">
      <c r="A22" s="32" t="s">
        <v>8495</v>
      </c>
      <c r="B22" s="33">
        <f>(COUNTA(A11:A12)-1)*(COUNTA(Table6[[#Headers],[Closed Won]:[Closed Lost]])-1)</f>
        <v>1</v>
      </c>
    </row>
    <row r="23" spans="1:6" x14ac:dyDescent="0.35">
      <c r="A23" s="32" t="s">
        <v>8496</v>
      </c>
      <c r="B23" s="34">
        <f>_xlfn.CHISQ.DIST.RT(B21,B22)</f>
        <v>0.84799635453752453</v>
      </c>
    </row>
    <row r="24" spans="1:6" x14ac:dyDescent="0.35">
      <c r="A24" s="32" t="s">
        <v>8497</v>
      </c>
      <c r="B24" s="37">
        <f>B11/D11</f>
        <v>0.63456090651558072</v>
      </c>
    </row>
    <row r="25" spans="1:6" x14ac:dyDescent="0.35">
      <c r="A25" s="32" t="s">
        <v>8498</v>
      </c>
      <c r="B25" s="37">
        <f>B12/D12</f>
        <v>0.6413612565445026</v>
      </c>
    </row>
    <row r="26" spans="1:6" x14ac:dyDescent="0.35">
      <c r="B26" s="19"/>
    </row>
    <row r="27" spans="1:6" x14ac:dyDescent="0.35">
      <c r="A27" s="32" t="s">
        <v>8499</v>
      </c>
      <c r="B27" s="83" t="str">
        <f>IF(B23&lt;0.05,"Reject H0 - Significant difference in win rates","Fail to reject H0 - No significant difference in win rates")</f>
        <v>Fail to reject H0 - No significant difference in win rates</v>
      </c>
      <c r="C27" s="83"/>
      <c r="D27" s="83"/>
      <c r="E27" s="83"/>
      <c r="F27" s="83"/>
    </row>
  </sheetData>
  <mergeCells count="2">
    <mergeCell ref="B27:F27"/>
    <mergeCell ref="A1:I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A08A-CFD5-42C3-A8A5-62BEB8F0BBF9}">
  <dimension ref="A1:N2510"/>
  <sheetViews>
    <sheetView topLeftCell="A9" zoomScaleNormal="100" workbookViewId="0">
      <selection activeCell="I48" sqref="I48"/>
    </sheetView>
  </sheetViews>
  <sheetFormatPr defaultRowHeight="14.5" x14ac:dyDescent="0.35"/>
  <cols>
    <col min="1" max="1" width="16.54296875" customWidth="1"/>
    <col min="2" max="2" width="18.54296875" customWidth="1"/>
    <col min="3" max="3" width="19.54296875" customWidth="1"/>
    <col min="6" max="6" width="8.7265625" customWidth="1"/>
    <col min="9" max="9" width="38.6328125" customWidth="1"/>
    <col min="10" max="10" width="17.6328125" customWidth="1"/>
    <col min="12" max="12" width="9.1796875" customWidth="1"/>
  </cols>
  <sheetData>
    <row r="1" spans="1:14" ht="31" x14ac:dyDescent="0.7">
      <c r="A1" s="20" t="s">
        <v>8501</v>
      </c>
      <c r="I1" s="20"/>
    </row>
    <row r="2" spans="1:14" ht="18.5" x14ac:dyDescent="0.45">
      <c r="A2" s="5" t="s">
        <v>8500</v>
      </c>
      <c r="I2" s="5"/>
    </row>
    <row r="4" spans="1:14" x14ac:dyDescent="0.35">
      <c r="A4" s="26" t="s">
        <v>8523</v>
      </c>
      <c r="B4" s="26"/>
      <c r="C4" s="26"/>
      <c r="D4" s="26"/>
      <c r="E4" s="26"/>
      <c r="F4" s="26"/>
      <c r="G4" s="26"/>
    </row>
    <row r="5" spans="1:14" x14ac:dyDescent="0.35">
      <c r="A5" s="26" t="s">
        <v>8524</v>
      </c>
      <c r="B5" s="26"/>
      <c r="C5" s="26"/>
      <c r="D5" s="26"/>
      <c r="E5" s="26"/>
      <c r="F5" s="26"/>
      <c r="G5" s="26"/>
    </row>
    <row r="6" spans="1:14" x14ac:dyDescent="0.35">
      <c r="A6" s="26"/>
      <c r="B6" s="26"/>
      <c r="C6" s="26"/>
      <c r="D6" s="26"/>
      <c r="E6" s="26"/>
      <c r="F6" s="26"/>
      <c r="G6" s="26"/>
    </row>
    <row r="7" spans="1:14" ht="33.5" customHeight="1" x14ac:dyDescent="0.35">
      <c r="A7" s="85" t="s">
        <v>8522</v>
      </c>
      <c r="B7" s="85"/>
      <c r="C7" s="85"/>
      <c r="D7" s="85"/>
      <c r="E7" s="85"/>
      <c r="F7" s="85"/>
      <c r="G7" s="85"/>
    </row>
    <row r="8" spans="1:14" x14ac:dyDescent="0.35">
      <c r="A8" s="22"/>
      <c r="B8" s="22"/>
      <c r="C8" s="22"/>
      <c r="D8" s="22"/>
      <c r="E8" s="22"/>
      <c r="F8" s="22"/>
      <c r="G8" s="22"/>
    </row>
    <row r="9" spans="1:14" x14ac:dyDescent="0.35">
      <c r="A9" s="26" t="s">
        <v>8525</v>
      </c>
      <c r="B9" s="22"/>
      <c r="C9" s="22"/>
      <c r="D9" s="22"/>
      <c r="E9" s="22"/>
      <c r="F9" s="22"/>
      <c r="G9" s="22"/>
    </row>
    <row r="10" spans="1:14" x14ac:dyDescent="0.35">
      <c r="A10" s="23" t="s">
        <v>8521</v>
      </c>
      <c r="B10" s="23" t="s">
        <v>8526</v>
      </c>
      <c r="C10" s="23" t="s">
        <v>8527</v>
      </c>
      <c r="I10" s="86" t="s">
        <v>8528</v>
      </c>
      <c r="J10" s="86"/>
      <c r="K10" s="86"/>
      <c r="L10" s="86"/>
      <c r="M10" s="86"/>
      <c r="N10" s="86"/>
    </row>
    <row r="11" spans="1:14" x14ac:dyDescent="0.35">
      <c r="A11">
        <v>1</v>
      </c>
      <c r="B11" t="str">
        <f>IF(Sales_Deals!I2&lt;&gt;"",IF(AND(Sales_Deals!I2&gt;DATE(2024,9,30),Sales_Deals!I2&lt;=DATE(2025,3,31)),Sales_Deals!J2,""),"")</f>
        <v/>
      </c>
      <c r="C11">
        <f>IF(Sales_Deals!I2&lt;&gt;"",IF(AND(Sales_Deals!I2&gt;DATE(2024,3,31),Sales_Deals!I2&lt;=DATE(2024,9,30)),Sales_Deals!J2,""),"")</f>
        <v>143</v>
      </c>
      <c r="I11" t="s">
        <v>8532</v>
      </c>
      <c r="J11" t="s">
        <v>8529</v>
      </c>
      <c r="K11" t="s">
        <v>8517</v>
      </c>
      <c r="L11" t="s">
        <v>8519</v>
      </c>
    </row>
    <row r="12" spans="1:14" x14ac:dyDescent="0.35">
      <c r="A12">
        <v>2</v>
      </c>
      <c r="B12" t="str">
        <f>IF(Sales_Deals!I3&lt;&gt;"",IF(AND(Sales_Deals!I3&gt;DATE(2024,9,30),Sales_Deals!I3&lt;=DATE(2025,3,31)),Sales_Deals!J3,""),"")</f>
        <v/>
      </c>
      <c r="C12" t="str">
        <f>IF(Sales_Deals!I3&lt;&gt;"",IF(AND(Sales_Deals!I3&gt;DATE(2024,3,31),Sales_Deals!I3&lt;=DATE(2024,9,30)),Sales_Deals!J3,""),"")</f>
        <v/>
      </c>
      <c r="I12" t="s">
        <v>8530</v>
      </c>
      <c r="J12">
        <f>COUNT(B11:B2510)</f>
        <v>205</v>
      </c>
      <c r="K12" s="2">
        <f>AVERAGE(B11:B2510)</f>
        <v>100.57560975609756</v>
      </c>
      <c r="L12" s="2">
        <f>STDEV(B11:B2510)</f>
        <v>50.325805081507298</v>
      </c>
    </row>
    <row r="13" spans="1:14" x14ac:dyDescent="0.35">
      <c r="A13">
        <v>3</v>
      </c>
      <c r="B13" t="str">
        <f>IF(Sales_Deals!I4&lt;&gt;"",IF(AND(Sales_Deals!I4&gt;DATE(2024,9,30),Sales_Deals!I4&lt;=DATE(2025,3,31)),Sales_Deals!J4,""),"")</f>
        <v/>
      </c>
      <c r="C13" t="str">
        <f>IF(Sales_Deals!I4&lt;&gt;"",IF(AND(Sales_Deals!I4&gt;DATE(2024,3,31),Sales_Deals!I4&lt;=DATE(2024,9,30)),Sales_Deals!J4,""),"")</f>
        <v/>
      </c>
      <c r="I13" t="s">
        <v>8531</v>
      </c>
      <c r="J13">
        <f>COUNT(C11:C2510)</f>
        <v>221</v>
      </c>
      <c r="K13" s="2">
        <f>AVERAGE(C11:C2510)</f>
        <v>97.289592760180994</v>
      </c>
      <c r="L13" s="2">
        <f>STDEV(C11:C2510)</f>
        <v>50.230082713239241</v>
      </c>
    </row>
    <row r="14" spans="1:14" x14ac:dyDescent="0.35">
      <c r="A14">
        <v>4</v>
      </c>
      <c r="B14">
        <f>IF(Sales_Deals!I5&lt;&gt;"",IF(AND(Sales_Deals!I5&gt;DATE(2024,9,30),Sales_Deals!I5&lt;=DATE(2025,3,31)),Sales_Deals!J5,""),"")</f>
        <v>60</v>
      </c>
      <c r="C14" t="str">
        <f>IF(Sales_Deals!I5&lt;&gt;"",IF(AND(Sales_Deals!I5&gt;DATE(2024,3,31),Sales_Deals!I5&lt;=DATE(2024,9,30)),Sales_Deals!J5,""),"")</f>
        <v/>
      </c>
    </row>
    <row r="15" spans="1:14" x14ac:dyDescent="0.35">
      <c r="A15">
        <v>5</v>
      </c>
      <c r="B15" t="str">
        <f>IF(Sales_Deals!I6&lt;&gt;"",IF(AND(Sales_Deals!I6&gt;DATE(2024,9,30),Sales_Deals!I6&lt;=DATE(2025,3,31)),Sales_Deals!J6,""),"")</f>
        <v/>
      </c>
      <c r="C15">
        <f>IF(Sales_Deals!I6&lt;&gt;"",IF(AND(Sales_Deals!I6&gt;DATE(2024,3,31),Sales_Deals!I6&lt;=DATE(2024,9,30)),Sales_Deals!J6,""),"")</f>
        <v>163</v>
      </c>
    </row>
    <row r="16" spans="1:14" ht="18.5" x14ac:dyDescent="0.45">
      <c r="A16">
        <v>6</v>
      </c>
      <c r="B16" t="str">
        <f>IF(Sales_Deals!I7&lt;&gt;"",IF(AND(Sales_Deals!I7&gt;DATE(2024,9,30),Sales_Deals!I7&lt;=DATE(2025,3,31)),Sales_Deals!J7,""),"")</f>
        <v/>
      </c>
      <c r="C16" t="str">
        <f>IF(Sales_Deals!I7&lt;&gt;"",IF(AND(Sales_Deals!I7&gt;DATE(2024,3,31),Sales_Deals!I7&lt;=DATE(2024,9,30)),Sales_Deals!J7,""),"")</f>
        <v/>
      </c>
      <c r="I16" s="5" t="s">
        <v>8493</v>
      </c>
    </row>
    <row r="17" spans="1:12" x14ac:dyDescent="0.35">
      <c r="A17">
        <v>7</v>
      </c>
      <c r="B17" t="str">
        <f>IF(Sales_Deals!I8&lt;&gt;"",IF(AND(Sales_Deals!I8&gt;DATE(2024,9,30),Sales_Deals!I8&lt;=DATE(2025,3,31)),Sales_Deals!J8,""),"")</f>
        <v/>
      </c>
      <c r="C17" t="str">
        <f>IF(Sales_Deals!I8&lt;&gt;"",IF(AND(Sales_Deals!I8&gt;DATE(2024,3,31),Sales_Deals!I8&lt;=DATE(2024,9,30)),Sales_Deals!J8,""),"")</f>
        <v/>
      </c>
      <c r="I17" s="32" t="s">
        <v>8533</v>
      </c>
      <c r="J17" s="36">
        <f>K12-K13</f>
        <v>3.2860169959165688</v>
      </c>
      <c r="K17" s="21"/>
      <c r="L17" s="21"/>
    </row>
    <row r="18" spans="1:12" x14ac:dyDescent="0.35">
      <c r="A18">
        <v>8</v>
      </c>
      <c r="B18" t="str">
        <f>IF(Sales_Deals!I9&lt;&gt;"",IF(AND(Sales_Deals!I9&gt;DATE(2024,9,30),Sales_Deals!I9&lt;=DATE(2025,3,31)),Sales_Deals!J9,""),"")</f>
        <v/>
      </c>
      <c r="C18" t="str">
        <f>IF(Sales_Deals!I9&lt;&gt;"",IF(AND(Sales_Deals!I9&gt;DATE(2024,3,31),Sales_Deals!I9&lt;=DATE(2024,9,30)),Sales_Deals!J9,""),"")</f>
        <v/>
      </c>
      <c r="I18" s="32" t="s">
        <v>8535</v>
      </c>
      <c r="J18" s="34">
        <f>TTEST(B11:B2510,C11:C2510,2,3)</f>
        <v>0.50069561599955792</v>
      </c>
      <c r="K18" s="21"/>
      <c r="L18" s="21"/>
    </row>
    <row r="19" spans="1:12" x14ac:dyDescent="0.35">
      <c r="A19">
        <v>9</v>
      </c>
      <c r="B19" t="str">
        <f>IF(Sales_Deals!I10&lt;&gt;"",IF(AND(Sales_Deals!I10&gt;DATE(2024,9,30),Sales_Deals!I10&lt;=DATE(2025,3,31)),Sales_Deals!J10,""),"")</f>
        <v/>
      </c>
      <c r="C19" t="str">
        <f>IF(Sales_Deals!I10&lt;&gt;"",IF(AND(Sales_Deals!I10&gt;DATE(2024,3,31),Sales_Deals!I10&lt;=DATE(2024,9,30)),Sales_Deals!J10,""),"")</f>
        <v/>
      </c>
    </row>
    <row r="20" spans="1:12" x14ac:dyDescent="0.35">
      <c r="A20">
        <v>10</v>
      </c>
      <c r="B20" t="str">
        <f>IF(Sales_Deals!I11&lt;&gt;"",IF(AND(Sales_Deals!I11&gt;DATE(2024,9,30),Sales_Deals!I11&lt;=DATE(2025,3,31)),Sales_Deals!J11,""),"")</f>
        <v/>
      </c>
      <c r="C20">
        <f>IF(Sales_Deals!I11&lt;&gt;"",IF(AND(Sales_Deals!I11&gt;DATE(2024,3,31),Sales_Deals!I11&lt;=DATE(2024,9,30)),Sales_Deals!J11,""),"")</f>
        <v>58</v>
      </c>
      <c r="I20" s="32" t="s">
        <v>8536</v>
      </c>
      <c r="J20" s="83" t="str">
        <f>IF(J18&lt;0.05,"Reject H0 - closure time has changed","Fail to reject H0 - no significant change")</f>
        <v>Fail to reject H0 - no significant change</v>
      </c>
      <c r="K20" s="83"/>
      <c r="L20" s="83"/>
    </row>
    <row r="21" spans="1:12" x14ac:dyDescent="0.35">
      <c r="A21">
        <v>11</v>
      </c>
      <c r="B21" t="str">
        <f>IF(Sales_Deals!I12&lt;&gt;"",IF(AND(Sales_Deals!I12&gt;DATE(2024,9,30),Sales_Deals!I12&lt;=DATE(2025,3,31)),Sales_Deals!J12,""),"")</f>
        <v/>
      </c>
      <c r="C21">
        <f>IF(Sales_Deals!I12&lt;&gt;"",IF(AND(Sales_Deals!I12&gt;DATE(2024,3,31),Sales_Deals!I12&lt;=DATE(2024,9,30)),Sales_Deals!J12,""),"")</f>
        <v>117</v>
      </c>
    </row>
    <row r="22" spans="1:12" x14ac:dyDescent="0.35">
      <c r="A22">
        <v>12</v>
      </c>
      <c r="B22" t="str">
        <f>IF(Sales_Deals!I13&lt;&gt;"",IF(AND(Sales_Deals!I13&gt;DATE(2024,9,30),Sales_Deals!I13&lt;=DATE(2025,3,31)),Sales_Deals!J13,""),"")</f>
        <v/>
      </c>
      <c r="C22" t="str">
        <f>IF(Sales_Deals!I13&lt;&gt;"",IF(AND(Sales_Deals!I13&gt;DATE(2024,3,31),Sales_Deals!I13&lt;=DATE(2024,9,30)),Sales_Deals!J13,""),"")</f>
        <v/>
      </c>
    </row>
    <row r="23" spans="1:12" x14ac:dyDescent="0.35">
      <c r="A23">
        <v>13</v>
      </c>
      <c r="B23" t="str">
        <f>IF(Sales_Deals!I14&lt;&gt;"",IF(AND(Sales_Deals!I14&gt;DATE(2024,9,30),Sales_Deals!I14&lt;=DATE(2025,3,31)),Sales_Deals!J14,""),"")</f>
        <v/>
      </c>
      <c r="C23">
        <f>IF(Sales_Deals!I14&lt;&gt;"",IF(AND(Sales_Deals!I14&gt;DATE(2024,3,31),Sales_Deals!I14&lt;=DATE(2024,9,30)),Sales_Deals!J14,""),"")</f>
        <v>151</v>
      </c>
    </row>
    <row r="24" spans="1:12" x14ac:dyDescent="0.35">
      <c r="A24">
        <v>14</v>
      </c>
      <c r="B24" t="str">
        <f>IF(Sales_Deals!I15&lt;&gt;"",IF(AND(Sales_Deals!I15&gt;DATE(2024,9,30),Sales_Deals!I15&lt;=DATE(2025,3,31)),Sales_Deals!J15,""),"")</f>
        <v/>
      </c>
      <c r="C24" t="str">
        <f>IF(Sales_Deals!I15&lt;&gt;"",IF(AND(Sales_Deals!I15&gt;DATE(2024,3,31),Sales_Deals!I15&lt;=DATE(2024,9,30)),Sales_Deals!J15,""),"")</f>
        <v/>
      </c>
    </row>
    <row r="25" spans="1:12" x14ac:dyDescent="0.35">
      <c r="A25">
        <v>15</v>
      </c>
      <c r="B25" t="str">
        <f>IF(Sales_Deals!I16&lt;&gt;"",IF(AND(Sales_Deals!I16&gt;DATE(2024,9,30),Sales_Deals!I16&lt;=DATE(2025,3,31)),Sales_Deals!J16,""),"")</f>
        <v/>
      </c>
      <c r="C25" t="str">
        <f>IF(Sales_Deals!I16&lt;&gt;"",IF(AND(Sales_Deals!I16&gt;DATE(2024,3,31),Sales_Deals!I16&lt;=DATE(2024,9,30)),Sales_Deals!J16,""),"")</f>
        <v/>
      </c>
    </row>
    <row r="26" spans="1:12" x14ac:dyDescent="0.35">
      <c r="A26">
        <v>16</v>
      </c>
      <c r="B26" t="str">
        <f>IF(Sales_Deals!I17&lt;&gt;"",IF(AND(Sales_Deals!I17&gt;DATE(2024,9,30),Sales_Deals!I17&lt;=DATE(2025,3,31)),Sales_Deals!J17,""),"")</f>
        <v/>
      </c>
      <c r="C26" t="str">
        <f>IF(Sales_Deals!I17&lt;&gt;"",IF(AND(Sales_Deals!I17&gt;DATE(2024,3,31),Sales_Deals!I17&lt;=DATE(2024,9,30)),Sales_Deals!J17,""),"")</f>
        <v/>
      </c>
    </row>
    <row r="27" spans="1:12" x14ac:dyDescent="0.35">
      <c r="A27">
        <v>17</v>
      </c>
      <c r="B27" t="str">
        <f>IF(Sales_Deals!I18&lt;&gt;"",IF(AND(Sales_Deals!I18&gt;DATE(2024,9,30),Sales_Deals!I18&lt;=DATE(2025,3,31)),Sales_Deals!J18,""),"")</f>
        <v/>
      </c>
      <c r="C27">
        <f>IF(Sales_Deals!I18&lt;&gt;"",IF(AND(Sales_Deals!I18&gt;DATE(2024,3,31),Sales_Deals!I18&lt;=DATE(2024,9,30)),Sales_Deals!J18,""),"")</f>
        <v>115</v>
      </c>
    </row>
    <row r="28" spans="1:12" x14ac:dyDescent="0.35">
      <c r="A28">
        <v>18</v>
      </c>
      <c r="B28" t="str">
        <f>IF(Sales_Deals!I19&lt;&gt;"",IF(AND(Sales_Deals!I19&gt;DATE(2024,9,30),Sales_Deals!I19&lt;=DATE(2025,3,31)),Sales_Deals!J19,""),"")</f>
        <v/>
      </c>
      <c r="C28" t="str">
        <f>IF(Sales_Deals!I19&lt;&gt;"",IF(AND(Sales_Deals!I19&gt;DATE(2024,3,31),Sales_Deals!I19&lt;=DATE(2024,9,30)),Sales_Deals!J19,""),"")</f>
        <v/>
      </c>
    </row>
    <row r="29" spans="1:12" x14ac:dyDescent="0.35">
      <c r="A29">
        <v>19</v>
      </c>
      <c r="B29" t="str">
        <f>IF(Sales_Deals!I20&lt;&gt;"",IF(AND(Sales_Deals!I20&gt;DATE(2024,9,30),Sales_Deals!I20&lt;=DATE(2025,3,31)),Sales_Deals!J20,""),"")</f>
        <v/>
      </c>
      <c r="C29">
        <f>IF(Sales_Deals!I20&lt;&gt;"",IF(AND(Sales_Deals!I20&gt;DATE(2024,3,31),Sales_Deals!I20&lt;=DATE(2024,9,30)),Sales_Deals!J20,""),"")</f>
        <v>150</v>
      </c>
    </row>
    <row r="30" spans="1:12" x14ac:dyDescent="0.35">
      <c r="A30">
        <v>20</v>
      </c>
      <c r="B30" t="str">
        <f>IF(Sales_Deals!I21&lt;&gt;"",IF(AND(Sales_Deals!I21&gt;DATE(2024,9,30),Sales_Deals!I21&lt;=DATE(2025,3,31)),Sales_Deals!J21,""),"")</f>
        <v/>
      </c>
      <c r="C30" t="str">
        <f>IF(Sales_Deals!I21&lt;&gt;"",IF(AND(Sales_Deals!I21&gt;DATE(2024,3,31),Sales_Deals!I21&lt;=DATE(2024,9,30)),Sales_Deals!J21,""),"")</f>
        <v/>
      </c>
    </row>
    <row r="31" spans="1:12" x14ac:dyDescent="0.35">
      <c r="A31">
        <v>21</v>
      </c>
      <c r="B31" t="str">
        <f>IF(Sales_Deals!I22&lt;&gt;"",IF(AND(Sales_Deals!I22&gt;DATE(2024,9,30),Sales_Deals!I22&lt;=DATE(2025,3,31)),Sales_Deals!J22,""),"")</f>
        <v/>
      </c>
      <c r="C31" t="str">
        <f>IF(Sales_Deals!I22&lt;&gt;"",IF(AND(Sales_Deals!I22&gt;DATE(2024,3,31),Sales_Deals!I22&lt;=DATE(2024,9,30)),Sales_Deals!J22,""),"")</f>
        <v/>
      </c>
    </row>
    <row r="32" spans="1:12" x14ac:dyDescent="0.35">
      <c r="A32">
        <v>22</v>
      </c>
      <c r="B32" t="str">
        <f>IF(Sales_Deals!I23&lt;&gt;"",IF(AND(Sales_Deals!I23&gt;DATE(2024,9,30),Sales_Deals!I23&lt;=DATE(2025,3,31)),Sales_Deals!J23,""),"")</f>
        <v/>
      </c>
      <c r="C32" t="str">
        <f>IF(Sales_Deals!I23&lt;&gt;"",IF(AND(Sales_Deals!I23&gt;DATE(2024,3,31),Sales_Deals!I23&lt;=DATE(2024,9,30)),Sales_Deals!J23,""),"")</f>
        <v/>
      </c>
    </row>
    <row r="33" spans="1:3" x14ac:dyDescent="0.35">
      <c r="A33">
        <v>23</v>
      </c>
      <c r="B33" t="str">
        <f>IF(Sales_Deals!I24&lt;&gt;"",IF(AND(Sales_Deals!I24&gt;DATE(2024,9,30),Sales_Deals!I24&lt;=DATE(2025,3,31)),Sales_Deals!J24,""),"")</f>
        <v/>
      </c>
      <c r="C33" t="str">
        <f>IF(Sales_Deals!I24&lt;&gt;"",IF(AND(Sales_Deals!I24&gt;DATE(2024,3,31),Sales_Deals!I24&lt;=DATE(2024,9,30)),Sales_Deals!J24,""),"")</f>
        <v/>
      </c>
    </row>
    <row r="34" spans="1:3" x14ac:dyDescent="0.35">
      <c r="A34">
        <v>24</v>
      </c>
      <c r="B34" t="str">
        <f>IF(Sales_Deals!I25&lt;&gt;"",IF(AND(Sales_Deals!I25&gt;DATE(2024,9,30),Sales_Deals!I25&lt;=DATE(2025,3,31)),Sales_Deals!J25,""),"")</f>
        <v/>
      </c>
      <c r="C34" t="str">
        <f>IF(Sales_Deals!I25&lt;&gt;"",IF(AND(Sales_Deals!I25&gt;DATE(2024,3,31),Sales_Deals!I25&lt;=DATE(2024,9,30)),Sales_Deals!J25,""),"")</f>
        <v/>
      </c>
    </row>
    <row r="35" spans="1:3" x14ac:dyDescent="0.35">
      <c r="A35">
        <v>25</v>
      </c>
      <c r="B35" t="str">
        <f>IF(Sales_Deals!I26&lt;&gt;"",IF(AND(Sales_Deals!I26&gt;DATE(2024,9,30),Sales_Deals!I26&lt;=DATE(2025,3,31)),Sales_Deals!J26,""),"")</f>
        <v/>
      </c>
      <c r="C35" t="str">
        <f>IF(Sales_Deals!I26&lt;&gt;"",IF(AND(Sales_Deals!I26&gt;DATE(2024,3,31),Sales_Deals!I26&lt;=DATE(2024,9,30)),Sales_Deals!J26,""),"")</f>
        <v/>
      </c>
    </row>
    <row r="36" spans="1:3" x14ac:dyDescent="0.35">
      <c r="A36">
        <v>26</v>
      </c>
      <c r="B36">
        <f>IF(Sales_Deals!I27&lt;&gt;"",IF(AND(Sales_Deals!I27&gt;DATE(2024,9,30),Sales_Deals!I27&lt;=DATE(2025,3,31)),Sales_Deals!J27,""),"")</f>
        <v>70</v>
      </c>
      <c r="C36" t="str">
        <f>IF(Sales_Deals!I27&lt;&gt;"",IF(AND(Sales_Deals!I27&gt;DATE(2024,3,31),Sales_Deals!I27&lt;=DATE(2024,9,30)),Sales_Deals!J27,""),"")</f>
        <v/>
      </c>
    </row>
    <row r="37" spans="1:3" x14ac:dyDescent="0.35">
      <c r="A37">
        <v>27</v>
      </c>
      <c r="B37" t="str">
        <f>IF(Sales_Deals!I28&lt;&gt;"",IF(AND(Sales_Deals!I28&gt;DATE(2024,9,30),Sales_Deals!I28&lt;=DATE(2025,3,31)),Sales_Deals!J28,""),"")</f>
        <v/>
      </c>
      <c r="C37" t="str">
        <f>IF(Sales_Deals!I28&lt;&gt;"",IF(AND(Sales_Deals!I28&gt;DATE(2024,3,31),Sales_Deals!I28&lt;=DATE(2024,9,30)),Sales_Deals!J28,""),"")</f>
        <v/>
      </c>
    </row>
    <row r="38" spans="1:3" x14ac:dyDescent="0.35">
      <c r="A38">
        <v>28</v>
      </c>
      <c r="B38" t="str">
        <f>IF(Sales_Deals!I29&lt;&gt;"",IF(AND(Sales_Deals!I29&gt;DATE(2024,9,30),Sales_Deals!I29&lt;=DATE(2025,3,31)),Sales_Deals!J29,""),"")</f>
        <v/>
      </c>
      <c r="C38" t="str">
        <f>IF(Sales_Deals!I29&lt;&gt;"",IF(AND(Sales_Deals!I29&gt;DATE(2024,3,31),Sales_Deals!I29&lt;=DATE(2024,9,30)),Sales_Deals!J29,""),"")</f>
        <v/>
      </c>
    </row>
    <row r="39" spans="1:3" x14ac:dyDescent="0.35">
      <c r="A39">
        <v>29</v>
      </c>
      <c r="B39" t="str">
        <f>IF(Sales_Deals!I30&lt;&gt;"",IF(AND(Sales_Deals!I30&gt;DATE(2024,9,30),Sales_Deals!I30&lt;=DATE(2025,3,31)),Sales_Deals!J30,""),"")</f>
        <v/>
      </c>
      <c r="C39" t="str">
        <f>IF(Sales_Deals!I30&lt;&gt;"",IF(AND(Sales_Deals!I30&gt;DATE(2024,3,31),Sales_Deals!I30&lt;=DATE(2024,9,30)),Sales_Deals!J30,""),"")</f>
        <v/>
      </c>
    </row>
    <row r="40" spans="1:3" x14ac:dyDescent="0.35">
      <c r="A40">
        <v>30</v>
      </c>
      <c r="B40" t="str">
        <f>IF(Sales_Deals!I31&lt;&gt;"",IF(AND(Sales_Deals!I31&gt;DATE(2024,9,30),Sales_Deals!I31&lt;=DATE(2025,3,31)),Sales_Deals!J31,""),"")</f>
        <v/>
      </c>
      <c r="C40" t="str">
        <f>IF(Sales_Deals!I31&lt;&gt;"",IF(AND(Sales_Deals!I31&gt;DATE(2024,3,31),Sales_Deals!I31&lt;=DATE(2024,9,30)),Sales_Deals!J31,""),"")</f>
        <v/>
      </c>
    </row>
    <row r="41" spans="1:3" x14ac:dyDescent="0.35">
      <c r="A41">
        <v>31</v>
      </c>
      <c r="B41" t="str">
        <f>IF(Sales_Deals!I32&lt;&gt;"",IF(AND(Sales_Deals!I32&gt;DATE(2024,9,30),Sales_Deals!I32&lt;=DATE(2025,3,31)),Sales_Deals!J32,""),"")</f>
        <v/>
      </c>
      <c r="C41" t="str">
        <f>IF(Sales_Deals!I32&lt;&gt;"",IF(AND(Sales_Deals!I32&gt;DATE(2024,3,31),Sales_Deals!I32&lt;=DATE(2024,9,30)),Sales_Deals!J32,""),"")</f>
        <v/>
      </c>
    </row>
    <row r="42" spans="1:3" x14ac:dyDescent="0.35">
      <c r="A42">
        <v>32</v>
      </c>
      <c r="B42" t="str">
        <f>IF(Sales_Deals!I33&lt;&gt;"",IF(AND(Sales_Deals!I33&gt;DATE(2024,9,30),Sales_Deals!I33&lt;=DATE(2025,3,31)),Sales_Deals!J33,""),"")</f>
        <v/>
      </c>
      <c r="C42" t="str">
        <f>IF(Sales_Deals!I33&lt;&gt;"",IF(AND(Sales_Deals!I33&gt;DATE(2024,3,31),Sales_Deals!I33&lt;=DATE(2024,9,30)),Sales_Deals!J33,""),"")</f>
        <v/>
      </c>
    </row>
    <row r="43" spans="1:3" x14ac:dyDescent="0.35">
      <c r="A43">
        <v>33</v>
      </c>
      <c r="B43">
        <f>IF(Sales_Deals!I34&lt;&gt;"",IF(AND(Sales_Deals!I34&gt;DATE(2024,9,30),Sales_Deals!I34&lt;=DATE(2025,3,31)),Sales_Deals!J34,""),"")</f>
        <v>147</v>
      </c>
      <c r="C43" t="str">
        <f>IF(Sales_Deals!I34&lt;&gt;"",IF(AND(Sales_Deals!I34&gt;DATE(2024,3,31),Sales_Deals!I34&lt;=DATE(2024,9,30)),Sales_Deals!J34,""),"")</f>
        <v/>
      </c>
    </row>
    <row r="44" spans="1:3" x14ac:dyDescent="0.35">
      <c r="A44">
        <v>34</v>
      </c>
      <c r="B44" t="str">
        <f>IF(Sales_Deals!I35&lt;&gt;"",IF(AND(Sales_Deals!I35&gt;DATE(2024,9,30),Sales_Deals!I35&lt;=DATE(2025,3,31)),Sales_Deals!J35,""),"")</f>
        <v/>
      </c>
      <c r="C44" t="str">
        <f>IF(Sales_Deals!I35&lt;&gt;"",IF(AND(Sales_Deals!I35&gt;DATE(2024,3,31),Sales_Deals!I35&lt;=DATE(2024,9,30)),Sales_Deals!J35,""),"")</f>
        <v/>
      </c>
    </row>
    <row r="45" spans="1:3" x14ac:dyDescent="0.35">
      <c r="A45">
        <v>35</v>
      </c>
      <c r="B45" t="str">
        <f>IF(Sales_Deals!I36&lt;&gt;"",IF(AND(Sales_Deals!I36&gt;DATE(2024,9,30),Sales_Deals!I36&lt;=DATE(2025,3,31)),Sales_Deals!J36,""),"")</f>
        <v/>
      </c>
      <c r="C45">
        <f>IF(Sales_Deals!I36&lt;&gt;"",IF(AND(Sales_Deals!I36&gt;DATE(2024,3,31),Sales_Deals!I36&lt;=DATE(2024,9,30)),Sales_Deals!J36,""),"")</f>
        <v>21</v>
      </c>
    </row>
    <row r="46" spans="1:3" x14ac:dyDescent="0.35">
      <c r="A46">
        <v>36</v>
      </c>
      <c r="B46" t="str">
        <f>IF(Sales_Deals!I37&lt;&gt;"",IF(AND(Sales_Deals!I37&gt;DATE(2024,9,30),Sales_Deals!I37&lt;=DATE(2025,3,31)),Sales_Deals!J37,""),"")</f>
        <v/>
      </c>
      <c r="C46" t="str">
        <f>IF(Sales_Deals!I37&lt;&gt;"",IF(AND(Sales_Deals!I37&gt;DATE(2024,3,31),Sales_Deals!I37&lt;=DATE(2024,9,30)),Sales_Deals!J37,""),"")</f>
        <v/>
      </c>
    </row>
    <row r="47" spans="1:3" x14ac:dyDescent="0.35">
      <c r="A47">
        <v>37</v>
      </c>
      <c r="B47" t="str">
        <f>IF(Sales_Deals!I38&lt;&gt;"",IF(AND(Sales_Deals!I38&gt;DATE(2024,9,30),Sales_Deals!I38&lt;=DATE(2025,3,31)),Sales_Deals!J38,""),"")</f>
        <v/>
      </c>
      <c r="C47" t="str">
        <f>IF(Sales_Deals!I38&lt;&gt;"",IF(AND(Sales_Deals!I38&gt;DATE(2024,3,31),Sales_Deals!I38&lt;=DATE(2024,9,30)),Sales_Deals!J38,""),"")</f>
        <v/>
      </c>
    </row>
    <row r="48" spans="1:3" x14ac:dyDescent="0.35">
      <c r="A48">
        <v>38</v>
      </c>
      <c r="B48" t="str">
        <f>IF(Sales_Deals!I39&lt;&gt;"",IF(AND(Sales_Deals!I39&gt;DATE(2024,9,30),Sales_Deals!I39&lt;=DATE(2025,3,31)),Sales_Deals!J39,""),"")</f>
        <v/>
      </c>
      <c r="C48" t="str">
        <f>IF(Sales_Deals!I39&lt;&gt;"",IF(AND(Sales_Deals!I39&gt;DATE(2024,3,31),Sales_Deals!I39&lt;=DATE(2024,9,30)),Sales_Deals!J39,""),"")</f>
        <v/>
      </c>
    </row>
    <row r="49" spans="1:3" x14ac:dyDescent="0.35">
      <c r="A49">
        <v>39</v>
      </c>
      <c r="B49" t="str">
        <f>IF(Sales_Deals!I40&lt;&gt;"",IF(AND(Sales_Deals!I40&gt;DATE(2024,9,30),Sales_Deals!I40&lt;=DATE(2025,3,31)),Sales_Deals!J40,""),"")</f>
        <v/>
      </c>
      <c r="C49" t="str">
        <f>IF(Sales_Deals!I40&lt;&gt;"",IF(AND(Sales_Deals!I40&gt;DATE(2024,3,31),Sales_Deals!I40&lt;=DATE(2024,9,30)),Sales_Deals!J40,""),"")</f>
        <v/>
      </c>
    </row>
    <row r="50" spans="1:3" x14ac:dyDescent="0.35">
      <c r="A50">
        <v>40</v>
      </c>
      <c r="B50" t="str">
        <f>IF(Sales_Deals!I41&lt;&gt;"",IF(AND(Sales_Deals!I41&gt;DATE(2024,9,30),Sales_Deals!I41&lt;=DATE(2025,3,31)),Sales_Deals!J41,""),"")</f>
        <v/>
      </c>
      <c r="C50" t="str">
        <f>IF(Sales_Deals!I41&lt;&gt;"",IF(AND(Sales_Deals!I41&gt;DATE(2024,3,31),Sales_Deals!I41&lt;=DATE(2024,9,30)),Sales_Deals!J41,""),"")</f>
        <v/>
      </c>
    </row>
    <row r="51" spans="1:3" x14ac:dyDescent="0.35">
      <c r="A51">
        <v>41</v>
      </c>
      <c r="B51" t="str">
        <f>IF(Sales_Deals!I42&lt;&gt;"",IF(AND(Sales_Deals!I42&gt;DATE(2024,9,30),Sales_Deals!I42&lt;=DATE(2025,3,31)),Sales_Deals!J42,""),"")</f>
        <v/>
      </c>
      <c r="C51">
        <f>IF(Sales_Deals!I42&lt;&gt;"",IF(AND(Sales_Deals!I42&gt;DATE(2024,3,31),Sales_Deals!I42&lt;=DATE(2024,9,30)),Sales_Deals!J42,""),"")</f>
        <v>18</v>
      </c>
    </row>
    <row r="52" spans="1:3" x14ac:dyDescent="0.35">
      <c r="A52">
        <v>42</v>
      </c>
      <c r="B52" t="str">
        <f>IF(Sales_Deals!I43&lt;&gt;"",IF(AND(Sales_Deals!I43&gt;DATE(2024,9,30),Sales_Deals!I43&lt;=DATE(2025,3,31)),Sales_Deals!J43,""),"")</f>
        <v/>
      </c>
      <c r="C52">
        <f>IF(Sales_Deals!I43&lt;&gt;"",IF(AND(Sales_Deals!I43&gt;DATE(2024,3,31),Sales_Deals!I43&lt;=DATE(2024,9,30)),Sales_Deals!J43,""),"")</f>
        <v>168</v>
      </c>
    </row>
    <row r="53" spans="1:3" x14ac:dyDescent="0.35">
      <c r="A53">
        <v>43</v>
      </c>
      <c r="B53" t="str">
        <f>IF(Sales_Deals!I44&lt;&gt;"",IF(AND(Sales_Deals!I44&gt;DATE(2024,9,30),Sales_Deals!I44&lt;=DATE(2025,3,31)),Sales_Deals!J44,""),"")</f>
        <v/>
      </c>
      <c r="C53">
        <f>IF(Sales_Deals!I44&lt;&gt;"",IF(AND(Sales_Deals!I44&gt;DATE(2024,3,31),Sales_Deals!I44&lt;=DATE(2024,9,30)),Sales_Deals!J44,""),"")</f>
        <v>70</v>
      </c>
    </row>
    <row r="54" spans="1:3" x14ac:dyDescent="0.35">
      <c r="A54">
        <v>44</v>
      </c>
      <c r="B54" t="str">
        <f>IF(Sales_Deals!I45&lt;&gt;"",IF(AND(Sales_Deals!I45&gt;DATE(2024,9,30),Sales_Deals!I45&lt;=DATE(2025,3,31)),Sales_Deals!J45,""),"")</f>
        <v/>
      </c>
      <c r="C54" t="str">
        <f>IF(Sales_Deals!I45&lt;&gt;"",IF(AND(Sales_Deals!I45&gt;DATE(2024,3,31),Sales_Deals!I45&lt;=DATE(2024,9,30)),Sales_Deals!J45,""),"")</f>
        <v/>
      </c>
    </row>
    <row r="55" spans="1:3" x14ac:dyDescent="0.35">
      <c r="A55">
        <v>45</v>
      </c>
      <c r="B55">
        <f>IF(Sales_Deals!I46&lt;&gt;"",IF(AND(Sales_Deals!I46&gt;DATE(2024,9,30),Sales_Deals!I46&lt;=DATE(2025,3,31)),Sales_Deals!J46,""),"")</f>
        <v>61</v>
      </c>
      <c r="C55" t="str">
        <f>IF(Sales_Deals!I46&lt;&gt;"",IF(AND(Sales_Deals!I46&gt;DATE(2024,3,31),Sales_Deals!I46&lt;=DATE(2024,9,30)),Sales_Deals!J46,""),"")</f>
        <v/>
      </c>
    </row>
    <row r="56" spans="1:3" x14ac:dyDescent="0.35">
      <c r="A56">
        <v>46</v>
      </c>
      <c r="B56" t="str">
        <f>IF(Sales_Deals!I47&lt;&gt;"",IF(AND(Sales_Deals!I47&gt;DATE(2024,9,30),Sales_Deals!I47&lt;=DATE(2025,3,31)),Sales_Deals!J47,""),"")</f>
        <v/>
      </c>
      <c r="C56" t="str">
        <f>IF(Sales_Deals!I47&lt;&gt;"",IF(AND(Sales_Deals!I47&gt;DATE(2024,3,31),Sales_Deals!I47&lt;=DATE(2024,9,30)),Sales_Deals!J47,""),"")</f>
        <v/>
      </c>
    </row>
    <row r="57" spans="1:3" x14ac:dyDescent="0.35">
      <c r="A57">
        <v>47</v>
      </c>
      <c r="B57">
        <f>IF(Sales_Deals!I48&lt;&gt;"",IF(AND(Sales_Deals!I48&gt;DATE(2024,9,30),Sales_Deals!I48&lt;=DATE(2025,3,31)),Sales_Deals!J48,""),"")</f>
        <v>82</v>
      </c>
      <c r="C57" t="str">
        <f>IF(Sales_Deals!I48&lt;&gt;"",IF(AND(Sales_Deals!I48&gt;DATE(2024,3,31),Sales_Deals!I48&lt;=DATE(2024,9,30)),Sales_Deals!J48,""),"")</f>
        <v/>
      </c>
    </row>
    <row r="58" spans="1:3" x14ac:dyDescent="0.35">
      <c r="A58">
        <v>48</v>
      </c>
      <c r="B58" t="str">
        <f>IF(Sales_Deals!I49&lt;&gt;"",IF(AND(Sales_Deals!I49&gt;DATE(2024,9,30),Sales_Deals!I49&lt;=DATE(2025,3,31)),Sales_Deals!J49,""),"")</f>
        <v/>
      </c>
      <c r="C58" t="str">
        <f>IF(Sales_Deals!I49&lt;&gt;"",IF(AND(Sales_Deals!I49&gt;DATE(2024,3,31),Sales_Deals!I49&lt;=DATE(2024,9,30)),Sales_Deals!J49,""),"")</f>
        <v/>
      </c>
    </row>
    <row r="59" spans="1:3" x14ac:dyDescent="0.35">
      <c r="A59">
        <v>49</v>
      </c>
      <c r="B59" t="str">
        <f>IF(Sales_Deals!I50&lt;&gt;"",IF(AND(Sales_Deals!I50&gt;DATE(2024,9,30),Sales_Deals!I50&lt;=DATE(2025,3,31)),Sales_Deals!J50,""),"")</f>
        <v/>
      </c>
      <c r="C59" t="str">
        <f>IF(Sales_Deals!I50&lt;&gt;"",IF(AND(Sales_Deals!I50&gt;DATE(2024,3,31),Sales_Deals!I50&lt;=DATE(2024,9,30)),Sales_Deals!J50,""),"")</f>
        <v/>
      </c>
    </row>
    <row r="60" spans="1:3" x14ac:dyDescent="0.35">
      <c r="A60">
        <v>50</v>
      </c>
      <c r="B60" t="str">
        <f>IF(Sales_Deals!I51&lt;&gt;"",IF(AND(Sales_Deals!I51&gt;DATE(2024,9,30),Sales_Deals!I51&lt;=DATE(2025,3,31)),Sales_Deals!J51,""),"")</f>
        <v/>
      </c>
      <c r="C60" t="str">
        <f>IF(Sales_Deals!I51&lt;&gt;"",IF(AND(Sales_Deals!I51&gt;DATE(2024,3,31),Sales_Deals!I51&lt;=DATE(2024,9,30)),Sales_Deals!J51,""),"")</f>
        <v/>
      </c>
    </row>
    <row r="61" spans="1:3" x14ac:dyDescent="0.35">
      <c r="A61">
        <v>51</v>
      </c>
      <c r="B61" t="str">
        <f>IF(Sales_Deals!I52&lt;&gt;"",IF(AND(Sales_Deals!I52&gt;DATE(2024,9,30),Sales_Deals!I52&lt;=DATE(2025,3,31)),Sales_Deals!J52,""),"")</f>
        <v/>
      </c>
      <c r="C61" t="str">
        <f>IF(Sales_Deals!I52&lt;&gt;"",IF(AND(Sales_Deals!I52&gt;DATE(2024,3,31),Sales_Deals!I52&lt;=DATE(2024,9,30)),Sales_Deals!J52,""),"")</f>
        <v/>
      </c>
    </row>
    <row r="62" spans="1:3" x14ac:dyDescent="0.35">
      <c r="A62">
        <v>52</v>
      </c>
      <c r="B62" t="str">
        <f>IF(Sales_Deals!I53&lt;&gt;"",IF(AND(Sales_Deals!I53&gt;DATE(2024,9,30),Sales_Deals!I53&lt;=DATE(2025,3,31)),Sales_Deals!J53,""),"")</f>
        <v/>
      </c>
      <c r="C62" t="str">
        <f>IF(Sales_Deals!I53&lt;&gt;"",IF(AND(Sales_Deals!I53&gt;DATE(2024,3,31),Sales_Deals!I53&lt;=DATE(2024,9,30)),Sales_Deals!J53,""),"")</f>
        <v/>
      </c>
    </row>
    <row r="63" spans="1:3" x14ac:dyDescent="0.35">
      <c r="A63">
        <v>53</v>
      </c>
      <c r="B63" t="str">
        <f>IF(Sales_Deals!I54&lt;&gt;"",IF(AND(Sales_Deals!I54&gt;DATE(2024,9,30),Sales_Deals!I54&lt;=DATE(2025,3,31)),Sales_Deals!J54,""),"")</f>
        <v/>
      </c>
      <c r="C63" t="str">
        <f>IF(Sales_Deals!I54&lt;&gt;"",IF(AND(Sales_Deals!I54&gt;DATE(2024,3,31),Sales_Deals!I54&lt;=DATE(2024,9,30)),Sales_Deals!J54,""),"")</f>
        <v/>
      </c>
    </row>
    <row r="64" spans="1:3" x14ac:dyDescent="0.35">
      <c r="A64">
        <v>54</v>
      </c>
      <c r="B64" t="str">
        <f>IF(Sales_Deals!I55&lt;&gt;"",IF(AND(Sales_Deals!I55&gt;DATE(2024,9,30),Sales_Deals!I55&lt;=DATE(2025,3,31)),Sales_Deals!J55,""),"")</f>
        <v/>
      </c>
      <c r="C64" t="str">
        <f>IF(Sales_Deals!I55&lt;&gt;"",IF(AND(Sales_Deals!I55&gt;DATE(2024,3,31),Sales_Deals!I55&lt;=DATE(2024,9,30)),Sales_Deals!J55,""),"")</f>
        <v/>
      </c>
    </row>
    <row r="65" spans="1:3" x14ac:dyDescent="0.35">
      <c r="A65">
        <v>55</v>
      </c>
      <c r="B65" t="str">
        <f>IF(Sales_Deals!I56&lt;&gt;"",IF(AND(Sales_Deals!I56&gt;DATE(2024,9,30),Sales_Deals!I56&lt;=DATE(2025,3,31)),Sales_Deals!J56,""),"")</f>
        <v/>
      </c>
      <c r="C65" t="str">
        <f>IF(Sales_Deals!I56&lt;&gt;"",IF(AND(Sales_Deals!I56&gt;DATE(2024,3,31),Sales_Deals!I56&lt;=DATE(2024,9,30)),Sales_Deals!J56,""),"")</f>
        <v/>
      </c>
    </row>
    <row r="66" spans="1:3" x14ac:dyDescent="0.35">
      <c r="A66">
        <v>56</v>
      </c>
      <c r="B66" t="str">
        <f>IF(Sales_Deals!I57&lt;&gt;"",IF(AND(Sales_Deals!I57&gt;DATE(2024,9,30),Sales_Deals!I57&lt;=DATE(2025,3,31)),Sales_Deals!J57,""),"")</f>
        <v/>
      </c>
      <c r="C66" t="str">
        <f>IF(Sales_Deals!I57&lt;&gt;"",IF(AND(Sales_Deals!I57&gt;DATE(2024,3,31),Sales_Deals!I57&lt;=DATE(2024,9,30)),Sales_Deals!J57,""),"")</f>
        <v/>
      </c>
    </row>
    <row r="67" spans="1:3" x14ac:dyDescent="0.35">
      <c r="A67">
        <v>57</v>
      </c>
      <c r="B67" t="str">
        <f>IF(Sales_Deals!I58&lt;&gt;"",IF(AND(Sales_Deals!I58&gt;DATE(2024,9,30),Sales_Deals!I58&lt;=DATE(2025,3,31)),Sales_Deals!J58,""),"")</f>
        <v/>
      </c>
      <c r="C67" t="str">
        <f>IF(Sales_Deals!I58&lt;&gt;"",IF(AND(Sales_Deals!I58&gt;DATE(2024,3,31),Sales_Deals!I58&lt;=DATE(2024,9,30)),Sales_Deals!J58,""),"")</f>
        <v/>
      </c>
    </row>
    <row r="68" spans="1:3" x14ac:dyDescent="0.35">
      <c r="A68">
        <v>58</v>
      </c>
      <c r="B68" t="str">
        <f>IF(Sales_Deals!I59&lt;&gt;"",IF(AND(Sales_Deals!I59&gt;DATE(2024,9,30),Sales_Deals!I59&lt;=DATE(2025,3,31)),Sales_Deals!J59,""),"")</f>
        <v/>
      </c>
      <c r="C68" t="str">
        <f>IF(Sales_Deals!I59&lt;&gt;"",IF(AND(Sales_Deals!I59&gt;DATE(2024,3,31),Sales_Deals!I59&lt;=DATE(2024,9,30)),Sales_Deals!J59,""),"")</f>
        <v/>
      </c>
    </row>
    <row r="69" spans="1:3" x14ac:dyDescent="0.35">
      <c r="A69">
        <v>59</v>
      </c>
      <c r="B69" t="str">
        <f>IF(Sales_Deals!I60&lt;&gt;"",IF(AND(Sales_Deals!I60&gt;DATE(2024,9,30),Sales_Deals!I60&lt;=DATE(2025,3,31)),Sales_Deals!J60,""),"")</f>
        <v/>
      </c>
      <c r="C69" t="str">
        <f>IF(Sales_Deals!I60&lt;&gt;"",IF(AND(Sales_Deals!I60&gt;DATE(2024,3,31),Sales_Deals!I60&lt;=DATE(2024,9,30)),Sales_Deals!J60,""),"")</f>
        <v/>
      </c>
    </row>
    <row r="70" spans="1:3" x14ac:dyDescent="0.35">
      <c r="A70">
        <v>60</v>
      </c>
      <c r="B70" t="str">
        <f>IF(Sales_Deals!I61&lt;&gt;"",IF(AND(Sales_Deals!I61&gt;DATE(2024,9,30),Sales_Deals!I61&lt;=DATE(2025,3,31)),Sales_Deals!J61,""),"")</f>
        <v/>
      </c>
      <c r="C70" t="str">
        <f>IF(Sales_Deals!I61&lt;&gt;"",IF(AND(Sales_Deals!I61&gt;DATE(2024,3,31),Sales_Deals!I61&lt;=DATE(2024,9,30)),Sales_Deals!J61,""),"")</f>
        <v/>
      </c>
    </row>
    <row r="71" spans="1:3" x14ac:dyDescent="0.35">
      <c r="A71">
        <v>61</v>
      </c>
      <c r="B71" t="str">
        <f>IF(Sales_Deals!I62&lt;&gt;"",IF(AND(Sales_Deals!I62&gt;DATE(2024,9,30),Sales_Deals!I62&lt;=DATE(2025,3,31)),Sales_Deals!J62,""),"")</f>
        <v/>
      </c>
      <c r="C71" t="str">
        <f>IF(Sales_Deals!I62&lt;&gt;"",IF(AND(Sales_Deals!I62&gt;DATE(2024,3,31),Sales_Deals!I62&lt;=DATE(2024,9,30)),Sales_Deals!J62,""),"")</f>
        <v/>
      </c>
    </row>
    <row r="72" spans="1:3" x14ac:dyDescent="0.35">
      <c r="A72">
        <v>62</v>
      </c>
      <c r="B72">
        <f>IF(Sales_Deals!I63&lt;&gt;"",IF(AND(Sales_Deals!I63&gt;DATE(2024,9,30),Sales_Deals!I63&lt;=DATE(2025,3,31)),Sales_Deals!J63,""),"")</f>
        <v>144</v>
      </c>
      <c r="C72" t="str">
        <f>IF(Sales_Deals!I63&lt;&gt;"",IF(AND(Sales_Deals!I63&gt;DATE(2024,3,31),Sales_Deals!I63&lt;=DATE(2024,9,30)),Sales_Deals!J63,""),"")</f>
        <v/>
      </c>
    </row>
    <row r="73" spans="1:3" x14ac:dyDescent="0.35">
      <c r="A73">
        <v>63</v>
      </c>
      <c r="B73" t="str">
        <f>IF(Sales_Deals!I64&lt;&gt;"",IF(AND(Sales_Deals!I64&gt;DATE(2024,9,30),Sales_Deals!I64&lt;=DATE(2025,3,31)),Sales_Deals!J64,""),"")</f>
        <v/>
      </c>
      <c r="C73" t="str">
        <f>IF(Sales_Deals!I64&lt;&gt;"",IF(AND(Sales_Deals!I64&gt;DATE(2024,3,31),Sales_Deals!I64&lt;=DATE(2024,9,30)),Sales_Deals!J64,""),"")</f>
        <v/>
      </c>
    </row>
    <row r="74" spans="1:3" x14ac:dyDescent="0.35">
      <c r="A74">
        <v>64</v>
      </c>
      <c r="B74" t="str">
        <f>IF(Sales_Deals!I65&lt;&gt;"",IF(AND(Sales_Deals!I65&gt;DATE(2024,9,30),Sales_Deals!I65&lt;=DATE(2025,3,31)),Sales_Deals!J65,""),"")</f>
        <v/>
      </c>
      <c r="C74" t="str">
        <f>IF(Sales_Deals!I65&lt;&gt;"",IF(AND(Sales_Deals!I65&gt;DATE(2024,3,31),Sales_Deals!I65&lt;=DATE(2024,9,30)),Sales_Deals!J65,""),"")</f>
        <v/>
      </c>
    </row>
    <row r="75" spans="1:3" x14ac:dyDescent="0.35">
      <c r="A75">
        <v>65</v>
      </c>
      <c r="B75" t="str">
        <f>IF(Sales_Deals!I66&lt;&gt;"",IF(AND(Sales_Deals!I66&gt;DATE(2024,9,30),Sales_Deals!I66&lt;=DATE(2025,3,31)),Sales_Deals!J66,""),"")</f>
        <v/>
      </c>
      <c r="C75" t="str">
        <f>IF(Sales_Deals!I66&lt;&gt;"",IF(AND(Sales_Deals!I66&gt;DATE(2024,3,31),Sales_Deals!I66&lt;=DATE(2024,9,30)),Sales_Deals!J66,""),"")</f>
        <v/>
      </c>
    </row>
    <row r="76" spans="1:3" x14ac:dyDescent="0.35">
      <c r="A76">
        <v>66</v>
      </c>
      <c r="B76" t="str">
        <f>IF(Sales_Deals!I67&lt;&gt;"",IF(AND(Sales_Deals!I67&gt;DATE(2024,9,30),Sales_Deals!I67&lt;=DATE(2025,3,31)),Sales_Deals!J67,""),"")</f>
        <v/>
      </c>
      <c r="C76" t="str">
        <f>IF(Sales_Deals!I67&lt;&gt;"",IF(AND(Sales_Deals!I67&gt;DATE(2024,3,31),Sales_Deals!I67&lt;=DATE(2024,9,30)),Sales_Deals!J67,""),"")</f>
        <v/>
      </c>
    </row>
    <row r="77" spans="1:3" x14ac:dyDescent="0.35">
      <c r="A77">
        <v>67</v>
      </c>
      <c r="B77" t="str">
        <f>IF(Sales_Deals!I68&lt;&gt;"",IF(AND(Sales_Deals!I68&gt;DATE(2024,9,30),Sales_Deals!I68&lt;=DATE(2025,3,31)),Sales_Deals!J68,""),"")</f>
        <v/>
      </c>
      <c r="C77" t="str">
        <f>IF(Sales_Deals!I68&lt;&gt;"",IF(AND(Sales_Deals!I68&gt;DATE(2024,3,31),Sales_Deals!I68&lt;=DATE(2024,9,30)),Sales_Deals!J68,""),"")</f>
        <v/>
      </c>
    </row>
    <row r="78" spans="1:3" x14ac:dyDescent="0.35">
      <c r="A78">
        <v>68</v>
      </c>
      <c r="B78" t="str">
        <f>IF(Sales_Deals!I69&lt;&gt;"",IF(AND(Sales_Deals!I69&gt;DATE(2024,9,30),Sales_Deals!I69&lt;=DATE(2025,3,31)),Sales_Deals!J69,""),"")</f>
        <v/>
      </c>
      <c r="C78" t="str">
        <f>IF(Sales_Deals!I69&lt;&gt;"",IF(AND(Sales_Deals!I69&gt;DATE(2024,3,31),Sales_Deals!I69&lt;=DATE(2024,9,30)),Sales_Deals!J69,""),"")</f>
        <v/>
      </c>
    </row>
    <row r="79" spans="1:3" x14ac:dyDescent="0.35">
      <c r="A79">
        <v>69</v>
      </c>
      <c r="B79" t="str">
        <f>IF(Sales_Deals!I70&lt;&gt;"",IF(AND(Sales_Deals!I70&gt;DATE(2024,9,30),Sales_Deals!I70&lt;=DATE(2025,3,31)),Sales_Deals!J70,""),"")</f>
        <v/>
      </c>
      <c r="C79" t="str">
        <f>IF(Sales_Deals!I70&lt;&gt;"",IF(AND(Sales_Deals!I70&gt;DATE(2024,3,31),Sales_Deals!I70&lt;=DATE(2024,9,30)),Sales_Deals!J70,""),"")</f>
        <v/>
      </c>
    </row>
    <row r="80" spans="1:3" x14ac:dyDescent="0.35">
      <c r="A80">
        <v>70</v>
      </c>
      <c r="B80" t="str">
        <f>IF(Sales_Deals!I71&lt;&gt;"",IF(AND(Sales_Deals!I71&gt;DATE(2024,9,30),Sales_Deals!I71&lt;=DATE(2025,3,31)),Sales_Deals!J71,""),"")</f>
        <v/>
      </c>
      <c r="C80" t="str">
        <f>IF(Sales_Deals!I71&lt;&gt;"",IF(AND(Sales_Deals!I71&gt;DATE(2024,3,31),Sales_Deals!I71&lt;=DATE(2024,9,30)),Sales_Deals!J71,""),"")</f>
        <v/>
      </c>
    </row>
    <row r="81" spans="1:3" x14ac:dyDescent="0.35">
      <c r="A81">
        <v>71</v>
      </c>
      <c r="B81" t="str">
        <f>IF(Sales_Deals!I72&lt;&gt;"",IF(AND(Sales_Deals!I72&gt;DATE(2024,9,30),Sales_Deals!I72&lt;=DATE(2025,3,31)),Sales_Deals!J72,""),"")</f>
        <v/>
      </c>
      <c r="C81" t="str">
        <f>IF(Sales_Deals!I72&lt;&gt;"",IF(AND(Sales_Deals!I72&gt;DATE(2024,3,31),Sales_Deals!I72&lt;=DATE(2024,9,30)),Sales_Deals!J72,""),"")</f>
        <v/>
      </c>
    </row>
    <row r="82" spans="1:3" x14ac:dyDescent="0.35">
      <c r="A82">
        <v>72</v>
      </c>
      <c r="B82" t="str">
        <f>IF(Sales_Deals!I73&lt;&gt;"",IF(AND(Sales_Deals!I73&gt;DATE(2024,9,30),Sales_Deals!I73&lt;=DATE(2025,3,31)),Sales_Deals!J73,""),"")</f>
        <v/>
      </c>
      <c r="C82" t="str">
        <f>IF(Sales_Deals!I73&lt;&gt;"",IF(AND(Sales_Deals!I73&gt;DATE(2024,3,31),Sales_Deals!I73&lt;=DATE(2024,9,30)),Sales_Deals!J73,""),"")</f>
        <v/>
      </c>
    </row>
    <row r="83" spans="1:3" x14ac:dyDescent="0.35">
      <c r="A83">
        <v>73</v>
      </c>
      <c r="B83" t="str">
        <f>IF(Sales_Deals!I74&lt;&gt;"",IF(AND(Sales_Deals!I74&gt;DATE(2024,9,30),Sales_Deals!I74&lt;=DATE(2025,3,31)),Sales_Deals!J74,""),"")</f>
        <v/>
      </c>
      <c r="C83" t="str">
        <f>IF(Sales_Deals!I74&lt;&gt;"",IF(AND(Sales_Deals!I74&gt;DATE(2024,3,31),Sales_Deals!I74&lt;=DATE(2024,9,30)),Sales_Deals!J74,""),"")</f>
        <v/>
      </c>
    </row>
    <row r="84" spans="1:3" x14ac:dyDescent="0.35">
      <c r="A84">
        <v>74</v>
      </c>
      <c r="B84" t="str">
        <f>IF(Sales_Deals!I75&lt;&gt;"",IF(AND(Sales_Deals!I75&gt;DATE(2024,9,30),Sales_Deals!I75&lt;=DATE(2025,3,31)),Sales_Deals!J75,""),"")</f>
        <v/>
      </c>
      <c r="C84" t="str">
        <f>IF(Sales_Deals!I75&lt;&gt;"",IF(AND(Sales_Deals!I75&gt;DATE(2024,3,31),Sales_Deals!I75&lt;=DATE(2024,9,30)),Sales_Deals!J75,""),"")</f>
        <v/>
      </c>
    </row>
    <row r="85" spans="1:3" x14ac:dyDescent="0.35">
      <c r="A85">
        <v>75</v>
      </c>
      <c r="B85" t="str">
        <f>IF(Sales_Deals!I76&lt;&gt;"",IF(AND(Sales_Deals!I76&gt;DATE(2024,9,30),Sales_Deals!I76&lt;=DATE(2025,3,31)),Sales_Deals!J76,""),"")</f>
        <v/>
      </c>
      <c r="C85">
        <f>IF(Sales_Deals!I76&lt;&gt;"",IF(AND(Sales_Deals!I76&gt;DATE(2024,3,31),Sales_Deals!I76&lt;=DATE(2024,9,30)),Sales_Deals!J76,""),"")</f>
        <v>25</v>
      </c>
    </row>
    <row r="86" spans="1:3" x14ac:dyDescent="0.35">
      <c r="A86">
        <v>76</v>
      </c>
      <c r="B86" t="str">
        <f>IF(Sales_Deals!I77&lt;&gt;"",IF(AND(Sales_Deals!I77&gt;DATE(2024,9,30),Sales_Deals!I77&lt;=DATE(2025,3,31)),Sales_Deals!J77,""),"")</f>
        <v/>
      </c>
      <c r="C86" t="str">
        <f>IF(Sales_Deals!I77&lt;&gt;"",IF(AND(Sales_Deals!I77&gt;DATE(2024,3,31),Sales_Deals!I77&lt;=DATE(2024,9,30)),Sales_Deals!J77,""),"")</f>
        <v/>
      </c>
    </row>
    <row r="87" spans="1:3" x14ac:dyDescent="0.35">
      <c r="A87">
        <v>77</v>
      </c>
      <c r="B87">
        <f>IF(Sales_Deals!I78&lt;&gt;"",IF(AND(Sales_Deals!I78&gt;DATE(2024,9,30),Sales_Deals!I78&lt;=DATE(2025,3,31)),Sales_Deals!J78,""),"")</f>
        <v>144</v>
      </c>
      <c r="C87" t="str">
        <f>IF(Sales_Deals!I78&lt;&gt;"",IF(AND(Sales_Deals!I78&gt;DATE(2024,3,31),Sales_Deals!I78&lt;=DATE(2024,9,30)),Sales_Deals!J78,""),"")</f>
        <v/>
      </c>
    </row>
    <row r="88" spans="1:3" x14ac:dyDescent="0.35">
      <c r="A88">
        <v>78</v>
      </c>
      <c r="B88">
        <f>IF(Sales_Deals!I79&lt;&gt;"",IF(AND(Sales_Deals!I79&gt;DATE(2024,9,30),Sales_Deals!I79&lt;=DATE(2025,3,31)),Sales_Deals!J79,""),"")</f>
        <v>149</v>
      </c>
      <c r="C88" t="str">
        <f>IF(Sales_Deals!I79&lt;&gt;"",IF(AND(Sales_Deals!I79&gt;DATE(2024,3,31),Sales_Deals!I79&lt;=DATE(2024,9,30)),Sales_Deals!J79,""),"")</f>
        <v/>
      </c>
    </row>
    <row r="89" spans="1:3" x14ac:dyDescent="0.35">
      <c r="A89">
        <v>79</v>
      </c>
      <c r="B89" t="str">
        <f>IF(Sales_Deals!I80&lt;&gt;"",IF(AND(Sales_Deals!I80&gt;DATE(2024,9,30),Sales_Deals!I80&lt;=DATE(2025,3,31)),Sales_Deals!J80,""),"")</f>
        <v/>
      </c>
      <c r="C89" t="str">
        <f>IF(Sales_Deals!I80&lt;&gt;"",IF(AND(Sales_Deals!I80&gt;DATE(2024,3,31),Sales_Deals!I80&lt;=DATE(2024,9,30)),Sales_Deals!J80,""),"")</f>
        <v/>
      </c>
    </row>
    <row r="90" spans="1:3" x14ac:dyDescent="0.35">
      <c r="A90">
        <v>80</v>
      </c>
      <c r="B90" t="str">
        <f>IF(Sales_Deals!I81&lt;&gt;"",IF(AND(Sales_Deals!I81&gt;DATE(2024,9,30),Sales_Deals!I81&lt;=DATE(2025,3,31)),Sales_Deals!J81,""),"")</f>
        <v/>
      </c>
      <c r="C90" t="str">
        <f>IF(Sales_Deals!I81&lt;&gt;"",IF(AND(Sales_Deals!I81&gt;DATE(2024,3,31),Sales_Deals!I81&lt;=DATE(2024,9,30)),Sales_Deals!J81,""),"")</f>
        <v/>
      </c>
    </row>
    <row r="91" spans="1:3" x14ac:dyDescent="0.35">
      <c r="A91">
        <v>81</v>
      </c>
      <c r="B91" t="str">
        <f>IF(Sales_Deals!I82&lt;&gt;"",IF(AND(Sales_Deals!I82&gt;DATE(2024,9,30),Sales_Deals!I82&lt;=DATE(2025,3,31)),Sales_Deals!J82,""),"")</f>
        <v/>
      </c>
      <c r="C91" t="str">
        <f>IF(Sales_Deals!I82&lt;&gt;"",IF(AND(Sales_Deals!I82&gt;DATE(2024,3,31),Sales_Deals!I82&lt;=DATE(2024,9,30)),Sales_Deals!J82,""),"")</f>
        <v/>
      </c>
    </row>
    <row r="92" spans="1:3" x14ac:dyDescent="0.35">
      <c r="A92">
        <v>82</v>
      </c>
      <c r="B92" t="str">
        <f>IF(Sales_Deals!I83&lt;&gt;"",IF(AND(Sales_Deals!I83&gt;DATE(2024,9,30),Sales_Deals!I83&lt;=DATE(2025,3,31)),Sales_Deals!J83,""),"")</f>
        <v/>
      </c>
      <c r="C92" t="str">
        <f>IF(Sales_Deals!I83&lt;&gt;"",IF(AND(Sales_Deals!I83&gt;DATE(2024,3,31),Sales_Deals!I83&lt;=DATE(2024,9,30)),Sales_Deals!J83,""),"")</f>
        <v/>
      </c>
    </row>
    <row r="93" spans="1:3" x14ac:dyDescent="0.35">
      <c r="A93">
        <v>83</v>
      </c>
      <c r="B93" t="str">
        <f>IF(Sales_Deals!I84&lt;&gt;"",IF(AND(Sales_Deals!I84&gt;DATE(2024,9,30),Sales_Deals!I84&lt;=DATE(2025,3,31)),Sales_Deals!J84,""),"")</f>
        <v/>
      </c>
      <c r="C93" t="str">
        <f>IF(Sales_Deals!I84&lt;&gt;"",IF(AND(Sales_Deals!I84&gt;DATE(2024,3,31),Sales_Deals!I84&lt;=DATE(2024,9,30)),Sales_Deals!J84,""),"")</f>
        <v/>
      </c>
    </row>
    <row r="94" spans="1:3" x14ac:dyDescent="0.35">
      <c r="A94">
        <v>84</v>
      </c>
      <c r="B94" t="str">
        <f>IF(Sales_Deals!I85&lt;&gt;"",IF(AND(Sales_Deals!I85&gt;DATE(2024,9,30),Sales_Deals!I85&lt;=DATE(2025,3,31)),Sales_Deals!J85,""),"")</f>
        <v/>
      </c>
      <c r="C94" t="str">
        <f>IF(Sales_Deals!I85&lt;&gt;"",IF(AND(Sales_Deals!I85&gt;DATE(2024,3,31),Sales_Deals!I85&lt;=DATE(2024,9,30)),Sales_Deals!J85,""),"")</f>
        <v/>
      </c>
    </row>
    <row r="95" spans="1:3" x14ac:dyDescent="0.35">
      <c r="A95">
        <v>85</v>
      </c>
      <c r="B95">
        <f>IF(Sales_Deals!I86&lt;&gt;"",IF(AND(Sales_Deals!I86&gt;DATE(2024,9,30),Sales_Deals!I86&lt;=DATE(2025,3,31)),Sales_Deals!J86,""),"")</f>
        <v>123</v>
      </c>
      <c r="C95" t="str">
        <f>IF(Sales_Deals!I86&lt;&gt;"",IF(AND(Sales_Deals!I86&gt;DATE(2024,3,31),Sales_Deals!I86&lt;=DATE(2024,9,30)),Sales_Deals!J86,""),"")</f>
        <v/>
      </c>
    </row>
    <row r="96" spans="1:3" x14ac:dyDescent="0.35">
      <c r="A96">
        <v>86</v>
      </c>
      <c r="B96" t="str">
        <f>IF(Sales_Deals!I87&lt;&gt;"",IF(AND(Sales_Deals!I87&gt;DATE(2024,9,30),Sales_Deals!I87&lt;=DATE(2025,3,31)),Sales_Deals!J87,""),"")</f>
        <v/>
      </c>
      <c r="C96" t="str">
        <f>IF(Sales_Deals!I87&lt;&gt;"",IF(AND(Sales_Deals!I87&gt;DATE(2024,3,31),Sales_Deals!I87&lt;=DATE(2024,9,30)),Sales_Deals!J87,""),"")</f>
        <v/>
      </c>
    </row>
    <row r="97" spans="1:3" x14ac:dyDescent="0.35">
      <c r="A97">
        <v>87</v>
      </c>
      <c r="B97" t="str">
        <f>IF(Sales_Deals!I88&lt;&gt;"",IF(AND(Sales_Deals!I88&gt;DATE(2024,9,30),Sales_Deals!I88&lt;=DATE(2025,3,31)),Sales_Deals!J88,""),"")</f>
        <v/>
      </c>
      <c r="C97">
        <f>IF(Sales_Deals!I88&lt;&gt;"",IF(AND(Sales_Deals!I88&gt;DATE(2024,3,31),Sales_Deals!I88&lt;=DATE(2024,9,30)),Sales_Deals!J88,""),"")</f>
        <v>59</v>
      </c>
    </row>
    <row r="98" spans="1:3" x14ac:dyDescent="0.35">
      <c r="A98">
        <v>88</v>
      </c>
      <c r="B98" t="str">
        <f>IF(Sales_Deals!I89&lt;&gt;"",IF(AND(Sales_Deals!I89&gt;DATE(2024,9,30),Sales_Deals!I89&lt;=DATE(2025,3,31)),Sales_Deals!J89,""),"")</f>
        <v/>
      </c>
      <c r="C98" t="str">
        <f>IF(Sales_Deals!I89&lt;&gt;"",IF(AND(Sales_Deals!I89&gt;DATE(2024,3,31),Sales_Deals!I89&lt;=DATE(2024,9,30)),Sales_Deals!J89,""),"")</f>
        <v/>
      </c>
    </row>
    <row r="99" spans="1:3" x14ac:dyDescent="0.35">
      <c r="A99">
        <v>89</v>
      </c>
      <c r="B99" t="str">
        <f>IF(Sales_Deals!I90&lt;&gt;"",IF(AND(Sales_Deals!I90&gt;DATE(2024,9,30),Sales_Deals!I90&lt;=DATE(2025,3,31)),Sales_Deals!J90,""),"")</f>
        <v/>
      </c>
      <c r="C99" t="str">
        <f>IF(Sales_Deals!I90&lt;&gt;"",IF(AND(Sales_Deals!I90&gt;DATE(2024,3,31),Sales_Deals!I90&lt;=DATE(2024,9,30)),Sales_Deals!J90,""),"")</f>
        <v/>
      </c>
    </row>
    <row r="100" spans="1:3" x14ac:dyDescent="0.35">
      <c r="A100">
        <v>90</v>
      </c>
      <c r="B100" t="str">
        <f>IF(Sales_Deals!I91&lt;&gt;"",IF(AND(Sales_Deals!I91&gt;DATE(2024,9,30),Sales_Deals!I91&lt;=DATE(2025,3,31)),Sales_Deals!J91,""),"")</f>
        <v/>
      </c>
      <c r="C100" t="str">
        <f>IF(Sales_Deals!I91&lt;&gt;"",IF(AND(Sales_Deals!I91&gt;DATE(2024,3,31),Sales_Deals!I91&lt;=DATE(2024,9,30)),Sales_Deals!J91,""),"")</f>
        <v/>
      </c>
    </row>
    <row r="101" spans="1:3" x14ac:dyDescent="0.35">
      <c r="A101">
        <v>91</v>
      </c>
      <c r="B101" t="str">
        <f>IF(Sales_Deals!I92&lt;&gt;"",IF(AND(Sales_Deals!I92&gt;DATE(2024,9,30),Sales_Deals!I92&lt;=DATE(2025,3,31)),Sales_Deals!J92,""),"")</f>
        <v/>
      </c>
      <c r="C101" t="str">
        <f>IF(Sales_Deals!I92&lt;&gt;"",IF(AND(Sales_Deals!I92&gt;DATE(2024,3,31),Sales_Deals!I92&lt;=DATE(2024,9,30)),Sales_Deals!J92,""),"")</f>
        <v/>
      </c>
    </row>
    <row r="102" spans="1:3" x14ac:dyDescent="0.35">
      <c r="A102">
        <v>92</v>
      </c>
      <c r="B102" t="str">
        <f>IF(Sales_Deals!I93&lt;&gt;"",IF(AND(Sales_Deals!I93&gt;DATE(2024,9,30),Sales_Deals!I93&lt;=DATE(2025,3,31)),Sales_Deals!J93,""),"")</f>
        <v/>
      </c>
      <c r="C102">
        <f>IF(Sales_Deals!I93&lt;&gt;"",IF(AND(Sales_Deals!I93&gt;DATE(2024,3,31),Sales_Deals!I93&lt;=DATE(2024,9,30)),Sales_Deals!J93,""),"")</f>
        <v>109</v>
      </c>
    </row>
    <row r="103" spans="1:3" x14ac:dyDescent="0.35">
      <c r="A103">
        <v>93</v>
      </c>
      <c r="B103" t="str">
        <f>IF(Sales_Deals!I94&lt;&gt;"",IF(AND(Sales_Deals!I94&gt;DATE(2024,9,30),Sales_Deals!I94&lt;=DATE(2025,3,31)),Sales_Deals!J94,""),"")</f>
        <v/>
      </c>
      <c r="C103" t="str">
        <f>IF(Sales_Deals!I94&lt;&gt;"",IF(AND(Sales_Deals!I94&gt;DATE(2024,3,31),Sales_Deals!I94&lt;=DATE(2024,9,30)),Sales_Deals!J94,""),"")</f>
        <v/>
      </c>
    </row>
    <row r="104" spans="1:3" x14ac:dyDescent="0.35">
      <c r="A104">
        <v>94</v>
      </c>
      <c r="B104" t="str">
        <f>IF(Sales_Deals!I95&lt;&gt;"",IF(AND(Sales_Deals!I95&gt;DATE(2024,9,30),Sales_Deals!I95&lt;=DATE(2025,3,31)),Sales_Deals!J95,""),"")</f>
        <v/>
      </c>
      <c r="C104" t="str">
        <f>IF(Sales_Deals!I95&lt;&gt;"",IF(AND(Sales_Deals!I95&gt;DATE(2024,3,31),Sales_Deals!I95&lt;=DATE(2024,9,30)),Sales_Deals!J95,""),"")</f>
        <v/>
      </c>
    </row>
    <row r="105" spans="1:3" x14ac:dyDescent="0.35">
      <c r="A105">
        <v>95</v>
      </c>
      <c r="B105" t="str">
        <f>IF(Sales_Deals!I96&lt;&gt;"",IF(AND(Sales_Deals!I96&gt;DATE(2024,9,30),Sales_Deals!I96&lt;=DATE(2025,3,31)),Sales_Deals!J96,""),"")</f>
        <v/>
      </c>
      <c r="C105">
        <f>IF(Sales_Deals!I96&lt;&gt;"",IF(AND(Sales_Deals!I96&gt;DATE(2024,3,31),Sales_Deals!I96&lt;=DATE(2024,9,30)),Sales_Deals!J96,""),"")</f>
        <v>64</v>
      </c>
    </row>
    <row r="106" spans="1:3" x14ac:dyDescent="0.35">
      <c r="A106">
        <v>96</v>
      </c>
      <c r="B106" t="str">
        <f>IF(Sales_Deals!I97&lt;&gt;"",IF(AND(Sales_Deals!I97&gt;DATE(2024,9,30),Sales_Deals!I97&lt;=DATE(2025,3,31)),Sales_Deals!J97,""),"")</f>
        <v/>
      </c>
      <c r="C106" t="str">
        <f>IF(Sales_Deals!I97&lt;&gt;"",IF(AND(Sales_Deals!I97&gt;DATE(2024,3,31),Sales_Deals!I97&lt;=DATE(2024,9,30)),Sales_Deals!J97,""),"")</f>
        <v/>
      </c>
    </row>
    <row r="107" spans="1:3" x14ac:dyDescent="0.35">
      <c r="A107">
        <v>97</v>
      </c>
      <c r="B107" t="str">
        <f>IF(Sales_Deals!I98&lt;&gt;"",IF(AND(Sales_Deals!I98&gt;DATE(2024,9,30),Sales_Deals!I98&lt;=DATE(2025,3,31)),Sales_Deals!J98,""),"")</f>
        <v/>
      </c>
      <c r="C107" t="str">
        <f>IF(Sales_Deals!I98&lt;&gt;"",IF(AND(Sales_Deals!I98&gt;DATE(2024,3,31),Sales_Deals!I98&lt;=DATE(2024,9,30)),Sales_Deals!J98,""),"")</f>
        <v/>
      </c>
    </row>
    <row r="108" spans="1:3" x14ac:dyDescent="0.35">
      <c r="A108">
        <v>98</v>
      </c>
      <c r="B108" t="str">
        <f>IF(Sales_Deals!I99&lt;&gt;"",IF(AND(Sales_Deals!I99&gt;DATE(2024,9,30),Sales_Deals!I99&lt;=DATE(2025,3,31)),Sales_Deals!J99,""),"")</f>
        <v/>
      </c>
      <c r="C108" t="str">
        <f>IF(Sales_Deals!I99&lt;&gt;"",IF(AND(Sales_Deals!I99&gt;DATE(2024,3,31),Sales_Deals!I99&lt;=DATE(2024,9,30)),Sales_Deals!J99,""),"")</f>
        <v/>
      </c>
    </row>
    <row r="109" spans="1:3" x14ac:dyDescent="0.35">
      <c r="A109">
        <v>99</v>
      </c>
      <c r="B109" t="str">
        <f>IF(Sales_Deals!I100&lt;&gt;"",IF(AND(Sales_Deals!I100&gt;DATE(2024,9,30),Sales_Deals!I100&lt;=DATE(2025,3,31)),Sales_Deals!J100,""),"")</f>
        <v/>
      </c>
      <c r="C109" t="str">
        <f>IF(Sales_Deals!I100&lt;&gt;"",IF(AND(Sales_Deals!I100&gt;DATE(2024,3,31),Sales_Deals!I100&lt;=DATE(2024,9,30)),Sales_Deals!J100,""),"")</f>
        <v/>
      </c>
    </row>
    <row r="110" spans="1:3" x14ac:dyDescent="0.35">
      <c r="A110">
        <v>100</v>
      </c>
      <c r="B110" t="str">
        <f>IF(Sales_Deals!I101&lt;&gt;"",IF(AND(Sales_Deals!I101&gt;DATE(2024,9,30),Sales_Deals!I101&lt;=DATE(2025,3,31)),Sales_Deals!J101,""),"")</f>
        <v/>
      </c>
      <c r="C110">
        <f>IF(Sales_Deals!I101&lt;&gt;"",IF(AND(Sales_Deals!I101&gt;DATE(2024,3,31),Sales_Deals!I101&lt;=DATE(2024,9,30)),Sales_Deals!J101,""),"")</f>
        <v>125</v>
      </c>
    </row>
    <row r="111" spans="1:3" x14ac:dyDescent="0.35">
      <c r="A111">
        <v>101</v>
      </c>
      <c r="B111" t="str">
        <f>IF(Sales_Deals!I102&lt;&gt;"",IF(AND(Sales_Deals!I102&gt;DATE(2024,9,30),Sales_Deals!I102&lt;=DATE(2025,3,31)),Sales_Deals!J102,""),"")</f>
        <v/>
      </c>
      <c r="C111" t="str">
        <f>IF(Sales_Deals!I102&lt;&gt;"",IF(AND(Sales_Deals!I102&gt;DATE(2024,3,31),Sales_Deals!I102&lt;=DATE(2024,9,30)),Sales_Deals!J102,""),"")</f>
        <v/>
      </c>
    </row>
    <row r="112" spans="1:3" x14ac:dyDescent="0.35">
      <c r="A112">
        <v>102</v>
      </c>
      <c r="B112" t="str">
        <f>IF(Sales_Deals!I103&lt;&gt;"",IF(AND(Sales_Deals!I103&gt;DATE(2024,9,30),Sales_Deals!I103&lt;=DATE(2025,3,31)),Sales_Deals!J103,""),"")</f>
        <v/>
      </c>
      <c r="C112" t="str">
        <f>IF(Sales_Deals!I103&lt;&gt;"",IF(AND(Sales_Deals!I103&gt;DATE(2024,3,31),Sales_Deals!I103&lt;=DATE(2024,9,30)),Sales_Deals!J103,""),"")</f>
        <v/>
      </c>
    </row>
    <row r="113" spans="1:3" x14ac:dyDescent="0.35">
      <c r="A113">
        <v>103</v>
      </c>
      <c r="B113" t="str">
        <f>IF(Sales_Deals!I104&lt;&gt;"",IF(AND(Sales_Deals!I104&gt;DATE(2024,9,30),Sales_Deals!I104&lt;=DATE(2025,3,31)),Sales_Deals!J104,""),"")</f>
        <v/>
      </c>
      <c r="C113" t="str">
        <f>IF(Sales_Deals!I104&lt;&gt;"",IF(AND(Sales_Deals!I104&gt;DATE(2024,3,31),Sales_Deals!I104&lt;=DATE(2024,9,30)),Sales_Deals!J104,""),"")</f>
        <v/>
      </c>
    </row>
    <row r="114" spans="1:3" x14ac:dyDescent="0.35">
      <c r="A114">
        <v>104</v>
      </c>
      <c r="B114" t="str">
        <f>IF(Sales_Deals!I105&lt;&gt;"",IF(AND(Sales_Deals!I105&gt;DATE(2024,9,30),Sales_Deals!I105&lt;=DATE(2025,3,31)),Sales_Deals!J105,""),"")</f>
        <v/>
      </c>
      <c r="C114" t="str">
        <f>IF(Sales_Deals!I105&lt;&gt;"",IF(AND(Sales_Deals!I105&gt;DATE(2024,3,31),Sales_Deals!I105&lt;=DATE(2024,9,30)),Sales_Deals!J105,""),"")</f>
        <v/>
      </c>
    </row>
    <row r="115" spans="1:3" x14ac:dyDescent="0.35">
      <c r="A115">
        <v>105</v>
      </c>
      <c r="B115" t="str">
        <f>IF(Sales_Deals!I106&lt;&gt;"",IF(AND(Sales_Deals!I106&gt;DATE(2024,9,30),Sales_Deals!I106&lt;=DATE(2025,3,31)),Sales_Deals!J106,""),"")</f>
        <v/>
      </c>
      <c r="C115" t="str">
        <f>IF(Sales_Deals!I106&lt;&gt;"",IF(AND(Sales_Deals!I106&gt;DATE(2024,3,31),Sales_Deals!I106&lt;=DATE(2024,9,30)),Sales_Deals!J106,""),"")</f>
        <v/>
      </c>
    </row>
    <row r="116" spans="1:3" x14ac:dyDescent="0.35">
      <c r="A116">
        <v>106</v>
      </c>
      <c r="B116" t="str">
        <f>IF(Sales_Deals!I107&lt;&gt;"",IF(AND(Sales_Deals!I107&gt;DATE(2024,9,30),Sales_Deals!I107&lt;=DATE(2025,3,31)),Sales_Deals!J107,""),"")</f>
        <v/>
      </c>
      <c r="C116" t="str">
        <f>IF(Sales_Deals!I107&lt;&gt;"",IF(AND(Sales_Deals!I107&gt;DATE(2024,3,31),Sales_Deals!I107&lt;=DATE(2024,9,30)),Sales_Deals!J107,""),"")</f>
        <v/>
      </c>
    </row>
    <row r="117" spans="1:3" x14ac:dyDescent="0.35">
      <c r="A117">
        <v>107</v>
      </c>
      <c r="B117" t="str">
        <f>IF(Sales_Deals!I108&lt;&gt;"",IF(AND(Sales_Deals!I108&gt;DATE(2024,9,30),Sales_Deals!I108&lt;=DATE(2025,3,31)),Sales_Deals!J108,""),"")</f>
        <v/>
      </c>
      <c r="C117" t="str">
        <f>IF(Sales_Deals!I108&lt;&gt;"",IF(AND(Sales_Deals!I108&gt;DATE(2024,3,31),Sales_Deals!I108&lt;=DATE(2024,9,30)),Sales_Deals!J108,""),"")</f>
        <v/>
      </c>
    </row>
    <row r="118" spans="1:3" x14ac:dyDescent="0.35">
      <c r="A118">
        <v>108</v>
      </c>
      <c r="B118" t="str">
        <f>IF(Sales_Deals!I109&lt;&gt;"",IF(AND(Sales_Deals!I109&gt;DATE(2024,9,30),Sales_Deals!I109&lt;=DATE(2025,3,31)),Sales_Deals!J109,""),"")</f>
        <v/>
      </c>
      <c r="C118" t="str">
        <f>IF(Sales_Deals!I109&lt;&gt;"",IF(AND(Sales_Deals!I109&gt;DATE(2024,3,31),Sales_Deals!I109&lt;=DATE(2024,9,30)),Sales_Deals!J109,""),"")</f>
        <v/>
      </c>
    </row>
    <row r="119" spans="1:3" x14ac:dyDescent="0.35">
      <c r="A119">
        <v>109</v>
      </c>
      <c r="B119" t="str">
        <f>IF(Sales_Deals!I110&lt;&gt;"",IF(AND(Sales_Deals!I110&gt;DATE(2024,9,30),Sales_Deals!I110&lt;=DATE(2025,3,31)),Sales_Deals!J110,""),"")</f>
        <v/>
      </c>
      <c r="C119" t="str">
        <f>IF(Sales_Deals!I110&lt;&gt;"",IF(AND(Sales_Deals!I110&gt;DATE(2024,3,31),Sales_Deals!I110&lt;=DATE(2024,9,30)),Sales_Deals!J110,""),"")</f>
        <v/>
      </c>
    </row>
    <row r="120" spans="1:3" x14ac:dyDescent="0.35">
      <c r="A120">
        <v>110</v>
      </c>
      <c r="B120" t="str">
        <f>IF(Sales_Deals!I111&lt;&gt;"",IF(AND(Sales_Deals!I111&gt;DATE(2024,9,30),Sales_Deals!I111&lt;=DATE(2025,3,31)),Sales_Deals!J111,""),"")</f>
        <v/>
      </c>
      <c r="C120" t="str">
        <f>IF(Sales_Deals!I111&lt;&gt;"",IF(AND(Sales_Deals!I111&gt;DATE(2024,3,31),Sales_Deals!I111&lt;=DATE(2024,9,30)),Sales_Deals!J111,""),"")</f>
        <v/>
      </c>
    </row>
    <row r="121" spans="1:3" x14ac:dyDescent="0.35">
      <c r="A121">
        <v>111</v>
      </c>
      <c r="B121" t="str">
        <f>IF(Sales_Deals!I112&lt;&gt;"",IF(AND(Sales_Deals!I112&gt;DATE(2024,9,30),Sales_Deals!I112&lt;=DATE(2025,3,31)),Sales_Deals!J112,""),"")</f>
        <v/>
      </c>
      <c r="C121" t="str">
        <f>IF(Sales_Deals!I112&lt;&gt;"",IF(AND(Sales_Deals!I112&gt;DATE(2024,3,31),Sales_Deals!I112&lt;=DATE(2024,9,30)),Sales_Deals!J112,""),"")</f>
        <v/>
      </c>
    </row>
    <row r="122" spans="1:3" x14ac:dyDescent="0.35">
      <c r="A122">
        <v>112</v>
      </c>
      <c r="B122" t="str">
        <f>IF(Sales_Deals!I113&lt;&gt;"",IF(AND(Sales_Deals!I113&gt;DATE(2024,9,30),Sales_Deals!I113&lt;=DATE(2025,3,31)),Sales_Deals!J113,""),"")</f>
        <v/>
      </c>
      <c r="C122" t="str">
        <f>IF(Sales_Deals!I113&lt;&gt;"",IF(AND(Sales_Deals!I113&gt;DATE(2024,3,31),Sales_Deals!I113&lt;=DATE(2024,9,30)),Sales_Deals!J113,""),"")</f>
        <v/>
      </c>
    </row>
    <row r="123" spans="1:3" x14ac:dyDescent="0.35">
      <c r="A123">
        <v>113</v>
      </c>
      <c r="B123" t="str">
        <f>IF(Sales_Deals!I114&lt;&gt;"",IF(AND(Sales_Deals!I114&gt;DATE(2024,9,30),Sales_Deals!I114&lt;=DATE(2025,3,31)),Sales_Deals!J114,""),"")</f>
        <v/>
      </c>
      <c r="C123">
        <f>IF(Sales_Deals!I114&lt;&gt;"",IF(AND(Sales_Deals!I114&gt;DATE(2024,3,31),Sales_Deals!I114&lt;=DATE(2024,9,30)),Sales_Deals!J114,""),"")</f>
        <v>105</v>
      </c>
    </row>
    <row r="124" spans="1:3" x14ac:dyDescent="0.35">
      <c r="A124">
        <v>114</v>
      </c>
      <c r="B124" t="str">
        <f>IF(Sales_Deals!I115&lt;&gt;"",IF(AND(Sales_Deals!I115&gt;DATE(2024,9,30),Sales_Deals!I115&lt;=DATE(2025,3,31)),Sales_Deals!J115,""),"")</f>
        <v/>
      </c>
      <c r="C124" t="str">
        <f>IF(Sales_Deals!I115&lt;&gt;"",IF(AND(Sales_Deals!I115&gt;DATE(2024,3,31),Sales_Deals!I115&lt;=DATE(2024,9,30)),Sales_Deals!J115,""),"")</f>
        <v/>
      </c>
    </row>
    <row r="125" spans="1:3" x14ac:dyDescent="0.35">
      <c r="A125">
        <v>115</v>
      </c>
      <c r="B125" t="str">
        <f>IF(Sales_Deals!I116&lt;&gt;"",IF(AND(Sales_Deals!I116&gt;DATE(2024,9,30),Sales_Deals!I116&lt;=DATE(2025,3,31)),Sales_Deals!J116,""),"")</f>
        <v/>
      </c>
      <c r="C125" t="str">
        <f>IF(Sales_Deals!I116&lt;&gt;"",IF(AND(Sales_Deals!I116&gt;DATE(2024,3,31),Sales_Deals!I116&lt;=DATE(2024,9,30)),Sales_Deals!J116,""),"")</f>
        <v/>
      </c>
    </row>
    <row r="126" spans="1:3" x14ac:dyDescent="0.35">
      <c r="A126">
        <v>116</v>
      </c>
      <c r="B126" t="str">
        <f>IF(Sales_Deals!I117&lt;&gt;"",IF(AND(Sales_Deals!I117&gt;DATE(2024,9,30),Sales_Deals!I117&lt;=DATE(2025,3,31)),Sales_Deals!J117,""),"")</f>
        <v/>
      </c>
      <c r="C126" t="str">
        <f>IF(Sales_Deals!I117&lt;&gt;"",IF(AND(Sales_Deals!I117&gt;DATE(2024,3,31),Sales_Deals!I117&lt;=DATE(2024,9,30)),Sales_Deals!J117,""),"")</f>
        <v/>
      </c>
    </row>
    <row r="127" spans="1:3" x14ac:dyDescent="0.35">
      <c r="A127">
        <v>117</v>
      </c>
      <c r="B127" t="str">
        <f>IF(Sales_Deals!I118&lt;&gt;"",IF(AND(Sales_Deals!I118&gt;DATE(2024,9,30),Sales_Deals!I118&lt;=DATE(2025,3,31)),Sales_Deals!J118,""),"")</f>
        <v/>
      </c>
      <c r="C127" t="str">
        <f>IF(Sales_Deals!I118&lt;&gt;"",IF(AND(Sales_Deals!I118&gt;DATE(2024,3,31),Sales_Deals!I118&lt;=DATE(2024,9,30)),Sales_Deals!J118,""),"")</f>
        <v/>
      </c>
    </row>
    <row r="128" spans="1:3" x14ac:dyDescent="0.35">
      <c r="A128">
        <v>118</v>
      </c>
      <c r="B128" t="str">
        <f>IF(Sales_Deals!I119&lt;&gt;"",IF(AND(Sales_Deals!I119&gt;DATE(2024,9,30),Sales_Deals!I119&lt;=DATE(2025,3,31)),Sales_Deals!J119,""),"")</f>
        <v/>
      </c>
      <c r="C128" t="str">
        <f>IF(Sales_Deals!I119&lt;&gt;"",IF(AND(Sales_Deals!I119&gt;DATE(2024,3,31),Sales_Deals!I119&lt;=DATE(2024,9,30)),Sales_Deals!J119,""),"")</f>
        <v/>
      </c>
    </row>
    <row r="129" spans="1:3" x14ac:dyDescent="0.35">
      <c r="A129">
        <v>119</v>
      </c>
      <c r="B129" t="str">
        <f>IF(Sales_Deals!I120&lt;&gt;"",IF(AND(Sales_Deals!I120&gt;DATE(2024,9,30),Sales_Deals!I120&lt;=DATE(2025,3,31)),Sales_Deals!J120,""),"")</f>
        <v/>
      </c>
      <c r="C129" t="str">
        <f>IF(Sales_Deals!I120&lt;&gt;"",IF(AND(Sales_Deals!I120&gt;DATE(2024,3,31),Sales_Deals!I120&lt;=DATE(2024,9,30)),Sales_Deals!J120,""),"")</f>
        <v/>
      </c>
    </row>
    <row r="130" spans="1:3" x14ac:dyDescent="0.35">
      <c r="A130">
        <v>120</v>
      </c>
      <c r="B130" t="str">
        <f>IF(Sales_Deals!I121&lt;&gt;"",IF(AND(Sales_Deals!I121&gt;DATE(2024,9,30),Sales_Deals!I121&lt;=DATE(2025,3,31)),Sales_Deals!J121,""),"")</f>
        <v/>
      </c>
      <c r="C130" t="str">
        <f>IF(Sales_Deals!I121&lt;&gt;"",IF(AND(Sales_Deals!I121&gt;DATE(2024,3,31),Sales_Deals!I121&lt;=DATE(2024,9,30)),Sales_Deals!J121,""),"")</f>
        <v/>
      </c>
    </row>
    <row r="131" spans="1:3" x14ac:dyDescent="0.35">
      <c r="A131">
        <v>121</v>
      </c>
      <c r="B131" t="str">
        <f>IF(Sales_Deals!I122&lt;&gt;"",IF(AND(Sales_Deals!I122&gt;DATE(2024,9,30),Sales_Deals!I122&lt;=DATE(2025,3,31)),Sales_Deals!J122,""),"")</f>
        <v/>
      </c>
      <c r="C131" t="str">
        <f>IF(Sales_Deals!I122&lt;&gt;"",IF(AND(Sales_Deals!I122&gt;DATE(2024,3,31),Sales_Deals!I122&lt;=DATE(2024,9,30)),Sales_Deals!J122,""),"")</f>
        <v/>
      </c>
    </row>
    <row r="132" spans="1:3" x14ac:dyDescent="0.35">
      <c r="A132">
        <v>122</v>
      </c>
      <c r="B132" t="str">
        <f>IF(Sales_Deals!I123&lt;&gt;"",IF(AND(Sales_Deals!I123&gt;DATE(2024,9,30),Sales_Deals!I123&lt;=DATE(2025,3,31)),Sales_Deals!J123,""),"")</f>
        <v/>
      </c>
      <c r="C132">
        <f>IF(Sales_Deals!I123&lt;&gt;"",IF(AND(Sales_Deals!I123&gt;DATE(2024,3,31),Sales_Deals!I123&lt;=DATE(2024,9,30)),Sales_Deals!J123,""),"")</f>
        <v>87</v>
      </c>
    </row>
    <row r="133" spans="1:3" x14ac:dyDescent="0.35">
      <c r="A133">
        <v>123</v>
      </c>
      <c r="B133" t="str">
        <f>IF(Sales_Deals!I124&lt;&gt;"",IF(AND(Sales_Deals!I124&gt;DATE(2024,9,30),Sales_Deals!I124&lt;=DATE(2025,3,31)),Sales_Deals!J124,""),"")</f>
        <v/>
      </c>
      <c r="C133" t="str">
        <f>IF(Sales_Deals!I124&lt;&gt;"",IF(AND(Sales_Deals!I124&gt;DATE(2024,3,31),Sales_Deals!I124&lt;=DATE(2024,9,30)),Sales_Deals!J124,""),"")</f>
        <v/>
      </c>
    </row>
    <row r="134" spans="1:3" x14ac:dyDescent="0.35">
      <c r="A134">
        <v>124</v>
      </c>
      <c r="B134" t="str">
        <f>IF(Sales_Deals!I125&lt;&gt;"",IF(AND(Sales_Deals!I125&gt;DATE(2024,9,30),Sales_Deals!I125&lt;=DATE(2025,3,31)),Sales_Deals!J125,""),"")</f>
        <v/>
      </c>
      <c r="C134" t="str">
        <f>IF(Sales_Deals!I125&lt;&gt;"",IF(AND(Sales_Deals!I125&gt;DATE(2024,3,31),Sales_Deals!I125&lt;=DATE(2024,9,30)),Sales_Deals!J125,""),"")</f>
        <v/>
      </c>
    </row>
    <row r="135" spans="1:3" x14ac:dyDescent="0.35">
      <c r="A135">
        <v>125</v>
      </c>
      <c r="B135" t="str">
        <f>IF(Sales_Deals!I126&lt;&gt;"",IF(AND(Sales_Deals!I126&gt;DATE(2024,9,30),Sales_Deals!I126&lt;=DATE(2025,3,31)),Sales_Deals!J126,""),"")</f>
        <v/>
      </c>
      <c r="C135" t="str">
        <f>IF(Sales_Deals!I126&lt;&gt;"",IF(AND(Sales_Deals!I126&gt;DATE(2024,3,31),Sales_Deals!I126&lt;=DATE(2024,9,30)),Sales_Deals!J126,""),"")</f>
        <v/>
      </c>
    </row>
    <row r="136" spans="1:3" x14ac:dyDescent="0.35">
      <c r="A136">
        <v>126</v>
      </c>
      <c r="B136" t="str">
        <f>IF(Sales_Deals!I127&lt;&gt;"",IF(AND(Sales_Deals!I127&gt;DATE(2024,9,30),Sales_Deals!I127&lt;=DATE(2025,3,31)),Sales_Deals!J127,""),"")</f>
        <v/>
      </c>
      <c r="C136" t="str">
        <f>IF(Sales_Deals!I127&lt;&gt;"",IF(AND(Sales_Deals!I127&gt;DATE(2024,3,31),Sales_Deals!I127&lt;=DATE(2024,9,30)),Sales_Deals!J127,""),"")</f>
        <v/>
      </c>
    </row>
    <row r="137" spans="1:3" x14ac:dyDescent="0.35">
      <c r="A137">
        <v>127</v>
      </c>
      <c r="B137" t="str">
        <f>IF(Sales_Deals!I128&lt;&gt;"",IF(AND(Sales_Deals!I128&gt;DATE(2024,9,30),Sales_Deals!I128&lt;=DATE(2025,3,31)),Sales_Deals!J128,""),"")</f>
        <v/>
      </c>
      <c r="C137" t="str">
        <f>IF(Sales_Deals!I128&lt;&gt;"",IF(AND(Sales_Deals!I128&gt;DATE(2024,3,31),Sales_Deals!I128&lt;=DATE(2024,9,30)),Sales_Deals!J128,""),"")</f>
        <v/>
      </c>
    </row>
    <row r="138" spans="1:3" x14ac:dyDescent="0.35">
      <c r="A138">
        <v>128</v>
      </c>
      <c r="B138" t="str">
        <f>IF(Sales_Deals!I129&lt;&gt;"",IF(AND(Sales_Deals!I129&gt;DATE(2024,9,30),Sales_Deals!I129&lt;=DATE(2025,3,31)),Sales_Deals!J129,""),"")</f>
        <v/>
      </c>
      <c r="C138" t="str">
        <f>IF(Sales_Deals!I129&lt;&gt;"",IF(AND(Sales_Deals!I129&gt;DATE(2024,3,31),Sales_Deals!I129&lt;=DATE(2024,9,30)),Sales_Deals!J129,""),"")</f>
        <v/>
      </c>
    </row>
    <row r="139" spans="1:3" x14ac:dyDescent="0.35">
      <c r="A139">
        <v>129</v>
      </c>
      <c r="B139" t="str">
        <f>IF(Sales_Deals!I130&lt;&gt;"",IF(AND(Sales_Deals!I130&gt;DATE(2024,9,30),Sales_Deals!I130&lt;=DATE(2025,3,31)),Sales_Deals!J130,""),"")</f>
        <v/>
      </c>
      <c r="C139" t="str">
        <f>IF(Sales_Deals!I130&lt;&gt;"",IF(AND(Sales_Deals!I130&gt;DATE(2024,3,31),Sales_Deals!I130&lt;=DATE(2024,9,30)),Sales_Deals!J130,""),"")</f>
        <v/>
      </c>
    </row>
    <row r="140" spans="1:3" x14ac:dyDescent="0.35">
      <c r="A140">
        <v>130</v>
      </c>
      <c r="B140" t="str">
        <f>IF(Sales_Deals!I131&lt;&gt;"",IF(AND(Sales_Deals!I131&gt;DATE(2024,9,30),Sales_Deals!I131&lt;=DATE(2025,3,31)),Sales_Deals!J131,""),"")</f>
        <v/>
      </c>
      <c r="C140" t="str">
        <f>IF(Sales_Deals!I131&lt;&gt;"",IF(AND(Sales_Deals!I131&gt;DATE(2024,3,31),Sales_Deals!I131&lt;=DATE(2024,9,30)),Sales_Deals!J131,""),"")</f>
        <v/>
      </c>
    </row>
    <row r="141" spans="1:3" x14ac:dyDescent="0.35">
      <c r="A141">
        <v>131</v>
      </c>
      <c r="B141" t="str">
        <f>IF(Sales_Deals!I132&lt;&gt;"",IF(AND(Sales_Deals!I132&gt;DATE(2024,9,30),Sales_Deals!I132&lt;=DATE(2025,3,31)),Sales_Deals!J132,""),"")</f>
        <v/>
      </c>
      <c r="C141" t="str">
        <f>IF(Sales_Deals!I132&lt;&gt;"",IF(AND(Sales_Deals!I132&gt;DATE(2024,3,31),Sales_Deals!I132&lt;=DATE(2024,9,30)),Sales_Deals!J132,""),"")</f>
        <v/>
      </c>
    </row>
    <row r="142" spans="1:3" x14ac:dyDescent="0.35">
      <c r="A142">
        <v>132</v>
      </c>
      <c r="B142" t="str">
        <f>IF(Sales_Deals!I133&lt;&gt;"",IF(AND(Sales_Deals!I133&gt;DATE(2024,9,30),Sales_Deals!I133&lt;=DATE(2025,3,31)),Sales_Deals!J133,""),"")</f>
        <v/>
      </c>
      <c r="C142" t="str">
        <f>IF(Sales_Deals!I133&lt;&gt;"",IF(AND(Sales_Deals!I133&gt;DATE(2024,3,31),Sales_Deals!I133&lt;=DATE(2024,9,30)),Sales_Deals!J133,""),"")</f>
        <v/>
      </c>
    </row>
    <row r="143" spans="1:3" x14ac:dyDescent="0.35">
      <c r="A143">
        <v>133</v>
      </c>
      <c r="B143" t="str">
        <f>IF(Sales_Deals!I134&lt;&gt;"",IF(AND(Sales_Deals!I134&gt;DATE(2024,9,30),Sales_Deals!I134&lt;=DATE(2025,3,31)),Sales_Deals!J134,""),"")</f>
        <v/>
      </c>
      <c r="C143" t="str">
        <f>IF(Sales_Deals!I134&lt;&gt;"",IF(AND(Sales_Deals!I134&gt;DATE(2024,3,31),Sales_Deals!I134&lt;=DATE(2024,9,30)),Sales_Deals!J134,""),"")</f>
        <v/>
      </c>
    </row>
    <row r="144" spans="1:3" x14ac:dyDescent="0.35">
      <c r="A144">
        <v>134</v>
      </c>
      <c r="B144" t="str">
        <f>IF(Sales_Deals!I135&lt;&gt;"",IF(AND(Sales_Deals!I135&gt;DATE(2024,9,30),Sales_Deals!I135&lt;=DATE(2025,3,31)),Sales_Deals!J135,""),"")</f>
        <v/>
      </c>
      <c r="C144" t="str">
        <f>IF(Sales_Deals!I135&lt;&gt;"",IF(AND(Sales_Deals!I135&gt;DATE(2024,3,31),Sales_Deals!I135&lt;=DATE(2024,9,30)),Sales_Deals!J135,""),"")</f>
        <v/>
      </c>
    </row>
    <row r="145" spans="1:3" x14ac:dyDescent="0.35">
      <c r="A145">
        <v>135</v>
      </c>
      <c r="B145" t="str">
        <f>IF(Sales_Deals!I136&lt;&gt;"",IF(AND(Sales_Deals!I136&gt;DATE(2024,9,30),Sales_Deals!I136&lt;=DATE(2025,3,31)),Sales_Deals!J136,""),"")</f>
        <v/>
      </c>
      <c r="C145" t="str">
        <f>IF(Sales_Deals!I136&lt;&gt;"",IF(AND(Sales_Deals!I136&gt;DATE(2024,3,31),Sales_Deals!I136&lt;=DATE(2024,9,30)),Sales_Deals!J136,""),"")</f>
        <v/>
      </c>
    </row>
    <row r="146" spans="1:3" x14ac:dyDescent="0.35">
      <c r="A146">
        <v>136</v>
      </c>
      <c r="B146" t="str">
        <f>IF(Sales_Deals!I137&lt;&gt;"",IF(AND(Sales_Deals!I137&gt;DATE(2024,9,30),Sales_Deals!I137&lt;=DATE(2025,3,31)),Sales_Deals!J137,""),"")</f>
        <v/>
      </c>
      <c r="C146" t="str">
        <f>IF(Sales_Deals!I137&lt;&gt;"",IF(AND(Sales_Deals!I137&gt;DATE(2024,3,31),Sales_Deals!I137&lt;=DATE(2024,9,30)),Sales_Deals!J137,""),"")</f>
        <v/>
      </c>
    </row>
    <row r="147" spans="1:3" x14ac:dyDescent="0.35">
      <c r="A147">
        <v>137</v>
      </c>
      <c r="B147" t="str">
        <f>IF(Sales_Deals!I138&lt;&gt;"",IF(AND(Sales_Deals!I138&gt;DATE(2024,9,30),Sales_Deals!I138&lt;=DATE(2025,3,31)),Sales_Deals!J138,""),"")</f>
        <v/>
      </c>
      <c r="C147" t="str">
        <f>IF(Sales_Deals!I138&lt;&gt;"",IF(AND(Sales_Deals!I138&gt;DATE(2024,3,31),Sales_Deals!I138&lt;=DATE(2024,9,30)),Sales_Deals!J138,""),"")</f>
        <v/>
      </c>
    </row>
    <row r="148" spans="1:3" x14ac:dyDescent="0.35">
      <c r="A148">
        <v>138</v>
      </c>
      <c r="B148">
        <f>IF(Sales_Deals!I139&lt;&gt;"",IF(AND(Sales_Deals!I139&gt;DATE(2024,9,30),Sales_Deals!I139&lt;=DATE(2025,3,31)),Sales_Deals!J139,""),"")</f>
        <v>130</v>
      </c>
      <c r="C148" t="str">
        <f>IF(Sales_Deals!I139&lt;&gt;"",IF(AND(Sales_Deals!I139&gt;DATE(2024,3,31),Sales_Deals!I139&lt;=DATE(2024,9,30)),Sales_Deals!J139,""),"")</f>
        <v/>
      </c>
    </row>
    <row r="149" spans="1:3" x14ac:dyDescent="0.35">
      <c r="A149">
        <v>139</v>
      </c>
      <c r="B149" t="str">
        <f>IF(Sales_Deals!I140&lt;&gt;"",IF(AND(Sales_Deals!I140&gt;DATE(2024,9,30),Sales_Deals!I140&lt;=DATE(2025,3,31)),Sales_Deals!J140,""),"")</f>
        <v/>
      </c>
      <c r="C149" t="str">
        <f>IF(Sales_Deals!I140&lt;&gt;"",IF(AND(Sales_Deals!I140&gt;DATE(2024,3,31),Sales_Deals!I140&lt;=DATE(2024,9,30)),Sales_Deals!J140,""),"")</f>
        <v/>
      </c>
    </row>
    <row r="150" spans="1:3" x14ac:dyDescent="0.35">
      <c r="A150">
        <v>140</v>
      </c>
      <c r="B150" t="str">
        <f>IF(Sales_Deals!I141&lt;&gt;"",IF(AND(Sales_Deals!I141&gt;DATE(2024,9,30),Sales_Deals!I141&lt;=DATE(2025,3,31)),Sales_Deals!J141,""),"")</f>
        <v/>
      </c>
      <c r="C150" t="str">
        <f>IF(Sales_Deals!I141&lt;&gt;"",IF(AND(Sales_Deals!I141&gt;DATE(2024,3,31),Sales_Deals!I141&lt;=DATE(2024,9,30)),Sales_Deals!J141,""),"")</f>
        <v/>
      </c>
    </row>
    <row r="151" spans="1:3" x14ac:dyDescent="0.35">
      <c r="A151">
        <v>141</v>
      </c>
      <c r="B151" t="str">
        <f>IF(Sales_Deals!I142&lt;&gt;"",IF(AND(Sales_Deals!I142&gt;DATE(2024,9,30),Sales_Deals!I142&lt;=DATE(2025,3,31)),Sales_Deals!J142,""),"")</f>
        <v/>
      </c>
      <c r="C151" t="str">
        <f>IF(Sales_Deals!I142&lt;&gt;"",IF(AND(Sales_Deals!I142&gt;DATE(2024,3,31),Sales_Deals!I142&lt;=DATE(2024,9,30)),Sales_Deals!J142,""),"")</f>
        <v/>
      </c>
    </row>
    <row r="152" spans="1:3" x14ac:dyDescent="0.35">
      <c r="A152">
        <v>142</v>
      </c>
      <c r="B152" t="str">
        <f>IF(Sales_Deals!I143&lt;&gt;"",IF(AND(Sales_Deals!I143&gt;DATE(2024,9,30),Sales_Deals!I143&lt;=DATE(2025,3,31)),Sales_Deals!J143,""),"")</f>
        <v/>
      </c>
      <c r="C152">
        <f>IF(Sales_Deals!I143&lt;&gt;"",IF(AND(Sales_Deals!I143&gt;DATE(2024,3,31),Sales_Deals!I143&lt;=DATE(2024,9,30)),Sales_Deals!J143,""),"")</f>
        <v>143</v>
      </c>
    </row>
    <row r="153" spans="1:3" x14ac:dyDescent="0.35">
      <c r="A153">
        <v>143</v>
      </c>
      <c r="B153" t="str">
        <f>IF(Sales_Deals!I144&lt;&gt;"",IF(AND(Sales_Deals!I144&gt;DATE(2024,9,30),Sales_Deals!I144&lt;=DATE(2025,3,31)),Sales_Deals!J144,""),"")</f>
        <v/>
      </c>
      <c r="C153" t="str">
        <f>IF(Sales_Deals!I144&lt;&gt;"",IF(AND(Sales_Deals!I144&gt;DATE(2024,3,31),Sales_Deals!I144&lt;=DATE(2024,9,30)),Sales_Deals!J144,""),"")</f>
        <v/>
      </c>
    </row>
    <row r="154" spans="1:3" x14ac:dyDescent="0.35">
      <c r="A154">
        <v>144</v>
      </c>
      <c r="B154" t="str">
        <f>IF(Sales_Deals!I145&lt;&gt;"",IF(AND(Sales_Deals!I145&gt;DATE(2024,9,30),Sales_Deals!I145&lt;=DATE(2025,3,31)),Sales_Deals!J145,""),"")</f>
        <v/>
      </c>
      <c r="C154" t="str">
        <f>IF(Sales_Deals!I145&lt;&gt;"",IF(AND(Sales_Deals!I145&gt;DATE(2024,3,31),Sales_Deals!I145&lt;=DATE(2024,9,30)),Sales_Deals!J145,""),"")</f>
        <v/>
      </c>
    </row>
    <row r="155" spans="1:3" x14ac:dyDescent="0.35">
      <c r="A155">
        <v>145</v>
      </c>
      <c r="B155" t="str">
        <f>IF(Sales_Deals!I146&lt;&gt;"",IF(AND(Sales_Deals!I146&gt;DATE(2024,9,30),Sales_Deals!I146&lt;=DATE(2025,3,31)),Sales_Deals!J146,""),"")</f>
        <v/>
      </c>
      <c r="C155" t="str">
        <f>IF(Sales_Deals!I146&lt;&gt;"",IF(AND(Sales_Deals!I146&gt;DATE(2024,3,31),Sales_Deals!I146&lt;=DATE(2024,9,30)),Sales_Deals!J146,""),"")</f>
        <v/>
      </c>
    </row>
    <row r="156" spans="1:3" x14ac:dyDescent="0.35">
      <c r="A156">
        <v>146</v>
      </c>
      <c r="B156" t="str">
        <f>IF(Sales_Deals!I147&lt;&gt;"",IF(AND(Sales_Deals!I147&gt;DATE(2024,9,30),Sales_Deals!I147&lt;=DATE(2025,3,31)),Sales_Deals!J147,""),"")</f>
        <v/>
      </c>
      <c r="C156">
        <f>IF(Sales_Deals!I147&lt;&gt;"",IF(AND(Sales_Deals!I147&gt;DATE(2024,3,31),Sales_Deals!I147&lt;=DATE(2024,9,30)),Sales_Deals!J147,""),"")</f>
        <v>126</v>
      </c>
    </row>
    <row r="157" spans="1:3" x14ac:dyDescent="0.35">
      <c r="A157">
        <v>147</v>
      </c>
      <c r="B157" t="str">
        <f>IF(Sales_Deals!I148&lt;&gt;"",IF(AND(Sales_Deals!I148&gt;DATE(2024,9,30),Sales_Deals!I148&lt;=DATE(2025,3,31)),Sales_Deals!J148,""),"")</f>
        <v/>
      </c>
      <c r="C157" t="str">
        <f>IF(Sales_Deals!I148&lt;&gt;"",IF(AND(Sales_Deals!I148&gt;DATE(2024,3,31),Sales_Deals!I148&lt;=DATE(2024,9,30)),Sales_Deals!J148,""),"")</f>
        <v/>
      </c>
    </row>
    <row r="158" spans="1:3" x14ac:dyDescent="0.35">
      <c r="A158">
        <v>148</v>
      </c>
      <c r="B158" t="str">
        <f>IF(Sales_Deals!I149&lt;&gt;"",IF(AND(Sales_Deals!I149&gt;DATE(2024,9,30),Sales_Deals!I149&lt;=DATE(2025,3,31)),Sales_Deals!J149,""),"")</f>
        <v/>
      </c>
      <c r="C158" t="str">
        <f>IF(Sales_Deals!I149&lt;&gt;"",IF(AND(Sales_Deals!I149&gt;DATE(2024,3,31),Sales_Deals!I149&lt;=DATE(2024,9,30)),Sales_Deals!J149,""),"")</f>
        <v/>
      </c>
    </row>
    <row r="159" spans="1:3" x14ac:dyDescent="0.35">
      <c r="A159">
        <v>149</v>
      </c>
      <c r="B159" t="str">
        <f>IF(Sales_Deals!I150&lt;&gt;"",IF(AND(Sales_Deals!I150&gt;DATE(2024,9,30),Sales_Deals!I150&lt;=DATE(2025,3,31)),Sales_Deals!J150,""),"")</f>
        <v/>
      </c>
      <c r="C159" t="str">
        <f>IF(Sales_Deals!I150&lt;&gt;"",IF(AND(Sales_Deals!I150&gt;DATE(2024,3,31),Sales_Deals!I150&lt;=DATE(2024,9,30)),Sales_Deals!J150,""),"")</f>
        <v/>
      </c>
    </row>
    <row r="160" spans="1:3" x14ac:dyDescent="0.35">
      <c r="A160">
        <v>150</v>
      </c>
      <c r="B160">
        <f>IF(Sales_Deals!I151&lt;&gt;"",IF(AND(Sales_Deals!I151&gt;DATE(2024,9,30),Sales_Deals!I151&lt;=DATE(2025,3,31)),Sales_Deals!J151,""),"")</f>
        <v>139</v>
      </c>
      <c r="C160" t="str">
        <f>IF(Sales_Deals!I151&lt;&gt;"",IF(AND(Sales_Deals!I151&gt;DATE(2024,3,31),Sales_Deals!I151&lt;=DATE(2024,9,30)),Sales_Deals!J151,""),"")</f>
        <v/>
      </c>
    </row>
    <row r="161" spans="1:3" x14ac:dyDescent="0.35">
      <c r="A161">
        <v>151</v>
      </c>
      <c r="B161" t="str">
        <f>IF(Sales_Deals!I152&lt;&gt;"",IF(AND(Sales_Deals!I152&gt;DATE(2024,9,30),Sales_Deals!I152&lt;=DATE(2025,3,31)),Sales_Deals!J152,""),"")</f>
        <v/>
      </c>
      <c r="C161" t="str">
        <f>IF(Sales_Deals!I152&lt;&gt;"",IF(AND(Sales_Deals!I152&gt;DATE(2024,3,31),Sales_Deals!I152&lt;=DATE(2024,9,30)),Sales_Deals!J152,""),"")</f>
        <v/>
      </c>
    </row>
    <row r="162" spans="1:3" x14ac:dyDescent="0.35">
      <c r="A162">
        <v>152</v>
      </c>
      <c r="B162" t="str">
        <f>IF(Sales_Deals!I153&lt;&gt;"",IF(AND(Sales_Deals!I153&gt;DATE(2024,9,30),Sales_Deals!I153&lt;=DATE(2025,3,31)),Sales_Deals!J153,""),"")</f>
        <v/>
      </c>
      <c r="C162" t="str">
        <f>IF(Sales_Deals!I153&lt;&gt;"",IF(AND(Sales_Deals!I153&gt;DATE(2024,3,31),Sales_Deals!I153&lt;=DATE(2024,9,30)),Sales_Deals!J153,""),"")</f>
        <v/>
      </c>
    </row>
    <row r="163" spans="1:3" x14ac:dyDescent="0.35">
      <c r="A163">
        <v>153</v>
      </c>
      <c r="B163">
        <f>IF(Sales_Deals!I154&lt;&gt;"",IF(AND(Sales_Deals!I154&gt;DATE(2024,9,30),Sales_Deals!I154&lt;=DATE(2025,3,31)),Sales_Deals!J154,""),"")</f>
        <v>86</v>
      </c>
      <c r="C163" t="str">
        <f>IF(Sales_Deals!I154&lt;&gt;"",IF(AND(Sales_Deals!I154&gt;DATE(2024,3,31),Sales_Deals!I154&lt;=DATE(2024,9,30)),Sales_Deals!J154,""),"")</f>
        <v/>
      </c>
    </row>
    <row r="164" spans="1:3" x14ac:dyDescent="0.35">
      <c r="A164">
        <v>154</v>
      </c>
      <c r="B164" t="str">
        <f>IF(Sales_Deals!I155&lt;&gt;"",IF(AND(Sales_Deals!I155&gt;DATE(2024,9,30),Sales_Deals!I155&lt;=DATE(2025,3,31)),Sales_Deals!J155,""),"")</f>
        <v/>
      </c>
      <c r="C164" t="str">
        <f>IF(Sales_Deals!I155&lt;&gt;"",IF(AND(Sales_Deals!I155&gt;DATE(2024,3,31),Sales_Deals!I155&lt;=DATE(2024,9,30)),Sales_Deals!J155,""),"")</f>
        <v/>
      </c>
    </row>
    <row r="165" spans="1:3" x14ac:dyDescent="0.35">
      <c r="A165">
        <v>155</v>
      </c>
      <c r="B165" t="str">
        <f>IF(Sales_Deals!I156&lt;&gt;"",IF(AND(Sales_Deals!I156&gt;DATE(2024,9,30),Sales_Deals!I156&lt;=DATE(2025,3,31)),Sales_Deals!J156,""),"")</f>
        <v/>
      </c>
      <c r="C165" t="str">
        <f>IF(Sales_Deals!I156&lt;&gt;"",IF(AND(Sales_Deals!I156&gt;DATE(2024,3,31),Sales_Deals!I156&lt;=DATE(2024,9,30)),Sales_Deals!J156,""),"")</f>
        <v/>
      </c>
    </row>
    <row r="166" spans="1:3" x14ac:dyDescent="0.35">
      <c r="A166">
        <v>156</v>
      </c>
      <c r="B166" t="str">
        <f>IF(Sales_Deals!I157&lt;&gt;"",IF(AND(Sales_Deals!I157&gt;DATE(2024,9,30),Sales_Deals!I157&lt;=DATE(2025,3,31)),Sales_Deals!J157,""),"")</f>
        <v/>
      </c>
      <c r="C166" t="str">
        <f>IF(Sales_Deals!I157&lt;&gt;"",IF(AND(Sales_Deals!I157&gt;DATE(2024,3,31),Sales_Deals!I157&lt;=DATE(2024,9,30)),Sales_Deals!J157,""),"")</f>
        <v/>
      </c>
    </row>
    <row r="167" spans="1:3" x14ac:dyDescent="0.35">
      <c r="A167">
        <v>157</v>
      </c>
      <c r="B167" t="str">
        <f>IF(Sales_Deals!I158&lt;&gt;"",IF(AND(Sales_Deals!I158&gt;DATE(2024,9,30),Sales_Deals!I158&lt;=DATE(2025,3,31)),Sales_Deals!J158,""),"")</f>
        <v/>
      </c>
      <c r="C167" t="str">
        <f>IF(Sales_Deals!I158&lt;&gt;"",IF(AND(Sales_Deals!I158&gt;DATE(2024,3,31),Sales_Deals!I158&lt;=DATE(2024,9,30)),Sales_Deals!J158,""),"")</f>
        <v/>
      </c>
    </row>
    <row r="168" spans="1:3" x14ac:dyDescent="0.35">
      <c r="A168">
        <v>158</v>
      </c>
      <c r="B168" t="str">
        <f>IF(Sales_Deals!I159&lt;&gt;"",IF(AND(Sales_Deals!I159&gt;DATE(2024,9,30),Sales_Deals!I159&lt;=DATE(2025,3,31)),Sales_Deals!J159,""),"")</f>
        <v/>
      </c>
      <c r="C168" t="str">
        <f>IF(Sales_Deals!I159&lt;&gt;"",IF(AND(Sales_Deals!I159&gt;DATE(2024,3,31),Sales_Deals!I159&lt;=DATE(2024,9,30)),Sales_Deals!J159,""),"")</f>
        <v/>
      </c>
    </row>
    <row r="169" spans="1:3" x14ac:dyDescent="0.35">
      <c r="A169">
        <v>159</v>
      </c>
      <c r="B169" t="str">
        <f>IF(Sales_Deals!I160&lt;&gt;"",IF(AND(Sales_Deals!I160&gt;DATE(2024,9,30),Sales_Deals!I160&lt;=DATE(2025,3,31)),Sales_Deals!J160,""),"")</f>
        <v/>
      </c>
      <c r="C169" t="str">
        <f>IF(Sales_Deals!I160&lt;&gt;"",IF(AND(Sales_Deals!I160&gt;DATE(2024,3,31),Sales_Deals!I160&lt;=DATE(2024,9,30)),Sales_Deals!J160,""),"")</f>
        <v/>
      </c>
    </row>
    <row r="170" spans="1:3" x14ac:dyDescent="0.35">
      <c r="A170">
        <v>160</v>
      </c>
      <c r="B170" t="str">
        <f>IF(Sales_Deals!I161&lt;&gt;"",IF(AND(Sales_Deals!I161&gt;DATE(2024,9,30),Sales_Deals!I161&lt;=DATE(2025,3,31)),Sales_Deals!J161,""),"")</f>
        <v/>
      </c>
      <c r="C170" t="str">
        <f>IF(Sales_Deals!I161&lt;&gt;"",IF(AND(Sales_Deals!I161&gt;DATE(2024,3,31),Sales_Deals!I161&lt;=DATE(2024,9,30)),Sales_Deals!J161,""),"")</f>
        <v/>
      </c>
    </row>
    <row r="171" spans="1:3" x14ac:dyDescent="0.35">
      <c r="A171">
        <v>161</v>
      </c>
      <c r="B171" t="str">
        <f>IF(Sales_Deals!I162&lt;&gt;"",IF(AND(Sales_Deals!I162&gt;DATE(2024,9,30),Sales_Deals!I162&lt;=DATE(2025,3,31)),Sales_Deals!J162,""),"")</f>
        <v/>
      </c>
      <c r="C171" t="str">
        <f>IF(Sales_Deals!I162&lt;&gt;"",IF(AND(Sales_Deals!I162&gt;DATE(2024,3,31),Sales_Deals!I162&lt;=DATE(2024,9,30)),Sales_Deals!J162,""),"")</f>
        <v/>
      </c>
    </row>
    <row r="172" spans="1:3" x14ac:dyDescent="0.35">
      <c r="A172">
        <v>162</v>
      </c>
      <c r="B172" t="str">
        <f>IF(Sales_Deals!I163&lt;&gt;"",IF(AND(Sales_Deals!I163&gt;DATE(2024,9,30),Sales_Deals!I163&lt;=DATE(2025,3,31)),Sales_Deals!J163,""),"")</f>
        <v/>
      </c>
      <c r="C172" t="str">
        <f>IF(Sales_Deals!I163&lt;&gt;"",IF(AND(Sales_Deals!I163&gt;DATE(2024,3,31),Sales_Deals!I163&lt;=DATE(2024,9,30)),Sales_Deals!J163,""),"")</f>
        <v/>
      </c>
    </row>
    <row r="173" spans="1:3" x14ac:dyDescent="0.35">
      <c r="A173">
        <v>163</v>
      </c>
      <c r="B173" t="str">
        <f>IF(Sales_Deals!I164&lt;&gt;"",IF(AND(Sales_Deals!I164&gt;DATE(2024,9,30),Sales_Deals!I164&lt;=DATE(2025,3,31)),Sales_Deals!J164,""),"")</f>
        <v/>
      </c>
      <c r="C173" t="str">
        <f>IF(Sales_Deals!I164&lt;&gt;"",IF(AND(Sales_Deals!I164&gt;DATE(2024,3,31),Sales_Deals!I164&lt;=DATE(2024,9,30)),Sales_Deals!J164,""),"")</f>
        <v/>
      </c>
    </row>
    <row r="174" spans="1:3" x14ac:dyDescent="0.35">
      <c r="A174">
        <v>164</v>
      </c>
      <c r="B174" t="str">
        <f>IF(Sales_Deals!I165&lt;&gt;"",IF(AND(Sales_Deals!I165&gt;DATE(2024,9,30),Sales_Deals!I165&lt;=DATE(2025,3,31)),Sales_Deals!J165,""),"")</f>
        <v/>
      </c>
      <c r="C174" t="str">
        <f>IF(Sales_Deals!I165&lt;&gt;"",IF(AND(Sales_Deals!I165&gt;DATE(2024,3,31),Sales_Deals!I165&lt;=DATE(2024,9,30)),Sales_Deals!J165,""),"")</f>
        <v/>
      </c>
    </row>
    <row r="175" spans="1:3" x14ac:dyDescent="0.35">
      <c r="A175">
        <v>165</v>
      </c>
      <c r="B175" t="str">
        <f>IF(Sales_Deals!I166&lt;&gt;"",IF(AND(Sales_Deals!I166&gt;DATE(2024,9,30),Sales_Deals!I166&lt;=DATE(2025,3,31)),Sales_Deals!J166,""),"")</f>
        <v/>
      </c>
      <c r="C175">
        <f>IF(Sales_Deals!I166&lt;&gt;"",IF(AND(Sales_Deals!I166&gt;DATE(2024,3,31),Sales_Deals!I166&lt;=DATE(2024,9,30)),Sales_Deals!J166,""),"")</f>
        <v>23</v>
      </c>
    </row>
    <row r="176" spans="1:3" x14ac:dyDescent="0.35">
      <c r="A176">
        <v>166</v>
      </c>
      <c r="B176" t="str">
        <f>IF(Sales_Deals!I167&lt;&gt;"",IF(AND(Sales_Deals!I167&gt;DATE(2024,9,30),Sales_Deals!I167&lt;=DATE(2025,3,31)),Sales_Deals!J167,""),"")</f>
        <v/>
      </c>
      <c r="C176" t="str">
        <f>IF(Sales_Deals!I167&lt;&gt;"",IF(AND(Sales_Deals!I167&gt;DATE(2024,3,31),Sales_Deals!I167&lt;=DATE(2024,9,30)),Sales_Deals!J167,""),"")</f>
        <v/>
      </c>
    </row>
    <row r="177" spans="1:3" x14ac:dyDescent="0.35">
      <c r="A177">
        <v>167</v>
      </c>
      <c r="B177" t="str">
        <f>IF(Sales_Deals!I168&lt;&gt;"",IF(AND(Sales_Deals!I168&gt;DATE(2024,9,30),Sales_Deals!I168&lt;=DATE(2025,3,31)),Sales_Deals!J168,""),"")</f>
        <v/>
      </c>
      <c r="C177" t="str">
        <f>IF(Sales_Deals!I168&lt;&gt;"",IF(AND(Sales_Deals!I168&gt;DATE(2024,3,31),Sales_Deals!I168&lt;=DATE(2024,9,30)),Sales_Deals!J168,""),"")</f>
        <v/>
      </c>
    </row>
    <row r="178" spans="1:3" x14ac:dyDescent="0.35">
      <c r="A178">
        <v>168</v>
      </c>
      <c r="B178" t="str">
        <f>IF(Sales_Deals!I169&lt;&gt;"",IF(AND(Sales_Deals!I169&gt;DATE(2024,9,30),Sales_Deals!I169&lt;=DATE(2025,3,31)),Sales_Deals!J169,""),"")</f>
        <v/>
      </c>
      <c r="C178" t="str">
        <f>IF(Sales_Deals!I169&lt;&gt;"",IF(AND(Sales_Deals!I169&gt;DATE(2024,3,31),Sales_Deals!I169&lt;=DATE(2024,9,30)),Sales_Deals!J169,""),"")</f>
        <v/>
      </c>
    </row>
    <row r="179" spans="1:3" x14ac:dyDescent="0.35">
      <c r="A179">
        <v>169</v>
      </c>
      <c r="B179" t="str">
        <f>IF(Sales_Deals!I170&lt;&gt;"",IF(AND(Sales_Deals!I170&gt;DATE(2024,9,30),Sales_Deals!I170&lt;=DATE(2025,3,31)),Sales_Deals!J170,""),"")</f>
        <v/>
      </c>
      <c r="C179" t="str">
        <f>IF(Sales_Deals!I170&lt;&gt;"",IF(AND(Sales_Deals!I170&gt;DATE(2024,3,31),Sales_Deals!I170&lt;=DATE(2024,9,30)),Sales_Deals!J170,""),"")</f>
        <v/>
      </c>
    </row>
    <row r="180" spans="1:3" x14ac:dyDescent="0.35">
      <c r="A180">
        <v>170</v>
      </c>
      <c r="B180" t="str">
        <f>IF(Sales_Deals!I171&lt;&gt;"",IF(AND(Sales_Deals!I171&gt;DATE(2024,9,30),Sales_Deals!I171&lt;=DATE(2025,3,31)),Sales_Deals!J171,""),"")</f>
        <v/>
      </c>
      <c r="C180" t="str">
        <f>IF(Sales_Deals!I171&lt;&gt;"",IF(AND(Sales_Deals!I171&gt;DATE(2024,3,31),Sales_Deals!I171&lt;=DATE(2024,9,30)),Sales_Deals!J171,""),"")</f>
        <v/>
      </c>
    </row>
    <row r="181" spans="1:3" x14ac:dyDescent="0.35">
      <c r="A181">
        <v>171</v>
      </c>
      <c r="B181" t="str">
        <f>IF(Sales_Deals!I172&lt;&gt;"",IF(AND(Sales_Deals!I172&gt;DATE(2024,9,30),Sales_Deals!I172&lt;=DATE(2025,3,31)),Sales_Deals!J172,""),"")</f>
        <v/>
      </c>
      <c r="C181" t="str">
        <f>IF(Sales_Deals!I172&lt;&gt;"",IF(AND(Sales_Deals!I172&gt;DATE(2024,3,31),Sales_Deals!I172&lt;=DATE(2024,9,30)),Sales_Deals!J172,""),"")</f>
        <v/>
      </c>
    </row>
    <row r="182" spans="1:3" x14ac:dyDescent="0.35">
      <c r="A182">
        <v>172</v>
      </c>
      <c r="B182" t="str">
        <f>IF(Sales_Deals!I173&lt;&gt;"",IF(AND(Sales_Deals!I173&gt;DATE(2024,9,30),Sales_Deals!I173&lt;=DATE(2025,3,31)),Sales_Deals!J173,""),"")</f>
        <v/>
      </c>
      <c r="C182" t="str">
        <f>IF(Sales_Deals!I173&lt;&gt;"",IF(AND(Sales_Deals!I173&gt;DATE(2024,3,31),Sales_Deals!I173&lt;=DATE(2024,9,30)),Sales_Deals!J173,""),"")</f>
        <v/>
      </c>
    </row>
    <row r="183" spans="1:3" x14ac:dyDescent="0.35">
      <c r="A183">
        <v>173</v>
      </c>
      <c r="B183" t="str">
        <f>IF(Sales_Deals!I174&lt;&gt;"",IF(AND(Sales_Deals!I174&gt;DATE(2024,9,30),Sales_Deals!I174&lt;=DATE(2025,3,31)),Sales_Deals!J174,""),"")</f>
        <v/>
      </c>
      <c r="C183" t="str">
        <f>IF(Sales_Deals!I174&lt;&gt;"",IF(AND(Sales_Deals!I174&gt;DATE(2024,3,31),Sales_Deals!I174&lt;=DATE(2024,9,30)),Sales_Deals!J174,""),"")</f>
        <v/>
      </c>
    </row>
    <row r="184" spans="1:3" x14ac:dyDescent="0.35">
      <c r="A184">
        <v>174</v>
      </c>
      <c r="B184" t="str">
        <f>IF(Sales_Deals!I175&lt;&gt;"",IF(AND(Sales_Deals!I175&gt;DATE(2024,9,30),Sales_Deals!I175&lt;=DATE(2025,3,31)),Sales_Deals!J175,""),"")</f>
        <v/>
      </c>
      <c r="C184" t="str">
        <f>IF(Sales_Deals!I175&lt;&gt;"",IF(AND(Sales_Deals!I175&gt;DATE(2024,3,31),Sales_Deals!I175&lt;=DATE(2024,9,30)),Sales_Deals!J175,""),"")</f>
        <v/>
      </c>
    </row>
    <row r="185" spans="1:3" x14ac:dyDescent="0.35">
      <c r="A185">
        <v>175</v>
      </c>
      <c r="B185" t="str">
        <f>IF(Sales_Deals!I176&lt;&gt;"",IF(AND(Sales_Deals!I176&gt;DATE(2024,9,30),Sales_Deals!I176&lt;=DATE(2025,3,31)),Sales_Deals!J176,""),"")</f>
        <v/>
      </c>
      <c r="C185" t="str">
        <f>IF(Sales_Deals!I176&lt;&gt;"",IF(AND(Sales_Deals!I176&gt;DATE(2024,3,31),Sales_Deals!I176&lt;=DATE(2024,9,30)),Sales_Deals!J176,""),"")</f>
        <v/>
      </c>
    </row>
    <row r="186" spans="1:3" x14ac:dyDescent="0.35">
      <c r="A186">
        <v>176</v>
      </c>
      <c r="B186" t="str">
        <f>IF(Sales_Deals!I177&lt;&gt;"",IF(AND(Sales_Deals!I177&gt;DATE(2024,9,30),Sales_Deals!I177&lt;=DATE(2025,3,31)),Sales_Deals!J177,""),"")</f>
        <v/>
      </c>
      <c r="C186" t="str">
        <f>IF(Sales_Deals!I177&lt;&gt;"",IF(AND(Sales_Deals!I177&gt;DATE(2024,3,31),Sales_Deals!I177&lt;=DATE(2024,9,30)),Sales_Deals!J177,""),"")</f>
        <v/>
      </c>
    </row>
    <row r="187" spans="1:3" x14ac:dyDescent="0.35">
      <c r="A187">
        <v>177</v>
      </c>
      <c r="B187" t="str">
        <f>IF(Sales_Deals!I178&lt;&gt;"",IF(AND(Sales_Deals!I178&gt;DATE(2024,9,30),Sales_Deals!I178&lt;=DATE(2025,3,31)),Sales_Deals!J178,""),"")</f>
        <v/>
      </c>
      <c r="C187" t="str">
        <f>IF(Sales_Deals!I178&lt;&gt;"",IF(AND(Sales_Deals!I178&gt;DATE(2024,3,31),Sales_Deals!I178&lt;=DATE(2024,9,30)),Sales_Deals!J178,""),"")</f>
        <v/>
      </c>
    </row>
    <row r="188" spans="1:3" x14ac:dyDescent="0.35">
      <c r="A188">
        <v>178</v>
      </c>
      <c r="B188" t="str">
        <f>IF(Sales_Deals!I179&lt;&gt;"",IF(AND(Sales_Deals!I179&gt;DATE(2024,9,30),Sales_Deals!I179&lt;=DATE(2025,3,31)),Sales_Deals!J179,""),"")</f>
        <v/>
      </c>
      <c r="C188" t="str">
        <f>IF(Sales_Deals!I179&lt;&gt;"",IF(AND(Sales_Deals!I179&gt;DATE(2024,3,31),Sales_Deals!I179&lt;=DATE(2024,9,30)),Sales_Deals!J179,""),"")</f>
        <v/>
      </c>
    </row>
    <row r="189" spans="1:3" x14ac:dyDescent="0.35">
      <c r="A189">
        <v>179</v>
      </c>
      <c r="B189" t="str">
        <f>IF(Sales_Deals!I180&lt;&gt;"",IF(AND(Sales_Deals!I180&gt;DATE(2024,9,30),Sales_Deals!I180&lt;=DATE(2025,3,31)),Sales_Deals!J180,""),"")</f>
        <v/>
      </c>
      <c r="C189" t="str">
        <f>IF(Sales_Deals!I180&lt;&gt;"",IF(AND(Sales_Deals!I180&gt;DATE(2024,3,31),Sales_Deals!I180&lt;=DATE(2024,9,30)),Sales_Deals!J180,""),"")</f>
        <v/>
      </c>
    </row>
    <row r="190" spans="1:3" x14ac:dyDescent="0.35">
      <c r="A190">
        <v>180</v>
      </c>
      <c r="B190" t="str">
        <f>IF(Sales_Deals!I181&lt;&gt;"",IF(AND(Sales_Deals!I181&gt;DATE(2024,9,30),Sales_Deals!I181&lt;=DATE(2025,3,31)),Sales_Deals!J181,""),"")</f>
        <v/>
      </c>
      <c r="C190" t="str">
        <f>IF(Sales_Deals!I181&lt;&gt;"",IF(AND(Sales_Deals!I181&gt;DATE(2024,3,31),Sales_Deals!I181&lt;=DATE(2024,9,30)),Sales_Deals!J181,""),"")</f>
        <v/>
      </c>
    </row>
    <row r="191" spans="1:3" x14ac:dyDescent="0.35">
      <c r="A191">
        <v>181</v>
      </c>
      <c r="B191" t="str">
        <f>IF(Sales_Deals!I182&lt;&gt;"",IF(AND(Sales_Deals!I182&gt;DATE(2024,9,30),Sales_Deals!I182&lt;=DATE(2025,3,31)),Sales_Deals!J182,""),"")</f>
        <v/>
      </c>
      <c r="C191">
        <f>IF(Sales_Deals!I182&lt;&gt;"",IF(AND(Sales_Deals!I182&gt;DATE(2024,3,31),Sales_Deals!I182&lt;=DATE(2024,9,30)),Sales_Deals!J182,""),"")</f>
        <v>124</v>
      </c>
    </row>
    <row r="192" spans="1:3" x14ac:dyDescent="0.35">
      <c r="A192">
        <v>182</v>
      </c>
      <c r="B192" t="str">
        <f>IF(Sales_Deals!I183&lt;&gt;"",IF(AND(Sales_Deals!I183&gt;DATE(2024,9,30),Sales_Deals!I183&lt;=DATE(2025,3,31)),Sales_Deals!J183,""),"")</f>
        <v/>
      </c>
      <c r="C192" t="str">
        <f>IF(Sales_Deals!I183&lt;&gt;"",IF(AND(Sales_Deals!I183&gt;DATE(2024,3,31),Sales_Deals!I183&lt;=DATE(2024,9,30)),Sales_Deals!J183,""),"")</f>
        <v/>
      </c>
    </row>
    <row r="193" spans="1:3" x14ac:dyDescent="0.35">
      <c r="A193">
        <v>183</v>
      </c>
      <c r="B193" t="str">
        <f>IF(Sales_Deals!I184&lt;&gt;"",IF(AND(Sales_Deals!I184&gt;DATE(2024,9,30),Sales_Deals!I184&lt;=DATE(2025,3,31)),Sales_Deals!J184,""),"")</f>
        <v/>
      </c>
      <c r="C193" t="str">
        <f>IF(Sales_Deals!I184&lt;&gt;"",IF(AND(Sales_Deals!I184&gt;DATE(2024,3,31),Sales_Deals!I184&lt;=DATE(2024,9,30)),Sales_Deals!J184,""),"")</f>
        <v/>
      </c>
    </row>
    <row r="194" spans="1:3" x14ac:dyDescent="0.35">
      <c r="A194">
        <v>184</v>
      </c>
      <c r="B194" t="str">
        <f>IF(Sales_Deals!I185&lt;&gt;"",IF(AND(Sales_Deals!I185&gt;DATE(2024,9,30),Sales_Deals!I185&lt;=DATE(2025,3,31)),Sales_Deals!J185,""),"")</f>
        <v/>
      </c>
      <c r="C194" t="str">
        <f>IF(Sales_Deals!I185&lt;&gt;"",IF(AND(Sales_Deals!I185&gt;DATE(2024,3,31),Sales_Deals!I185&lt;=DATE(2024,9,30)),Sales_Deals!J185,""),"")</f>
        <v/>
      </c>
    </row>
    <row r="195" spans="1:3" x14ac:dyDescent="0.35">
      <c r="A195">
        <v>185</v>
      </c>
      <c r="B195" t="str">
        <f>IF(Sales_Deals!I186&lt;&gt;"",IF(AND(Sales_Deals!I186&gt;DATE(2024,9,30),Sales_Deals!I186&lt;=DATE(2025,3,31)),Sales_Deals!J186,""),"")</f>
        <v/>
      </c>
      <c r="C195" t="str">
        <f>IF(Sales_Deals!I186&lt;&gt;"",IF(AND(Sales_Deals!I186&gt;DATE(2024,3,31),Sales_Deals!I186&lt;=DATE(2024,9,30)),Sales_Deals!J186,""),"")</f>
        <v/>
      </c>
    </row>
    <row r="196" spans="1:3" x14ac:dyDescent="0.35">
      <c r="A196">
        <v>186</v>
      </c>
      <c r="B196" t="str">
        <f>IF(Sales_Deals!I187&lt;&gt;"",IF(AND(Sales_Deals!I187&gt;DATE(2024,9,30),Sales_Deals!I187&lt;=DATE(2025,3,31)),Sales_Deals!J187,""),"")</f>
        <v/>
      </c>
      <c r="C196" t="str">
        <f>IF(Sales_Deals!I187&lt;&gt;"",IF(AND(Sales_Deals!I187&gt;DATE(2024,3,31),Sales_Deals!I187&lt;=DATE(2024,9,30)),Sales_Deals!J187,""),"")</f>
        <v/>
      </c>
    </row>
    <row r="197" spans="1:3" x14ac:dyDescent="0.35">
      <c r="A197">
        <v>187</v>
      </c>
      <c r="B197" t="str">
        <f>IF(Sales_Deals!I188&lt;&gt;"",IF(AND(Sales_Deals!I188&gt;DATE(2024,9,30),Sales_Deals!I188&lt;=DATE(2025,3,31)),Sales_Deals!J188,""),"")</f>
        <v/>
      </c>
      <c r="C197" t="str">
        <f>IF(Sales_Deals!I188&lt;&gt;"",IF(AND(Sales_Deals!I188&gt;DATE(2024,3,31),Sales_Deals!I188&lt;=DATE(2024,9,30)),Sales_Deals!J188,""),"")</f>
        <v/>
      </c>
    </row>
    <row r="198" spans="1:3" x14ac:dyDescent="0.35">
      <c r="A198">
        <v>188</v>
      </c>
      <c r="B198" t="str">
        <f>IF(Sales_Deals!I189&lt;&gt;"",IF(AND(Sales_Deals!I189&gt;DATE(2024,9,30),Sales_Deals!I189&lt;=DATE(2025,3,31)),Sales_Deals!J189,""),"")</f>
        <v/>
      </c>
      <c r="C198" t="str">
        <f>IF(Sales_Deals!I189&lt;&gt;"",IF(AND(Sales_Deals!I189&gt;DATE(2024,3,31),Sales_Deals!I189&lt;=DATE(2024,9,30)),Sales_Deals!J189,""),"")</f>
        <v/>
      </c>
    </row>
    <row r="199" spans="1:3" x14ac:dyDescent="0.35">
      <c r="A199">
        <v>189</v>
      </c>
      <c r="B199" t="str">
        <f>IF(Sales_Deals!I190&lt;&gt;"",IF(AND(Sales_Deals!I190&gt;DATE(2024,9,30),Sales_Deals!I190&lt;=DATE(2025,3,31)),Sales_Deals!J190,""),"")</f>
        <v/>
      </c>
      <c r="C199" t="str">
        <f>IF(Sales_Deals!I190&lt;&gt;"",IF(AND(Sales_Deals!I190&gt;DATE(2024,3,31),Sales_Deals!I190&lt;=DATE(2024,9,30)),Sales_Deals!J190,""),"")</f>
        <v/>
      </c>
    </row>
    <row r="200" spans="1:3" x14ac:dyDescent="0.35">
      <c r="A200">
        <v>190</v>
      </c>
      <c r="B200" t="str">
        <f>IF(Sales_Deals!I191&lt;&gt;"",IF(AND(Sales_Deals!I191&gt;DATE(2024,9,30),Sales_Deals!I191&lt;=DATE(2025,3,31)),Sales_Deals!J191,""),"")</f>
        <v/>
      </c>
      <c r="C200" t="str">
        <f>IF(Sales_Deals!I191&lt;&gt;"",IF(AND(Sales_Deals!I191&gt;DATE(2024,3,31),Sales_Deals!I191&lt;=DATE(2024,9,30)),Sales_Deals!J191,""),"")</f>
        <v/>
      </c>
    </row>
    <row r="201" spans="1:3" x14ac:dyDescent="0.35">
      <c r="A201">
        <v>191</v>
      </c>
      <c r="B201" t="str">
        <f>IF(Sales_Deals!I192&lt;&gt;"",IF(AND(Sales_Deals!I192&gt;DATE(2024,9,30),Sales_Deals!I192&lt;=DATE(2025,3,31)),Sales_Deals!J192,""),"")</f>
        <v/>
      </c>
      <c r="C201" t="str">
        <f>IF(Sales_Deals!I192&lt;&gt;"",IF(AND(Sales_Deals!I192&gt;DATE(2024,3,31),Sales_Deals!I192&lt;=DATE(2024,9,30)),Sales_Deals!J192,""),"")</f>
        <v/>
      </c>
    </row>
    <row r="202" spans="1:3" x14ac:dyDescent="0.35">
      <c r="A202">
        <v>192</v>
      </c>
      <c r="B202" t="str">
        <f>IF(Sales_Deals!I193&lt;&gt;"",IF(AND(Sales_Deals!I193&gt;DATE(2024,9,30),Sales_Deals!I193&lt;=DATE(2025,3,31)),Sales_Deals!J193,""),"")</f>
        <v/>
      </c>
      <c r="C202" t="str">
        <f>IF(Sales_Deals!I193&lt;&gt;"",IF(AND(Sales_Deals!I193&gt;DATE(2024,3,31),Sales_Deals!I193&lt;=DATE(2024,9,30)),Sales_Deals!J193,""),"")</f>
        <v/>
      </c>
    </row>
    <row r="203" spans="1:3" x14ac:dyDescent="0.35">
      <c r="A203">
        <v>193</v>
      </c>
      <c r="B203" t="str">
        <f>IF(Sales_Deals!I194&lt;&gt;"",IF(AND(Sales_Deals!I194&gt;DATE(2024,9,30),Sales_Deals!I194&lt;=DATE(2025,3,31)),Sales_Deals!J194,""),"")</f>
        <v/>
      </c>
      <c r="C203" t="str">
        <f>IF(Sales_Deals!I194&lt;&gt;"",IF(AND(Sales_Deals!I194&gt;DATE(2024,3,31),Sales_Deals!I194&lt;=DATE(2024,9,30)),Sales_Deals!J194,""),"")</f>
        <v/>
      </c>
    </row>
    <row r="204" spans="1:3" x14ac:dyDescent="0.35">
      <c r="A204">
        <v>194</v>
      </c>
      <c r="B204" t="str">
        <f>IF(Sales_Deals!I195&lt;&gt;"",IF(AND(Sales_Deals!I195&gt;DATE(2024,9,30),Sales_Deals!I195&lt;=DATE(2025,3,31)),Sales_Deals!J195,""),"")</f>
        <v/>
      </c>
      <c r="C204" t="str">
        <f>IF(Sales_Deals!I195&lt;&gt;"",IF(AND(Sales_Deals!I195&gt;DATE(2024,3,31),Sales_Deals!I195&lt;=DATE(2024,9,30)),Sales_Deals!J195,""),"")</f>
        <v/>
      </c>
    </row>
    <row r="205" spans="1:3" x14ac:dyDescent="0.35">
      <c r="A205">
        <v>195</v>
      </c>
      <c r="B205" t="str">
        <f>IF(Sales_Deals!I196&lt;&gt;"",IF(AND(Sales_Deals!I196&gt;DATE(2024,9,30),Sales_Deals!I196&lt;=DATE(2025,3,31)),Sales_Deals!J196,""),"")</f>
        <v/>
      </c>
      <c r="C205" t="str">
        <f>IF(Sales_Deals!I196&lt;&gt;"",IF(AND(Sales_Deals!I196&gt;DATE(2024,3,31),Sales_Deals!I196&lt;=DATE(2024,9,30)),Sales_Deals!J196,""),"")</f>
        <v/>
      </c>
    </row>
    <row r="206" spans="1:3" x14ac:dyDescent="0.35">
      <c r="A206">
        <v>196</v>
      </c>
      <c r="B206" t="str">
        <f>IF(Sales_Deals!I197&lt;&gt;"",IF(AND(Sales_Deals!I197&gt;DATE(2024,9,30),Sales_Deals!I197&lt;=DATE(2025,3,31)),Sales_Deals!J197,""),"")</f>
        <v/>
      </c>
      <c r="C206">
        <f>IF(Sales_Deals!I197&lt;&gt;"",IF(AND(Sales_Deals!I197&gt;DATE(2024,3,31),Sales_Deals!I197&lt;=DATE(2024,9,30)),Sales_Deals!J197,""),"")</f>
        <v>165</v>
      </c>
    </row>
    <row r="207" spans="1:3" x14ac:dyDescent="0.35">
      <c r="A207">
        <v>197</v>
      </c>
      <c r="B207" t="str">
        <f>IF(Sales_Deals!I198&lt;&gt;"",IF(AND(Sales_Deals!I198&gt;DATE(2024,9,30),Sales_Deals!I198&lt;=DATE(2025,3,31)),Sales_Deals!J198,""),"")</f>
        <v/>
      </c>
      <c r="C207" t="str">
        <f>IF(Sales_Deals!I198&lt;&gt;"",IF(AND(Sales_Deals!I198&gt;DATE(2024,3,31),Sales_Deals!I198&lt;=DATE(2024,9,30)),Sales_Deals!J198,""),"")</f>
        <v/>
      </c>
    </row>
    <row r="208" spans="1:3" x14ac:dyDescent="0.35">
      <c r="A208">
        <v>198</v>
      </c>
      <c r="B208" t="str">
        <f>IF(Sales_Deals!I199&lt;&gt;"",IF(AND(Sales_Deals!I199&gt;DATE(2024,9,30),Sales_Deals!I199&lt;=DATE(2025,3,31)),Sales_Deals!J199,""),"")</f>
        <v/>
      </c>
      <c r="C208">
        <f>IF(Sales_Deals!I199&lt;&gt;"",IF(AND(Sales_Deals!I199&gt;DATE(2024,3,31),Sales_Deals!I199&lt;=DATE(2024,9,30)),Sales_Deals!J199,""),"")</f>
        <v>79</v>
      </c>
    </row>
    <row r="209" spans="1:3" x14ac:dyDescent="0.35">
      <c r="A209">
        <v>199</v>
      </c>
      <c r="B209" t="str">
        <f>IF(Sales_Deals!I200&lt;&gt;"",IF(AND(Sales_Deals!I200&gt;DATE(2024,9,30),Sales_Deals!I200&lt;=DATE(2025,3,31)),Sales_Deals!J200,""),"")</f>
        <v/>
      </c>
      <c r="C209" t="str">
        <f>IF(Sales_Deals!I200&lt;&gt;"",IF(AND(Sales_Deals!I200&gt;DATE(2024,3,31),Sales_Deals!I200&lt;=DATE(2024,9,30)),Sales_Deals!J200,""),"")</f>
        <v/>
      </c>
    </row>
    <row r="210" spans="1:3" x14ac:dyDescent="0.35">
      <c r="A210">
        <v>200</v>
      </c>
      <c r="B210" t="str">
        <f>IF(Sales_Deals!I201&lt;&gt;"",IF(AND(Sales_Deals!I201&gt;DATE(2024,9,30),Sales_Deals!I201&lt;=DATE(2025,3,31)),Sales_Deals!J201,""),"")</f>
        <v/>
      </c>
      <c r="C210" t="str">
        <f>IF(Sales_Deals!I201&lt;&gt;"",IF(AND(Sales_Deals!I201&gt;DATE(2024,3,31),Sales_Deals!I201&lt;=DATE(2024,9,30)),Sales_Deals!J201,""),"")</f>
        <v/>
      </c>
    </row>
    <row r="211" spans="1:3" x14ac:dyDescent="0.35">
      <c r="A211">
        <v>201</v>
      </c>
      <c r="B211">
        <f>IF(Sales_Deals!I202&lt;&gt;"",IF(AND(Sales_Deals!I202&gt;DATE(2024,9,30),Sales_Deals!I202&lt;=DATE(2025,3,31)),Sales_Deals!J202,""),"")</f>
        <v>175</v>
      </c>
      <c r="C211" t="str">
        <f>IF(Sales_Deals!I202&lt;&gt;"",IF(AND(Sales_Deals!I202&gt;DATE(2024,3,31),Sales_Deals!I202&lt;=DATE(2024,9,30)),Sales_Deals!J202,""),"")</f>
        <v/>
      </c>
    </row>
    <row r="212" spans="1:3" x14ac:dyDescent="0.35">
      <c r="A212">
        <v>202</v>
      </c>
      <c r="B212" t="str">
        <f>IF(Sales_Deals!I203&lt;&gt;"",IF(AND(Sales_Deals!I203&gt;DATE(2024,9,30),Sales_Deals!I203&lt;=DATE(2025,3,31)),Sales_Deals!J203,""),"")</f>
        <v/>
      </c>
      <c r="C212" t="str">
        <f>IF(Sales_Deals!I203&lt;&gt;"",IF(AND(Sales_Deals!I203&gt;DATE(2024,3,31),Sales_Deals!I203&lt;=DATE(2024,9,30)),Sales_Deals!J203,""),"")</f>
        <v/>
      </c>
    </row>
    <row r="213" spans="1:3" x14ac:dyDescent="0.35">
      <c r="A213">
        <v>203</v>
      </c>
      <c r="B213" t="str">
        <f>IF(Sales_Deals!I204&lt;&gt;"",IF(AND(Sales_Deals!I204&gt;DATE(2024,9,30),Sales_Deals!I204&lt;=DATE(2025,3,31)),Sales_Deals!J204,""),"")</f>
        <v/>
      </c>
      <c r="C213" t="str">
        <f>IF(Sales_Deals!I204&lt;&gt;"",IF(AND(Sales_Deals!I204&gt;DATE(2024,3,31),Sales_Deals!I204&lt;=DATE(2024,9,30)),Sales_Deals!J204,""),"")</f>
        <v/>
      </c>
    </row>
    <row r="214" spans="1:3" x14ac:dyDescent="0.35">
      <c r="A214">
        <v>204</v>
      </c>
      <c r="B214" t="str">
        <f>IF(Sales_Deals!I205&lt;&gt;"",IF(AND(Sales_Deals!I205&gt;DATE(2024,9,30),Sales_Deals!I205&lt;=DATE(2025,3,31)),Sales_Deals!J205,""),"")</f>
        <v/>
      </c>
      <c r="C214" t="str">
        <f>IF(Sales_Deals!I205&lt;&gt;"",IF(AND(Sales_Deals!I205&gt;DATE(2024,3,31),Sales_Deals!I205&lt;=DATE(2024,9,30)),Sales_Deals!J205,""),"")</f>
        <v/>
      </c>
    </row>
    <row r="215" spans="1:3" x14ac:dyDescent="0.35">
      <c r="A215">
        <v>205</v>
      </c>
      <c r="B215">
        <f>IF(Sales_Deals!I206&lt;&gt;"",IF(AND(Sales_Deals!I206&gt;DATE(2024,9,30),Sales_Deals!I206&lt;=DATE(2025,3,31)),Sales_Deals!J206,""),"")</f>
        <v>84</v>
      </c>
      <c r="C215" t="str">
        <f>IF(Sales_Deals!I206&lt;&gt;"",IF(AND(Sales_Deals!I206&gt;DATE(2024,3,31),Sales_Deals!I206&lt;=DATE(2024,9,30)),Sales_Deals!J206,""),"")</f>
        <v/>
      </c>
    </row>
    <row r="216" spans="1:3" x14ac:dyDescent="0.35">
      <c r="A216">
        <v>206</v>
      </c>
      <c r="B216" t="str">
        <f>IF(Sales_Deals!I207&lt;&gt;"",IF(AND(Sales_Deals!I207&gt;DATE(2024,9,30),Sales_Deals!I207&lt;=DATE(2025,3,31)),Sales_Deals!J207,""),"")</f>
        <v/>
      </c>
      <c r="C216">
        <f>IF(Sales_Deals!I207&lt;&gt;"",IF(AND(Sales_Deals!I207&gt;DATE(2024,3,31),Sales_Deals!I207&lt;=DATE(2024,9,30)),Sales_Deals!J207,""),"")</f>
        <v>50</v>
      </c>
    </row>
    <row r="217" spans="1:3" x14ac:dyDescent="0.35">
      <c r="A217">
        <v>207</v>
      </c>
      <c r="B217" t="str">
        <f>IF(Sales_Deals!I208&lt;&gt;"",IF(AND(Sales_Deals!I208&gt;DATE(2024,9,30),Sales_Deals!I208&lt;=DATE(2025,3,31)),Sales_Deals!J208,""),"")</f>
        <v/>
      </c>
      <c r="C217" t="str">
        <f>IF(Sales_Deals!I208&lt;&gt;"",IF(AND(Sales_Deals!I208&gt;DATE(2024,3,31),Sales_Deals!I208&lt;=DATE(2024,9,30)),Sales_Deals!J208,""),"")</f>
        <v/>
      </c>
    </row>
    <row r="218" spans="1:3" x14ac:dyDescent="0.35">
      <c r="A218">
        <v>208</v>
      </c>
      <c r="B218" t="str">
        <f>IF(Sales_Deals!I209&lt;&gt;"",IF(AND(Sales_Deals!I209&gt;DATE(2024,9,30),Sales_Deals!I209&lt;=DATE(2025,3,31)),Sales_Deals!J209,""),"")</f>
        <v/>
      </c>
      <c r="C218" t="str">
        <f>IF(Sales_Deals!I209&lt;&gt;"",IF(AND(Sales_Deals!I209&gt;DATE(2024,3,31),Sales_Deals!I209&lt;=DATE(2024,9,30)),Sales_Deals!J209,""),"")</f>
        <v/>
      </c>
    </row>
    <row r="219" spans="1:3" x14ac:dyDescent="0.35">
      <c r="A219">
        <v>209</v>
      </c>
      <c r="B219" t="str">
        <f>IF(Sales_Deals!I210&lt;&gt;"",IF(AND(Sales_Deals!I210&gt;DATE(2024,9,30),Sales_Deals!I210&lt;=DATE(2025,3,31)),Sales_Deals!J210,""),"")</f>
        <v/>
      </c>
      <c r="C219">
        <f>IF(Sales_Deals!I210&lt;&gt;"",IF(AND(Sales_Deals!I210&gt;DATE(2024,3,31),Sales_Deals!I210&lt;=DATE(2024,9,30)),Sales_Deals!J210,""),"")</f>
        <v>47</v>
      </c>
    </row>
    <row r="220" spans="1:3" x14ac:dyDescent="0.35">
      <c r="A220">
        <v>210</v>
      </c>
      <c r="B220" t="str">
        <f>IF(Sales_Deals!I211&lt;&gt;"",IF(AND(Sales_Deals!I211&gt;DATE(2024,9,30),Sales_Deals!I211&lt;=DATE(2025,3,31)),Sales_Deals!J211,""),"")</f>
        <v/>
      </c>
      <c r="C220" t="str">
        <f>IF(Sales_Deals!I211&lt;&gt;"",IF(AND(Sales_Deals!I211&gt;DATE(2024,3,31),Sales_Deals!I211&lt;=DATE(2024,9,30)),Sales_Deals!J211,""),"")</f>
        <v/>
      </c>
    </row>
    <row r="221" spans="1:3" x14ac:dyDescent="0.35">
      <c r="A221">
        <v>211</v>
      </c>
      <c r="B221" t="str">
        <f>IF(Sales_Deals!I212&lt;&gt;"",IF(AND(Sales_Deals!I212&gt;DATE(2024,9,30),Sales_Deals!I212&lt;=DATE(2025,3,31)),Sales_Deals!J212,""),"")</f>
        <v/>
      </c>
      <c r="C221">
        <f>IF(Sales_Deals!I212&lt;&gt;"",IF(AND(Sales_Deals!I212&gt;DATE(2024,3,31),Sales_Deals!I212&lt;=DATE(2024,9,30)),Sales_Deals!J212,""),"")</f>
        <v>82</v>
      </c>
    </row>
    <row r="222" spans="1:3" x14ac:dyDescent="0.35">
      <c r="A222">
        <v>212</v>
      </c>
      <c r="B222" t="str">
        <f>IF(Sales_Deals!I213&lt;&gt;"",IF(AND(Sales_Deals!I213&gt;DATE(2024,9,30),Sales_Deals!I213&lt;=DATE(2025,3,31)),Sales_Deals!J213,""),"")</f>
        <v/>
      </c>
      <c r="C222" t="str">
        <f>IF(Sales_Deals!I213&lt;&gt;"",IF(AND(Sales_Deals!I213&gt;DATE(2024,3,31),Sales_Deals!I213&lt;=DATE(2024,9,30)),Sales_Deals!J213,""),"")</f>
        <v/>
      </c>
    </row>
    <row r="223" spans="1:3" x14ac:dyDescent="0.35">
      <c r="A223">
        <v>213</v>
      </c>
      <c r="B223" t="str">
        <f>IF(Sales_Deals!I214&lt;&gt;"",IF(AND(Sales_Deals!I214&gt;DATE(2024,9,30),Sales_Deals!I214&lt;=DATE(2025,3,31)),Sales_Deals!J214,""),"")</f>
        <v/>
      </c>
      <c r="C223" t="str">
        <f>IF(Sales_Deals!I214&lt;&gt;"",IF(AND(Sales_Deals!I214&gt;DATE(2024,3,31),Sales_Deals!I214&lt;=DATE(2024,9,30)),Sales_Deals!J214,""),"")</f>
        <v/>
      </c>
    </row>
    <row r="224" spans="1:3" x14ac:dyDescent="0.35">
      <c r="A224">
        <v>214</v>
      </c>
      <c r="B224" t="str">
        <f>IF(Sales_Deals!I215&lt;&gt;"",IF(AND(Sales_Deals!I215&gt;DATE(2024,9,30),Sales_Deals!I215&lt;=DATE(2025,3,31)),Sales_Deals!J215,""),"")</f>
        <v/>
      </c>
      <c r="C224" t="str">
        <f>IF(Sales_Deals!I215&lt;&gt;"",IF(AND(Sales_Deals!I215&gt;DATE(2024,3,31),Sales_Deals!I215&lt;=DATE(2024,9,30)),Sales_Deals!J215,""),"")</f>
        <v/>
      </c>
    </row>
    <row r="225" spans="1:3" x14ac:dyDescent="0.35">
      <c r="A225">
        <v>215</v>
      </c>
      <c r="B225" t="str">
        <f>IF(Sales_Deals!I216&lt;&gt;"",IF(AND(Sales_Deals!I216&gt;DATE(2024,9,30),Sales_Deals!I216&lt;=DATE(2025,3,31)),Sales_Deals!J216,""),"")</f>
        <v/>
      </c>
      <c r="C225" t="str">
        <f>IF(Sales_Deals!I216&lt;&gt;"",IF(AND(Sales_Deals!I216&gt;DATE(2024,3,31),Sales_Deals!I216&lt;=DATE(2024,9,30)),Sales_Deals!J216,""),"")</f>
        <v/>
      </c>
    </row>
    <row r="226" spans="1:3" x14ac:dyDescent="0.35">
      <c r="A226">
        <v>216</v>
      </c>
      <c r="B226" t="str">
        <f>IF(Sales_Deals!I217&lt;&gt;"",IF(AND(Sales_Deals!I217&gt;DATE(2024,9,30),Sales_Deals!I217&lt;=DATE(2025,3,31)),Sales_Deals!J217,""),"")</f>
        <v/>
      </c>
      <c r="C226" t="str">
        <f>IF(Sales_Deals!I217&lt;&gt;"",IF(AND(Sales_Deals!I217&gt;DATE(2024,3,31),Sales_Deals!I217&lt;=DATE(2024,9,30)),Sales_Deals!J217,""),"")</f>
        <v/>
      </c>
    </row>
    <row r="227" spans="1:3" x14ac:dyDescent="0.35">
      <c r="A227">
        <v>217</v>
      </c>
      <c r="B227" t="str">
        <f>IF(Sales_Deals!I218&lt;&gt;"",IF(AND(Sales_Deals!I218&gt;DATE(2024,9,30),Sales_Deals!I218&lt;=DATE(2025,3,31)),Sales_Deals!J218,""),"")</f>
        <v/>
      </c>
      <c r="C227" t="str">
        <f>IF(Sales_Deals!I218&lt;&gt;"",IF(AND(Sales_Deals!I218&gt;DATE(2024,3,31),Sales_Deals!I218&lt;=DATE(2024,9,30)),Sales_Deals!J218,""),"")</f>
        <v/>
      </c>
    </row>
    <row r="228" spans="1:3" x14ac:dyDescent="0.35">
      <c r="A228">
        <v>218</v>
      </c>
      <c r="B228" t="str">
        <f>IF(Sales_Deals!I219&lt;&gt;"",IF(AND(Sales_Deals!I219&gt;DATE(2024,9,30),Sales_Deals!I219&lt;=DATE(2025,3,31)),Sales_Deals!J219,""),"")</f>
        <v/>
      </c>
      <c r="C228" t="str">
        <f>IF(Sales_Deals!I219&lt;&gt;"",IF(AND(Sales_Deals!I219&gt;DATE(2024,3,31),Sales_Deals!I219&lt;=DATE(2024,9,30)),Sales_Deals!J219,""),"")</f>
        <v/>
      </c>
    </row>
    <row r="229" spans="1:3" x14ac:dyDescent="0.35">
      <c r="A229">
        <v>219</v>
      </c>
      <c r="B229">
        <f>IF(Sales_Deals!I220&lt;&gt;"",IF(AND(Sales_Deals!I220&gt;DATE(2024,9,30),Sales_Deals!I220&lt;=DATE(2025,3,31)),Sales_Deals!J220,""),"")</f>
        <v>144</v>
      </c>
      <c r="C229" t="str">
        <f>IF(Sales_Deals!I220&lt;&gt;"",IF(AND(Sales_Deals!I220&gt;DATE(2024,3,31),Sales_Deals!I220&lt;=DATE(2024,9,30)),Sales_Deals!J220,""),"")</f>
        <v/>
      </c>
    </row>
    <row r="230" spans="1:3" x14ac:dyDescent="0.35">
      <c r="A230">
        <v>220</v>
      </c>
      <c r="B230" t="str">
        <f>IF(Sales_Deals!I221&lt;&gt;"",IF(AND(Sales_Deals!I221&gt;DATE(2024,9,30),Sales_Deals!I221&lt;=DATE(2025,3,31)),Sales_Deals!J221,""),"")</f>
        <v/>
      </c>
      <c r="C230" t="str">
        <f>IF(Sales_Deals!I221&lt;&gt;"",IF(AND(Sales_Deals!I221&gt;DATE(2024,3,31),Sales_Deals!I221&lt;=DATE(2024,9,30)),Sales_Deals!J221,""),"")</f>
        <v/>
      </c>
    </row>
    <row r="231" spans="1:3" x14ac:dyDescent="0.35">
      <c r="A231">
        <v>221</v>
      </c>
      <c r="B231">
        <f>IF(Sales_Deals!I222&lt;&gt;"",IF(AND(Sales_Deals!I222&gt;DATE(2024,9,30),Sales_Deals!I222&lt;=DATE(2025,3,31)),Sales_Deals!J222,""),"")</f>
        <v>112</v>
      </c>
      <c r="C231" t="str">
        <f>IF(Sales_Deals!I222&lt;&gt;"",IF(AND(Sales_Deals!I222&gt;DATE(2024,3,31),Sales_Deals!I222&lt;=DATE(2024,9,30)),Sales_Deals!J222,""),"")</f>
        <v/>
      </c>
    </row>
    <row r="232" spans="1:3" x14ac:dyDescent="0.35">
      <c r="A232">
        <v>222</v>
      </c>
      <c r="B232" t="str">
        <f>IF(Sales_Deals!I223&lt;&gt;"",IF(AND(Sales_Deals!I223&gt;DATE(2024,9,30),Sales_Deals!I223&lt;=DATE(2025,3,31)),Sales_Deals!J223,""),"")</f>
        <v/>
      </c>
      <c r="C232" t="str">
        <f>IF(Sales_Deals!I223&lt;&gt;"",IF(AND(Sales_Deals!I223&gt;DATE(2024,3,31),Sales_Deals!I223&lt;=DATE(2024,9,30)),Sales_Deals!J223,""),"")</f>
        <v/>
      </c>
    </row>
    <row r="233" spans="1:3" x14ac:dyDescent="0.35">
      <c r="A233">
        <v>223</v>
      </c>
      <c r="B233" t="str">
        <f>IF(Sales_Deals!I224&lt;&gt;"",IF(AND(Sales_Deals!I224&gt;DATE(2024,9,30),Sales_Deals!I224&lt;=DATE(2025,3,31)),Sales_Deals!J224,""),"")</f>
        <v/>
      </c>
      <c r="C233" t="str">
        <f>IF(Sales_Deals!I224&lt;&gt;"",IF(AND(Sales_Deals!I224&gt;DATE(2024,3,31),Sales_Deals!I224&lt;=DATE(2024,9,30)),Sales_Deals!J224,""),"")</f>
        <v/>
      </c>
    </row>
    <row r="234" spans="1:3" x14ac:dyDescent="0.35">
      <c r="A234">
        <v>224</v>
      </c>
      <c r="B234" t="str">
        <f>IF(Sales_Deals!I225&lt;&gt;"",IF(AND(Sales_Deals!I225&gt;DATE(2024,9,30),Sales_Deals!I225&lt;=DATE(2025,3,31)),Sales_Deals!J225,""),"")</f>
        <v/>
      </c>
      <c r="C234" t="str">
        <f>IF(Sales_Deals!I225&lt;&gt;"",IF(AND(Sales_Deals!I225&gt;DATE(2024,3,31),Sales_Deals!I225&lt;=DATE(2024,9,30)),Sales_Deals!J225,""),"")</f>
        <v/>
      </c>
    </row>
    <row r="235" spans="1:3" x14ac:dyDescent="0.35">
      <c r="A235">
        <v>225</v>
      </c>
      <c r="B235" t="str">
        <f>IF(Sales_Deals!I226&lt;&gt;"",IF(AND(Sales_Deals!I226&gt;DATE(2024,9,30),Sales_Deals!I226&lt;=DATE(2025,3,31)),Sales_Deals!J226,""),"")</f>
        <v/>
      </c>
      <c r="C235" t="str">
        <f>IF(Sales_Deals!I226&lt;&gt;"",IF(AND(Sales_Deals!I226&gt;DATE(2024,3,31),Sales_Deals!I226&lt;=DATE(2024,9,30)),Sales_Deals!J226,""),"")</f>
        <v/>
      </c>
    </row>
    <row r="236" spans="1:3" x14ac:dyDescent="0.35">
      <c r="A236">
        <v>226</v>
      </c>
      <c r="B236" t="str">
        <f>IF(Sales_Deals!I227&lt;&gt;"",IF(AND(Sales_Deals!I227&gt;DATE(2024,9,30),Sales_Deals!I227&lt;=DATE(2025,3,31)),Sales_Deals!J227,""),"")</f>
        <v/>
      </c>
      <c r="C236" t="str">
        <f>IF(Sales_Deals!I227&lt;&gt;"",IF(AND(Sales_Deals!I227&gt;DATE(2024,3,31),Sales_Deals!I227&lt;=DATE(2024,9,30)),Sales_Deals!J227,""),"")</f>
        <v/>
      </c>
    </row>
    <row r="237" spans="1:3" x14ac:dyDescent="0.35">
      <c r="A237">
        <v>227</v>
      </c>
      <c r="B237" t="str">
        <f>IF(Sales_Deals!I228&lt;&gt;"",IF(AND(Sales_Deals!I228&gt;DATE(2024,9,30),Sales_Deals!I228&lt;=DATE(2025,3,31)),Sales_Deals!J228,""),"")</f>
        <v/>
      </c>
      <c r="C237" t="str">
        <f>IF(Sales_Deals!I228&lt;&gt;"",IF(AND(Sales_Deals!I228&gt;DATE(2024,3,31),Sales_Deals!I228&lt;=DATE(2024,9,30)),Sales_Deals!J228,""),"")</f>
        <v/>
      </c>
    </row>
    <row r="238" spans="1:3" x14ac:dyDescent="0.35">
      <c r="A238">
        <v>228</v>
      </c>
      <c r="B238">
        <f>IF(Sales_Deals!I229&lt;&gt;"",IF(AND(Sales_Deals!I229&gt;DATE(2024,9,30),Sales_Deals!I229&lt;=DATE(2025,3,31)),Sales_Deals!J229,""),"")</f>
        <v>51</v>
      </c>
      <c r="C238" t="str">
        <f>IF(Sales_Deals!I229&lt;&gt;"",IF(AND(Sales_Deals!I229&gt;DATE(2024,3,31),Sales_Deals!I229&lt;=DATE(2024,9,30)),Sales_Deals!J229,""),"")</f>
        <v/>
      </c>
    </row>
    <row r="239" spans="1:3" x14ac:dyDescent="0.35">
      <c r="A239">
        <v>229</v>
      </c>
      <c r="B239">
        <f>IF(Sales_Deals!I230&lt;&gt;"",IF(AND(Sales_Deals!I230&gt;DATE(2024,9,30),Sales_Deals!I230&lt;=DATE(2025,3,31)),Sales_Deals!J230,""),"")</f>
        <v>99</v>
      </c>
      <c r="C239" t="str">
        <f>IF(Sales_Deals!I230&lt;&gt;"",IF(AND(Sales_Deals!I230&gt;DATE(2024,3,31),Sales_Deals!I230&lt;=DATE(2024,9,30)),Sales_Deals!J230,""),"")</f>
        <v/>
      </c>
    </row>
    <row r="240" spans="1:3" x14ac:dyDescent="0.35">
      <c r="A240">
        <v>230</v>
      </c>
      <c r="B240" t="str">
        <f>IF(Sales_Deals!I231&lt;&gt;"",IF(AND(Sales_Deals!I231&gt;DATE(2024,9,30),Sales_Deals!I231&lt;=DATE(2025,3,31)),Sales_Deals!J231,""),"")</f>
        <v/>
      </c>
      <c r="C240" t="str">
        <f>IF(Sales_Deals!I231&lt;&gt;"",IF(AND(Sales_Deals!I231&gt;DATE(2024,3,31),Sales_Deals!I231&lt;=DATE(2024,9,30)),Sales_Deals!J231,""),"")</f>
        <v/>
      </c>
    </row>
    <row r="241" spans="1:3" x14ac:dyDescent="0.35">
      <c r="A241">
        <v>231</v>
      </c>
      <c r="B241" t="str">
        <f>IF(Sales_Deals!I232&lt;&gt;"",IF(AND(Sales_Deals!I232&gt;DATE(2024,9,30),Sales_Deals!I232&lt;=DATE(2025,3,31)),Sales_Deals!J232,""),"")</f>
        <v/>
      </c>
      <c r="C241" t="str">
        <f>IF(Sales_Deals!I232&lt;&gt;"",IF(AND(Sales_Deals!I232&gt;DATE(2024,3,31),Sales_Deals!I232&lt;=DATE(2024,9,30)),Sales_Deals!J232,""),"")</f>
        <v/>
      </c>
    </row>
    <row r="242" spans="1:3" x14ac:dyDescent="0.35">
      <c r="A242">
        <v>232</v>
      </c>
      <c r="B242" t="str">
        <f>IF(Sales_Deals!I233&lt;&gt;"",IF(AND(Sales_Deals!I233&gt;DATE(2024,9,30),Sales_Deals!I233&lt;=DATE(2025,3,31)),Sales_Deals!J233,""),"")</f>
        <v/>
      </c>
      <c r="C242" t="str">
        <f>IF(Sales_Deals!I233&lt;&gt;"",IF(AND(Sales_Deals!I233&gt;DATE(2024,3,31),Sales_Deals!I233&lt;=DATE(2024,9,30)),Sales_Deals!J233,""),"")</f>
        <v/>
      </c>
    </row>
    <row r="243" spans="1:3" x14ac:dyDescent="0.35">
      <c r="A243">
        <v>233</v>
      </c>
      <c r="B243" t="str">
        <f>IF(Sales_Deals!I234&lt;&gt;"",IF(AND(Sales_Deals!I234&gt;DATE(2024,9,30),Sales_Deals!I234&lt;=DATE(2025,3,31)),Sales_Deals!J234,""),"")</f>
        <v/>
      </c>
      <c r="C243" t="str">
        <f>IF(Sales_Deals!I234&lt;&gt;"",IF(AND(Sales_Deals!I234&gt;DATE(2024,3,31),Sales_Deals!I234&lt;=DATE(2024,9,30)),Sales_Deals!J234,""),"")</f>
        <v/>
      </c>
    </row>
    <row r="244" spans="1:3" x14ac:dyDescent="0.35">
      <c r="A244">
        <v>234</v>
      </c>
      <c r="B244" t="str">
        <f>IF(Sales_Deals!I235&lt;&gt;"",IF(AND(Sales_Deals!I235&gt;DATE(2024,9,30),Sales_Deals!I235&lt;=DATE(2025,3,31)),Sales_Deals!J235,""),"")</f>
        <v/>
      </c>
      <c r="C244" t="str">
        <f>IF(Sales_Deals!I235&lt;&gt;"",IF(AND(Sales_Deals!I235&gt;DATE(2024,3,31),Sales_Deals!I235&lt;=DATE(2024,9,30)),Sales_Deals!J235,""),"")</f>
        <v/>
      </c>
    </row>
    <row r="245" spans="1:3" x14ac:dyDescent="0.35">
      <c r="A245">
        <v>235</v>
      </c>
      <c r="B245" t="str">
        <f>IF(Sales_Deals!I236&lt;&gt;"",IF(AND(Sales_Deals!I236&gt;DATE(2024,9,30),Sales_Deals!I236&lt;=DATE(2025,3,31)),Sales_Deals!J236,""),"")</f>
        <v/>
      </c>
      <c r="C245" t="str">
        <f>IF(Sales_Deals!I236&lt;&gt;"",IF(AND(Sales_Deals!I236&gt;DATE(2024,3,31),Sales_Deals!I236&lt;=DATE(2024,9,30)),Sales_Deals!J236,""),"")</f>
        <v/>
      </c>
    </row>
    <row r="246" spans="1:3" x14ac:dyDescent="0.35">
      <c r="A246">
        <v>236</v>
      </c>
      <c r="B246" t="str">
        <f>IF(Sales_Deals!I237&lt;&gt;"",IF(AND(Sales_Deals!I237&gt;DATE(2024,9,30),Sales_Deals!I237&lt;=DATE(2025,3,31)),Sales_Deals!J237,""),"")</f>
        <v/>
      </c>
      <c r="C246" t="str">
        <f>IF(Sales_Deals!I237&lt;&gt;"",IF(AND(Sales_Deals!I237&gt;DATE(2024,3,31),Sales_Deals!I237&lt;=DATE(2024,9,30)),Sales_Deals!J237,""),"")</f>
        <v/>
      </c>
    </row>
    <row r="247" spans="1:3" x14ac:dyDescent="0.35">
      <c r="A247">
        <v>237</v>
      </c>
      <c r="B247" t="str">
        <f>IF(Sales_Deals!I238&lt;&gt;"",IF(AND(Sales_Deals!I238&gt;DATE(2024,9,30),Sales_Deals!I238&lt;=DATE(2025,3,31)),Sales_Deals!J238,""),"")</f>
        <v/>
      </c>
      <c r="C247" t="str">
        <f>IF(Sales_Deals!I238&lt;&gt;"",IF(AND(Sales_Deals!I238&gt;DATE(2024,3,31),Sales_Deals!I238&lt;=DATE(2024,9,30)),Sales_Deals!J238,""),"")</f>
        <v/>
      </c>
    </row>
    <row r="248" spans="1:3" x14ac:dyDescent="0.35">
      <c r="A248">
        <v>238</v>
      </c>
      <c r="B248" t="str">
        <f>IF(Sales_Deals!I239&lt;&gt;"",IF(AND(Sales_Deals!I239&gt;DATE(2024,9,30),Sales_Deals!I239&lt;=DATE(2025,3,31)),Sales_Deals!J239,""),"")</f>
        <v/>
      </c>
      <c r="C248">
        <f>IF(Sales_Deals!I239&lt;&gt;"",IF(AND(Sales_Deals!I239&gt;DATE(2024,3,31),Sales_Deals!I239&lt;=DATE(2024,9,30)),Sales_Deals!J239,""),"")</f>
        <v>31</v>
      </c>
    </row>
    <row r="249" spans="1:3" x14ac:dyDescent="0.35">
      <c r="A249">
        <v>239</v>
      </c>
      <c r="B249" t="str">
        <f>IF(Sales_Deals!I240&lt;&gt;"",IF(AND(Sales_Deals!I240&gt;DATE(2024,9,30),Sales_Deals!I240&lt;=DATE(2025,3,31)),Sales_Deals!J240,""),"")</f>
        <v/>
      </c>
      <c r="C249" t="str">
        <f>IF(Sales_Deals!I240&lt;&gt;"",IF(AND(Sales_Deals!I240&gt;DATE(2024,3,31),Sales_Deals!I240&lt;=DATE(2024,9,30)),Sales_Deals!J240,""),"")</f>
        <v/>
      </c>
    </row>
    <row r="250" spans="1:3" x14ac:dyDescent="0.35">
      <c r="A250">
        <v>240</v>
      </c>
      <c r="B250" t="str">
        <f>IF(Sales_Deals!I241&lt;&gt;"",IF(AND(Sales_Deals!I241&gt;DATE(2024,9,30),Sales_Deals!I241&lt;=DATE(2025,3,31)),Sales_Deals!J241,""),"")</f>
        <v/>
      </c>
      <c r="C250" t="str">
        <f>IF(Sales_Deals!I241&lt;&gt;"",IF(AND(Sales_Deals!I241&gt;DATE(2024,3,31),Sales_Deals!I241&lt;=DATE(2024,9,30)),Sales_Deals!J241,""),"")</f>
        <v/>
      </c>
    </row>
    <row r="251" spans="1:3" x14ac:dyDescent="0.35">
      <c r="A251">
        <v>241</v>
      </c>
      <c r="B251" t="str">
        <f>IF(Sales_Deals!I242&lt;&gt;"",IF(AND(Sales_Deals!I242&gt;DATE(2024,9,30),Sales_Deals!I242&lt;=DATE(2025,3,31)),Sales_Deals!J242,""),"")</f>
        <v/>
      </c>
      <c r="C251" t="str">
        <f>IF(Sales_Deals!I242&lt;&gt;"",IF(AND(Sales_Deals!I242&gt;DATE(2024,3,31),Sales_Deals!I242&lt;=DATE(2024,9,30)),Sales_Deals!J242,""),"")</f>
        <v/>
      </c>
    </row>
    <row r="252" spans="1:3" x14ac:dyDescent="0.35">
      <c r="A252">
        <v>242</v>
      </c>
      <c r="B252" t="str">
        <f>IF(Sales_Deals!I243&lt;&gt;"",IF(AND(Sales_Deals!I243&gt;DATE(2024,9,30),Sales_Deals!I243&lt;=DATE(2025,3,31)),Sales_Deals!J243,""),"")</f>
        <v/>
      </c>
      <c r="C252" t="str">
        <f>IF(Sales_Deals!I243&lt;&gt;"",IF(AND(Sales_Deals!I243&gt;DATE(2024,3,31),Sales_Deals!I243&lt;=DATE(2024,9,30)),Sales_Deals!J243,""),"")</f>
        <v/>
      </c>
    </row>
    <row r="253" spans="1:3" x14ac:dyDescent="0.35">
      <c r="A253">
        <v>243</v>
      </c>
      <c r="B253" t="str">
        <f>IF(Sales_Deals!I244&lt;&gt;"",IF(AND(Sales_Deals!I244&gt;DATE(2024,9,30),Sales_Deals!I244&lt;=DATE(2025,3,31)),Sales_Deals!J244,""),"")</f>
        <v/>
      </c>
      <c r="C253">
        <f>IF(Sales_Deals!I244&lt;&gt;"",IF(AND(Sales_Deals!I244&gt;DATE(2024,3,31),Sales_Deals!I244&lt;=DATE(2024,9,30)),Sales_Deals!J244,""),"")</f>
        <v>70</v>
      </c>
    </row>
    <row r="254" spans="1:3" x14ac:dyDescent="0.35">
      <c r="A254">
        <v>244</v>
      </c>
      <c r="B254" t="str">
        <f>IF(Sales_Deals!I245&lt;&gt;"",IF(AND(Sales_Deals!I245&gt;DATE(2024,9,30),Sales_Deals!I245&lt;=DATE(2025,3,31)),Sales_Deals!J245,""),"")</f>
        <v/>
      </c>
      <c r="C254" t="str">
        <f>IF(Sales_Deals!I245&lt;&gt;"",IF(AND(Sales_Deals!I245&gt;DATE(2024,3,31),Sales_Deals!I245&lt;=DATE(2024,9,30)),Sales_Deals!J245,""),"")</f>
        <v/>
      </c>
    </row>
    <row r="255" spans="1:3" x14ac:dyDescent="0.35">
      <c r="A255">
        <v>245</v>
      </c>
      <c r="B255" t="str">
        <f>IF(Sales_Deals!I246&lt;&gt;"",IF(AND(Sales_Deals!I246&gt;DATE(2024,9,30),Sales_Deals!I246&lt;=DATE(2025,3,31)),Sales_Deals!J246,""),"")</f>
        <v/>
      </c>
      <c r="C255" t="str">
        <f>IF(Sales_Deals!I246&lt;&gt;"",IF(AND(Sales_Deals!I246&gt;DATE(2024,3,31),Sales_Deals!I246&lt;=DATE(2024,9,30)),Sales_Deals!J246,""),"")</f>
        <v/>
      </c>
    </row>
    <row r="256" spans="1:3" x14ac:dyDescent="0.35">
      <c r="A256">
        <v>246</v>
      </c>
      <c r="B256" t="str">
        <f>IF(Sales_Deals!I247&lt;&gt;"",IF(AND(Sales_Deals!I247&gt;DATE(2024,9,30),Sales_Deals!I247&lt;=DATE(2025,3,31)),Sales_Deals!J247,""),"")</f>
        <v/>
      </c>
      <c r="C256">
        <f>IF(Sales_Deals!I247&lt;&gt;"",IF(AND(Sales_Deals!I247&gt;DATE(2024,3,31),Sales_Deals!I247&lt;=DATE(2024,9,30)),Sales_Deals!J247,""),"")</f>
        <v>59</v>
      </c>
    </row>
    <row r="257" spans="1:3" x14ac:dyDescent="0.35">
      <c r="A257">
        <v>247</v>
      </c>
      <c r="B257" t="str">
        <f>IF(Sales_Deals!I248&lt;&gt;"",IF(AND(Sales_Deals!I248&gt;DATE(2024,9,30),Sales_Deals!I248&lt;=DATE(2025,3,31)),Sales_Deals!J248,""),"")</f>
        <v/>
      </c>
      <c r="C257" t="str">
        <f>IF(Sales_Deals!I248&lt;&gt;"",IF(AND(Sales_Deals!I248&gt;DATE(2024,3,31),Sales_Deals!I248&lt;=DATE(2024,9,30)),Sales_Deals!J248,""),"")</f>
        <v/>
      </c>
    </row>
    <row r="258" spans="1:3" x14ac:dyDescent="0.35">
      <c r="A258">
        <v>248</v>
      </c>
      <c r="B258" t="str">
        <f>IF(Sales_Deals!I249&lt;&gt;"",IF(AND(Sales_Deals!I249&gt;DATE(2024,9,30),Sales_Deals!I249&lt;=DATE(2025,3,31)),Sales_Deals!J249,""),"")</f>
        <v/>
      </c>
      <c r="C258" t="str">
        <f>IF(Sales_Deals!I249&lt;&gt;"",IF(AND(Sales_Deals!I249&gt;DATE(2024,3,31),Sales_Deals!I249&lt;=DATE(2024,9,30)),Sales_Deals!J249,""),"")</f>
        <v/>
      </c>
    </row>
    <row r="259" spans="1:3" x14ac:dyDescent="0.35">
      <c r="A259">
        <v>249</v>
      </c>
      <c r="B259" t="str">
        <f>IF(Sales_Deals!I250&lt;&gt;"",IF(AND(Sales_Deals!I250&gt;DATE(2024,9,30),Sales_Deals!I250&lt;=DATE(2025,3,31)),Sales_Deals!J250,""),"")</f>
        <v/>
      </c>
      <c r="C259" t="str">
        <f>IF(Sales_Deals!I250&lt;&gt;"",IF(AND(Sales_Deals!I250&gt;DATE(2024,3,31),Sales_Deals!I250&lt;=DATE(2024,9,30)),Sales_Deals!J250,""),"")</f>
        <v/>
      </c>
    </row>
    <row r="260" spans="1:3" x14ac:dyDescent="0.35">
      <c r="A260">
        <v>250</v>
      </c>
      <c r="B260" t="str">
        <f>IF(Sales_Deals!I251&lt;&gt;"",IF(AND(Sales_Deals!I251&gt;DATE(2024,9,30),Sales_Deals!I251&lt;=DATE(2025,3,31)),Sales_Deals!J251,""),"")</f>
        <v/>
      </c>
      <c r="C260" t="str">
        <f>IF(Sales_Deals!I251&lt;&gt;"",IF(AND(Sales_Deals!I251&gt;DATE(2024,3,31),Sales_Deals!I251&lt;=DATE(2024,9,30)),Sales_Deals!J251,""),"")</f>
        <v/>
      </c>
    </row>
    <row r="261" spans="1:3" x14ac:dyDescent="0.35">
      <c r="A261">
        <v>251</v>
      </c>
      <c r="B261" t="str">
        <f>IF(Sales_Deals!I252&lt;&gt;"",IF(AND(Sales_Deals!I252&gt;DATE(2024,9,30),Sales_Deals!I252&lt;=DATE(2025,3,31)),Sales_Deals!J252,""),"")</f>
        <v/>
      </c>
      <c r="C261" t="str">
        <f>IF(Sales_Deals!I252&lt;&gt;"",IF(AND(Sales_Deals!I252&gt;DATE(2024,3,31),Sales_Deals!I252&lt;=DATE(2024,9,30)),Sales_Deals!J252,""),"")</f>
        <v/>
      </c>
    </row>
    <row r="262" spans="1:3" x14ac:dyDescent="0.35">
      <c r="A262">
        <v>252</v>
      </c>
      <c r="B262" t="str">
        <f>IF(Sales_Deals!I253&lt;&gt;"",IF(AND(Sales_Deals!I253&gt;DATE(2024,9,30),Sales_Deals!I253&lt;=DATE(2025,3,31)),Sales_Deals!J253,""),"")</f>
        <v/>
      </c>
      <c r="C262" t="str">
        <f>IF(Sales_Deals!I253&lt;&gt;"",IF(AND(Sales_Deals!I253&gt;DATE(2024,3,31),Sales_Deals!I253&lt;=DATE(2024,9,30)),Sales_Deals!J253,""),"")</f>
        <v/>
      </c>
    </row>
    <row r="263" spans="1:3" x14ac:dyDescent="0.35">
      <c r="A263">
        <v>253</v>
      </c>
      <c r="B263" t="str">
        <f>IF(Sales_Deals!I254&lt;&gt;"",IF(AND(Sales_Deals!I254&gt;DATE(2024,9,30),Sales_Deals!I254&lt;=DATE(2025,3,31)),Sales_Deals!J254,""),"")</f>
        <v/>
      </c>
      <c r="C263" t="str">
        <f>IF(Sales_Deals!I254&lt;&gt;"",IF(AND(Sales_Deals!I254&gt;DATE(2024,3,31),Sales_Deals!I254&lt;=DATE(2024,9,30)),Sales_Deals!J254,""),"")</f>
        <v/>
      </c>
    </row>
    <row r="264" spans="1:3" x14ac:dyDescent="0.35">
      <c r="A264">
        <v>254</v>
      </c>
      <c r="B264" t="str">
        <f>IF(Sales_Deals!I255&lt;&gt;"",IF(AND(Sales_Deals!I255&gt;DATE(2024,9,30),Sales_Deals!I255&lt;=DATE(2025,3,31)),Sales_Deals!J255,""),"")</f>
        <v/>
      </c>
      <c r="C264" t="str">
        <f>IF(Sales_Deals!I255&lt;&gt;"",IF(AND(Sales_Deals!I255&gt;DATE(2024,3,31),Sales_Deals!I255&lt;=DATE(2024,9,30)),Sales_Deals!J255,""),"")</f>
        <v/>
      </c>
    </row>
    <row r="265" spans="1:3" x14ac:dyDescent="0.35">
      <c r="A265">
        <v>255</v>
      </c>
      <c r="B265" t="str">
        <f>IF(Sales_Deals!I256&lt;&gt;"",IF(AND(Sales_Deals!I256&gt;DATE(2024,9,30),Sales_Deals!I256&lt;=DATE(2025,3,31)),Sales_Deals!J256,""),"")</f>
        <v/>
      </c>
      <c r="C265" t="str">
        <f>IF(Sales_Deals!I256&lt;&gt;"",IF(AND(Sales_Deals!I256&gt;DATE(2024,3,31),Sales_Deals!I256&lt;=DATE(2024,9,30)),Sales_Deals!J256,""),"")</f>
        <v/>
      </c>
    </row>
    <row r="266" spans="1:3" x14ac:dyDescent="0.35">
      <c r="A266">
        <v>256</v>
      </c>
      <c r="B266" t="str">
        <f>IF(Sales_Deals!I257&lt;&gt;"",IF(AND(Sales_Deals!I257&gt;DATE(2024,9,30),Sales_Deals!I257&lt;=DATE(2025,3,31)),Sales_Deals!J257,""),"")</f>
        <v/>
      </c>
      <c r="C266" t="str">
        <f>IF(Sales_Deals!I257&lt;&gt;"",IF(AND(Sales_Deals!I257&gt;DATE(2024,3,31),Sales_Deals!I257&lt;=DATE(2024,9,30)),Sales_Deals!J257,""),"")</f>
        <v/>
      </c>
    </row>
    <row r="267" spans="1:3" x14ac:dyDescent="0.35">
      <c r="A267">
        <v>257</v>
      </c>
      <c r="B267">
        <f>IF(Sales_Deals!I258&lt;&gt;"",IF(AND(Sales_Deals!I258&gt;DATE(2024,9,30),Sales_Deals!I258&lt;=DATE(2025,3,31)),Sales_Deals!J258,""),"")</f>
        <v>84</v>
      </c>
      <c r="C267" t="str">
        <f>IF(Sales_Deals!I258&lt;&gt;"",IF(AND(Sales_Deals!I258&gt;DATE(2024,3,31),Sales_Deals!I258&lt;=DATE(2024,9,30)),Sales_Deals!J258,""),"")</f>
        <v/>
      </c>
    </row>
    <row r="268" spans="1:3" x14ac:dyDescent="0.35">
      <c r="A268">
        <v>258</v>
      </c>
      <c r="B268" t="str">
        <f>IF(Sales_Deals!I259&lt;&gt;"",IF(AND(Sales_Deals!I259&gt;DATE(2024,9,30),Sales_Deals!I259&lt;=DATE(2025,3,31)),Sales_Deals!J259,""),"")</f>
        <v/>
      </c>
      <c r="C268" t="str">
        <f>IF(Sales_Deals!I259&lt;&gt;"",IF(AND(Sales_Deals!I259&gt;DATE(2024,3,31),Sales_Deals!I259&lt;=DATE(2024,9,30)),Sales_Deals!J259,""),"")</f>
        <v/>
      </c>
    </row>
    <row r="269" spans="1:3" x14ac:dyDescent="0.35">
      <c r="A269">
        <v>259</v>
      </c>
      <c r="B269" t="str">
        <f>IF(Sales_Deals!I260&lt;&gt;"",IF(AND(Sales_Deals!I260&gt;DATE(2024,9,30),Sales_Deals!I260&lt;=DATE(2025,3,31)),Sales_Deals!J260,""),"")</f>
        <v/>
      </c>
      <c r="C269">
        <f>IF(Sales_Deals!I260&lt;&gt;"",IF(AND(Sales_Deals!I260&gt;DATE(2024,3,31),Sales_Deals!I260&lt;=DATE(2024,9,30)),Sales_Deals!J260,""),"")</f>
        <v>32</v>
      </c>
    </row>
    <row r="270" spans="1:3" x14ac:dyDescent="0.35">
      <c r="A270">
        <v>260</v>
      </c>
      <c r="B270" t="str">
        <f>IF(Sales_Deals!I261&lt;&gt;"",IF(AND(Sales_Deals!I261&gt;DATE(2024,9,30),Sales_Deals!I261&lt;=DATE(2025,3,31)),Sales_Deals!J261,""),"")</f>
        <v/>
      </c>
      <c r="C270" t="str">
        <f>IF(Sales_Deals!I261&lt;&gt;"",IF(AND(Sales_Deals!I261&gt;DATE(2024,3,31),Sales_Deals!I261&lt;=DATE(2024,9,30)),Sales_Deals!J261,""),"")</f>
        <v/>
      </c>
    </row>
    <row r="271" spans="1:3" x14ac:dyDescent="0.35">
      <c r="A271">
        <v>261</v>
      </c>
      <c r="B271" t="str">
        <f>IF(Sales_Deals!I262&lt;&gt;"",IF(AND(Sales_Deals!I262&gt;DATE(2024,9,30),Sales_Deals!I262&lt;=DATE(2025,3,31)),Sales_Deals!J262,""),"")</f>
        <v/>
      </c>
      <c r="C271" t="str">
        <f>IF(Sales_Deals!I262&lt;&gt;"",IF(AND(Sales_Deals!I262&gt;DATE(2024,3,31),Sales_Deals!I262&lt;=DATE(2024,9,30)),Sales_Deals!J262,""),"")</f>
        <v/>
      </c>
    </row>
    <row r="272" spans="1:3" x14ac:dyDescent="0.35">
      <c r="A272">
        <v>262</v>
      </c>
      <c r="B272" t="str">
        <f>IF(Sales_Deals!I263&lt;&gt;"",IF(AND(Sales_Deals!I263&gt;DATE(2024,9,30),Sales_Deals!I263&lt;=DATE(2025,3,31)),Sales_Deals!J263,""),"")</f>
        <v/>
      </c>
      <c r="C272" t="str">
        <f>IF(Sales_Deals!I263&lt;&gt;"",IF(AND(Sales_Deals!I263&gt;DATE(2024,3,31),Sales_Deals!I263&lt;=DATE(2024,9,30)),Sales_Deals!J263,""),"")</f>
        <v/>
      </c>
    </row>
    <row r="273" spans="1:3" x14ac:dyDescent="0.35">
      <c r="A273">
        <v>263</v>
      </c>
      <c r="B273" t="str">
        <f>IF(Sales_Deals!I264&lt;&gt;"",IF(AND(Sales_Deals!I264&gt;DATE(2024,9,30),Sales_Deals!I264&lt;=DATE(2025,3,31)),Sales_Deals!J264,""),"")</f>
        <v/>
      </c>
      <c r="C273">
        <f>IF(Sales_Deals!I264&lt;&gt;"",IF(AND(Sales_Deals!I264&gt;DATE(2024,3,31),Sales_Deals!I264&lt;=DATE(2024,9,30)),Sales_Deals!J264,""),"")</f>
        <v>114</v>
      </c>
    </row>
    <row r="274" spans="1:3" x14ac:dyDescent="0.35">
      <c r="A274">
        <v>264</v>
      </c>
      <c r="B274">
        <f>IF(Sales_Deals!I265&lt;&gt;"",IF(AND(Sales_Deals!I265&gt;DATE(2024,9,30),Sales_Deals!I265&lt;=DATE(2025,3,31)),Sales_Deals!J265,""),"")</f>
        <v>96</v>
      </c>
      <c r="C274" t="str">
        <f>IF(Sales_Deals!I265&lt;&gt;"",IF(AND(Sales_Deals!I265&gt;DATE(2024,3,31),Sales_Deals!I265&lt;=DATE(2024,9,30)),Sales_Deals!J265,""),"")</f>
        <v/>
      </c>
    </row>
    <row r="275" spans="1:3" x14ac:dyDescent="0.35">
      <c r="A275">
        <v>265</v>
      </c>
      <c r="B275" t="str">
        <f>IF(Sales_Deals!I266&lt;&gt;"",IF(AND(Sales_Deals!I266&gt;DATE(2024,9,30),Sales_Deals!I266&lt;=DATE(2025,3,31)),Sales_Deals!J266,""),"")</f>
        <v/>
      </c>
      <c r="C275" t="str">
        <f>IF(Sales_Deals!I266&lt;&gt;"",IF(AND(Sales_Deals!I266&gt;DATE(2024,3,31),Sales_Deals!I266&lt;=DATE(2024,9,30)),Sales_Deals!J266,""),"")</f>
        <v/>
      </c>
    </row>
    <row r="276" spans="1:3" x14ac:dyDescent="0.35">
      <c r="A276">
        <v>266</v>
      </c>
      <c r="B276" t="str">
        <f>IF(Sales_Deals!I267&lt;&gt;"",IF(AND(Sales_Deals!I267&gt;DATE(2024,9,30),Sales_Deals!I267&lt;=DATE(2025,3,31)),Sales_Deals!J267,""),"")</f>
        <v/>
      </c>
      <c r="C276">
        <f>IF(Sales_Deals!I267&lt;&gt;"",IF(AND(Sales_Deals!I267&gt;DATE(2024,3,31),Sales_Deals!I267&lt;=DATE(2024,9,30)),Sales_Deals!J267,""),"")</f>
        <v>92</v>
      </c>
    </row>
    <row r="277" spans="1:3" x14ac:dyDescent="0.35">
      <c r="A277">
        <v>267</v>
      </c>
      <c r="B277">
        <f>IF(Sales_Deals!I268&lt;&gt;"",IF(AND(Sales_Deals!I268&gt;DATE(2024,9,30),Sales_Deals!I268&lt;=DATE(2025,3,31)),Sales_Deals!J268,""),"")</f>
        <v>126</v>
      </c>
      <c r="C277" t="str">
        <f>IF(Sales_Deals!I268&lt;&gt;"",IF(AND(Sales_Deals!I268&gt;DATE(2024,3,31),Sales_Deals!I268&lt;=DATE(2024,9,30)),Sales_Deals!J268,""),"")</f>
        <v/>
      </c>
    </row>
    <row r="278" spans="1:3" x14ac:dyDescent="0.35">
      <c r="A278">
        <v>268</v>
      </c>
      <c r="B278" t="str">
        <f>IF(Sales_Deals!I269&lt;&gt;"",IF(AND(Sales_Deals!I269&gt;DATE(2024,9,30),Sales_Deals!I269&lt;=DATE(2025,3,31)),Sales_Deals!J269,""),"")</f>
        <v/>
      </c>
      <c r="C278" t="str">
        <f>IF(Sales_Deals!I269&lt;&gt;"",IF(AND(Sales_Deals!I269&gt;DATE(2024,3,31),Sales_Deals!I269&lt;=DATE(2024,9,30)),Sales_Deals!J269,""),"")</f>
        <v/>
      </c>
    </row>
    <row r="279" spans="1:3" x14ac:dyDescent="0.35">
      <c r="A279">
        <v>269</v>
      </c>
      <c r="B279">
        <f>IF(Sales_Deals!I270&lt;&gt;"",IF(AND(Sales_Deals!I270&gt;DATE(2024,9,30),Sales_Deals!I270&lt;=DATE(2025,3,31)),Sales_Deals!J270,""),"")</f>
        <v>138</v>
      </c>
      <c r="C279" t="str">
        <f>IF(Sales_Deals!I270&lt;&gt;"",IF(AND(Sales_Deals!I270&gt;DATE(2024,3,31),Sales_Deals!I270&lt;=DATE(2024,9,30)),Sales_Deals!J270,""),"")</f>
        <v/>
      </c>
    </row>
    <row r="280" spans="1:3" x14ac:dyDescent="0.35">
      <c r="A280">
        <v>270</v>
      </c>
      <c r="B280" t="str">
        <f>IF(Sales_Deals!I271&lt;&gt;"",IF(AND(Sales_Deals!I271&gt;DATE(2024,9,30),Sales_Deals!I271&lt;=DATE(2025,3,31)),Sales_Deals!J271,""),"")</f>
        <v/>
      </c>
      <c r="C280">
        <f>IF(Sales_Deals!I271&lt;&gt;"",IF(AND(Sales_Deals!I271&gt;DATE(2024,3,31),Sales_Deals!I271&lt;=DATE(2024,9,30)),Sales_Deals!J271,""),"")</f>
        <v>152</v>
      </c>
    </row>
    <row r="281" spans="1:3" x14ac:dyDescent="0.35">
      <c r="A281">
        <v>271</v>
      </c>
      <c r="B281" t="str">
        <f>IF(Sales_Deals!I272&lt;&gt;"",IF(AND(Sales_Deals!I272&gt;DATE(2024,9,30),Sales_Deals!I272&lt;=DATE(2025,3,31)),Sales_Deals!J272,""),"")</f>
        <v/>
      </c>
      <c r="C281" t="str">
        <f>IF(Sales_Deals!I272&lt;&gt;"",IF(AND(Sales_Deals!I272&gt;DATE(2024,3,31),Sales_Deals!I272&lt;=DATE(2024,9,30)),Sales_Deals!J272,""),"")</f>
        <v/>
      </c>
    </row>
    <row r="282" spans="1:3" x14ac:dyDescent="0.35">
      <c r="A282">
        <v>272</v>
      </c>
      <c r="B282" t="str">
        <f>IF(Sales_Deals!I273&lt;&gt;"",IF(AND(Sales_Deals!I273&gt;DATE(2024,9,30),Sales_Deals!I273&lt;=DATE(2025,3,31)),Sales_Deals!J273,""),"")</f>
        <v/>
      </c>
      <c r="C282" t="str">
        <f>IF(Sales_Deals!I273&lt;&gt;"",IF(AND(Sales_Deals!I273&gt;DATE(2024,3,31),Sales_Deals!I273&lt;=DATE(2024,9,30)),Sales_Deals!J273,""),"")</f>
        <v/>
      </c>
    </row>
    <row r="283" spans="1:3" x14ac:dyDescent="0.35">
      <c r="A283">
        <v>273</v>
      </c>
      <c r="B283" t="str">
        <f>IF(Sales_Deals!I274&lt;&gt;"",IF(AND(Sales_Deals!I274&gt;DATE(2024,9,30),Sales_Deals!I274&lt;=DATE(2025,3,31)),Sales_Deals!J274,""),"")</f>
        <v/>
      </c>
      <c r="C283" t="str">
        <f>IF(Sales_Deals!I274&lt;&gt;"",IF(AND(Sales_Deals!I274&gt;DATE(2024,3,31),Sales_Deals!I274&lt;=DATE(2024,9,30)),Sales_Deals!J274,""),"")</f>
        <v/>
      </c>
    </row>
    <row r="284" spans="1:3" x14ac:dyDescent="0.35">
      <c r="A284">
        <v>274</v>
      </c>
      <c r="B284">
        <f>IF(Sales_Deals!I275&lt;&gt;"",IF(AND(Sales_Deals!I275&gt;DATE(2024,9,30),Sales_Deals!I275&lt;=DATE(2025,3,31)),Sales_Deals!J275,""),"")</f>
        <v>40</v>
      </c>
      <c r="C284" t="str">
        <f>IF(Sales_Deals!I275&lt;&gt;"",IF(AND(Sales_Deals!I275&gt;DATE(2024,3,31),Sales_Deals!I275&lt;=DATE(2024,9,30)),Sales_Deals!J275,""),"")</f>
        <v/>
      </c>
    </row>
    <row r="285" spans="1:3" x14ac:dyDescent="0.35">
      <c r="A285">
        <v>275</v>
      </c>
      <c r="B285" t="str">
        <f>IF(Sales_Deals!I276&lt;&gt;"",IF(AND(Sales_Deals!I276&gt;DATE(2024,9,30),Sales_Deals!I276&lt;=DATE(2025,3,31)),Sales_Deals!J276,""),"")</f>
        <v/>
      </c>
      <c r="C285" t="str">
        <f>IF(Sales_Deals!I276&lt;&gt;"",IF(AND(Sales_Deals!I276&gt;DATE(2024,3,31),Sales_Deals!I276&lt;=DATE(2024,9,30)),Sales_Deals!J276,""),"")</f>
        <v/>
      </c>
    </row>
    <row r="286" spans="1:3" x14ac:dyDescent="0.35">
      <c r="A286">
        <v>276</v>
      </c>
      <c r="B286" t="str">
        <f>IF(Sales_Deals!I277&lt;&gt;"",IF(AND(Sales_Deals!I277&gt;DATE(2024,9,30),Sales_Deals!I277&lt;=DATE(2025,3,31)),Sales_Deals!J277,""),"")</f>
        <v/>
      </c>
      <c r="C286" t="str">
        <f>IF(Sales_Deals!I277&lt;&gt;"",IF(AND(Sales_Deals!I277&gt;DATE(2024,3,31),Sales_Deals!I277&lt;=DATE(2024,9,30)),Sales_Deals!J277,""),"")</f>
        <v/>
      </c>
    </row>
    <row r="287" spans="1:3" x14ac:dyDescent="0.35">
      <c r="A287">
        <v>277</v>
      </c>
      <c r="B287" t="str">
        <f>IF(Sales_Deals!I278&lt;&gt;"",IF(AND(Sales_Deals!I278&gt;DATE(2024,9,30),Sales_Deals!I278&lt;=DATE(2025,3,31)),Sales_Deals!J278,""),"")</f>
        <v/>
      </c>
      <c r="C287" t="str">
        <f>IF(Sales_Deals!I278&lt;&gt;"",IF(AND(Sales_Deals!I278&gt;DATE(2024,3,31),Sales_Deals!I278&lt;=DATE(2024,9,30)),Sales_Deals!J278,""),"")</f>
        <v/>
      </c>
    </row>
    <row r="288" spans="1:3" x14ac:dyDescent="0.35">
      <c r="A288">
        <v>278</v>
      </c>
      <c r="B288" t="str">
        <f>IF(Sales_Deals!I279&lt;&gt;"",IF(AND(Sales_Deals!I279&gt;DATE(2024,9,30),Sales_Deals!I279&lt;=DATE(2025,3,31)),Sales_Deals!J279,""),"")</f>
        <v/>
      </c>
      <c r="C288" t="str">
        <f>IF(Sales_Deals!I279&lt;&gt;"",IF(AND(Sales_Deals!I279&gt;DATE(2024,3,31),Sales_Deals!I279&lt;=DATE(2024,9,30)),Sales_Deals!J279,""),"")</f>
        <v/>
      </c>
    </row>
    <row r="289" spans="1:3" x14ac:dyDescent="0.35">
      <c r="A289">
        <v>279</v>
      </c>
      <c r="B289" t="str">
        <f>IF(Sales_Deals!I280&lt;&gt;"",IF(AND(Sales_Deals!I280&gt;DATE(2024,9,30),Sales_Deals!I280&lt;=DATE(2025,3,31)),Sales_Deals!J280,""),"")</f>
        <v/>
      </c>
      <c r="C289" t="str">
        <f>IF(Sales_Deals!I280&lt;&gt;"",IF(AND(Sales_Deals!I280&gt;DATE(2024,3,31),Sales_Deals!I280&lt;=DATE(2024,9,30)),Sales_Deals!J280,""),"")</f>
        <v/>
      </c>
    </row>
    <row r="290" spans="1:3" x14ac:dyDescent="0.35">
      <c r="A290">
        <v>280</v>
      </c>
      <c r="B290" t="str">
        <f>IF(Sales_Deals!I281&lt;&gt;"",IF(AND(Sales_Deals!I281&gt;DATE(2024,9,30),Sales_Deals!I281&lt;=DATE(2025,3,31)),Sales_Deals!J281,""),"")</f>
        <v/>
      </c>
      <c r="C290" t="str">
        <f>IF(Sales_Deals!I281&lt;&gt;"",IF(AND(Sales_Deals!I281&gt;DATE(2024,3,31),Sales_Deals!I281&lt;=DATE(2024,9,30)),Sales_Deals!J281,""),"")</f>
        <v/>
      </c>
    </row>
    <row r="291" spans="1:3" x14ac:dyDescent="0.35">
      <c r="A291">
        <v>281</v>
      </c>
      <c r="B291" t="str">
        <f>IF(Sales_Deals!I282&lt;&gt;"",IF(AND(Sales_Deals!I282&gt;DATE(2024,9,30),Sales_Deals!I282&lt;=DATE(2025,3,31)),Sales_Deals!J282,""),"")</f>
        <v/>
      </c>
      <c r="C291" t="str">
        <f>IF(Sales_Deals!I282&lt;&gt;"",IF(AND(Sales_Deals!I282&gt;DATE(2024,3,31),Sales_Deals!I282&lt;=DATE(2024,9,30)),Sales_Deals!J282,""),"")</f>
        <v/>
      </c>
    </row>
    <row r="292" spans="1:3" x14ac:dyDescent="0.35">
      <c r="A292">
        <v>282</v>
      </c>
      <c r="B292">
        <f>IF(Sales_Deals!I283&lt;&gt;"",IF(AND(Sales_Deals!I283&gt;DATE(2024,9,30),Sales_Deals!I283&lt;=DATE(2025,3,31)),Sales_Deals!J283,""),"")</f>
        <v>123</v>
      </c>
      <c r="C292" t="str">
        <f>IF(Sales_Deals!I283&lt;&gt;"",IF(AND(Sales_Deals!I283&gt;DATE(2024,3,31),Sales_Deals!I283&lt;=DATE(2024,9,30)),Sales_Deals!J283,""),"")</f>
        <v/>
      </c>
    </row>
    <row r="293" spans="1:3" x14ac:dyDescent="0.35">
      <c r="A293">
        <v>283</v>
      </c>
      <c r="B293" t="str">
        <f>IF(Sales_Deals!I284&lt;&gt;"",IF(AND(Sales_Deals!I284&gt;DATE(2024,9,30),Sales_Deals!I284&lt;=DATE(2025,3,31)),Sales_Deals!J284,""),"")</f>
        <v/>
      </c>
      <c r="C293" t="str">
        <f>IF(Sales_Deals!I284&lt;&gt;"",IF(AND(Sales_Deals!I284&gt;DATE(2024,3,31),Sales_Deals!I284&lt;=DATE(2024,9,30)),Sales_Deals!J284,""),"")</f>
        <v/>
      </c>
    </row>
    <row r="294" spans="1:3" x14ac:dyDescent="0.35">
      <c r="A294">
        <v>284</v>
      </c>
      <c r="B294" t="str">
        <f>IF(Sales_Deals!I285&lt;&gt;"",IF(AND(Sales_Deals!I285&gt;DATE(2024,9,30),Sales_Deals!I285&lt;=DATE(2025,3,31)),Sales_Deals!J285,""),"")</f>
        <v/>
      </c>
      <c r="C294" t="str">
        <f>IF(Sales_Deals!I285&lt;&gt;"",IF(AND(Sales_Deals!I285&gt;DATE(2024,3,31),Sales_Deals!I285&lt;=DATE(2024,9,30)),Sales_Deals!J285,""),"")</f>
        <v/>
      </c>
    </row>
    <row r="295" spans="1:3" x14ac:dyDescent="0.35">
      <c r="A295">
        <v>285</v>
      </c>
      <c r="B295" t="str">
        <f>IF(Sales_Deals!I286&lt;&gt;"",IF(AND(Sales_Deals!I286&gt;DATE(2024,9,30),Sales_Deals!I286&lt;=DATE(2025,3,31)),Sales_Deals!J286,""),"")</f>
        <v/>
      </c>
      <c r="C295" t="str">
        <f>IF(Sales_Deals!I286&lt;&gt;"",IF(AND(Sales_Deals!I286&gt;DATE(2024,3,31),Sales_Deals!I286&lt;=DATE(2024,9,30)),Sales_Deals!J286,""),"")</f>
        <v/>
      </c>
    </row>
    <row r="296" spans="1:3" x14ac:dyDescent="0.35">
      <c r="A296">
        <v>286</v>
      </c>
      <c r="B296" t="str">
        <f>IF(Sales_Deals!I287&lt;&gt;"",IF(AND(Sales_Deals!I287&gt;DATE(2024,9,30),Sales_Deals!I287&lt;=DATE(2025,3,31)),Sales_Deals!J287,""),"")</f>
        <v/>
      </c>
      <c r="C296" t="str">
        <f>IF(Sales_Deals!I287&lt;&gt;"",IF(AND(Sales_Deals!I287&gt;DATE(2024,3,31),Sales_Deals!I287&lt;=DATE(2024,9,30)),Sales_Deals!J287,""),"")</f>
        <v/>
      </c>
    </row>
    <row r="297" spans="1:3" x14ac:dyDescent="0.35">
      <c r="A297">
        <v>287</v>
      </c>
      <c r="B297" t="str">
        <f>IF(Sales_Deals!I288&lt;&gt;"",IF(AND(Sales_Deals!I288&gt;DATE(2024,9,30),Sales_Deals!I288&lt;=DATE(2025,3,31)),Sales_Deals!J288,""),"")</f>
        <v/>
      </c>
      <c r="C297" t="str">
        <f>IF(Sales_Deals!I288&lt;&gt;"",IF(AND(Sales_Deals!I288&gt;DATE(2024,3,31),Sales_Deals!I288&lt;=DATE(2024,9,30)),Sales_Deals!J288,""),"")</f>
        <v/>
      </c>
    </row>
    <row r="298" spans="1:3" x14ac:dyDescent="0.35">
      <c r="A298">
        <v>288</v>
      </c>
      <c r="B298" t="str">
        <f>IF(Sales_Deals!I289&lt;&gt;"",IF(AND(Sales_Deals!I289&gt;DATE(2024,9,30),Sales_Deals!I289&lt;=DATE(2025,3,31)),Sales_Deals!J289,""),"")</f>
        <v/>
      </c>
      <c r="C298" t="str">
        <f>IF(Sales_Deals!I289&lt;&gt;"",IF(AND(Sales_Deals!I289&gt;DATE(2024,3,31),Sales_Deals!I289&lt;=DATE(2024,9,30)),Sales_Deals!J289,""),"")</f>
        <v/>
      </c>
    </row>
    <row r="299" spans="1:3" x14ac:dyDescent="0.35">
      <c r="A299">
        <v>289</v>
      </c>
      <c r="B299" t="str">
        <f>IF(Sales_Deals!I290&lt;&gt;"",IF(AND(Sales_Deals!I290&gt;DATE(2024,9,30),Sales_Deals!I290&lt;=DATE(2025,3,31)),Sales_Deals!J290,""),"")</f>
        <v/>
      </c>
      <c r="C299" t="str">
        <f>IF(Sales_Deals!I290&lt;&gt;"",IF(AND(Sales_Deals!I290&gt;DATE(2024,3,31),Sales_Deals!I290&lt;=DATE(2024,9,30)),Sales_Deals!J290,""),"")</f>
        <v/>
      </c>
    </row>
    <row r="300" spans="1:3" x14ac:dyDescent="0.35">
      <c r="A300">
        <v>290</v>
      </c>
      <c r="B300" t="str">
        <f>IF(Sales_Deals!I291&lt;&gt;"",IF(AND(Sales_Deals!I291&gt;DATE(2024,9,30),Sales_Deals!I291&lt;=DATE(2025,3,31)),Sales_Deals!J291,""),"")</f>
        <v/>
      </c>
      <c r="C300" t="str">
        <f>IF(Sales_Deals!I291&lt;&gt;"",IF(AND(Sales_Deals!I291&gt;DATE(2024,3,31),Sales_Deals!I291&lt;=DATE(2024,9,30)),Sales_Deals!J291,""),"")</f>
        <v/>
      </c>
    </row>
    <row r="301" spans="1:3" x14ac:dyDescent="0.35">
      <c r="A301">
        <v>291</v>
      </c>
      <c r="B301" t="str">
        <f>IF(Sales_Deals!I292&lt;&gt;"",IF(AND(Sales_Deals!I292&gt;DATE(2024,9,30),Sales_Deals!I292&lt;=DATE(2025,3,31)),Sales_Deals!J292,""),"")</f>
        <v/>
      </c>
      <c r="C301" t="str">
        <f>IF(Sales_Deals!I292&lt;&gt;"",IF(AND(Sales_Deals!I292&gt;DATE(2024,3,31),Sales_Deals!I292&lt;=DATE(2024,9,30)),Sales_Deals!J292,""),"")</f>
        <v/>
      </c>
    </row>
    <row r="302" spans="1:3" x14ac:dyDescent="0.35">
      <c r="A302">
        <v>292</v>
      </c>
      <c r="B302" t="str">
        <f>IF(Sales_Deals!I293&lt;&gt;"",IF(AND(Sales_Deals!I293&gt;DATE(2024,9,30),Sales_Deals!I293&lt;=DATE(2025,3,31)),Sales_Deals!J293,""),"")</f>
        <v/>
      </c>
      <c r="C302" t="str">
        <f>IF(Sales_Deals!I293&lt;&gt;"",IF(AND(Sales_Deals!I293&gt;DATE(2024,3,31),Sales_Deals!I293&lt;=DATE(2024,9,30)),Sales_Deals!J293,""),"")</f>
        <v/>
      </c>
    </row>
    <row r="303" spans="1:3" x14ac:dyDescent="0.35">
      <c r="A303">
        <v>293</v>
      </c>
      <c r="B303" t="str">
        <f>IF(Sales_Deals!I294&lt;&gt;"",IF(AND(Sales_Deals!I294&gt;DATE(2024,9,30),Sales_Deals!I294&lt;=DATE(2025,3,31)),Sales_Deals!J294,""),"")</f>
        <v/>
      </c>
      <c r="C303" t="str">
        <f>IF(Sales_Deals!I294&lt;&gt;"",IF(AND(Sales_Deals!I294&gt;DATE(2024,3,31),Sales_Deals!I294&lt;=DATE(2024,9,30)),Sales_Deals!J294,""),"")</f>
        <v/>
      </c>
    </row>
    <row r="304" spans="1:3" x14ac:dyDescent="0.35">
      <c r="A304">
        <v>294</v>
      </c>
      <c r="B304" t="str">
        <f>IF(Sales_Deals!I295&lt;&gt;"",IF(AND(Sales_Deals!I295&gt;DATE(2024,9,30),Sales_Deals!I295&lt;=DATE(2025,3,31)),Sales_Deals!J295,""),"")</f>
        <v/>
      </c>
      <c r="C304" t="str">
        <f>IF(Sales_Deals!I295&lt;&gt;"",IF(AND(Sales_Deals!I295&gt;DATE(2024,3,31),Sales_Deals!I295&lt;=DATE(2024,9,30)),Sales_Deals!J295,""),"")</f>
        <v/>
      </c>
    </row>
    <row r="305" spans="1:3" x14ac:dyDescent="0.35">
      <c r="A305">
        <v>295</v>
      </c>
      <c r="B305" t="str">
        <f>IF(Sales_Deals!I296&lt;&gt;"",IF(AND(Sales_Deals!I296&gt;DATE(2024,9,30),Sales_Deals!I296&lt;=DATE(2025,3,31)),Sales_Deals!J296,""),"")</f>
        <v/>
      </c>
      <c r="C305" t="str">
        <f>IF(Sales_Deals!I296&lt;&gt;"",IF(AND(Sales_Deals!I296&gt;DATE(2024,3,31),Sales_Deals!I296&lt;=DATE(2024,9,30)),Sales_Deals!J296,""),"")</f>
        <v/>
      </c>
    </row>
    <row r="306" spans="1:3" x14ac:dyDescent="0.35">
      <c r="A306">
        <v>296</v>
      </c>
      <c r="B306" t="str">
        <f>IF(Sales_Deals!I297&lt;&gt;"",IF(AND(Sales_Deals!I297&gt;DATE(2024,9,30),Sales_Deals!I297&lt;=DATE(2025,3,31)),Sales_Deals!J297,""),"")</f>
        <v/>
      </c>
      <c r="C306">
        <f>IF(Sales_Deals!I297&lt;&gt;"",IF(AND(Sales_Deals!I297&gt;DATE(2024,3,31),Sales_Deals!I297&lt;=DATE(2024,9,30)),Sales_Deals!J297,""),"")</f>
        <v>16</v>
      </c>
    </row>
    <row r="307" spans="1:3" x14ac:dyDescent="0.35">
      <c r="A307">
        <v>297</v>
      </c>
      <c r="B307">
        <f>IF(Sales_Deals!I298&lt;&gt;"",IF(AND(Sales_Deals!I298&gt;DATE(2024,9,30),Sales_Deals!I298&lt;=DATE(2025,3,31)),Sales_Deals!J298,""),"")</f>
        <v>148</v>
      </c>
      <c r="C307" t="str">
        <f>IF(Sales_Deals!I298&lt;&gt;"",IF(AND(Sales_Deals!I298&gt;DATE(2024,3,31),Sales_Deals!I298&lt;=DATE(2024,9,30)),Sales_Deals!J298,""),"")</f>
        <v/>
      </c>
    </row>
    <row r="308" spans="1:3" x14ac:dyDescent="0.35">
      <c r="A308">
        <v>298</v>
      </c>
      <c r="B308" t="str">
        <f>IF(Sales_Deals!I299&lt;&gt;"",IF(AND(Sales_Deals!I299&gt;DATE(2024,9,30),Sales_Deals!I299&lt;=DATE(2025,3,31)),Sales_Deals!J299,""),"")</f>
        <v/>
      </c>
      <c r="C308">
        <f>IF(Sales_Deals!I299&lt;&gt;"",IF(AND(Sales_Deals!I299&gt;DATE(2024,3,31),Sales_Deals!I299&lt;=DATE(2024,9,30)),Sales_Deals!J299,""),"")</f>
        <v>27</v>
      </c>
    </row>
    <row r="309" spans="1:3" x14ac:dyDescent="0.35">
      <c r="A309">
        <v>299</v>
      </c>
      <c r="B309" t="str">
        <f>IF(Sales_Deals!I300&lt;&gt;"",IF(AND(Sales_Deals!I300&gt;DATE(2024,9,30),Sales_Deals!I300&lt;=DATE(2025,3,31)),Sales_Deals!J300,""),"")</f>
        <v/>
      </c>
      <c r="C309" t="str">
        <f>IF(Sales_Deals!I300&lt;&gt;"",IF(AND(Sales_Deals!I300&gt;DATE(2024,3,31),Sales_Deals!I300&lt;=DATE(2024,9,30)),Sales_Deals!J300,""),"")</f>
        <v/>
      </c>
    </row>
    <row r="310" spans="1:3" x14ac:dyDescent="0.35">
      <c r="A310">
        <v>300</v>
      </c>
      <c r="B310" t="str">
        <f>IF(Sales_Deals!I301&lt;&gt;"",IF(AND(Sales_Deals!I301&gt;DATE(2024,9,30),Sales_Deals!I301&lt;=DATE(2025,3,31)),Sales_Deals!J301,""),"")</f>
        <v/>
      </c>
      <c r="C310" t="str">
        <f>IF(Sales_Deals!I301&lt;&gt;"",IF(AND(Sales_Deals!I301&gt;DATE(2024,3,31),Sales_Deals!I301&lt;=DATE(2024,9,30)),Sales_Deals!J301,""),"")</f>
        <v/>
      </c>
    </row>
    <row r="311" spans="1:3" x14ac:dyDescent="0.35">
      <c r="A311">
        <v>301</v>
      </c>
      <c r="B311" t="str">
        <f>IF(Sales_Deals!I302&lt;&gt;"",IF(AND(Sales_Deals!I302&gt;DATE(2024,9,30),Sales_Deals!I302&lt;=DATE(2025,3,31)),Sales_Deals!J302,""),"")</f>
        <v/>
      </c>
      <c r="C311" t="str">
        <f>IF(Sales_Deals!I302&lt;&gt;"",IF(AND(Sales_Deals!I302&gt;DATE(2024,3,31),Sales_Deals!I302&lt;=DATE(2024,9,30)),Sales_Deals!J302,""),"")</f>
        <v/>
      </c>
    </row>
    <row r="312" spans="1:3" x14ac:dyDescent="0.35">
      <c r="A312">
        <v>302</v>
      </c>
      <c r="B312">
        <f>IF(Sales_Deals!I303&lt;&gt;"",IF(AND(Sales_Deals!I303&gt;DATE(2024,9,30),Sales_Deals!I303&lt;=DATE(2025,3,31)),Sales_Deals!J303,""),"")</f>
        <v>169</v>
      </c>
      <c r="C312" t="str">
        <f>IF(Sales_Deals!I303&lt;&gt;"",IF(AND(Sales_Deals!I303&gt;DATE(2024,3,31),Sales_Deals!I303&lt;=DATE(2024,9,30)),Sales_Deals!J303,""),"")</f>
        <v/>
      </c>
    </row>
    <row r="313" spans="1:3" x14ac:dyDescent="0.35">
      <c r="A313">
        <v>303</v>
      </c>
      <c r="B313" t="str">
        <f>IF(Sales_Deals!I304&lt;&gt;"",IF(AND(Sales_Deals!I304&gt;DATE(2024,9,30),Sales_Deals!I304&lt;=DATE(2025,3,31)),Sales_Deals!J304,""),"")</f>
        <v/>
      </c>
      <c r="C313" t="str">
        <f>IF(Sales_Deals!I304&lt;&gt;"",IF(AND(Sales_Deals!I304&gt;DATE(2024,3,31),Sales_Deals!I304&lt;=DATE(2024,9,30)),Sales_Deals!J304,""),"")</f>
        <v/>
      </c>
    </row>
    <row r="314" spans="1:3" x14ac:dyDescent="0.35">
      <c r="A314">
        <v>304</v>
      </c>
      <c r="B314" t="str">
        <f>IF(Sales_Deals!I305&lt;&gt;"",IF(AND(Sales_Deals!I305&gt;DATE(2024,9,30),Sales_Deals!I305&lt;=DATE(2025,3,31)),Sales_Deals!J305,""),"")</f>
        <v/>
      </c>
      <c r="C314" t="str">
        <f>IF(Sales_Deals!I305&lt;&gt;"",IF(AND(Sales_Deals!I305&gt;DATE(2024,3,31),Sales_Deals!I305&lt;=DATE(2024,9,30)),Sales_Deals!J305,""),"")</f>
        <v/>
      </c>
    </row>
    <row r="315" spans="1:3" x14ac:dyDescent="0.35">
      <c r="A315">
        <v>305</v>
      </c>
      <c r="B315" t="str">
        <f>IF(Sales_Deals!I306&lt;&gt;"",IF(AND(Sales_Deals!I306&gt;DATE(2024,9,30),Sales_Deals!I306&lt;=DATE(2025,3,31)),Sales_Deals!J306,""),"")</f>
        <v/>
      </c>
      <c r="C315" t="str">
        <f>IF(Sales_Deals!I306&lt;&gt;"",IF(AND(Sales_Deals!I306&gt;DATE(2024,3,31),Sales_Deals!I306&lt;=DATE(2024,9,30)),Sales_Deals!J306,""),"")</f>
        <v/>
      </c>
    </row>
    <row r="316" spans="1:3" x14ac:dyDescent="0.35">
      <c r="A316">
        <v>306</v>
      </c>
      <c r="B316" t="str">
        <f>IF(Sales_Deals!I307&lt;&gt;"",IF(AND(Sales_Deals!I307&gt;DATE(2024,9,30),Sales_Deals!I307&lt;=DATE(2025,3,31)),Sales_Deals!J307,""),"")</f>
        <v/>
      </c>
      <c r="C316">
        <f>IF(Sales_Deals!I307&lt;&gt;"",IF(AND(Sales_Deals!I307&gt;DATE(2024,3,31),Sales_Deals!I307&lt;=DATE(2024,9,30)),Sales_Deals!J307,""),"")</f>
        <v>39</v>
      </c>
    </row>
    <row r="317" spans="1:3" x14ac:dyDescent="0.35">
      <c r="A317">
        <v>307</v>
      </c>
      <c r="B317" t="str">
        <f>IF(Sales_Deals!I308&lt;&gt;"",IF(AND(Sales_Deals!I308&gt;DATE(2024,9,30),Sales_Deals!I308&lt;=DATE(2025,3,31)),Sales_Deals!J308,""),"")</f>
        <v/>
      </c>
      <c r="C317" t="str">
        <f>IF(Sales_Deals!I308&lt;&gt;"",IF(AND(Sales_Deals!I308&gt;DATE(2024,3,31),Sales_Deals!I308&lt;=DATE(2024,9,30)),Sales_Deals!J308,""),"")</f>
        <v/>
      </c>
    </row>
    <row r="318" spans="1:3" x14ac:dyDescent="0.35">
      <c r="A318">
        <v>308</v>
      </c>
      <c r="B318" t="str">
        <f>IF(Sales_Deals!I309&lt;&gt;"",IF(AND(Sales_Deals!I309&gt;DATE(2024,9,30),Sales_Deals!I309&lt;=DATE(2025,3,31)),Sales_Deals!J309,""),"")</f>
        <v/>
      </c>
      <c r="C318">
        <f>IF(Sales_Deals!I309&lt;&gt;"",IF(AND(Sales_Deals!I309&gt;DATE(2024,3,31),Sales_Deals!I309&lt;=DATE(2024,9,30)),Sales_Deals!J309,""),"")</f>
        <v>163</v>
      </c>
    </row>
    <row r="319" spans="1:3" x14ac:dyDescent="0.35">
      <c r="A319">
        <v>309</v>
      </c>
      <c r="B319" t="str">
        <f>IF(Sales_Deals!I310&lt;&gt;"",IF(AND(Sales_Deals!I310&gt;DATE(2024,9,30),Sales_Deals!I310&lt;=DATE(2025,3,31)),Sales_Deals!J310,""),"")</f>
        <v/>
      </c>
      <c r="C319" t="str">
        <f>IF(Sales_Deals!I310&lt;&gt;"",IF(AND(Sales_Deals!I310&gt;DATE(2024,3,31),Sales_Deals!I310&lt;=DATE(2024,9,30)),Sales_Deals!J310,""),"")</f>
        <v/>
      </c>
    </row>
    <row r="320" spans="1:3" x14ac:dyDescent="0.35">
      <c r="A320">
        <v>310</v>
      </c>
      <c r="B320" t="str">
        <f>IF(Sales_Deals!I311&lt;&gt;"",IF(AND(Sales_Deals!I311&gt;DATE(2024,9,30),Sales_Deals!I311&lt;=DATE(2025,3,31)),Sales_Deals!J311,""),"")</f>
        <v/>
      </c>
      <c r="C320" t="str">
        <f>IF(Sales_Deals!I311&lt;&gt;"",IF(AND(Sales_Deals!I311&gt;DATE(2024,3,31),Sales_Deals!I311&lt;=DATE(2024,9,30)),Sales_Deals!J311,""),"")</f>
        <v/>
      </c>
    </row>
    <row r="321" spans="1:3" x14ac:dyDescent="0.35">
      <c r="A321">
        <v>311</v>
      </c>
      <c r="B321" t="str">
        <f>IF(Sales_Deals!I312&lt;&gt;"",IF(AND(Sales_Deals!I312&gt;DATE(2024,9,30),Sales_Deals!I312&lt;=DATE(2025,3,31)),Sales_Deals!J312,""),"")</f>
        <v/>
      </c>
      <c r="C321" t="str">
        <f>IF(Sales_Deals!I312&lt;&gt;"",IF(AND(Sales_Deals!I312&gt;DATE(2024,3,31),Sales_Deals!I312&lt;=DATE(2024,9,30)),Sales_Deals!J312,""),"")</f>
        <v/>
      </c>
    </row>
    <row r="322" spans="1:3" x14ac:dyDescent="0.35">
      <c r="A322">
        <v>312</v>
      </c>
      <c r="B322" t="str">
        <f>IF(Sales_Deals!I313&lt;&gt;"",IF(AND(Sales_Deals!I313&gt;DATE(2024,9,30),Sales_Deals!I313&lt;=DATE(2025,3,31)),Sales_Deals!J313,""),"")</f>
        <v/>
      </c>
      <c r="C322" t="str">
        <f>IF(Sales_Deals!I313&lt;&gt;"",IF(AND(Sales_Deals!I313&gt;DATE(2024,3,31),Sales_Deals!I313&lt;=DATE(2024,9,30)),Sales_Deals!J313,""),"")</f>
        <v/>
      </c>
    </row>
    <row r="323" spans="1:3" x14ac:dyDescent="0.35">
      <c r="A323">
        <v>313</v>
      </c>
      <c r="B323" t="str">
        <f>IF(Sales_Deals!I314&lt;&gt;"",IF(AND(Sales_Deals!I314&gt;DATE(2024,9,30),Sales_Deals!I314&lt;=DATE(2025,3,31)),Sales_Deals!J314,""),"")</f>
        <v/>
      </c>
      <c r="C323" t="str">
        <f>IF(Sales_Deals!I314&lt;&gt;"",IF(AND(Sales_Deals!I314&gt;DATE(2024,3,31),Sales_Deals!I314&lt;=DATE(2024,9,30)),Sales_Deals!J314,""),"")</f>
        <v/>
      </c>
    </row>
    <row r="324" spans="1:3" x14ac:dyDescent="0.35">
      <c r="A324">
        <v>314</v>
      </c>
      <c r="B324" t="str">
        <f>IF(Sales_Deals!I315&lt;&gt;"",IF(AND(Sales_Deals!I315&gt;DATE(2024,9,30),Sales_Deals!I315&lt;=DATE(2025,3,31)),Sales_Deals!J315,""),"")</f>
        <v/>
      </c>
      <c r="C324" t="str">
        <f>IF(Sales_Deals!I315&lt;&gt;"",IF(AND(Sales_Deals!I315&gt;DATE(2024,3,31),Sales_Deals!I315&lt;=DATE(2024,9,30)),Sales_Deals!J315,""),"")</f>
        <v/>
      </c>
    </row>
    <row r="325" spans="1:3" x14ac:dyDescent="0.35">
      <c r="A325">
        <v>315</v>
      </c>
      <c r="B325" t="str">
        <f>IF(Sales_Deals!I316&lt;&gt;"",IF(AND(Sales_Deals!I316&gt;DATE(2024,9,30),Sales_Deals!I316&lt;=DATE(2025,3,31)),Sales_Deals!J316,""),"")</f>
        <v/>
      </c>
      <c r="C325" t="str">
        <f>IF(Sales_Deals!I316&lt;&gt;"",IF(AND(Sales_Deals!I316&gt;DATE(2024,3,31),Sales_Deals!I316&lt;=DATE(2024,9,30)),Sales_Deals!J316,""),"")</f>
        <v/>
      </c>
    </row>
    <row r="326" spans="1:3" x14ac:dyDescent="0.35">
      <c r="A326">
        <v>316</v>
      </c>
      <c r="B326" t="str">
        <f>IF(Sales_Deals!I317&lt;&gt;"",IF(AND(Sales_Deals!I317&gt;DATE(2024,9,30),Sales_Deals!I317&lt;=DATE(2025,3,31)),Sales_Deals!J317,""),"")</f>
        <v/>
      </c>
      <c r="C326" t="str">
        <f>IF(Sales_Deals!I317&lt;&gt;"",IF(AND(Sales_Deals!I317&gt;DATE(2024,3,31),Sales_Deals!I317&lt;=DATE(2024,9,30)),Sales_Deals!J317,""),"")</f>
        <v/>
      </c>
    </row>
    <row r="327" spans="1:3" x14ac:dyDescent="0.35">
      <c r="A327">
        <v>317</v>
      </c>
      <c r="B327" t="str">
        <f>IF(Sales_Deals!I318&lt;&gt;"",IF(AND(Sales_Deals!I318&gt;DATE(2024,9,30),Sales_Deals!I318&lt;=DATE(2025,3,31)),Sales_Deals!J318,""),"")</f>
        <v/>
      </c>
      <c r="C327" t="str">
        <f>IF(Sales_Deals!I318&lt;&gt;"",IF(AND(Sales_Deals!I318&gt;DATE(2024,3,31),Sales_Deals!I318&lt;=DATE(2024,9,30)),Sales_Deals!J318,""),"")</f>
        <v/>
      </c>
    </row>
    <row r="328" spans="1:3" x14ac:dyDescent="0.35">
      <c r="A328">
        <v>318</v>
      </c>
      <c r="B328" t="str">
        <f>IF(Sales_Deals!I319&lt;&gt;"",IF(AND(Sales_Deals!I319&gt;DATE(2024,9,30),Sales_Deals!I319&lt;=DATE(2025,3,31)),Sales_Deals!J319,""),"")</f>
        <v/>
      </c>
      <c r="C328" t="str">
        <f>IF(Sales_Deals!I319&lt;&gt;"",IF(AND(Sales_Deals!I319&gt;DATE(2024,3,31),Sales_Deals!I319&lt;=DATE(2024,9,30)),Sales_Deals!J319,""),"")</f>
        <v/>
      </c>
    </row>
    <row r="329" spans="1:3" x14ac:dyDescent="0.35">
      <c r="A329">
        <v>319</v>
      </c>
      <c r="B329" t="str">
        <f>IF(Sales_Deals!I320&lt;&gt;"",IF(AND(Sales_Deals!I320&gt;DATE(2024,9,30),Sales_Deals!I320&lt;=DATE(2025,3,31)),Sales_Deals!J320,""),"")</f>
        <v/>
      </c>
      <c r="C329" t="str">
        <f>IF(Sales_Deals!I320&lt;&gt;"",IF(AND(Sales_Deals!I320&gt;DATE(2024,3,31),Sales_Deals!I320&lt;=DATE(2024,9,30)),Sales_Deals!J320,""),"")</f>
        <v/>
      </c>
    </row>
    <row r="330" spans="1:3" x14ac:dyDescent="0.35">
      <c r="A330">
        <v>320</v>
      </c>
      <c r="B330" t="str">
        <f>IF(Sales_Deals!I321&lt;&gt;"",IF(AND(Sales_Deals!I321&gt;DATE(2024,9,30),Sales_Deals!I321&lt;=DATE(2025,3,31)),Sales_Deals!J321,""),"")</f>
        <v/>
      </c>
      <c r="C330" t="str">
        <f>IF(Sales_Deals!I321&lt;&gt;"",IF(AND(Sales_Deals!I321&gt;DATE(2024,3,31),Sales_Deals!I321&lt;=DATE(2024,9,30)),Sales_Deals!J321,""),"")</f>
        <v/>
      </c>
    </row>
    <row r="331" spans="1:3" x14ac:dyDescent="0.35">
      <c r="A331">
        <v>321</v>
      </c>
      <c r="B331" t="str">
        <f>IF(Sales_Deals!I322&lt;&gt;"",IF(AND(Sales_Deals!I322&gt;DATE(2024,9,30),Sales_Deals!I322&lt;=DATE(2025,3,31)),Sales_Deals!J322,""),"")</f>
        <v/>
      </c>
      <c r="C331" t="str">
        <f>IF(Sales_Deals!I322&lt;&gt;"",IF(AND(Sales_Deals!I322&gt;DATE(2024,3,31),Sales_Deals!I322&lt;=DATE(2024,9,30)),Sales_Deals!J322,""),"")</f>
        <v/>
      </c>
    </row>
    <row r="332" spans="1:3" x14ac:dyDescent="0.35">
      <c r="A332">
        <v>322</v>
      </c>
      <c r="B332" t="str">
        <f>IF(Sales_Deals!I323&lt;&gt;"",IF(AND(Sales_Deals!I323&gt;DATE(2024,9,30),Sales_Deals!I323&lt;=DATE(2025,3,31)),Sales_Deals!J323,""),"")</f>
        <v/>
      </c>
      <c r="C332" t="str">
        <f>IF(Sales_Deals!I323&lt;&gt;"",IF(AND(Sales_Deals!I323&gt;DATE(2024,3,31),Sales_Deals!I323&lt;=DATE(2024,9,30)),Sales_Deals!J323,""),"")</f>
        <v/>
      </c>
    </row>
    <row r="333" spans="1:3" x14ac:dyDescent="0.35">
      <c r="A333">
        <v>323</v>
      </c>
      <c r="B333" t="str">
        <f>IF(Sales_Deals!I324&lt;&gt;"",IF(AND(Sales_Deals!I324&gt;DATE(2024,9,30),Sales_Deals!I324&lt;=DATE(2025,3,31)),Sales_Deals!J324,""),"")</f>
        <v/>
      </c>
      <c r="C333" t="str">
        <f>IF(Sales_Deals!I324&lt;&gt;"",IF(AND(Sales_Deals!I324&gt;DATE(2024,3,31),Sales_Deals!I324&lt;=DATE(2024,9,30)),Sales_Deals!J324,""),"")</f>
        <v/>
      </c>
    </row>
    <row r="334" spans="1:3" x14ac:dyDescent="0.35">
      <c r="A334">
        <v>324</v>
      </c>
      <c r="B334" t="str">
        <f>IF(Sales_Deals!I325&lt;&gt;"",IF(AND(Sales_Deals!I325&gt;DATE(2024,9,30),Sales_Deals!I325&lt;=DATE(2025,3,31)),Sales_Deals!J325,""),"")</f>
        <v/>
      </c>
      <c r="C334" t="str">
        <f>IF(Sales_Deals!I325&lt;&gt;"",IF(AND(Sales_Deals!I325&gt;DATE(2024,3,31),Sales_Deals!I325&lt;=DATE(2024,9,30)),Sales_Deals!J325,""),"")</f>
        <v/>
      </c>
    </row>
    <row r="335" spans="1:3" x14ac:dyDescent="0.35">
      <c r="A335">
        <v>325</v>
      </c>
      <c r="B335" t="str">
        <f>IF(Sales_Deals!I326&lt;&gt;"",IF(AND(Sales_Deals!I326&gt;DATE(2024,9,30),Sales_Deals!I326&lt;=DATE(2025,3,31)),Sales_Deals!J326,""),"")</f>
        <v/>
      </c>
      <c r="C335" t="str">
        <f>IF(Sales_Deals!I326&lt;&gt;"",IF(AND(Sales_Deals!I326&gt;DATE(2024,3,31),Sales_Deals!I326&lt;=DATE(2024,9,30)),Sales_Deals!J326,""),"")</f>
        <v/>
      </c>
    </row>
    <row r="336" spans="1:3" x14ac:dyDescent="0.35">
      <c r="A336">
        <v>326</v>
      </c>
      <c r="B336" t="str">
        <f>IF(Sales_Deals!I327&lt;&gt;"",IF(AND(Sales_Deals!I327&gt;DATE(2024,9,30),Sales_Deals!I327&lt;=DATE(2025,3,31)),Sales_Deals!J327,""),"")</f>
        <v/>
      </c>
      <c r="C336">
        <f>IF(Sales_Deals!I327&lt;&gt;"",IF(AND(Sales_Deals!I327&gt;DATE(2024,3,31),Sales_Deals!I327&lt;=DATE(2024,9,30)),Sales_Deals!J327,""),"")</f>
        <v>118</v>
      </c>
    </row>
    <row r="337" spans="1:3" x14ac:dyDescent="0.35">
      <c r="A337">
        <v>327</v>
      </c>
      <c r="B337" t="str">
        <f>IF(Sales_Deals!I328&lt;&gt;"",IF(AND(Sales_Deals!I328&gt;DATE(2024,9,30),Sales_Deals!I328&lt;=DATE(2025,3,31)),Sales_Deals!J328,""),"")</f>
        <v/>
      </c>
      <c r="C337" t="str">
        <f>IF(Sales_Deals!I328&lt;&gt;"",IF(AND(Sales_Deals!I328&gt;DATE(2024,3,31),Sales_Deals!I328&lt;=DATE(2024,9,30)),Sales_Deals!J328,""),"")</f>
        <v/>
      </c>
    </row>
    <row r="338" spans="1:3" x14ac:dyDescent="0.35">
      <c r="A338">
        <v>328</v>
      </c>
      <c r="B338" t="str">
        <f>IF(Sales_Deals!I329&lt;&gt;"",IF(AND(Sales_Deals!I329&gt;DATE(2024,9,30),Sales_Deals!I329&lt;=DATE(2025,3,31)),Sales_Deals!J329,""),"")</f>
        <v/>
      </c>
      <c r="C338" t="str">
        <f>IF(Sales_Deals!I329&lt;&gt;"",IF(AND(Sales_Deals!I329&gt;DATE(2024,3,31),Sales_Deals!I329&lt;=DATE(2024,9,30)),Sales_Deals!J329,""),"")</f>
        <v/>
      </c>
    </row>
    <row r="339" spans="1:3" x14ac:dyDescent="0.35">
      <c r="A339">
        <v>329</v>
      </c>
      <c r="B339" t="str">
        <f>IF(Sales_Deals!I330&lt;&gt;"",IF(AND(Sales_Deals!I330&gt;DATE(2024,9,30),Sales_Deals!I330&lt;=DATE(2025,3,31)),Sales_Deals!J330,""),"")</f>
        <v/>
      </c>
      <c r="C339" t="str">
        <f>IF(Sales_Deals!I330&lt;&gt;"",IF(AND(Sales_Deals!I330&gt;DATE(2024,3,31),Sales_Deals!I330&lt;=DATE(2024,9,30)),Sales_Deals!J330,""),"")</f>
        <v/>
      </c>
    </row>
    <row r="340" spans="1:3" x14ac:dyDescent="0.35">
      <c r="A340">
        <v>330</v>
      </c>
      <c r="B340" t="str">
        <f>IF(Sales_Deals!I331&lt;&gt;"",IF(AND(Sales_Deals!I331&gt;DATE(2024,9,30),Sales_Deals!I331&lt;=DATE(2025,3,31)),Sales_Deals!J331,""),"")</f>
        <v/>
      </c>
      <c r="C340" t="str">
        <f>IF(Sales_Deals!I331&lt;&gt;"",IF(AND(Sales_Deals!I331&gt;DATE(2024,3,31),Sales_Deals!I331&lt;=DATE(2024,9,30)),Sales_Deals!J331,""),"")</f>
        <v/>
      </c>
    </row>
    <row r="341" spans="1:3" x14ac:dyDescent="0.35">
      <c r="A341">
        <v>331</v>
      </c>
      <c r="B341" t="str">
        <f>IF(Sales_Deals!I332&lt;&gt;"",IF(AND(Sales_Deals!I332&gt;DATE(2024,9,30),Sales_Deals!I332&lt;=DATE(2025,3,31)),Sales_Deals!J332,""),"")</f>
        <v/>
      </c>
      <c r="C341" t="str">
        <f>IF(Sales_Deals!I332&lt;&gt;"",IF(AND(Sales_Deals!I332&gt;DATE(2024,3,31),Sales_Deals!I332&lt;=DATE(2024,9,30)),Sales_Deals!J332,""),"")</f>
        <v/>
      </c>
    </row>
    <row r="342" spans="1:3" x14ac:dyDescent="0.35">
      <c r="A342">
        <v>332</v>
      </c>
      <c r="B342" t="str">
        <f>IF(Sales_Deals!I333&lt;&gt;"",IF(AND(Sales_Deals!I333&gt;DATE(2024,9,30),Sales_Deals!I333&lt;=DATE(2025,3,31)),Sales_Deals!J333,""),"")</f>
        <v/>
      </c>
      <c r="C342" t="str">
        <f>IF(Sales_Deals!I333&lt;&gt;"",IF(AND(Sales_Deals!I333&gt;DATE(2024,3,31),Sales_Deals!I333&lt;=DATE(2024,9,30)),Sales_Deals!J333,""),"")</f>
        <v/>
      </c>
    </row>
    <row r="343" spans="1:3" x14ac:dyDescent="0.35">
      <c r="A343">
        <v>333</v>
      </c>
      <c r="B343">
        <f>IF(Sales_Deals!I334&lt;&gt;"",IF(AND(Sales_Deals!I334&gt;DATE(2024,9,30),Sales_Deals!I334&lt;=DATE(2025,3,31)),Sales_Deals!J334,""),"")</f>
        <v>121</v>
      </c>
      <c r="C343" t="str">
        <f>IF(Sales_Deals!I334&lt;&gt;"",IF(AND(Sales_Deals!I334&gt;DATE(2024,3,31),Sales_Deals!I334&lt;=DATE(2024,9,30)),Sales_Deals!J334,""),"")</f>
        <v/>
      </c>
    </row>
    <row r="344" spans="1:3" x14ac:dyDescent="0.35">
      <c r="A344">
        <v>334</v>
      </c>
      <c r="B344" t="str">
        <f>IF(Sales_Deals!I335&lt;&gt;"",IF(AND(Sales_Deals!I335&gt;DATE(2024,9,30),Sales_Deals!I335&lt;=DATE(2025,3,31)),Sales_Deals!J335,""),"")</f>
        <v/>
      </c>
      <c r="C344" t="str">
        <f>IF(Sales_Deals!I335&lt;&gt;"",IF(AND(Sales_Deals!I335&gt;DATE(2024,3,31),Sales_Deals!I335&lt;=DATE(2024,9,30)),Sales_Deals!J335,""),"")</f>
        <v/>
      </c>
    </row>
    <row r="345" spans="1:3" x14ac:dyDescent="0.35">
      <c r="A345">
        <v>335</v>
      </c>
      <c r="B345" t="str">
        <f>IF(Sales_Deals!I336&lt;&gt;"",IF(AND(Sales_Deals!I336&gt;DATE(2024,9,30),Sales_Deals!I336&lt;=DATE(2025,3,31)),Sales_Deals!J336,""),"")</f>
        <v/>
      </c>
      <c r="C345" t="str">
        <f>IF(Sales_Deals!I336&lt;&gt;"",IF(AND(Sales_Deals!I336&gt;DATE(2024,3,31),Sales_Deals!I336&lt;=DATE(2024,9,30)),Sales_Deals!J336,""),"")</f>
        <v/>
      </c>
    </row>
    <row r="346" spans="1:3" x14ac:dyDescent="0.35">
      <c r="A346">
        <v>336</v>
      </c>
      <c r="B346" t="str">
        <f>IF(Sales_Deals!I337&lt;&gt;"",IF(AND(Sales_Deals!I337&gt;DATE(2024,9,30),Sales_Deals!I337&lt;=DATE(2025,3,31)),Sales_Deals!J337,""),"")</f>
        <v/>
      </c>
      <c r="C346" t="str">
        <f>IF(Sales_Deals!I337&lt;&gt;"",IF(AND(Sales_Deals!I337&gt;DATE(2024,3,31),Sales_Deals!I337&lt;=DATE(2024,9,30)),Sales_Deals!J337,""),"")</f>
        <v/>
      </c>
    </row>
    <row r="347" spans="1:3" x14ac:dyDescent="0.35">
      <c r="A347">
        <v>337</v>
      </c>
      <c r="B347" t="str">
        <f>IF(Sales_Deals!I338&lt;&gt;"",IF(AND(Sales_Deals!I338&gt;DATE(2024,9,30),Sales_Deals!I338&lt;=DATE(2025,3,31)),Sales_Deals!J338,""),"")</f>
        <v/>
      </c>
      <c r="C347">
        <f>IF(Sales_Deals!I338&lt;&gt;"",IF(AND(Sales_Deals!I338&gt;DATE(2024,3,31),Sales_Deals!I338&lt;=DATE(2024,9,30)),Sales_Deals!J338,""),"")</f>
        <v>22</v>
      </c>
    </row>
    <row r="348" spans="1:3" x14ac:dyDescent="0.35">
      <c r="A348">
        <v>338</v>
      </c>
      <c r="B348" t="str">
        <f>IF(Sales_Deals!I339&lt;&gt;"",IF(AND(Sales_Deals!I339&gt;DATE(2024,9,30),Sales_Deals!I339&lt;=DATE(2025,3,31)),Sales_Deals!J339,""),"")</f>
        <v/>
      </c>
      <c r="C348" t="str">
        <f>IF(Sales_Deals!I339&lt;&gt;"",IF(AND(Sales_Deals!I339&gt;DATE(2024,3,31),Sales_Deals!I339&lt;=DATE(2024,9,30)),Sales_Deals!J339,""),"")</f>
        <v/>
      </c>
    </row>
    <row r="349" spans="1:3" x14ac:dyDescent="0.35">
      <c r="A349">
        <v>339</v>
      </c>
      <c r="B349" t="str">
        <f>IF(Sales_Deals!I340&lt;&gt;"",IF(AND(Sales_Deals!I340&gt;DATE(2024,9,30),Sales_Deals!I340&lt;=DATE(2025,3,31)),Sales_Deals!J340,""),"")</f>
        <v/>
      </c>
      <c r="C349" t="str">
        <f>IF(Sales_Deals!I340&lt;&gt;"",IF(AND(Sales_Deals!I340&gt;DATE(2024,3,31),Sales_Deals!I340&lt;=DATE(2024,9,30)),Sales_Deals!J340,""),"")</f>
        <v/>
      </c>
    </row>
    <row r="350" spans="1:3" x14ac:dyDescent="0.35">
      <c r="A350">
        <v>340</v>
      </c>
      <c r="B350" t="str">
        <f>IF(Sales_Deals!I341&lt;&gt;"",IF(AND(Sales_Deals!I341&gt;DATE(2024,9,30),Sales_Deals!I341&lt;=DATE(2025,3,31)),Sales_Deals!J341,""),"")</f>
        <v/>
      </c>
      <c r="C350" t="str">
        <f>IF(Sales_Deals!I341&lt;&gt;"",IF(AND(Sales_Deals!I341&gt;DATE(2024,3,31),Sales_Deals!I341&lt;=DATE(2024,9,30)),Sales_Deals!J341,""),"")</f>
        <v/>
      </c>
    </row>
    <row r="351" spans="1:3" x14ac:dyDescent="0.35">
      <c r="A351">
        <v>341</v>
      </c>
      <c r="B351" t="str">
        <f>IF(Sales_Deals!I342&lt;&gt;"",IF(AND(Sales_Deals!I342&gt;DATE(2024,9,30),Sales_Deals!I342&lt;=DATE(2025,3,31)),Sales_Deals!J342,""),"")</f>
        <v/>
      </c>
      <c r="C351" t="str">
        <f>IF(Sales_Deals!I342&lt;&gt;"",IF(AND(Sales_Deals!I342&gt;DATE(2024,3,31),Sales_Deals!I342&lt;=DATE(2024,9,30)),Sales_Deals!J342,""),"")</f>
        <v/>
      </c>
    </row>
    <row r="352" spans="1:3" x14ac:dyDescent="0.35">
      <c r="A352">
        <v>342</v>
      </c>
      <c r="B352" t="str">
        <f>IF(Sales_Deals!I343&lt;&gt;"",IF(AND(Sales_Deals!I343&gt;DATE(2024,9,30),Sales_Deals!I343&lt;=DATE(2025,3,31)),Sales_Deals!J343,""),"")</f>
        <v/>
      </c>
      <c r="C352">
        <f>IF(Sales_Deals!I343&lt;&gt;"",IF(AND(Sales_Deals!I343&gt;DATE(2024,3,31),Sales_Deals!I343&lt;=DATE(2024,9,30)),Sales_Deals!J343,""),"")</f>
        <v>147</v>
      </c>
    </row>
    <row r="353" spans="1:3" x14ac:dyDescent="0.35">
      <c r="A353">
        <v>343</v>
      </c>
      <c r="B353" t="str">
        <f>IF(Sales_Deals!I344&lt;&gt;"",IF(AND(Sales_Deals!I344&gt;DATE(2024,9,30),Sales_Deals!I344&lt;=DATE(2025,3,31)),Sales_Deals!J344,""),"")</f>
        <v/>
      </c>
      <c r="C353" t="str">
        <f>IF(Sales_Deals!I344&lt;&gt;"",IF(AND(Sales_Deals!I344&gt;DATE(2024,3,31),Sales_Deals!I344&lt;=DATE(2024,9,30)),Sales_Deals!J344,""),"")</f>
        <v/>
      </c>
    </row>
    <row r="354" spans="1:3" x14ac:dyDescent="0.35">
      <c r="A354">
        <v>344</v>
      </c>
      <c r="B354" t="str">
        <f>IF(Sales_Deals!I345&lt;&gt;"",IF(AND(Sales_Deals!I345&gt;DATE(2024,9,30),Sales_Deals!I345&lt;=DATE(2025,3,31)),Sales_Deals!J345,""),"")</f>
        <v/>
      </c>
      <c r="C354" t="str">
        <f>IF(Sales_Deals!I345&lt;&gt;"",IF(AND(Sales_Deals!I345&gt;DATE(2024,3,31),Sales_Deals!I345&lt;=DATE(2024,9,30)),Sales_Deals!J345,""),"")</f>
        <v/>
      </c>
    </row>
    <row r="355" spans="1:3" x14ac:dyDescent="0.35">
      <c r="A355">
        <v>345</v>
      </c>
      <c r="B355" t="str">
        <f>IF(Sales_Deals!I346&lt;&gt;"",IF(AND(Sales_Deals!I346&gt;DATE(2024,9,30),Sales_Deals!I346&lt;=DATE(2025,3,31)),Sales_Deals!J346,""),"")</f>
        <v/>
      </c>
      <c r="C355" t="str">
        <f>IF(Sales_Deals!I346&lt;&gt;"",IF(AND(Sales_Deals!I346&gt;DATE(2024,3,31),Sales_Deals!I346&lt;=DATE(2024,9,30)),Sales_Deals!J346,""),"")</f>
        <v/>
      </c>
    </row>
    <row r="356" spans="1:3" x14ac:dyDescent="0.35">
      <c r="A356">
        <v>346</v>
      </c>
      <c r="B356" t="str">
        <f>IF(Sales_Deals!I347&lt;&gt;"",IF(AND(Sales_Deals!I347&gt;DATE(2024,9,30),Sales_Deals!I347&lt;=DATE(2025,3,31)),Sales_Deals!J347,""),"")</f>
        <v/>
      </c>
      <c r="C356" t="str">
        <f>IF(Sales_Deals!I347&lt;&gt;"",IF(AND(Sales_Deals!I347&gt;DATE(2024,3,31),Sales_Deals!I347&lt;=DATE(2024,9,30)),Sales_Deals!J347,""),"")</f>
        <v/>
      </c>
    </row>
    <row r="357" spans="1:3" x14ac:dyDescent="0.35">
      <c r="A357">
        <v>347</v>
      </c>
      <c r="B357" t="str">
        <f>IF(Sales_Deals!I348&lt;&gt;"",IF(AND(Sales_Deals!I348&gt;DATE(2024,9,30),Sales_Deals!I348&lt;=DATE(2025,3,31)),Sales_Deals!J348,""),"")</f>
        <v/>
      </c>
      <c r="C357">
        <f>IF(Sales_Deals!I348&lt;&gt;"",IF(AND(Sales_Deals!I348&gt;DATE(2024,3,31),Sales_Deals!I348&lt;=DATE(2024,9,30)),Sales_Deals!J348,""),"")</f>
        <v>117</v>
      </c>
    </row>
    <row r="358" spans="1:3" x14ac:dyDescent="0.35">
      <c r="A358">
        <v>348</v>
      </c>
      <c r="B358" t="str">
        <f>IF(Sales_Deals!I349&lt;&gt;"",IF(AND(Sales_Deals!I349&gt;DATE(2024,9,30),Sales_Deals!I349&lt;=DATE(2025,3,31)),Sales_Deals!J349,""),"")</f>
        <v/>
      </c>
      <c r="C358" t="str">
        <f>IF(Sales_Deals!I349&lt;&gt;"",IF(AND(Sales_Deals!I349&gt;DATE(2024,3,31),Sales_Deals!I349&lt;=DATE(2024,9,30)),Sales_Deals!J349,""),"")</f>
        <v/>
      </c>
    </row>
    <row r="359" spans="1:3" x14ac:dyDescent="0.35">
      <c r="A359">
        <v>349</v>
      </c>
      <c r="B359">
        <f>IF(Sales_Deals!I350&lt;&gt;"",IF(AND(Sales_Deals!I350&gt;DATE(2024,9,30),Sales_Deals!I350&lt;=DATE(2025,3,31)),Sales_Deals!J350,""),"")</f>
        <v>160</v>
      </c>
      <c r="C359" t="str">
        <f>IF(Sales_Deals!I350&lt;&gt;"",IF(AND(Sales_Deals!I350&gt;DATE(2024,3,31),Sales_Deals!I350&lt;=DATE(2024,9,30)),Sales_Deals!J350,""),"")</f>
        <v/>
      </c>
    </row>
    <row r="360" spans="1:3" x14ac:dyDescent="0.35">
      <c r="A360">
        <v>350</v>
      </c>
      <c r="B360" t="str">
        <f>IF(Sales_Deals!I351&lt;&gt;"",IF(AND(Sales_Deals!I351&gt;DATE(2024,9,30),Sales_Deals!I351&lt;=DATE(2025,3,31)),Sales_Deals!J351,""),"")</f>
        <v/>
      </c>
      <c r="C360" t="str">
        <f>IF(Sales_Deals!I351&lt;&gt;"",IF(AND(Sales_Deals!I351&gt;DATE(2024,3,31),Sales_Deals!I351&lt;=DATE(2024,9,30)),Sales_Deals!J351,""),"")</f>
        <v/>
      </c>
    </row>
    <row r="361" spans="1:3" x14ac:dyDescent="0.35">
      <c r="A361">
        <v>351</v>
      </c>
      <c r="B361" t="str">
        <f>IF(Sales_Deals!I352&lt;&gt;"",IF(AND(Sales_Deals!I352&gt;DATE(2024,9,30),Sales_Deals!I352&lt;=DATE(2025,3,31)),Sales_Deals!J352,""),"")</f>
        <v/>
      </c>
      <c r="C361" t="str">
        <f>IF(Sales_Deals!I352&lt;&gt;"",IF(AND(Sales_Deals!I352&gt;DATE(2024,3,31),Sales_Deals!I352&lt;=DATE(2024,9,30)),Sales_Deals!J352,""),"")</f>
        <v/>
      </c>
    </row>
    <row r="362" spans="1:3" x14ac:dyDescent="0.35">
      <c r="A362">
        <v>352</v>
      </c>
      <c r="B362" t="str">
        <f>IF(Sales_Deals!I353&lt;&gt;"",IF(AND(Sales_Deals!I353&gt;DATE(2024,9,30),Sales_Deals!I353&lt;=DATE(2025,3,31)),Sales_Deals!J353,""),"")</f>
        <v/>
      </c>
      <c r="C362" t="str">
        <f>IF(Sales_Deals!I353&lt;&gt;"",IF(AND(Sales_Deals!I353&gt;DATE(2024,3,31),Sales_Deals!I353&lt;=DATE(2024,9,30)),Sales_Deals!J353,""),"")</f>
        <v/>
      </c>
    </row>
    <row r="363" spans="1:3" x14ac:dyDescent="0.35">
      <c r="A363">
        <v>353</v>
      </c>
      <c r="B363" t="str">
        <f>IF(Sales_Deals!I354&lt;&gt;"",IF(AND(Sales_Deals!I354&gt;DATE(2024,9,30),Sales_Deals!I354&lt;=DATE(2025,3,31)),Sales_Deals!J354,""),"")</f>
        <v/>
      </c>
      <c r="C363" t="str">
        <f>IF(Sales_Deals!I354&lt;&gt;"",IF(AND(Sales_Deals!I354&gt;DATE(2024,3,31),Sales_Deals!I354&lt;=DATE(2024,9,30)),Sales_Deals!J354,""),"")</f>
        <v/>
      </c>
    </row>
    <row r="364" spans="1:3" x14ac:dyDescent="0.35">
      <c r="A364">
        <v>354</v>
      </c>
      <c r="B364" t="str">
        <f>IF(Sales_Deals!I355&lt;&gt;"",IF(AND(Sales_Deals!I355&gt;DATE(2024,9,30),Sales_Deals!I355&lt;=DATE(2025,3,31)),Sales_Deals!J355,""),"")</f>
        <v/>
      </c>
      <c r="C364" t="str">
        <f>IF(Sales_Deals!I355&lt;&gt;"",IF(AND(Sales_Deals!I355&gt;DATE(2024,3,31),Sales_Deals!I355&lt;=DATE(2024,9,30)),Sales_Deals!J355,""),"")</f>
        <v/>
      </c>
    </row>
    <row r="365" spans="1:3" x14ac:dyDescent="0.35">
      <c r="A365">
        <v>355</v>
      </c>
      <c r="B365" t="str">
        <f>IF(Sales_Deals!I356&lt;&gt;"",IF(AND(Sales_Deals!I356&gt;DATE(2024,9,30),Sales_Deals!I356&lt;=DATE(2025,3,31)),Sales_Deals!J356,""),"")</f>
        <v/>
      </c>
      <c r="C365" t="str">
        <f>IF(Sales_Deals!I356&lt;&gt;"",IF(AND(Sales_Deals!I356&gt;DATE(2024,3,31),Sales_Deals!I356&lt;=DATE(2024,9,30)),Sales_Deals!J356,""),"")</f>
        <v/>
      </c>
    </row>
    <row r="366" spans="1:3" x14ac:dyDescent="0.35">
      <c r="A366">
        <v>356</v>
      </c>
      <c r="B366" t="str">
        <f>IF(Sales_Deals!I357&lt;&gt;"",IF(AND(Sales_Deals!I357&gt;DATE(2024,9,30),Sales_Deals!I357&lt;=DATE(2025,3,31)),Sales_Deals!J357,""),"")</f>
        <v/>
      </c>
      <c r="C366" t="str">
        <f>IF(Sales_Deals!I357&lt;&gt;"",IF(AND(Sales_Deals!I357&gt;DATE(2024,3,31),Sales_Deals!I357&lt;=DATE(2024,9,30)),Sales_Deals!J357,""),"")</f>
        <v/>
      </c>
    </row>
    <row r="367" spans="1:3" x14ac:dyDescent="0.35">
      <c r="A367">
        <v>357</v>
      </c>
      <c r="B367" t="str">
        <f>IF(Sales_Deals!I358&lt;&gt;"",IF(AND(Sales_Deals!I358&gt;DATE(2024,9,30),Sales_Deals!I358&lt;=DATE(2025,3,31)),Sales_Deals!J358,""),"")</f>
        <v/>
      </c>
      <c r="C367">
        <f>IF(Sales_Deals!I358&lt;&gt;"",IF(AND(Sales_Deals!I358&gt;DATE(2024,3,31),Sales_Deals!I358&lt;=DATE(2024,9,30)),Sales_Deals!J358,""),"")</f>
        <v>87</v>
      </c>
    </row>
    <row r="368" spans="1:3" x14ac:dyDescent="0.35">
      <c r="A368">
        <v>358</v>
      </c>
      <c r="B368" t="str">
        <f>IF(Sales_Deals!I359&lt;&gt;"",IF(AND(Sales_Deals!I359&gt;DATE(2024,9,30),Sales_Deals!I359&lt;=DATE(2025,3,31)),Sales_Deals!J359,""),"")</f>
        <v/>
      </c>
      <c r="C368" t="str">
        <f>IF(Sales_Deals!I359&lt;&gt;"",IF(AND(Sales_Deals!I359&gt;DATE(2024,3,31),Sales_Deals!I359&lt;=DATE(2024,9,30)),Sales_Deals!J359,""),"")</f>
        <v/>
      </c>
    </row>
    <row r="369" spans="1:3" x14ac:dyDescent="0.35">
      <c r="A369">
        <v>359</v>
      </c>
      <c r="B369" t="str">
        <f>IF(Sales_Deals!I360&lt;&gt;"",IF(AND(Sales_Deals!I360&gt;DATE(2024,9,30),Sales_Deals!I360&lt;=DATE(2025,3,31)),Sales_Deals!J360,""),"")</f>
        <v/>
      </c>
      <c r="C369" t="str">
        <f>IF(Sales_Deals!I360&lt;&gt;"",IF(AND(Sales_Deals!I360&gt;DATE(2024,3,31),Sales_Deals!I360&lt;=DATE(2024,9,30)),Sales_Deals!J360,""),"")</f>
        <v/>
      </c>
    </row>
    <row r="370" spans="1:3" x14ac:dyDescent="0.35">
      <c r="A370">
        <v>360</v>
      </c>
      <c r="B370" t="str">
        <f>IF(Sales_Deals!I361&lt;&gt;"",IF(AND(Sales_Deals!I361&gt;DATE(2024,9,30),Sales_Deals!I361&lt;=DATE(2025,3,31)),Sales_Deals!J361,""),"")</f>
        <v/>
      </c>
      <c r="C370" t="str">
        <f>IF(Sales_Deals!I361&lt;&gt;"",IF(AND(Sales_Deals!I361&gt;DATE(2024,3,31),Sales_Deals!I361&lt;=DATE(2024,9,30)),Sales_Deals!J361,""),"")</f>
        <v/>
      </c>
    </row>
    <row r="371" spans="1:3" x14ac:dyDescent="0.35">
      <c r="A371">
        <v>361</v>
      </c>
      <c r="B371" t="str">
        <f>IF(Sales_Deals!I362&lt;&gt;"",IF(AND(Sales_Deals!I362&gt;DATE(2024,9,30),Sales_Deals!I362&lt;=DATE(2025,3,31)),Sales_Deals!J362,""),"")</f>
        <v/>
      </c>
      <c r="C371" t="str">
        <f>IF(Sales_Deals!I362&lt;&gt;"",IF(AND(Sales_Deals!I362&gt;DATE(2024,3,31),Sales_Deals!I362&lt;=DATE(2024,9,30)),Sales_Deals!J362,""),"")</f>
        <v/>
      </c>
    </row>
    <row r="372" spans="1:3" x14ac:dyDescent="0.35">
      <c r="A372">
        <v>362</v>
      </c>
      <c r="B372" t="str">
        <f>IF(Sales_Deals!I363&lt;&gt;"",IF(AND(Sales_Deals!I363&gt;DATE(2024,9,30),Sales_Deals!I363&lt;=DATE(2025,3,31)),Sales_Deals!J363,""),"")</f>
        <v/>
      </c>
      <c r="C372" t="str">
        <f>IF(Sales_Deals!I363&lt;&gt;"",IF(AND(Sales_Deals!I363&gt;DATE(2024,3,31),Sales_Deals!I363&lt;=DATE(2024,9,30)),Sales_Deals!J363,""),"")</f>
        <v/>
      </c>
    </row>
    <row r="373" spans="1:3" x14ac:dyDescent="0.35">
      <c r="A373">
        <v>363</v>
      </c>
      <c r="B373" t="str">
        <f>IF(Sales_Deals!I364&lt;&gt;"",IF(AND(Sales_Deals!I364&gt;DATE(2024,9,30),Sales_Deals!I364&lt;=DATE(2025,3,31)),Sales_Deals!J364,""),"")</f>
        <v/>
      </c>
      <c r="C373" t="str">
        <f>IF(Sales_Deals!I364&lt;&gt;"",IF(AND(Sales_Deals!I364&gt;DATE(2024,3,31),Sales_Deals!I364&lt;=DATE(2024,9,30)),Sales_Deals!J364,""),"")</f>
        <v/>
      </c>
    </row>
    <row r="374" spans="1:3" x14ac:dyDescent="0.35">
      <c r="A374">
        <v>364</v>
      </c>
      <c r="B374" t="str">
        <f>IF(Sales_Deals!I365&lt;&gt;"",IF(AND(Sales_Deals!I365&gt;DATE(2024,9,30),Sales_Deals!I365&lt;=DATE(2025,3,31)),Sales_Deals!J365,""),"")</f>
        <v/>
      </c>
      <c r="C374" t="str">
        <f>IF(Sales_Deals!I365&lt;&gt;"",IF(AND(Sales_Deals!I365&gt;DATE(2024,3,31),Sales_Deals!I365&lt;=DATE(2024,9,30)),Sales_Deals!J365,""),"")</f>
        <v/>
      </c>
    </row>
    <row r="375" spans="1:3" x14ac:dyDescent="0.35">
      <c r="A375">
        <v>365</v>
      </c>
      <c r="B375" t="str">
        <f>IF(Sales_Deals!I366&lt;&gt;"",IF(AND(Sales_Deals!I366&gt;DATE(2024,9,30),Sales_Deals!I366&lt;=DATE(2025,3,31)),Sales_Deals!J366,""),"")</f>
        <v/>
      </c>
      <c r="C375" t="str">
        <f>IF(Sales_Deals!I366&lt;&gt;"",IF(AND(Sales_Deals!I366&gt;DATE(2024,3,31),Sales_Deals!I366&lt;=DATE(2024,9,30)),Sales_Deals!J366,""),"")</f>
        <v/>
      </c>
    </row>
    <row r="376" spans="1:3" x14ac:dyDescent="0.35">
      <c r="A376">
        <v>366</v>
      </c>
      <c r="B376" t="str">
        <f>IF(Sales_Deals!I367&lt;&gt;"",IF(AND(Sales_Deals!I367&gt;DATE(2024,9,30),Sales_Deals!I367&lt;=DATE(2025,3,31)),Sales_Deals!J367,""),"")</f>
        <v/>
      </c>
      <c r="C376" t="str">
        <f>IF(Sales_Deals!I367&lt;&gt;"",IF(AND(Sales_Deals!I367&gt;DATE(2024,3,31),Sales_Deals!I367&lt;=DATE(2024,9,30)),Sales_Deals!J367,""),"")</f>
        <v/>
      </c>
    </row>
    <row r="377" spans="1:3" x14ac:dyDescent="0.35">
      <c r="A377">
        <v>367</v>
      </c>
      <c r="B377" t="str">
        <f>IF(Sales_Deals!I368&lt;&gt;"",IF(AND(Sales_Deals!I368&gt;DATE(2024,9,30),Sales_Deals!I368&lt;=DATE(2025,3,31)),Sales_Deals!J368,""),"")</f>
        <v/>
      </c>
      <c r="C377" t="str">
        <f>IF(Sales_Deals!I368&lt;&gt;"",IF(AND(Sales_Deals!I368&gt;DATE(2024,3,31),Sales_Deals!I368&lt;=DATE(2024,9,30)),Sales_Deals!J368,""),"")</f>
        <v/>
      </c>
    </row>
    <row r="378" spans="1:3" x14ac:dyDescent="0.35">
      <c r="A378">
        <v>368</v>
      </c>
      <c r="B378" t="str">
        <f>IF(Sales_Deals!I369&lt;&gt;"",IF(AND(Sales_Deals!I369&gt;DATE(2024,9,30),Sales_Deals!I369&lt;=DATE(2025,3,31)),Sales_Deals!J369,""),"")</f>
        <v/>
      </c>
      <c r="C378" t="str">
        <f>IF(Sales_Deals!I369&lt;&gt;"",IF(AND(Sales_Deals!I369&gt;DATE(2024,3,31),Sales_Deals!I369&lt;=DATE(2024,9,30)),Sales_Deals!J369,""),"")</f>
        <v/>
      </c>
    </row>
    <row r="379" spans="1:3" x14ac:dyDescent="0.35">
      <c r="A379">
        <v>369</v>
      </c>
      <c r="B379" t="str">
        <f>IF(Sales_Deals!I370&lt;&gt;"",IF(AND(Sales_Deals!I370&gt;DATE(2024,9,30),Sales_Deals!I370&lt;=DATE(2025,3,31)),Sales_Deals!J370,""),"")</f>
        <v/>
      </c>
      <c r="C379" t="str">
        <f>IF(Sales_Deals!I370&lt;&gt;"",IF(AND(Sales_Deals!I370&gt;DATE(2024,3,31),Sales_Deals!I370&lt;=DATE(2024,9,30)),Sales_Deals!J370,""),"")</f>
        <v/>
      </c>
    </row>
    <row r="380" spans="1:3" x14ac:dyDescent="0.35">
      <c r="A380">
        <v>370</v>
      </c>
      <c r="B380" t="str">
        <f>IF(Sales_Deals!I371&lt;&gt;"",IF(AND(Sales_Deals!I371&gt;DATE(2024,9,30),Sales_Deals!I371&lt;=DATE(2025,3,31)),Sales_Deals!J371,""),"")</f>
        <v/>
      </c>
      <c r="C380">
        <f>IF(Sales_Deals!I371&lt;&gt;"",IF(AND(Sales_Deals!I371&gt;DATE(2024,3,31),Sales_Deals!I371&lt;=DATE(2024,9,30)),Sales_Deals!J371,""),"")</f>
        <v>172</v>
      </c>
    </row>
    <row r="381" spans="1:3" x14ac:dyDescent="0.35">
      <c r="A381">
        <v>371</v>
      </c>
      <c r="B381" t="str">
        <f>IF(Sales_Deals!I372&lt;&gt;"",IF(AND(Sales_Deals!I372&gt;DATE(2024,9,30),Sales_Deals!I372&lt;=DATE(2025,3,31)),Sales_Deals!J372,""),"")</f>
        <v/>
      </c>
      <c r="C381" t="str">
        <f>IF(Sales_Deals!I372&lt;&gt;"",IF(AND(Sales_Deals!I372&gt;DATE(2024,3,31),Sales_Deals!I372&lt;=DATE(2024,9,30)),Sales_Deals!J372,""),"")</f>
        <v/>
      </c>
    </row>
    <row r="382" spans="1:3" x14ac:dyDescent="0.35">
      <c r="A382">
        <v>372</v>
      </c>
      <c r="B382" t="str">
        <f>IF(Sales_Deals!I373&lt;&gt;"",IF(AND(Sales_Deals!I373&gt;DATE(2024,9,30),Sales_Deals!I373&lt;=DATE(2025,3,31)),Sales_Deals!J373,""),"")</f>
        <v/>
      </c>
      <c r="C382" t="str">
        <f>IF(Sales_Deals!I373&lt;&gt;"",IF(AND(Sales_Deals!I373&gt;DATE(2024,3,31),Sales_Deals!I373&lt;=DATE(2024,9,30)),Sales_Deals!J373,""),"")</f>
        <v/>
      </c>
    </row>
    <row r="383" spans="1:3" x14ac:dyDescent="0.35">
      <c r="A383">
        <v>373</v>
      </c>
      <c r="B383" t="str">
        <f>IF(Sales_Deals!I374&lt;&gt;"",IF(AND(Sales_Deals!I374&gt;DATE(2024,9,30),Sales_Deals!I374&lt;=DATE(2025,3,31)),Sales_Deals!J374,""),"")</f>
        <v/>
      </c>
      <c r="C383" t="str">
        <f>IF(Sales_Deals!I374&lt;&gt;"",IF(AND(Sales_Deals!I374&gt;DATE(2024,3,31),Sales_Deals!I374&lt;=DATE(2024,9,30)),Sales_Deals!J374,""),"")</f>
        <v/>
      </c>
    </row>
    <row r="384" spans="1:3" x14ac:dyDescent="0.35">
      <c r="A384">
        <v>374</v>
      </c>
      <c r="B384" t="str">
        <f>IF(Sales_Deals!I375&lt;&gt;"",IF(AND(Sales_Deals!I375&gt;DATE(2024,9,30),Sales_Deals!I375&lt;=DATE(2025,3,31)),Sales_Deals!J375,""),"")</f>
        <v/>
      </c>
      <c r="C384" t="str">
        <f>IF(Sales_Deals!I375&lt;&gt;"",IF(AND(Sales_Deals!I375&gt;DATE(2024,3,31),Sales_Deals!I375&lt;=DATE(2024,9,30)),Sales_Deals!J375,""),"")</f>
        <v/>
      </c>
    </row>
    <row r="385" spans="1:3" x14ac:dyDescent="0.35">
      <c r="A385">
        <v>375</v>
      </c>
      <c r="B385" t="str">
        <f>IF(Sales_Deals!I376&lt;&gt;"",IF(AND(Sales_Deals!I376&gt;DATE(2024,9,30),Sales_Deals!I376&lt;=DATE(2025,3,31)),Sales_Deals!J376,""),"")</f>
        <v/>
      </c>
      <c r="C385" t="str">
        <f>IF(Sales_Deals!I376&lt;&gt;"",IF(AND(Sales_Deals!I376&gt;DATE(2024,3,31),Sales_Deals!I376&lt;=DATE(2024,9,30)),Sales_Deals!J376,""),"")</f>
        <v/>
      </c>
    </row>
    <row r="386" spans="1:3" x14ac:dyDescent="0.35">
      <c r="A386">
        <v>376</v>
      </c>
      <c r="B386" t="str">
        <f>IF(Sales_Deals!I377&lt;&gt;"",IF(AND(Sales_Deals!I377&gt;DATE(2024,9,30),Sales_Deals!I377&lt;=DATE(2025,3,31)),Sales_Deals!J377,""),"")</f>
        <v/>
      </c>
      <c r="C386" t="str">
        <f>IF(Sales_Deals!I377&lt;&gt;"",IF(AND(Sales_Deals!I377&gt;DATE(2024,3,31),Sales_Deals!I377&lt;=DATE(2024,9,30)),Sales_Deals!J377,""),"")</f>
        <v/>
      </c>
    </row>
    <row r="387" spans="1:3" x14ac:dyDescent="0.35">
      <c r="A387">
        <v>377</v>
      </c>
      <c r="B387" t="str">
        <f>IF(Sales_Deals!I378&lt;&gt;"",IF(AND(Sales_Deals!I378&gt;DATE(2024,9,30),Sales_Deals!I378&lt;=DATE(2025,3,31)),Sales_Deals!J378,""),"")</f>
        <v/>
      </c>
      <c r="C387" t="str">
        <f>IF(Sales_Deals!I378&lt;&gt;"",IF(AND(Sales_Deals!I378&gt;DATE(2024,3,31),Sales_Deals!I378&lt;=DATE(2024,9,30)),Sales_Deals!J378,""),"")</f>
        <v/>
      </c>
    </row>
    <row r="388" spans="1:3" x14ac:dyDescent="0.35">
      <c r="A388">
        <v>378</v>
      </c>
      <c r="B388" t="str">
        <f>IF(Sales_Deals!I379&lt;&gt;"",IF(AND(Sales_Deals!I379&gt;DATE(2024,9,30),Sales_Deals!I379&lt;=DATE(2025,3,31)),Sales_Deals!J379,""),"")</f>
        <v/>
      </c>
      <c r="C388" t="str">
        <f>IF(Sales_Deals!I379&lt;&gt;"",IF(AND(Sales_Deals!I379&gt;DATE(2024,3,31),Sales_Deals!I379&lt;=DATE(2024,9,30)),Sales_Deals!J379,""),"")</f>
        <v/>
      </c>
    </row>
    <row r="389" spans="1:3" x14ac:dyDescent="0.35">
      <c r="A389">
        <v>379</v>
      </c>
      <c r="B389">
        <f>IF(Sales_Deals!I380&lt;&gt;"",IF(AND(Sales_Deals!I380&gt;DATE(2024,9,30),Sales_Deals!I380&lt;=DATE(2025,3,31)),Sales_Deals!J380,""),"")</f>
        <v>53</v>
      </c>
      <c r="C389" t="str">
        <f>IF(Sales_Deals!I380&lt;&gt;"",IF(AND(Sales_Deals!I380&gt;DATE(2024,3,31),Sales_Deals!I380&lt;=DATE(2024,9,30)),Sales_Deals!J380,""),"")</f>
        <v/>
      </c>
    </row>
    <row r="390" spans="1:3" x14ac:dyDescent="0.35">
      <c r="A390">
        <v>380</v>
      </c>
      <c r="B390" t="str">
        <f>IF(Sales_Deals!I381&lt;&gt;"",IF(AND(Sales_Deals!I381&gt;DATE(2024,9,30),Sales_Deals!I381&lt;=DATE(2025,3,31)),Sales_Deals!J381,""),"")</f>
        <v/>
      </c>
      <c r="C390" t="str">
        <f>IF(Sales_Deals!I381&lt;&gt;"",IF(AND(Sales_Deals!I381&gt;DATE(2024,3,31),Sales_Deals!I381&lt;=DATE(2024,9,30)),Sales_Deals!J381,""),"")</f>
        <v/>
      </c>
    </row>
    <row r="391" spans="1:3" x14ac:dyDescent="0.35">
      <c r="A391">
        <v>381</v>
      </c>
      <c r="B391" t="str">
        <f>IF(Sales_Deals!I382&lt;&gt;"",IF(AND(Sales_Deals!I382&gt;DATE(2024,9,30),Sales_Deals!I382&lt;=DATE(2025,3,31)),Sales_Deals!J382,""),"")</f>
        <v/>
      </c>
      <c r="C391" t="str">
        <f>IF(Sales_Deals!I382&lt;&gt;"",IF(AND(Sales_Deals!I382&gt;DATE(2024,3,31),Sales_Deals!I382&lt;=DATE(2024,9,30)),Sales_Deals!J382,""),"")</f>
        <v/>
      </c>
    </row>
    <row r="392" spans="1:3" x14ac:dyDescent="0.35">
      <c r="A392">
        <v>382</v>
      </c>
      <c r="B392" t="str">
        <f>IF(Sales_Deals!I383&lt;&gt;"",IF(AND(Sales_Deals!I383&gt;DATE(2024,9,30),Sales_Deals!I383&lt;=DATE(2025,3,31)),Sales_Deals!J383,""),"")</f>
        <v/>
      </c>
      <c r="C392" t="str">
        <f>IF(Sales_Deals!I383&lt;&gt;"",IF(AND(Sales_Deals!I383&gt;DATE(2024,3,31),Sales_Deals!I383&lt;=DATE(2024,9,30)),Sales_Deals!J383,""),"")</f>
        <v/>
      </c>
    </row>
    <row r="393" spans="1:3" x14ac:dyDescent="0.35">
      <c r="A393">
        <v>383</v>
      </c>
      <c r="B393" t="str">
        <f>IF(Sales_Deals!I384&lt;&gt;"",IF(AND(Sales_Deals!I384&gt;DATE(2024,9,30),Sales_Deals!I384&lt;=DATE(2025,3,31)),Sales_Deals!J384,""),"")</f>
        <v/>
      </c>
      <c r="C393" t="str">
        <f>IF(Sales_Deals!I384&lt;&gt;"",IF(AND(Sales_Deals!I384&gt;DATE(2024,3,31),Sales_Deals!I384&lt;=DATE(2024,9,30)),Sales_Deals!J384,""),"")</f>
        <v/>
      </c>
    </row>
    <row r="394" spans="1:3" x14ac:dyDescent="0.35">
      <c r="A394">
        <v>384</v>
      </c>
      <c r="B394" t="str">
        <f>IF(Sales_Deals!I385&lt;&gt;"",IF(AND(Sales_Deals!I385&gt;DATE(2024,9,30),Sales_Deals!I385&lt;=DATE(2025,3,31)),Sales_Deals!J385,""),"")</f>
        <v/>
      </c>
      <c r="C394" t="str">
        <f>IF(Sales_Deals!I385&lt;&gt;"",IF(AND(Sales_Deals!I385&gt;DATE(2024,3,31),Sales_Deals!I385&lt;=DATE(2024,9,30)),Sales_Deals!J385,""),"")</f>
        <v/>
      </c>
    </row>
    <row r="395" spans="1:3" x14ac:dyDescent="0.35">
      <c r="A395">
        <v>385</v>
      </c>
      <c r="B395" t="str">
        <f>IF(Sales_Deals!I386&lt;&gt;"",IF(AND(Sales_Deals!I386&gt;DATE(2024,9,30),Sales_Deals!I386&lt;=DATE(2025,3,31)),Sales_Deals!J386,""),"")</f>
        <v/>
      </c>
      <c r="C395" t="str">
        <f>IF(Sales_Deals!I386&lt;&gt;"",IF(AND(Sales_Deals!I386&gt;DATE(2024,3,31),Sales_Deals!I386&lt;=DATE(2024,9,30)),Sales_Deals!J386,""),"")</f>
        <v/>
      </c>
    </row>
    <row r="396" spans="1:3" x14ac:dyDescent="0.35">
      <c r="A396">
        <v>386</v>
      </c>
      <c r="B396" t="str">
        <f>IF(Sales_Deals!I387&lt;&gt;"",IF(AND(Sales_Deals!I387&gt;DATE(2024,9,30),Sales_Deals!I387&lt;=DATE(2025,3,31)),Sales_Deals!J387,""),"")</f>
        <v/>
      </c>
      <c r="C396" t="str">
        <f>IF(Sales_Deals!I387&lt;&gt;"",IF(AND(Sales_Deals!I387&gt;DATE(2024,3,31),Sales_Deals!I387&lt;=DATE(2024,9,30)),Sales_Deals!J387,""),"")</f>
        <v/>
      </c>
    </row>
    <row r="397" spans="1:3" x14ac:dyDescent="0.35">
      <c r="A397">
        <v>387</v>
      </c>
      <c r="B397" t="str">
        <f>IF(Sales_Deals!I388&lt;&gt;"",IF(AND(Sales_Deals!I388&gt;DATE(2024,9,30),Sales_Deals!I388&lt;=DATE(2025,3,31)),Sales_Deals!J388,""),"")</f>
        <v/>
      </c>
      <c r="C397" t="str">
        <f>IF(Sales_Deals!I388&lt;&gt;"",IF(AND(Sales_Deals!I388&gt;DATE(2024,3,31),Sales_Deals!I388&lt;=DATE(2024,9,30)),Sales_Deals!J388,""),"")</f>
        <v/>
      </c>
    </row>
    <row r="398" spans="1:3" x14ac:dyDescent="0.35">
      <c r="A398">
        <v>388</v>
      </c>
      <c r="B398" t="str">
        <f>IF(Sales_Deals!I389&lt;&gt;"",IF(AND(Sales_Deals!I389&gt;DATE(2024,9,30),Sales_Deals!I389&lt;=DATE(2025,3,31)),Sales_Deals!J389,""),"")</f>
        <v/>
      </c>
      <c r="C398" t="str">
        <f>IF(Sales_Deals!I389&lt;&gt;"",IF(AND(Sales_Deals!I389&gt;DATE(2024,3,31),Sales_Deals!I389&lt;=DATE(2024,9,30)),Sales_Deals!J389,""),"")</f>
        <v/>
      </c>
    </row>
    <row r="399" spans="1:3" x14ac:dyDescent="0.35">
      <c r="A399">
        <v>389</v>
      </c>
      <c r="B399" t="str">
        <f>IF(Sales_Deals!I390&lt;&gt;"",IF(AND(Sales_Deals!I390&gt;DATE(2024,9,30),Sales_Deals!I390&lt;=DATE(2025,3,31)),Sales_Deals!J390,""),"")</f>
        <v/>
      </c>
      <c r="C399" t="str">
        <f>IF(Sales_Deals!I390&lt;&gt;"",IF(AND(Sales_Deals!I390&gt;DATE(2024,3,31),Sales_Deals!I390&lt;=DATE(2024,9,30)),Sales_Deals!J390,""),"")</f>
        <v/>
      </c>
    </row>
    <row r="400" spans="1:3" x14ac:dyDescent="0.35">
      <c r="A400">
        <v>390</v>
      </c>
      <c r="B400" t="str">
        <f>IF(Sales_Deals!I391&lt;&gt;"",IF(AND(Sales_Deals!I391&gt;DATE(2024,9,30),Sales_Deals!I391&lt;=DATE(2025,3,31)),Sales_Deals!J391,""),"")</f>
        <v/>
      </c>
      <c r="C400" t="str">
        <f>IF(Sales_Deals!I391&lt;&gt;"",IF(AND(Sales_Deals!I391&gt;DATE(2024,3,31),Sales_Deals!I391&lt;=DATE(2024,9,30)),Sales_Deals!J391,""),"")</f>
        <v/>
      </c>
    </row>
    <row r="401" spans="1:3" x14ac:dyDescent="0.35">
      <c r="A401">
        <v>391</v>
      </c>
      <c r="B401" t="str">
        <f>IF(Sales_Deals!I392&lt;&gt;"",IF(AND(Sales_Deals!I392&gt;DATE(2024,9,30),Sales_Deals!I392&lt;=DATE(2025,3,31)),Sales_Deals!J392,""),"")</f>
        <v/>
      </c>
      <c r="C401" t="str">
        <f>IF(Sales_Deals!I392&lt;&gt;"",IF(AND(Sales_Deals!I392&gt;DATE(2024,3,31),Sales_Deals!I392&lt;=DATE(2024,9,30)),Sales_Deals!J392,""),"")</f>
        <v/>
      </c>
    </row>
    <row r="402" spans="1:3" x14ac:dyDescent="0.35">
      <c r="A402">
        <v>392</v>
      </c>
      <c r="B402" t="str">
        <f>IF(Sales_Deals!I393&lt;&gt;"",IF(AND(Sales_Deals!I393&gt;DATE(2024,9,30),Sales_Deals!I393&lt;=DATE(2025,3,31)),Sales_Deals!J393,""),"")</f>
        <v/>
      </c>
      <c r="C402" t="str">
        <f>IF(Sales_Deals!I393&lt;&gt;"",IF(AND(Sales_Deals!I393&gt;DATE(2024,3,31),Sales_Deals!I393&lt;=DATE(2024,9,30)),Sales_Deals!J393,""),"")</f>
        <v/>
      </c>
    </row>
    <row r="403" spans="1:3" x14ac:dyDescent="0.35">
      <c r="A403">
        <v>393</v>
      </c>
      <c r="B403" t="str">
        <f>IF(Sales_Deals!I394&lt;&gt;"",IF(AND(Sales_Deals!I394&gt;DATE(2024,9,30),Sales_Deals!I394&lt;=DATE(2025,3,31)),Sales_Deals!J394,""),"")</f>
        <v/>
      </c>
      <c r="C403" t="str">
        <f>IF(Sales_Deals!I394&lt;&gt;"",IF(AND(Sales_Deals!I394&gt;DATE(2024,3,31),Sales_Deals!I394&lt;=DATE(2024,9,30)),Sales_Deals!J394,""),"")</f>
        <v/>
      </c>
    </row>
    <row r="404" spans="1:3" x14ac:dyDescent="0.35">
      <c r="A404">
        <v>394</v>
      </c>
      <c r="B404" t="str">
        <f>IF(Sales_Deals!I395&lt;&gt;"",IF(AND(Sales_Deals!I395&gt;DATE(2024,9,30),Sales_Deals!I395&lt;=DATE(2025,3,31)),Sales_Deals!J395,""),"")</f>
        <v/>
      </c>
      <c r="C404" t="str">
        <f>IF(Sales_Deals!I395&lt;&gt;"",IF(AND(Sales_Deals!I395&gt;DATE(2024,3,31),Sales_Deals!I395&lt;=DATE(2024,9,30)),Sales_Deals!J395,""),"")</f>
        <v/>
      </c>
    </row>
    <row r="405" spans="1:3" x14ac:dyDescent="0.35">
      <c r="A405">
        <v>395</v>
      </c>
      <c r="B405" t="str">
        <f>IF(Sales_Deals!I396&lt;&gt;"",IF(AND(Sales_Deals!I396&gt;DATE(2024,9,30),Sales_Deals!I396&lt;=DATE(2025,3,31)),Sales_Deals!J396,""),"")</f>
        <v/>
      </c>
      <c r="C405" t="str">
        <f>IF(Sales_Deals!I396&lt;&gt;"",IF(AND(Sales_Deals!I396&gt;DATE(2024,3,31),Sales_Deals!I396&lt;=DATE(2024,9,30)),Sales_Deals!J396,""),"")</f>
        <v/>
      </c>
    </row>
    <row r="406" spans="1:3" x14ac:dyDescent="0.35">
      <c r="A406">
        <v>396</v>
      </c>
      <c r="B406" t="str">
        <f>IF(Sales_Deals!I397&lt;&gt;"",IF(AND(Sales_Deals!I397&gt;DATE(2024,9,30),Sales_Deals!I397&lt;=DATE(2025,3,31)),Sales_Deals!J397,""),"")</f>
        <v/>
      </c>
      <c r="C406" t="str">
        <f>IF(Sales_Deals!I397&lt;&gt;"",IF(AND(Sales_Deals!I397&gt;DATE(2024,3,31),Sales_Deals!I397&lt;=DATE(2024,9,30)),Sales_Deals!J397,""),"")</f>
        <v/>
      </c>
    </row>
    <row r="407" spans="1:3" x14ac:dyDescent="0.35">
      <c r="A407">
        <v>397</v>
      </c>
      <c r="B407" t="str">
        <f>IF(Sales_Deals!I398&lt;&gt;"",IF(AND(Sales_Deals!I398&gt;DATE(2024,9,30),Sales_Deals!I398&lt;=DATE(2025,3,31)),Sales_Deals!J398,""),"")</f>
        <v/>
      </c>
      <c r="C407" t="str">
        <f>IF(Sales_Deals!I398&lt;&gt;"",IF(AND(Sales_Deals!I398&gt;DATE(2024,3,31),Sales_Deals!I398&lt;=DATE(2024,9,30)),Sales_Deals!J398,""),"")</f>
        <v/>
      </c>
    </row>
    <row r="408" spans="1:3" x14ac:dyDescent="0.35">
      <c r="A408">
        <v>398</v>
      </c>
      <c r="B408" t="str">
        <f>IF(Sales_Deals!I399&lt;&gt;"",IF(AND(Sales_Deals!I399&gt;DATE(2024,9,30),Sales_Deals!I399&lt;=DATE(2025,3,31)),Sales_Deals!J399,""),"")</f>
        <v/>
      </c>
      <c r="C408" t="str">
        <f>IF(Sales_Deals!I399&lt;&gt;"",IF(AND(Sales_Deals!I399&gt;DATE(2024,3,31),Sales_Deals!I399&lt;=DATE(2024,9,30)),Sales_Deals!J399,""),"")</f>
        <v/>
      </c>
    </row>
    <row r="409" spans="1:3" x14ac:dyDescent="0.35">
      <c r="A409">
        <v>399</v>
      </c>
      <c r="B409">
        <f>IF(Sales_Deals!I400&lt;&gt;"",IF(AND(Sales_Deals!I400&gt;DATE(2024,9,30),Sales_Deals!I400&lt;=DATE(2025,3,31)),Sales_Deals!J400,""),"")</f>
        <v>166</v>
      </c>
      <c r="C409" t="str">
        <f>IF(Sales_Deals!I400&lt;&gt;"",IF(AND(Sales_Deals!I400&gt;DATE(2024,3,31),Sales_Deals!I400&lt;=DATE(2024,9,30)),Sales_Deals!J400,""),"")</f>
        <v/>
      </c>
    </row>
    <row r="410" spans="1:3" x14ac:dyDescent="0.35">
      <c r="A410">
        <v>400</v>
      </c>
      <c r="B410" t="str">
        <f>IF(Sales_Deals!I401&lt;&gt;"",IF(AND(Sales_Deals!I401&gt;DATE(2024,9,30),Sales_Deals!I401&lt;=DATE(2025,3,31)),Sales_Deals!J401,""),"")</f>
        <v/>
      </c>
      <c r="C410">
        <f>IF(Sales_Deals!I401&lt;&gt;"",IF(AND(Sales_Deals!I401&gt;DATE(2024,3,31),Sales_Deals!I401&lt;=DATE(2024,9,30)),Sales_Deals!J401,""),"")</f>
        <v>180</v>
      </c>
    </row>
    <row r="411" spans="1:3" x14ac:dyDescent="0.35">
      <c r="A411">
        <v>401</v>
      </c>
      <c r="B411" t="str">
        <f>IF(Sales_Deals!I402&lt;&gt;"",IF(AND(Sales_Deals!I402&gt;DATE(2024,9,30),Sales_Deals!I402&lt;=DATE(2025,3,31)),Sales_Deals!J402,""),"")</f>
        <v/>
      </c>
      <c r="C411" t="str">
        <f>IF(Sales_Deals!I402&lt;&gt;"",IF(AND(Sales_Deals!I402&gt;DATE(2024,3,31),Sales_Deals!I402&lt;=DATE(2024,9,30)),Sales_Deals!J402,""),"")</f>
        <v/>
      </c>
    </row>
    <row r="412" spans="1:3" x14ac:dyDescent="0.35">
      <c r="A412">
        <v>402</v>
      </c>
      <c r="B412" t="str">
        <f>IF(Sales_Deals!I403&lt;&gt;"",IF(AND(Sales_Deals!I403&gt;DATE(2024,9,30),Sales_Deals!I403&lt;=DATE(2025,3,31)),Sales_Deals!J403,""),"")</f>
        <v/>
      </c>
      <c r="C412" t="str">
        <f>IF(Sales_Deals!I403&lt;&gt;"",IF(AND(Sales_Deals!I403&gt;DATE(2024,3,31),Sales_Deals!I403&lt;=DATE(2024,9,30)),Sales_Deals!J403,""),"")</f>
        <v/>
      </c>
    </row>
    <row r="413" spans="1:3" x14ac:dyDescent="0.35">
      <c r="A413">
        <v>403</v>
      </c>
      <c r="B413" t="str">
        <f>IF(Sales_Deals!I404&lt;&gt;"",IF(AND(Sales_Deals!I404&gt;DATE(2024,9,30),Sales_Deals!I404&lt;=DATE(2025,3,31)),Sales_Deals!J404,""),"")</f>
        <v/>
      </c>
      <c r="C413" t="str">
        <f>IF(Sales_Deals!I404&lt;&gt;"",IF(AND(Sales_Deals!I404&gt;DATE(2024,3,31),Sales_Deals!I404&lt;=DATE(2024,9,30)),Sales_Deals!J404,""),"")</f>
        <v/>
      </c>
    </row>
    <row r="414" spans="1:3" x14ac:dyDescent="0.35">
      <c r="A414">
        <v>404</v>
      </c>
      <c r="B414" t="str">
        <f>IF(Sales_Deals!I405&lt;&gt;"",IF(AND(Sales_Deals!I405&gt;DATE(2024,9,30),Sales_Deals!I405&lt;=DATE(2025,3,31)),Sales_Deals!J405,""),"")</f>
        <v/>
      </c>
      <c r="C414" t="str">
        <f>IF(Sales_Deals!I405&lt;&gt;"",IF(AND(Sales_Deals!I405&gt;DATE(2024,3,31),Sales_Deals!I405&lt;=DATE(2024,9,30)),Sales_Deals!J405,""),"")</f>
        <v/>
      </c>
    </row>
    <row r="415" spans="1:3" x14ac:dyDescent="0.35">
      <c r="A415">
        <v>405</v>
      </c>
      <c r="B415" t="str">
        <f>IF(Sales_Deals!I406&lt;&gt;"",IF(AND(Sales_Deals!I406&gt;DATE(2024,9,30),Sales_Deals!I406&lt;=DATE(2025,3,31)),Sales_Deals!J406,""),"")</f>
        <v/>
      </c>
      <c r="C415" t="str">
        <f>IF(Sales_Deals!I406&lt;&gt;"",IF(AND(Sales_Deals!I406&gt;DATE(2024,3,31),Sales_Deals!I406&lt;=DATE(2024,9,30)),Sales_Deals!J406,""),"")</f>
        <v/>
      </c>
    </row>
    <row r="416" spans="1:3" x14ac:dyDescent="0.35">
      <c r="A416">
        <v>406</v>
      </c>
      <c r="B416" t="str">
        <f>IF(Sales_Deals!I407&lt;&gt;"",IF(AND(Sales_Deals!I407&gt;DATE(2024,9,30),Sales_Deals!I407&lt;=DATE(2025,3,31)),Sales_Deals!J407,""),"")</f>
        <v/>
      </c>
      <c r="C416" t="str">
        <f>IF(Sales_Deals!I407&lt;&gt;"",IF(AND(Sales_Deals!I407&gt;DATE(2024,3,31),Sales_Deals!I407&lt;=DATE(2024,9,30)),Sales_Deals!J407,""),"")</f>
        <v/>
      </c>
    </row>
    <row r="417" spans="1:3" x14ac:dyDescent="0.35">
      <c r="A417">
        <v>407</v>
      </c>
      <c r="B417">
        <f>IF(Sales_Deals!I408&lt;&gt;"",IF(AND(Sales_Deals!I408&gt;DATE(2024,9,30),Sales_Deals!I408&lt;=DATE(2025,3,31)),Sales_Deals!J408,""),"")</f>
        <v>18</v>
      </c>
      <c r="C417" t="str">
        <f>IF(Sales_Deals!I408&lt;&gt;"",IF(AND(Sales_Deals!I408&gt;DATE(2024,3,31),Sales_Deals!I408&lt;=DATE(2024,9,30)),Sales_Deals!J408,""),"")</f>
        <v/>
      </c>
    </row>
    <row r="418" spans="1:3" x14ac:dyDescent="0.35">
      <c r="A418">
        <v>408</v>
      </c>
      <c r="B418" t="str">
        <f>IF(Sales_Deals!I409&lt;&gt;"",IF(AND(Sales_Deals!I409&gt;DATE(2024,9,30),Sales_Deals!I409&lt;=DATE(2025,3,31)),Sales_Deals!J409,""),"")</f>
        <v/>
      </c>
      <c r="C418" t="str">
        <f>IF(Sales_Deals!I409&lt;&gt;"",IF(AND(Sales_Deals!I409&gt;DATE(2024,3,31),Sales_Deals!I409&lt;=DATE(2024,9,30)),Sales_Deals!J409,""),"")</f>
        <v/>
      </c>
    </row>
    <row r="419" spans="1:3" x14ac:dyDescent="0.35">
      <c r="A419">
        <v>409</v>
      </c>
      <c r="B419" t="str">
        <f>IF(Sales_Deals!I410&lt;&gt;"",IF(AND(Sales_Deals!I410&gt;DATE(2024,9,30),Sales_Deals!I410&lt;=DATE(2025,3,31)),Sales_Deals!J410,""),"")</f>
        <v/>
      </c>
      <c r="C419" t="str">
        <f>IF(Sales_Deals!I410&lt;&gt;"",IF(AND(Sales_Deals!I410&gt;DATE(2024,3,31),Sales_Deals!I410&lt;=DATE(2024,9,30)),Sales_Deals!J410,""),"")</f>
        <v/>
      </c>
    </row>
    <row r="420" spans="1:3" x14ac:dyDescent="0.35">
      <c r="A420">
        <v>410</v>
      </c>
      <c r="B420" t="str">
        <f>IF(Sales_Deals!I411&lt;&gt;"",IF(AND(Sales_Deals!I411&gt;DATE(2024,9,30),Sales_Deals!I411&lt;=DATE(2025,3,31)),Sales_Deals!J411,""),"")</f>
        <v/>
      </c>
      <c r="C420" t="str">
        <f>IF(Sales_Deals!I411&lt;&gt;"",IF(AND(Sales_Deals!I411&gt;DATE(2024,3,31),Sales_Deals!I411&lt;=DATE(2024,9,30)),Sales_Deals!J411,""),"")</f>
        <v/>
      </c>
    </row>
    <row r="421" spans="1:3" x14ac:dyDescent="0.35">
      <c r="A421">
        <v>411</v>
      </c>
      <c r="B421" t="str">
        <f>IF(Sales_Deals!I412&lt;&gt;"",IF(AND(Sales_Deals!I412&gt;DATE(2024,9,30),Sales_Deals!I412&lt;=DATE(2025,3,31)),Sales_Deals!J412,""),"")</f>
        <v/>
      </c>
      <c r="C421" t="str">
        <f>IF(Sales_Deals!I412&lt;&gt;"",IF(AND(Sales_Deals!I412&gt;DATE(2024,3,31),Sales_Deals!I412&lt;=DATE(2024,9,30)),Sales_Deals!J412,""),"")</f>
        <v/>
      </c>
    </row>
    <row r="422" spans="1:3" x14ac:dyDescent="0.35">
      <c r="A422">
        <v>412</v>
      </c>
      <c r="B422" t="str">
        <f>IF(Sales_Deals!I413&lt;&gt;"",IF(AND(Sales_Deals!I413&gt;DATE(2024,9,30),Sales_Deals!I413&lt;=DATE(2025,3,31)),Sales_Deals!J413,""),"")</f>
        <v/>
      </c>
      <c r="C422" t="str">
        <f>IF(Sales_Deals!I413&lt;&gt;"",IF(AND(Sales_Deals!I413&gt;DATE(2024,3,31),Sales_Deals!I413&lt;=DATE(2024,9,30)),Sales_Deals!J413,""),"")</f>
        <v/>
      </c>
    </row>
    <row r="423" spans="1:3" x14ac:dyDescent="0.35">
      <c r="A423">
        <v>413</v>
      </c>
      <c r="B423" t="str">
        <f>IF(Sales_Deals!I414&lt;&gt;"",IF(AND(Sales_Deals!I414&gt;DATE(2024,9,30),Sales_Deals!I414&lt;=DATE(2025,3,31)),Sales_Deals!J414,""),"")</f>
        <v/>
      </c>
      <c r="C423" t="str">
        <f>IF(Sales_Deals!I414&lt;&gt;"",IF(AND(Sales_Deals!I414&gt;DATE(2024,3,31),Sales_Deals!I414&lt;=DATE(2024,9,30)),Sales_Deals!J414,""),"")</f>
        <v/>
      </c>
    </row>
    <row r="424" spans="1:3" x14ac:dyDescent="0.35">
      <c r="A424">
        <v>414</v>
      </c>
      <c r="B424" t="str">
        <f>IF(Sales_Deals!I415&lt;&gt;"",IF(AND(Sales_Deals!I415&gt;DATE(2024,9,30),Sales_Deals!I415&lt;=DATE(2025,3,31)),Sales_Deals!J415,""),"")</f>
        <v/>
      </c>
      <c r="C424" t="str">
        <f>IF(Sales_Deals!I415&lt;&gt;"",IF(AND(Sales_Deals!I415&gt;DATE(2024,3,31),Sales_Deals!I415&lt;=DATE(2024,9,30)),Sales_Deals!J415,""),"")</f>
        <v/>
      </c>
    </row>
    <row r="425" spans="1:3" x14ac:dyDescent="0.35">
      <c r="A425">
        <v>415</v>
      </c>
      <c r="B425" t="str">
        <f>IF(Sales_Deals!I416&lt;&gt;"",IF(AND(Sales_Deals!I416&gt;DATE(2024,9,30),Sales_Deals!I416&lt;=DATE(2025,3,31)),Sales_Deals!J416,""),"")</f>
        <v/>
      </c>
      <c r="C425" t="str">
        <f>IF(Sales_Deals!I416&lt;&gt;"",IF(AND(Sales_Deals!I416&gt;DATE(2024,3,31),Sales_Deals!I416&lt;=DATE(2024,9,30)),Sales_Deals!J416,""),"")</f>
        <v/>
      </c>
    </row>
    <row r="426" spans="1:3" x14ac:dyDescent="0.35">
      <c r="A426">
        <v>416</v>
      </c>
      <c r="B426" t="str">
        <f>IF(Sales_Deals!I417&lt;&gt;"",IF(AND(Sales_Deals!I417&gt;DATE(2024,9,30),Sales_Deals!I417&lt;=DATE(2025,3,31)),Sales_Deals!J417,""),"")</f>
        <v/>
      </c>
      <c r="C426" t="str">
        <f>IF(Sales_Deals!I417&lt;&gt;"",IF(AND(Sales_Deals!I417&gt;DATE(2024,3,31),Sales_Deals!I417&lt;=DATE(2024,9,30)),Sales_Deals!J417,""),"")</f>
        <v/>
      </c>
    </row>
    <row r="427" spans="1:3" x14ac:dyDescent="0.35">
      <c r="A427">
        <v>417</v>
      </c>
      <c r="B427" t="str">
        <f>IF(Sales_Deals!I418&lt;&gt;"",IF(AND(Sales_Deals!I418&gt;DATE(2024,9,30),Sales_Deals!I418&lt;=DATE(2025,3,31)),Sales_Deals!J418,""),"")</f>
        <v/>
      </c>
      <c r="C427" t="str">
        <f>IF(Sales_Deals!I418&lt;&gt;"",IF(AND(Sales_Deals!I418&gt;DATE(2024,3,31),Sales_Deals!I418&lt;=DATE(2024,9,30)),Sales_Deals!J418,""),"")</f>
        <v/>
      </c>
    </row>
    <row r="428" spans="1:3" x14ac:dyDescent="0.35">
      <c r="A428">
        <v>418</v>
      </c>
      <c r="B428" t="str">
        <f>IF(Sales_Deals!I419&lt;&gt;"",IF(AND(Sales_Deals!I419&gt;DATE(2024,9,30),Sales_Deals!I419&lt;=DATE(2025,3,31)),Sales_Deals!J419,""),"")</f>
        <v/>
      </c>
      <c r="C428" t="str">
        <f>IF(Sales_Deals!I419&lt;&gt;"",IF(AND(Sales_Deals!I419&gt;DATE(2024,3,31),Sales_Deals!I419&lt;=DATE(2024,9,30)),Sales_Deals!J419,""),"")</f>
        <v/>
      </c>
    </row>
    <row r="429" spans="1:3" x14ac:dyDescent="0.35">
      <c r="A429">
        <v>419</v>
      </c>
      <c r="B429" t="str">
        <f>IF(Sales_Deals!I420&lt;&gt;"",IF(AND(Sales_Deals!I420&gt;DATE(2024,9,30),Sales_Deals!I420&lt;=DATE(2025,3,31)),Sales_Deals!J420,""),"")</f>
        <v/>
      </c>
      <c r="C429" t="str">
        <f>IF(Sales_Deals!I420&lt;&gt;"",IF(AND(Sales_Deals!I420&gt;DATE(2024,3,31),Sales_Deals!I420&lt;=DATE(2024,9,30)),Sales_Deals!J420,""),"")</f>
        <v/>
      </c>
    </row>
    <row r="430" spans="1:3" x14ac:dyDescent="0.35">
      <c r="A430">
        <v>420</v>
      </c>
      <c r="B430" t="str">
        <f>IF(Sales_Deals!I421&lt;&gt;"",IF(AND(Sales_Deals!I421&gt;DATE(2024,9,30),Sales_Deals!I421&lt;=DATE(2025,3,31)),Sales_Deals!J421,""),"")</f>
        <v/>
      </c>
      <c r="C430" t="str">
        <f>IF(Sales_Deals!I421&lt;&gt;"",IF(AND(Sales_Deals!I421&gt;DATE(2024,3,31),Sales_Deals!I421&lt;=DATE(2024,9,30)),Sales_Deals!J421,""),"")</f>
        <v/>
      </c>
    </row>
    <row r="431" spans="1:3" x14ac:dyDescent="0.35">
      <c r="A431">
        <v>421</v>
      </c>
      <c r="B431" t="str">
        <f>IF(Sales_Deals!I422&lt;&gt;"",IF(AND(Sales_Deals!I422&gt;DATE(2024,9,30),Sales_Deals!I422&lt;=DATE(2025,3,31)),Sales_Deals!J422,""),"")</f>
        <v/>
      </c>
      <c r="C431" t="str">
        <f>IF(Sales_Deals!I422&lt;&gt;"",IF(AND(Sales_Deals!I422&gt;DATE(2024,3,31),Sales_Deals!I422&lt;=DATE(2024,9,30)),Sales_Deals!J422,""),"")</f>
        <v/>
      </c>
    </row>
    <row r="432" spans="1:3" x14ac:dyDescent="0.35">
      <c r="A432">
        <v>422</v>
      </c>
      <c r="B432" t="str">
        <f>IF(Sales_Deals!I423&lt;&gt;"",IF(AND(Sales_Deals!I423&gt;DATE(2024,9,30),Sales_Deals!I423&lt;=DATE(2025,3,31)),Sales_Deals!J423,""),"")</f>
        <v/>
      </c>
      <c r="C432" t="str">
        <f>IF(Sales_Deals!I423&lt;&gt;"",IF(AND(Sales_Deals!I423&gt;DATE(2024,3,31),Sales_Deals!I423&lt;=DATE(2024,9,30)),Sales_Deals!J423,""),"")</f>
        <v/>
      </c>
    </row>
    <row r="433" spans="1:3" x14ac:dyDescent="0.35">
      <c r="A433">
        <v>423</v>
      </c>
      <c r="B433" t="str">
        <f>IF(Sales_Deals!I424&lt;&gt;"",IF(AND(Sales_Deals!I424&gt;DATE(2024,9,30),Sales_Deals!I424&lt;=DATE(2025,3,31)),Sales_Deals!J424,""),"")</f>
        <v/>
      </c>
      <c r="C433" t="str">
        <f>IF(Sales_Deals!I424&lt;&gt;"",IF(AND(Sales_Deals!I424&gt;DATE(2024,3,31),Sales_Deals!I424&lt;=DATE(2024,9,30)),Sales_Deals!J424,""),"")</f>
        <v/>
      </c>
    </row>
    <row r="434" spans="1:3" x14ac:dyDescent="0.35">
      <c r="A434">
        <v>424</v>
      </c>
      <c r="B434" t="str">
        <f>IF(Sales_Deals!I425&lt;&gt;"",IF(AND(Sales_Deals!I425&gt;DATE(2024,9,30),Sales_Deals!I425&lt;=DATE(2025,3,31)),Sales_Deals!J425,""),"")</f>
        <v/>
      </c>
      <c r="C434" t="str">
        <f>IF(Sales_Deals!I425&lt;&gt;"",IF(AND(Sales_Deals!I425&gt;DATE(2024,3,31),Sales_Deals!I425&lt;=DATE(2024,9,30)),Sales_Deals!J425,""),"")</f>
        <v/>
      </c>
    </row>
    <row r="435" spans="1:3" x14ac:dyDescent="0.35">
      <c r="A435">
        <v>425</v>
      </c>
      <c r="B435" t="str">
        <f>IF(Sales_Deals!I426&lt;&gt;"",IF(AND(Sales_Deals!I426&gt;DATE(2024,9,30),Sales_Deals!I426&lt;=DATE(2025,3,31)),Sales_Deals!J426,""),"")</f>
        <v/>
      </c>
      <c r="C435" t="str">
        <f>IF(Sales_Deals!I426&lt;&gt;"",IF(AND(Sales_Deals!I426&gt;DATE(2024,3,31),Sales_Deals!I426&lt;=DATE(2024,9,30)),Sales_Deals!J426,""),"")</f>
        <v/>
      </c>
    </row>
    <row r="436" spans="1:3" x14ac:dyDescent="0.35">
      <c r="A436">
        <v>426</v>
      </c>
      <c r="B436" t="str">
        <f>IF(Sales_Deals!I427&lt;&gt;"",IF(AND(Sales_Deals!I427&gt;DATE(2024,9,30),Sales_Deals!I427&lt;=DATE(2025,3,31)),Sales_Deals!J427,""),"")</f>
        <v/>
      </c>
      <c r="C436" t="str">
        <f>IF(Sales_Deals!I427&lt;&gt;"",IF(AND(Sales_Deals!I427&gt;DATE(2024,3,31),Sales_Deals!I427&lt;=DATE(2024,9,30)),Sales_Deals!J427,""),"")</f>
        <v/>
      </c>
    </row>
    <row r="437" spans="1:3" x14ac:dyDescent="0.35">
      <c r="A437">
        <v>427</v>
      </c>
      <c r="B437" t="str">
        <f>IF(Sales_Deals!I428&lt;&gt;"",IF(AND(Sales_Deals!I428&gt;DATE(2024,9,30),Sales_Deals!I428&lt;=DATE(2025,3,31)),Sales_Deals!J428,""),"")</f>
        <v/>
      </c>
      <c r="C437" t="str">
        <f>IF(Sales_Deals!I428&lt;&gt;"",IF(AND(Sales_Deals!I428&gt;DATE(2024,3,31),Sales_Deals!I428&lt;=DATE(2024,9,30)),Sales_Deals!J428,""),"")</f>
        <v/>
      </c>
    </row>
    <row r="438" spans="1:3" x14ac:dyDescent="0.35">
      <c r="A438">
        <v>428</v>
      </c>
      <c r="B438" t="str">
        <f>IF(Sales_Deals!I429&lt;&gt;"",IF(AND(Sales_Deals!I429&gt;DATE(2024,9,30),Sales_Deals!I429&lt;=DATE(2025,3,31)),Sales_Deals!J429,""),"")</f>
        <v/>
      </c>
      <c r="C438">
        <f>IF(Sales_Deals!I429&lt;&gt;"",IF(AND(Sales_Deals!I429&gt;DATE(2024,3,31),Sales_Deals!I429&lt;=DATE(2024,9,30)),Sales_Deals!J429,""),"")</f>
        <v>55</v>
      </c>
    </row>
    <row r="439" spans="1:3" x14ac:dyDescent="0.35">
      <c r="A439">
        <v>429</v>
      </c>
      <c r="B439" t="str">
        <f>IF(Sales_Deals!I430&lt;&gt;"",IF(AND(Sales_Deals!I430&gt;DATE(2024,9,30),Sales_Deals!I430&lt;=DATE(2025,3,31)),Sales_Deals!J430,""),"")</f>
        <v/>
      </c>
      <c r="C439" t="str">
        <f>IF(Sales_Deals!I430&lt;&gt;"",IF(AND(Sales_Deals!I430&gt;DATE(2024,3,31),Sales_Deals!I430&lt;=DATE(2024,9,30)),Sales_Deals!J430,""),"")</f>
        <v/>
      </c>
    </row>
    <row r="440" spans="1:3" x14ac:dyDescent="0.35">
      <c r="A440">
        <v>430</v>
      </c>
      <c r="B440" t="str">
        <f>IF(Sales_Deals!I431&lt;&gt;"",IF(AND(Sales_Deals!I431&gt;DATE(2024,9,30),Sales_Deals!I431&lt;=DATE(2025,3,31)),Sales_Deals!J431,""),"")</f>
        <v/>
      </c>
      <c r="C440" t="str">
        <f>IF(Sales_Deals!I431&lt;&gt;"",IF(AND(Sales_Deals!I431&gt;DATE(2024,3,31),Sales_Deals!I431&lt;=DATE(2024,9,30)),Sales_Deals!J431,""),"")</f>
        <v/>
      </c>
    </row>
    <row r="441" spans="1:3" x14ac:dyDescent="0.35">
      <c r="A441">
        <v>431</v>
      </c>
      <c r="B441" t="str">
        <f>IF(Sales_Deals!I432&lt;&gt;"",IF(AND(Sales_Deals!I432&gt;DATE(2024,9,30),Sales_Deals!I432&lt;=DATE(2025,3,31)),Sales_Deals!J432,""),"")</f>
        <v/>
      </c>
      <c r="C441" t="str">
        <f>IF(Sales_Deals!I432&lt;&gt;"",IF(AND(Sales_Deals!I432&gt;DATE(2024,3,31),Sales_Deals!I432&lt;=DATE(2024,9,30)),Sales_Deals!J432,""),"")</f>
        <v/>
      </c>
    </row>
    <row r="442" spans="1:3" x14ac:dyDescent="0.35">
      <c r="A442">
        <v>432</v>
      </c>
      <c r="B442" t="str">
        <f>IF(Sales_Deals!I433&lt;&gt;"",IF(AND(Sales_Deals!I433&gt;DATE(2024,9,30),Sales_Deals!I433&lt;=DATE(2025,3,31)),Sales_Deals!J433,""),"")</f>
        <v/>
      </c>
      <c r="C442" t="str">
        <f>IF(Sales_Deals!I433&lt;&gt;"",IF(AND(Sales_Deals!I433&gt;DATE(2024,3,31),Sales_Deals!I433&lt;=DATE(2024,9,30)),Sales_Deals!J433,""),"")</f>
        <v/>
      </c>
    </row>
    <row r="443" spans="1:3" x14ac:dyDescent="0.35">
      <c r="A443">
        <v>433</v>
      </c>
      <c r="B443" t="str">
        <f>IF(Sales_Deals!I434&lt;&gt;"",IF(AND(Sales_Deals!I434&gt;DATE(2024,9,30),Sales_Deals!I434&lt;=DATE(2025,3,31)),Sales_Deals!J434,""),"")</f>
        <v/>
      </c>
      <c r="C443" t="str">
        <f>IF(Sales_Deals!I434&lt;&gt;"",IF(AND(Sales_Deals!I434&gt;DATE(2024,3,31),Sales_Deals!I434&lt;=DATE(2024,9,30)),Sales_Deals!J434,""),"")</f>
        <v/>
      </c>
    </row>
    <row r="444" spans="1:3" x14ac:dyDescent="0.35">
      <c r="A444">
        <v>434</v>
      </c>
      <c r="B444" t="str">
        <f>IF(Sales_Deals!I435&lt;&gt;"",IF(AND(Sales_Deals!I435&gt;DATE(2024,9,30),Sales_Deals!I435&lt;=DATE(2025,3,31)),Sales_Deals!J435,""),"")</f>
        <v/>
      </c>
      <c r="C444" t="str">
        <f>IF(Sales_Deals!I435&lt;&gt;"",IF(AND(Sales_Deals!I435&gt;DATE(2024,3,31),Sales_Deals!I435&lt;=DATE(2024,9,30)),Sales_Deals!J435,""),"")</f>
        <v/>
      </c>
    </row>
    <row r="445" spans="1:3" x14ac:dyDescent="0.35">
      <c r="A445">
        <v>435</v>
      </c>
      <c r="B445">
        <f>IF(Sales_Deals!I436&lt;&gt;"",IF(AND(Sales_Deals!I436&gt;DATE(2024,9,30),Sales_Deals!I436&lt;=DATE(2025,3,31)),Sales_Deals!J436,""),"")</f>
        <v>128</v>
      </c>
      <c r="C445" t="str">
        <f>IF(Sales_Deals!I436&lt;&gt;"",IF(AND(Sales_Deals!I436&gt;DATE(2024,3,31),Sales_Deals!I436&lt;=DATE(2024,9,30)),Sales_Deals!J436,""),"")</f>
        <v/>
      </c>
    </row>
    <row r="446" spans="1:3" x14ac:dyDescent="0.35">
      <c r="A446">
        <v>436</v>
      </c>
      <c r="B446" t="str">
        <f>IF(Sales_Deals!I437&lt;&gt;"",IF(AND(Sales_Deals!I437&gt;DATE(2024,9,30),Sales_Deals!I437&lt;=DATE(2025,3,31)),Sales_Deals!J437,""),"")</f>
        <v/>
      </c>
      <c r="C446" t="str">
        <f>IF(Sales_Deals!I437&lt;&gt;"",IF(AND(Sales_Deals!I437&gt;DATE(2024,3,31),Sales_Deals!I437&lt;=DATE(2024,9,30)),Sales_Deals!J437,""),"")</f>
        <v/>
      </c>
    </row>
    <row r="447" spans="1:3" x14ac:dyDescent="0.35">
      <c r="A447">
        <v>437</v>
      </c>
      <c r="B447" t="str">
        <f>IF(Sales_Deals!I438&lt;&gt;"",IF(AND(Sales_Deals!I438&gt;DATE(2024,9,30),Sales_Deals!I438&lt;=DATE(2025,3,31)),Sales_Deals!J438,""),"")</f>
        <v/>
      </c>
      <c r="C447" t="str">
        <f>IF(Sales_Deals!I438&lt;&gt;"",IF(AND(Sales_Deals!I438&gt;DATE(2024,3,31),Sales_Deals!I438&lt;=DATE(2024,9,30)),Sales_Deals!J438,""),"")</f>
        <v/>
      </c>
    </row>
    <row r="448" spans="1:3" x14ac:dyDescent="0.35">
      <c r="A448">
        <v>438</v>
      </c>
      <c r="B448" t="str">
        <f>IF(Sales_Deals!I439&lt;&gt;"",IF(AND(Sales_Deals!I439&gt;DATE(2024,9,30),Sales_Deals!I439&lt;=DATE(2025,3,31)),Sales_Deals!J439,""),"")</f>
        <v/>
      </c>
      <c r="C448" t="str">
        <f>IF(Sales_Deals!I439&lt;&gt;"",IF(AND(Sales_Deals!I439&gt;DATE(2024,3,31),Sales_Deals!I439&lt;=DATE(2024,9,30)),Sales_Deals!J439,""),"")</f>
        <v/>
      </c>
    </row>
    <row r="449" spans="1:3" x14ac:dyDescent="0.35">
      <c r="A449">
        <v>439</v>
      </c>
      <c r="B449" t="str">
        <f>IF(Sales_Deals!I440&lt;&gt;"",IF(AND(Sales_Deals!I440&gt;DATE(2024,9,30),Sales_Deals!I440&lt;=DATE(2025,3,31)),Sales_Deals!J440,""),"")</f>
        <v/>
      </c>
      <c r="C449" t="str">
        <f>IF(Sales_Deals!I440&lt;&gt;"",IF(AND(Sales_Deals!I440&gt;DATE(2024,3,31),Sales_Deals!I440&lt;=DATE(2024,9,30)),Sales_Deals!J440,""),"")</f>
        <v/>
      </c>
    </row>
    <row r="450" spans="1:3" x14ac:dyDescent="0.35">
      <c r="A450">
        <v>440</v>
      </c>
      <c r="B450" t="str">
        <f>IF(Sales_Deals!I441&lt;&gt;"",IF(AND(Sales_Deals!I441&gt;DATE(2024,9,30),Sales_Deals!I441&lt;=DATE(2025,3,31)),Sales_Deals!J441,""),"")</f>
        <v/>
      </c>
      <c r="C450" t="str">
        <f>IF(Sales_Deals!I441&lt;&gt;"",IF(AND(Sales_Deals!I441&gt;DATE(2024,3,31),Sales_Deals!I441&lt;=DATE(2024,9,30)),Sales_Deals!J441,""),"")</f>
        <v/>
      </c>
    </row>
    <row r="451" spans="1:3" x14ac:dyDescent="0.35">
      <c r="A451">
        <v>441</v>
      </c>
      <c r="B451" t="str">
        <f>IF(Sales_Deals!I442&lt;&gt;"",IF(AND(Sales_Deals!I442&gt;DATE(2024,9,30),Sales_Deals!I442&lt;=DATE(2025,3,31)),Sales_Deals!J442,""),"")</f>
        <v/>
      </c>
      <c r="C451" t="str">
        <f>IF(Sales_Deals!I442&lt;&gt;"",IF(AND(Sales_Deals!I442&gt;DATE(2024,3,31),Sales_Deals!I442&lt;=DATE(2024,9,30)),Sales_Deals!J442,""),"")</f>
        <v/>
      </c>
    </row>
    <row r="452" spans="1:3" x14ac:dyDescent="0.35">
      <c r="A452">
        <v>442</v>
      </c>
      <c r="B452" t="str">
        <f>IF(Sales_Deals!I443&lt;&gt;"",IF(AND(Sales_Deals!I443&gt;DATE(2024,9,30),Sales_Deals!I443&lt;=DATE(2025,3,31)),Sales_Deals!J443,""),"")</f>
        <v/>
      </c>
      <c r="C452" t="str">
        <f>IF(Sales_Deals!I443&lt;&gt;"",IF(AND(Sales_Deals!I443&gt;DATE(2024,3,31),Sales_Deals!I443&lt;=DATE(2024,9,30)),Sales_Deals!J443,""),"")</f>
        <v/>
      </c>
    </row>
    <row r="453" spans="1:3" x14ac:dyDescent="0.35">
      <c r="A453">
        <v>443</v>
      </c>
      <c r="B453" t="str">
        <f>IF(Sales_Deals!I444&lt;&gt;"",IF(AND(Sales_Deals!I444&gt;DATE(2024,9,30),Sales_Deals!I444&lt;=DATE(2025,3,31)),Sales_Deals!J444,""),"")</f>
        <v/>
      </c>
      <c r="C453" t="str">
        <f>IF(Sales_Deals!I444&lt;&gt;"",IF(AND(Sales_Deals!I444&gt;DATE(2024,3,31),Sales_Deals!I444&lt;=DATE(2024,9,30)),Sales_Deals!J444,""),"")</f>
        <v/>
      </c>
    </row>
    <row r="454" spans="1:3" x14ac:dyDescent="0.35">
      <c r="A454">
        <v>444</v>
      </c>
      <c r="B454" t="str">
        <f>IF(Sales_Deals!I445&lt;&gt;"",IF(AND(Sales_Deals!I445&gt;DATE(2024,9,30),Sales_Deals!I445&lt;=DATE(2025,3,31)),Sales_Deals!J445,""),"")</f>
        <v/>
      </c>
      <c r="C454">
        <f>IF(Sales_Deals!I445&lt;&gt;"",IF(AND(Sales_Deals!I445&gt;DATE(2024,3,31),Sales_Deals!I445&lt;=DATE(2024,9,30)),Sales_Deals!J445,""),"")</f>
        <v>160</v>
      </c>
    </row>
    <row r="455" spans="1:3" x14ac:dyDescent="0.35">
      <c r="A455">
        <v>445</v>
      </c>
      <c r="B455" t="str">
        <f>IF(Sales_Deals!I446&lt;&gt;"",IF(AND(Sales_Deals!I446&gt;DATE(2024,9,30),Sales_Deals!I446&lt;=DATE(2025,3,31)),Sales_Deals!J446,""),"")</f>
        <v/>
      </c>
      <c r="C455" t="str">
        <f>IF(Sales_Deals!I446&lt;&gt;"",IF(AND(Sales_Deals!I446&gt;DATE(2024,3,31),Sales_Deals!I446&lt;=DATE(2024,9,30)),Sales_Deals!J446,""),"")</f>
        <v/>
      </c>
    </row>
    <row r="456" spans="1:3" x14ac:dyDescent="0.35">
      <c r="A456">
        <v>446</v>
      </c>
      <c r="B456" t="str">
        <f>IF(Sales_Deals!I447&lt;&gt;"",IF(AND(Sales_Deals!I447&gt;DATE(2024,9,30),Sales_Deals!I447&lt;=DATE(2025,3,31)),Sales_Deals!J447,""),"")</f>
        <v/>
      </c>
      <c r="C456" t="str">
        <f>IF(Sales_Deals!I447&lt;&gt;"",IF(AND(Sales_Deals!I447&gt;DATE(2024,3,31),Sales_Deals!I447&lt;=DATE(2024,9,30)),Sales_Deals!J447,""),"")</f>
        <v/>
      </c>
    </row>
    <row r="457" spans="1:3" x14ac:dyDescent="0.35">
      <c r="A457">
        <v>447</v>
      </c>
      <c r="B457" t="str">
        <f>IF(Sales_Deals!I448&lt;&gt;"",IF(AND(Sales_Deals!I448&gt;DATE(2024,9,30),Sales_Deals!I448&lt;=DATE(2025,3,31)),Sales_Deals!J448,""),"")</f>
        <v/>
      </c>
      <c r="C457" t="str">
        <f>IF(Sales_Deals!I448&lt;&gt;"",IF(AND(Sales_Deals!I448&gt;DATE(2024,3,31),Sales_Deals!I448&lt;=DATE(2024,9,30)),Sales_Deals!J448,""),"")</f>
        <v/>
      </c>
    </row>
    <row r="458" spans="1:3" x14ac:dyDescent="0.35">
      <c r="A458">
        <v>448</v>
      </c>
      <c r="B458">
        <f>IF(Sales_Deals!I449&lt;&gt;"",IF(AND(Sales_Deals!I449&gt;DATE(2024,9,30),Sales_Deals!I449&lt;=DATE(2025,3,31)),Sales_Deals!J449,""),"")</f>
        <v>79</v>
      </c>
      <c r="C458" t="str">
        <f>IF(Sales_Deals!I449&lt;&gt;"",IF(AND(Sales_Deals!I449&gt;DATE(2024,3,31),Sales_Deals!I449&lt;=DATE(2024,9,30)),Sales_Deals!J449,""),"")</f>
        <v/>
      </c>
    </row>
    <row r="459" spans="1:3" x14ac:dyDescent="0.35">
      <c r="A459">
        <v>449</v>
      </c>
      <c r="B459" t="str">
        <f>IF(Sales_Deals!I450&lt;&gt;"",IF(AND(Sales_Deals!I450&gt;DATE(2024,9,30),Sales_Deals!I450&lt;=DATE(2025,3,31)),Sales_Deals!J450,""),"")</f>
        <v/>
      </c>
      <c r="C459" t="str">
        <f>IF(Sales_Deals!I450&lt;&gt;"",IF(AND(Sales_Deals!I450&gt;DATE(2024,3,31),Sales_Deals!I450&lt;=DATE(2024,9,30)),Sales_Deals!J450,""),"")</f>
        <v/>
      </c>
    </row>
    <row r="460" spans="1:3" x14ac:dyDescent="0.35">
      <c r="A460">
        <v>450</v>
      </c>
      <c r="B460" t="str">
        <f>IF(Sales_Deals!I451&lt;&gt;"",IF(AND(Sales_Deals!I451&gt;DATE(2024,9,30),Sales_Deals!I451&lt;=DATE(2025,3,31)),Sales_Deals!J451,""),"")</f>
        <v/>
      </c>
      <c r="C460" t="str">
        <f>IF(Sales_Deals!I451&lt;&gt;"",IF(AND(Sales_Deals!I451&gt;DATE(2024,3,31),Sales_Deals!I451&lt;=DATE(2024,9,30)),Sales_Deals!J451,""),"")</f>
        <v/>
      </c>
    </row>
    <row r="461" spans="1:3" x14ac:dyDescent="0.35">
      <c r="A461">
        <v>451</v>
      </c>
      <c r="B461" t="str">
        <f>IF(Sales_Deals!I452&lt;&gt;"",IF(AND(Sales_Deals!I452&gt;DATE(2024,9,30),Sales_Deals!I452&lt;=DATE(2025,3,31)),Sales_Deals!J452,""),"")</f>
        <v/>
      </c>
      <c r="C461" t="str">
        <f>IF(Sales_Deals!I452&lt;&gt;"",IF(AND(Sales_Deals!I452&gt;DATE(2024,3,31),Sales_Deals!I452&lt;=DATE(2024,9,30)),Sales_Deals!J452,""),"")</f>
        <v/>
      </c>
    </row>
    <row r="462" spans="1:3" x14ac:dyDescent="0.35">
      <c r="A462">
        <v>452</v>
      </c>
      <c r="B462">
        <f>IF(Sales_Deals!I453&lt;&gt;"",IF(AND(Sales_Deals!I453&gt;DATE(2024,9,30),Sales_Deals!I453&lt;=DATE(2025,3,31)),Sales_Deals!J453,""),"")</f>
        <v>19</v>
      </c>
      <c r="C462" t="str">
        <f>IF(Sales_Deals!I453&lt;&gt;"",IF(AND(Sales_Deals!I453&gt;DATE(2024,3,31),Sales_Deals!I453&lt;=DATE(2024,9,30)),Sales_Deals!J453,""),"")</f>
        <v/>
      </c>
    </row>
    <row r="463" spans="1:3" x14ac:dyDescent="0.35">
      <c r="A463">
        <v>453</v>
      </c>
      <c r="B463" t="str">
        <f>IF(Sales_Deals!I454&lt;&gt;"",IF(AND(Sales_Deals!I454&gt;DATE(2024,9,30),Sales_Deals!I454&lt;=DATE(2025,3,31)),Sales_Deals!J454,""),"")</f>
        <v/>
      </c>
      <c r="C463" t="str">
        <f>IF(Sales_Deals!I454&lt;&gt;"",IF(AND(Sales_Deals!I454&gt;DATE(2024,3,31),Sales_Deals!I454&lt;=DATE(2024,9,30)),Sales_Deals!J454,""),"")</f>
        <v/>
      </c>
    </row>
    <row r="464" spans="1:3" x14ac:dyDescent="0.35">
      <c r="A464">
        <v>454</v>
      </c>
      <c r="B464" t="str">
        <f>IF(Sales_Deals!I455&lt;&gt;"",IF(AND(Sales_Deals!I455&gt;DATE(2024,9,30),Sales_Deals!I455&lt;=DATE(2025,3,31)),Sales_Deals!J455,""),"")</f>
        <v/>
      </c>
      <c r="C464">
        <f>IF(Sales_Deals!I455&lt;&gt;"",IF(AND(Sales_Deals!I455&gt;DATE(2024,3,31),Sales_Deals!I455&lt;=DATE(2024,9,30)),Sales_Deals!J455,""),"")</f>
        <v>125</v>
      </c>
    </row>
    <row r="465" spans="1:3" x14ac:dyDescent="0.35">
      <c r="A465">
        <v>455</v>
      </c>
      <c r="B465" t="str">
        <f>IF(Sales_Deals!I456&lt;&gt;"",IF(AND(Sales_Deals!I456&gt;DATE(2024,9,30),Sales_Deals!I456&lt;=DATE(2025,3,31)),Sales_Deals!J456,""),"")</f>
        <v/>
      </c>
      <c r="C465" t="str">
        <f>IF(Sales_Deals!I456&lt;&gt;"",IF(AND(Sales_Deals!I456&gt;DATE(2024,3,31),Sales_Deals!I456&lt;=DATE(2024,9,30)),Sales_Deals!J456,""),"")</f>
        <v/>
      </c>
    </row>
    <row r="466" spans="1:3" x14ac:dyDescent="0.35">
      <c r="A466">
        <v>456</v>
      </c>
      <c r="B466" t="str">
        <f>IF(Sales_Deals!I457&lt;&gt;"",IF(AND(Sales_Deals!I457&gt;DATE(2024,9,30),Sales_Deals!I457&lt;=DATE(2025,3,31)),Sales_Deals!J457,""),"")</f>
        <v/>
      </c>
      <c r="C466" t="str">
        <f>IF(Sales_Deals!I457&lt;&gt;"",IF(AND(Sales_Deals!I457&gt;DATE(2024,3,31),Sales_Deals!I457&lt;=DATE(2024,9,30)),Sales_Deals!J457,""),"")</f>
        <v/>
      </c>
    </row>
    <row r="467" spans="1:3" x14ac:dyDescent="0.35">
      <c r="A467">
        <v>457</v>
      </c>
      <c r="B467" t="str">
        <f>IF(Sales_Deals!I458&lt;&gt;"",IF(AND(Sales_Deals!I458&gt;DATE(2024,9,30),Sales_Deals!I458&lt;=DATE(2025,3,31)),Sales_Deals!J458,""),"")</f>
        <v/>
      </c>
      <c r="C467" t="str">
        <f>IF(Sales_Deals!I458&lt;&gt;"",IF(AND(Sales_Deals!I458&gt;DATE(2024,3,31),Sales_Deals!I458&lt;=DATE(2024,9,30)),Sales_Deals!J458,""),"")</f>
        <v/>
      </c>
    </row>
    <row r="468" spans="1:3" x14ac:dyDescent="0.35">
      <c r="A468">
        <v>458</v>
      </c>
      <c r="B468" t="str">
        <f>IF(Sales_Deals!I459&lt;&gt;"",IF(AND(Sales_Deals!I459&gt;DATE(2024,9,30),Sales_Deals!I459&lt;=DATE(2025,3,31)),Sales_Deals!J459,""),"")</f>
        <v/>
      </c>
      <c r="C468" t="str">
        <f>IF(Sales_Deals!I459&lt;&gt;"",IF(AND(Sales_Deals!I459&gt;DATE(2024,3,31),Sales_Deals!I459&lt;=DATE(2024,9,30)),Sales_Deals!J459,""),"")</f>
        <v/>
      </c>
    </row>
    <row r="469" spans="1:3" x14ac:dyDescent="0.35">
      <c r="A469">
        <v>459</v>
      </c>
      <c r="B469" t="str">
        <f>IF(Sales_Deals!I460&lt;&gt;"",IF(AND(Sales_Deals!I460&gt;DATE(2024,9,30),Sales_Deals!I460&lt;=DATE(2025,3,31)),Sales_Deals!J460,""),"")</f>
        <v/>
      </c>
      <c r="C469" t="str">
        <f>IF(Sales_Deals!I460&lt;&gt;"",IF(AND(Sales_Deals!I460&gt;DATE(2024,3,31),Sales_Deals!I460&lt;=DATE(2024,9,30)),Sales_Deals!J460,""),"")</f>
        <v/>
      </c>
    </row>
    <row r="470" spans="1:3" x14ac:dyDescent="0.35">
      <c r="A470">
        <v>460</v>
      </c>
      <c r="B470" t="str">
        <f>IF(Sales_Deals!I461&lt;&gt;"",IF(AND(Sales_Deals!I461&gt;DATE(2024,9,30),Sales_Deals!I461&lt;=DATE(2025,3,31)),Sales_Deals!J461,""),"")</f>
        <v/>
      </c>
      <c r="C470" t="str">
        <f>IF(Sales_Deals!I461&lt;&gt;"",IF(AND(Sales_Deals!I461&gt;DATE(2024,3,31),Sales_Deals!I461&lt;=DATE(2024,9,30)),Sales_Deals!J461,""),"")</f>
        <v/>
      </c>
    </row>
    <row r="471" spans="1:3" x14ac:dyDescent="0.35">
      <c r="A471">
        <v>461</v>
      </c>
      <c r="B471">
        <f>IF(Sales_Deals!I462&lt;&gt;"",IF(AND(Sales_Deals!I462&gt;DATE(2024,9,30),Sales_Deals!I462&lt;=DATE(2025,3,31)),Sales_Deals!J462,""),"")</f>
        <v>102</v>
      </c>
      <c r="C471" t="str">
        <f>IF(Sales_Deals!I462&lt;&gt;"",IF(AND(Sales_Deals!I462&gt;DATE(2024,3,31),Sales_Deals!I462&lt;=DATE(2024,9,30)),Sales_Deals!J462,""),"")</f>
        <v/>
      </c>
    </row>
    <row r="472" spans="1:3" x14ac:dyDescent="0.35">
      <c r="A472">
        <v>462</v>
      </c>
      <c r="B472" t="str">
        <f>IF(Sales_Deals!I463&lt;&gt;"",IF(AND(Sales_Deals!I463&gt;DATE(2024,9,30),Sales_Deals!I463&lt;=DATE(2025,3,31)),Sales_Deals!J463,""),"")</f>
        <v/>
      </c>
      <c r="C472" t="str">
        <f>IF(Sales_Deals!I463&lt;&gt;"",IF(AND(Sales_Deals!I463&gt;DATE(2024,3,31),Sales_Deals!I463&lt;=DATE(2024,9,30)),Sales_Deals!J463,""),"")</f>
        <v/>
      </c>
    </row>
    <row r="473" spans="1:3" x14ac:dyDescent="0.35">
      <c r="A473">
        <v>463</v>
      </c>
      <c r="B473" t="str">
        <f>IF(Sales_Deals!I464&lt;&gt;"",IF(AND(Sales_Deals!I464&gt;DATE(2024,9,30),Sales_Deals!I464&lt;=DATE(2025,3,31)),Sales_Deals!J464,""),"")</f>
        <v/>
      </c>
      <c r="C473" t="str">
        <f>IF(Sales_Deals!I464&lt;&gt;"",IF(AND(Sales_Deals!I464&gt;DATE(2024,3,31),Sales_Deals!I464&lt;=DATE(2024,9,30)),Sales_Deals!J464,""),"")</f>
        <v/>
      </c>
    </row>
    <row r="474" spans="1:3" x14ac:dyDescent="0.35">
      <c r="A474">
        <v>464</v>
      </c>
      <c r="B474" t="str">
        <f>IF(Sales_Deals!I465&lt;&gt;"",IF(AND(Sales_Deals!I465&gt;DATE(2024,9,30),Sales_Deals!I465&lt;=DATE(2025,3,31)),Sales_Deals!J465,""),"")</f>
        <v/>
      </c>
      <c r="C474">
        <f>IF(Sales_Deals!I465&lt;&gt;"",IF(AND(Sales_Deals!I465&gt;DATE(2024,3,31),Sales_Deals!I465&lt;=DATE(2024,9,30)),Sales_Deals!J465,""),"")</f>
        <v>176</v>
      </c>
    </row>
    <row r="475" spans="1:3" x14ac:dyDescent="0.35">
      <c r="A475">
        <v>465</v>
      </c>
      <c r="B475" t="str">
        <f>IF(Sales_Deals!I466&lt;&gt;"",IF(AND(Sales_Deals!I466&gt;DATE(2024,9,30),Sales_Deals!I466&lt;=DATE(2025,3,31)),Sales_Deals!J466,""),"")</f>
        <v/>
      </c>
      <c r="C475" t="str">
        <f>IF(Sales_Deals!I466&lt;&gt;"",IF(AND(Sales_Deals!I466&gt;DATE(2024,3,31),Sales_Deals!I466&lt;=DATE(2024,9,30)),Sales_Deals!J466,""),"")</f>
        <v/>
      </c>
    </row>
    <row r="476" spans="1:3" x14ac:dyDescent="0.35">
      <c r="A476">
        <v>466</v>
      </c>
      <c r="B476">
        <f>IF(Sales_Deals!I467&lt;&gt;"",IF(AND(Sales_Deals!I467&gt;DATE(2024,9,30),Sales_Deals!I467&lt;=DATE(2025,3,31)),Sales_Deals!J467,""),"")</f>
        <v>144</v>
      </c>
      <c r="C476" t="str">
        <f>IF(Sales_Deals!I467&lt;&gt;"",IF(AND(Sales_Deals!I467&gt;DATE(2024,3,31),Sales_Deals!I467&lt;=DATE(2024,9,30)),Sales_Deals!J467,""),"")</f>
        <v/>
      </c>
    </row>
    <row r="477" spans="1:3" x14ac:dyDescent="0.35">
      <c r="A477">
        <v>467</v>
      </c>
      <c r="B477" t="str">
        <f>IF(Sales_Deals!I468&lt;&gt;"",IF(AND(Sales_Deals!I468&gt;DATE(2024,9,30),Sales_Deals!I468&lt;=DATE(2025,3,31)),Sales_Deals!J468,""),"")</f>
        <v/>
      </c>
      <c r="C477" t="str">
        <f>IF(Sales_Deals!I468&lt;&gt;"",IF(AND(Sales_Deals!I468&gt;DATE(2024,3,31),Sales_Deals!I468&lt;=DATE(2024,9,30)),Sales_Deals!J468,""),"")</f>
        <v/>
      </c>
    </row>
    <row r="478" spans="1:3" x14ac:dyDescent="0.35">
      <c r="A478">
        <v>468</v>
      </c>
      <c r="B478" t="str">
        <f>IF(Sales_Deals!I469&lt;&gt;"",IF(AND(Sales_Deals!I469&gt;DATE(2024,9,30),Sales_Deals!I469&lt;=DATE(2025,3,31)),Sales_Deals!J469,""),"")</f>
        <v/>
      </c>
      <c r="C478" t="str">
        <f>IF(Sales_Deals!I469&lt;&gt;"",IF(AND(Sales_Deals!I469&gt;DATE(2024,3,31),Sales_Deals!I469&lt;=DATE(2024,9,30)),Sales_Deals!J469,""),"")</f>
        <v/>
      </c>
    </row>
    <row r="479" spans="1:3" x14ac:dyDescent="0.35">
      <c r="A479">
        <v>469</v>
      </c>
      <c r="B479">
        <f>IF(Sales_Deals!I470&lt;&gt;"",IF(AND(Sales_Deals!I470&gt;DATE(2024,9,30),Sales_Deals!I470&lt;=DATE(2025,3,31)),Sales_Deals!J470,""),"")</f>
        <v>105</v>
      </c>
      <c r="C479" t="str">
        <f>IF(Sales_Deals!I470&lt;&gt;"",IF(AND(Sales_Deals!I470&gt;DATE(2024,3,31),Sales_Deals!I470&lt;=DATE(2024,9,30)),Sales_Deals!J470,""),"")</f>
        <v/>
      </c>
    </row>
    <row r="480" spans="1:3" x14ac:dyDescent="0.35">
      <c r="A480">
        <v>470</v>
      </c>
      <c r="B480" t="str">
        <f>IF(Sales_Deals!I471&lt;&gt;"",IF(AND(Sales_Deals!I471&gt;DATE(2024,9,30),Sales_Deals!I471&lt;=DATE(2025,3,31)),Sales_Deals!J471,""),"")</f>
        <v/>
      </c>
      <c r="C480">
        <f>IF(Sales_Deals!I471&lt;&gt;"",IF(AND(Sales_Deals!I471&gt;DATE(2024,3,31),Sales_Deals!I471&lt;=DATE(2024,9,30)),Sales_Deals!J471,""),"")</f>
        <v>22</v>
      </c>
    </row>
    <row r="481" spans="1:3" x14ac:dyDescent="0.35">
      <c r="A481">
        <v>471</v>
      </c>
      <c r="B481" t="str">
        <f>IF(Sales_Deals!I472&lt;&gt;"",IF(AND(Sales_Deals!I472&gt;DATE(2024,9,30),Sales_Deals!I472&lt;=DATE(2025,3,31)),Sales_Deals!J472,""),"")</f>
        <v/>
      </c>
      <c r="C481" t="str">
        <f>IF(Sales_Deals!I472&lt;&gt;"",IF(AND(Sales_Deals!I472&gt;DATE(2024,3,31),Sales_Deals!I472&lt;=DATE(2024,9,30)),Sales_Deals!J472,""),"")</f>
        <v/>
      </c>
    </row>
    <row r="482" spans="1:3" x14ac:dyDescent="0.35">
      <c r="A482">
        <v>472</v>
      </c>
      <c r="B482" t="str">
        <f>IF(Sales_Deals!I473&lt;&gt;"",IF(AND(Sales_Deals!I473&gt;DATE(2024,9,30),Sales_Deals!I473&lt;=DATE(2025,3,31)),Sales_Deals!J473,""),"")</f>
        <v/>
      </c>
      <c r="C482" t="str">
        <f>IF(Sales_Deals!I473&lt;&gt;"",IF(AND(Sales_Deals!I473&gt;DATE(2024,3,31),Sales_Deals!I473&lt;=DATE(2024,9,30)),Sales_Deals!J473,""),"")</f>
        <v/>
      </c>
    </row>
    <row r="483" spans="1:3" x14ac:dyDescent="0.35">
      <c r="A483">
        <v>473</v>
      </c>
      <c r="B483" t="str">
        <f>IF(Sales_Deals!I474&lt;&gt;"",IF(AND(Sales_Deals!I474&gt;DATE(2024,9,30),Sales_Deals!I474&lt;=DATE(2025,3,31)),Sales_Deals!J474,""),"")</f>
        <v/>
      </c>
      <c r="C483" t="str">
        <f>IF(Sales_Deals!I474&lt;&gt;"",IF(AND(Sales_Deals!I474&gt;DATE(2024,3,31),Sales_Deals!I474&lt;=DATE(2024,9,30)),Sales_Deals!J474,""),"")</f>
        <v/>
      </c>
    </row>
    <row r="484" spans="1:3" x14ac:dyDescent="0.35">
      <c r="A484">
        <v>474</v>
      </c>
      <c r="B484" t="str">
        <f>IF(Sales_Deals!I475&lt;&gt;"",IF(AND(Sales_Deals!I475&gt;DATE(2024,9,30),Sales_Deals!I475&lt;=DATE(2025,3,31)),Sales_Deals!J475,""),"")</f>
        <v/>
      </c>
      <c r="C484" t="str">
        <f>IF(Sales_Deals!I475&lt;&gt;"",IF(AND(Sales_Deals!I475&gt;DATE(2024,3,31),Sales_Deals!I475&lt;=DATE(2024,9,30)),Sales_Deals!J475,""),"")</f>
        <v/>
      </c>
    </row>
    <row r="485" spans="1:3" x14ac:dyDescent="0.35">
      <c r="A485">
        <v>475</v>
      </c>
      <c r="B485">
        <f>IF(Sales_Deals!I476&lt;&gt;"",IF(AND(Sales_Deals!I476&gt;DATE(2024,9,30),Sales_Deals!I476&lt;=DATE(2025,3,31)),Sales_Deals!J476,""),"")</f>
        <v>100</v>
      </c>
      <c r="C485" t="str">
        <f>IF(Sales_Deals!I476&lt;&gt;"",IF(AND(Sales_Deals!I476&gt;DATE(2024,3,31),Sales_Deals!I476&lt;=DATE(2024,9,30)),Sales_Deals!J476,""),"")</f>
        <v/>
      </c>
    </row>
    <row r="486" spans="1:3" x14ac:dyDescent="0.35">
      <c r="A486">
        <v>476</v>
      </c>
      <c r="B486" t="str">
        <f>IF(Sales_Deals!I477&lt;&gt;"",IF(AND(Sales_Deals!I477&gt;DATE(2024,9,30),Sales_Deals!I477&lt;=DATE(2025,3,31)),Sales_Deals!J477,""),"")</f>
        <v/>
      </c>
      <c r="C486" t="str">
        <f>IF(Sales_Deals!I477&lt;&gt;"",IF(AND(Sales_Deals!I477&gt;DATE(2024,3,31),Sales_Deals!I477&lt;=DATE(2024,9,30)),Sales_Deals!J477,""),"")</f>
        <v/>
      </c>
    </row>
    <row r="487" spans="1:3" x14ac:dyDescent="0.35">
      <c r="A487">
        <v>477</v>
      </c>
      <c r="B487" t="str">
        <f>IF(Sales_Deals!I478&lt;&gt;"",IF(AND(Sales_Deals!I478&gt;DATE(2024,9,30),Sales_Deals!I478&lt;=DATE(2025,3,31)),Sales_Deals!J478,""),"")</f>
        <v/>
      </c>
      <c r="C487" t="str">
        <f>IF(Sales_Deals!I478&lt;&gt;"",IF(AND(Sales_Deals!I478&gt;DATE(2024,3,31),Sales_Deals!I478&lt;=DATE(2024,9,30)),Sales_Deals!J478,""),"")</f>
        <v/>
      </c>
    </row>
    <row r="488" spans="1:3" x14ac:dyDescent="0.35">
      <c r="A488">
        <v>478</v>
      </c>
      <c r="B488" t="str">
        <f>IF(Sales_Deals!I479&lt;&gt;"",IF(AND(Sales_Deals!I479&gt;DATE(2024,9,30),Sales_Deals!I479&lt;=DATE(2025,3,31)),Sales_Deals!J479,""),"")</f>
        <v/>
      </c>
      <c r="C488" t="str">
        <f>IF(Sales_Deals!I479&lt;&gt;"",IF(AND(Sales_Deals!I479&gt;DATE(2024,3,31),Sales_Deals!I479&lt;=DATE(2024,9,30)),Sales_Deals!J479,""),"")</f>
        <v/>
      </c>
    </row>
    <row r="489" spans="1:3" x14ac:dyDescent="0.35">
      <c r="A489">
        <v>479</v>
      </c>
      <c r="B489" t="str">
        <f>IF(Sales_Deals!I480&lt;&gt;"",IF(AND(Sales_Deals!I480&gt;DATE(2024,9,30),Sales_Deals!I480&lt;=DATE(2025,3,31)),Sales_Deals!J480,""),"")</f>
        <v/>
      </c>
      <c r="C489" t="str">
        <f>IF(Sales_Deals!I480&lt;&gt;"",IF(AND(Sales_Deals!I480&gt;DATE(2024,3,31),Sales_Deals!I480&lt;=DATE(2024,9,30)),Sales_Deals!J480,""),"")</f>
        <v/>
      </c>
    </row>
    <row r="490" spans="1:3" x14ac:dyDescent="0.35">
      <c r="A490">
        <v>480</v>
      </c>
      <c r="B490" t="str">
        <f>IF(Sales_Deals!I481&lt;&gt;"",IF(AND(Sales_Deals!I481&gt;DATE(2024,9,30),Sales_Deals!I481&lt;=DATE(2025,3,31)),Sales_Deals!J481,""),"")</f>
        <v/>
      </c>
      <c r="C490" t="str">
        <f>IF(Sales_Deals!I481&lt;&gt;"",IF(AND(Sales_Deals!I481&gt;DATE(2024,3,31),Sales_Deals!I481&lt;=DATE(2024,9,30)),Sales_Deals!J481,""),"")</f>
        <v/>
      </c>
    </row>
    <row r="491" spans="1:3" x14ac:dyDescent="0.35">
      <c r="A491">
        <v>481</v>
      </c>
      <c r="B491" t="str">
        <f>IF(Sales_Deals!I482&lt;&gt;"",IF(AND(Sales_Deals!I482&gt;DATE(2024,9,30),Sales_Deals!I482&lt;=DATE(2025,3,31)),Sales_Deals!J482,""),"")</f>
        <v/>
      </c>
      <c r="C491" t="str">
        <f>IF(Sales_Deals!I482&lt;&gt;"",IF(AND(Sales_Deals!I482&gt;DATE(2024,3,31),Sales_Deals!I482&lt;=DATE(2024,9,30)),Sales_Deals!J482,""),"")</f>
        <v/>
      </c>
    </row>
    <row r="492" spans="1:3" x14ac:dyDescent="0.35">
      <c r="A492">
        <v>482</v>
      </c>
      <c r="B492" t="str">
        <f>IF(Sales_Deals!I483&lt;&gt;"",IF(AND(Sales_Deals!I483&gt;DATE(2024,9,30),Sales_Deals!I483&lt;=DATE(2025,3,31)),Sales_Deals!J483,""),"")</f>
        <v/>
      </c>
      <c r="C492" t="str">
        <f>IF(Sales_Deals!I483&lt;&gt;"",IF(AND(Sales_Deals!I483&gt;DATE(2024,3,31),Sales_Deals!I483&lt;=DATE(2024,9,30)),Sales_Deals!J483,""),"")</f>
        <v/>
      </c>
    </row>
    <row r="493" spans="1:3" x14ac:dyDescent="0.35">
      <c r="A493">
        <v>483</v>
      </c>
      <c r="B493" t="str">
        <f>IF(Sales_Deals!I484&lt;&gt;"",IF(AND(Sales_Deals!I484&gt;DATE(2024,9,30),Sales_Deals!I484&lt;=DATE(2025,3,31)),Sales_Deals!J484,""),"")</f>
        <v/>
      </c>
      <c r="C493" t="str">
        <f>IF(Sales_Deals!I484&lt;&gt;"",IF(AND(Sales_Deals!I484&gt;DATE(2024,3,31),Sales_Deals!I484&lt;=DATE(2024,9,30)),Sales_Deals!J484,""),"")</f>
        <v/>
      </c>
    </row>
    <row r="494" spans="1:3" x14ac:dyDescent="0.35">
      <c r="A494">
        <v>484</v>
      </c>
      <c r="B494" t="str">
        <f>IF(Sales_Deals!I485&lt;&gt;"",IF(AND(Sales_Deals!I485&gt;DATE(2024,9,30),Sales_Deals!I485&lt;=DATE(2025,3,31)),Sales_Deals!J485,""),"")</f>
        <v/>
      </c>
      <c r="C494">
        <f>IF(Sales_Deals!I485&lt;&gt;"",IF(AND(Sales_Deals!I485&gt;DATE(2024,3,31),Sales_Deals!I485&lt;=DATE(2024,9,30)),Sales_Deals!J485,""),"")</f>
        <v>25</v>
      </c>
    </row>
    <row r="495" spans="1:3" x14ac:dyDescent="0.35">
      <c r="A495">
        <v>485</v>
      </c>
      <c r="B495" t="str">
        <f>IF(Sales_Deals!I486&lt;&gt;"",IF(AND(Sales_Deals!I486&gt;DATE(2024,9,30),Sales_Deals!I486&lt;=DATE(2025,3,31)),Sales_Deals!J486,""),"")</f>
        <v/>
      </c>
      <c r="C495">
        <f>IF(Sales_Deals!I486&lt;&gt;"",IF(AND(Sales_Deals!I486&gt;DATE(2024,3,31),Sales_Deals!I486&lt;=DATE(2024,9,30)),Sales_Deals!J486,""),"")</f>
        <v>149</v>
      </c>
    </row>
    <row r="496" spans="1:3" x14ac:dyDescent="0.35">
      <c r="A496">
        <v>486</v>
      </c>
      <c r="B496">
        <f>IF(Sales_Deals!I487&lt;&gt;"",IF(AND(Sales_Deals!I487&gt;DATE(2024,9,30),Sales_Deals!I487&lt;=DATE(2025,3,31)),Sales_Deals!J487,""),"")</f>
        <v>107</v>
      </c>
      <c r="C496" t="str">
        <f>IF(Sales_Deals!I487&lt;&gt;"",IF(AND(Sales_Deals!I487&gt;DATE(2024,3,31),Sales_Deals!I487&lt;=DATE(2024,9,30)),Sales_Deals!J487,""),"")</f>
        <v/>
      </c>
    </row>
    <row r="497" spans="1:3" x14ac:dyDescent="0.35">
      <c r="A497">
        <v>487</v>
      </c>
      <c r="B497" t="str">
        <f>IF(Sales_Deals!I488&lt;&gt;"",IF(AND(Sales_Deals!I488&gt;DATE(2024,9,30),Sales_Deals!I488&lt;=DATE(2025,3,31)),Sales_Deals!J488,""),"")</f>
        <v/>
      </c>
      <c r="C497" t="str">
        <f>IF(Sales_Deals!I488&lt;&gt;"",IF(AND(Sales_Deals!I488&gt;DATE(2024,3,31),Sales_Deals!I488&lt;=DATE(2024,9,30)),Sales_Deals!J488,""),"")</f>
        <v/>
      </c>
    </row>
    <row r="498" spans="1:3" x14ac:dyDescent="0.35">
      <c r="A498">
        <v>488</v>
      </c>
      <c r="B498" t="str">
        <f>IF(Sales_Deals!I489&lt;&gt;"",IF(AND(Sales_Deals!I489&gt;DATE(2024,9,30),Sales_Deals!I489&lt;=DATE(2025,3,31)),Sales_Deals!J489,""),"")</f>
        <v/>
      </c>
      <c r="C498" t="str">
        <f>IF(Sales_Deals!I489&lt;&gt;"",IF(AND(Sales_Deals!I489&gt;DATE(2024,3,31),Sales_Deals!I489&lt;=DATE(2024,9,30)),Sales_Deals!J489,""),"")</f>
        <v/>
      </c>
    </row>
    <row r="499" spans="1:3" x14ac:dyDescent="0.35">
      <c r="A499">
        <v>489</v>
      </c>
      <c r="B499" t="str">
        <f>IF(Sales_Deals!I490&lt;&gt;"",IF(AND(Sales_Deals!I490&gt;DATE(2024,9,30),Sales_Deals!I490&lt;=DATE(2025,3,31)),Sales_Deals!J490,""),"")</f>
        <v/>
      </c>
      <c r="C499" t="str">
        <f>IF(Sales_Deals!I490&lt;&gt;"",IF(AND(Sales_Deals!I490&gt;DATE(2024,3,31),Sales_Deals!I490&lt;=DATE(2024,9,30)),Sales_Deals!J490,""),"")</f>
        <v/>
      </c>
    </row>
    <row r="500" spans="1:3" x14ac:dyDescent="0.35">
      <c r="A500">
        <v>490</v>
      </c>
      <c r="B500" t="str">
        <f>IF(Sales_Deals!I491&lt;&gt;"",IF(AND(Sales_Deals!I491&gt;DATE(2024,9,30),Sales_Deals!I491&lt;=DATE(2025,3,31)),Sales_Deals!J491,""),"")</f>
        <v/>
      </c>
      <c r="C500" t="str">
        <f>IF(Sales_Deals!I491&lt;&gt;"",IF(AND(Sales_Deals!I491&gt;DATE(2024,3,31),Sales_Deals!I491&lt;=DATE(2024,9,30)),Sales_Deals!J491,""),"")</f>
        <v/>
      </c>
    </row>
    <row r="501" spans="1:3" x14ac:dyDescent="0.35">
      <c r="A501">
        <v>491</v>
      </c>
      <c r="B501" t="str">
        <f>IF(Sales_Deals!I492&lt;&gt;"",IF(AND(Sales_Deals!I492&gt;DATE(2024,9,30),Sales_Deals!I492&lt;=DATE(2025,3,31)),Sales_Deals!J492,""),"")</f>
        <v/>
      </c>
      <c r="C501" t="str">
        <f>IF(Sales_Deals!I492&lt;&gt;"",IF(AND(Sales_Deals!I492&gt;DATE(2024,3,31),Sales_Deals!I492&lt;=DATE(2024,9,30)),Sales_Deals!J492,""),"")</f>
        <v/>
      </c>
    </row>
    <row r="502" spans="1:3" x14ac:dyDescent="0.35">
      <c r="A502">
        <v>492</v>
      </c>
      <c r="B502" t="str">
        <f>IF(Sales_Deals!I493&lt;&gt;"",IF(AND(Sales_Deals!I493&gt;DATE(2024,9,30),Sales_Deals!I493&lt;=DATE(2025,3,31)),Sales_Deals!J493,""),"")</f>
        <v/>
      </c>
      <c r="C502" t="str">
        <f>IF(Sales_Deals!I493&lt;&gt;"",IF(AND(Sales_Deals!I493&gt;DATE(2024,3,31),Sales_Deals!I493&lt;=DATE(2024,9,30)),Sales_Deals!J493,""),"")</f>
        <v/>
      </c>
    </row>
    <row r="503" spans="1:3" x14ac:dyDescent="0.35">
      <c r="A503">
        <v>493</v>
      </c>
      <c r="B503" t="str">
        <f>IF(Sales_Deals!I494&lt;&gt;"",IF(AND(Sales_Deals!I494&gt;DATE(2024,9,30),Sales_Deals!I494&lt;=DATE(2025,3,31)),Sales_Deals!J494,""),"")</f>
        <v/>
      </c>
      <c r="C503" t="str">
        <f>IF(Sales_Deals!I494&lt;&gt;"",IF(AND(Sales_Deals!I494&gt;DATE(2024,3,31),Sales_Deals!I494&lt;=DATE(2024,9,30)),Sales_Deals!J494,""),"")</f>
        <v/>
      </c>
    </row>
    <row r="504" spans="1:3" x14ac:dyDescent="0.35">
      <c r="A504">
        <v>494</v>
      </c>
      <c r="B504" t="str">
        <f>IF(Sales_Deals!I495&lt;&gt;"",IF(AND(Sales_Deals!I495&gt;DATE(2024,9,30),Sales_Deals!I495&lt;=DATE(2025,3,31)),Sales_Deals!J495,""),"")</f>
        <v/>
      </c>
      <c r="C504">
        <f>IF(Sales_Deals!I495&lt;&gt;"",IF(AND(Sales_Deals!I495&gt;DATE(2024,3,31),Sales_Deals!I495&lt;=DATE(2024,9,30)),Sales_Deals!J495,""),"")</f>
        <v>116</v>
      </c>
    </row>
    <row r="505" spans="1:3" x14ac:dyDescent="0.35">
      <c r="A505">
        <v>495</v>
      </c>
      <c r="B505" t="str">
        <f>IF(Sales_Deals!I496&lt;&gt;"",IF(AND(Sales_Deals!I496&gt;DATE(2024,9,30),Sales_Deals!I496&lt;=DATE(2025,3,31)),Sales_Deals!J496,""),"")</f>
        <v/>
      </c>
      <c r="C505" t="str">
        <f>IF(Sales_Deals!I496&lt;&gt;"",IF(AND(Sales_Deals!I496&gt;DATE(2024,3,31),Sales_Deals!I496&lt;=DATE(2024,9,30)),Sales_Deals!J496,""),"")</f>
        <v/>
      </c>
    </row>
    <row r="506" spans="1:3" x14ac:dyDescent="0.35">
      <c r="A506">
        <v>496</v>
      </c>
      <c r="B506" t="str">
        <f>IF(Sales_Deals!I497&lt;&gt;"",IF(AND(Sales_Deals!I497&gt;DATE(2024,9,30),Sales_Deals!I497&lt;=DATE(2025,3,31)),Sales_Deals!J497,""),"")</f>
        <v/>
      </c>
      <c r="C506" t="str">
        <f>IF(Sales_Deals!I497&lt;&gt;"",IF(AND(Sales_Deals!I497&gt;DATE(2024,3,31),Sales_Deals!I497&lt;=DATE(2024,9,30)),Sales_Deals!J497,""),"")</f>
        <v/>
      </c>
    </row>
    <row r="507" spans="1:3" x14ac:dyDescent="0.35">
      <c r="A507">
        <v>497</v>
      </c>
      <c r="B507" t="str">
        <f>IF(Sales_Deals!I498&lt;&gt;"",IF(AND(Sales_Deals!I498&gt;DATE(2024,9,30),Sales_Deals!I498&lt;=DATE(2025,3,31)),Sales_Deals!J498,""),"")</f>
        <v/>
      </c>
      <c r="C507" t="str">
        <f>IF(Sales_Deals!I498&lt;&gt;"",IF(AND(Sales_Deals!I498&gt;DATE(2024,3,31),Sales_Deals!I498&lt;=DATE(2024,9,30)),Sales_Deals!J498,""),"")</f>
        <v/>
      </c>
    </row>
    <row r="508" spans="1:3" x14ac:dyDescent="0.35">
      <c r="A508">
        <v>498</v>
      </c>
      <c r="B508" t="str">
        <f>IF(Sales_Deals!I499&lt;&gt;"",IF(AND(Sales_Deals!I499&gt;DATE(2024,9,30),Sales_Deals!I499&lt;=DATE(2025,3,31)),Sales_Deals!J499,""),"")</f>
        <v/>
      </c>
      <c r="C508" t="str">
        <f>IF(Sales_Deals!I499&lt;&gt;"",IF(AND(Sales_Deals!I499&gt;DATE(2024,3,31),Sales_Deals!I499&lt;=DATE(2024,9,30)),Sales_Deals!J499,""),"")</f>
        <v/>
      </c>
    </row>
    <row r="509" spans="1:3" x14ac:dyDescent="0.35">
      <c r="A509">
        <v>499</v>
      </c>
      <c r="B509" t="str">
        <f>IF(Sales_Deals!I500&lt;&gt;"",IF(AND(Sales_Deals!I500&gt;DATE(2024,9,30),Sales_Deals!I500&lt;=DATE(2025,3,31)),Sales_Deals!J500,""),"")</f>
        <v/>
      </c>
      <c r="C509" t="str">
        <f>IF(Sales_Deals!I500&lt;&gt;"",IF(AND(Sales_Deals!I500&gt;DATE(2024,3,31),Sales_Deals!I500&lt;=DATE(2024,9,30)),Sales_Deals!J500,""),"")</f>
        <v/>
      </c>
    </row>
    <row r="510" spans="1:3" x14ac:dyDescent="0.35">
      <c r="A510">
        <v>500</v>
      </c>
      <c r="B510" t="str">
        <f>IF(Sales_Deals!I501&lt;&gt;"",IF(AND(Sales_Deals!I501&gt;DATE(2024,9,30),Sales_Deals!I501&lt;=DATE(2025,3,31)),Sales_Deals!J501,""),"")</f>
        <v/>
      </c>
      <c r="C510" t="str">
        <f>IF(Sales_Deals!I501&lt;&gt;"",IF(AND(Sales_Deals!I501&gt;DATE(2024,3,31),Sales_Deals!I501&lt;=DATE(2024,9,30)),Sales_Deals!J501,""),"")</f>
        <v/>
      </c>
    </row>
    <row r="511" spans="1:3" x14ac:dyDescent="0.35">
      <c r="A511">
        <v>501</v>
      </c>
      <c r="B511" t="str">
        <f>IF(Sales_Deals!I502&lt;&gt;"",IF(AND(Sales_Deals!I502&gt;DATE(2024,9,30),Sales_Deals!I502&lt;=DATE(2025,3,31)),Sales_Deals!J502,""),"")</f>
        <v/>
      </c>
      <c r="C511" t="str">
        <f>IF(Sales_Deals!I502&lt;&gt;"",IF(AND(Sales_Deals!I502&gt;DATE(2024,3,31),Sales_Deals!I502&lt;=DATE(2024,9,30)),Sales_Deals!J502,""),"")</f>
        <v/>
      </c>
    </row>
    <row r="512" spans="1:3" x14ac:dyDescent="0.35">
      <c r="A512">
        <v>502</v>
      </c>
      <c r="B512" t="str">
        <f>IF(Sales_Deals!I503&lt;&gt;"",IF(AND(Sales_Deals!I503&gt;DATE(2024,9,30),Sales_Deals!I503&lt;=DATE(2025,3,31)),Sales_Deals!J503,""),"")</f>
        <v/>
      </c>
      <c r="C512" t="str">
        <f>IF(Sales_Deals!I503&lt;&gt;"",IF(AND(Sales_Deals!I503&gt;DATE(2024,3,31),Sales_Deals!I503&lt;=DATE(2024,9,30)),Sales_Deals!J503,""),"")</f>
        <v/>
      </c>
    </row>
    <row r="513" spans="1:3" x14ac:dyDescent="0.35">
      <c r="A513">
        <v>503</v>
      </c>
      <c r="B513" t="str">
        <f>IF(Sales_Deals!I504&lt;&gt;"",IF(AND(Sales_Deals!I504&gt;DATE(2024,9,30),Sales_Deals!I504&lt;=DATE(2025,3,31)),Sales_Deals!J504,""),"")</f>
        <v/>
      </c>
      <c r="C513" t="str">
        <f>IF(Sales_Deals!I504&lt;&gt;"",IF(AND(Sales_Deals!I504&gt;DATE(2024,3,31),Sales_Deals!I504&lt;=DATE(2024,9,30)),Sales_Deals!J504,""),"")</f>
        <v/>
      </c>
    </row>
    <row r="514" spans="1:3" x14ac:dyDescent="0.35">
      <c r="A514">
        <v>504</v>
      </c>
      <c r="B514" t="str">
        <f>IF(Sales_Deals!I505&lt;&gt;"",IF(AND(Sales_Deals!I505&gt;DATE(2024,9,30),Sales_Deals!I505&lt;=DATE(2025,3,31)),Sales_Deals!J505,""),"")</f>
        <v/>
      </c>
      <c r="C514" t="str">
        <f>IF(Sales_Deals!I505&lt;&gt;"",IF(AND(Sales_Deals!I505&gt;DATE(2024,3,31),Sales_Deals!I505&lt;=DATE(2024,9,30)),Sales_Deals!J505,""),"")</f>
        <v/>
      </c>
    </row>
    <row r="515" spans="1:3" x14ac:dyDescent="0.35">
      <c r="A515">
        <v>505</v>
      </c>
      <c r="B515" t="str">
        <f>IF(Sales_Deals!I506&lt;&gt;"",IF(AND(Sales_Deals!I506&gt;DATE(2024,9,30),Sales_Deals!I506&lt;=DATE(2025,3,31)),Sales_Deals!J506,""),"")</f>
        <v/>
      </c>
      <c r="C515">
        <f>IF(Sales_Deals!I506&lt;&gt;"",IF(AND(Sales_Deals!I506&gt;DATE(2024,3,31),Sales_Deals!I506&lt;=DATE(2024,9,30)),Sales_Deals!J506,""),"")</f>
        <v>64</v>
      </c>
    </row>
    <row r="516" spans="1:3" x14ac:dyDescent="0.35">
      <c r="A516">
        <v>506</v>
      </c>
      <c r="B516" t="str">
        <f>IF(Sales_Deals!I507&lt;&gt;"",IF(AND(Sales_Deals!I507&gt;DATE(2024,9,30),Sales_Deals!I507&lt;=DATE(2025,3,31)),Sales_Deals!J507,""),"")</f>
        <v/>
      </c>
      <c r="C516" t="str">
        <f>IF(Sales_Deals!I507&lt;&gt;"",IF(AND(Sales_Deals!I507&gt;DATE(2024,3,31),Sales_Deals!I507&lt;=DATE(2024,9,30)),Sales_Deals!J507,""),"")</f>
        <v/>
      </c>
    </row>
    <row r="517" spans="1:3" x14ac:dyDescent="0.35">
      <c r="A517">
        <v>507</v>
      </c>
      <c r="B517" t="str">
        <f>IF(Sales_Deals!I508&lt;&gt;"",IF(AND(Sales_Deals!I508&gt;DATE(2024,9,30),Sales_Deals!I508&lt;=DATE(2025,3,31)),Sales_Deals!J508,""),"")</f>
        <v/>
      </c>
      <c r="C517" t="str">
        <f>IF(Sales_Deals!I508&lt;&gt;"",IF(AND(Sales_Deals!I508&gt;DATE(2024,3,31),Sales_Deals!I508&lt;=DATE(2024,9,30)),Sales_Deals!J508,""),"")</f>
        <v/>
      </c>
    </row>
    <row r="518" spans="1:3" x14ac:dyDescent="0.35">
      <c r="A518">
        <v>508</v>
      </c>
      <c r="B518" t="str">
        <f>IF(Sales_Deals!I509&lt;&gt;"",IF(AND(Sales_Deals!I509&gt;DATE(2024,9,30),Sales_Deals!I509&lt;=DATE(2025,3,31)),Sales_Deals!J509,""),"")</f>
        <v/>
      </c>
      <c r="C518" t="str">
        <f>IF(Sales_Deals!I509&lt;&gt;"",IF(AND(Sales_Deals!I509&gt;DATE(2024,3,31),Sales_Deals!I509&lt;=DATE(2024,9,30)),Sales_Deals!J509,""),"")</f>
        <v/>
      </c>
    </row>
    <row r="519" spans="1:3" x14ac:dyDescent="0.35">
      <c r="A519">
        <v>509</v>
      </c>
      <c r="B519" t="str">
        <f>IF(Sales_Deals!I510&lt;&gt;"",IF(AND(Sales_Deals!I510&gt;DATE(2024,9,30),Sales_Deals!I510&lt;=DATE(2025,3,31)),Sales_Deals!J510,""),"")</f>
        <v/>
      </c>
      <c r="C519" t="str">
        <f>IF(Sales_Deals!I510&lt;&gt;"",IF(AND(Sales_Deals!I510&gt;DATE(2024,3,31),Sales_Deals!I510&lt;=DATE(2024,9,30)),Sales_Deals!J510,""),"")</f>
        <v/>
      </c>
    </row>
    <row r="520" spans="1:3" x14ac:dyDescent="0.35">
      <c r="A520">
        <v>510</v>
      </c>
      <c r="B520" t="str">
        <f>IF(Sales_Deals!I511&lt;&gt;"",IF(AND(Sales_Deals!I511&gt;DATE(2024,9,30),Sales_Deals!I511&lt;=DATE(2025,3,31)),Sales_Deals!J511,""),"")</f>
        <v/>
      </c>
      <c r="C520" t="str">
        <f>IF(Sales_Deals!I511&lt;&gt;"",IF(AND(Sales_Deals!I511&gt;DATE(2024,3,31),Sales_Deals!I511&lt;=DATE(2024,9,30)),Sales_Deals!J511,""),"")</f>
        <v/>
      </c>
    </row>
    <row r="521" spans="1:3" x14ac:dyDescent="0.35">
      <c r="A521">
        <v>511</v>
      </c>
      <c r="B521" t="str">
        <f>IF(Sales_Deals!I512&lt;&gt;"",IF(AND(Sales_Deals!I512&gt;DATE(2024,9,30),Sales_Deals!I512&lt;=DATE(2025,3,31)),Sales_Deals!J512,""),"")</f>
        <v/>
      </c>
      <c r="C521" t="str">
        <f>IF(Sales_Deals!I512&lt;&gt;"",IF(AND(Sales_Deals!I512&gt;DATE(2024,3,31),Sales_Deals!I512&lt;=DATE(2024,9,30)),Sales_Deals!J512,""),"")</f>
        <v/>
      </c>
    </row>
    <row r="522" spans="1:3" x14ac:dyDescent="0.35">
      <c r="A522">
        <v>512</v>
      </c>
      <c r="B522" t="str">
        <f>IF(Sales_Deals!I513&lt;&gt;"",IF(AND(Sales_Deals!I513&gt;DATE(2024,9,30),Sales_Deals!I513&lt;=DATE(2025,3,31)),Sales_Deals!J513,""),"")</f>
        <v/>
      </c>
      <c r="C522" t="str">
        <f>IF(Sales_Deals!I513&lt;&gt;"",IF(AND(Sales_Deals!I513&gt;DATE(2024,3,31),Sales_Deals!I513&lt;=DATE(2024,9,30)),Sales_Deals!J513,""),"")</f>
        <v/>
      </c>
    </row>
    <row r="523" spans="1:3" x14ac:dyDescent="0.35">
      <c r="A523">
        <v>513</v>
      </c>
      <c r="B523" t="str">
        <f>IF(Sales_Deals!I514&lt;&gt;"",IF(AND(Sales_Deals!I514&gt;DATE(2024,9,30),Sales_Deals!I514&lt;=DATE(2025,3,31)),Sales_Deals!J514,""),"")</f>
        <v/>
      </c>
      <c r="C523" t="str">
        <f>IF(Sales_Deals!I514&lt;&gt;"",IF(AND(Sales_Deals!I514&gt;DATE(2024,3,31),Sales_Deals!I514&lt;=DATE(2024,9,30)),Sales_Deals!J514,""),"")</f>
        <v/>
      </c>
    </row>
    <row r="524" spans="1:3" x14ac:dyDescent="0.35">
      <c r="A524">
        <v>514</v>
      </c>
      <c r="B524" t="str">
        <f>IF(Sales_Deals!I515&lt;&gt;"",IF(AND(Sales_Deals!I515&gt;DATE(2024,9,30),Sales_Deals!I515&lt;=DATE(2025,3,31)),Sales_Deals!J515,""),"")</f>
        <v/>
      </c>
      <c r="C524" t="str">
        <f>IF(Sales_Deals!I515&lt;&gt;"",IF(AND(Sales_Deals!I515&gt;DATE(2024,3,31),Sales_Deals!I515&lt;=DATE(2024,9,30)),Sales_Deals!J515,""),"")</f>
        <v/>
      </c>
    </row>
    <row r="525" spans="1:3" x14ac:dyDescent="0.35">
      <c r="A525">
        <v>515</v>
      </c>
      <c r="B525" t="str">
        <f>IF(Sales_Deals!I516&lt;&gt;"",IF(AND(Sales_Deals!I516&gt;DATE(2024,9,30),Sales_Deals!I516&lt;=DATE(2025,3,31)),Sales_Deals!J516,""),"")</f>
        <v/>
      </c>
      <c r="C525" t="str">
        <f>IF(Sales_Deals!I516&lt;&gt;"",IF(AND(Sales_Deals!I516&gt;DATE(2024,3,31),Sales_Deals!I516&lt;=DATE(2024,9,30)),Sales_Deals!J516,""),"")</f>
        <v/>
      </c>
    </row>
    <row r="526" spans="1:3" x14ac:dyDescent="0.35">
      <c r="A526">
        <v>516</v>
      </c>
      <c r="B526">
        <f>IF(Sales_Deals!I517&lt;&gt;"",IF(AND(Sales_Deals!I517&gt;DATE(2024,9,30),Sales_Deals!I517&lt;=DATE(2025,3,31)),Sales_Deals!J517,""),"")</f>
        <v>178</v>
      </c>
      <c r="C526" t="str">
        <f>IF(Sales_Deals!I517&lt;&gt;"",IF(AND(Sales_Deals!I517&gt;DATE(2024,3,31),Sales_Deals!I517&lt;=DATE(2024,9,30)),Sales_Deals!J517,""),"")</f>
        <v/>
      </c>
    </row>
    <row r="527" spans="1:3" x14ac:dyDescent="0.35">
      <c r="A527">
        <v>517</v>
      </c>
      <c r="B527" t="str">
        <f>IF(Sales_Deals!I518&lt;&gt;"",IF(AND(Sales_Deals!I518&gt;DATE(2024,9,30),Sales_Deals!I518&lt;=DATE(2025,3,31)),Sales_Deals!J518,""),"")</f>
        <v/>
      </c>
      <c r="C527" t="str">
        <f>IF(Sales_Deals!I518&lt;&gt;"",IF(AND(Sales_Deals!I518&gt;DATE(2024,3,31),Sales_Deals!I518&lt;=DATE(2024,9,30)),Sales_Deals!J518,""),"")</f>
        <v/>
      </c>
    </row>
    <row r="528" spans="1:3" x14ac:dyDescent="0.35">
      <c r="A528">
        <v>518</v>
      </c>
      <c r="B528" t="str">
        <f>IF(Sales_Deals!I519&lt;&gt;"",IF(AND(Sales_Deals!I519&gt;DATE(2024,9,30),Sales_Deals!I519&lt;=DATE(2025,3,31)),Sales_Deals!J519,""),"")</f>
        <v/>
      </c>
      <c r="C528">
        <f>IF(Sales_Deals!I519&lt;&gt;"",IF(AND(Sales_Deals!I519&gt;DATE(2024,3,31),Sales_Deals!I519&lt;=DATE(2024,9,30)),Sales_Deals!J519,""),"")</f>
        <v>22</v>
      </c>
    </row>
    <row r="529" spans="1:3" x14ac:dyDescent="0.35">
      <c r="A529">
        <v>519</v>
      </c>
      <c r="B529" t="str">
        <f>IF(Sales_Deals!I520&lt;&gt;"",IF(AND(Sales_Deals!I520&gt;DATE(2024,9,30),Sales_Deals!I520&lt;=DATE(2025,3,31)),Sales_Deals!J520,""),"")</f>
        <v/>
      </c>
      <c r="C529" t="str">
        <f>IF(Sales_Deals!I520&lt;&gt;"",IF(AND(Sales_Deals!I520&gt;DATE(2024,3,31),Sales_Deals!I520&lt;=DATE(2024,9,30)),Sales_Deals!J520,""),"")</f>
        <v/>
      </c>
    </row>
    <row r="530" spans="1:3" x14ac:dyDescent="0.35">
      <c r="A530">
        <v>520</v>
      </c>
      <c r="B530" t="str">
        <f>IF(Sales_Deals!I521&lt;&gt;"",IF(AND(Sales_Deals!I521&gt;DATE(2024,9,30),Sales_Deals!I521&lt;=DATE(2025,3,31)),Sales_Deals!J521,""),"")</f>
        <v/>
      </c>
      <c r="C530" t="str">
        <f>IF(Sales_Deals!I521&lt;&gt;"",IF(AND(Sales_Deals!I521&gt;DATE(2024,3,31),Sales_Deals!I521&lt;=DATE(2024,9,30)),Sales_Deals!J521,""),"")</f>
        <v/>
      </c>
    </row>
    <row r="531" spans="1:3" x14ac:dyDescent="0.35">
      <c r="A531">
        <v>521</v>
      </c>
      <c r="B531" t="str">
        <f>IF(Sales_Deals!I522&lt;&gt;"",IF(AND(Sales_Deals!I522&gt;DATE(2024,9,30),Sales_Deals!I522&lt;=DATE(2025,3,31)),Sales_Deals!J522,""),"")</f>
        <v/>
      </c>
      <c r="C531">
        <f>IF(Sales_Deals!I522&lt;&gt;"",IF(AND(Sales_Deals!I522&gt;DATE(2024,3,31),Sales_Deals!I522&lt;=DATE(2024,9,30)),Sales_Deals!J522,""),"")</f>
        <v>34</v>
      </c>
    </row>
    <row r="532" spans="1:3" x14ac:dyDescent="0.35">
      <c r="A532">
        <v>522</v>
      </c>
      <c r="B532" t="str">
        <f>IF(Sales_Deals!I523&lt;&gt;"",IF(AND(Sales_Deals!I523&gt;DATE(2024,9,30),Sales_Deals!I523&lt;=DATE(2025,3,31)),Sales_Deals!J523,""),"")</f>
        <v/>
      </c>
      <c r="C532" t="str">
        <f>IF(Sales_Deals!I523&lt;&gt;"",IF(AND(Sales_Deals!I523&gt;DATE(2024,3,31),Sales_Deals!I523&lt;=DATE(2024,9,30)),Sales_Deals!J523,""),"")</f>
        <v/>
      </c>
    </row>
    <row r="533" spans="1:3" x14ac:dyDescent="0.35">
      <c r="A533">
        <v>523</v>
      </c>
      <c r="B533" t="str">
        <f>IF(Sales_Deals!I524&lt;&gt;"",IF(AND(Sales_Deals!I524&gt;DATE(2024,9,30),Sales_Deals!I524&lt;=DATE(2025,3,31)),Sales_Deals!J524,""),"")</f>
        <v/>
      </c>
      <c r="C533" t="str">
        <f>IF(Sales_Deals!I524&lt;&gt;"",IF(AND(Sales_Deals!I524&gt;DATE(2024,3,31),Sales_Deals!I524&lt;=DATE(2024,9,30)),Sales_Deals!J524,""),"")</f>
        <v/>
      </c>
    </row>
    <row r="534" spans="1:3" x14ac:dyDescent="0.35">
      <c r="A534">
        <v>524</v>
      </c>
      <c r="B534" t="str">
        <f>IF(Sales_Deals!I525&lt;&gt;"",IF(AND(Sales_Deals!I525&gt;DATE(2024,9,30),Sales_Deals!I525&lt;=DATE(2025,3,31)),Sales_Deals!J525,""),"")</f>
        <v/>
      </c>
      <c r="C534">
        <f>IF(Sales_Deals!I525&lt;&gt;"",IF(AND(Sales_Deals!I525&gt;DATE(2024,3,31),Sales_Deals!I525&lt;=DATE(2024,9,30)),Sales_Deals!J525,""),"")</f>
        <v>101</v>
      </c>
    </row>
    <row r="535" spans="1:3" x14ac:dyDescent="0.35">
      <c r="A535">
        <v>525</v>
      </c>
      <c r="B535" t="str">
        <f>IF(Sales_Deals!I526&lt;&gt;"",IF(AND(Sales_Deals!I526&gt;DATE(2024,9,30),Sales_Deals!I526&lt;=DATE(2025,3,31)),Sales_Deals!J526,""),"")</f>
        <v/>
      </c>
      <c r="C535" t="str">
        <f>IF(Sales_Deals!I526&lt;&gt;"",IF(AND(Sales_Deals!I526&gt;DATE(2024,3,31),Sales_Deals!I526&lt;=DATE(2024,9,30)),Sales_Deals!J526,""),"")</f>
        <v/>
      </c>
    </row>
    <row r="536" spans="1:3" x14ac:dyDescent="0.35">
      <c r="A536">
        <v>526</v>
      </c>
      <c r="B536">
        <f>IF(Sales_Deals!I527&lt;&gt;"",IF(AND(Sales_Deals!I527&gt;DATE(2024,9,30),Sales_Deals!I527&lt;=DATE(2025,3,31)),Sales_Deals!J527,""),"")</f>
        <v>34</v>
      </c>
      <c r="C536" t="str">
        <f>IF(Sales_Deals!I527&lt;&gt;"",IF(AND(Sales_Deals!I527&gt;DATE(2024,3,31),Sales_Deals!I527&lt;=DATE(2024,9,30)),Sales_Deals!J527,""),"")</f>
        <v/>
      </c>
    </row>
    <row r="537" spans="1:3" x14ac:dyDescent="0.35">
      <c r="A537">
        <v>527</v>
      </c>
      <c r="B537" t="str">
        <f>IF(Sales_Deals!I528&lt;&gt;"",IF(AND(Sales_Deals!I528&gt;DATE(2024,9,30),Sales_Deals!I528&lt;=DATE(2025,3,31)),Sales_Deals!J528,""),"")</f>
        <v/>
      </c>
      <c r="C537" t="str">
        <f>IF(Sales_Deals!I528&lt;&gt;"",IF(AND(Sales_Deals!I528&gt;DATE(2024,3,31),Sales_Deals!I528&lt;=DATE(2024,9,30)),Sales_Deals!J528,""),"")</f>
        <v/>
      </c>
    </row>
    <row r="538" spans="1:3" x14ac:dyDescent="0.35">
      <c r="A538">
        <v>528</v>
      </c>
      <c r="B538" t="str">
        <f>IF(Sales_Deals!I529&lt;&gt;"",IF(AND(Sales_Deals!I529&gt;DATE(2024,9,30),Sales_Deals!I529&lt;=DATE(2025,3,31)),Sales_Deals!J529,""),"")</f>
        <v/>
      </c>
      <c r="C538" t="str">
        <f>IF(Sales_Deals!I529&lt;&gt;"",IF(AND(Sales_Deals!I529&gt;DATE(2024,3,31),Sales_Deals!I529&lt;=DATE(2024,9,30)),Sales_Deals!J529,""),"")</f>
        <v/>
      </c>
    </row>
    <row r="539" spans="1:3" x14ac:dyDescent="0.35">
      <c r="A539">
        <v>529</v>
      </c>
      <c r="B539">
        <f>IF(Sales_Deals!I530&lt;&gt;"",IF(AND(Sales_Deals!I530&gt;DATE(2024,9,30),Sales_Deals!I530&lt;=DATE(2025,3,31)),Sales_Deals!J530,""),"")</f>
        <v>50</v>
      </c>
      <c r="C539" t="str">
        <f>IF(Sales_Deals!I530&lt;&gt;"",IF(AND(Sales_Deals!I530&gt;DATE(2024,3,31),Sales_Deals!I530&lt;=DATE(2024,9,30)),Sales_Deals!J530,""),"")</f>
        <v/>
      </c>
    </row>
    <row r="540" spans="1:3" x14ac:dyDescent="0.35">
      <c r="A540">
        <v>530</v>
      </c>
      <c r="B540" t="str">
        <f>IF(Sales_Deals!I531&lt;&gt;"",IF(AND(Sales_Deals!I531&gt;DATE(2024,9,30),Sales_Deals!I531&lt;=DATE(2025,3,31)),Sales_Deals!J531,""),"")</f>
        <v/>
      </c>
      <c r="C540">
        <f>IF(Sales_Deals!I531&lt;&gt;"",IF(AND(Sales_Deals!I531&gt;DATE(2024,3,31),Sales_Deals!I531&lt;=DATE(2024,9,30)),Sales_Deals!J531,""),"")</f>
        <v>160</v>
      </c>
    </row>
    <row r="541" spans="1:3" x14ac:dyDescent="0.35">
      <c r="A541">
        <v>531</v>
      </c>
      <c r="B541" t="str">
        <f>IF(Sales_Deals!I532&lt;&gt;"",IF(AND(Sales_Deals!I532&gt;DATE(2024,9,30),Sales_Deals!I532&lt;=DATE(2025,3,31)),Sales_Deals!J532,""),"")</f>
        <v/>
      </c>
      <c r="C541" t="str">
        <f>IF(Sales_Deals!I532&lt;&gt;"",IF(AND(Sales_Deals!I532&gt;DATE(2024,3,31),Sales_Deals!I532&lt;=DATE(2024,9,30)),Sales_Deals!J532,""),"")</f>
        <v/>
      </c>
    </row>
    <row r="542" spans="1:3" x14ac:dyDescent="0.35">
      <c r="A542">
        <v>532</v>
      </c>
      <c r="B542">
        <f>IF(Sales_Deals!I533&lt;&gt;"",IF(AND(Sales_Deals!I533&gt;DATE(2024,9,30),Sales_Deals!I533&lt;=DATE(2025,3,31)),Sales_Deals!J533,""),"")</f>
        <v>135</v>
      </c>
      <c r="C542" t="str">
        <f>IF(Sales_Deals!I533&lt;&gt;"",IF(AND(Sales_Deals!I533&gt;DATE(2024,3,31),Sales_Deals!I533&lt;=DATE(2024,9,30)),Sales_Deals!J533,""),"")</f>
        <v/>
      </c>
    </row>
    <row r="543" spans="1:3" x14ac:dyDescent="0.35">
      <c r="A543">
        <v>533</v>
      </c>
      <c r="B543" t="str">
        <f>IF(Sales_Deals!I534&lt;&gt;"",IF(AND(Sales_Deals!I534&gt;DATE(2024,9,30),Sales_Deals!I534&lt;=DATE(2025,3,31)),Sales_Deals!J534,""),"")</f>
        <v/>
      </c>
      <c r="C543" t="str">
        <f>IF(Sales_Deals!I534&lt;&gt;"",IF(AND(Sales_Deals!I534&gt;DATE(2024,3,31),Sales_Deals!I534&lt;=DATE(2024,9,30)),Sales_Deals!J534,""),"")</f>
        <v/>
      </c>
    </row>
    <row r="544" spans="1:3" x14ac:dyDescent="0.35">
      <c r="A544">
        <v>534</v>
      </c>
      <c r="B544" t="str">
        <f>IF(Sales_Deals!I535&lt;&gt;"",IF(AND(Sales_Deals!I535&gt;DATE(2024,9,30),Sales_Deals!I535&lt;=DATE(2025,3,31)),Sales_Deals!J535,""),"")</f>
        <v/>
      </c>
      <c r="C544" t="str">
        <f>IF(Sales_Deals!I535&lt;&gt;"",IF(AND(Sales_Deals!I535&gt;DATE(2024,3,31),Sales_Deals!I535&lt;=DATE(2024,9,30)),Sales_Deals!J535,""),"")</f>
        <v/>
      </c>
    </row>
    <row r="545" spans="1:3" x14ac:dyDescent="0.35">
      <c r="A545">
        <v>535</v>
      </c>
      <c r="B545">
        <f>IF(Sales_Deals!I536&lt;&gt;"",IF(AND(Sales_Deals!I536&gt;DATE(2024,9,30),Sales_Deals!I536&lt;=DATE(2025,3,31)),Sales_Deals!J536,""),"")</f>
        <v>146</v>
      </c>
      <c r="C545" t="str">
        <f>IF(Sales_Deals!I536&lt;&gt;"",IF(AND(Sales_Deals!I536&gt;DATE(2024,3,31),Sales_Deals!I536&lt;=DATE(2024,9,30)),Sales_Deals!J536,""),"")</f>
        <v/>
      </c>
    </row>
    <row r="546" spans="1:3" x14ac:dyDescent="0.35">
      <c r="A546">
        <v>536</v>
      </c>
      <c r="B546" t="str">
        <f>IF(Sales_Deals!I537&lt;&gt;"",IF(AND(Sales_Deals!I537&gt;DATE(2024,9,30),Sales_Deals!I537&lt;=DATE(2025,3,31)),Sales_Deals!J537,""),"")</f>
        <v/>
      </c>
      <c r="C546" t="str">
        <f>IF(Sales_Deals!I537&lt;&gt;"",IF(AND(Sales_Deals!I537&gt;DATE(2024,3,31),Sales_Deals!I537&lt;=DATE(2024,9,30)),Sales_Deals!J537,""),"")</f>
        <v/>
      </c>
    </row>
    <row r="547" spans="1:3" x14ac:dyDescent="0.35">
      <c r="A547">
        <v>537</v>
      </c>
      <c r="B547" t="str">
        <f>IF(Sales_Deals!I538&lt;&gt;"",IF(AND(Sales_Deals!I538&gt;DATE(2024,9,30),Sales_Deals!I538&lt;=DATE(2025,3,31)),Sales_Deals!J538,""),"")</f>
        <v/>
      </c>
      <c r="C547" t="str">
        <f>IF(Sales_Deals!I538&lt;&gt;"",IF(AND(Sales_Deals!I538&gt;DATE(2024,3,31),Sales_Deals!I538&lt;=DATE(2024,9,30)),Sales_Deals!J538,""),"")</f>
        <v/>
      </c>
    </row>
    <row r="548" spans="1:3" x14ac:dyDescent="0.35">
      <c r="A548">
        <v>538</v>
      </c>
      <c r="B548" t="str">
        <f>IF(Sales_Deals!I539&lt;&gt;"",IF(AND(Sales_Deals!I539&gt;DATE(2024,9,30),Sales_Deals!I539&lt;=DATE(2025,3,31)),Sales_Deals!J539,""),"")</f>
        <v/>
      </c>
      <c r="C548" t="str">
        <f>IF(Sales_Deals!I539&lt;&gt;"",IF(AND(Sales_Deals!I539&gt;DATE(2024,3,31),Sales_Deals!I539&lt;=DATE(2024,9,30)),Sales_Deals!J539,""),"")</f>
        <v/>
      </c>
    </row>
    <row r="549" spans="1:3" x14ac:dyDescent="0.35">
      <c r="A549">
        <v>539</v>
      </c>
      <c r="B549" t="str">
        <f>IF(Sales_Deals!I540&lt;&gt;"",IF(AND(Sales_Deals!I540&gt;DATE(2024,9,30),Sales_Deals!I540&lt;=DATE(2025,3,31)),Sales_Deals!J540,""),"")</f>
        <v/>
      </c>
      <c r="C549">
        <f>IF(Sales_Deals!I540&lt;&gt;"",IF(AND(Sales_Deals!I540&gt;DATE(2024,3,31),Sales_Deals!I540&lt;=DATE(2024,9,30)),Sales_Deals!J540,""),"")</f>
        <v>134</v>
      </c>
    </row>
    <row r="550" spans="1:3" x14ac:dyDescent="0.35">
      <c r="A550">
        <v>540</v>
      </c>
      <c r="B550" t="str">
        <f>IF(Sales_Deals!I541&lt;&gt;"",IF(AND(Sales_Deals!I541&gt;DATE(2024,9,30),Sales_Deals!I541&lt;=DATE(2025,3,31)),Sales_Deals!J541,""),"")</f>
        <v/>
      </c>
      <c r="C550" t="str">
        <f>IF(Sales_Deals!I541&lt;&gt;"",IF(AND(Sales_Deals!I541&gt;DATE(2024,3,31),Sales_Deals!I541&lt;=DATE(2024,9,30)),Sales_Deals!J541,""),"")</f>
        <v/>
      </c>
    </row>
    <row r="551" spans="1:3" x14ac:dyDescent="0.35">
      <c r="A551">
        <v>541</v>
      </c>
      <c r="B551" t="str">
        <f>IF(Sales_Deals!I542&lt;&gt;"",IF(AND(Sales_Deals!I542&gt;DATE(2024,9,30),Sales_Deals!I542&lt;=DATE(2025,3,31)),Sales_Deals!J542,""),"")</f>
        <v/>
      </c>
      <c r="C551" t="str">
        <f>IF(Sales_Deals!I542&lt;&gt;"",IF(AND(Sales_Deals!I542&gt;DATE(2024,3,31),Sales_Deals!I542&lt;=DATE(2024,9,30)),Sales_Deals!J542,""),"")</f>
        <v/>
      </c>
    </row>
    <row r="552" spans="1:3" x14ac:dyDescent="0.35">
      <c r="A552">
        <v>542</v>
      </c>
      <c r="B552" t="str">
        <f>IF(Sales_Deals!I543&lt;&gt;"",IF(AND(Sales_Deals!I543&gt;DATE(2024,9,30),Sales_Deals!I543&lt;=DATE(2025,3,31)),Sales_Deals!J543,""),"")</f>
        <v/>
      </c>
      <c r="C552" t="str">
        <f>IF(Sales_Deals!I543&lt;&gt;"",IF(AND(Sales_Deals!I543&gt;DATE(2024,3,31),Sales_Deals!I543&lt;=DATE(2024,9,30)),Sales_Deals!J543,""),"")</f>
        <v/>
      </c>
    </row>
    <row r="553" spans="1:3" x14ac:dyDescent="0.35">
      <c r="A553">
        <v>543</v>
      </c>
      <c r="B553" t="str">
        <f>IF(Sales_Deals!I544&lt;&gt;"",IF(AND(Sales_Deals!I544&gt;DATE(2024,9,30),Sales_Deals!I544&lt;=DATE(2025,3,31)),Sales_Deals!J544,""),"")</f>
        <v/>
      </c>
      <c r="C553" t="str">
        <f>IF(Sales_Deals!I544&lt;&gt;"",IF(AND(Sales_Deals!I544&gt;DATE(2024,3,31),Sales_Deals!I544&lt;=DATE(2024,9,30)),Sales_Deals!J544,""),"")</f>
        <v/>
      </c>
    </row>
    <row r="554" spans="1:3" x14ac:dyDescent="0.35">
      <c r="A554">
        <v>544</v>
      </c>
      <c r="B554">
        <f>IF(Sales_Deals!I545&lt;&gt;"",IF(AND(Sales_Deals!I545&gt;DATE(2024,9,30),Sales_Deals!I545&lt;=DATE(2025,3,31)),Sales_Deals!J545,""),"")</f>
        <v>161</v>
      </c>
      <c r="C554" t="str">
        <f>IF(Sales_Deals!I545&lt;&gt;"",IF(AND(Sales_Deals!I545&gt;DATE(2024,3,31),Sales_Deals!I545&lt;=DATE(2024,9,30)),Sales_Deals!J545,""),"")</f>
        <v/>
      </c>
    </row>
    <row r="555" spans="1:3" x14ac:dyDescent="0.35">
      <c r="A555">
        <v>545</v>
      </c>
      <c r="B555">
        <f>IF(Sales_Deals!I546&lt;&gt;"",IF(AND(Sales_Deals!I546&gt;DATE(2024,9,30),Sales_Deals!I546&lt;=DATE(2025,3,31)),Sales_Deals!J546,""),"")</f>
        <v>174</v>
      </c>
      <c r="C555" t="str">
        <f>IF(Sales_Deals!I546&lt;&gt;"",IF(AND(Sales_Deals!I546&gt;DATE(2024,3,31),Sales_Deals!I546&lt;=DATE(2024,9,30)),Sales_Deals!J546,""),"")</f>
        <v/>
      </c>
    </row>
    <row r="556" spans="1:3" x14ac:dyDescent="0.35">
      <c r="A556">
        <v>546</v>
      </c>
      <c r="B556" t="str">
        <f>IF(Sales_Deals!I547&lt;&gt;"",IF(AND(Sales_Deals!I547&gt;DATE(2024,9,30),Sales_Deals!I547&lt;=DATE(2025,3,31)),Sales_Deals!J547,""),"")</f>
        <v/>
      </c>
      <c r="C556" t="str">
        <f>IF(Sales_Deals!I547&lt;&gt;"",IF(AND(Sales_Deals!I547&gt;DATE(2024,3,31),Sales_Deals!I547&lt;=DATE(2024,9,30)),Sales_Deals!J547,""),"")</f>
        <v/>
      </c>
    </row>
    <row r="557" spans="1:3" x14ac:dyDescent="0.35">
      <c r="A557">
        <v>547</v>
      </c>
      <c r="B557" t="str">
        <f>IF(Sales_Deals!I548&lt;&gt;"",IF(AND(Sales_Deals!I548&gt;DATE(2024,9,30),Sales_Deals!I548&lt;=DATE(2025,3,31)),Sales_Deals!J548,""),"")</f>
        <v/>
      </c>
      <c r="C557" t="str">
        <f>IF(Sales_Deals!I548&lt;&gt;"",IF(AND(Sales_Deals!I548&gt;DATE(2024,3,31),Sales_Deals!I548&lt;=DATE(2024,9,30)),Sales_Deals!J548,""),"")</f>
        <v/>
      </c>
    </row>
    <row r="558" spans="1:3" x14ac:dyDescent="0.35">
      <c r="A558">
        <v>548</v>
      </c>
      <c r="B558" t="str">
        <f>IF(Sales_Deals!I549&lt;&gt;"",IF(AND(Sales_Deals!I549&gt;DATE(2024,9,30),Sales_Deals!I549&lt;=DATE(2025,3,31)),Sales_Deals!J549,""),"")</f>
        <v/>
      </c>
      <c r="C558" t="str">
        <f>IF(Sales_Deals!I549&lt;&gt;"",IF(AND(Sales_Deals!I549&gt;DATE(2024,3,31),Sales_Deals!I549&lt;=DATE(2024,9,30)),Sales_Deals!J549,""),"")</f>
        <v/>
      </c>
    </row>
    <row r="559" spans="1:3" x14ac:dyDescent="0.35">
      <c r="A559">
        <v>549</v>
      </c>
      <c r="B559" t="str">
        <f>IF(Sales_Deals!I550&lt;&gt;"",IF(AND(Sales_Deals!I550&gt;DATE(2024,9,30),Sales_Deals!I550&lt;=DATE(2025,3,31)),Sales_Deals!J550,""),"")</f>
        <v/>
      </c>
      <c r="C559" t="str">
        <f>IF(Sales_Deals!I550&lt;&gt;"",IF(AND(Sales_Deals!I550&gt;DATE(2024,3,31),Sales_Deals!I550&lt;=DATE(2024,9,30)),Sales_Deals!J550,""),"")</f>
        <v/>
      </c>
    </row>
    <row r="560" spans="1:3" x14ac:dyDescent="0.35">
      <c r="A560">
        <v>550</v>
      </c>
      <c r="B560" t="str">
        <f>IF(Sales_Deals!I551&lt;&gt;"",IF(AND(Sales_Deals!I551&gt;DATE(2024,9,30),Sales_Deals!I551&lt;=DATE(2025,3,31)),Sales_Deals!J551,""),"")</f>
        <v/>
      </c>
      <c r="C560" t="str">
        <f>IF(Sales_Deals!I551&lt;&gt;"",IF(AND(Sales_Deals!I551&gt;DATE(2024,3,31),Sales_Deals!I551&lt;=DATE(2024,9,30)),Sales_Deals!J551,""),"")</f>
        <v/>
      </c>
    </row>
    <row r="561" spans="1:3" x14ac:dyDescent="0.35">
      <c r="A561">
        <v>551</v>
      </c>
      <c r="B561" t="str">
        <f>IF(Sales_Deals!I552&lt;&gt;"",IF(AND(Sales_Deals!I552&gt;DATE(2024,9,30),Sales_Deals!I552&lt;=DATE(2025,3,31)),Sales_Deals!J552,""),"")</f>
        <v/>
      </c>
      <c r="C561" t="str">
        <f>IF(Sales_Deals!I552&lt;&gt;"",IF(AND(Sales_Deals!I552&gt;DATE(2024,3,31),Sales_Deals!I552&lt;=DATE(2024,9,30)),Sales_Deals!J552,""),"")</f>
        <v/>
      </c>
    </row>
    <row r="562" spans="1:3" x14ac:dyDescent="0.35">
      <c r="A562">
        <v>552</v>
      </c>
      <c r="B562" t="str">
        <f>IF(Sales_Deals!I553&lt;&gt;"",IF(AND(Sales_Deals!I553&gt;DATE(2024,9,30),Sales_Deals!I553&lt;=DATE(2025,3,31)),Sales_Deals!J553,""),"")</f>
        <v/>
      </c>
      <c r="C562" t="str">
        <f>IF(Sales_Deals!I553&lt;&gt;"",IF(AND(Sales_Deals!I553&gt;DATE(2024,3,31),Sales_Deals!I553&lt;=DATE(2024,9,30)),Sales_Deals!J553,""),"")</f>
        <v/>
      </c>
    </row>
    <row r="563" spans="1:3" x14ac:dyDescent="0.35">
      <c r="A563">
        <v>553</v>
      </c>
      <c r="B563">
        <f>IF(Sales_Deals!I554&lt;&gt;"",IF(AND(Sales_Deals!I554&gt;DATE(2024,9,30),Sales_Deals!I554&lt;=DATE(2025,3,31)),Sales_Deals!J554,""),"")</f>
        <v>162</v>
      </c>
      <c r="C563" t="str">
        <f>IF(Sales_Deals!I554&lt;&gt;"",IF(AND(Sales_Deals!I554&gt;DATE(2024,3,31),Sales_Deals!I554&lt;=DATE(2024,9,30)),Sales_Deals!J554,""),"")</f>
        <v/>
      </c>
    </row>
    <row r="564" spans="1:3" x14ac:dyDescent="0.35">
      <c r="A564">
        <v>554</v>
      </c>
      <c r="B564" t="str">
        <f>IF(Sales_Deals!I555&lt;&gt;"",IF(AND(Sales_Deals!I555&gt;DATE(2024,9,30),Sales_Deals!I555&lt;=DATE(2025,3,31)),Sales_Deals!J555,""),"")</f>
        <v/>
      </c>
      <c r="C564">
        <f>IF(Sales_Deals!I555&lt;&gt;"",IF(AND(Sales_Deals!I555&gt;DATE(2024,3,31),Sales_Deals!I555&lt;=DATE(2024,9,30)),Sales_Deals!J555,""),"")</f>
        <v>99</v>
      </c>
    </row>
    <row r="565" spans="1:3" x14ac:dyDescent="0.35">
      <c r="A565">
        <v>555</v>
      </c>
      <c r="B565">
        <f>IF(Sales_Deals!I556&lt;&gt;"",IF(AND(Sales_Deals!I556&gt;DATE(2024,9,30),Sales_Deals!I556&lt;=DATE(2025,3,31)),Sales_Deals!J556,""),"")</f>
        <v>84</v>
      </c>
      <c r="C565" t="str">
        <f>IF(Sales_Deals!I556&lt;&gt;"",IF(AND(Sales_Deals!I556&gt;DATE(2024,3,31),Sales_Deals!I556&lt;=DATE(2024,9,30)),Sales_Deals!J556,""),"")</f>
        <v/>
      </c>
    </row>
    <row r="566" spans="1:3" x14ac:dyDescent="0.35">
      <c r="A566">
        <v>556</v>
      </c>
      <c r="B566" t="str">
        <f>IF(Sales_Deals!I557&lt;&gt;"",IF(AND(Sales_Deals!I557&gt;DATE(2024,9,30),Sales_Deals!I557&lt;=DATE(2025,3,31)),Sales_Deals!J557,""),"")</f>
        <v/>
      </c>
      <c r="C566" t="str">
        <f>IF(Sales_Deals!I557&lt;&gt;"",IF(AND(Sales_Deals!I557&gt;DATE(2024,3,31),Sales_Deals!I557&lt;=DATE(2024,9,30)),Sales_Deals!J557,""),"")</f>
        <v/>
      </c>
    </row>
    <row r="567" spans="1:3" x14ac:dyDescent="0.35">
      <c r="A567">
        <v>557</v>
      </c>
      <c r="B567" t="str">
        <f>IF(Sales_Deals!I558&lt;&gt;"",IF(AND(Sales_Deals!I558&gt;DATE(2024,9,30),Sales_Deals!I558&lt;=DATE(2025,3,31)),Sales_Deals!J558,""),"")</f>
        <v/>
      </c>
      <c r="C567" t="str">
        <f>IF(Sales_Deals!I558&lt;&gt;"",IF(AND(Sales_Deals!I558&gt;DATE(2024,3,31),Sales_Deals!I558&lt;=DATE(2024,9,30)),Sales_Deals!J558,""),"")</f>
        <v/>
      </c>
    </row>
    <row r="568" spans="1:3" x14ac:dyDescent="0.35">
      <c r="A568">
        <v>558</v>
      </c>
      <c r="B568" t="str">
        <f>IF(Sales_Deals!I559&lt;&gt;"",IF(AND(Sales_Deals!I559&gt;DATE(2024,9,30),Sales_Deals!I559&lt;=DATE(2025,3,31)),Sales_Deals!J559,""),"")</f>
        <v/>
      </c>
      <c r="C568" t="str">
        <f>IF(Sales_Deals!I559&lt;&gt;"",IF(AND(Sales_Deals!I559&gt;DATE(2024,3,31),Sales_Deals!I559&lt;=DATE(2024,9,30)),Sales_Deals!J559,""),"")</f>
        <v/>
      </c>
    </row>
    <row r="569" spans="1:3" x14ac:dyDescent="0.35">
      <c r="A569">
        <v>559</v>
      </c>
      <c r="B569" t="str">
        <f>IF(Sales_Deals!I560&lt;&gt;"",IF(AND(Sales_Deals!I560&gt;DATE(2024,9,30),Sales_Deals!I560&lt;=DATE(2025,3,31)),Sales_Deals!J560,""),"")</f>
        <v/>
      </c>
      <c r="C569" t="str">
        <f>IF(Sales_Deals!I560&lt;&gt;"",IF(AND(Sales_Deals!I560&gt;DATE(2024,3,31),Sales_Deals!I560&lt;=DATE(2024,9,30)),Sales_Deals!J560,""),"")</f>
        <v/>
      </c>
    </row>
    <row r="570" spans="1:3" x14ac:dyDescent="0.35">
      <c r="A570">
        <v>560</v>
      </c>
      <c r="B570" t="str">
        <f>IF(Sales_Deals!I561&lt;&gt;"",IF(AND(Sales_Deals!I561&gt;DATE(2024,9,30),Sales_Deals!I561&lt;=DATE(2025,3,31)),Sales_Deals!J561,""),"")</f>
        <v/>
      </c>
      <c r="C570" t="str">
        <f>IF(Sales_Deals!I561&lt;&gt;"",IF(AND(Sales_Deals!I561&gt;DATE(2024,3,31),Sales_Deals!I561&lt;=DATE(2024,9,30)),Sales_Deals!J561,""),"")</f>
        <v/>
      </c>
    </row>
    <row r="571" spans="1:3" x14ac:dyDescent="0.35">
      <c r="A571">
        <v>561</v>
      </c>
      <c r="B571" t="str">
        <f>IF(Sales_Deals!I562&lt;&gt;"",IF(AND(Sales_Deals!I562&gt;DATE(2024,9,30),Sales_Deals!I562&lt;=DATE(2025,3,31)),Sales_Deals!J562,""),"")</f>
        <v/>
      </c>
      <c r="C571" t="str">
        <f>IF(Sales_Deals!I562&lt;&gt;"",IF(AND(Sales_Deals!I562&gt;DATE(2024,3,31),Sales_Deals!I562&lt;=DATE(2024,9,30)),Sales_Deals!J562,""),"")</f>
        <v/>
      </c>
    </row>
    <row r="572" spans="1:3" x14ac:dyDescent="0.35">
      <c r="A572">
        <v>562</v>
      </c>
      <c r="B572">
        <f>IF(Sales_Deals!I563&lt;&gt;"",IF(AND(Sales_Deals!I563&gt;DATE(2024,9,30),Sales_Deals!I563&lt;=DATE(2025,3,31)),Sales_Deals!J563,""),"")</f>
        <v>128</v>
      </c>
      <c r="C572" t="str">
        <f>IF(Sales_Deals!I563&lt;&gt;"",IF(AND(Sales_Deals!I563&gt;DATE(2024,3,31),Sales_Deals!I563&lt;=DATE(2024,9,30)),Sales_Deals!J563,""),"")</f>
        <v/>
      </c>
    </row>
    <row r="573" spans="1:3" x14ac:dyDescent="0.35">
      <c r="A573">
        <v>563</v>
      </c>
      <c r="B573">
        <f>IF(Sales_Deals!I564&lt;&gt;"",IF(AND(Sales_Deals!I564&gt;DATE(2024,9,30),Sales_Deals!I564&lt;=DATE(2025,3,31)),Sales_Deals!J564,""),"")</f>
        <v>150</v>
      </c>
      <c r="C573" t="str">
        <f>IF(Sales_Deals!I564&lt;&gt;"",IF(AND(Sales_Deals!I564&gt;DATE(2024,3,31),Sales_Deals!I564&lt;=DATE(2024,9,30)),Sales_Deals!J564,""),"")</f>
        <v/>
      </c>
    </row>
    <row r="574" spans="1:3" x14ac:dyDescent="0.35">
      <c r="A574">
        <v>564</v>
      </c>
      <c r="B574" t="str">
        <f>IF(Sales_Deals!I565&lt;&gt;"",IF(AND(Sales_Deals!I565&gt;DATE(2024,9,30),Sales_Deals!I565&lt;=DATE(2025,3,31)),Sales_Deals!J565,""),"")</f>
        <v/>
      </c>
      <c r="C574" t="str">
        <f>IF(Sales_Deals!I565&lt;&gt;"",IF(AND(Sales_Deals!I565&gt;DATE(2024,3,31),Sales_Deals!I565&lt;=DATE(2024,9,30)),Sales_Deals!J565,""),"")</f>
        <v/>
      </c>
    </row>
    <row r="575" spans="1:3" x14ac:dyDescent="0.35">
      <c r="A575">
        <v>565</v>
      </c>
      <c r="B575" t="str">
        <f>IF(Sales_Deals!I566&lt;&gt;"",IF(AND(Sales_Deals!I566&gt;DATE(2024,9,30),Sales_Deals!I566&lt;=DATE(2025,3,31)),Sales_Deals!J566,""),"")</f>
        <v/>
      </c>
      <c r="C575" t="str">
        <f>IF(Sales_Deals!I566&lt;&gt;"",IF(AND(Sales_Deals!I566&gt;DATE(2024,3,31),Sales_Deals!I566&lt;=DATE(2024,9,30)),Sales_Deals!J566,""),"")</f>
        <v/>
      </c>
    </row>
    <row r="576" spans="1:3" x14ac:dyDescent="0.35">
      <c r="A576">
        <v>566</v>
      </c>
      <c r="B576" t="str">
        <f>IF(Sales_Deals!I567&lt;&gt;"",IF(AND(Sales_Deals!I567&gt;DATE(2024,9,30),Sales_Deals!I567&lt;=DATE(2025,3,31)),Sales_Deals!J567,""),"")</f>
        <v/>
      </c>
      <c r="C576" t="str">
        <f>IF(Sales_Deals!I567&lt;&gt;"",IF(AND(Sales_Deals!I567&gt;DATE(2024,3,31),Sales_Deals!I567&lt;=DATE(2024,9,30)),Sales_Deals!J567,""),"")</f>
        <v/>
      </c>
    </row>
    <row r="577" spans="1:3" x14ac:dyDescent="0.35">
      <c r="A577">
        <v>567</v>
      </c>
      <c r="B577" t="str">
        <f>IF(Sales_Deals!I568&lt;&gt;"",IF(AND(Sales_Deals!I568&gt;DATE(2024,9,30),Sales_Deals!I568&lt;=DATE(2025,3,31)),Sales_Deals!J568,""),"")</f>
        <v/>
      </c>
      <c r="C577" t="str">
        <f>IF(Sales_Deals!I568&lt;&gt;"",IF(AND(Sales_Deals!I568&gt;DATE(2024,3,31),Sales_Deals!I568&lt;=DATE(2024,9,30)),Sales_Deals!J568,""),"")</f>
        <v/>
      </c>
    </row>
    <row r="578" spans="1:3" x14ac:dyDescent="0.35">
      <c r="A578">
        <v>568</v>
      </c>
      <c r="B578" t="str">
        <f>IF(Sales_Deals!I569&lt;&gt;"",IF(AND(Sales_Deals!I569&gt;DATE(2024,9,30),Sales_Deals!I569&lt;=DATE(2025,3,31)),Sales_Deals!J569,""),"")</f>
        <v/>
      </c>
      <c r="C578" t="str">
        <f>IF(Sales_Deals!I569&lt;&gt;"",IF(AND(Sales_Deals!I569&gt;DATE(2024,3,31),Sales_Deals!I569&lt;=DATE(2024,9,30)),Sales_Deals!J569,""),"")</f>
        <v/>
      </c>
    </row>
    <row r="579" spans="1:3" x14ac:dyDescent="0.35">
      <c r="A579">
        <v>569</v>
      </c>
      <c r="B579" t="str">
        <f>IF(Sales_Deals!I570&lt;&gt;"",IF(AND(Sales_Deals!I570&gt;DATE(2024,9,30),Sales_Deals!I570&lt;=DATE(2025,3,31)),Sales_Deals!J570,""),"")</f>
        <v/>
      </c>
      <c r="C579" t="str">
        <f>IF(Sales_Deals!I570&lt;&gt;"",IF(AND(Sales_Deals!I570&gt;DATE(2024,3,31),Sales_Deals!I570&lt;=DATE(2024,9,30)),Sales_Deals!J570,""),"")</f>
        <v/>
      </c>
    </row>
    <row r="580" spans="1:3" x14ac:dyDescent="0.35">
      <c r="A580">
        <v>570</v>
      </c>
      <c r="B580" t="str">
        <f>IF(Sales_Deals!I571&lt;&gt;"",IF(AND(Sales_Deals!I571&gt;DATE(2024,9,30),Sales_Deals!I571&lt;=DATE(2025,3,31)),Sales_Deals!J571,""),"")</f>
        <v/>
      </c>
      <c r="C580" t="str">
        <f>IF(Sales_Deals!I571&lt;&gt;"",IF(AND(Sales_Deals!I571&gt;DATE(2024,3,31),Sales_Deals!I571&lt;=DATE(2024,9,30)),Sales_Deals!J571,""),"")</f>
        <v/>
      </c>
    </row>
    <row r="581" spans="1:3" x14ac:dyDescent="0.35">
      <c r="A581">
        <v>571</v>
      </c>
      <c r="B581" t="str">
        <f>IF(Sales_Deals!I572&lt;&gt;"",IF(AND(Sales_Deals!I572&gt;DATE(2024,9,30),Sales_Deals!I572&lt;=DATE(2025,3,31)),Sales_Deals!J572,""),"")</f>
        <v/>
      </c>
      <c r="C581" t="str">
        <f>IF(Sales_Deals!I572&lt;&gt;"",IF(AND(Sales_Deals!I572&gt;DATE(2024,3,31),Sales_Deals!I572&lt;=DATE(2024,9,30)),Sales_Deals!J572,""),"")</f>
        <v/>
      </c>
    </row>
    <row r="582" spans="1:3" x14ac:dyDescent="0.35">
      <c r="A582">
        <v>572</v>
      </c>
      <c r="B582" t="str">
        <f>IF(Sales_Deals!I573&lt;&gt;"",IF(AND(Sales_Deals!I573&gt;DATE(2024,9,30),Sales_Deals!I573&lt;=DATE(2025,3,31)),Sales_Deals!J573,""),"")</f>
        <v/>
      </c>
      <c r="C582" t="str">
        <f>IF(Sales_Deals!I573&lt;&gt;"",IF(AND(Sales_Deals!I573&gt;DATE(2024,3,31),Sales_Deals!I573&lt;=DATE(2024,9,30)),Sales_Deals!J573,""),"")</f>
        <v/>
      </c>
    </row>
    <row r="583" spans="1:3" x14ac:dyDescent="0.35">
      <c r="A583">
        <v>573</v>
      </c>
      <c r="B583">
        <f>IF(Sales_Deals!I574&lt;&gt;"",IF(AND(Sales_Deals!I574&gt;DATE(2024,9,30),Sales_Deals!I574&lt;=DATE(2025,3,31)),Sales_Deals!J574,""),"")</f>
        <v>111</v>
      </c>
      <c r="C583" t="str">
        <f>IF(Sales_Deals!I574&lt;&gt;"",IF(AND(Sales_Deals!I574&gt;DATE(2024,3,31),Sales_Deals!I574&lt;=DATE(2024,9,30)),Sales_Deals!J574,""),"")</f>
        <v/>
      </c>
    </row>
    <row r="584" spans="1:3" x14ac:dyDescent="0.35">
      <c r="A584">
        <v>574</v>
      </c>
      <c r="B584" t="str">
        <f>IF(Sales_Deals!I575&lt;&gt;"",IF(AND(Sales_Deals!I575&gt;DATE(2024,9,30),Sales_Deals!I575&lt;=DATE(2025,3,31)),Sales_Deals!J575,""),"")</f>
        <v/>
      </c>
      <c r="C584" t="str">
        <f>IF(Sales_Deals!I575&lt;&gt;"",IF(AND(Sales_Deals!I575&gt;DATE(2024,3,31),Sales_Deals!I575&lt;=DATE(2024,9,30)),Sales_Deals!J575,""),"")</f>
        <v/>
      </c>
    </row>
    <row r="585" spans="1:3" x14ac:dyDescent="0.35">
      <c r="A585">
        <v>575</v>
      </c>
      <c r="B585" t="str">
        <f>IF(Sales_Deals!I576&lt;&gt;"",IF(AND(Sales_Deals!I576&gt;DATE(2024,9,30),Sales_Deals!I576&lt;=DATE(2025,3,31)),Sales_Deals!J576,""),"")</f>
        <v/>
      </c>
      <c r="C585" t="str">
        <f>IF(Sales_Deals!I576&lt;&gt;"",IF(AND(Sales_Deals!I576&gt;DATE(2024,3,31),Sales_Deals!I576&lt;=DATE(2024,9,30)),Sales_Deals!J576,""),"")</f>
        <v/>
      </c>
    </row>
    <row r="586" spans="1:3" x14ac:dyDescent="0.35">
      <c r="A586">
        <v>576</v>
      </c>
      <c r="B586" t="str">
        <f>IF(Sales_Deals!I577&lt;&gt;"",IF(AND(Sales_Deals!I577&gt;DATE(2024,9,30),Sales_Deals!I577&lt;=DATE(2025,3,31)),Sales_Deals!J577,""),"")</f>
        <v/>
      </c>
      <c r="C586" t="str">
        <f>IF(Sales_Deals!I577&lt;&gt;"",IF(AND(Sales_Deals!I577&gt;DATE(2024,3,31),Sales_Deals!I577&lt;=DATE(2024,9,30)),Sales_Deals!J577,""),"")</f>
        <v/>
      </c>
    </row>
    <row r="587" spans="1:3" x14ac:dyDescent="0.35">
      <c r="A587">
        <v>577</v>
      </c>
      <c r="B587" t="str">
        <f>IF(Sales_Deals!I578&lt;&gt;"",IF(AND(Sales_Deals!I578&gt;DATE(2024,9,30),Sales_Deals!I578&lt;=DATE(2025,3,31)),Sales_Deals!J578,""),"")</f>
        <v/>
      </c>
      <c r="C587" t="str">
        <f>IF(Sales_Deals!I578&lt;&gt;"",IF(AND(Sales_Deals!I578&gt;DATE(2024,3,31),Sales_Deals!I578&lt;=DATE(2024,9,30)),Sales_Deals!J578,""),"")</f>
        <v/>
      </c>
    </row>
    <row r="588" spans="1:3" x14ac:dyDescent="0.35">
      <c r="A588">
        <v>578</v>
      </c>
      <c r="B588" t="str">
        <f>IF(Sales_Deals!I579&lt;&gt;"",IF(AND(Sales_Deals!I579&gt;DATE(2024,9,30),Sales_Deals!I579&lt;=DATE(2025,3,31)),Sales_Deals!J579,""),"")</f>
        <v/>
      </c>
      <c r="C588" t="str">
        <f>IF(Sales_Deals!I579&lt;&gt;"",IF(AND(Sales_Deals!I579&gt;DATE(2024,3,31),Sales_Deals!I579&lt;=DATE(2024,9,30)),Sales_Deals!J579,""),"")</f>
        <v/>
      </c>
    </row>
    <row r="589" spans="1:3" x14ac:dyDescent="0.35">
      <c r="A589">
        <v>579</v>
      </c>
      <c r="B589" t="str">
        <f>IF(Sales_Deals!I580&lt;&gt;"",IF(AND(Sales_Deals!I580&gt;DATE(2024,9,30),Sales_Deals!I580&lt;=DATE(2025,3,31)),Sales_Deals!J580,""),"")</f>
        <v/>
      </c>
      <c r="C589" t="str">
        <f>IF(Sales_Deals!I580&lt;&gt;"",IF(AND(Sales_Deals!I580&gt;DATE(2024,3,31),Sales_Deals!I580&lt;=DATE(2024,9,30)),Sales_Deals!J580,""),"")</f>
        <v/>
      </c>
    </row>
    <row r="590" spans="1:3" x14ac:dyDescent="0.35">
      <c r="A590">
        <v>580</v>
      </c>
      <c r="B590" t="str">
        <f>IF(Sales_Deals!I581&lt;&gt;"",IF(AND(Sales_Deals!I581&gt;DATE(2024,9,30),Sales_Deals!I581&lt;=DATE(2025,3,31)),Sales_Deals!J581,""),"")</f>
        <v/>
      </c>
      <c r="C590" t="str">
        <f>IF(Sales_Deals!I581&lt;&gt;"",IF(AND(Sales_Deals!I581&gt;DATE(2024,3,31),Sales_Deals!I581&lt;=DATE(2024,9,30)),Sales_Deals!J581,""),"")</f>
        <v/>
      </c>
    </row>
    <row r="591" spans="1:3" x14ac:dyDescent="0.35">
      <c r="A591">
        <v>581</v>
      </c>
      <c r="B591" t="str">
        <f>IF(Sales_Deals!I582&lt;&gt;"",IF(AND(Sales_Deals!I582&gt;DATE(2024,9,30),Sales_Deals!I582&lt;=DATE(2025,3,31)),Sales_Deals!J582,""),"")</f>
        <v/>
      </c>
      <c r="C591">
        <f>IF(Sales_Deals!I582&lt;&gt;"",IF(AND(Sales_Deals!I582&gt;DATE(2024,3,31),Sales_Deals!I582&lt;=DATE(2024,9,30)),Sales_Deals!J582,""),"")</f>
        <v>88</v>
      </c>
    </row>
    <row r="592" spans="1:3" x14ac:dyDescent="0.35">
      <c r="A592">
        <v>582</v>
      </c>
      <c r="B592" t="str">
        <f>IF(Sales_Deals!I583&lt;&gt;"",IF(AND(Sales_Deals!I583&gt;DATE(2024,9,30),Sales_Deals!I583&lt;=DATE(2025,3,31)),Sales_Deals!J583,""),"")</f>
        <v/>
      </c>
      <c r="C592" t="str">
        <f>IF(Sales_Deals!I583&lt;&gt;"",IF(AND(Sales_Deals!I583&gt;DATE(2024,3,31),Sales_Deals!I583&lt;=DATE(2024,9,30)),Sales_Deals!J583,""),"")</f>
        <v/>
      </c>
    </row>
    <row r="593" spans="1:3" x14ac:dyDescent="0.35">
      <c r="A593">
        <v>583</v>
      </c>
      <c r="B593" t="str">
        <f>IF(Sales_Deals!I584&lt;&gt;"",IF(AND(Sales_Deals!I584&gt;DATE(2024,9,30),Sales_Deals!I584&lt;=DATE(2025,3,31)),Sales_Deals!J584,""),"")</f>
        <v/>
      </c>
      <c r="C593" t="str">
        <f>IF(Sales_Deals!I584&lt;&gt;"",IF(AND(Sales_Deals!I584&gt;DATE(2024,3,31),Sales_Deals!I584&lt;=DATE(2024,9,30)),Sales_Deals!J584,""),"")</f>
        <v/>
      </c>
    </row>
    <row r="594" spans="1:3" x14ac:dyDescent="0.35">
      <c r="A594">
        <v>584</v>
      </c>
      <c r="B594" t="str">
        <f>IF(Sales_Deals!I585&lt;&gt;"",IF(AND(Sales_Deals!I585&gt;DATE(2024,9,30),Sales_Deals!I585&lt;=DATE(2025,3,31)),Sales_Deals!J585,""),"")</f>
        <v/>
      </c>
      <c r="C594" t="str">
        <f>IF(Sales_Deals!I585&lt;&gt;"",IF(AND(Sales_Deals!I585&gt;DATE(2024,3,31),Sales_Deals!I585&lt;=DATE(2024,9,30)),Sales_Deals!J585,""),"")</f>
        <v/>
      </c>
    </row>
    <row r="595" spans="1:3" x14ac:dyDescent="0.35">
      <c r="A595">
        <v>585</v>
      </c>
      <c r="B595" t="str">
        <f>IF(Sales_Deals!I586&lt;&gt;"",IF(AND(Sales_Deals!I586&gt;DATE(2024,9,30),Sales_Deals!I586&lt;=DATE(2025,3,31)),Sales_Deals!J586,""),"")</f>
        <v/>
      </c>
      <c r="C595" t="str">
        <f>IF(Sales_Deals!I586&lt;&gt;"",IF(AND(Sales_Deals!I586&gt;DATE(2024,3,31),Sales_Deals!I586&lt;=DATE(2024,9,30)),Sales_Deals!J586,""),"")</f>
        <v/>
      </c>
    </row>
    <row r="596" spans="1:3" x14ac:dyDescent="0.35">
      <c r="A596">
        <v>586</v>
      </c>
      <c r="B596" t="str">
        <f>IF(Sales_Deals!I587&lt;&gt;"",IF(AND(Sales_Deals!I587&gt;DATE(2024,9,30),Sales_Deals!I587&lt;=DATE(2025,3,31)),Sales_Deals!J587,""),"")</f>
        <v/>
      </c>
      <c r="C596" t="str">
        <f>IF(Sales_Deals!I587&lt;&gt;"",IF(AND(Sales_Deals!I587&gt;DATE(2024,3,31),Sales_Deals!I587&lt;=DATE(2024,9,30)),Sales_Deals!J587,""),"")</f>
        <v/>
      </c>
    </row>
    <row r="597" spans="1:3" x14ac:dyDescent="0.35">
      <c r="A597">
        <v>587</v>
      </c>
      <c r="B597" t="str">
        <f>IF(Sales_Deals!I588&lt;&gt;"",IF(AND(Sales_Deals!I588&gt;DATE(2024,9,30),Sales_Deals!I588&lt;=DATE(2025,3,31)),Sales_Deals!J588,""),"")</f>
        <v/>
      </c>
      <c r="C597" t="str">
        <f>IF(Sales_Deals!I588&lt;&gt;"",IF(AND(Sales_Deals!I588&gt;DATE(2024,3,31),Sales_Deals!I588&lt;=DATE(2024,9,30)),Sales_Deals!J588,""),"")</f>
        <v/>
      </c>
    </row>
    <row r="598" spans="1:3" x14ac:dyDescent="0.35">
      <c r="A598">
        <v>588</v>
      </c>
      <c r="B598" t="str">
        <f>IF(Sales_Deals!I589&lt;&gt;"",IF(AND(Sales_Deals!I589&gt;DATE(2024,9,30),Sales_Deals!I589&lt;=DATE(2025,3,31)),Sales_Deals!J589,""),"")</f>
        <v/>
      </c>
      <c r="C598" t="str">
        <f>IF(Sales_Deals!I589&lt;&gt;"",IF(AND(Sales_Deals!I589&gt;DATE(2024,3,31),Sales_Deals!I589&lt;=DATE(2024,9,30)),Sales_Deals!J589,""),"")</f>
        <v/>
      </c>
    </row>
    <row r="599" spans="1:3" x14ac:dyDescent="0.35">
      <c r="A599">
        <v>589</v>
      </c>
      <c r="B599" t="str">
        <f>IF(Sales_Deals!I590&lt;&gt;"",IF(AND(Sales_Deals!I590&gt;DATE(2024,9,30),Sales_Deals!I590&lt;=DATE(2025,3,31)),Sales_Deals!J590,""),"")</f>
        <v/>
      </c>
      <c r="C599" t="str">
        <f>IF(Sales_Deals!I590&lt;&gt;"",IF(AND(Sales_Deals!I590&gt;DATE(2024,3,31),Sales_Deals!I590&lt;=DATE(2024,9,30)),Sales_Deals!J590,""),"")</f>
        <v/>
      </c>
    </row>
    <row r="600" spans="1:3" x14ac:dyDescent="0.35">
      <c r="A600">
        <v>590</v>
      </c>
      <c r="B600">
        <f>IF(Sales_Deals!I591&lt;&gt;"",IF(AND(Sales_Deals!I591&gt;DATE(2024,9,30),Sales_Deals!I591&lt;=DATE(2025,3,31)),Sales_Deals!J591,""),"")</f>
        <v>74</v>
      </c>
      <c r="C600" t="str">
        <f>IF(Sales_Deals!I591&lt;&gt;"",IF(AND(Sales_Deals!I591&gt;DATE(2024,3,31),Sales_Deals!I591&lt;=DATE(2024,9,30)),Sales_Deals!J591,""),"")</f>
        <v/>
      </c>
    </row>
    <row r="601" spans="1:3" x14ac:dyDescent="0.35">
      <c r="A601">
        <v>591</v>
      </c>
      <c r="B601" t="str">
        <f>IF(Sales_Deals!I592&lt;&gt;"",IF(AND(Sales_Deals!I592&gt;DATE(2024,9,30),Sales_Deals!I592&lt;=DATE(2025,3,31)),Sales_Deals!J592,""),"")</f>
        <v/>
      </c>
      <c r="C601" t="str">
        <f>IF(Sales_Deals!I592&lt;&gt;"",IF(AND(Sales_Deals!I592&gt;DATE(2024,3,31),Sales_Deals!I592&lt;=DATE(2024,9,30)),Sales_Deals!J592,""),"")</f>
        <v/>
      </c>
    </row>
    <row r="602" spans="1:3" x14ac:dyDescent="0.35">
      <c r="A602">
        <v>592</v>
      </c>
      <c r="B602" t="str">
        <f>IF(Sales_Deals!I593&lt;&gt;"",IF(AND(Sales_Deals!I593&gt;DATE(2024,9,30),Sales_Deals!I593&lt;=DATE(2025,3,31)),Sales_Deals!J593,""),"")</f>
        <v/>
      </c>
      <c r="C602" t="str">
        <f>IF(Sales_Deals!I593&lt;&gt;"",IF(AND(Sales_Deals!I593&gt;DATE(2024,3,31),Sales_Deals!I593&lt;=DATE(2024,9,30)),Sales_Deals!J593,""),"")</f>
        <v/>
      </c>
    </row>
    <row r="603" spans="1:3" x14ac:dyDescent="0.35">
      <c r="A603">
        <v>593</v>
      </c>
      <c r="B603" t="str">
        <f>IF(Sales_Deals!I594&lt;&gt;"",IF(AND(Sales_Deals!I594&gt;DATE(2024,9,30),Sales_Deals!I594&lt;=DATE(2025,3,31)),Sales_Deals!J594,""),"")</f>
        <v/>
      </c>
      <c r="C603" t="str">
        <f>IF(Sales_Deals!I594&lt;&gt;"",IF(AND(Sales_Deals!I594&gt;DATE(2024,3,31),Sales_Deals!I594&lt;=DATE(2024,9,30)),Sales_Deals!J594,""),"")</f>
        <v/>
      </c>
    </row>
    <row r="604" spans="1:3" x14ac:dyDescent="0.35">
      <c r="A604">
        <v>594</v>
      </c>
      <c r="B604" t="str">
        <f>IF(Sales_Deals!I595&lt;&gt;"",IF(AND(Sales_Deals!I595&gt;DATE(2024,9,30),Sales_Deals!I595&lt;=DATE(2025,3,31)),Sales_Deals!J595,""),"")</f>
        <v/>
      </c>
      <c r="C604" t="str">
        <f>IF(Sales_Deals!I595&lt;&gt;"",IF(AND(Sales_Deals!I595&gt;DATE(2024,3,31),Sales_Deals!I595&lt;=DATE(2024,9,30)),Sales_Deals!J595,""),"")</f>
        <v/>
      </c>
    </row>
    <row r="605" spans="1:3" x14ac:dyDescent="0.35">
      <c r="A605">
        <v>595</v>
      </c>
      <c r="B605" t="str">
        <f>IF(Sales_Deals!I596&lt;&gt;"",IF(AND(Sales_Deals!I596&gt;DATE(2024,9,30),Sales_Deals!I596&lt;=DATE(2025,3,31)),Sales_Deals!J596,""),"")</f>
        <v/>
      </c>
      <c r="C605" t="str">
        <f>IF(Sales_Deals!I596&lt;&gt;"",IF(AND(Sales_Deals!I596&gt;DATE(2024,3,31),Sales_Deals!I596&lt;=DATE(2024,9,30)),Sales_Deals!J596,""),"")</f>
        <v/>
      </c>
    </row>
    <row r="606" spans="1:3" x14ac:dyDescent="0.35">
      <c r="A606">
        <v>596</v>
      </c>
      <c r="B606" t="str">
        <f>IF(Sales_Deals!I597&lt;&gt;"",IF(AND(Sales_Deals!I597&gt;DATE(2024,9,30),Sales_Deals!I597&lt;=DATE(2025,3,31)),Sales_Deals!J597,""),"")</f>
        <v/>
      </c>
      <c r="C606" t="str">
        <f>IF(Sales_Deals!I597&lt;&gt;"",IF(AND(Sales_Deals!I597&gt;DATE(2024,3,31),Sales_Deals!I597&lt;=DATE(2024,9,30)),Sales_Deals!J597,""),"")</f>
        <v/>
      </c>
    </row>
    <row r="607" spans="1:3" x14ac:dyDescent="0.35">
      <c r="A607">
        <v>597</v>
      </c>
      <c r="B607" t="str">
        <f>IF(Sales_Deals!I598&lt;&gt;"",IF(AND(Sales_Deals!I598&gt;DATE(2024,9,30),Sales_Deals!I598&lt;=DATE(2025,3,31)),Sales_Deals!J598,""),"")</f>
        <v/>
      </c>
      <c r="C607" t="str">
        <f>IF(Sales_Deals!I598&lt;&gt;"",IF(AND(Sales_Deals!I598&gt;DATE(2024,3,31),Sales_Deals!I598&lt;=DATE(2024,9,30)),Sales_Deals!J598,""),"")</f>
        <v/>
      </c>
    </row>
    <row r="608" spans="1:3" x14ac:dyDescent="0.35">
      <c r="A608">
        <v>598</v>
      </c>
      <c r="B608">
        <f>IF(Sales_Deals!I599&lt;&gt;"",IF(AND(Sales_Deals!I599&gt;DATE(2024,9,30),Sales_Deals!I599&lt;=DATE(2025,3,31)),Sales_Deals!J599,""),"")</f>
        <v>180</v>
      </c>
      <c r="C608" t="str">
        <f>IF(Sales_Deals!I599&lt;&gt;"",IF(AND(Sales_Deals!I599&gt;DATE(2024,3,31),Sales_Deals!I599&lt;=DATE(2024,9,30)),Sales_Deals!J599,""),"")</f>
        <v/>
      </c>
    </row>
    <row r="609" spans="1:3" x14ac:dyDescent="0.35">
      <c r="A609">
        <v>599</v>
      </c>
      <c r="B609" t="str">
        <f>IF(Sales_Deals!I600&lt;&gt;"",IF(AND(Sales_Deals!I600&gt;DATE(2024,9,30),Sales_Deals!I600&lt;=DATE(2025,3,31)),Sales_Deals!J600,""),"")</f>
        <v/>
      </c>
      <c r="C609">
        <f>IF(Sales_Deals!I600&lt;&gt;"",IF(AND(Sales_Deals!I600&gt;DATE(2024,3,31),Sales_Deals!I600&lt;=DATE(2024,9,30)),Sales_Deals!J600,""),"")</f>
        <v>142</v>
      </c>
    </row>
    <row r="610" spans="1:3" x14ac:dyDescent="0.35">
      <c r="A610">
        <v>600</v>
      </c>
      <c r="B610" t="str">
        <f>IF(Sales_Deals!I601&lt;&gt;"",IF(AND(Sales_Deals!I601&gt;DATE(2024,9,30),Sales_Deals!I601&lt;=DATE(2025,3,31)),Sales_Deals!J601,""),"")</f>
        <v/>
      </c>
      <c r="C610" t="str">
        <f>IF(Sales_Deals!I601&lt;&gt;"",IF(AND(Sales_Deals!I601&gt;DATE(2024,3,31),Sales_Deals!I601&lt;=DATE(2024,9,30)),Sales_Deals!J601,""),"")</f>
        <v/>
      </c>
    </row>
    <row r="611" spans="1:3" x14ac:dyDescent="0.35">
      <c r="A611">
        <v>601</v>
      </c>
      <c r="B611" t="str">
        <f>IF(Sales_Deals!I602&lt;&gt;"",IF(AND(Sales_Deals!I602&gt;DATE(2024,9,30),Sales_Deals!I602&lt;=DATE(2025,3,31)),Sales_Deals!J602,""),"")</f>
        <v/>
      </c>
      <c r="C611" t="str">
        <f>IF(Sales_Deals!I602&lt;&gt;"",IF(AND(Sales_Deals!I602&gt;DATE(2024,3,31),Sales_Deals!I602&lt;=DATE(2024,9,30)),Sales_Deals!J602,""),"")</f>
        <v/>
      </c>
    </row>
    <row r="612" spans="1:3" x14ac:dyDescent="0.35">
      <c r="A612">
        <v>602</v>
      </c>
      <c r="B612" t="str">
        <f>IF(Sales_Deals!I603&lt;&gt;"",IF(AND(Sales_Deals!I603&gt;DATE(2024,9,30),Sales_Deals!I603&lt;=DATE(2025,3,31)),Sales_Deals!J603,""),"")</f>
        <v/>
      </c>
      <c r="C612" t="str">
        <f>IF(Sales_Deals!I603&lt;&gt;"",IF(AND(Sales_Deals!I603&gt;DATE(2024,3,31),Sales_Deals!I603&lt;=DATE(2024,9,30)),Sales_Deals!J603,""),"")</f>
        <v/>
      </c>
    </row>
    <row r="613" spans="1:3" x14ac:dyDescent="0.35">
      <c r="A613">
        <v>603</v>
      </c>
      <c r="B613" t="str">
        <f>IF(Sales_Deals!I604&lt;&gt;"",IF(AND(Sales_Deals!I604&gt;DATE(2024,9,30),Sales_Deals!I604&lt;=DATE(2025,3,31)),Sales_Deals!J604,""),"")</f>
        <v/>
      </c>
      <c r="C613" t="str">
        <f>IF(Sales_Deals!I604&lt;&gt;"",IF(AND(Sales_Deals!I604&gt;DATE(2024,3,31),Sales_Deals!I604&lt;=DATE(2024,9,30)),Sales_Deals!J604,""),"")</f>
        <v/>
      </c>
    </row>
    <row r="614" spans="1:3" x14ac:dyDescent="0.35">
      <c r="A614">
        <v>604</v>
      </c>
      <c r="B614" t="str">
        <f>IF(Sales_Deals!I605&lt;&gt;"",IF(AND(Sales_Deals!I605&gt;DATE(2024,9,30),Sales_Deals!I605&lt;=DATE(2025,3,31)),Sales_Deals!J605,""),"")</f>
        <v/>
      </c>
      <c r="C614" t="str">
        <f>IF(Sales_Deals!I605&lt;&gt;"",IF(AND(Sales_Deals!I605&gt;DATE(2024,3,31),Sales_Deals!I605&lt;=DATE(2024,9,30)),Sales_Deals!J605,""),"")</f>
        <v/>
      </c>
    </row>
    <row r="615" spans="1:3" x14ac:dyDescent="0.35">
      <c r="A615">
        <v>605</v>
      </c>
      <c r="B615" t="str">
        <f>IF(Sales_Deals!I606&lt;&gt;"",IF(AND(Sales_Deals!I606&gt;DATE(2024,9,30),Sales_Deals!I606&lt;=DATE(2025,3,31)),Sales_Deals!J606,""),"")</f>
        <v/>
      </c>
      <c r="C615" t="str">
        <f>IF(Sales_Deals!I606&lt;&gt;"",IF(AND(Sales_Deals!I606&gt;DATE(2024,3,31),Sales_Deals!I606&lt;=DATE(2024,9,30)),Sales_Deals!J606,""),"")</f>
        <v/>
      </c>
    </row>
    <row r="616" spans="1:3" x14ac:dyDescent="0.35">
      <c r="A616">
        <v>606</v>
      </c>
      <c r="B616" t="str">
        <f>IF(Sales_Deals!I607&lt;&gt;"",IF(AND(Sales_Deals!I607&gt;DATE(2024,9,30),Sales_Deals!I607&lt;=DATE(2025,3,31)),Sales_Deals!J607,""),"")</f>
        <v/>
      </c>
      <c r="C616" t="str">
        <f>IF(Sales_Deals!I607&lt;&gt;"",IF(AND(Sales_Deals!I607&gt;DATE(2024,3,31),Sales_Deals!I607&lt;=DATE(2024,9,30)),Sales_Deals!J607,""),"")</f>
        <v/>
      </c>
    </row>
    <row r="617" spans="1:3" x14ac:dyDescent="0.35">
      <c r="A617">
        <v>607</v>
      </c>
      <c r="B617" t="str">
        <f>IF(Sales_Deals!I608&lt;&gt;"",IF(AND(Sales_Deals!I608&gt;DATE(2024,9,30),Sales_Deals!I608&lt;=DATE(2025,3,31)),Sales_Deals!J608,""),"")</f>
        <v/>
      </c>
      <c r="C617" t="str">
        <f>IF(Sales_Deals!I608&lt;&gt;"",IF(AND(Sales_Deals!I608&gt;DATE(2024,3,31),Sales_Deals!I608&lt;=DATE(2024,9,30)),Sales_Deals!J608,""),"")</f>
        <v/>
      </c>
    </row>
    <row r="618" spans="1:3" x14ac:dyDescent="0.35">
      <c r="A618">
        <v>608</v>
      </c>
      <c r="B618" t="str">
        <f>IF(Sales_Deals!I609&lt;&gt;"",IF(AND(Sales_Deals!I609&gt;DATE(2024,9,30),Sales_Deals!I609&lt;=DATE(2025,3,31)),Sales_Deals!J609,""),"")</f>
        <v/>
      </c>
      <c r="C618" t="str">
        <f>IF(Sales_Deals!I609&lt;&gt;"",IF(AND(Sales_Deals!I609&gt;DATE(2024,3,31),Sales_Deals!I609&lt;=DATE(2024,9,30)),Sales_Deals!J609,""),"")</f>
        <v/>
      </c>
    </row>
    <row r="619" spans="1:3" x14ac:dyDescent="0.35">
      <c r="A619">
        <v>609</v>
      </c>
      <c r="B619" t="str">
        <f>IF(Sales_Deals!I610&lt;&gt;"",IF(AND(Sales_Deals!I610&gt;DATE(2024,9,30),Sales_Deals!I610&lt;=DATE(2025,3,31)),Sales_Deals!J610,""),"")</f>
        <v/>
      </c>
      <c r="C619" t="str">
        <f>IF(Sales_Deals!I610&lt;&gt;"",IF(AND(Sales_Deals!I610&gt;DATE(2024,3,31),Sales_Deals!I610&lt;=DATE(2024,9,30)),Sales_Deals!J610,""),"")</f>
        <v/>
      </c>
    </row>
    <row r="620" spans="1:3" x14ac:dyDescent="0.35">
      <c r="A620">
        <v>610</v>
      </c>
      <c r="B620" t="str">
        <f>IF(Sales_Deals!I611&lt;&gt;"",IF(AND(Sales_Deals!I611&gt;DATE(2024,9,30),Sales_Deals!I611&lt;=DATE(2025,3,31)),Sales_Deals!J611,""),"")</f>
        <v/>
      </c>
      <c r="C620" t="str">
        <f>IF(Sales_Deals!I611&lt;&gt;"",IF(AND(Sales_Deals!I611&gt;DATE(2024,3,31),Sales_Deals!I611&lt;=DATE(2024,9,30)),Sales_Deals!J611,""),"")</f>
        <v/>
      </c>
    </row>
    <row r="621" spans="1:3" x14ac:dyDescent="0.35">
      <c r="A621">
        <v>611</v>
      </c>
      <c r="B621" t="str">
        <f>IF(Sales_Deals!I612&lt;&gt;"",IF(AND(Sales_Deals!I612&gt;DATE(2024,9,30),Sales_Deals!I612&lt;=DATE(2025,3,31)),Sales_Deals!J612,""),"")</f>
        <v/>
      </c>
      <c r="C621" t="str">
        <f>IF(Sales_Deals!I612&lt;&gt;"",IF(AND(Sales_Deals!I612&gt;DATE(2024,3,31),Sales_Deals!I612&lt;=DATE(2024,9,30)),Sales_Deals!J612,""),"")</f>
        <v/>
      </c>
    </row>
    <row r="622" spans="1:3" x14ac:dyDescent="0.35">
      <c r="A622">
        <v>612</v>
      </c>
      <c r="B622" t="str">
        <f>IF(Sales_Deals!I613&lt;&gt;"",IF(AND(Sales_Deals!I613&gt;DATE(2024,9,30),Sales_Deals!I613&lt;=DATE(2025,3,31)),Sales_Deals!J613,""),"")</f>
        <v/>
      </c>
      <c r="C622" t="str">
        <f>IF(Sales_Deals!I613&lt;&gt;"",IF(AND(Sales_Deals!I613&gt;DATE(2024,3,31),Sales_Deals!I613&lt;=DATE(2024,9,30)),Sales_Deals!J613,""),"")</f>
        <v/>
      </c>
    </row>
    <row r="623" spans="1:3" x14ac:dyDescent="0.35">
      <c r="A623">
        <v>613</v>
      </c>
      <c r="B623" t="str">
        <f>IF(Sales_Deals!I614&lt;&gt;"",IF(AND(Sales_Deals!I614&gt;DATE(2024,9,30),Sales_Deals!I614&lt;=DATE(2025,3,31)),Sales_Deals!J614,""),"")</f>
        <v/>
      </c>
      <c r="C623" t="str">
        <f>IF(Sales_Deals!I614&lt;&gt;"",IF(AND(Sales_Deals!I614&gt;DATE(2024,3,31),Sales_Deals!I614&lt;=DATE(2024,9,30)),Sales_Deals!J614,""),"")</f>
        <v/>
      </c>
    </row>
    <row r="624" spans="1:3" x14ac:dyDescent="0.35">
      <c r="A624">
        <v>614</v>
      </c>
      <c r="B624" t="str">
        <f>IF(Sales_Deals!I615&lt;&gt;"",IF(AND(Sales_Deals!I615&gt;DATE(2024,9,30),Sales_Deals!I615&lt;=DATE(2025,3,31)),Sales_Deals!J615,""),"")</f>
        <v/>
      </c>
      <c r="C624" t="str">
        <f>IF(Sales_Deals!I615&lt;&gt;"",IF(AND(Sales_Deals!I615&gt;DATE(2024,3,31),Sales_Deals!I615&lt;=DATE(2024,9,30)),Sales_Deals!J615,""),"")</f>
        <v/>
      </c>
    </row>
    <row r="625" spans="1:3" x14ac:dyDescent="0.35">
      <c r="A625">
        <v>615</v>
      </c>
      <c r="B625" t="str">
        <f>IF(Sales_Deals!I616&lt;&gt;"",IF(AND(Sales_Deals!I616&gt;DATE(2024,9,30),Sales_Deals!I616&lt;=DATE(2025,3,31)),Sales_Deals!J616,""),"")</f>
        <v/>
      </c>
      <c r="C625" t="str">
        <f>IF(Sales_Deals!I616&lt;&gt;"",IF(AND(Sales_Deals!I616&gt;DATE(2024,3,31),Sales_Deals!I616&lt;=DATE(2024,9,30)),Sales_Deals!J616,""),"")</f>
        <v/>
      </c>
    </row>
    <row r="626" spans="1:3" x14ac:dyDescent="0.35">
      <c r="A626">
        <v>616</v>
      </c>
      <c r="B626" t="str">
        <f>IF(Sales_Deals!I617&lt;&gt;"",IF(AND(Sales_Deals!I617&gt;DATE(2024,9,30),Sales_Deals!I617&lt;=DATE(2025,3,31)),Sales_Deals!J617,""),"")</f>
        <v/>
      </c>
      <c r="C626">
        <f>IF(Sales_Deals!I617&lt;&gt;"",IF(AND(Sales_Deals!I617&gt;DATE(2024,3,31),Sales_Deals!I617&lt;=DATE(2024,9,30)),Sales_Deals!J617,""),"")</f>
        <v>123</v>
      </c>
    </row>
    <row r="627" spans="1:3" x14ac:dyDescent="0.35">
      <c r="A627">
        <v>617</v>
      </c>
      <c r="B627" t="str">
        <f>IF(Sales_Deals!I618&lt;&gt;"",IF(AND(Sales_Deals!I618&gt;DATE(2024,9,30),Sales_Deals!I618&lt;=DATE(2025,3,31)),Sales_Deals!J618,""),"")</f>
        <v/>
      </c>
      <c r="C627" t="str">
        <f>IF(Sales_Deals!I618&lt;&gt;"",IF(AND(Sales_Deals!I618&gt;DATE(2024,3,31),Sales_Deals!I618&lt;=DATE(2024,9,30)),Sales_Deals!J618,""),"")</f>
        <v/>
      </c>
    </row>
    <row r="628" spans="1:3" x14ac:dyDescent="0.35">
      <c r="A628">
        <v>618</v>
      </c>
      <c r="B628" t="str">
        <f>IF(Sales_Deals!I619&lt;&gt;"",IF(AND(Sales_Deals!I619&gt;DATE(2024,9,30),Sales_Deals!I619&lt;=DATE(2025,3,31)),Sales_Deals!J619,""),"")</f>
        <v/>
      </c>
      <c r="C628" t="str">
        <f>IF(Sales_Deals!I619&lt;&gt;"",IF(AND(Sales_Deals!I619&gt;DATE(2024,3,31),Sales_Deals!I619&lt;=DATE(2024,9,30)),Sales_Deals!J619,""),"")</f>
        <v/>
      </c>
    </row>
    <row r="629" spans="1:3" x14ac:dyDescent="0.35">
      <c r="A629">
        <v>619</v>
      </c>
      <c r="B629" t="str">
        <f>IF(Sales_Deals!I620&lt;&gt;"",IF(AND(Sales_Deals!I620&gt;DATE(2024,9,30),Sales_Deals!I620&lt;=DATE(2025,3,31)),Sales_Deals!J620,""),"")</f>
        <v/>
      </c>
      <c r="C629" t="str">
        <f>IF(Sales_Deals!I620&lt;&gt;"",IF(AND(Sales_Deals!I620&gt;DATE(2024,3,31),Sales_Deals!I620&lt;=DATE(2024,9,30)),Sales_Deals!J620,""),"")</f>
        <v/>
      </c>
    </row>
    <row r="630" spans="1:3" x14ac:dyDescent="0.35">
      <c r="A630">
        <v>620</v>
      </c>
      <c r="B630" t="str">
        <f>IF(Sales_Deals!I621&lt;&gt;"",IF(AND(Sales_Deals!I621&gt;DATE(2024,9,30),Sales_Deals!I621&lt;=DATE(2025,3,31)),Sales_Deals!J621,""),"")</f>
        <v/>
      </c>
      <c r="C630" t="str">
        <f>IF(Sales_Deals!I621&lt;&gt;"",IF(AND(Sales_Deals!I621&gt;DATE(2024,3,31),Sales_Deals!I621&lt;=DATE(2024,9,30)),Sales_Deals!J621,""),"")</f>
        <v/>
      </c>
    </row>
    <row r="631" spans="1:3" x14ac:dyDescent="0.35">
      <c r="A631">
        <v>621</v>
      </c>
      <c r="B631" t="str">
        <f>IF(Sales_Deals!I622&lt;&gt;"",IF(AND(Sales_Deals!I622&gt;DATE(2024,9,30),Sales_Deals!I622&lt;=DATE(2025,3,31)),Sales_Deals!J622,""),"")</f>
        <v/>
      </c>
      <c r="C631" t="str">
        <f>IF(Sales_Deals!I622&lt;&gt;"",IF(AND(Sales_Deals!I622&gt;DATE(2024,3,31),Sales_Deals!I622&lt;=DATE(2024,9,30)),Sales_Deals!J622,""),"")</f>
        <v/>
      </c>
    </row>
    <row r="632" spans="1:3" x14ac:dyDescent="0.35">
      <c r="A632">
        <v>622</v>
      </c>
      <c r="B632" t="str">
        <f>IF(Sales_Deals!I623&lt;&gt;"",IF(AND(Sales_Deals!I623&gt;DATE(2024,9,30),Sales_Deals!I623&lt;=DATE(2025,3,31)),Sales_Deals!J623,""),"")</f>
        <v/>
      </c>
      <c r="C632" t="str">
        <f>IF(Sales_Deals!I623&lt;&gt;"",IF(AND(Sales_Deals!I623&gt;DATE(2024,3,31),Sales_Deals!I623&lt;=DATE(2024,9,30)),Sales_Deals!J623,""),"")</f>
        <v/>
      </c>
    </row>
    <row r="633" spans="1:3" x14ac:dyDescent="0.35">
      <c r="A633">
        <v>623</v>
      </c>
      <c r="B633" t="str">
        <f>IF(Sales_Deals!I624&lt;&gt;"",IF(AND(Sales_Deals!I624&gt;DATE(2024,9,30),Sales_Deals!I624&lt;=DATE(2025,3,31)),Sales_Deals!J624,""),"")</f>
        <v/>
      </c>
      <c r="C633" t="str">
        <f>IF(Sales_Deals!I624&lt;&gt;"",IF(AND(Sales_Deals!I624&gt;DATE(2024,3,31),Sales_Deals!I624&lt;=DATE(2024,9,30)),Sales_Deals!J624,""),"")</f>
        <v/>
      </c>
    </row>
    <row r="634" spans="1:3" x14ac:dyDescent="0.35">
      <c r="A634">
        <v>624</v>
      </c>
      <c r="B634" t="str">
        <f>IF(Sales_Deals!I625&lt;&gt;"",IF(AND(Sales_Deals!I625&gt;DATE(2024,9,30),Sales_Deals!I625&lt;=DATE(2025,3,31)),Sales_Deals!J625,""),"")</f>
        <v/>
      </c>
      <c r="C634" t="str">
        <f>IF(Sales_Deals!I625&lt;&gt;"",IF(AND(Sales_Deals!I625&gt;DATE(2024,3,31),Sales_Deals!I625&lt;=DATE(2024,9,30)),Sales_Deals!J625,""),"")</f>
        <v/>
      </c>
    </row>
    <row r="635" spans="1:3" x14ac:dyDescent="0.35">
      <c r="A635">
        <v>625</v>
      </c>
      <c r="B635" t="str">
        <f>IF(Sales_Deals!I626&lt;&gt;"",IF(AND(Sales_Deals!I626&gt;DATE(2024,9,30),Sales_Deals!I626&lt;=DATE(2025,3,31)),Sales_Deals!J626,""),"")</f>
        <v/>
      </c>
      <c r="C635" t="str">
        <f>IF(Sales_Deals!I626&lt;&gt;"",IF(AND(Sales_Deals!I626&gt;DATE(2024,3,31),Sales_Deals!I626&lt;=DATE(2024,9,30)),Sales_Deals!J626,""),"")</f>
        <v/>
      </c>
    </row>
    <row r="636" spans="1:3" x14ac:dyDescent="0.35">
      <c r="A636">
        <v>626</v>
      </c>
      <c r="B636">
        <f>IF(Sales_Deals!I627&lt;&gt;"",IF(AND(Sales_Deals!I627&gt;DATE(2024,9,30),Sales_Deals!I627&lt;=DATE(2025,3,31)),Sales_Deals!J627,""),"")</f>
        <v>104</v>
      </c>
      <c r="C636" t="str">
        <f>IF(Sales_Deals!I627&lt;&gt;"",IF(AND(Sales_Deals!I627&gt;DATE(2024,3,31),Sales_Deals!I627&lt;=DATE(2024,9,30)),Sales_Deals!J627,""),"")</f>
        <v/>
      </c>
    </row>
    <row r="637" spans="1:3" x14ac:dyDescent="0.35">
      <c r="A637">
        <v>627</v>
      </c>
      <c r="B637" t="str">
        <f>IF(Sales_Deals!I628&lt;&gt;"",IF(AND(Sales_Deals!I628&gt;DATE(2024,9,30),Sales_Deals!I628&lt;=DATE(2025,3,31)),Sales_Deals!J628,""),"")</f>
        <v/>
      </c>
      <c r="C637" t="str">
        <f>IF(Sales_Deals!I628&lt;&gt;"",IF(AND(Sales_Deals!I628&gt;DATE(2024,3,31),Sales_Deals!I628&lt;=DATE(2024,9,30)),Sales_Deals!J628,""),"")</f>
        <v/>
      </c>
    </row>
    <row r="638" spans="1:3" x14ac:dyDescent="0.35">
      <c r="A638">
        <v>628</v>
      </c>
      <c r="B638" t="str">
        <f>IF(Sales_Deals!I629&lt;&gt;"",IF(AND(Sales_Deals!I629&gt;DATE(2024,9,30),Sales_Deals!I629&lt;=DATE(2025,3,31)),Sales_Deals!J629,""),"")</f>
        <v/>
      </c>
      <c r="C638" t="str">
        <f>IF(Sales_Deals!I629&lt;&gt;"",IF(AND(Sales_Deals!I629&gt;DATE(2024,3,31),Sales_Deals!I629&lt;=DATE(2024,9,30)),Sales_Deals!J629,""),"")</f>
        <v/>
      </c>
    </row>
    <row r="639" spans="1:3" x14ac:dyDescent="0.35">
      <c r="A639">
        <v>629</v>
      </c>
      <c r="B639" t="str">
        <f>IF(Sales_Deals!I630&lt;&gt;"",IF(AND(Sales_Deals!I630&gt;DATE(2024,9,30),Sales_Deals!I630&lt;=DATE(2025,3,31)),Sales_Deals!J630,""),"")</f>
        <v/>
      </c>
      <c r="C639" t="str">
        <f>IF(Sales_Deals!I630&lt;&gt;"",IF(AND(Sales_Deals!I630&gt;DATE(2024,3,31),Sales_Deals!I630&lt;=DATE(2024,9,30)),Sales_Deals!J630,""),"")</f>
        <v/>
      </c>
    </row>
    <row r="640" spans="1:3" x14ac:dyDescent="0.35">
      <c r="A640">
        <v>630</v>
      </c>
      <c r="B640" t="str">
        <f>IF(Sales_Deals!I631&lt;&gt;"",IF(AND(Sales_Deals!I631&gt;DATE(2024,9,30),Sales_Deals!I631&lt;=DATE(2025,3,31)),Sales_Deals!J631,""),"")</f>
        <v/>
      </c>
      <c r="C640" t="str">
        <f>IF(Sales_Deals!I631&lt;&gt;"",IF(AND(Sales_Deals!I631&gt;DATE(2024,3,31),Sales_Deals!I631&lt;=DATE(2024,9,30)),Sales_Deals!J631,""),"")</f>
        <v/>
      </c>
    </row>
    <row r="641" spans="1:3" x14ac:dyDescent="0.35">
      <c r="A641">
        <v>631</v>
      </c>
      <c r="B641" t="str">
        <f>IF(Sales_Deals!I632&lt;&gt;"",IF(AND(Sales_Deals!I632&gt;DATE(2024,9,30),Sales_Deals!I632&lt;=DATE(2025,3,31)),Sales_Deals!J632,""),"")</f>
        <v/>
      </c>
      <c r="C641" t="str">
        <f>IF(Sales_Deals!I632&lt;&gt;"",IF(AND(Sales_Deals!I632&gt;DATE(2024,3,31),Sales_Deals!I632&lt;=DATE(2024,9,30)),Sales_Deals!J632,""),"")</f>
        <v/>
      </c>
    </row>
    <row r="642" spans="1:3" x14ac:dyDescent="0.35">
      <c r="A642">
        <v>632</v>
      </c>
      <c r="B642" t="str">
        <f>IF(Sales_Deals!I633&lt;&gt;"",IF(AND(Sales_Deals!I633&gt;DATE(2024,9,30),Sales_Deals!I633&lt;=DATE(2025,3,31)),Sales_Deals!J633,""),"")</f>
        <v/>
      </c>
      <c r="C642" t="str">
        <f>IF(Sales_Deals!I633&lt;&gt;"",IF(AND(Sales_Deals!I633&gt;DATE(2024,3,31),Sales_Deals!I633&lt;=DATE(2024,9,30)),Sales_Deals!J633,""),"")</f>
        <v/>
      </c>
    </row>
    <row r="643" spans="1:3" x14ac:dyDescent="0.35">
      <c r="A643">
        <v>633</v>
      </c>
      <c r="B643" t="str">
        <f>IF(Sales_Deals!I634&lt;&gt;"",IF(AND(Sales_Deals!I634&gt;DATE(2024,9,30),Sales_Deals!I634&lt;=DATE(2025,3,31)),Sales_Deals!J634,""),"")</f>
        <v/>
      </c>
      <c r="C643">
        <f>IF(Sales_Deals!I634&lt;&gt;"",IF(AND(Sales_Deals!I634&gt;DATE(2024,3,31),Sales_Deals!I634&lt;=DATE(2024,9,30)),Sales_Deals!J634,""),"")</f>
        <v>72</v>
      </c>
    </row>
    <row r="644" spans="1:3" x14ac:dyDescent="0.35">
      <c r="A644">
        <v>634</v>
      </c>
      <c r="B644">
        <f>IF(Sales_Deals!I635&lt;&gt;"",IF(AND(Sales_Deals!I635&gt;DATE(2024,9,30),Sales_Deals!I635&lt;=DATE(2025,3,31)),Sales_Deals!J635,""),"")</f>
        <v>117</v>
      </c>
      <c r="C644" t="str">
        <f>IF(Sales_Deals!I635&lt;&gt;"",IF(AND(Sales_Deals!I635&gt;DATE(2024,3,31),Sales_Deals!I635&lt;=DATE(2024,9,30)),Sales_Deals!J635,""),"")</f>
        <v/>
      </c>
    </row>
    <row r="645" spans="1:3" x14ac:dyDescent="0.35">
      <c r="A645">
        <v>635</v>
      </c>
      <c r="B645" t="str">
        <f>IF(Sales_Deals!I636&lt;&gt;"",IF(AND(Sales_Deals!I636&gt;DATE(2024,9,30),Sales_Deals!I636&lt;=DATE(2025,3,31)),Sales_Deals!J636,""),"")</f>
        <v/>
      </c>
      <c r="C645">
        <f>IF(Sales_Deals!I636&lt;&gt;"",IF(AND(Sales_Deals!I636&gt;DATE(2024,3,31),Sales_Deals!I636&lt;=DATE(2024,9,30)),Sales_Deals!J636,""),"")</f>
        <v>46</v>
      </c>
    </row>
    <row r="646" spans="1:3" x14ac:dyDescent="0.35">
      <c r="A646">
        <v>636</v>
      </c>
      <c r="B646" t="str">
        <f>IF(Sales_Deals!I637&lt;&gt;"",IF(AND(Sales_Deals!I637&gt;DATE(2024,9,30),Sales_Deals!I637&lt;=DATE(2025,3,31)),Sales_Deals!J637,""),"")</f>
        <v/>
      </c>
      <c r="C646" t="str">
        <f>IF(Sales_Deals!I637&lt;&gt;"",IF(AND(Sales_Deals!I637&gt;DATE(2024,3,31),Sales_Deals!I637&lt;=DATE(2024,9,30)),Sales_Deals!J637,""),"")</f>
        <v/>
      </c>
    </row>
    <row r="647" spans="1:3" x14ac:dyDescent="0.35">
      <c r="A647">
        <v>637</v>
      </c>
      <c r="B647" t="str">
        <f>IF(Sales_Deals!I638&lt;&gt;"",IF(AND(Sales_Deals!I638&gt;DATE(2024,9,30),Sales_Deals!I638&lt;=DATE(2025,3,31)),Sales_Deals!J638,""),"")</f>
        <v/>
      </c>
      <c r="C647" t="str">
        <f>IF(Sales_Deals!I638&lt;&gt;"",IF(AND(Sales_Deals!I638&gt;DATE(2024,3,31),Sales_Deals!I638&lt;=DATE(2024,9,30)),Sales_Deals!J638,""),"")</f>
        <v/>
      </c>
    </row>
    <row r="648" spans="1:3" x14ac:dyDescent="0.35">
      <c r="A648">
        <v>638</v>
      </c>
      <c r="B648" t="str">
        <f>IF(Sales_Deals!I639&lt;&gt;"",IF(AND(Sales_Deals!I639&gt;DATE(2024,9,30),Sales_Deals!I639&lt;=DATE(2025,3,31)),Sales_Deals!J639,""),"")</f>
        <v/>
      </c>
      <c r="C648" t="str">
        <f>IF(Sales_Deals!I639&lt;&gt;"",IF(AND(Sales_Deals!I639&gt;DATE(2024,3,31),Sales_Deals!I639&lt;=DATE(2024,9,30)),Sales_Deals!J639,""),"")</f>
        <v/>
      </c>
    </row>
    <row r="649" spans="1:3" x14ac:dyDescent="0.35">
      <c r="A649">
        <v>639</v>
      </c>
      <c r="B649" t="str">
        <f>IF(Sales_Deals!I640&lt;&gt;"",IF(AND(Sales_Deals!I640&gt;DATE(2024,9,30),Sales_Deals!I640&lt;=DATE(2025,3,31)),Sales_Deals!J640,""),"")</f>
        <v/>
      </c>
      <c r="C649" t="str">
        <f>IF(Sales_Deals!I640&lt;&gt;"",IF(AND(Sales_Deals!I640&gt;DATE(2024,3,31),Sales_Deals!I640&lt;=DATE(2024,9,30)),Sales_Deals!J640,""),"")</f>
        <v/>
      </c>
    </row>
    <row r="650" spans="1:3" x14ac:dyDescent="0.35">
      <c r="A650">
        <v>640</v>
      </c>
      <c r="B650" t="str">
        <f>IF(Sales_Deals!I641&lt;&gt;"",IF(AND(Sales_Deals!I641&gt;DATE(2024,9,30),Sales_Deals!I641&lt;=DATE(2025,3,31)),Sales_Deals!J641,""),"")</f>
        <v/>
      </c>
      <c r="C650" t="str">
        <f>IF(Sales_Deals!I641&lt;&gt;"",IF(AND(Sales_Deals!I641&gt;DATE(2024,3,31),Sales_Deals!I641&lt;=DATE(2024,9,30)),Sales_Deals!J641,""),"")</f>
        <v/>
      </c>
    </row>
    <row r="651" spans="1:3" x14ac:dyDescent="0.35">
      <c r="A651">
        <v>641</v>
      </c>
      <c r="B651" t="str">
        <f>IF(Sales_Deals!I642&lt;&gt;"",IF(AND(Sales_Deals!I642&gt;DATE(2024,9,30),Sales_Deals!I642&lt;=DATE(2025,3,31)),Sales_Deals!J642,""),"")</f>
        <v/>
      </c>
      <c r="C651">
        <f>IF(Sales_Deals!I642&lt;&gt;"",IF(AND(Sales_Deals!I642&gt;DATE(2024,3,31),Sales_Deals!I642&lt;=DATE(2024,9,30)),Sales_Deals!J642,""),"")</f>
        <v>16</v>
      </c>
    </row>
    <row r="652" spans="1:3" x14ac:dyDescent="0.35">
      <c r="A652">
        <v>642</v>
      </c>
      <c r="B652" t="str">
        <f>IF(Sales_Deals!I643&lt;&gt;"",IF(AND(Sales_Deals!I643&gt;DATE(2024,9,30),Sales_Deals!I643&lt;=DATE(2025,3,31)),Sales_Deals!J643,""),"")</f>
        <v/>
      </c>
      <c r="C652" t="str">
        <f>IF(Sales_Deals!I643&lt;&gt;"",IF(AND(Sales_Deals!I643&gt;DATE(2024,3,31),Sales_Deals!I643&lt;=DATE(2024,9,30)),Sales_Deals!J643,""),"")</f>
        <v/>
      </c>
    </row>
    <row r="653" spans="1:3" x14ac:dyDescent="0.35">
      <c r="A653">
        <v>643</v>
      </c>
      <c r="B653" t="str">
        <f>IF(Sales_Deals!I644&lt;&gt;"",IF(AND(Sales_Deals!I644&gt;DATE(2024,9,30),Sales_Deals!I644&lt;=DATE(2025,3,31)),Sales_Deals!J644,""),"")</f>
        <v/>
      </c>
      <c r="C653" t="str">
        <f>IF(Sales_Deals!I644&lt;&gt;"",IF(AND(Sales_Deals!I644&gt;DATE(2024,3,31),Sales_Deals!I644&lt;=DATE(2024,9,30)),Sales_Deals!J644,""),"")</f>
        <v/>
      </c>
    </row>
    <row r="654" spans="1:3" x14ac:dyDescent="0.35">
      <c r="A654">
        <v>644</v>
      </c>
      <c r="B654" t="str">
        <f>IF(Sales_Deals!I645&lt;&gt;"",IF(AND(Sales_Deals!I645&gt;DATE(2024,9,30),Sales_Deals!I645&lt;=DATE(2025,3,31)),Sales_Deals!J645,""),"")</f>
        <v/>
      </c>
      <c r="C654">
        <f>IF(Sales_Deals!I645&lt;&gt;"",IF(AND(Sales_Deals!I645&gt;DATE(2024,3,31),Sales_Deals!I645&lt;=DATE(2024,9,30)),Sales_Deals!J645,""),"")</f>
        <v>67</v>
      </c>
    </row>
    <row r="655" spans="1:3" x14ac:dyDescent="0.35">
      <c r="A655">
        <v>645</v>
      </c>
      <c r="B655" t="str">
        <f>IF(Sales_Deals!I646&lt;&gt;"",IF(AND(Sales_Deals!I646&gt;DATE(2024,9,30),Sales_Deals!I646&lt;=DATE(2025,3,31)),Sales_Deals!J646,""),"")</f>
        <v/>
      </c>
      <c r="C655" t="str">
        <f>IF(Sales_Deals!I646&lt;&gt;"",IF(AND(Sales_Deals!I646&gt;DATE(2024,3,31),Sales_Deals!I646&lt;=DATE(2024,9,30)),Sales_Deals!J646,""),"")</f>
        <v/>
      </c>
    </row>
    <row r="656" spans="1:3" x14ac:dyDescent="0.35">
      <c r="A656">
        <v>646</v>
      </c>
      <c r="B656" t="str">
        <f>IF(Sales_Deals!I647&lt;&gt;"",IF(AND(Sales_Deals!I647&gt;DATE(2024,9,30),Sales_Deals!I647&lt;=DATE(2025,3,31)),Sales_Deals!J647,""),"")</f>
        <v/>
      </c>
      <c r="C656" t="str">
        <f>IF(Sales_Deals!I647&lt;&gt;"",IF(AND(Sales_Deals!I647&gt;DATE(2024,3,31),Sales_Deals!I647&lt;=DATE(2024,9,30)),Sales_Deals!J647,""),"")</f>
        <v/>
      </c>
    </row>
    <row r="657" spans="1:3" x14ac:dyDescent="0.35">
      <c r="A657">
        <v>647</v>
      </c>
      <c r="B657">
        <f>IF(Sales_Deals!I648&lt;&gt;"",IF(AND(Sales_Deals!I648&gt;DATE(2024,9,30),Sales_Deals!I648&lt;=DATE(2025,3,31)),Sales_Deals!J648,""),"")</f>
        <v>126</v>
      </c>
      <c r="C657" t="str">
        <f>IF(Sales_Deals!I648&lt;&gt;"",IF(AND(Sales_Deals!I648&gt;DATE(2024,3,31),Sales_Deals!I648&lt;=DATE(2024,9,30)),Sales_Deals!J648,""),"")</f>
        <v/>
      </c>
    </row>
    <row r="658" spans="1:3" x14ac:dyDescent="0.35">
      <c r="A658">
        <v>648</v>
      </c>
      <c r="B658" t="str">
        <f>IF(Sales_Deals!I649&lt;&gt;"",IF(AND(Sales_Deals!I649&gt;DATE(2024,9,30),Sales_Deals!I649&lt;=DATE(2025,3,31)),Sales_Deals!J649,""),"")</f>
        <v/>
      </c>
      <c r="C658" t="str">
        <f>IF(Sales_Deals!I649&lt;&gt;"",IF(AND(Sales_Deals!I649&gt;DATE(2024,3,31),Sales_Deals!I649&lt;=DATE(2024,9,30)),Sales_Deals!J649,""),"")</f>
        <v/>
      </c>
    </row>
    <row r="659" spans="1:3" x14ac:dyDescent="0.35">
      <c r="A659">
        <v>649</v>
      </c>
      <c r="B659" t="str">
        <f>IF(Sales_Deals!I650&lt;&gt;"",IF(AND(Sales_Deals!I650&gt;DATE(2024,9,30),Sales_Deals!I650&lt;=DATE(2025,3,31)),Sales_Deals!J650,""),"")</f>
        <v/>
      </c>
      <c r="C659" t="str">
        <f>IF(Sales_Deals!I650&lt;&gt;"",IF(AND(Sales_Deals!I650&gt;DATE(2024,3,31),Sales_Deals!I650&lt;=DATE(2024,9,30)),Sales_Deals!J650,""),"")</f>
        <v/>
      </c>
    </row>
    <row r="660" spans="1:3" x14ac:dyDescent="0.35">
      <c r="A660">
        <v>650</v>
      </c>
      <c r="B660">
        <f>IF(Sales_Deals!I651&lt;&gt;"",IF(AND(Sales_Deals!I651&gt;DATE(2024,9,30),Sales_Deals!I651&lt;=DATE(2025,3,31)),Sales_Deals!J651,""),"")</f>
        <v>129</v>
      </c>
      <c r="C660" t="str">
        <f>IF(Sales_Deals!I651&lt;&gt;"",IF(AND(Sales_Deals!I651&gt;DATE(2024,3,31),Sales_Deals!I651&lt;=DATE(2024,9,30)),Sales_Deals!J651,""),"")</f>
        <v/>
      </c>
    </row>
    <row r="661" spans="1:3" x14ac:dyDescent="0.35">
      <c r="A661">
        <v>651</v>
      </c>
      <c r="B661" t="str">
        <f>IF(Sales_Deals!I652&lt;&gt;"",IF(AND(Sales_Deals!I652&gt;DATE(2024,9,30),Sales_Deals!I652&lt;=DATE(2025,3,31)),Sales_Deals!J652,""),"")</f>
        <v/>
      </c>
      <c r="C661" t="str">
        <f>IF(Sales_Deals!I652&lt;&gt;"",IF(AND(Sales_Deals!I652&gt;DATE(2024,3,31),Sales_Deals!I652&lt;=DATE(2024,9,30)),Sales_Deals!J652,""),"")</f>
        <v/>
      </c>
    </row>
    <row r="662" spans="1:3" x14ac:dyDescent="0.35">
      <c r="A662">
        <v>652</v>
      </c>
      <c r="B662" t="str">
        <f>IF(Sales_Deals!I653&lt;&gt;"",IF(AND(Sales_Deals!I653&gt;DATE(2024,9,30),Sales_Deals!I653&lt;=DATE(2025,3,31)),Sales_Deals!J653,""),"")</f>
        <v/>
      </c>
      <c r="C662" t="str">
        <f>IF(Sales_Deals!I653&lt;&gt;"",IF(AND(Sales_Deals!I653&gt;DATE(2024,3,31),Sales_Deals!I653&lt;=DATE(2024,9,30)),Sales_Deals!J653,""),"")</f>
        <v/>
      </c>
    </row>
    <row r="663" spans="1:3" x14ac:dyDescent="0.35">
      <c r="A663">
        <v>653</v>
      </c>
      <c r="B663" t="str">
        <f>IF(Sales_Deals!I654&lt;&gt;"",IF(AND(Sales_Deals!I654&gt;DATE(2024,9,30),Sales_Deals!I654&lt;=DATE(2025,3,31)),Sales_Deals!J654,""),"")</f>
        <v/>
      </c>
      <c r="C663" t="str">
        <f>IF(Sales_Deals!I654&lt;&gt;"",IF(AND(Sales_Deals!I654&gt;DATE(2024,3,31),Sales_Deals!I654&lt;=DATE(2024,9,30)),Sales_Deals!J654,""),"")</f>
        <v/>
      </c>
    </row>
    <row r="664" spans="1:3" x14ac:dyDescent="0.35">
      <c r="A664">
        <v>654</v>
      </c>
      <c r="B664" t="str">
        <f>IF(Sales_Deals!I655&lt;&gt;"",IF(AND(Sales_Deals!I655&gt;DATE(2024,9,30),Sales_Deals!I655&lt;=DATE(2025,3,31)),Sales_Deals!J655,""),"")</f>
        <v/>
      </c>
      <c r="C664">
        <f>IF(Sales_Deals!I655&lt;&gt;"",IF(AND(Sales_Deals!I655&gt;DATE(2024,3,31),Sales_Deals!I655&lt;=DATE(2024,9,30)),Sales_Deals!J655,""),"")</f>
        <v>105</v>
      </c>
    </row>
    <row r="665" spans="1:3" x14ac:dyDescent="0.35">
      <c r="A665">
        <v>655</v>
      </c>
      <c r="B665" t="str">
        <f>IF(Sales_Deals!I656&lt;&gt;"",IF(AND(Sales_Deals!I656&gt;DATE(2024,9,30),Sales_Deals!I656&lt;=DATE(2025,3,31)),Sales_Deals!J656,""),"")</f>
        <v/>
      </c>
      <c r="C665" t="str">
        <f>IF(Sales_Deals!I656&lt;&gt;"",IF(AND(Sales_Deals!I656&gt;DATE(2024,3,31),Sales_Deals!I656&lt;=DATE(2024,9,30)),Sales_Deals!J656,""),"")</f>
        <v/>
      </c>
    </row>
    <row r="666" spans="1:3" x14ac:dyDescent="0.35">
      <c r="A666">
        <v>656</v>
      </c>
      <c r="B666">
        <f>IF(Sales_Deals!I657&lt;&gt;"",IF(AND(Sales_Deals!I657&gt;DATE(2024,9,30),Sales_Deals!I657&lt;=DATE(2025,3,31)),Sales_Deals!J657,""),"")</f>
        <v>15</v>
      </c>
      <c r="C666" t="str">
        <f>IF(Sales_Deals!I657&lt;&gt;"",IF(AND(Sales_Deals!I657&gt;DATE(2024,3,31),Sales_Deals!I657&lt;=DATE(2024,9,30)),Sales_Deals!J657,""),"")</f>
        <v/>
      </c>
    </row>
    <row r="667" spans="1:3" x14ac:dyDescent="0.35">
      <c r="A667">
        <v>657</v>
      </c>
      <c r="B667" t="str">
        <f>IF(Sales_Deals!I658&lt;&gt;"",IF(AND(Sales_Deals!I658&gt;DATE(2024,9,30),Sales_Deals!I658&lt;=DATE(2025,3,31)),Sales_Deals!J658,""),"")</f>
        <v/>
      </c>
      <c r="C667" t="str">
        <f>IF(Sales_Deals!I658&lt;&gt;"",IF(AND(Sales_Deals!I658&gt;DATE(2024,3,31),Sales_Deals!I658&lt;=DATE(2024,9,30)),Sales_Deals!J658,""),"")</f>
        <v/>
      </c>
    </row>
    <row r="668" spans="1:3" x14ac:dyDescent="0.35">
      <c r="A668">
        <v>658</v>
      </c>
      <c r="B668">
        <f>IF(Sales_Deals!I659&lt;&gt;"",IF(AND(Sales_Deals!I659&gt;DATE(2024,9,30),Sales_Deals!I659&lt;=DATE(2025,3,31)),Sales_Deals!J659,""),"")</f>
        <v>42</v>
      </c>
      <c r="C668" t="str">
        <f>IF(Sales_Deals!I659&lt;&gt;"",IF(AND(Sales_Deals!I659&gt;DATE(2024,3,31),Sales_Deals!I659&lt;=DATE(2024,9,30)),Sales_Deals!J659,""),"")</f>
        <v/>
      </c>
    </row>
    <row r="669" spans="1:3" x14ac:dyDescent="0.35">
      <c r="A669">
        <v>659</v>
      </c>
      <c r="B669" t="str">
        <f>IF(Sales_Deals!I660&lt;&gt;"",IF(AND(Sales_Deals!I660&gt;DATE(2024,9,30),Sales_Deals!I660&lt;=DATE(2025,3,31)),Sales_Deals!J660,""),"")</f>
        <v/>
      </c>
      <c r="C669" t="str">
        <f>IF(Sales_Deals!I660&lt;&gt;"",IF(AND(Sales_Deals!I660&gt;DATE(2024,3,31),Sales_Deals!I660&lt;=DATE(2024,9,30)),Sales_Deals!J660,""),"")</f>
        <v/>
      </c>
    </row>
    <row r="670" spans="1:3" x14ac:dyDescent="0.35">
      <c r="A670">
        <v>660</v>
      </c>
      <c r="B670" t="str">
        <f>IF(Sales_Deals!I661&lt;&gt;"",IF(AND(Sales_Deals!I661&gt;DATE(2024,9,30),Sales_Deals!I661&lt;=DATE(2025,3,31)),Sales_Deals!J661,""),"")</f>
        <v/>
      </c>
      <c r="C670" t="str">
        <f>IF(Sales_Deals!I661&lt;&gt;"",IF(AND(Sales_Deals!I661&gt;DATE(2024,3,31),Sales_Deals!I661&lt;=DATE(2024,9,30)),Sales_Deals!J661,""),"")</f>
        <v/>
      </c>
    </row>
    <row r="671" spans="1:3" x14ac:dyDescent="0.35">
      <c r="A671">
        <v>661</v>
      </c>
      <c r="B671" t="str">
        <f>IF(Sales_Deals!I662&lt;&gt;"",IF(AND(Sales_Deals!I662&gt;DATE(2024,9,30),Sales_Deals!I662&lt;=DATE(2025,3,31)),Sales_Deals!J662,""),"")</f>
        <v/>
      </c>
      <c r="C671">
        <f>IF(Sales_Deals!I662&lt;&gt;"",IF(AND(Sales_Deals!I662&gt;DATE(2024,3,31),Sales_Deals!I662&lt;=DATE(2024,9,30)),Sales_Deals!J662,""),"")</f>
        <v>43</v>
      </c>
    </row>
    <row r="672" spans="1:3" x14ac:dyDescent="0.35">
      <c r="A672">
        <v>662</v>
      </c>
      <c r="B672" t="str">
        <f>IF(Sales_Deals!I663&lt;&gt;"",IF(AND(Sales_Deals!I663&gt;DATE(2024,9,30),Sales_Deals!I663&lt;=DATE(2025,3,31)),Sales_Deals!J663,""),"")</f>
        <v/>
      </c>
      <c r="C672" t="str">
        <f>IF(Sales_Deals!I663&lt;&gt;"",IF(AND(Sales_Deals!I663&gt;DATE(2024,3,31),Sales_Deals!I663&lt;=DATE(2024,9,30)),Sales_Deals!J663,""),"")</f>
        <v/>
      </c>
    </row>
    <row r="673" spans="1:3" x14ac:dyDescent="0.35">
      <c r="A673">
        <v>663</v>
      </c>
      <c r="B673">
        <f>IF(Sales_Deals!I664&lt;&gt;"",IF(AND(Sales_Deals!I664&gt;DATE(2024,9,30),Sales_Deals!I664&lt;=DATE(2025,3,31)),Sales_Deals!J664,""),"")</f>
        <v>72</v>
      </c>
      <c r="C673" t="str">
        <f>IF(Sales_Deals!I664&lt;&gt;"",IF(AND(Sales_Deals!I664&gt;DATE(2024,3,31),Sales_Deals!I664&lt;=DATE(2024,9,30)),Sales_Deals!J664,""),"")</f>
        <v/>
      </c>
    </row>
    <row r="674" spans="1:3" x14ac:dyDescent="0.35">
      <c r="A674">
        <v>664</v>
      </c>
      <c r="B674" t="str">
        <f>IF(Sales_Deals!I665&lt;&gt;"",IF(AND(Sales_Deals!I665&gt;DATE(2024,9,30),Sales_Deals!I665&lt;=DATE(2025,3,31)),Sales_Deals!J665,""),"")</f>
        <v/>
      </c>
      <c r="C674" t="str">
        <f>IF(Sales_Deals!I665&lt;&gt;"",IF(AND(Sales_Deals!I665&gt;DATE(2024,3,31),Sales_Deals!I665&lt;=DATE(2024,9,30)),Sales_Deals!J665,""),"")</f>
        <v/>
      </c>
    </row>
    <row r="675" spans="1:3" x14ac:dyDescent="0.35">
      <c r="A675">
        <v>665</v>
      </c>
      <c r="B675" t="str">
        <f>IF(Sales_Deals!I666&lt;&gt;"",IF(AND(Sales_Deals!I666&gt;DATE(2024,9,30),Sales_Deals!I666&lt;=DATE(2025,3,31)),Sales_Deals!J666,""),"")</f>
        <v/>
      </c>
      <c r="C675" t="str">
        <f>IF(Sales_Deals!I666&lt;&gt;"",IF(AND(Sales_Deals!I666&gt;DATE(2024,3,31),Sales_Deals!I666&lt;=DATE(2024,9,30)),Sales_Deals!J666,""),"")</f>
        <v/>
      </c>
    </row>
    <row r="676" spans="1:3" x14ac:dyDescent="0.35">
      <c r="A676">
        <v>666</v>
      </c>
      <c r="B676" t="str">
        <f>IF(Sales_Deals!I667&lt;&gt;"",IF(AND(Sales_Deals!I667&gt;DATE(2024,9,30),Sales_Deals!I667&lt;=DATE(2025,3,31)),Sales_Deals!J667,""),"")</f>
        <v/>
      </c>
      <c r="C676" t="str">
        <f>IF(Sales_Deals!I667&lt;&gt;"",IF(AND(Sales_Deals!I667&gt;DATE(2024,3,31),Sales_Deals!I667&lt;=DATE(2024,9,30)),Sales_Deals!J667,""),"")</f>
        <v/>
      </c>
    </row>
    <row r="677" spans="1:3" x14ac:dyDescent="0.35">
      <c r="A677">
        <v>667</v>
      </c>
      <c r="B677" t="str">
        <f>IF(Sales_Deals!I668&lt;&gt;"",IF(AND(Sales_Deals!I668&gt;DATE(2024,9,30),Sales_Deals!I668&lt;=DATE(2025,3,31)),Sales_Deals!J668,""),"")</f>
        <v/>
      </c>
      <c r="C677" t="str">
        <f>IF(Sales_Deals!I668&lt;&gt;"",IF(AND(Sales_Deals!I668&gt;DATE(2024,3,31),Sales_Deals!I668&lt;=DATE(2024,9,30)),Sales_Deals!J668,""),"")</f>
        <v/>
      </c>
    </row>
    <row r="678" spans="1:3" x14ac:dyDescent="0.35">
      <c r="A678">
        <v>668</v>
      </c>
      <c r="B678" t="str">
        <f>IF(Sales_Deals!I669&lt;&gt;"",IF(AND(Sales_Deals!I669&gt;DATE(2024,9,30),Sales_Deals!I669&lt;=DATE(2025,3,31)),Sales_Deals!J669,""),"")</f>
        <v/>
      </c>
      <c r="C678" t="str">
        <f>IF(Sales_Deals!I669&lt;&gt;"",IF(AND(Sales_Deals!I669&gt;DATE(2024,3,31),Sales_Deals!I669&lt;=DATE(2024,9,30)),Sales_Deals!J669,""),"")</f>
        <v/>
      </c>
    </row>
    <row r="679" spans="1:3" x14ac:dyDescent="0.35">
      <c r="A679">
        <v>669</v>
      </c>
      <c r="B679" t="str">
        <f>IF(Sales_Deals!I670&lt;&gt;"",IF(AND(Sales_Deals!I670&gt;DATE(2024,9,30),Sales_Deals!I670&lt;=DATE(2025,3,31)),Sales_Deals!J670,""),"")</f>
        <v/>
      </c>
      <c r="C679">
        <f>IF(Sales_Deals!I670&lt;&gt;"",IF(AND(Sales_Deals!I670&gt;DATE(2024,3,31),Sales_Deals!I670&lt;=DATE(2024,9,30)),Sales_Deals!J670,""),"")</f>
        <v>66</v>
      </c>
    </row>
    <row r="680" spans="1:3" x14ac:dyDescent="0.35">
      <c r="A680">
        <v>670</v>
      </c>
      <c r="B680" t="str">
        <f>IF(Sales_Deals!I671&lt;&gt;"",IF(AND(Sales_Deals!I671&gt;DATE(2024,9,30),Sales_Deals!I671&lt;=DATE(2025,3,31)),Sales_Deals!J671,""),"")</f>
        <v/>
      </c>
      <c r="C680" t="str">
        <f>IF(Sales_Deals!I671&lt;&gt;"",IF(AND(Sales_Deals!I671&gt;DATE(2024,3,31),Sales_Deals!I671&lt;=DATE(2024,9,30)),Sales_Deals!J671,""),"")</f>
        <v/>
      </c>
    </row>
    <row r="681" spans="1:3" x14ac:dyDescent="0.35">
      <c r="A681">
        <v>671</v>
      </c>
      <c r="B681" t="str">
        <f>IF(Sales_Deals!I672&lt;&gt;"",IF(AND(Sales_Deals!I672&gt;DATE(2024,9,30),Sales_Deals!I672&lt;=DATE(2025,3,31)),Sales_Deals!J672,""),"")</f>
        <v/>
      </c>
      <c r="C681" t="str">
        <f>IF(Sales_Deals!I672&lt;&gt;"",IF(AND(Sales_Deals!I672&gt;DATE(2024,3,31),Sales_Deals!I672&lt;=DATE(2024,9,30)),Sales_Deals!J672,""),"")</f>
        <v/>
      </c>
    </row>
    <row r="682" spans="1:3" x14ac:dyDescent="0.35">
      <c r="A682">
        <v>672</v>
      </c>
      <c r="B682" t="str">
        <f>IF(Sales_Deals!I673&lt;&gt;"",IF(AND(Sales_Deals!I673&gt;DATE(2024,9,30),Sales_Deals!I673&lt;=DATE(2025,3,31)),Sales_Deals!J673,""),"")</f>
        <v/>
      </c>
      <c r="C682" t="str">
        <f>IF(Sales_Deals!I673&lt;&gt;"",IF(AND(Sales_Deals!I673&gt;DATE(2024,3,31),Sales_Deals!I673&lt;=DATE(2024,9,30)),Sales_Deals!J673,""),"")</f>
        <v/>
      </c>
    </row>
    <row r="683" spans="1:3" x14ac:dyDescent="0.35">
      <c r="A683">
        <v>673</v>
      </c>
      <c r="B683" t="str">
        <f>IF(Sales_Deals!I674&lt;&gt;"",IF(AND(Sales_Deals!I674&gt;DATE(2024,9,30),Sales_Deals!I674&lt;=DATE(2025,3,31)),Sales_Deals!J674,""),"")</f>
        <v/>
      </c>
      <c r="C683" t="str">
        <f>IF(Sales_Deals!I674&lt;&gt;"",IF(AND(Sales_Deals!I674&gt;DATE(2024,3,31),Sales_Deals!I674&lt;=DATE(2024,9,30)),Sales_Deals!J674,""),"")</f>
        <v/>
      </c>
    </row>
    <row r="684" spans="1:3" x14ac:dyDescent="0.35">
      <c r="A684">
        <v>674</v>
      </c>
      <c r="B684" t="str">
        <f>IF(Sales_Deals!I675&lt;&gt;"",IF(AND(Sales_Deals!I675&gt;DATE(2024,9,30),Sales_Deals!I675&lt;=DATE(2025,3,31)),Sales_Deals!J675,""),"")</f>
        <v/>
      </c>
      <c r="C684" t="str">
        <f>IF(Sales_Deals!I675&lt;&gt;"",IF(AND(Sales_Deals!I675&gt;DATE(2024,3,31),Sales_Deals!I675&lt;=DATE(2024,9,30)),Sales_Deals!J675,""),"")</f>
        <v/>
      </c>
    </row>
    <row r="685" spans="1:3" x14ac:dyDescent="0.35">
      <c r="A685">
        <v>675</v>
      </c>
      <c r="B685" t="str">
        <f>IF(Sales_Deals!I676&lt;&gt;"",IF(AND(Sales_Deals!I676&gt;DATE(2024,9,30),Sales_Deals!I676&lt;=DATE(2025,3,31)),Sales_Deals!J676,""),"")</f>
        <v/>
      </c>
      <c r="C685" t="str">
        <f>IF(Sales_Deals!I676&lt;&gt;"",IF(AND(Sales_Deals!I676&gt;DATE(2024,3,31),Sales_Deals!I676&lt;=DATE(2024,9,30)),Sales_Deals!J676,""),"")</f>
        <v/>
      </c>
    </row>
    <row r="686" spans="1:3" x14ac:dyDescent="0.35">
      <c r="A686">
        <v>676</v>
      </c>
      <c r="B686" t="str">
        <f>IF(Sales_Deals!I677&lt;&gt;"",IF(AND(Sales_Deals!I677&gt;DATE(2024,9,30),Sales_Deals!I677&lt;=DATE(2025,3,31)),Sales_Deals!J677,""),"")</f>
        <v/>
      </c>
      <c r="C686" t="str">
        <f>IF(Sales_Deals!I677&lt;&gt;"",IF(AND(Sales_Deals!I677&gt;DATE(2024,3,31),Sales_Deals!I677&lt;=DATE(2024,9,30)),Sales_Deals!J677,""),"")</f>
        <v/>
      </c>
    </row>
    <row r="687" spans="1:3" x14ac:dyDescent="0.35">
      <c r="A687">
        <v>677</v>
      </c>
      <c r="B687" t="str">
        <f>IF(Sales_Deals!I678&lt;&gt;"",IF(AND(Sales_Deals!I678&gt;DATE(2024,9,30),Sales_Deals!I678&lt;=DATE(2025,3,31)),Sales_Deals!J678,""),"")</f>
        <v/>
      </c>
      <c r="C687" t="str">
        <f>IF(Sales_Deals!I678&lt;&gt;"",IF(AND(Sales_Deals!I678&gt;DATE(2024,3,31),Sales_Deals!I678&lt;=DATE(2024,9,30)),Sales_Deals!J678,""),"")</f>
        <v/>
      </c>
    </row>
    <row r="688" spans="1:3" x14ac:dyDescent="0.35">
      <c r="A688">
        <v>678</v>
      </c>
      <c r="B688" t="str">
        <f>IF(Sales_Deals!I679&lt;&gt;"",IF(AND(Sales_Deals!I679&gt;DATE(2024,9,30),Sales_Deals!I679&lt;=DATE(2025,3,31)),Sales_Deals!J679,""),"")</f>
        <v/>
      </c>
      <c r="C688" t="str">
        <f>IF(Sales_Deals!I679&lt;&gt;"",IF(AND(Sales_Deals!I679&gt;DATE(2024,3,31),Sales_Deals!I679&lt;=DATE(2024,9,30)),Sales_Deals!J679,""),"")</f>
        <v/>
      </c>
    </row>
    <row r="689" spans="1:3" x14ac:dyDescent="0.35">
      <c r="A689">
        <v>679</v>
      </c>
      <c r="B689" t="str">
        <f>IF(Sales_Deals!I680&lt;&gt;"",IF(AND(Sales_Deals!I680&gt;DATE(2024,9,30),Sales_Deals!I680&lt;=DATE(2025,3,31)),Sales_Deals!J680,""),"")</f>
        <v/>
      </c>
      <c r="C689" t="str">
        <f>IF(Sales_Deals!I680&lt;&gt;"",IF(AND(Sales_Deals!I680&gt;DATE(2024,3,31),Sales_Deals!I680&lt;=DATE(2024,9,30)),Sales_Deals!J680,""),"")</f>
        <v/>
      </c>
    </row>
    <row r="690" spans="1:3" x14ac:dyDescent="0.35">
      <c r="A690">
        <v>680</v>
      </c>
      <c r="B690" t="str">
        <f>IF(Sales_Deals!I681&lt;&gt;"",IF(AND(Sales_Deals!I681&gt;DATE(2024,9,30),Sales_Deals!I681&lt;=DATE(2025,3,31)),Sales_Deals!J681,""),"")</f>
        <v/>
      </c>
      <c r="C690" t="str">
        <f>IF(Sales_Deals!I681&lt;&gt;"",IF(AND(Sales_Deals!I681&gt;DATE(2024,3,31),Sales_Deals!I681&lt;=DATE(2024,9,30)),Sales_Deals!J681,""),"")</f>
        <v/>
      </c>
    </row>
    <row r="691" spans="1:3" x14ac:dyDescent="0.35">
      <c r="A691">
        <v>681</v>
      </c>
      <c r="B691" t="str">
        <f>IF(Sales_Deals!I682&lt;&gt;"",IF(AND(Sales_Deals!I682&gt;DATE(2024,9,30),Sales_Deals!I682&lt;=DATE(2025,3,31)),Sales_Deals!J682,""),"")</f>
        <v/>
      </c>
      <c r="C691" t="str">
        <f>IF(Sales_Deals!I682&lt;&gt;"",IF(AND(Sales_Deals!I682&gt;DATE(2024,3,31),Sales_Deals!I682&lt;=DATE(2024,9,30)),Sales_Deals!J682,""),"")</f>
        <v/>
      </c>
    </row>
    <row r="692" spans="1:3" x14ac:dyDescent="0.35">
      <c r="A692">
        <v>682</v>
      </c>
      <c r="B692" t="str">
        <f>IF(Sales_Deals!I683&lt;&gt;"",IF(AND(Sales_Deals!I683&gt;DATE(2024,9,30),Sales_Deals!I683&lt;=DATE(2025,3,31)),Sales_Deals!J683,""),"")</f>
        <v/>
      </c>
      <c r="C692">
        <f>IF(Sales_Deals!I683&lt;&gt;"",IF(AND(Sales_Deals!I683&gt;DATE(2024,3,31),Sales_Deals!I683&lt;=DATE(2024,9,30)),Sales_Deals!J683,""),"")</f>
        <v>180</v>
      </c>
    </row>
    <row r="693" spans="1:3" x14ac:dyDescent="0.35">
      <c r="A693">
        <v>683</v>
      </c>
      <c r="B693" t="str">
        <f>IF(Sales_Deals!I684&lt;&gt;"",IF(AND(Sales_Deals!I684&gt;DATE(2024,9,30),Sales_Deals!I684&lt;=DATE(2025,3,31)),Sales_Deals!J684,""),"")</f>
        <v/>
      </c>
      <c r="C693" t="str">
        <f>IF(Sales_Deals!I684&lt;&gt;"",IF(AND(Sales_Deals!I684&gt;DATE(2024,3,31),Sales_Deals!I684&lt;=DATE(2024,9,30)),Sales_Deals!J684,""),"")</f>
        <v/>
      </c>
    </row>
    <row r="694" spans="1:3" x14ac:dyDescent="0.35">
      <c r="A694">
        <v>684</v>
      </c>
      <c r="B694" t="str">
        <f>IF(Sales_Deals!I685&lt;&gt;"",IF(AND(Sales_Deals!I685&gt;DATE(2024,9,30),Sales_Deals!I685&lt;=DATE(2025,3,31)),Sales_Deals!J685,""),"")</f>
        <v/>
      </c>
      <c r="C694" t="str">
        <f>IF(Sales_Deals!I685&lt;&gt;"",IF(AND(Sales_Deals!I685&gt;DATE(2024,3,31),Sales_Deals!I685&lt;=DATE(2024,9,30)),Sales_Deals!J685,""),"")</f>
        <v/>
      </c>
    </row>
    <row r="695" spans="1:3" x14ac:dyDescent="0.35">
      <c r="A695">
        <v>685</v>
      </c>
      <c r="B695" t="str">
        <f>IF(Sales_Deals!I686&lt;&gt;"",IF(AND(Sales_Deals!I686&gt;DATE(2024,9,30),Sales_Deals!I686&lt;=DATE(2025,3,31)),Sales_Deals!J686,""),"")</f>
        <v/>
      </c>
      <c r="C695" t="str">
        <f>IF(Sales_Deals!I686&lt;&gt;"",IF(AND(Sales_Deals!I686&gt;DATE(2024,3,31),Sales_Deals!I686&lt;=DATE(2024,9,30)),Sales_Deals!J686,""),"")</f>
        <v/>
      </c>
    </row>
    <row r="696" spans="1:3" x14ac:dyDescent="0.35">
      <c r="A696">
        <v>686</v>
      </c>
      <c r="B696">
        <f>IF(Sales_Deals!I687&lt;&gt;"",IF(AND(Sales_Deals!I687&gt;DATE(2024,9,30),Sales_Deals!I687&lt;=DATE(2025,3,31)),Sales_Deals!J687,""),"")</f>
        <v>46</v>
      </c>
      <c r="C696" t="str">
        <f>IF(Sales_Deals!I687&lt;&gt;"",IF(AND(Sales_Deals!I687&gt;DATE(2024,3,31),Sales_Deals!I687&lt;=DATE(2024,9,30)),Sales_Deals!J687,""),"")</f>
        <v/>
      </c>
    </row>
    <row r="697" spans="1:3" x14ac:dyDescent="0.35">
      <c r="A697">
        <v>687</v>
      </c>
      <c r="B697">
        <f>IF(Sales_Deals!I688&lt;&gt;"",IF(AND(Sales_Deals!I688&gt;DATE(2024,9,30),Sales_Deals!I688&lt;=DATE(2025,3,31)),Sales_Deals!J688,""),"")</f>
        <v>77</v>
      </c>
      <c r="C697" t="str">
        <f>IF(Sales_Deals!I688&lt;&gt;"",IF(AND(Sales_Deals!I688&gt;DATE(2024,3,31),Sales_Deals!I688&lt;=DATE(2024,9,30)),Sales_Deals!J688,""),"")</f>
        <v/>
      </c>
    </row>
    <row r="698" spans="1:3" x14ac:dyDescent="0.35">
      <c r="A698">
        <v>688</v>
      </c>
      <c r="B698" t="str">
        <f>IF(Sales_Deals!I689&lt;&gt;"",IF(AND(Sales_Deals!I689&gt;DATE(2024,9,30),Sales_Deals!I689&lt;=DATE(2025,3,31)),Sales_Deals!J689,""),"")</f>
        <v/>
      </c>
      <c r="C698" t="str">
        <f>IF(Sales_Deals!I689&lt;&gt;"",IF(AND(Sales_Deals!I689&gt;DATE(2024,3,31),Sales_Deals!I689&lt;=DATE(2024,9,30)),Sales_Deals!J689,""),"")</f>
        <v/>
      </c>
    </row>
    <row r="699" spans="1:3" x14ac:dyDescent="0.35">
      <c r="A699">
        <v>689</v>
      </c>
      <c r="B699" t="str">
        <f>IF(Sales_Deals!I690&lt;&gt;"",IF(AND(Sales_Deals!I690&gt;DATE(2024,9,30),Sales_Deals!I690&lt;=DATE(2025,3,31)),Sales_Deals!J690,""),"")</f>
        <v/>
      </c>
      <c r="C699">
        <f>IF(Sales_Deals!I690&lt;&gt;"",IF(AND(Sales_Deals!I690&gt;DATE(2024,3,31),Sales_Deals!I690&lt;=DATE(2024,9,30)),Sales_Deals!J690,""),"")</f>
        <v>175</v>
      </c>
    </row>
    <row r="700" spans="1:3" x14ac:dyDescent="0.35">
      <c r="A700">
        <v>690</v>
      </c>
      <c r="B700" t="str">
        <f>IF(Sales_Deals!I691&lt;&gt;"",IF(AND(Sales_Deals!I691&gt;DATE(2024,9,30),Sales_Deals!I691&lt;=DATE(2025,3,31)),Sales_Deals!J691,""),"")</f>
        <v/>
      </c>
      <c r="C700" t="str">
        <f>IF(Sales_Deals!I691&lt;&gt;"",IF(AND(Sales_Deals!I691&gt;DATE(2024,3,31),Sales_Deals!I691&lt;=DATE(2024,9,30)),Sales_Deals!J691,""),"")</f>
        <v/>
      </c>
    </row>
    <row r="701" spans="1:3" x14ac:dyDescent="0.35">
      <c r="A701">
        <v>691</v>
      </c>
      <c r="B701">
        <f>IF(Sales_Deals!I692&lt;&gt;"",IF(AND(Sales_Deals!I692&gt;DATE(2024,9,30),Sales_Deals!I692&lt;=DATE(2025,3,31)),Sales_Deals!J692,""),"")</f>
        <v>176</v>
      </c>
      <c r="C701" t="str">
        <f>IF(Sales_Deals!I692&lt;&gt;"",IF(AND(Sales_Deals!I692&gt;DATE(2024,3,31),Sales_Deals!I692&lt;=DATE(2024,9,30)),Sales_Deals!J692,""),"")</f>
        <v/>
      </c>
    </row>
    <row r="702" spans="1:3" x14ac:dyDescent="0.35">
      <c r="A702">
        <v>692</v>
      </c>
      <c r="B702" t="str">
        <f>IF(Sales_Deals!I693&lt;&gt;"",IF(AND(Sales_Deals!I693&gt;DATE(2024,9,30),Sales_Deals!I693&lt;=DATE(2025,3,31)),Sales_Deals!J693,""),"")</f>
        <v/>
      </c>
      <c r="C702" t="str">
        <f>IF(Sales_Deals!I693&lt;&gt;"",IF(AND(Sales_Deals!I693&gt;DATE(2024,3,31),Sales_Deals!I693&lt;=DATE(2024,9,30)),Sales_Deals!J693,""),"")</f>
        <v/>
      </c>
    </row>
    <row r="703" spans="1:3" x14ac:dyDescent="0.35">
      <c r="A703">
        <v>693</v>
      </c>
      <c r="B703" t="str">
        <f>IF(Sales_Deals!I694&lt;&gt;"",IF(AND(Sales_Deals!I694&gt;DATE(2024,9,30),Sales_Deals!I694&lt;=DATE(2025,3,31)),Sales_Deals!J694,""),"")</f>
        <v/>
      </c>
      <c r="C703" t="str">
        <f>IF(Sales_Deals!I694&lt;&gt;"",IF(AND(Sales_Deals!I694&gt;DATE(2024,3,31),Sales_Deals!I694&lt;=DATE(2024,9,30)),Sales_Deals!J694,""),"")</f>
        <v/>
      </c>
    </row>
    <row r="704" spans="1:3" x14ac:dyDescent="0.35">
      <c r="A704">
        <v>694</v>
      </c>
      <c r="B704" t="str">
        <f>IF(Sales_Deals!I695&lt;&gt;"",IF(AND(Sales_Deals!I695&gt;DATE(2024,9,30),Sales_Deals!I695&lt;=DATE(2025,3,31)),Sales_Deals!J695,""),"")</f>
        <v/>
      </c>
      <c r="C704" t="str">
        <f>IF(Sales_Deals!I695&lt;&gt;"",IF(AND(Sales_Deals!I695&gt;DATE(2024,3,31),Sales_Deals!I695&lt;=DATE(2024,9,30)),Sales_Deals!J695,""),"")</f>
        <v/>
      </c>
    </row>
    <row r="705" spans="1:3" x14ac:dyDescent="0.35">
      <c r="A705">
        <v>695</v>
      </c>
      <c r="B705" t="str">
        <f>IF(Sales_Deals!I696&lt;&gt;"",IF(AND(Sales_Deals!I696&gt;DATE(2024,9,30),Sales_Deals!I696&lt;=DATE(2025,3,31)),Sales_Deals!J696,""),"")</f>
        <v/>
      </c>
      <c r="C705" t="str">
        <f>IF(Sales_Deals!I696&lt;&gt;"",IF(AND(Sales_Deals!I696&gt;DATE(2024,3,31),Sales_Deals!I696&lt;=DATE(2024,9,30)),Sales_Deals!J696,""),"")</f>
        <v/>
      </c>
    </row>
    <row r="706" spans="1:3" x14ac:dyDescent="0.35">
      <c r="A706">
        <v>696</v>
      </c>
      <c r="B706" t="str">
        <f>IF(Sales_Deals!I697&lt;&gt;"",IF(AND(Sales_Deals!I697&gt;DATE(2024,9,30),Sales_Deals!I697&lt;=DATE(2025,3,31)),Sales_Deals!J697,""),"")</f>
        <v/>
      </c>
      <c r="C706">
        <f>IF(Sales_Deals!I697&lt;&gt;"",IF(AND(Sales_Deals!I697&gt;DATE(2024,3,31),Sales_Deals!I697&lt;=DATE(2024,9,30)),Sales_Deals!J697,""),"")</f>
        <v>133</v>
      </c>
    </row>
    <row r="707" spans="1:3" x14ac:dyDescent="0.35">
      <c r="A707">
        <v>697</v>
      </c>
      <c r="B707" t="str">
        <f>IF(Sales_Deals!I698&lt;&gt;"",IF(AND(Sales_Deals!I698&gt;DATE(2024,9,30),Sales_Deals!I698&lt;=DATE(2025,3,31)),Sales_Deals!J698,""),"")</f>
        <v/>
      </c>
      <c r="C707" t="str">
        <f>IF(Sales_Deals!I698&lt;&gt;"",IF(AND(Sales_Deals!I698&gt;DATE(2024,3,31),Sales_Deals!I698&lt;=DATE(2024,9,30)),Sales_Deals!J698,""),"")</f>
        <v/>
      </c>
    </row>
    <row r="708" spans="1:3" x14ac:dyDescent="0.35">
      <c r="A708">
        <v>698</v>
      </c>
      <c r="B708" t="str">
        <f>IF(Sales_Deals!I699&lt;&gt;"",IF(AND(Sales_Deals!I699&gt;DATE(2024,9,30),Sales_Deals!I699&lt;=DATE(2025,3,31)),Sales_Deals!J699,""),"")</f>
        <v/>
      </c>
      <c r="C708" t="str">
        <f>IF(Sales_Deals!I699&lt;&gt;"",IF(AND(Sales_Deals!I699&gt;DATE(2024,3,31),Sales_Deals!I699&lt;=DATE(2024,9,30)),Sales_Deals!J699,""),"")</f>
        <v/>
      </c>
    </row>
    <row r="709" spans="1:3" x14ac:dyDescent="0.35">
      <c r="A709">
        <v>699</v>
      </c>
      <c r="B709" t="str">
        <f>IF(Sales_Deals!I700&lt;&gt;"",IF(AND(Sales_Deals!I700&gt;DATE(2024,9,30),Sales_Deals!I700&lt;=DATE(2025,3,31)),Sales_Deals!J700,""),"")</f>
        <v/>
      </c>
      <c r="C709" t="str">
        <f>IF(Sales_Deals!I700&lt;&gt;"",IF(AND(Sales_Deals!I700&gt;DATE(2024,3,31),Sales_Deals!I700&lt;=DATE(2024,9,30)),Sales_Deals!J700,""),"")</f>
        <v/>
      </c>
    </row>
    <row r="710" spans="1:3" x14ac:dyDescent="0.35">
      <c r="A710">
        <v>700</v>
      </c>
      <c r="B710" t="str">
        <f>IF(Sales_Deals!I701&lt;&gt;"",IF(AND(Sales_Deals!I701&gt;DATE(2024,9,30),Sales_Deals!I701&lt;=DATE(2025,3,31)),Sales_Deals!J701,""),"")</f>
        <v/>
      </c>
      <c r="C710" t="str">
        <f>IF(Sales_Deals!I701&lt;&gt;"",IF(AND(Sales_Deals!I701&gt;DATE(2024,3,31),Sales_Deals!I701&lt;=DATE(2024,9,30)),Sales_Deals!J701,""),"")</f>
        <v/>
      </c>
    </row>
    <row r="711" spans="1:3" x14ac:dyDescent="0.35">
      <c r="A711">
        <v>701</v>
      </c>
      <c r="B711" t="str">
        <f>IF(Sales_Deals!I702&lt;&gt;"",IF(AND(Sales_Deals!I702&gt;DATE(2024,9,30),Sales_Deals!I702&lt;=DATE(2025,3,31)),Sales_Deals!J702,""),"")</f>
        <v/>
      </c>
      <c r="C711" t="str">
        <f>IF(Sales_Deals!I702&lt;&gt;"",IF(AND(Sales_Deals!I702&gt;DATE(2024,3,31),Sales_Deals!I702&lt;=DATE(2024,9,30)),Sales_Deals!J702,""),"")</f>
        <v/>
      </c>
    </row>
    <row r="712" spans="1:3" x14ac:dyDescent="0.35">
      <c r="A712">
        <v>702</v>
      </c>
      <c r="B712" t="str">
        <f>IF(Sales_Deals!I703&lt;&gt;"",IF(AND(Sales_Deals!I703&gt;DATE(2024,9,30),Sales_Deals!I703&lt;=DATE(2025,3,31)),Sales_Deals!J703,""),"")</f>
        <v/>
      </c>
      <c r="C712" t="str">
        <f>IF(Sales_Deals!I703&lt;&gt;"",IF(AND(Sales_Deals!I703&gt;DATE(2024,3,31),Sales_Deals!I703&lt;=DATE(2024,9,30)),Sales_Deals!J703,""),"")</f>
        <v/>
      </c>
    </row>
    <row r="713" spans="1:3" x14ac:dyDescent="0.35">
      <c r="A713">
        <v>703</v>
      </c>
      <c r="B713" t="str">
        <f>IF(Sales_Deals!I704&lt;&gt;"",IF(AND(Sales_Deals!I704&gt;DATE(2024,9,30),Sales_Deals!I704&lt;=DATE(2025,3,31)),Sales_Deals!J704,""),"")</f>
        <v/>
      </c>
      <c r="C713" t="str">
        <f>IF(Sales_Deals!I704&lt;&gt;"",IF(AND(Sales_Deals!I704&gt;DATE(2024,3,31),Sales_Deals!I704&lt;=DATE(2024,9,30)),Sales_Deals!J704,""),"")</f>
        <v/>
      </c>
    </row>
    <row r="714" spans="1:3" x14ac:dyDescent="0.35">
      <c r="A714">
        <v>704</v>
      </c>
      <c r="B714" t="str">
        <f>IF(Sales_Deals!I705&lt;&gt;"",IF(AND(Sales_Deals!I705&gt;DATE(2024,9,30),Sales_Deals!I705&lt;=DATE(2025,3,31)),Sales_Deals!J705,""),"")</f>
        <v/>
      </c>
      <c r="C714" t="str">
        <f>IF(Sales_Deals!I705&lt;&gt;"",IF(AND(Sales_Deals!I705&gt;DATE(2024,3,31),Sales_Deals!I705&lt;=DATE(2024,9,30)),Sales_Deals!J705,""),"")</f>
        <v/>
      </c>
    </row>
    <row r="715" spans="1:3" x14ac:dyDescent="0.35">
      <c r="A715">
        <v>705</v>
      </c>
      <c r="B715" t="str">
        <f>IF(Sales_Deals!I706&lt;&gt;"",IF(AND(Sales_Deals!I706&gt;DATE(2024,9,30),Sales_Deals!I706&lt;=DATE(2025,3,31)),Sales_Deals!J706,""),"")</f>
        <v/>
      </c>
      <c r="C715" t="str">
        <f>IF(Sales_Deals!I706&lt;&gt;"",IF(AND(Sales_Deals!I706&gt;DATE(2024,3,31),Sales_Deals!I706&lt;=DATE(2024,9,30)),Sales_Deals!J706,""),"")</f>
        <v/>
      </c>
    </row>
    <row r="716" spans="1:3" x14ac:dyDescent="0.35">
      <c r="A716">
        <v>706</v>
      </c>
      <c r="B716" t="str">
        <f>IF(Sales_Deals!I707&lt;&gt;"",IF(AND(Sales_Deals!I707&gt;DATE(2024,9,30),Sales_Deals!I707&lt;=DATE(2025,3,31)),Sales_Deals!J707,""),"")</f>
        <v/>
      </c>
      <c r="C716">
        <f>IF(Sales_Deals!I707&lt;&gt;"",IF(AND(Sales_Deals!I707&gt;DATE(2024,3,31),Sales_Deals!I707&lt;=DATE(2024,9,30)),Sales_Deals!J707,""),"")</f>
        <v>148</v>
      </c>
    </row>
    <row r="717" spans="1:3" x14ac:dyDescent="0.35">
      <c r="A717">
        <v>707</v>
      </c>
      <c r="B717" t="str">
        <f>IF(Sales_Deals!I708&lt;&gt;"",IF(AND(Sales_Deals!I708&gt;DATE(2024,9,30),Sales_Deals!I708&lt;=DATE(2025,3,31)),Sales_Deals!J708,""),"")</f>
        <v/>
      </c>
      <c r="C717" t="str">
        <f>IF(Sales_Deals!I708&lt;&gt;"",IF(AND(Sales_Deals!I708&gt;DATE(2024,3,31),Sales_Deals!I708&lt;=DATE(2024,9,30)),Sales_Deals!J708,""),"")</f>
        <v/>
      </c>
    </row>
    <row r="718" spans="1:3" x14ac:dyDescent="0.35">
      <c r="A718">
        <v>708</v>
      </c>
      <c r="B718" t="str">
        <f>IF(Sales_Deals!I709&lt;&gt;"",IF(AND(Sales_Deals!I709&gt;DATE(2024,9,30),Sales_Deals!I709&lt;=DATE(2025,3,31)),Sales_Deals!J709,""),"")</f>
        <v/>
      </c>
      <c r="C718" t="str">
        <f>IF(Sales_Deals!I709&lt;&gt;"",IF(AND(Sales_Deals!I709&gt;DATE(2024,3,31),Sales_Deals!I709&lt;=DATE(2024,9,30)),Sales_Deals!J709,""),"")</f>
        <v/>
      </c>
    </row>
    <row r="719" spans="1:3" x14ac:dyDescent="0.35">
      <c r="A719">
        <v>709</v>
      </c>
      <c r="B719" t="str">
        <f>IF(Sales_Deals!I710&lt;&gt;"",IF(AND(Sales_Deals!I710&gt;DATE(2024,9,30),Sales_Deals!I710&lt;=DATE(2025,3,31)),Sales_Deals!J710,""),"")</f>
        <v/>
      </c>
      <c r="C719" t="str">
        <f>IF(Sales_Deals!I710&lt;&gt;"",IF(AND(Sales_Deals!I710&gt;DATE(2024,3,31),Sales_Deals!I710&lt;=DATE(2024,9,30)),Sales_Deals!J710,""),"")</f>
        <v/>
      </c>
    </row>
    <row r="720" spans="1:3" x14ac:dyDescent="0.35">
      <c r="A720">
        <v>710</v>
      </c>
      <c r="B720" t="str">
        <f>IF(Sales_Deals!I711&lt;&gt;"",IF(AND(Sales_Deals!I711&gt;DATE(2024,9,30),Sales_Deals!I711&lt;=DATE(2025,3,31)),Sales_Deals!J711,""),"")</f>
        <v/>
      </c>
      <c r="C720" t="str">
        <f>IF(Sales_Deals!I711&lt;&gt;"",IF(AND(Sales_Deals!I711&gt;DATE(2024,3,31),Sales_Deals!I711&lt;=DATE(2024,9,30)),Sales_Deals!J711,""),"")</f>
        <v/>
      </c>
    </row>
    <row r="721" spans="1:3" x14ac:dyDescent="0.35">
      <c r="A721">
        <v>711</v>
      </c>
      <c r="B721" t="str">
        <f>IF(Sales_Deals!I712&lt;&gt;"",IF(AND(Sales_Deals!I712&gt;DATE(2024,9,30),Sales_Deals!I712&lt;=DATE(2025,3,31)),Sales_Deals!J712,""),"")</f>
        <v/>
      </c>
      <c r="C721" t="str">
        <f>IF(Sales_Deals!I712&lt;&gt;"",IF(AND(Sales_Deals!I712&gt;DATE(2024,3,31),Sales_Deals!I712&lt;=DATE(2024,9,30)),Sales_Deals!J712,""),"")</f>
        <v/>
      </c>
    </row>
    <row r="722" spans="1:3" x14ac:dyDescent="0.35">
      <c r="A722">
        <v>712</v>
      </c>
      <c r="B722" t="str">
        <f>IF(Sales_Deals!I713&lt;&gt;"",IF(AND(Sales_Deals!I713&gt;DATE(2024,9,30),Sales_Deals!I713&lt;=DATE(2025,3,31)),Sales_Deals!J713,""),"")</f>
        <v/>
      </c>
      <c r="C722" t="str">
        <f>IF(Sales_Deals!I713&lt;&gt;"",IF(AND(Sales_Deals!I713&gt;DATE(2024,3,31),Sales_Deals!I713&lt;=DATE(2024,9,30)),Sales_Deals!J713,""),"")</f>
        <v/>
      </c>
    </row>
    <row r="723" spans="1:3" x14ac:dyDescent="0.35">
      <c r="A723">
        <v>713</v>
      </c>
      <c r="B723">
        <f>IF(Sales_Deals!I714&lt;&gt;"",IF(AND(Sales_Deals!I714&gt;DATE(2024,9,30),Sales_Deals!I714&lt;=DATE(2025,3,31)),Sales_Deals!J714,""),"")</f>
        <v>174</v>
      </c>
      <c r="C723" t="str">
        <f>IF(Sales_Deals!I714&lt;&gt;"",IF(AND(Sales_Deals!I714&gt;DATE(2024,3,31),Sales_Deals!I714&lt;=DATE(2024,9,30)),Sales_Deals!J714,""),"")</f>
        <v/>
      </c>
    </row>
    <row r="724" spans="1:3" x14ac:dyDescent="0.35">
      <c r="A724">
        <v>714</v>
      </c>
      <c r="B724" t="str">
        <f>IF(Sales_Deals!I715&lt;&gt;"",IF(AND(Sales_Deals!I715&gt;DATE(2024,9,30),Sales_Deals!I715&lt;=DATE(2025,3,31)),Sales_Deals!J715,""),"")</f>
        <v/>
      </c>
      <c r="C724" t="str">
        <f>IF(Sales_Deals!I715&lt;&gt;"",IF(AND(Sales_Deals!I715&gt;DATE(2024,3,31),Sales_Deals!I715&lt;=DATE(2024,9,30)),Sales_Deals!J715,""),"")</f>
        <v/>
      </c>
    </row>
    <row r="725" spans="1:3" x14ac:dyDescent="0.35">
      <c r="A725">
        <v>715</v>
      </c>
      <c r="B725" t="str">
        <f>IF(Sales_Deals!I716&lt;&gt;"",IF(AND(Sales_Deals!I716&gt;DATE(2024,9,30),Sales_Deals!I716&lt;=DATE(2025,3,31)),Sales_Deals!J716,""),"")</f>
        <v/>
      </c>
      <c r="C725" t="str">
        <f>IF(Sales_Deals!I716&lt;&gt;"",IF(AND(Sales_Deals!I716&gt;DATE(2024,3,31),Sales_Deals!I716&lt;=DATE(2024,9,30)),Sales_Deals!J716,""),"")</f>
        <v/>
      </c>
    </row>
    <row r="726" spans="1:3" x14ac:dyDescent="0.35">
      <c r="A726">
        <v>716</v>
      </c>
      <c r="B726">
        <f>IF(Sales_Deals!I717&lt;&gt;"",IF(AND(Sales_Deals!I717&gt;DATE(2024,9,30),Sales_Deals!I717&lt;=DATE(2025,3,31)),Sales_Deals!J717,""),"")</f>
        <v>53</v>
      </c>
      <c r="C726" t="str">
        <f>IF(Sales_Deals!I717&lt;&gt;"",IF(AND(Sales_Deals!I717&gt;DATE(2024,3,31),Sales_Deals!I717&lt;=DATE(2024,9,30)),Sales_Deals!J717,""),"")</f>
        <v/>
      </c>
    </row>
    <row r="727" spans="1:3" x14ac:dyDescent="0.35">
      <c r="A727">
        <v>717</v>
      </c>
      <c r="B727" t="str">
        <f>IF(Sales_Deals!I718&lt;&gt;"",IF(AND(Sales_Deals!I718&gt;DATE(2024,9,30),Sales_Deals!I718&lt;=DATE(2025,3,31)),Sales_Deals!J718,""),"")</f>
        <v/>
      </c>
      <c r="C727" t="str">
        <f>IF(Sales_Deals!I718&lt;&gt;"",IF(AND(Sales_Deals!I718&gt;DATE(2024,3,31),Sales_Deals!I718&lt;=DATE(2024,9,30)),Sales_Deals!J718,""),"")</f>
        <v/>
      </c>
    </row>
    <row r="728" spans="1:3" x14ac:dyDescent="0.35">
      <c r="A728">
        <v>718</v>
      </c>
      <c r="B728">
        <f>IF(Sales_Deals!I719&lt;&gt;"",IF(AND(Sales_Deals!I719&gt;DATE(2024,9,30),Sales_Deals!I719&lt;=DATE(2025,3,31)),Sales_Deals!J719,""),"")</f>
        <v>101</v>
      </c>
      <c r="C728" t="str">
        <f>IF(Sales_Deals!I719&lt;&gt;"",IF(AND(Sales_Deals!I719&gt;DATE(2024,3,31),Sales_Deals!I719&lt;=DATE(2024,9,30)),Sales_Deals!J719,""),"")</f>
        <v/>
      </c>
    </row>
    <row r="729" spans="1:3" x14ac:dyDescent="0.35">
      <c r="A729">
        <v>719</v>
      </c>
      <c r="B729" t="str">
        <f>IF(Sales_Deals!I720&lt;&gt;"",IF(AND(Sales_Deals!I720&gt;DATE(2024,9,30),Sales_Deals!I720&lt;=DATE(2025,3,31)),Sales_Deals!J720,""),"")</f>
        <v/>
      </c>
      <c r="C729" t="str">
        <f>IF(Sales_Deals!I720&lt;&gt;"",IF(AND(Sales_Deals!I720&gt;DATE(2024,3,31),Sales_Deals!I720&lt;=DATE(2024,9,30)),Sales_Deals!J720,""),"")</f>
        <v/>
      </c>
    </row>
    <row r="730" spans="1:3" x14ac:dyDescent="0.35">
      <c r="A730">
        <v>720</v>
      </c>
      <c r="B730" t="str">
        <f>IF(Sales_Deals!I721&lt;&gt;"",IF(AND(Sales_Deals!I721&gt;DATE(2024,9,30),Sales_Deals!I721&lt;=DATE(2025,3,31)),Sales_Deals!J721,""),"")</f>
        <v/>
      </c>
      <c r="C730" t="str">
        <f>IF(Sales_Deals!I721&lt;&gt;"",IF(AND(Sales_Deals!I721&gt;DATE(2024,3,31),Sales_Deals!I721&lt;=DATE(2024,9,30)),Sales_Deals!J721,""),"")</f>
        <v/>
      </c>
    </row>
    <row r="731" spans="1:3" x14ac:dyDescent="0.35">
      <c r="A731">
        <v>721</v>
      </c>
      <c r="B731" t="str">
        <f>IF(Sales_Deals!I722&lt;&gt;"",IF(AND(Sales_Deals!I722&gt;DATE(2024,9,30),Sales_Deals!I722&lt;=DATE(2025,3,31)),Sales_Deals!J722,""),"")</f>
        <v/>
      </c>
      <c r="C731" t="str">
        <f>IF(Sales_Deals!I722&lt;&gt;"",IF(AND(Sales_Deals!I722&gt;DATE(2024,3,31),Sales_Deals!I722&lt;=DATE(2024,9,30)),Sales_Deals!J722,""),"")</f>
        <v/>
      </c>
    </row>
    <row r="732" spans="1:3" x14ac:dyDescent="0.35">
      <c r="A732">
        <v>722</v>
      </c>
      <c r="B732" t="str">
        <f>IF(Sales_Deals!I723&lt;&gt;"",IF(AND(Sales_Deals!I723&gt;DATE(2024,9,30),Sales_Deals!I723&lt;=DATE(2025,3,31)),Sales_Deals!J723,""),"")</f>
        <v/>
      </c>
      <c r="C732" t="str">
        <f>IF(Sales_Deals!I723&lt;&gt;"",IF(AND(Sales_Deals!I723&gt;DATE(2024,3,31),Sales_Deals!I723&lt;=DATE(2024,9,30)),Sales_Deals!J723,""),"")</f>
        <v/>
      </c>
    </row>
    <row r="733" spans="1:3" x14ac:dyDescent="0.35">
      <c r="A733">
        <v>723</v>
      </c>
      <c r="B733" t="str">
        <f>IF(Sales_Deals!I724&lt;&gt;"",IF(AND(Sales_Deals!I724&gt;DATE(2024,9,30),Sales_Deals!I724&lt;=DATE(2025,3,31)),Sales_Deals!J724,""),"")</f>
        <v/>
      </c>
      <c r="C733" t="str">
        <f>IF(Sales_Deals!I724&lt;&gt;"",IF(AND(Sales_Deals!I724&gt;DATE(2024,3,31),Sales_Deals!I724&lt;=DATE(2024,9,30)),Sales_Deals!J724,""),"")</f>
        <v/>
      </c>
    </row>
    <row r="734" spans="1:3" x14ac:dyDescent="0.35">
      <c r="A734">
        <v>724</v>
      </c>
      <c r="B734" t="str">
        <f>IF(Sales_Deals!I725&lt;&gt;"",IF(AND(Sales_Deals!I725&gt;DATE(2024,9,30),Sales_Deals!I725&lt;=DATE(2025,3,31)),Sales_Deals!J725,""),"")</f>
        <v/>
      </c>
      <c r="C734" t="str">
        <f>IF(Sales_Deals!I725&lt;&gt;"",IF(AND(Sales_Deals!I725&gt;DATE(2024,3,31),Sales_Deals!I725&lt;=DATE(2024,9,30)),Sales_Deals!J725,""),"")</f>
        <v/>
      </c>
    </row>
    <row r="735" spans="1:3" x14ac:dyDescent="0.35">
      <c r="A735">
        <v>725</v>
      </c>
      <c r="B735" t="str">
        <f>IF(Sales_Deals!I726&lt;&gt;"",IF(AND(Sales_Deals!I726&gt;DATE(2024,9,30),Sales_Deals!I726&lt;=DATE(2025,3,31)),Sales_Deals!J726,""),"")</f>
        <v/>
      </c>
      <c r="C735" t="str">
        <f>IF(Sales_Deals!I726&lt;&gt;"",IF(AND(Sales_Deals!I726&gt;DATE(2024,3,31),Sales_Deals!I726&lt;=DATE(2024,9,30)),Sales_Deals!J726,""),"")</f>
        <v/>
      </c>
    </row>
    <row r="736" spans="1:3" x14ac:dyDescent="0.35">
      <c r="A736">
        <v>726</v>
      </c>
      <c r="B736" t="str">
        <f>IF(Sales_Deals!I727&lt;&gt;"",IF(AND(Sales_Deals!I727&gt;DATE(2024,9,30),Sales_Deals!I727&lt;=DATE(2025,3,31)),Sales_Deals!J727,""),"")</f>
        <v/>
      </c>
      <c r="C736" t="str">
        <f>IF(Sales_Deals!I727&lt;&gt;"",IF(AND(Sales_Deals!I727&gt;DATE(2024,3,31),Sales_Deals!I727&lt;=DATE(2024,9,30)),Sales_Deals!J727,""),"")</f>
        <v/>
      </c>
    </row>
    <row r="737" spans="1:3" x14ac:dyDescent="0.35">
      <c r="A737">
        <v>727</v>
      </c>
      <c r="B737" t="str">
        <f>IF(Sales_Deals!I728&lt;&gt;"",IF(AND(Sales_Deals!I728&gt;DATE(2024,9,30),Sales_Deals!I728&lt;=DATE(2025,3,31)),Sales_Deals!J728,""),"")</f>
        <v/>
      </c>
      <c r="C737" t="str">
        <f>IF(Sales_Deals!I728&lt;&gt;"",IF(AND(Sales_Deals!I728&gt;DATE(2024,3,31),Sales_Deals!I728&lt;=DATE(2024,9,30)),Sales_Deals!J728,""),"")</f>
        <v/>
      </c>
    </row>
    <row r="738" spans="1:3" x14ac:dyDescent="0.35">
      <c r="A738">
        <v>728</v>
      </c>
      <c r="B738" t="str">
        <f>IF(Sales_Deals!I729&lt;&gt;"",IF(AND(Sales_Deals!I729&gt;DATE(2024,9,30),Sales_Deals!I729&lt;=DATE(2025,3,31)),Sales_Deals!J729,""),"")</f>
        <v/>
      </c>
      <c r="C738" t="str">
        <f>IF(Sales_Deals!I729&lt;&gt;"",IF(AND(Sales_Deals!I729&gt;DATE(2024,3,31),Sales_Deals!I729&lt;=DATE(2024,9,30)),Sales_Deals!J729,""),"")</f>
        <v/>
      </c>
    </row>
    <row r="739" spans="1:3" x14ac:dyDescent="0.35">
      <c r="A739">
        <v>729</v>
      </c>
      <c r="B739" t="str">
        <f>IF(Sales_Deals!I730&lt;&gt;"",IF(AND(Sales_Deals!I730&gt;DATE(2024,9,30),Sales_Deals!I730&lt;=DATE(2025,3,31)),Sales_Deals!J730,""),"")</f>
        <v/>
      </c>
      <c r="C739" t="str">
        <f>IF(Sales_Deals!I730&lt;&gt;"",IF(AND(Sales_Deals!I730&gt;DATE(2024,3,31),Sales_Deals!I730&lt;=DATE(2024,9,30)),Sales_Deals!J730,""),"")</f>
        <v/>
      </c>
    </row>
    <row r="740" spans="1:3" x14ac:dyDescent="0.35">
      <c r="A740">
        <v>730</v>
      </c>
      <c r="B740" t="str">
        <f>IF(Sales_Deals!I731&lt;&gt;"",IF(AND(Sales_Deals!I731&gt;DATE(2024,9,30),Sales_Deals!I731&lt;=DATE(2025,3,31)),Sales_Deals!J731,""),"")</f>
        <v/>
      </c>
      <c r="C740">
        <f>IF(Sales_Deals!I731&lt;&gt;"",IF(AND(Sales_Deals!I731&gt;DATE(2024,3,31),Sales_Deals!I731&lt;=DATE(2024,9,30)),Sales_Deals!J731,""),"")</f>
        <v>114</v>
      </c>
    </row>
    <row r="741" spans="1:3" x14ac:dyDescent="0.35">
      <c r="A741">
        <v>731</v>
      </c>
      <c r="B741" t="str">
        <f>IF(Sales_Deals!I732&lt;&gt;"",IF(AND(Sales_Deals!I732&gt;DATE(2024,9,30),Sales_Deals!I732&lt;=DATE(2025,3,31)),Sales_Deals!J732,""),"")</f>
        <v/>
      </c>
      <c r="C741" t="str">
        <f>IF(Sales_Deals!I732&lt;&gt;"",IF(AND(Sales_Deals!I732&gt;DATE(2024,3,31),Sales_Deals!I732&lt;=DATE(2024,9,30)),Sales_Deals!J732,""),"")</f>
        <v/>
      </c>
    </row>
    <row r="742" spans="1:3" x14ac:dyDescent="0.35">
      <c r="A742">
        <v>732</v>
      </c>
      <c r="B742" t="str">
        <f>IF(Sales_Deals!I733&lt;&gt;"",IF(AND(Sales_Deals!I733&gt;DATE(2024,9,30),Sales_Deals!I733&lt;=DATE(2025,3,31)),Sales_Deals!J733,""),"")</f>
        <v/>
      </c>
      <c r="C742" t="str">
        <f>IF(Sales_Deals!I733&lt;&gt;"",IF(AND(Sales_Deals!I733&gt;DATE(2024,3,31),Sales_Deals!I733&lt;=DATE(2024,9,30)),Sales_Deals!J733,""),"")</f>
        <v/>
      </c>
    </row>
    <row r="743" spans="1:3" x14ac:dyDescent="0.35">
      <c r="A743">
        <v>733</v>
      </c>
      <c r="B743" t="str">
        <f>IF(Sales_Deals!I734&lt;&gt;"",IF(AND(Sales_Deals!I734&gt;DATE(2024,9,30),Sales_Deals!I734&lt;=DATE(2025,3,31)),Sales_Deals!J734,""),"")</f>
        <v/>
      </c>
      <c r="C743" t="str">
        <f>IF(Sales_Deals!I734&lt;&gt;"",IF(AND(Sales_Deals!I734&gt;DATE(2024,3,31),Sales_Deals!I734&lt;=DATE(2024,9,30)),Sales_Deals!J734,""),"")</f>
        <v/>
      </c>
    </row>
    <row r="744" spans="1:3" x14ac:dyDescent="0.35">
      <c r="A744">
        <v>734</v>
      </c>
      <c r="B744" t="str">
        <f>IF(Sales_Deals!I735&lt;&gt;"",IF(AND(Sales_Deals!I735&gt;DATE(2024,9,30),Sales_Deals!I735&lt;=DATE(2025,3,31)),Sales_Deals!J735,""),"")</f>
        <v/>
      </c>
      <c r="C744" t="str">
        <f>IF(Sales_Deals!I735&lt;&gt;"",IF(AND(Sales_Deals!I735&gt;DATE(2024,3,31),Sales_Deals!I735&lt;=DATE(2024,9,30)),Sales_Deals!J735,""),"")</f>
        <v/>
      </c>
    </row>
    <row r="745" spans="1:3" x14ac:dyDescent="0.35">
      <c r="A745">
        <v>735</v>
      </c>
      <c r="B745" t="str">
        <f>IF(Sales_Deals!I736&lt;&gt;"",IF(AND(Sales_Deals!I736&gt;DATE(2024,9,30),Sales_Deals!I736&lt;=DATE(2025,3,31)),Sales_Deals!J736,""),"")</f>
        <v/>
      </c>
      <c r="C745" t="str">
        <f>IF(Sales_Deals!I736&lt;&gt;"",IF(AND(Sales_Deals!I736&gt;DATE(2024,3,31),Sales_Deals!I736&lt;=DATE(2024,9,30)),Sales_Deals!J736,""),"")</f>
        <v/>
      </c>
    </row>
    <row r="746" spans="1:3" x14ac:dyDescent="0.35">
      <c r="A746">
        <v>736</v>
      </c>
      <c r="B746" t="str">
        <f>IF(Sales_Deals!I737&lt;&gt;"",IF(AND(Sales_Deals!I737&gt;DATE(2024,9,30),Sales_Deals!I737&lt;=DATE(2025,3,31)),Sales_Deals!J737,""),"")</f>
        <v/>
      </c>
      <c r="C746" t="str">
        <f>IF(Sales_Deals!I737&lt;&gt;"",IF(AND(Sales_Deals!I737&gt;DATE(2024,3,31),Sales_Deals!I737&lt;=DATE(2024,9,30)),Sales_Deals!J737,""),"")</f>
        <v/>
      </c>
    </row>
    <row r="747" spans="1:3" x14ac:dyDescent="0.35">
      <c r="A747">
        <v>737</v>
      </c>
      <c r="B747">
        <f>IF(Sales_Deals!I738&lt;&gt;"",IF(AND(Sales_Deals!I738&gt;DATE(2024,9,30),Sales_Deals!I738&lt;=DATE(2025,3,31)),Sales_Deals!J738,""),"")</f>
        <v>113</v>
      </c>
      <c r="C747" t="str">
        <f>IF(Sales_Deals!I738&lt;&gt;"",IF(AND(Sales_Deals!I738&gt;DATE(2024,3,31),Sales_Deals!I738&lt;=DATE(2024,9,30)),Sales_Deals!J738,""),"")</f>
        <v/>
      </c>
    </row>
    <row r="748" spans="1:3" x14ac:dyDescent="0.35">
      <c r="A748">
        <v>738</v>
      </c>
      <c r="B748" t="str">
        <f>IF(Sales_Deals!I739&lt;&gt;"",IF(AND(Sales_Deals!I739&gt;DATE(2024,9,30),Sales_Deals!I739&lt;=DATE(2025,3,31)),Sales_Deals!J739,""),"")</f>
        <v/>
      </c>
      <c r="C748" t="str">
        <f>IF(Sales_Deals!I739&lt;&gt;"",IF(AND(Sales_Deals!I739&gt;DATE(2024,3,31),Sales_Deals!I739&lt;=DATE(2024,9,30)),Sales_Deals!J739,""),"")</f>
        <v/>
      </c>
    </row>
    <row r="749" spans="1:3" x14ac:dyDescent="0.35">
      <c r="A749">
        <v>739</v>
      </c>
      <c r="B749" t="str">
        <f>IF(Sales_Deals!I740&lt;&gt;"",IF(AND(Sales_Deals!I740&gt;DATE(2024,9,30),Sales_Deals!I740&lt;=DATE(2025,3,31)),Sales_Deals!J740,""),"")</f>
        <v/>
      </c>
      <c r="C749" t="str">
        <f>IF(Sales_Deals!I740&lt;&gt;"",IF(AND(Sales_Deals!I740&gt;DATE(2024,3,31),Sales_Deals!I740&lt;=DATE(2024,9,30)),Sales_Deals!J740,""),"")</f>
        <v/>
      </c>
    </row>
    <row r="750" spans="1:3" x14ac:dyDescent="0.35">
      <c r="A750">
        <v>740</v>
      </c>
      <c r="B750" t="str">
        <f>IF(Sales_Deals!I741&lt;&gt;"",IF(AND(Sales_Deals!I741&gt;DATE(2024,9,30),Sales_Deals!I741&lt;=DATE(2025,3,31)),Sales_Deals!J741,""),"")</f>
        <v/>
      </c>
      <c r="C750" t="str">
        <f>IF(Sales_Deals!I741&lt;&gt;"",IF(AND(Sales_Deals!I741&gt;DATE(2024,3,31),Sales_Deals!I741&lt;=DATE(2024,9,30)),Sales_Deals!J741,""),"")</f>
        <v/>
      </c>
    </row>
    <row r="751" spans="1:3" x14ac:dyDescent="0.35">
      <c r="A751">
        <v>741</v>
      </c>
      <c r="B751" t="str">
        <f>IF(Sales_Deals!I742&lt;&gt;"",IF(AND(Sales_Deals!I742&gt;DATE(2024,9,30),Sales_Deals!I742&lt;=DATE(2025,3,31)),Sales_Deals!J742,""),"")</f>
        <v/>
      </c>
      <c r="C751" t="str">
        <f>IF(Sales_Deals!I742&lt;&gt;"",IF(AND(Sales_Deals!I742&gt;DATE(2024,3,31),Sales_Deals!I742&lt;=DATE(2024,9,30)),Sales_Deals!J742,""),"")</f>
        <v/>
      </c>
    </row>
    <row r="752" spans="1:3" x14ac:dyDescent="0.35">
      <c r="A752">
        <v>742</v>
      </c>
      <c r="B752" t="str">
        <f>IF(Sales_Deals!I743&lt;&gt;"",IF(AND(Sales_Deals!I743&gt;DATE(2024,9,30),Sales_Deals!I743&lt;=DATE(2025,3,31)),Sales_Deals!J743,""),"")</f>
        <v/>
      </c>
      <c r="C752" t="str">
        <f>IF(Sales_Deals!I743&lt;&gt;"",IF(AND(Sales_Deals!I743&gt;DATE(2024,3,31),Sales_Deals!I743&lt;=DATE(2024,9,30)),Sales_Deals!J743,""),"")</f>
        <v/>
      </c>
    </row>
    <row r="753" spans="1:3" x14ac:dyDescent="0.35">
      <c r="A753">
        <v>743</v>
      </c>
      <c r="B753" t="str">
        <f>IF(Sales_Deals!I744&lt;&gt;"",IF(AND(Sales_Deals!I744&gt;DATE(2024,9,30),Sales_Deals!I744&lt;=DATE(2025,3,31)),Sales_Deals!J744,""),"")</f>
        <v/>
      </c>
      <c r="C753" t="str">
        <f>IF(Sales_Deals!I744&lt;&gt;"",IF(AND(Sales_Deals!I744&gt;DATE(2024,3,31),Sales_Deals!I744&lt;=DATE(2024,9,30)),Sales_Deals!J744,""),"")</f>
        <v/>
      </c>
    </row>
    <row r="754" spans="1:3" x14ac:dyDescent="0.35">
      <c r="A754">
        <v>744</v>
      </c>
      <c r="B754" t="str">
        <f>IF(Sales_Deals!I745&lt;&gt;"",IF(AND(Sales_Deals!I745&gt;DATE(2024,9,30),Sales_Deals!I745&lt;=DATE(2025,3,31)),Sales_Deals!J745,""),"")</f>
        <v/>
      </c>
      <c r="C754" t="str">
        <f>IF(Sales_Deals!I745&lt;&gt;"",IF(AND(Sales_Deals!I745&gt;DATE(2024,3,31),Sales_Deals!I745&lt;=DATE(2024,9,30)),Sales_Deals!J745,""),"")</f>
        <v/>
      </c>
    </row>
    <row r="755" spans="1:3" x14ac:dyDescent="0.35">
      <c r="A755">
        <v>745</v>
      </c>
      <c r="B755" t="str">
        <f>IF(Sales_Deals!I746&lt;&gt;"",IF(AND(Sales_Deals!I746&gt;DATE(2024,9,30),Sales_Deals!I746&lt;=DATE(2025,3,31)),Sales_Deals!J746,""),"")</f>
        <v/>
      </c>
      <c r="C755" t="str">
        <f>IF(Sales_Deals!I746&lt;&gt;"",IF(AND(Sales_Deals!I746&gt;DATE(2024,3,31),Sales_Deals!I746&lt;=DATE(2024,9,30)),Sales_Deals!J746,""),"")</f>
        <v/>
      </c>
    </row>
    <row r="756" spans="1:3" x14ac:dyDescent="0.35">
      <c r="A756">
        <v>746</v>
      </c>
      <c r="B756" t="str">
        <f>IF(Sales_Deals!I747&lt;&gt;"",IF(AND(Sales_Deals!I747&gt;DATE(2024,9,30),Sales_Deals!I747&lt;=DATE(2025,3,31)),Sales_Deals!J747,""),"")</f>
        <v/>
      </c>
      <c r="C756" t="str">
        <f>IF(Sales_Deals!I747&lt;&gt;"",IF(AND(Sales_Deals!I747&gt;DATE(2024,3,31),Sales_Deals!I747&lt;=DATE(2024,9,30)),Sales_Deals!J747,""),"")</f>
        <v/>
      </c>
    </row>
    <row r="757" spans="1:3" x14ac:dyDescent="0.35">
      <c r="A757">
        <v>747</v>
      </c>
      <c r="B757" t="str">
        <f>IF(Sales_Deals!I748&lt;&gt;"",IF(AND(Sales_Deals!I748&gt;DATE(2024,9,30),Sales_Deals!I748&lt;=DATE(2025,3,31)),Sales_Deals!J748,""),"")</f>
        <v/>
      </c>
      <c r="C757" t="str">
        <f>IF(Sales_Deals!I748&lt;&gt;"",IF(AND(Sales_Deals!I748&gt;DATE(2024,3,31),Sales_Deals!I748&lt;=DATE(2024,9,30)),Sales_Deals!J748,""),"")</f>
        <v/>
      </c>
    </row>
    <row r="758" spans="1:3" x14ac:dyDescent="0.35">
      <c r="A758">
        <v>748</v>
      </c>
      <c r="B758" t="str">
        <f>IF(Sales_Deals!I749&lt;&gt;"",IF(AND(Sales_Deals!I749&gt;DATE(2024,9,30),Sales_Deals!I749&lt;=DATE(2025,3,31)),Sales_Deals!J749,""),"")</f>
        <v/>
      </c>
      <c r="C758">
        <f>IF(Sales_Deals!I749&lt;&gt;"",IF(AND(Sales_Deals!I749&gt;DATE(2024,3,31),Sales_Deals!I749&lt;=DATE(2024,9,30)),Sales_Deals!J749,""),"")</f>
        <v>58</v>
      </c>
    </row>
    <row r="759" spans="1:3" x14ac:dyDescent="0.35">
      <c r="A759">
        <v>749</v>
      </c>
      <c r="B759" t="str">
        <f>IF(Sales_Deals!I750&lt;&gt;"",IF(AND(Sales_Deals!I750&gt;DATE(2024,9,30),Sales_Deals!I750&lt;=DATE(2025,3,31)),Sales_Deals!J750,""),"")</f>
        <v/>
      </c>
      <c r="C759" t="str">
        <f>IF(Sales_Deals!I750&lt;&gt;"",IF(AND(Sales_Deals!I750&gt;DATE(2024,3,31),Sales_Deals!I750&lt;=DATE(2024,9,30)),Sales_Deals!J750,""),"")</f>
        <v/>
      </c>
    </row>
    <row r="760" spans="1:3" x14ac:dyDescent="0.35">
      <c r="A760">
        <v>750</v>
      </c>
      <c r="B760" t="str">
        <f>IF(Sales_Deals!I751&lt;&gt;"",IF(AND(Sales_Deals!I751&gt;DATE(2024,9,30),Sales_Deals!I751&lt;=DATE(2025,3,31)),Sales_Deals!J751,""),"")</f>
        <v/>
      </c>
      <c r="C760">
        <f>IF(Sales_Deals!I751&lt;&gt;"",IF(AND(Sales_Deals!I751&gt;DATE(2024,3,31),Sales_Deals!I751&lt;=DATE(2024,9,30)),Sales_Deals!J751,""),"")</f>
        <v>149</v>
      </c>
    </row>
    <row r="761" spans="1:3" x14ac:dyDescent="0.35">
      <c r="A761">
        <v>751</v>
      </c>
      <c r="B761" t="str">
        <f>IF(Sales_Deals!I752&lt;&gt;"",IF(AND(Sales_Deals!I752&gt;DATE(2024,9,30),Sales_Deals!I752&lt;=DATE(2025,3,31)),Sales_Deals!J752,""),"")</f>
        <v/>
      </c>
      <c r="C761" t="str">
        <f>IF(Sales_Deals!I752&lt;&gt;"",IF(AND(Sales_Deals!I752&gt;DATE(2024,3,31),Sales_Deals!I752&lt;=DATE(2024,9,30)),Sales_Deals!J752,""),"")</f>
        <v/>
      </c>
    </row>
    <row r="762" spans="1:3" x14ac:dyDescent="0.35">
      <c r="A762">
        <v>752</v>
      </c>
      <c r="B762" t="str">
        <f>IF(Sales_Deals!I753&lt;&gt;"",IF(AND(Sales_Deals!I753&gt;DATE(2024,9,30),Sales_Deals!I753&lt;=DATE(2025,3,31)),Sales_Deals!J753,""),"")</f>
        <v/>
      </c>
      <c r="C762" t="str">
        <f>IF(Sales_Deals!I753&lt;&gt;"",IF(AND(Sales_Deals!I753&gt;DATE(2024,3,31),Sales_Deals!I753&lt;=DATE(2024,9,30)),Sales_Deals!J753,""),"")</f>
        <v/>
      </c>
    </row>
    <row r="763" spans="1:3" x14ac:dyDescent="0.35">
      <c r="A763">
        <v>753</v>
      </c>
      <c r="B763" t="str">
        <f>IF(Sales_Deals!I754&lt;&gt;"",IF(AND(Sales_Deals!I754&gt;DATE(2024,9,30),Sales_Deals!I754&lt;=DATE(2025,3,31)),Sales_Deals!J754,""),"")</f>
        <v/>
      </c>
      <c r="C763" t="str">
        <f>IF(Sales_Deals!I754&lt;&gt;"",IF(AND(Sales_Deals!I754&gt;DATE(2024,3,31),Sales_Deals!I754&lt;=DATE(2024,9,30)),Sales_Deals!J754,""),"")</f>
        <v/>
      </c>
    </row>
    <row r="764" spans="1:3" x14ac:dyDescent="0.35">
      <c r="A764">
        <v>754</v>
      </c>
      <c r="B764" t="str">
        <f>IF(Sales_Deals!I755&lt;&gt;"",IF(AND(Sales_Deals!I755&gt;DATE(2024,9,30),Sales_Deals!I755&lt;=DATE(2025,3,31)),Sales_Deals!J755,""),"")</f>
        <v/>
      </c>
      <c r="C764" t="str">
        <f>IF(Sales_Deals!I755&lt;&gt;"",IF(AND(Sales_Deals!I755&gt;DATE(2024,3,31),Sales_Deals!I755&lt;=DATE(2024,9,30)),Sales_Deals!J755,""),"")</f>
        <v/>
      </c>
    </row>
    <row r="765" spans="1:3" x14ac:dyDescent="0.35">
      <c r="A765">
        <v>755</v>
      </c>
      <c r="B765" t="str">
        <f>IF(Sales_Deals!I756&lt;&gt;"",IF(AND(Sales_Deals!I756&gt;DATE(2024,9,30),Sales_Deals!I756&lt;=DATE(2025,3,31)),Sales_Deals!J756,""),"")</f>
        <v/>
      </c>
      <c r="C765" t="str">
        <f>IF(Sales_Deals!I756&lt;&gt;"",IF(AND(Sales_Deals!I756&gt;DATE(2024,3,31),Sales_Deals!I756&lt;=DATE(2024,9,30)),Sales_Deals!J756,""),"")</f>
        <v/>
      </c>
    </row>
    <row r="766" spans="1:3" x14ac:dyDescent="0.35">
      <c r="A766">
        <v>756</v>
      </c>
      <c r="B766" t="str">
        <f>IF(Sales_Deals!I757&lt;&gt;"",IF(AND(Sales_Deals!I757&gt;DATE(2024,9,30),Sales_Deals!I757&lt;=DATE(2025,3,31)),Sales_Deals!J757,""),"")</f>
        <v/>
      </c>
      <c r="C766" t="str">
        <f>IF(Sales_Deals!I757&lt;&gt;"",IF(AND(Sales_Deals!I757&gt;DATE(2024,3,31),Sales_Deals!I757&lt;=DATE(2024,9,30)),Sales_Deals!J757,""),"")</f>
        <v/>
      </c>
    </row>
    <row r="767" spans="1:3" x14ac:dyDescent="0.35">
      <c r="A767">
        <v>757</v>
      </c>
      <c r="B767" t="str">
        <f>IF(Sales_Deals!I758&lt;&gt;"",IF(AND(Sales_Deals!I758&gt;DATE(2024,9,30),Sales_Deals!I758&lt;=DATE(2025,3,31)),Sales_Deals!J758,""),"")</f>
        <v/>
      </c>
      <c r="C767" t="str">
        <f>IF(Sales_Deals!I758&lt;&gt;"",IF(AND(Sales_Deals!I758&gt;DATE(2024,3,31),Sales_Deals!I758&lt;=DATE(2024,9,30)),Sales_Deals!J758,""),"")</f>
        <v/>
      </c>
    </row>
    <row r="768" spans="1:3" x14ac:dyDescent="0.35">
      <c r="A768">
        <v>758</v>
      </c>
      <c r="B768" t="str">
        <f>IF(Sales_Deals!I759&lt;&gt;"",IF(AND(Sales_Deals!I759&gt;DATE(2024,9,30),Sales_Deals!I759&lt;=DATE(2025,3,31)),Sales_Deals!J759,""),"")</f>
        <v/>
      </c>
      <c r="C768" t="str">
        <f>IF(Sales_Deals!I759&lt;&gt;"",IF(AND(Sales_Deals!I759&gt;DATE(2024,3,31),Sales_Deals!I759&lt;=DATE(2024,9,30)),Sales_Deals!J759,""),"")</f>
        <v/>
      </c>
    </row>
    <row r="769" spans="1:3" x14ac:dyDescent="0.35">
      <c r="A769">
        <v>759</v>
      </c>
      <c r="B769" t="str">
        <f>IF(Sales_Deals!I760&lt;&gt;"",IF(AND(Sales_Deals!I760&gt;DATE(2024,9,30),Sales_Deals!I760&lt;=DATE(2025,3,31)),Sales_Deals!J760,""),"")</f>
        <v/>
      </c>
      <c r="C769" t="str">
        <f>IF(Sales_Deals!I760&lt;&gt;"",IF(AND(Sales_Deals!I760&gt;DATE(2024,3,31),Sales_Deals!I760&lt;=DATE(2024,9,30)),Sales_Deals!J760,""),"")</f>
        <v/>
      </c>
    </row>
    <row r="770" spans="1:3" x14ac:dyDescent="0.35">
      <c r="A770">
        <v>760</v>
      </c>
      <c r="B770" t="str">
        <f>IF(Sales_Deals!I761&lt;&gt;"",IF(AND(Sales_Deals!I761&gt;DATE(2024,9,30),Sales_Deals!I761&lt;=DATE(2025,3,31)),Sales_Deals!J761,""),"")</f>
        <v/>
      </c>
      <c r="C770" t="str">
        <f>IF(Sales_Deals!I761&lt;&gt;"",IF(AND(Sales_Deals!I761&gt;DATE(2024,3,31),Sales_Deals!I761&lt;=DATE(2024,9,30)),Sales_Deals!J761,""),"")</f>
        <v/>
      </c>
    </row>
    <row r="771" spans="1:3" x14ac:dyDescent="0.35">
      <c r="A771">
        <v>761</v>
      </c>
      <c r="B771" t="str">
        <f>IF(Sales_Deals!I762&lt;&gt;"",IF(AND(Sales_Deals!I762&gt;DATE(2024,9,30),Sales_Deals!I762&lt;=DATE(2025,3,31)),Sales_Deals!J762,""),"")</f>
        <v/>
      </c>
      <c r="C771" t="str">
        <f>IF(Sales_Deals!I762&lt;&gt;"",IF(AND(Sales_Deals!I762&gt;DATE(2024,3,31),Sales_Deals!I762&lt;=DATE(2024,9,30)),Sales_Deals!J762,""),"")</f>
        <v/>
      </c>
    </row>
    <row r="772" spans="1:3" x14ac:dyDescent="0.35">
      <c r="A772">
        <v>762</v>
      </c>
      <c r="B772" t="str">
        <f>IF(Sales_Deals!I763&lt;&gt;"",IF(AND(Sales_Deals!I763&gt;DATE(2024,9,30),Sales_Deals!I763&lt;=DATE(2025,3,31)),Sales_Deals!J763,""),"")</f>
        <v/>
      </c>
      <c r="C772">
        <f>IF(Sales_Deals!I763&lt;&gt;"",IF(AND(Sales_Deals!I763&gt;DATE(2024,3,31),Sales_Deals!I763&lt;=DATE(2024,9,30)),Sales_Deals!J763,""),"")</f>
        <v>173</v>
      </c>
    </row>
    <row r="773" spans="1:3" x14ac:dyDescent="0.35">
      <c r="A773">
        <v>763</v>
      </c>
      <c r="B773" t="str">
        <f>IF(Sales_Deals!I764&lt;&gt;"",IF(AND(Sales_Deals!I764&gt;DATE(2024,9,30),Sales_Deals!I764&lt;=DATE(2025,3,31)),Sales_Deals!J764,""),"")</f>
        <v/>
      </c>
      <c r="C773" t="str">
        <f>IF(Sales_Deals!I764&lt;&gt;"",IF(AND(Sales_Deals!I764&gt;DATE(2024,3,31),Sales_Deals!I764&lt;=DATE(2024,9,30)),Sales_Deals!J764,""),"")</f>
        <v/>
      </c>
    </row>
    <row r="774" spans="1:3" x14ac:dyDescent="0.35">
      <c r="A774">
        <v>764</v>
      </c>
      <c r="B774">
        <f>IF(Sales_Deals!I765&lt;&gt;"",IF(AND(Sales_Deals!I765&gt;DATE(2024,9,30),Sales_Deals!I765&lt;=DATE(2025,3,31)),Sales_Deals!J765,""),"")</f>
        <v>122</v>
      </c>
      <c r="C774" t="str">
        <f>IF(Sales_Deals!I765&lt;&gt;"",IF(AND(Sales_Deals!I765&gt;DATE(2024,3,31),Sales_Deals!I765&lt;=DATE(2024,9,30)),Sales_Deals!J765,""),"")</f>
        <v/>
      </c>
    </row>
    <row r="775" spans="1:3" x14ac:dyDescent="0.35">
      <c r="A775">
        <v>765</v>
      </c>
      <c r="B775" t="str">
        <f>IF(Sales_Deals!I766&lt;&gt;"",IF(AND(Sales_Deals!I766&gt;DATE(2024,9,30),Sales_Deals!I766&lt;=DATE(2025,3,31)),Sales_Deals!J766,""),"")</f>
        <v/>
      </c>
      <c r="C775" t="str">
        <f>IF(Sales_Deals!I766&lt;&gt;"",IF(AND(Sales_Deals!I766&gt;DATE(2024,3,31),Sales_Deals!I766&lt;=DATE(2024,9,30)),Sales_Deals!J766,""),"")</f>
        <v/>
      </c>
    </row>
    <row r="776" spans="1:3" x14ac:dyDescent="0.35">
      <c r="A776">
        <v>766</v>
      </c>
      <c r="B776" t="str">
        <f>IF(Sales_Deals!I767&lt;&gt;"",IF(AND(Sales_Deals!I767&gt;DATE(2024,9,30),Sales_Deals!I767&lt;=DATE(2025,3,31)),Sales_Deals!J767,""),"")</f>
        <v/>
      </c>
      <c r="C776" t="str">
        <f>IF(Sales_Deals!I767&lt;&gt;"",IF(AND(Sales_Deals!I767&gt;DATE(2024,3,31),Sales_Deals!I767&lt;=DATE(2024,9,30)),Sales_Deals!J767,""),"")</f>
        <v/>
      </c>
    </row>
    <row r="777" spans="1:3" x14ac:dyDescent="0.35">
      <c r="A777">
        <v>767</v>
      </c>
      <c r="B777" t="str">
        <f>IF(Sales_Deals!I768&lt;&gt;"",IF(AND(Sales_Deals!I768&gt;DATE(2024,9,30),Sales_Deals!I768&lt;=DATE(2025,3,31)),Sales_Deals!J768,""),"")</f>
        <v/>
      </c>
      <c r="C777" t="str">
        <f>IF(Sales_Deals!I768&lt;&gt;"",IF(AND(Sales_Deals!I768&gt;DATE(2024,3,31),Sales_Deals!I768&lt;=DATE(2024,9,30)),Sales_Deals!J768,""),"")</f>
        <v/>
      </c>
    </row>
    <row r="778" spans="1:3" x14ac:dyDescent="0.35">
      <c r="A778">
        <v>768</v>
      </c>
      <c r="B778">
        <f>IF(Sales_Deals!I769&lt;&gt;"",IF(AND(Sales_Deals!I769&gt;DATE(2024,9,30),Sales_Deals!I769&lt;=DATE(2025,3,31)),Sales_Deals!J769,""),"")</f>
        <v>39</v>
      </c>
      <c r="C778" t="str">
        <f>IF(Sales_Deals!I769&lt;&gt;"",IF(AND(Sales_Deals!I769&gt;DATE(2024,3,31),Sales_Deals!I769&lt;=DATE(2024,9,30)),Sales_Deals!J769,""),"")</f>
        <v/>
      </c>
    </row>
    <row r="779" spans="1:3" x14ac:dyDescent="0.35">
      <c r="A779">
        <v>769</v>
      </c>
      <c r="B779" t="str">
        <f>IF(Sales_Deals!I770&lt;&gt;"",IF(AND(Sales_Deals!I770&gt;DATE(2024,9,30),Sales_Deals!I770&lt;=DATE(2025,3,31)),Sales_Deals!J770,""),"")</f>
        <v/>
      </c>
      <c r="C779" t="str">
        <f>IF(Sales_Deals!I770&lt;&gt;"",IF(AND(Sales_Deals!I770&gt;DATE(2024,3,31),Sales_Deals!I770&lt;=DATE(2024,9,30)),Sales_Deals!J770,""),"")</f>
        <v/>
      </c>
    </row>
    <row r="780" spans="1:3" x14ac:dyDescent="0.35">
      <c r="A780">
        <v>770</v>
      </c>
      <c r="B780" t="str">
        <f>IF(Sales_Deals!I771&lt;&gt;"",IF(AND(Sales_Deals!I771&gt;DATE(2024,9,30),Sales_Deals!I771&lt;=DATE(2025,3,31)),Sales_Deals!J771,""),"")</f>
        <v/>
      </c>
      <c r="C780" t="str">
        <f>IF(Sales_Deals!I771&lt;&gt;"",IF(AND(Sales_Deals!I771&gt;DATE(2024,3,31),Sales_Deals!I771&lt;=DATE(2024,9,30)),Sales_Deals!J771,""),"")</f>
        <v/>
      </c>
    </row>
    <row r="781" spans="1:3" x14ac:dyDescent="0.35">
      <c r="A781">
        <v>771</v>
      </c>
      <c r="B781" t="str">
        <f>IF(Sales_Deals!I772&lt;&gt;"",IF(AND(Sales_Deals!I772&gt;DATE(2024,9,30),Sales_Deals!I772&lt;=DATE(2025,3,31)),Sales_Deals!J772,""),"")</f>
        <v/>
      </c>
      <c r="C781" t="str">
        <f>IF(Sales_Deals!I772&lt;&gt;"",IF(AND(Sales_Deals!I772&gt;DATE(2024,3,31),Sales_Deals!I772&lt;=DATE(2024,9,30)),Sales_Deals!J772,""),"")</f>
        <v/>
      </c>
    </row>
    <row r="782" spans="1:3" x14ac:dyDescent="0.35">
      <c r="A782">
        <v>772</v>
      </c>
      <c r="B782">
        <f>IF(Sales_Deals!I773&lt;&gt;"",IF(AND(Sales_Deals!I773&gt;DATE(2024,9,30),Sales_Deals!I773&lt;=DATE(2025,3,31)),Sales_Deals!J773,""),"")</f>
        <v>27</v>
      </c>
      <c r="C782" t="str">
        <f>IF(Sales_Deals!I773&lt;&gt;"",IF(AND(Sales_Deals!I773&gt;DATE(2024,3,31),Sales_Deals!I773&lt;=DATE(2024,9,30)),Sales_Deals!J773,""),"")</f>
        <v/>
      </c>
    </row>
    <row r="783" spans="1:3" x14ac:dyDescent="0.35">
      <c r="A783">
        <v>773</v>
      </c>
      <c r="B783">
        <f>IF(Sales_Deals!I774&lt;&gt;"",IF(AND(Sales_Deals!I774&gt;DATE(2024,9,30),Sales_Deals!I774&lt;=DATE(2025,3,31)),Sales_Deals!J774,""),"")</f>
        <v>176</v>
      </c>
      <c r="C783" t="str">
        <f>IF(Sales_Deals!I774&lt;&gt;"",IF(AND(Sales_Deals!I774&gt;DATE(2024,3,31),Sales_Deals!I774&lt;=DATE(2024,9,30)),Sales_Deals!J774,""),"")</f>
        <v/>
      </c>
    </row>
    <row r="784" spans="1:3" x14ac:dyDescent="0.35">
      <c r="A784">
        <v>774</v>
      </c>
      <c r="B784" t="str">
        <f>IF(Sales_Deals!I775&lt;&gt;"",IF(AND(Sales_Deals!I775&gt;DATE(2024,9,30),Sales_Deals!I775&lt;=DATE(2025,3,31)),Sales_Deals!J775,""),"")</f>
        <v/>
      </c>
      <c r="C784" t="str">
        <f>IF(Sales_Deals!I775&lt;&gt;"",IF(AND(Sales_Deals!I775&gt;DATE(2024,3,31),Sales_Deals!I775&lt;=DATE(2024,9,30)),Sales_Deals!J775,""),"")</f>
        <v/>
      </c>
    </row>
    <row r="785" spans="1:3" x14ac:dyDescent="0.35">
      <c r="A785">
        <v>775</v>
      </c>
      <c r="B785" t="str">
        <f>IF(Sales_Deals!I776&lt;&gt;"",IF(AND(Sales_Deals!I776&gt;DATE(2024,9,30),Sales_Deals!I776&lt;=DATE(2025,3,31)),Sales_Deals!J776,""),"")</f>
        <v/>
      </c>
      <c r="C785" t="str">
        <f>IF(Sales_Deals!I776&lt;&gt;"",IF(AND(Sales_Deals!I776&gt;DATE(2024,3,31),Sales_Deals!I776&lt;=DATE(2024,9,30)),Sales_Deals!J776,""),"")</f>
        <v/>
      </c>
    </row>
    <row r="786" spans="1:3" x14ac:dyDescent="0.35">
      <c r="A786">
        <v>776</v>
      </c>
      <c r="B786" t="str">
        <f>IF(Sales_Deals!I777&lt;&gt;"",IF(AND(Sales_Deals!I777&gt;DATE(2024,9,30),Sales_Deals!I777&lt;=DATE(2025,3,31)),Sales_Deals!J777,""),"")</f>
        <v/>
      </c>
      <c r="C786" t="str">
        <f>IF(Sales_Deals!I777&lt;&gt;"",IF(AND(Sales_Deals!I777&gt;DATE(2024,3,31),Sales_Deals!I777&lt;=DATE(2024,9,30)),Sales_Deals!J777,""),"")</f>
        <v/>
      </c>
    </row>
    <row r="787" spans="1:3" x14ac:dyDescent="0.35">
      <c r="A787">
        <v>777</v>
      </c>
      <c r="B787" t="str">
        <f>IF(Sales_Deals!I778&lt;&gt;"",IF(AND(Sales_Deals!I778&gt;DATE(2024,9,30),Sales_Deals!I778&lt;=DATE(2025,3,31)),Sales_Deals!J778,""),"")</f>
        <v/>
      </c>
      <c r="C787" t="str">
        <f>IF(Sales_Deals!I778&lt;&gt;"",IF(AND(Sales_Deals!I778&gt;DATE(2024,3,31),Sales_Deals!I778&lt;=DATE(2024,9,30)),Sales_Deals!J778,""),"")</f>
        <v/>
      </c>
    </row>
    <row r="788" spans="1:3" x14ac:dyDescent="0.35">
      <c r="A788">
        <v>778</v>
      </c>
      <c r="B788" t="str">
        <f>IF(Sales_Deals!I779&lt;&gt;"",IF(AND(Sales_Deals!I779&gt;DATE(2024,9,30),Sales_Deals!I779&lt;=DATE(2025,3,31)),Sales_Deals!J779,""),"")</f>
        <v/>
      </c>
      <c r="C788" t="str">
        <f>IF(Sales_Deals!I779&lt;&gt;"",IF(AND(Sales_Deals!I779&gt;DATE(2024,3,31),Sales_Deals!I779&lt;=DATE(2024,9,30)),Sales_Deals!J779,""),"")</f>
        <v/>
      </c>
    </row>
    <row r="789" spans="1:3" x14ac:dyDescent="0.35">
      <c r="A789">
        <v>779</v>
      </c>
      <c r="B789" t="str">
        <f>IF(Sales_Deals!I780&lt;&gt;"",IF(AND(Sales_Deals!I780&gt;DATE(2024,9,30),Sales_Deals!I780&lt;=DATE(2025,3,31)),Sales_Deals!J780,""),"")</f>
        <v/>
      </c>
      <c r="C789" t="str">
        <f>IF(Sales_Deals!I780&lt;&gt;"",IF(AND(Sales_Deals!I780&gt;DATE(2024,3,31),Sales_Deals!I780&lt;=DATE(2024,9,30)),Sales_Deals!J780,""),"")</f>
        <v/>
      </c>
    </row>
    <row r="790" spans="1:3" x14ac:dyDescent="0.35">
      <c r="A790">
        <v>780</v>
      </c>
      <c r="B790" t="str">
        <f>IF(Sales_Deals!I781&lt;&gt;"",IF(AND(Sales_Deals!I781&gt;DATE(2024,9,30),Sales_Deals!I781&lt;=DATE(2025,3,31)),Sales_Deals!J781,""),"")</f>
        <v/>
      </c>
      <c r="C790" t="str">
        <f>IF(Sales_Deals!I781&lt;&gt;"",IF(AND(Sales_Deals!I781&gt;DATE(2024,3,31),Sales_Deals!I781&lt;=DATE(2024,9,30)),Sales_Deals!J781,""),"")</f>
        <v/>
      </c>
    </row>
    <row r="791" spans="1:3" x14ac:dyDescent="0.35">
      <c r="A791">
        <v>781</v>
      </c>
      <c r="B791" t="str">
        <f>IF(Sales_Deals!I782&lt;&gt;"",IF(AND(Sales_Deals!I782&gt;DATE(2024,9,30),Sales_Deals!I782&lt;=DATE(2025,3,31)),Sales_Deals!J782,""),"")</f>
        <v/>
      </c>
      <c r="C791" t="str">
        <f>IF(Sales_Deals!I782&lt;&gt;"",IF(AND(Sales_Deals!I782&gt;DATE(2024,3,31),Sales_Deals!I782&lt;=DATE(2024,9,30)),Sales_Deals!J782,""),"")</f>
        <v/>
      </c>
    </row>
    <row r="792" spans="1:3" x14ac:dyDescent="0.35">
      <c r="A792">
        <v>782</v>
      </c>
      <c r="B792" t="str">
        <f>IF(Sales_Deals!I783&lt;&gt;"",IF(AND(Sales_Deals!I783&gt;DATE(2024,9,30),Sales_Deals!I783&lt;=DATE(2025,3,31)),Sales_Deals!J783,""),"")</f>
        <v/>
      </c>
      <c r="C792" t="str">
        <f>IF(Sales_Deals!I783&lt;&gt;"",IF(AND(Sales_Deals!I783&gt;DATE(2024,3,31),Sales_Deals!I783&lt;=DATE(2024,9,30)),Sales_Deals!J783,""),"")</f>
        <v/>
      </c>
    </row>
    <row r="793" spans="1:3" x14ac:dyDescent="0.35">
      <c r="A793">
        <v>783</v>
      </c>
      <c r="B793" t="str">
        <f>IF(Sales_Deals!I784&lt;&gt;"",IF(AND(Sales_Deals!I784&gt;DATE(2024,9,30),Sales_Deals!I784&lt;=DATE(2025,3,31)),Sales_Deals!J784,""),"")</f>
        <v/>
      </c>
      <c r="C793" t="str">
        <f>IF(Sales_Deals!I784&lt;&gt;"",IF(AND(Sales_Deals!I784&gt;DATE(2024,3,31),Sales_Deals!I784&lt;=DATE(2024,9,30)),Sales_Deals!J784,""),"")</f>
        <v/>
      </c>
    </row>
    <row r="794" spans="1:3" x14ac:dyDescent="0.35">
      <c r="A794">
        <v>784</v>
      </c>
      <c r="B794">
        <f>IF(Sales_Deals!I785&lt;&gt;"",IF(AND(Sales_Deals!I785&gt;DATE(2024,9,30),Sales_Deals!I785&lt;=DATE(2025,3,31)),Sales_Deals!J785,""),"")</f>
        <v>175</v>
      </c>
      <c r="C794" t="str">
        <f>IF(Sales_Deals!I785&lt;&gt;"",IF(AND(Sales_Deals!I785&gt;DATE(2024,3,31),Sales_Deals!I785&lt;=DATE(2024,9,30)),Sales_Deals!J785,""),"")</f>
        <v/>
      </c>
    </row>
    <row r="795" spans="1:3" x14ac:dyDescent="0.35">
      <c r="A795">
        <v>785</v>
      </c>
      <c r="B795" t="str">
        <f>IF(Sales_Deals!I786&lt;&gt;"",IF(AND(Sales_Deals!I786&gt;DATE(2024,9,30),Sales_Deals!I786&lt;=DATE(2025,3,31)),Sales_Deals!J786,""),"")</f>
        <v/>
      </c>
      <c r="C795" t="str">
        <f>IF(Sales_Deals!I786&lt;&gt;"",IF(AND(Sales_Deals!I786&gt;DATE(2024,3,31),Sales_Deals!I786&lt;=DATE(2024,9,30)),Sales_Deals!J786,""),"")</f>
        <v/>
      </c>
    </row>
    <row r="796" spans="1:3" x14ac:dyDescent="0.35">
      <c r="A796">
        <v>786</v>
      </c>
      <c r="B796" t="str">
        <f>IF(Sales_Deals!I787&lt;&gt;"",IF(AND(Sales_Deals!I787&gt;DATE(2024,9,30),Sales_Deals!I787&lt;=DATE(2025,3,31)),Sales_Deals!J787,""),"")</f>
        <v/>
      </c>
      <c r="C796" t="str">
        <f>IF(Sales_Deals!I787&lt;&gt;"",IF(AND(Sales_Deals!I787&gt;DATE(2024,3,31),Sales_Deals!I787&lt;=DATE(2024,9,30)),Sales_Deals!J787,""),"")</f>
        <v/>
      </c>
    </row>
    <row r="797" spans="1:3" x14ac:dyDescent="0.35">
      <c r="A797">
        <v>787</v>
      </c>
      <c r="B797" t="str">
        <f>IF(Sales_Deals!I788&lt;&gt;"",IF(AND(Sales_Deals!I788&gt;DATE(2024,9,30),Sales_Deals!I788&lt;=DATE(2025,3,31)),Sales_Deals!J788,""),"")</f>
        <v/>
      </c>
      <c r="C797">
        <f>IF(Sales_Deals!I788&lt;&gt;"",IF(AND(Sales_Deals!I788&gt;DATE(2024,3,31),Sales_Deals!I788&lt;=DATE(2024,9,30)),Sales_Deals!J788,""),"")</f>
        <v>66</v>
      </c>
    </row>
    <row r="798" spans="1:3" x14ac:dyDescent="0.35">
      <c r="A798">
        <v>788</v>
      </c>
      <c r="B798" t="str">
        <f>IF(Sales_Deals!I789&lt;&gt;"",IF(AND(Sales_Deals!I789&gt;DATE(2024,9,30),Sales_Deals!I789&lt;=DATE(2025,3,31)),Sales_Deals!J789,""),"")</f>
        <v/>
      </c>
      <c r="C798" t="str">
        <f>IF(Sales_Deals!I789&lt;&gt;"",IF(AND(Sales_Deals!I789&gt;DATE(2024,3,31),Sales_Deals!I789&lt;=DATE(2024,9,30)),Sales_Deals!J789,""),"")</f>
        <v/>
      </c>
    </row>
    <row r="799" spans="1:3" x14ac:dyDescent="0.35">
      <c r="A799">
        <v>789</v>
      </c>
      <c r="B799" t="str">
        <f>IF(Sales_Deals!I790&lt;&gt;"",IF(AND(Sales_Deals!I790&gt;DATE(2024,9,30),Sales_Deals!I790&lt;=DATE(2025,3,31)),Sales_Deals!J790,""),"")</f>
        <v/>
      </c>
      <c r="C799" t="str">
        <f>IF(Sales_Deals!I790&lt;&gt;"",IF(AND(Sales_Deals!I790&gt;DATE(2024,3,31),Sales_Deals!I790&lt;=DATE(2024,9,30)),Sales_Deals!J790,""),"")</f>
        <v/>
      </c>
    </row>
    <row r="800" spans="1:3" x14ac:dyDescent="0.35">
      <c r="A800">
        <v>790</v>
      </c>
      <c r="B800" t="str">
        <f>IF(Sales_Deals!I791&lt;&gt;"",IF(AND(Sales_Deals!I791&gt;DATE(2024,9,30),Sales_Deals!I791&lt;=DATE(2025,3,31)),Sales_Deals!J791,""),"")</f>
        <v/>
      </c>
      <c r="C800" t="str">
        <f>IF(Sales_Deals!I791&lt;&gt;"",IF(AND(Sales_Deals!I791&gt;DATE(2024,3,31),Sales_Deals!I791&lt;=DATE(2024,9,30)),Sales_Deals!J791,""),"")</f>
        <v/>
      </c>
    </row>
    <row r="801" spans="1:3" x14ac:dyDescent="0.35">
      <c r="A801">
        <v>791</v>
      </c>
      <c r="B801" t="str">
        <f>IF(Sales_Deals!I792&lt;&gt;"",IF(AND(Sales_Deals!I792&gt;DATE(2024,9,30),Sales_Deals!I792&lt;=DATE(2025,3,31)),Sales_Deals!J792,""),"")</f>
        <v/>
      </c>
      <c r="C801" t="str">
        <f>IF(Sales_Deals!I792&lt;&gt;"",IF(AND(Sales_Deals!I792&gt;DATE(2024,3,31),Sales_Deals!I792&lt;=DATE(2024,9,30)),Sales_Deals!J792,""),"")</f>
        <v/>
      </c>
    </row>
    <row r="802" spans="1:3" x14ac:dyDescent="0.35">
      <c r="A802">
        <v>792</v>
      </c>
      <c r="B802" t="str">
        <f>IF(Sales_Deals!I793&lt;&gt;"",IF(AND(Sales_Deals!I793&gt;DATE(2024,9,30),Sales_Deals!I793&lt;=DATE(2025,3,31)),Sales_Deals!J793,""),"")</f>
        <v/>
      </c>
      <c r="C802" t="str">
        <f>IF(Sales_Deals!I793&lt;&gt;"",IF(AND(Sales_Deals!I793&gt;DATE(2024,3,31),Sales_Deals!I793&lt;=DATE(2024,9,30)),Sales_Deals!J793,""),"")</f>
        <v/>
      </c>
    </row>
    <row r="803" spans="1:3" x14ac:dyDescent="0.35">
      <c r="A803">
        <v>793</v>
      </c>
      <c r="B803" t="str">
        <f>IF(Sales_Deals!I794&lt;&gt;"",IF(AND(Sales_Deals!I794&gt;DATE(2024,9,30),Sales_Deals!I794&lt;=DATE(2025,3,31)),Sales_Deals!J794,""),"")</f>
        <v/>
      </c>
      <c r="C803">
        <f>IF(Sales_Deals!I794&lt;&gt;"",IF(AND(Sales_Deals!I794&gt;DATE(2024,3,31),Sales_Deals!I794&lt;=DATE(2024,9,30)),Sales_Deals!J794,""),"")</f>
        <v>55</v>
      </c>
    </row>
    <row r="804" spans="1:3" x14ac:dyDescent="0.35">
      <c r="A804">
        <v>794</v>
      </c>
      <c r="B804" t="str">
        <f>IF(Sales_Deals!I795&lt;&gt;"",IF(AND(Sales_Deals!I795&gt;DATE(2024,9,30),Sales_Deals!I795&lt;=DATE(2025,3,31)),Sales_Deals!J795,""),"")</f>
        <v/>
      </c>
      <c r="C804" t="str">
        <f>IF(Sales_Deals!I795&lt;&gt;"",IF(AND(Sales_Deals!I795&gt;DATE(2024,3,31),Sales_Deals!I795&lt;=DATE(2024,9,30)),Sales_Deals!J795,""),"")</f>
        <v/>
      </c>
    </row>
    <row r="805" spans="1:3" x14ac:dyDescent="0.35">
      <c r="A805">
        <v>795</v>
      </c>
      <c r="B805" t="str">
        <f>IF(Sales_Deals!I796&lt;&gt;"",IF(AND(Sales_Deals!I796&gt;DATE(2024,9,30),Sales_Deals!I796&lt;=DATE(2025,3,31)),Sales_Deals!J796,""),"")</f>
        <v/>
      </c>
      <c r="C805" t="str">
        <f>IF(Sales_Deals!I796&lt;&gt;"",IF(AND(Sales_Deals!I796&gt;DATE(2024,3,31),Sales_Deals!I796&lt;=DATE(2024,9,30)),Sales_Deals!J796,""),"")</f>
        <v/>
      </c>
    </row>
    <row r="806" spans="1:3" x14ac:dyDescent="0.35">
      <c r="A806">
        <v>796</v>
      </c>
      <c r="B806" t="str">
        <f>IF(Sales_Deals!I797&lt;&gt;"",IF(AND(Sales_Deals!I797&gt;DATE(2024,9,30),Sales_Deals!I797&lt;=DATE(2025,3,31)),Sales_Deals!J797,""),"")</f>
        <v/>
      </c>
      <c r="C806" t="str">
        <f>IF(Sales_Deals!I797&lt;&gt;"",IF(AND(Sales_Deals!I797&gt;DATE(2024,3,31),Sales_Deals!I797&lt;=DATE(2024,9,30)),Sales_Deals!J797,""),"")</f>
        <v/>
      </c>
    </row>
    <row r="807" spans="1:3" x14ac:dyDescent="0.35">
      <c r="A807">
        <v>797</v>
      </c>
      <c r="B807" t="str">
        <f>IF(Sales_Deals!I798&lt;&gt;"",IF(AND(Sales_Deals!I798&gt;DATE(2024,9,30),Sales_Deals!I798&lt;=DATE(2025,3,31)),Sales_Deals!J798,""),"")</f>
        <v/>
      </c>
      <c r="C807" t="str">
        <f>IF(Sales_Deals!I798&lt;&gt;"",IF(AND(Sales_Deals!I798&gt;DATE(2024,3,31),Sales_Deals!I798&lt;=DATE(2024,9,30)),Sales_Deals!J798,""),"")</f>
        <v/>
      </c>
    </row>
    <row r="808" spans="1:3" x14ac:dyDescent="0.35">
      <c r="A808">
        <v>798</v>
      </c>
      <c r="B808" t="str">
        <f>IF(Sales_Deals!I799&lt;&gt;"",IF(AND(Sales_Deals!I799&gt;DATE(2024,9,30),Sales_Deals!I799&lt;=DATE(2025,3,31)),Sales_Deals!J799,""),"")</f>
        <v/>
      </c>
      <c r="C808" t="str">
        <f>IF(Sales_Deals!I799&lt;&gt;"",IF(AND(Sales_Deals!I799&gt;DATE(2024,3,31),Sales_Deals!I799&lt;=DATE(2024,9,30)),Sales_Deals!J799,""),"")</f>
        <v/>
      </c>
    </row>
    <row r="809" spans="1:3" x14ac:dyDescent="0.35">
      <c r="A809">
        <v>799</v>
      </c>
      <c r="B809" t="str">
        <f>IF(Sales_Deals!I800&lt;&gt;"",IF(AND(Sales_Deals!I800&gt;DATE(2024,9,30),Sales_Deals!I800&lt;=DATE(2025,3,31)),Sales_Deals!J800,""),"")</f>
        <v/>
      </c>
      <c r="C809" t="str">
        <f>IF(Sales_Deals!I800&lt;&gt;"",IF(AND(Sales_Deals!I800&gt;DATE(2024,3,31),Sales_Deals!I800&lt;=DATE(2024,9,30)),Sales_Deals!J800,""),"")</f>
        <v/>
      </c>
    </row>
    <row r="810" spans="1:3" x14ac:dyDescent="0.35">
      <c r="A810">
        <v>800</v>
      </c>
      <c r="B810" t="str">
        <f>IF(Sales_Deals!I801&lt;&gt;"",IF(AND(Sales_Deals!I801&gt;DATE(2024,9,30),Sales_Deals!I801&lt;=DATE(2025,3,31)),Sales_Deals!J801,""),"")</f>
        <v/>
      </c>
      <c r="C810" t="str">
        <f>IF(Sales_Deals!I801&lt;&gt;"",IF(AND(Sales_Deals!I801&gt;DATE(2024,3,31),Sales_Deals!I801&lt;=DATE(2024,9,30)),Sales_Deals!J801,""),"")</f>
        <v/>
      </c>
    </row>
    <row r="811" spans="1:3" x14ac:dyDescent="0.35">
      <c r="A811">
        <v>801</v>
      </c>
      <c r="B811" t="str">
        <f>IF(Sales_Deals!I802&lt;&gt;"",IF(AND(Sales_Deals!I802&gt;DATE(2024,9,30),Sales_Deals!I802&lt;=DATE(2025,3,31)),Sales_Deals!J802,""),"")</f>
        <v/>
      </c>
      <c r="C811" t="str">
        <f>IF(Sales_Deals!I802&lt;&gt;"",IF(AND(Sales_Deals!I802&gt;DATE(2024,3,31),Sales_Deals!I802&lt;=DATE(2024,9,30)),Sales_Deals!J802,""),"")</f>
        <v/>
      </c>
    </row>
    <row r="812" spans="1:3" x14ac:dyDescent="0.35">
      <c r="A812">
        <v>802</v>
      </c>
      <c r="B812">
        <f>IF(Sales_Deals!I803&lt;&gt;"",IF(AND(Sales_Deals!I803&gt;DATE(2024,9,30),Sales_Deals!I803&lt;=DATE(2025,3,31)),Sales_Deals!J803,""),"")</f>
        <v>77</v>
      </c>
      <c r="C812" t="str">
        <f>IF(Sales_Deals!I803&lt;&gt;"",IF(AND(Sales_Deals!I803&gt;DATE(2024,3,31),Sales_Deals!I803&lt;=DATE(2024,9,30)),Sales_Deals!J803,""),"")</f>
        <v/>
      </c>
    </row>
    <row r="813" spans="1:3" x14ac:dyDescent="0.35">
      <c r="A813">
        <v>803</v>
      </c>
      <c r="B813" t="str">
        <f>IF(Sales_Deals!I804&lt;&gt;"",IF(AND(Sales_Deals!I804&gt;DATE(2024,9,30),Sales_Deals!I804&lt;=DATE(2025,3,31)),Sales_Deals!J804,""),"")</f>
        <v/>
      </c>
      <c r="C813" t="str">
        <f>IF(Sales_Deals!I804&lt;&gt;"",IF(AND(Sales_Deals!I804&gt;DATE(2024,3,31),Sales_Deals!I804&lt;=DATE(2024,9,30)),Sales_Deals!J804,""),"")</f>
        <v/>
      </c>
    </row>
    <row r="814" spans="1:3" x14ac:dyDescent="0.35">
      <c r="A814">
        <v>804</v>
      </c>
      <c r="B814" t="str">
        <f>IF(Sales_Deals!I805&lt;&gt;"",IF(AND(Sales_Deals!I805&gt;DATE(2024,9,30),Sales_Deals!I805&lt;=DATE(2025,3,31)),Sales_Deals!J805,""),"")</f>
        <v/>
      </c>
      <c r="C814" t="str">
        <f>IF(Sales_Deals!I805&lt;&gt;"",IF(AND(Sales_Deals!I805&gt;DATE(2024,3,31),Sales_Deals!I805&lt;=DATE(2024,9,30)),Sales_Deals!J805,""),"")</f>
        <v/>
      </c>
    </row>
    <row r="815" spans="1:3" x14ac:dyDescent="0.35">
      <c r="A815">
        <v>805</v>
      </c>
      <c r="B815" t="str">
        <f>IF(Sales_Deals!I806&lt;&gt;"",IF(AND(Sales_Deals!I806&gt;DATE(2024,9,30),Sales_Deals!I806&lt;=DATE(2025,3,31)),Sales_Deals!J806,""),"")</f>
        <v/>
      </c>
      <c r="C815" t="str">
        <f>IF(Sales_Deals!I806&lt;&gt;"",IF(AND(Sales_Deals!I806&gt;DATE(2024,3,31),Sales_Deals!I806&lt;=DATE(2024,9,30)),Sales_Deals!J806,""),"")</f>
        <v/>
      </c>
    </row>
    <row r="816" spans="1:3" x14ac:dyDescent="0.35">
      <c r="A816">
        <v>806</v>
      </c>
      <c r="B816" t="str">
        <f>IF(Sales_Deals!I807&lt;&gt;"",IF(AND(Sales_Deals!I807&gt;DATE(2024,9,30),Sales_Deals!I807&lt;=DATE(2025,3,31)),Sales_Deals!J807,""),"")</f>
        <v/>
      </c>
      <c r="C816" t="str">
        <f>IF(Sales_Deals!I807&lt;&gt;"",IF(AND(Sales_Deals!I807&gt;DATE(2024,3,31),Sales_Deals!I807&lt;=DATE(2024,9,30)),Sales_Deals!J807,""),"")</f>
        <v/>
      </c>
    </row>
    <row r="817" spans="1:3" x14ac:dyDescent="0.35">
      <c r="A817">
        <v>807</v>
      </c>
      <c r="B817" t="str">
        <f>IF(Sales_Deals!I808&lt;&gt;"",IF(AND(Sales_Deals!I808&gt;DATE(2024,9,30),Sales_Deals!I808&lt;=DATE(2025,3,31)),Sales_Deals!J808,""),"")</f>
        <v/>
      </c>
      <c r="C817" t="str">
        <f>IF(Sales_Deals!I808&lt;&gt;"",IF(AND(Sales_Deals!I808&gt;DATE(2024,3,31),Sales_Deals!I808&lt;=DATE(2024,9,30)),Sales_Deals!J808,""),"")</f>
        <v/>
      </c>
    </row>
    <row r="818" spans="1:3" x14ac:dyDescent="0.35">
      <c r="A818">
        <v>808</v>
      </c>
      <c r="B818" t="str">
        <f>IF(Sales_Deals!I809&lt;&gt;"",IF(AND(Sales_Deals!I809&gt;DATE(2024,9,30),Sales_Deals!I809&lt;=DATE(2025,3,31)),Sales_Deals!J809,""),"")</f>
        <v/>
      </c>
      <c r="C818" t="str">
        <f>IF(Sales_Deals!I809&lt;&gt;"",IF(AND(Sales_Deals!I809&gt;DATE(2024,3,31),Sales_Deals!I809&lt;=DATE(2024,9,30)),Sales_Deals!J809,""),"")</f>
        <v/>
      </c>
    </row>
    <row r="819" spans="1:3" x14ac:dyDescent="0.35">
      <c r="A819">
        <v>809</v>
      </c>
      <c r="B819" t="str">
        <f>IF(Sales_Deals!I810&lt;&gt;"",IF(AND(Sales_Deals!I810&gt;DATE(2024,9,30),Sales_Deals!I810&lt;=DATE(2025,3,31)),Sales_Deals!J810,""),"")</f>
        <v/>
      </c>
      <c r="C819" t="str">
        <f>IF(Sales_Deals!I810&lt;&gt;"",IF(AND(Sales_Deals!I810&gt;DATE(2024,3,31),Sales_Deals!I810&lt;=DATE(2024,9,30)),Sales_Deals!J810,""),"")</f>
        <v/>
      </c>
    </row>
    <row r="820" spans="1:3" x14ac:dyDescent="0.35">
      <c r="A820">
        <v>810</v>
      </c>
      <c r="B820" t="str">
        <f>IF(Sales_Deals!I811&lt;&gt;"",IF(AND(Sales_Deals!I811&gt;DATE(2024,9,30),Sales_Deals!I811&lt;=DATE(2025,3,31)),Sales_Deals!J811,""),"")</f>
        <v/>
      </c>
      <c r="C820" t="str">
        <f>IF(Sales_Deals!I811&lt;&gt;"",IF(AND(Sales_Deals!I811&gt;DATE(2024,3,31),Sales_Deals!I811&lt;=DATE(2024,9,30)),Sales_Deals!J811,""),"")</f>
        <v/>
      </c>
    </row>
    <row r="821" spans="1:3" x14ac:dyDescent="0.35">
      <c r="A821">
        <v>811</v>
      </c>
      <c r="B821" t="str">
        <f>IF(Sales_Deals!I812&lt;&gt;"",IF(AND(Sales_Deals!I812&gt;DATE(2024,9,30),Sales_Deals!I812&lt;=DATE(2025,3,31)),Sales_Deals!J812,""),"")</f>
        <v/>
      </c>
      <c r="C821" t="str">
        <f>IF(Sales_Deals!I812&lt;&gt;"",IF(AND(Sales_Deals!I812&gt;DATE(2024,3,31),Sales_Deals!I812&lt;=DATE(2024,9,30)),Sales_Deals!J812,""),"")</f>
        <v/>
      </c>
    </row>
    <row r="822" spans="1:3" x14ac:dyDescent="0.35">
      <c r="A822">
        <v>812</v>
      </c>
      <c r="B822" t="str">
        <f>IF(Sales_Deals!I813&lt;&gt;"",IF(AND(Sales_Deals!I813&gt;DATE(2024,9,30),Sales_Deals!I813&lt;=DATE(2025,3,31)),Sales_Deals!J813,""),"")</f>
        <v/>
      </c>
      <c r="C822" t="str">
        <f>IF(Sales_Deals!I813&lt;&gt;"",IF(AND(Sales_Deals!I813&gt;DATE(2024,3,31),Sales_Deals!I813&lt;=DATE(2024,9,30)),Sales_Deals!J813,""),"")</f>
        <v/>
      </c>
    </row>
    <row r="823" spans="1:3" x14ac:dyDescent="0.35">
      <c r="A823">
        <v>813</v>
      </c>
      <c r="B823" t="str">
        <f>IF(Sales_Deals!I814&lt;&gt;"",IF(AND(Sales_Deals!I814&gt;DATE(2024,9,30),Sales_Deals!I814&lt;=DATE(2025,3,31)),Sales_Deals!J814,""),"")</f>
        <v/>
      </c>
      <c r="C823" t="str">
        <f>IF(Sales_Deals!I814&lt;&gt;"",IF(AND(Sales_Deals!I814&gt;DATE(2024,3,31),Sales_Deals!I814&lt;=DATE(2024,9,30)),Sales_Deals!J814,""),"")</f>
        <v/>
      </c>
    </row>
    <row r="824" spans="1:3" x14ac:dyDescent="0.35">
      <c r="A824">
        <v>814</v>
      </c>
      <c r="B824" t="str">
        <f>IF(Sales_Deals!I815&lt;&gt;"",IF(AND(Sales_Deals!I815&gt;DATE(2024,9,30),Sales_Deals!I815&lt;=DATE(2025,3,31)),Sales_Deals!J815,""),"")</f>
        <v/>
      </c>
      <c r="C824" t="str">
        <f>IF(Sales_Deals!I815&lt;&gt;"",IF(AND(Sales_Deals!I815&gt;DATE(2024,3,31),Sales_Deals!I815&lt;=DATE(2024,9,30)),Sales_Deals!J815,""),"")</f>
        <v/>
      </c>
    </row>
    <row r="825" spans="1:3" x14ac:dyDescent="0.35">
      <c r="A825">
        <v>815</v>
      </c>
      <c r="B825" t="str">
        <f>IF(Sales_Deals!I816&lt;&gt;"",IF(AND(Sales_Deals!I816&gt;DATE(2024,9,30),Sales_Deals!I816&lt;=DATE(2025,3,31)),Sales_Deals!J816,""),"")</f>
        <v/>
      </c>
      <c r="C825">
        <f>IF(Sales_Deals!I816&lt;&gt;"",IF(AND(Sales_Deals!I816&gt;DATE(2024,3,31),Sales_Deals!I816&lt;=DATE(2024,9,30)),Sales_Deals!J816,""),"")</f>
        <v>29</v>
      </c>
    </row>
    <row r="826" spans="1:3" x14ac:dyDescent="0.35">
      <c r="A826">
        <v>816</v>
      </c>
      <c r="B826" t="str">
        <f>IF(Sales_Deals!I817&lt;&gt;"",IF(AND(Sales_Deals!I817&gt;DATE(2024,9,30),Sales_Deals!I817&lt;=DATE(2025,3,31)),Sales_Deals!J817,""),"")</f>
        <v/>
      </c>
      <c r="C826" t="str">
        <f>IF(Sales_Deals!I817&lt;&gt;"",IF(AND(Sales_Deals!I817&gt;DATE(2024,3,31),Sales_Deals!I817&lt;=DATE(2024,9,30)),Sales_Deals!J817,""),"")</f>
        <v/>
      </c>
    </row>
    <row r="827" spans="1:3" x14ac:dyDescent="0.35">
      <c r="A827">
        <v>817</v>
      </c>
      <c r="B827" t="str">
        <f>IF(Sales_Deals!I818&lt;&gt;"",IF(AND(Sales_Deals!I818&gt;DATE(2024,9,30),Sales_Deals!I818&lt;=DATE(2025,3,31)),Sales_Deals!J818,""),"")</f>
        <v/>
      </c>
      <c r="C827" t="str">
        <f>IF(Sales_Deals!I818&lt;&gt;"",IF(AND(Sales_Deals!I818&gt;DATE(2024,3,31),Sales_Deals!I818&lt;=DATE(2024,9,30)),Sales_Deals!J818,""),"")</f>
        <v/>
      </c>
    </row>
    <row r="828" spans="1:3" x14ac:dyDescent="0.35">
      <c r="A828">
        <v>818</v>
      </c>
      <c r="B828" t="str">
        <f>IF(Sales_Deals!I819&lt;&gt;"",IF(AND(Sales_Deals!I819&gt;DATE(2024,9,30),Sales_Deals!I819&lt;=DATE(2025,3,31)),Sales_Deals!J819,""),"")</f>
        <v/>
      </c>
      <c r="C828" t="str">
        <f>IF(Sales_Deals!I819&lt;&gt;"",IF(AND(Sales_Deals!I819&gt;DATE(2024,3,31),Sales_Deals!I819&lt;=DATE(2024,9,30)),Sales_Deals!J819,""),"")</f>
        <v/>
      </c>
    </row>
    <row r="829" spans="1:3" x14ac:dyDescent="0.35">
      <c r="A829">
        <v>819</v>
      </c>
      <c r="B829" t="str">
        <f>IF(Sales_Deals!I820&lt;&gt;"",IF(AND(Sales_Deals!I820&gt;DATE(2024,9,30),Sales_Deals!I820&lt;=DATE(2025,3,31)),Sales_Deals!J820,""),"")</f>
        <v/>
      </c>
      <c r="C829" t="str">
        <f>IF(Sales_Deals!I820&lt;&gt;"",IF(AND(Sales_Deals!I820&gt;DATE(2024,3,31),Sales_Deals!I820&lt;=DATE(2024,9,30)),Sales_Deals!J820,""),"")</f>
        <v/>
      </c>
    </row>
    <row r="830" spans="1:3" x14ac:dyDescent="0.35">
      <c r="A830">
        <v>820</v>
      </c>
      <c r="B830" t="str">
        <f>IF(Sales_Deals!I821&lt;&gt;"",IF(AND(Sales_Deals!I821&gt;DATE(2024,9,30),Sales_Deals!I821&lt;=DATE(2025,3,31)),Sales_Deals!J821,""),"")</f>
        <v/>
      </c>
      <c r="C830" t="str">
        <f>IF(Sales_Deals!I821&lt;&gt;"",IF(AND(Sales_Deals!I821&gt;DATE(2024,3,31),Sales_Deals!I821&lt;=DATE(2024,9,30)),Sales_Deals!J821,""),"")</f>
        <v/>
      </c>
    </row>
    <row r="831" spans="1:3" x14ac:dyDescent="0.35">
      <c r="A831">
        <v>821</v>
      </c>
      <c r="B831" t="str">
        <f>IF(Sales_Deals!I822&lt;&gt;"",IF(AND(Sales_Deals!I822&gt;DATE(2024,9,30),Sales_Deals!I822&lt;=DATE(2025,3,31)),Sales_Deals!J822,""),"")</f>
        <v/>
      </c>
      <c r="C831" t="str">
        <f>IF(Sales_Deals!I822&lt;&gt;"",IF(AND(Sales_Deals!I822&gt;DATE(2024,3,31),Sales_Deals!I822&lt;=DATE(2024,9,30)),Sales_Deals!J822,""),"")</f>
        <v/>
      </c>
    </row>
    <row r="832" spans="1:3" x14ac:dyDescent="0.35">
      <c r="A832">
        <v>822</v>
      </c>
      <c r="B832">
        <f>IF(Sales_Deals!I823&lt;&gt;"",IF(AND(Sales_Deals!I823&gt;DATE(2024,9,30),Sales_Deals!I823&lt;=DATE(2025,3,31)),Sales_Deals!J823,""),"")</f>
        <v>108</v>
      </c>
      <c r="C832" t="str">
        <f>IF(Sales_Deals!I823&lt;&gt;"",IF(AND(Sales_Deals!I823&gt;DATE(2024,3,31),Sales_Deals!I823&lt;=DATE(2024,9,30)),Sales_Deals!J823,""),"")</f>
        <v/>
      </c>
    </row>
    <row r="833" spans="1:3" x14ac:dyDescent="0.35">
      <c r="A833">
        <v>823</v>
      </c>
      <c r="B833" t="str">
        <f>IF(Sales_Deals!I824&lt;&gt;"",IF(AND(Sales_Deals!I824&gt;DATE(2024,9,30),Sales_Deals!I824&lt;=DATE(2025,3,31)),Sales_Deals!J824,""),"")</f>
        <v/>
      </c>
      <c r="C833" t="str">
        <f>IF(Sales_Deals!I824&lt;&gt;"",IF(AND(Sales_Deals!I824&gt;DATE(2024,3,31),Sales_Deals!I824&lt;=DATE(2024,9,30)),Sales_Deals!J824,""),"")</f>
        <v/>
      </c>
    </row>
    <row r="834" spans="1:3" x14ac:dyDescent="0.35">
      <c r="A834">
        <v>824</v>
      </c>
      <c r="B834" t="str">
        <f>IF(Sales_Deals!I825&lt;&gt;"",IF(AND(Sales_Deals!I825&gt;DATE(2024,9,30),Sales_Deals!I825&lt;=DATE(2025,3,31)),Sales_Deals!J825,""),"")</f>
        <v/>
      </c>
      <c r="C834" t="str">
        <f>IF(Sales_Deals!I825&lt;&gt;"",IF(AND(Sales_Deals!I825&gt;DATE(2024,3,31),Sales_Deals!I825&lt;=DATE(2024,9,30)),Sales_Deals!J825,""),"")</f>
        <v/>
      </c>
    </row>
    <row r="835" spans="1:3" x14ac:dyDescent="0.35">
      <c r="A835">
        <v>825</v>
      </c>
      <c r="B835" t="str">
        <f>IF(Sales_Deals!I826&lt;&gt;"",IF(AND(Sales_Deals!I826&gt;DATE(2024,9,30),Sales_Deals!I826&lt;=DATE(2025,3,31)),Sales_Deals!J826,""),"")</f>
        <v/>
      </c>
      <c r="C835" t="str">
        <f>IF(Sales_Deals!I826&lt;&gt;"",IF(AND(Sales_Deals!I826&gt;DATE(2024,3,31),Sales_Deals!I826&lt;=DATE(2024,9,30)),Sales_Deals!J826,""),"")</f>
        <v/>
      </c>
    </row>
    <row r="836" spans="1:3" x14ac:dyDescent="0.35">
      <c r="A836">
        <v>826</v>
      </c>
      <c r="B836" t="str">
        <f>IF(Sales_Deals!I827&lt;&gt;"",IF(AND(Sales_Deals!I827&gt;DATE(2024,9,30),Sales_Deals!I827&lt;=DATE(2025,3,31)),Sales_Deals!J827,""),"")</f>
        <v/>
      </c>
      <c r="C836" t="str">
        <f>IF(Sales_Deals!I827&lt;&gt;"",IF(AND(Sales_Deals!I827&gt;DATE(2024,3,31),Sales_Deals!I827&lt;=DATE(2024,9,30)),Sales_Deals!J827,""),"")</f>
        <v/>
      </c>
    </row>
    <row r="837" spans="1:3" x14ac:dyDescent="0.35">
      <c r="A837">
        <v>827</v>
      </c>
      <c r="B837" t="str">
        <f>IF(Sales_Deals!I828&lt;&gt;"",IF(AND(Sales_Deals!I828&gt;DATE(2024,9,30),Sales_Deals!I828&lt;=DATE(2025,3,31)),Sales_Deals!J828,""),"")</f>
        <v/>
      </c>
      <c r="C837" t="str">
        <f>IF(Sales_Deals!I828&lt;&gt;"",IF(AND(Sales_Deals!I828&gt;DATE(2024,3,31),Sales_Deals!I828&lt;=DATE(2024,9,30)),Sales_Deals!J828,""),"")</f>
        <v/>
      </c>
    </row>
    <row r="838" spans="1:3" x14ac:dyDescent="0.35">
      <c r="A838">
        <v>828</v>
      </c>
      <c r="B838" t="str">
        <f>IF(Sales_Deals!I829&lt;&gt;"",IF(AND(Sales_Deals!I829&gt;DATE(2024,9,30),Sales_Deals!I829&lt;=DATE(2025,3,31)),Sales_Deals!J829,""),"")</f>
        <v/>
      </c>
      <c r="C838" t="str">
        <f>IF(Sales_Deals!I829&lt;&gt;"",IF(AND(Sales_Deals!I829&gt;DATE(2024,3,31),Sales_Deals!I829&lt;=DATE(2024,9,30)),Sales_Deals!J829,""),"")</f>
        <v/>
      </c>
    </row>
    <row r="839" spans="1:3" x14ac:dyDescent="0.35">
      <c r="A839">
        <v>829</v>
      </c>
      <c r="B839" t="str">
        <f>IF(Sales_Deals!I830&lt;&gt;"",IF(AND(Sales_Deals!I830&gt;DATE(2024,9,30),Sales_Deals!I830&lt;=DATE(2025,3,31)),Sales_Deals!J830,""),"")</f>
        <v/>
      </c>
      <c r="C839" t="str">
        <f>IF(Sales_Deals!I830&lt;&gt;"",IF(AND(Sales_Deals!I830&gt;DATE(2024,3,31),Sales_Deals!I830&lt;=DATE(2024,9,30)),Sales_Deals!J830,""),"")</f>
        <v/>
      </c>
    </row>
    <row r="840" spans="1:3" x14ac:dyDescent="0.35">
      <c r="A840">
        <v>830</v>
      </c>
      <c r="B840" t="str">
        <f>IF(Sales_Deals!I831&lt;&gt;"",IF(AND(Sales_Deals!I831&gt;DATE(2024,9,30),Sales_Deals!I831&lt;=DATE(2025,3,31)),Sales_Deals!J831,""),"")</f>
        <v/>
      </c>
      <c r="C840" t="str">
        <f>IF(Sales_Deals!I831&lt;&gt;"",IF(AND(Sales_Deals!I831&gt;DATE(2024,3,31),Sales_Deals!I831&lt;=DATE(2024,9,30)),Sales_Deals!J831,""),"")</f>
        <v/>
      </c>
    </row>
    <row r="841" spans="1:3" x14ac:dyDescent="0.35">
      <c r="A841">
        <v>831</v>
      </c>
      <c r="B841" t="str">
        <f>IF(Sales_Deals!I832&lt;&gt;"",IF(AND(Sales_Deals!I832&gt;DATE(2024,9,30),Sales_Deals!I832&lt;=DATE(2025,3,31)),Sales_Deals!J832,""),"")</f>
        <v/>
      </c>
      <c r="C841" t="str">
        <f>IF(Sales_Deals!I832&lt;&gt;"",IF(AND(Sales_Deals!I832&gt;DATE(2024,3,31),Sales_Deals!I832&lt;=DATE(2024,9,30)),Sales_Deals!J832,""),"")</f>
        <v/>
      </c>
    </row>
    <row r="842" spans="1:3" x14ac:dyDescent="0.35">
      <c r="A842">
        <v>832</v>
      </c>
      <c r="B842" t="str">
        <f>IF(Sales_Deals!I833&lt;&gt;"",IF(AND(Sales_Deals!I833&gt;DATE(2024,9,30),Sales_Deals!I833&lt;=DATE(2025,3,31)),Sales_Deals!J833,""),"")</f>
        <v/>
      </c>
      <c r="C842" t="str">
        <f>IF(Sales_Deals!I833&lt;&gt;"",IF(AND(Sales_Deals!I833&gt;DATE(2024,3,31),Sales_Deals!I833&lt;=DATE(2024,9,30)),Sales_Deals!J833,""),"")</f>
        <v/>
      </c>
    </row>
    <row r="843" spans="1:3" x14ac:dyDescent="0.35">
      <c r="A843">
        <v>833</v>
      </c>
      <c r="B843" t="str">
        <f>IF(Sales_Deals!I834&lt;&gt;"",IF(AND(Sales_Deals!I834&gt;DATE(2024,9,30),Sales_Deals!I834&lt;=DATE(2025,3,31)),Sales_Deals!J834,""),"")</f>
        <v/>
      </c>
      <c r="C843" t="str">
        <f>IF(Sales_Deals!I834&lt;&gt;"",IF(AND(Sales_Deals!I834&gt;DATE(2024,3,31),Sales_Deals!I834&lt;=DATE(2024,9,30)),Sales_Deals!J834,""),"")</f>
        <v/>
      </c>
    </row>
    <row r="844" spans="1:3" x14ac:dyDescent="0.35">
      <c r="A844">
        <v>834</v>
      </c>
      <c r="B844" t="str">
        <f>IF(Sales_Deals!I835&lt;&gt;"",IF(AND(Sales_Deals!I835&gt;DATE(2024,9,30),Sales_Deals!I835&lt;=DATE(2025,3,31)),Sales_Deals!J835,""),"")</f>
        <v/>
      </c>
      <c r="C844" t="str">
        <f>IF(Sales_Deals!I835&lt;&gt;"",IF(AND(Sales_Deals!I835&gt;DATE(2024,3,31),Sales_Deals!I835&lt;=DATE(2024,9,30)),Sales_Deals!J835,""),"")</f>
        <v/>
      </c>
    </row>
    <row r="845" spans="1:3" x14ac:dyDescent="0.35">
      <c r="A845">
        <v>835</v>
      </c>
      <c r="B845" t="str">
        <f>IF(Sales_Deals!I836&lt;&gt;"",IF(AND(Sales_Deals!I836&gt;DATE(2024,9,30),Sales_Deals!I836&lt;=DATE(2025,3,31)),Sales_Deals!J836,""),"")</f>
        <v/>
      </c>
      <c r="C845" t="str">
        <f>IF(Sales_Deals!I836&lt;&gt;"",IF(AND(Sales_Deals!I836&gt;DATE(2024,3,31),Sales_Deals!I836&lt;=DATE(2024,9,30)),Sales_Deals!J836,""),"")</f>
        <v/>
      </c>
    </row>
    <row r="846" spans="1:3" x14ac:dyDescent="0.35">
      <c r="A846">
        <v>836</v>
      </c>
      <c r="B846" t="str">
        <f>IF(Sales_Deals!I837&lt;&gt;"",IF(AND(Sales_Deals!I837&gt;DATE(2024,9,30),Sales_Deals!I837&lt;=DATE(2025,3,31)),Sales_Deals!J837,""),"")</f>
        <v/>
      </c>
      <c r="C846" t="str">
        <f>IF(Sales_Deals!I837&lt;&gt;"",IF(AND(Sales_Deals!I837&gt;DATE(2024,3,31),Sales_Deals!I837&lt;=DATE(2024,9,30)),Sales_Deals!J837,""),"")</f>
        <v/>
      </c>
    </row>
    <row r="847" spans="1:3" x14ac:dyDescent="0.35">
      <c r="A847">
        <v>837</v>
      </c>
      <c r="B847" t="str">
        <f>IF(Sales_Deals!I838&lt;&gt;"",IF(AND(Sales_Deals!I838&gt;DATE(2024,9,30),Sales_Deals!I838&lt;=DATE(2025,3,31)),Sales_Deals!J838,""),"")</f>
        <v/>
      </c>
      <c r="C847" t="str">
        <f>IF(Sales_Deals!I838&lt;&gt;"",IF(AND(Sales_Deals!I838&gt;DATE(2024,3,31),Sales_Deals!I838&lt;=DATE(2024,9,30)),Sales_Deals!J838,""),"")</f>
        <v/>
      </c>
    </row>
    <row r="848" spans="1:3" x14ac:dyDescent="0.35">
      <c r="A848">
        <v>838</v>
      </c>
      <c r="B848" t="str">
        <f>IF(Sales_Deals!I839&lt;&gt;"",IF(AND(Sales_Deals!I839&gt;DATE(2024,9,30),Sales_Deals!I839&lt;=DATE(2025,3,31)),Sales_Deals!J839,""),"")</f>
        <v/>
      </c>
      <c r="C848" t="str">
        <f>IF(Sales_Deals!I839&lt;&gt;"",IF(AND(Sales_Deals!I839&gt;DATE(2024,3,31),Sales_Deals!I839&lt;=DATE(2024,9,30)),Sales_Deals!J839,""),"")</f>
        <v/>
      </c>
    </row>
    <row r="849" spans="1:3" x14ac:dyDescent="0.35">
      <c r="A849">
        <v>839</v>
      </c>
      <c r="B849" t="str">
        <f>IF(Sales_Deals!I840&lt;&gt;"",IF(AND(Sales_Deals!I840&gt;DATE(2024,9,30),Sales_Deals!I840&lt;=DATE(2025,3,31)),Sales_Deals!J840,""),"")</f>
        <v/>
      </c>
      <c r="C849" t="str">
        <f>IF(Sales_Deals!I840&lt;&gt;"",IF(AND(Sales_Deals!I840&gt;DATE(2024,3,31),Sales_Deals!I840&lt;=DATE(2024,9,30)),Sales_Deals!J840,""),"")</f>
        <v/>
      </c>
    </row>
    <row r="850" spans="1:3" x14ac:dyDescent="0.35">
      <c r="A850">
        <v>840</v>
      </c>
      <c r="B850" t="str">
        <f>IF(Sales_Deals!I841&lt;&gt;"",IF(AND(Sales_Deals!I841&gt;DATE(2024,9,30),Sales_Deals!I841&lt;=DATE(2025,3,31)),Sales_Deals!J841,""),"")</f>
        <v/>
      </c>
      <c r="C850">
        <f>IF(Sales_Deals!I841&lt;&gt;"",IF(AND(Sales_Deals!I841&gt;DATE(2024,3,31),Sales_Deals!I841&lt;=DATE(2024,9,30)),Sales_Deals!J841,""),"")</f>
        <v>126</v>
      </c>
    </row>
    <row r="851" spans="1:3" x14ac:dyDescent="0.35">
      <c r="A851">
        <v>841</v>
      </c>
      <c r="B851" t="str">
        <f>IF(Sales_Deals!I842&lt;&gt;"",IF(AND(Sales_Deals!I842&gt;DATE(2024,9,30),Sales_Deals!I842&lt;=DATE(2025,3,31)),Sales_Deals!J842,""),"")</f>
        <v/>
      </c>
      <c r="C851" t="str">
        <f>IF(Sales_Deals!I842&lt;&gt;"",IF(AND(Sales_Deals!I842&gt;DATE(2024,3,31),Sales_Deals!I842&lt;=DATE(2024,9,30)),Sales_Deals!J842,""),"")</f>
        <v/>
      </c>
    </row>
    <row r="852" spans="1:3" x14ac:dyDescent="0.35">
      <c r="A852">
        <v>842</v>
      </c>
      <c r="B852" t="str">
        <f>IF(Sales_Deals!I843&lt;&gt;"",IF(AND(Sales_Deals!I843&gt;DATE(2024,9,30),Sales_Deals!I843&lt;=DATE(2025,3,31)),Sales_Deals!J843,""),"")</f>
        <v/>
      </c>
      <c r="C852" t="str">
        <f>IF(Sales_Deals!I843&lt;&gt;"",IF(AND(Sales_Deals!I843&gt;DATE(2024,3,31),Sales_Deals!I843&lt;=DATE(2024,9,30)),Sales_Deals!J843,""),"")</f>
        <v/>
      </c>
    </row>
    <row r="853" spans="1:3" x14ac:dyDescent="0.35">
      <c r="A853">
        <v>843</v>
      </c>
      <c r="B853" t="str">
        <f>IF(Sales_Deals!I844&lt;&gt;"",IF(AND(Sales_Deals!I844&gt;DATE(2024,9,30),Sales_Deals!I844&lt;=DATE(2025,3,31)),Sales_Deals!J844,""),"")</f>
        <v/>
      </c>
      <c r="C853" t="str">
        <f>IF(Sales_Deals!I844&lt;&gt;"",IF(AND(Sales_Deals!I844&gt;DATE(2024,3,31),Sales_Deals!I844&lt;=DATE(2024,9,30)),Sales_Deals!J844,""),"")</f>
        <v/>
      </c>
    </row>
    <row r="854" spans="1:3" x14ac:dyDescent="0.35">
      <c r="A854">
        <v>844</v>
      </c>
      <c r="B854" t="str">
        <f>IF(Sales_Deals!I845&lt;&gt;"",IF(AND(Sales_Deals!I845&gt;DATE(2024,9,30),Sales_Deals!I845&lt;=DATE(2025,3,31)),Sales_Deals!J845,""),"")</f>
        <v/>
      </c>
      <c r="C854" t="str">
        <f>IF(Sales_Deals!I845&lt;&gt;"",IF(AND(Sales_Deals!I845&gt;DATE(2024,3,31),Sales_Deals!I845&lt;=DATE(2024,9,30)),Sales_Deals!J845,""),"")</f>
        <v/>
      </c>
    </row>
    <row r="855" spans="1:3" x14ac:dyDescent="0.35">
      <c r="A855">
        <v>845</v>
      </c>
      <c r="B855" t="str">
        <f>IF(Sales_Deals!I846&lt;&gt;"",IF(AND(Sales_Deals!I846&gt;DATE(2024,9,30),Sales_Deals!I846&lt;=DATE(2025,3,31)),Sales_Deals!J846,""),"")</f>
        <v/>
      </c>
      <c r="C855" t="str">
        <f>IF(Sales_Deals!I846&lt;&gt;"",IF(AND(Sales_Deals!I846&gt;DATE(2024,3,31),Sales_Deals!I846&lt;=DATE(2024,9,30)),Sales_Deals!J846,""),"")</f>
        <v/>
      </c>
    </row>
    <row r="856" spans="1:3" x14ac:dyDescent="0.35">
      <c r="A856">
        <v>846</v>
      </c>
      <c r="B856" t="str">
        <f>IF(Sales_Deals!I847&lt;&gt;"",IF(AND(Sales_Deals!I847&gt;DATE(2024,9,30),Sales_Deals!I847&lt;=DATE(2025,3,31)),Sales_Deals!J847,""),"")</f>
        <v/>
      </c>
      <c r="C856" t="str">
        <f>IF(Sales_Deals!I847&lt;&gt;"",IF(AND(Sales_Deals!I847&gt;DATE(2024,3,31),Sales_Deals!I847&lt;=DATE(2024,9,30)),Sales_Deals!J847,""),"")</f>
        <v/>
      </c>
    </row>
    <row r="857" spans="1:3" x14ac:dyDescent="0.35">
      <c r="A857">
        <v>847</v>
      </c>
      <c r="B857">
        <f>IF(Sales_Deals!I848&lt;&gt;"",IF(AND(Sales_Deals!I848&gt;DATE(2024,9,30),Sales_Deals!I848&lt;=DATE(2025,3,31)),Sales_Deals!J848,""),"")</f>
        <v>125</v>
      </c>
      <c r="C857" t="str">
        <f>IF(Sales_Deals!I848&lt;&gt;"",IF(AND(Sales_Deals!I848&gt;DATE(2024,3,31),Sales_Deals!I848&lt;=DATE(2024,9,30)),Sales_Deals!J848,""),"")</f>
        <v/>
      </c>
    </row>
    <row r="858" spans="1:3" x14ac:dyDescent="0.35">
      <c r="A858">
        <v>848</v>
      </c>
      <c r="B858" t="str">
        <f>IF(Sales_Deals!I849&lt;&gt;"",IF(AND(Sales_Deals!I849&gt;DATE(2024,9,30),Sales_Deals!I849&lt;=DATE(2025,3,31)),Sales_Deals!J849,""),"")</f>
        <v/>
      </c>
      <c r="C858" t="str">
        <f>IF(Sales_Deals!I849&lt;&gt;"",IF(AND(Sales_Deals!I849&gt;DATE(2024,3,31),Sales_Deals!I849&lt;=DATE(2024,9,30)),Sales_Deals!J849,""),"")</f>
        <v/>
      </c>
    </row>
    <row r="859" spans="1:3" x14ac:dyDescent="0.35">
      <c r="A859">
        <v>849</v>
      </c>
      <c r="B859" t="str">
        <f>IF(Sales_Deals!I850&lt;&gt;"",IF(AND(Sales_Deals!I850&gt;DATE(2024,9,30),Sales_Deals!I850&lt;=DATE(2025,3,31)),Sales_Deals!J850,""),"")</f>
        <v/>
      </c>
      <c r="C859">
        <f>IF(Sales_Deals!I850&lt;&gt;"",IF(AND(Sales_Deals!I850&gt;DATE(2024,3,31),Sales_Deals!I850&lt;=DATE(2024,9,30)),Sales_Deals!J850,""),"")</f>
        <v>128</v>
      </c>
    </row>
    <row r="860" spans="1:3" x14ac:dyDescent="0.35">
      <c r="A860">
        <v>850</v>
      </c>
      <c r="B860" t="str">
        <f>IF(Sales_Deals!I851&lt;&gt;"",IF(AND(Sales_Deals!I851&gt;DATE(2024,9,30),Sales_Deals!I851&lt;=DATE(2025,3,31)),Sales_Deals!J851,""),"")</f>
        <v/>
      </c>
      <c r="C860" t="str">
        <f>IF(Sales_Deals!I851&lt;&gt;"",IF(AND(Sales_Deals!I851&gt;DATE(2024,3,31),Sales_Deals!I851&lt;=DATE(2024,9,30)),Sales_Deals!J851,""),"")</f>
        <v/>
      </c>
    </row>
    <row r="861" spans="1:3" x14ac:dyDescent="0.35">
      <c r="A861">
        <v>851</v>
      </c>
      <c r="B861" t="str">
        <f>IF(Sales_Deals!I852&lt;&gt;"",IF(AND(Sales_Deals!I852&gt;DATE(2024,9,30),Sales_Deals!I852&lt;=DATE(2025,3,31)),Sales_Deals!J852,""),"")</f>
        <v/>
      </c>
      <c r="C861" t="str">
        <f>IF(Sales_Deals!I852&lt;&gt;"",IF(AND(Sales_Deals!I852&gt;DATE(2024,3,31),Sales_Deals!I852&lt;=DATE(2024,9,30)),Sales_Deals!J852,""),"")</f>
        <v/>
      </c>
    </row>
    <row r="862" spans="1:3" x14ac:dyDescent="0.35">
      <c r="A862">
        <v>852</v>
      </c>
      <c r="B862" t="str">
        <f>IF(Sales_Deals!I853&lt;&gt;"",IF(AND(Sales_Deals!I853&gt;DATE(2024,9,30),Sales_Deals!I853&lt;=DATE(2025,3,31)),Sales_Deals!J853,""),"")</f>
        <v/>
      </c>
      <c r="C862" t="str">
        <f>IF(Sales_Deals!I853&lt;&gt;"",IF(AND(Sales_Deals!I853&gt;DATE(2024,3,31),Sales_Deals!I853&lt;=DATE(2024,9,30)),Sales_Deals!J853,""),"")</f>
        <v/>
      </c>
    </row>
    <row r="863" spans="1:3" x14ac:dyDescent="0.35">
      <c r="A863">
        <v>853</v>
      </c>
      <c r="B863" t="str">
        <f>IF(Sales_Deals!I854&lt;&gt;"",IF(AND(Sales_Deals!I854&gt;DATE(2024,9,30),Sales_Deals!I854&lt;=DATE(2025,3,31)),Sales_Deals!J854,""),"")</f>
        <v/>
      </c>
      <c r="C863" t="str">
        <f>IF(Sales_Deals!I854&lt;&gt;"",IF(AND(Sales_Deals!I854&gt;DATE(2024,3,31),Sales_Deals!I854&lt;=DATE(2024,9,30)),Sales_Deals!J854,""),"")</f>
        <v/>
      </c>
    </row>
    <row r="864" spans="1:3" x14ac:dyDescent="0.35">
      <c r="A864">
        <v>854</v>
      </c>
      <c r="B864" t="str">
        <f>IF(Sales_Deals!I855&lt;&gt;"",IF(AND(Sales_Deals!I855&gt;DATE(2024,9,30),Sales_Deals!I855&lt;=DATE(2025,3,31)),Sales_Deals!J855,""),"")</f>
        <v/>
      </c>
      <c r="C864" t="str">
        <f>IF(Sales_Deals!I855&lt;&gt;"",IF(AND(Sales_Deals!I855&gt;DATE(2024,3,31),Sales_Deals!I855&lt;=DATE(2024,9,30)),Sales_Deals!J855,""),"")</f>
        <v/>
      </c>
    </row>
    <row r="865" spans="1:3" x14ac:dyDescent="0.35">
      <c r="A865">
        <v>855</v>
      </c>
      <c r="B865" t="str">
        <f>IF(Sales_Deals!I856&lt;&gt;"",IF(AND(Sales_Deals!I856&gt;DATE(2024,9,30),Sales_Deals!I856&lt;=DATE(2025,3,31)),Sales_Deals!J856,""),"")</f>
        <v/>
      </c>
      <c r="C865" t="str">
        <f>IF(Sales_Deals!I856&lt;&gt;"",IF(AND(Sales_Deals!I856&gt;DATE(2024,3,31),Sales_Deals!I856&lt;=DATE(2024,9,30)),Sales_Deals!J856,""),"")</f>
        <v/>
      </c>
    </row>
    <row r="866" spans="1:3" x14ac:dyDescent="0.35">
      <c r="A866">
        <v>856</v>
      </c>
      <c r="B866" t="str">
        <f>IF(Sales_Deals!I857&lt;&gt;"",IF(AND(Sales_Deals!I857&gt;DATE(2024,9,30),Sales_Deals!I857&lt;=DATE(2025,3,31)),Sales_Deals!J857,""),"")</f>
        <v/>
      </c>
      <c r="C866" t="str">
        <f>IF(Sales_Deals!I857&lt;&gt;"",IF(AND(Sales_Deals!I857&gt;DATE(2024,3,31),Sales_Deals!I857&lt;=DATE(2024,9,30)),Sales_Deals!J857,""),"")</f>
        <v/>
      </c>
    </row>
    <row r="867" spans="1:3" x14ac:dyDescent="0.35">
      <c r="A867">
        <v>857</v>
      </c>
      <c r="B867" t="str">
        <f>IF(Sales_Deals!I858&lt;&gt;"",IF(AND(Sales_Deals!I858&gt;DATE(2024,9,30),Sales_Deals!I858&lt;=DATE(2025,3,31)),Sales_Deals!J858,""),"")</f>
        <v/>
      </c>
      <c r="C867" t="str">
        <f>IF(Sales_Deals!I858&lt;&gt;"",IF(AND(Sales_Deals!I858&gt;DATE(2024,3,31),Sales_Deals!I858&lt;=DATE(2024,9,30)),Sales_Deals!J858,""),"")</f>
        <v/>
      </c>
    </row>
    <row r="868" spans="1:3" x14ac:dyDescent="0.35">
      <c r="A868">
        <v>858</v>
      </c>
      <c r="B868" t="str">
        <f>IF(Sales_Deals!I859&lt;&gt;"",IF(AND(Sales_Deals!I859&gt;DATE(2024,9,30),Sales_Deals!I859&lt;=DATE(2025,3,31)),Sales_Deals!J859,""),"")</f>
        <v/>
      </c>
      <c r="C868" t="str">
        <f>IF(Sales_Deals!I859&lt;&gt;"",IF(AND(Sales_Deals!I859&gt;DATE(2024,3,31),Sales_Deals!I859&lt;=DATE(2024,9,30)),Sales_Deals!J859,""),"")</f>
        <v/>
      </c>
    </row>
    <row r="869" spans="1:3" x14ac:dyDescent="0.35">
      <c r="A869">
        <v>859</v>
      </c>
      <c r="B869" t="str">
        <f>IF(Sales_Deals!I860&lt;&gt;"",IF(AND(Sales_Deals!I860&gt;DATE(2024,9,30),Sales_Deals!I860&lt;=DATE(2025,3,31)),Sales_Deals!J860,""),"")</f>
        <v/>
      </c>
      <c r="C869" t="str">
        <f>IF(Sales_Deals!I860&lt;&gt;"",IF(AND(Sales_Deals!I860&gt;DATE(2024,3,31),Sales_Deals!I860&lt;=DATE(2024,9,30)),Sales_Deals!J860,""),"")</f>
        <v/>
      </c>
    </row>
    <row r="870" spans="1:3" x14ac:dyDescent="0.35">
      <c r="A870">
        <v>860</v>
      </c>
      <c r="B870" t="str">
        <f>IF(Sales_Deals!I861&lt;&gt;"",IF(AND(Sales_Deals!I861&gt;DATE(2024,9,30),Sales_Deals!I861&lt;=DATE(2025,3,31)),Sales_Deals!J861,""),"")</f>
        <v/>
      </c>
      <c r="C870" t="str">
        <f>IF(Sales_Deals!I861&lt;&gt;"",IF(AND(Sales_Deals!I861&gt;DATE(2024,3,31),Sales_Deals!I861&lt;=DATE(2024,9,30)),Sales_Deals!J861,""),"")</f>
        <v/>
      </c>
    </row>
    <row r="871" spans="1:3" x14ac:dyDescent="0.35">
      <c r="A871">
        <v>861</v>
      </c>
      <c r="B871" t="str">
        <f>IF(Sales_Deals!I862&lt;&gt;"",IF(AND(Sales_Deals!I862&gt;DATE(2024,9,30),Sales_Deals!I862&lt;=DATE(2025,3,31)),Sales_Deals!J862,""),"")</f>
        <v/>
      </c>
      <c r="C871" t="str">
        <f>IF(Sales_Deals!I862&lt;&gt;"",IF(AND(Sales_Deals!I862&gt;DATE(2024,3,31),Sales_Deals!I862&lt;=DATE(2024,9,30)),Sales_Deals!J862,""),"")</f>
        <v/>
      </c>
    </row>
    <row r="872" spans="1:3" x14ac:dyDescent="0.35">
      <c r="A872">
        <v>862</v>
      </c>
      <c r="B872" t="str">
        <f>IF(Sales_Deals!I863&lt;&gt;"",IF(AND(Sales_Deals!I863&gt;DATE(2024,9,30),Sales_Deals!I863&lt;=DATE(2025,3,31)),Sales_Deals!J863,""),"")</f>
        <v/>
      </c>
      <c r="C872" t="str">
        <f>IF(Sales_Deals!I863&lt;&gt;"",IF(AND(Sales_Deals!I863&gt;DATE(2024,3,31),Sales_Deals!I863&lt;=DATE(2024,9,30)),Sales_Deals!J863,""),"")</f>
        <v/>
      </c>
    </row>
    <row r="873" spans="1:3" x14ac:dyDescent="0.35">
      <c r="A873">
        <v>863</v>
      </c>
      <c r="B873" t="str">
        <f>IF(Sales_Deals!I864&lt;&gt;"",IF(AND(Sales_Deals!I864&gt;DATE(2024,9,30),Sales_Deals!I864&lt;=DATE(2025,3,31)),Sales_Deals!J864,""),"")</f>
        <v/>
      </c>
      <c r="C873">
        <f>IF(Sales_Deals!I864&lt;&gt;"",IF(AND(Sales_Deals!I864&gt;DATE(2024,3,31),Sales_Deals!I864&lt;=DATE(2024,9,30)),Sales_Deals!J864,""),"")</f>
        <v>30</v>
      </c>
    </row>
    <row r="874" spans="1:3" x14ac:dyDescent="0.35">
      <c r="A874">
        <v>864</v>
      </c>
      <c r="B874" t="str">
        <f>IF(Sales_Deals!I865&lt;&gt;"",IF(AND(Sales_Deals!I865&gt;DATE(2024,9,30),Sales_Deals!I865&lt;=DATE(2025,3,31)),Sales_Deals!J865,""),"")</f>
        <v/>
      </c>
      <c r="C874">
        <f>IF(Sales_Deals!I865&lt;&gt;"",IF(AND(Sales_Deals!I865&gt;DATE(2024,3,31),Sales_Deals!I865&lt;=DATE(2024,9,30)),Sales_Deals!J865,""),"")</f>
        <v>162</v>
      </c>
    </row>
    <row r="875" spans="1:3" x14ac:dyDescent="0.35">
      <c r="A875">
        <v>865</v>
      </c>
      <c r="B875" t="str">
        <f>IF(Sales_Deals!I866&lt;&gt;"",IF(AND(Sales_Deals!I866&gt;DATE(2024,9,30),Sales_Deals!I866&lt;=DATE(2025,3,31)),Sales_Deals!J866,""),"")</f>
        <v/>
      </c>
      <c r="C875" t="str">
        <f>IF(Sales_Deals!I866&lt;&gt;"",IF(AND(Sales_Deals!I866&gt;DATE(2024,3,31),Sales_Deals!I866&lt;=DATE(2024,9,30)),Sales_Deals!J866,""),"")</f>
        <v/>
      </c>
    </row>
    <row r="876" spans="1:3" x14ac:dyDescent="0.35">
      <c r="A876">
        <v>866</v>
      </c>
      <c r="B876" t="str">
        <f>IF(Sales_Deals!I867&lt;&gt;"",IF(AND(Sales_Deals!I867&gt;DATE(2024,9,30),Sales_Deals!I867&lt;=DATE(2025,3,31)),Sales_Deals!J867,""),"")</f>
        <v/>
      </c>
      <c r="C876" t="str">
        <f>IF(Sales_Deals!I867&lt;&gt;"",IF(AND(Sales_Deals!I867&gt;DATE(2024,3,31),Sales_Deals!I867&lt;=DATE(2024,9,30)),Sales_Deals!J867,""),"")</f>
        <v/>
      </c>
    </row>
    <row r="877" spans="1:3" x14ac:dyDescent="0.35">
      <c r="A877">
        <v>867</v>
      </c>
      <c r="B877" t="str">
        <f>IF(Sales_Deals!I868&lt;&gt;"",IF(AND(Sales_Deals!I868&gt;DATE(2024,9,30),Sales_Deals!I868&lt;=DATE(2025,3,31)),Sales_Deals!J868,""),"")</f>
        <v/>
      </c>
      <c r="C877" t="str">
        <f>IF(Sales_Deals!I868&lt;&gt;"",IF(AND(Sales_Deals!I868&gt;DATE(2024,3,31),Sales_Deals!I868&lt;=DATE(2024,9,30)),Sales_Deals!J868,""),"")</f>
        <v/>
      </c>
    </row>
    <row r="878" spans="1:3" x14ac:dyDescent="0.35">
      <c r="A878">
        <v>868</v>
      </c>
      <c r="B878" t="str">
        <f>IF(Sales_Deals!I869&lt;&gt;"",IF(AND(Sales_Deals!I869&gt;DATE(2024,9,30),Sales_Deals!I869&lt;=DATE(2025,3,31)),Sales_Deals!J869,""),"")</f>
        <v/>
      </c>
      <c r="C878">
        <f>IF(Sales_Deals!I869&lt;&gt;"",IF(AND(Sales_Deals!I869&gt;DATE(2024,3,31),Sales_Deals!I869&lt;=DATE(2024,9,30)),Sales_Deals!J869,""),"")</f>
        <v>29</v>
      </c>
    </row>
    <row r="879" spans="1:3" x14ac:dyDescent="0.35">
      <c r="A879">
        <v>869</v>
      </c>
      <c r="B879" t="str">
        <f>IF(Sales_Deals!I870&lt;&gt;"",IF(AND(Sales_Deals!I870&gt;DATE(2024,9,30),Sales_Deals!I870&lt;=DATE(2025,3,31)),Sales_Deals!J870,""),"")</f>
        <v/>
      </c>
      <c r="C879" t="str">
        <f>IF(Sales_Deals!I870&lt;&gt;"",IF(AND(Sales_Deals!I870&gt;DATE(2024,3,31),Sales_Deals!I870&lt;=DATE(2024,9,30)),Sales_Deals!J870,""),"")</f>
        <v/>
      </c>
    </row>
    <row r="880" spans="1:3" x14ac:dyDescent="0.35">
      <c r="A880">
        <v>870</v>
      </c>
      <c r="B880">
        <f>IF(Sales_Deals!I871&lt;&gt;"",IF(AND(Sales_Deals!I871&gt;DATE(2024,9,30),Sales_Deals!I871&lt;=DATE(2025,3,31)),Sales_Deals!J871,""),"")</f>
        <v>114</v>
      </c>
      <c r="C880" t="str">
        <f>IF(Sales_Deals!I871&lt;&gt;"",IF(AND(Sales_Deals!I871&gt;DATE(2024,3,31),Sales_Deals!I871&lt;=DATE(2024,9,30)),Sales_Deals!J871,""),"")</f>
        <v/>
      </c>
    </row>
    <row r="881" spans="1:3" x14ac:dyDescent="0.35">
      <c r="A881">
        <v>871</v>
      </c>
      <c r="B881" t="str">
        <f>IF(Sales_Deals!I872&lt;&gt;"",IF(AND(Sales_Deals!I872&gt;DATE(2024,9,30),Sales_Deals!I872&lt;=DATE(2025,3,31)),Sales_Deals!J872,""),"")</f>
        <v/>
      </c>
      <c r="C881" t="str">
        <f>IF(Sales_Deals!I872&lt;&gt;"",IF(AND(Sales_Deals!I872&gt;DATE(2024,3,31),Sales_Deals!I872&lt;=DATE(2024,9,30)),Sales_Deals!J872,""),"")</f>
        <v/>
      </c>
    </row>
    <row r="882" spans="1:3" x14ac:dyDescent="0.35">
      <c r="A882">
        <v>872</v>
      </c>
      <c r="B882" t="str">
        <f>IF(Sales_Deals!I873&lt;&gt;"",IF(AND(Sales_Deals!I873&gt;DATE(2024,9,30),Sales_Deals!I873&lt;=DATE(2025,3,31)),Sales_Deals!J873,""),"")</f>
        <v/>
      </c>
      <c r="C882" t="str">
        <f>IF(Sales_Deals!I873&lt;&gt;"",IF(AND(Sales_Deals!I873&gt;DATE(2024,3,31),Sales_Deals!I873&lt;=DATE(2024,9,30)),Sales_Deals!J873,""),"")</f>
        <v/>
      </c>
    </row>
    <row r="883" spans="1:3" x14ac:dyDescent="0.35">
      <c r="A883">
        <v>873</v>
      </c>
      <c r="B883" t="str">
        <f>IF(Sales_Deals!I874&lt;&gt;"",IF(AND(Sales_Deals!I874&gt;DATE(2024,9,30),Sales_Deals!I874&lt;=DATE(2025,3,31)),Sales_Deals!J874,""),"")</f>
        <v/>
      </c>
      <c r="C883" t="str">
        <f>IF(Sales_Deals!I874&lt;&gt;"",IF(AND(Sales_Deals!I874&gt;DATE(2024,3,31),Sales_Deals!I874&lt;=DATE(2024,9,30)),Sales_Deals!J874,""),"")</f>
        <v/>
      </c>
    </row>
    <row r="884" spans="1:3" x14ac:dyDescent="0.35">
      <c r="A884">
        <v>874</v>
      </c>
      <c r="B884" t="str">
        <f>IF(Sales_Deals!I875&lt;&gt;"",IF(AND(Sales_Deals!I875&gt;DATE(2024,9,30),Sales_Deals!I875&lt;=DATE(2025,3,31)),Sales_Deals!J875,""),"")</f>
        <v/>
      </c>
      <c r="C884" t="str">
        <f>IF(Sales_Deals!I875&lt;&gt;"",IF(AND(Sales_Deals!I875&gt;DATE(2024,3,31),Sales_Deals!I875&lt;=DATE(2024,9,30)),Sales_Deals!J875,""),"")</f>
        <v/>
      </c>
    </row>
    <row r="885" spans="1:3" x14ac:dyDescent="0.35">
      <c r="A885">
        <v>875</v>
      </c>
      <c r="B885" t="str">
        <f>IF(Sales_Deals!I876&lt;&gt;"",IF(AND(Sales_Deals!I876&gt;DATE(2024,9,30),Sales_Deals!I876&lt;=DATE(2025,3,31)),Sales_Deals!J876,""),"")</f>
        <v/>
      </c>
      <c r="C885" t="str">
        <f>IF(Sales_Deals!I876&lt;&gt;"",IF(AND(Sales_Deals!I876&gt;DATE(2024,3,31),Sales_Deals!I876&lt;=DATE(2024,9,30)),Sales_Deals!J876,""),"")</f>
        <v/>
      </c>
    </row>
    <row r="886" spans="1:3" x14ac:dyDescent="0.35">
      <c r="A886">
        <v>876</v>
      </c>
      <c r="B886">
        <f>IF(Sales_Deals!I877&lt;&gt;"",IF(AND(Sales_Deals!I877&gt;DATE(2024,9,30),Sales_Deals!I877&lt;=DATE(2025,3,31)),Sales_Deals!J877,""),"")</f>
        <v>179</v>
      </c>
      <c r="C886" t="str">
        <f>IF(Sales_Deals!I877&lt;&gt;"",IF(AND(Sales_Deals!I877&gt;DATE(2024,3,31),Sales_Deals!I877&lt;=DATE(2024,9,30)),Sales_Deals!J877,""),"")</f>
        <v/>
      </c>
    </row>
    <row r="887" spans="1:3" x14ac:dyDescent="0.35">
      <c r="A887">
        <v>877</v>
      </c>
      <c r="B887">
        <f>IF(Sales_Deals!I878&lt;&gt;"",IF(AND(Sales_Deals!I878&gt;DATE(2024,9,30),Sales_Deals!I878&lt;=DATE(2025,3,31)),Sales_Deals!J878,""),"")</f>
        <v>153</v>
      </c>
      <c r="C887" t="str">
        <f>IF(Sales_Deals!I878&lt;&gt;"",IF(AND(Sales_Deals!I878&gt;DATE(2024,3,31),Sales_Deals!I878&lt;=DATE(2024,9,30)),Sales_Deals!J878,""),"")</f>
        <v/>
      </c>
    </row>
    <row r="888" spans="1:3" x14ac:dyDescent="0.35">
      <c r="A888">
        <v>878</v>
      </c>
      <c r="B888" t="str">
        <f>IF(Sales_Deals!I879&lt;&gt;"",IF(AND(Sales_Deals!I879&gt;DATE(2024,9,30),Sales_Deals!I879&lt;=DATE(2025,3,31)),Sales_Deals!J879,""),"")</f>
        <v/>
      </c>
      <c r="C888" t="str">
        <f>IF(Sales_Deals!I879&lt;&gt;"",IF(AND(Sales_Deals!I879&gt;DATE(2024,3,31),Sales_Deals!I879&lt;=DATE(2024,9,30)),Sales_Deals!J879,""),"")</f>
        <v/>
      </c>
    </row>
    <row r="889" spans="1:3" x14ac:dyDescent="0.35">
      <c r="A889">
        <v>879</v>
      </c>
      <c r="B889" t="str">
        <f>IF(Sales_Deals!I880&lt;&gt;"",IF(AND(Sales_Deals!I880&gt;DATE(2024,9,30),Sales_Deals!I880&lt;=DATE(2025,3,31)),Sales_Deals!J880,""),"")</f>
        <v/>
      </c>
      <c r="C889" t="str">
        <f>IF(Sales_Deals!I880&lt;&gt;"",IF(AND(Sales_Deals!I880&gt;DATE(2024,3,31),Sales_Deals!I880&lt;=DATE(2024,9,30)),Sales_Deals!J880,""),"")</f>
        <v/>
      </c>
    </row>
    <row r="890" spans="1:3" x14ac:dyDescent="0.35">
      <c r="A890">
        <v>880</v>
      </c>
      <c r="B890" t="str">
        <f>IF(Sales_Deals!I881&lt;&gt;"",IF(AND(Sales_Deals!I881&gt;DATE(2024,9,30),Sales_Deals!I881&lt;=DATE(2025,3,31)),Sales_Deals!J881,""),"")</f>
        <v/>
      </c>
      <c r="C890" t="str">
        <f>IF(Sales_Deals!I881&lt;&gt;"",IF(AND(Sales_Deals!I881&gt;DATE(2024,3,31),Sales_Deals!I881&lt;=DATE(2024,9,30)),Sales_Deals!J881,""),"")</f>
        <v/>
      </c>
    </row>
    <row r="891" spans="1:3" x14ac:dyDescent="0.35">
      <c r="A891">
        <v>881</v>
      </c>
      <c r="B891" t="str">
        <f>IF(Sales_Deals!I882&lt;&gt;"",IF(AND(Sales_Deals!I882&gt;DATE(2024,9,30),Sales_Deals!I882&lt;=DATE(2025,3,31)),Sales_Deals!J882,""),"")</f>
        <v/>
      </c>
      <c r="C891" t="str">
        <f>IF(Sales_Deals!I882&lt;&gt;"",IF(AND(Sales_Deals!I882&gt;DATE(2024,3,31),Sales_Deals!I882&lt;=DATE(2024,9,30)),Sales_Deals!J882,""),"")</f>
        <v/>
      </c>
    </row>
    <row r="892" spans="1:3" x14ac:dyDescent="0.35">
      <c r="A892">
        <v>882</v>
      </c>
      <c r="B892" t="str">
        <f>IF(Sales_Deals!I883&lt;&gt;"",IF(AND(Sales_Deals!I883&gt;DATE(2024,9,30),Sales_Deals!I883&lt;=DATE(2025,3,31)),Sales_Deals!J883,""),"")</f>
        <v/>
      </c>
      <c r="C892" t="str">
        <f>IF(Sales_Deals!I883&lt;&gt;"",IF(AND(Sales_Deals!I883&gt;DATE(2024,3,31),Sales_Deals!I883&lt;=DATE(2024,9,30)),Sales_Deals!J883,""),"")</f>
        <v/>
      </c>
    </row>
    <row r="893" spans="1:3" x14ac:dyDescent="0.35">
      <c r="A893">
        <v>883</v>
      </c>
      <c r="B893" t="str">
        <f>IF(Sales_Deals!I884&lt;&gt;"",IF(AND(Sales_Deals!I884&gt;DATE(2024,9,30),Sales_Deals!I884&lt;=DATE(2025,3,31)),Sales_Deals!J884,""),"")</f>
        <v/>
      </c>
      <c r="C893" t="str">
        <f>IF(Sales_Deals!I884&lt;&gt;"",IF(AND(Sales_Deals!I884&gt;DATE(2024,3,31),Sales_Deals!I884&lt;=DATE(2024,9,30)),Sales_Deals!J884,""),"")</f>
        <v/>
      </c>
    </row>
    <row r="894" spans="1:3" x14ac:dyDescent="0.35">
      <c r="A894">
        <v>884</v>
      </c>
      <c r="B894" t="str">
        <f>IF(Sales_Deals!I885&lt;&gt;"",IF(AND(Sales_Deals!I885&gt;DATE(2024,9,30),Sales_Deals!I885&lt;=DATE(2025,3,31)),Sales_Deals!J885,""),"")</f>
        <v/>
      </c>
      <c r="C894" t="str">
        <f>IF(Sales_Deals!I885&lt;&gt;"",IF(AND(Sales_Deals!I885&gt;DATE(2024,3,31),Sales_Deals!I885&lt;=DATE(2024,9,30)),Sales_Deals!J885,""),"")</f>
        <v/>
      </c>
    </row>
    <row r="895" spans="1:3" x14ac:dyDescent="0.35">
      <c r="A895">
        <v>885</v>
      </c>
      <c r="B895" t="str">
        <f>IF(Sales_Deals!I886&lt;&gt;"",IF(AND(Sales_Deals!I886&gt;DATE(2024,9,30),Sales_Deals!I886&lt;=DATE(2025,3,31)),Sales_Deals!J886,""),"")</f>
        <v/>
      </c>
      <c r="C895" t="str">
        <f>IF(Sales_Deals!I886&lt;&gt;"",IF(AND(Sales_Deals!I886&gt;DATE(2024,3,31),Sales_Deals!I886&lt;=DATE(2024,9,30)),Sales_Deals!J886,""),"")</f>
        <v/>
      </c>
    </row>
    <row r="896" spans="1:3" x14ac:dyDescent="0.35">
      <c r="A896">
        <v>886</v>
      </c>
      <c r="B896" t="str">
        <f>IF(Sales_Deals!I887&lt;&gt;"",IF(AND(Sales_Deals!I887&gt;DATE(2024,9,30),Sales_Deals!I887&lt;=DATE(2025,3,31)),Sales_Deals!J887,""),"")</f>
        <v/>
      </c>
      <c r="C896" t="str">
        <f>IF(Sales_Deals!I887&lt;&gt;"",IF(AND(Sales_Deals!I887&gt;DATE(2024,3,31),Sales_Deals!I887&lt;=DATE(2024,9,30)),Sales_Deals!J887,""),"")</f>
        <v/>
      </c>
    </row>
    <row r="897" spans="1:3" x14ac:dyDescent="0.35">
      <c r="A897">
        <v>887</v>
      </c>
      <c r="B897" t="str">
        <f>IF(Sales_Deals!I888&lt;&gt;"",IF(AND(Sales_Deals!I888&gt;DATE(2024,9,30),Sales_Deals!I888&lt;=DATE(2025,3,31)),Sales_Deals!J888,""),"")</f>
        <v/>
      </c>
      <c r="C897" t="str">
        <f>IF(Sales_Deals!I888&lt;&gt;"",IF(AND(Sales_Deals!I888&gt;DATE(2024,3,31),Sales_Deals!I888&lt;=DATE(2024,9,30)),Sales_Deals!J888,""),"")</f>
        <v/>
      </c>
    </row>
    <row r="898" spans="1:3" x14ac:dyDescent="0.35">
      <c r="A898">
        <v>888</v>
      </c>
      <c r="B898" t="str">
        <f>IF(Sales_Deals!I889&lt;&gt;"",IF(AND(Sales_Deals!I889&gt;DATE(2024,9,30),Sales_Deals!I889&lt;=DATE(2025,3,31)),Sales_Deals!J889,""),"")</f>
        <v/>
      </c>
      <c r="C898" t="str">
        <f>IF(Sales_Deals!I889&lt;&gt;"",IF(AND(Sales_Deals!I889&gt;DATE(2024,3,31),Sales_Deals!I889&lt;=DATE(2024,9,30)),Sales_Deals!J889,""),"")</f>
        <v/>
      </c>
    </row>
    <row r="899" spans="1:3" x14ac:dyDescent="0.35">
      <c r="A899">
        <v>889</v>
      </c>
      <c r="B899" t="str">
        <f>IF(Sales_Deals!I890&lt;&gt;"",IF(AND(Sales_Deals!I890&gt;DATE(2024,9,30),Sales_Deals!I890&lt;=DATE(2025,3,31)),Sales_Deals!J890,""),"")</f>
        <v/>
      </c>
      <c r="C899" t="str">
        <f>IF(Sales_Deals!I890&lt;&gt;"",IF(AND(Sales_Deals!I890&gt;DATE(2024,3,31),Sales_Deals!I890&lt;=DATE(2024,9,30)),Sales_Deals!J890,""),"")</f>
        <v/>
      </c>
    </row>
    <row r="900" spans="1:3" x14ac:dyDescent="0.35">
      <c r="A900">
        <v>890</v>
      </c>
      <c r="B900" t="str">
        <f>IF(Sales_Deals!I891&lt;&gt;"",IF(AND(Sales_Deals!I891&gt;DATE(2024,9,30),Sales_Deals!I891&lt;=DATE(2025,3,31)),Sales_Deals!J891,""),"")</f>
        <v/>
      </c>
      <c r="C900" t="str">
        <f>IF(Sales_Deals!I891&lt;&gt;"",IF(AND(Sales_Deals!I891&gt;DATE(2024,3,31),Sales_Deals!I891&lt;=DATE(2024,9,30)),Sales_Deals!J891,""),"")</f>
        <v/>
      </c>
    </row>
    <row r="901" spans="1:3" x14ac:dyDescent="0.35">
      <c r="A901">
        <v>891</v>
      </c>
      <c r="B901">
        <f>IF(Sales_Deals!I892&lt;&gt;"",IF(AND(Sales_Deals!I892&gt;DATE(2024,9,30),Sales_Deals!I892&lt;=DATE(2025,3,31)),Sales_Deals!J892,""),"")</f>
        <v>20</v>
      </c>
      <c r="C901" t="str">
        <f>IF(Sales_Deals!I892&lt;&gt;"",IF(AND(Sales_Deals!I892&gt;DATE(2024,3,31),Sales_Deals!I892&lt;=DATE(2024,9,30)),Sales_Deals!J892,""),"")</f>
        <v/>
      </c>
    </row>
    <row r="902" spans="1:3" x14ac:dyDescent="0.35">
      <c r="A902">
        <v>892</v>
      </c>
      <c r="B902" t="str">
        <f>IF(Sales_Deals!I893&lt;&gt;"",IF(AND(Sales_Deals!I893&gt;DATE(2024,9,30),Sales_Deals!I893&lt;=DATE(2025,3,31)),Sales_Deals!J893,""),"")</f>
        <v/>
      </c>
      <c r="C902">
        <f>IF(Sales_Deals!I893&lt;&gt;"",IF(AND(Sales_Deals!I893&gt;DATE(2024,3,31),Sales_Deals!I893&lt;=DATE(2024,9,30)),Sales_Deals!J893,""),"")</f>
        <v>148</v>
      </c>
    </row>
    <row r="903" spans="1:3" x14ac:dyDescent="0.35">
      <c r="A903">
        <v>893</v>
      </c>
      <c r="B903" t="str">
        <f>IF(Sales_Deals!I894&lt;&gt;"",IF(AND(Sales_Deals!I894&gt;DATE(2024,9,30),Sales_Deals!I894&lt;=DATE(2025,3,31)),Sales_Deals!J894,""),"")</f>
        <v/>
      </c>
      <c r="C903" t="str">
        <f>IF(Sales_Deals!I894&lt;&gt;"",IF(AND(Sales_Deals!I894&gt;DATE(2024,3,31),Sales_Deals!I894&lt;=DATE(2024,9,30)),Sales_Deals!J894,""),"")</f>
        <v/>
      </c>
    </row>
    <row r="904" spans="1:3" x14ac:dyDescent="0.35">
      <c r="A904">
        <v>894</v>
      </c>
      <c r="B904" t="str">
        <f>IF(Sales_Deals!I895&lt;&gt;"",IF(AND(Sales_Deals!I895&gt;DATE(2024,9,30),Sales_Deals!I895&lt;=DATE(2025,3,31)),Sales_Deals!J895,""),"")</f>
        <v/>
      </c>
      <c r="C904" t="str">
        <f>IF(Sales_Deals!I895&lt;&gt;"",IF(AND(Sales_Deals!I895&gt;DATE(2024,3,31),Sales_Deals!I895&lt;=DATE(2024,9,30)),Sales_Deals!J895,""),"")</f>
        <v/>
      </c>
    </row>
    <row r="905" spans="1:3" x14ac:dyDescent="0.35">
      <c r="A905">
        <v>895</v>
      </c>
      <c r="B905" t="str">
        <f>IF(Sales_Deals!I896&lt;&gt;"",IF(AND(Sales_Deals!I896&gt;DATE(2024,9,30),Sales_Deals!I896&lt;=DATE(2025,3,31)),Sales_Deals!J896,""),"")</f>
        <v/>
      </c>
      <c r="C905" t="str">
        <f>IF(Sales_Deals!I896&lt;&gt;"",IF(AND(Sales_Deals!I896&gt;DATE(2024,3,31),Sales_Deals!I896&lt;=DATE(2024,9,30)),Sales_Deals!J896,""),"")</f>
        <v/>
      </c>
    </row>
    <row r="906" spans="1:3" x14ac:dyDescent="0.35">
      <c r="A906">
        <v>896</v>
      </c>
      <c r="B906">
        <f>IF(Sales_Deals!I897&lt;&gt;"",IF(AND(Sales_Deals!I897&gt;DATE(2024,9,30),Sales_Deals!I897&lt;=DATE(2025,3,31)),Sales_Deals!J897,""),"")</f>
        <v>150</v>
      </c>
      <c r="C906" t="str">
        <f>IF(Sales_Deals!I897&lt;&gt;"",IF(AND(Sales_Deals!I897&gt;DATE(2024,3,31),Sales_Deals!I897&lt;=DATE(2024,9,30)),Sales_Deals!J897,""),"")</f>
        <v/>
      </c>
    </row>
    <row r="907" spans="1:3" x14ac:dyDescent="0.35">
      <c r="A907">
        <v>897</v>
      </c>
      <c r="B907" t="str">
        <f>IF(Sales_Deals!I898&lt;&gt;"",IF(AND(Sales_Deals!I898&gt;DATE(2024,9,30),Sales_Deals!I898&lt;=DATE(2025,3,31)),Sales_Deals!J898,""),"")</f>
        <v/>
      </c>
      <c r="C907" t="str">
        <f>IF(Sales_Deals!I898&lt;&gt;"",IF(AND(Sales_Deals!I898&gt;DATE(2024,3,31),Sales_Deals!I898&lt;=DATE(2024,9,30)),Sales_Deals!J898,""),"")</f>
        <v/>
      </c>
    </row>
    <row r="908" spans="1:3" x14ac:dyDescent="0.35">
      <c r="A908">
        <v>898</v>
      </c>
      <c r="B908" t="str">
        <f>IF(Sales_Deals!I899&lt;&gt;"",IF(AND(Sales_Deals!I899&gt;DATE(2024,9,30),Sales_Deals!I899&lt;=DATE(2025,3,31)),Sales_Deals!J899,""),"")</f>
        <v/>
      </c>
      <c r="C908" t="str">
        <f>IF(Sales_Deals!I899&lt;&gt;"",IF(AND(Sales_Deals!I899&gt;DATE(2024,3,31),Sales_Deals!I899&lt;=DATE(2024,9,30)),Sales_Deals!J899,""),"")</f>
        <v/>
      </c>
    </row>
    <row r="909" spans="1:3" x14ac:dyDescent="0.35">
      <c r="A909">
        <v>899</v>
      </c>
      <c r="B909" t="str">
        <f>IF(Sales_Deals!I900&lt;&gt;"",IF(AND(Sales_Deals!I900&gt;DATE(2024,9,30),Sales_Deals!I900&lt;=DATE(2025,3,31)),Sales_Deals!J900,""),"")</f>
        <v/>
      </c>
      <c r="C909">
        <f>IF(Sales_Deals!I900&lt;&gt;"",IF(AND(Sales_Deals!I900&gt;DATE(2024,3,31),Sales_Deals!I900&lt;=DATE(2024,9,30)),Sales_Deals!J900,""),"")</f>
        <v>177</v>
      </c>
    </row>
    <row r="910" spans="1:3" x14ac:dyDescent="0.35">
      <c r="A910">
        <v>900</v>
      </c>
      <c r="B910" t="str">
        <f>IF(Sales_Deals!I901&lt;&gt;"",IF(AND(Sales_Deals!I901&gt;DATE(2024,9,30),Sales_Deals!I901&lt;=DATE(2025,3,31)),Sales_Deals!J901,""),"")</f>
        <v/>
      </c>
      <c r="C910" t="str">
        <f>IF(Sales_Deals!I901&lt;&gt;"",IF(AND(Sales_Deals!I901&gt;DATE(2024,3,31),Sales_Deals!I901&lt;=DATE(2024,9,30)),Sales_Deals!J901,""),"")</f>
        <v/>
      </c>
    </row>
    <row r="911" spans="1:3" x14ac:dyDescent="0.35">
      <c r="A911">
        <v>901</v>
      </c>
      <c r="B911" t="str">
        <f>IF(Sales_Deals!I902&lt;&gt;"",IF(AND(Sales_Deals!I902&gt;DATE(2024,9,30),Sales_Deals!I902&lt;=DATE(2025,3,31)),Sales_Deals!J902,""),"")</f>
        <v/>
      </c>
      <c r="C911" t="str">
        <f>IF(Sales_Deals!I902&lt;&gt;"",IF(AND(Sales_Deals!I902&gt;DATE(2024,3,31),Sales_Deals!I902&lt;=DATE(2024,9,30)),Sales_Deals!J902,""),"")</f>
        <v/>
      </c>
    </row>
    <row r="912" spans="1:3" x14ac:dyDescent="0.35">
      <c r="A912">
        <v>902</v>
      </c>
      <c r="B912" t="str">
        <f>IF(Sales_Deals!I903&lt;&gt;"",IF(AND(Sales_Deals!I903&gt;DATE(2024,9,30),Sales_Deals!I903&lt;=DATE(2025,3,31)),Sales_Deals!J903,""),"")</f>
        <v/>
      </c>
      <c r="C912" t="str">
        <f>IF(Sales_Deals!I903&lt;&gt;"",IF(AND(Sales_Deals!I903&gt;DATE(2024,3,31),Sales_Deals!I903&lt;=DATE(2024,9,30)),Sales_Deals!J903,""),"")</f>
        <v/>
      </c>
    </row>
    <row r="913" spans="1:3" x14ac:dyDescent="0.35">
      <c r="A913">
        <v>903</v>
      </c>
      <c r="B913" t="str">
        <f>IF(Sales_Deals!I904&lt;&gt;"",IF(AND(Sales_Deals!I904&gt;DATE(2024,9,30),Sales_Deals!I904&lt;=DATE(2025,3,31)),Sales_Deals!J904,""),"")</f>
        <v/>
      </c>
      <c r="C913" t="str">
        <f>IF(Sales_Deals!I904&lt;&gt;"",IF(AND(Sales_Deals!I904&gt;DATE(2024,3,31),Sales_Deals!I904&lt;=DATE(2024,9,30)),Sales_Deals!J904,""),"")</f>
        <v/>
      </c>
    </row>
    <row r="914" spans="1:3" x14ac:dyDescent="0.35">
      <c r="A914">
        <v>904</v>
      </c>
      <c r="B914">
        <f>IF(Sales_Deals!I905&lt;&gt;"",IF(AND(Sales_Deals!I905&gt;DATE(2024,9,30),Sales_Deals!I905&lt;=DATE(2025,3,31)),Sales_Deals!J905,""),"")</f>
        <v>128</v>
      </c>
      <c r="C914" t="str">
        <f>IF(Sales_Deals!I905&lt;&gt;"",IF(AND(Sales_Deals!I905&gt;DATE(2024,3,31),Sales_Deals!I905&lt;=DATE(2024,9,30)),Sales_Deals!J905,""),"")</f>
        <v/>
      </c>
    </row>
    <row r="915" spans="1:3" x14ac:dyDescent="0.35">
      <c r="A915">
        <v>905</v>
      </c>
      <c r="B915" t="str">
        <f>IF(Sales_Deals!I906&lt;&gt;"",IF(AND(Sales_Deals!I906&gt;DATE(2024,9,30),Sales_Deals!I906&lt;=DATE(2025,3,31)),Sales_Deals!J906,""),"")</f>
        <v/>
      </c>
      <c r="C915" t="str">
        <f>IF(Sales_Deals!I906&lt;&gt;"",IF(AND(Sales_Deals!I906&gt;DATE(2024,3,31),Sales_Deals!I906&lt;=DATE(2024,9,30)),Sales_Deals!J906,""),"")</f>
        <v/>
      </c>
    </row>
    <row r="916" spans="1:3" x14ac:dyDescent="0.35">
      <c r="A916">
        <v>906</v>
      </c>
      <c r="B916" t="str">
        <f>IF(Sales_Deals!I907&lt;&gt;"",IF(AND(Sales_Deals!I907&gt;DATE(2024,9,30),Sales_Deals!I907&lt;=DATE(2025,3,31)),Sales_Deals!J907,""),"")</f>
        <v/>
      </c>
      <c r="C916" t="str">
        <f>IF(Sales_Deals!I907&lt;&gt;"",IF(AND(Sales_Deals!I907&gt;DATE(2024,3,31),Sales_Deals!I907&lt;=DATE(2024,9,30)),Sales_Deals!J907,""),"")</f>
        <v/>
      </c>
    </row>
    <row r="917" spans="1:3" x14ac:dyDescent="0.35">
      <c r="A917">
        <v>907</v>
      </c>
      <c r="B917" t="str">
        <f>IF(Sales_Deals!I908&lt;&gt;"",IF(AND(Sales_Deals!I908&gt;DATE(2024,9,30),Sales_Deals!I908&lt;=DATE(2025,3,31)),Sales_Deals!J908,""),"")</f>
        <v/>
      </c>
      <c r="C917" t="str">
        <f>IF(Sales_Deals!I908&lt;&gt;"",IF(AND(Sales_Deals!I908&gt;DATE(2024,3,31),Sales_Deals!I908&lt;=DATE(2024,9,30)),Sales_Deals!J908,""),"")</f>
        <v/>
      </c>
    </row>
    <row r="918" spans="1:3" x14ac:dyDescent="0.35">
      <c r="A918">
        <v>908</v>
      </c>
      <c r="B918">
        <f>IF(Sales_Deals!I909&lt;&gt;"",IF(AND(Sales_Deals!I909&gt;DATE(2024,9,30),Sales_Deals!I909&lt;=DATE(2025,3,31)),Sales_Deals!J909,""),"")</f>
        <v>71</v>
      </c>
      <c r="C918" t="str">
        <f>IF(Sales_Deals!I909&lt;&gt;"",IF(AND(Sales_Deals!I909&gt;DATE(2024,3,31),Sales_Deals!I909&lt;=DATE(2024,9,30)),Sales_Deals!J909,""),"")</f>
        <v/>
      </c>
    </row>
    <row r="919" spans="1:3" x14ac:dyDescent="0.35">
      <c r="A919">
        <v>909</v>
      </c>
      <c r="B919" t="str">
        <f>IF(Sales_Deals!I910&lt;&gt;"",IF(AND(Sales_Deals!I910&gt;DATE(2024,9,30),Sales_Deals!I910&lt;=DATE(2025,3,31)),Sales_Deals!J910,""),"")</f>
        <v/>
      </c>
      <c r="C919" t="str">
        <f>IF(Sales_Deals!I910&lt;&gt;"",IF(AND(Sales_Deals!I910&gt;DATE(2024,3,31),Sales_Deals!I910&lt;=DATE(2024,9,30)),Sales_Deals!J910,""),"")</f>
        <v/>
      </c>
    </row>
    <row r="920" spans="1:3" x14ac:dyDescent="0.35">
      <c r="A920">
        <v>910</v>
      </c>
      <c r="B920" t="str">
        <f>IF(Sales_Deals!I911&lt;&gt;"",IF(AND(Sales_Deals!I911&gt;DATE(2024,9,30),Sales_Deals!I911&lt;=DATE(2025,3,31)),Sales_Deals!J911,""),"")</f>
        <v/>
      </c>
      <c r="C920" t="str">
        <f>IF(Sales_Deals!I911&lt;&gt;"",IF(AND(Sales_Deals!I911&gt;DATE(2024,3,31),Sales_Deals!I911&lt;=DATE(2024,9,30)),Sales_Deals!J911,""),"")</f>
        <v/>
      </c>
    </row>
    <row r="921" spans="1:3" x14ac:dyDescent="0.35">
      <c r="A921">
        <v>911</v>
      </c>
      <c r="B921" t="str">
        <f>IF(Sales_Deals!I912&lt;&gt;"",IF(AND(Sales_Deals!I912&gt;DATE(2024,9,30),Sales_Deals!I912&lt;=DATE(2025,3,31)),Sales_Deals!J912,""),"")</f>
        <v/>
      </c>
      <c r="C921" t="str">
        <f>IF(Sales_Deals!I912&lt;&gt;"",IF(AND(Sales_Deals!I912&gt;DATE(2024,3,31),Sales_Deals!I912&lt;=DATE(2024,9,30)),Sales_Deals!J912,""),"")</f>
        <v/>
      </c>
    </row>
    <row r="922" spans="1:3" x14ac:dyDescent="0.35">
      <c r="A922">
        <v>912</v>
      </c>
      <c r="B922" t="str">
        <f>IF(Sales_Deals!I913&lt;&gt;"",IF(AND(Sales_Deals!I913&gt;DATE(2024,9,30),Sales_Deals!I913&lt;=DATE(2025,3,31)),Sales_Deals!J913,""),"")</f>
        <v/>
      </c>
      <c r="C922" t="str">
        <f>IF(Sales_Deals!I913&lt;&gt;"",IF(AND(Sales_Deals!I913&gt;DATE(2024,3,31),Sales_Deals!I913&lt;=DATE(2024,9,30)),Sales_Deals!J913,""),"")</f>
        <v/>
      </c>
    </row>
    <row r="923" spans="1:3" x14ac:dyDescent="0.35">
      <c r="A923">
        <v>913</v>
      </c>
      <c r="B923" t="str">
        <f>IF(Sales_Deals!I914&lt;&gt;"",IF(AND(Sales_Deals!I914&gt;DATE(2024,9,30),Sales_Deals!I914&lt;=DATE(2025,3,31)),Sales_Deals!J914,""),"")</f>
        <v/>
      </c>
      <c r="C923" t="str">
        <f>IF(Sales_Deals!I914&lt;&gt;"",IF(AND(Sales_Deals!I914&gt;DATE(2024,3,31),Sales_Deals!I914&lt;=DATE(2024,9,30)),Sales_Deals!J914,""),"")</f>
        <v/>
      </c>
    </row>
    <row r="924" spans="1:3" x14ac:dyDescent="0.35">
      <c r="A924">
        <v>914</v>
      </c>
      <c r="B924" t="str">
        <f>IF(Sales_Deals!I915&lt;&gt;"",IF(AND(Sales_Deals!I915&gt;DATE(2024,9,30),Sales_Deals!I915&lt;=DATE(2025,3,31)),Sales_Deals!J915,""),"")</f>
        <v/>
      </c>
      <c r="C924" t="str">
        <f>IF(Sales_Deals!I915&lt;&gt;"",IF(AND(Sales_Deals!I915&gt;DATE(2024,3,31),Sales_Deals!I915&lt;=DATE(2024,9,30)),Sales_Deals!J915,""),"")</f>
        <v/>
      </c>
    </row>
    <row r="925" spans="1:3" x14ac:dyDescent="0.35">
      <c r="A925">
        <v>915</v>
      </c>
      <c r="B925" t="str">
        <f>IF(Sales_Deals!I916&lt;&gt;"",IF(AND(Sales_Deals!I916&gt;DATE(2024,9,30),Sales_Deals!I916&lt;=DATE(2025,3,31)),Sales_Deals!J916,""),"")</f>
        <v/>
      </c>
      <c r="C925" t="str">
        <f>IF(Sales_Deals!I916&lt;&gt;"",IF(AND(Sales_Deals!I916&gt;DATE(2024,3,31),Sales_Deals!I916&lt;=DATE(2024,9,30)),Sales_Deals!J916,""),"")</f>
        <v/>
      </c>
    </row>
    <row r="926" spans="1:3" x14ac:dyDescent="0.35">
      <c r="A926">
        <v>916</v>
      </c>
      <c r="B926" t="str">
        <f>IF(Sales_Deals!I917&lt;&gt;"",IF(AND(Sales_Deals!I917&gt;DATE(2024,9,30),Sales_Deals!I917&lt;=DATE(2025,3,31)),Sales_Deals!J917,""),"")</f>
        <v/>
      </c>
      <c r="C926" t="str">
        <f>IF(Sales_Deals!I917&lt;&gt;"",IF(AND(Sales_Deals!I917&gt;DATE(2024,3,31),Sales_Deals!I917&lt;=DATE(2024,9,30)),Sales_Deals!J917,""),"")</f>
        <v/>
      </c>
    </row>
    <row r="927" spans="1:3" x14ac:dyDescent="0.35">
      <c r="A927">
        <v>917</v>
      </c>
      <c r="B927" t="str">
        <f>IF(Sales_Deals!I918&lt;&gt;"",IF(AND(Sales_Deals!I918&gt;DATE(2024,9,30),Sales_Deals!I918&lt;=DATE(2025,3,31)),Sales_Deals!J918,""),"")</f>
        <v/>
      </c>
      <c r="C927" t="str">
        <f>IF(Sales_Deals!I918&lt;&gt;"",IF(AND(Sales_Deals!I918&gt;DATE(2024,3,31),Sales_Deals!I918&lt;=DATE(2024,9,30)),Sales_Deals!J918,""),"")</f>
        <v/>
      </c>
    </row>
    <row r="928" spans="1:3" x14ac:dyDescent="0.35">
      <c r="A928">
        <v>918</v>
      </c>
      <c r="B928" t="str">
        <f>IF(Sales_Deals!I919&lt;&gt;"",IF(AND(Sales_Deals!I919&gt;DATE(2024,9,30),Sales_Deals!I919&lt;=DATE(2025,3,31)),Sales_Deals!J919,""),"")</f>
        <v/>
      </c>
      <c r="C928" t="str">
        <f>IF(Sales_Deals!I919&lt;&gt;"",IF(AND(Sales_Deals!I919&gt;DATE(2024,3,31),Sales_Deals!I919&lt;=DATE(2024,9,30)),Sales_Deals!J919,""),"")</f>
        <v/>
      </c>
    </row>
    <row r="929" spans="1:3" x14ac:dyDescent="0.35">
      <c r="A929">
        <v>919</v>
      </c>
      <c r="B929" t="str">
        <f>IF(Sales_Deals!I920&lt;&gt;"",IF(AND(Sales_Deals!I920&gt;DATE(2024,9,30),Sales_Deals!I920&lt;=DATE(2025,3,31)),Sales_Deals!J920,""),"")</f>
        <v/>
      </c>
      <c r="C929" t="str">
        <f>IF(Sales_Deals!I920&lt;&gt;"",IF(AND(Sales_Deals!I920&gt;DATE(2024,3,31),Sales_Deals!I920&lt;=DATE(2024,9,30)),Sales_Deals!J920,""),"")</f>
        <v/>
      </c>
    </row>
    <row r="930" spans="1:3" x14ac:dyDescent="0.35">
      <c r="A930">
        <v>920</v>
      </c>
      <c r="B930" t="str">
        <f>IF(Sales_Deals!I921&lt;&gt;"",IF(AND(Sales_Deals!I921&gt;DATE(2024,9,30),Sales_Deals!I921&lt;=DATE(2025,3,31)),Sales_Deals!J921,""),"")</f>
        <v/>
      </c>
      <c r="C930" t="str">
        <f>IF(Sales_Deals!I921&lt;&gt;"",IF(AND(Sales_Deals!I921&gt;DATE(2024,3,31),Sales_Deals!I921&lt;=DATE(2024,9,30)),Sales_Deals!J921,""),"")</f>
        <v/>
      </c>
    </row>
    <row r="931" spans="1:3" x14ac:dyDescent="0.35">
      <c r="A931">
        <v>921</v>
      </c>
      <c r="B931" t="str">
        <f>IF(Sales_Deals!I922&lt;&gt;"",IF(AND(Sales_Deals!I922&gt;DATE(2024,9,30),Sales_Deals!I922&lt;=DATE(2025,3,31)),Sales_Deals!J922,""),"")</f>
        <v/>
      </c>
      <c r="C931" t="str">
        <f>IF(Sales_Deals!I922&lt;&gt;"",IF(AND(Sales_Deals!I922&gt;DATE(2024,3,31),Sales_Deals!I922&lt;=DATE(2024,9,30)),Sales_Deals!J922,""),"")</f>
        <v/>
      </c>
    </row>
    <row r="932" spans="1:3" x14ac:dyDescent="0.35">
      <c r="A932">
        <v>922</v>
      </c>
      <c r="B932" t="str">
        <f>IF(Sales_Deals!I923&lt;&gt;"",IF(AND(Sales_Deals!I923&gt;DATE(2024,9,30),Sales_Deals!I923&lt;=DATE(2025,3,31)),Sales_Deals!J923,""),"")</f>
        <v/>
      </c>
      <c r="C932">
        <f>IF(Sales_Deals!I923&lt;&gt;"",IF(AND(Sales_Deals!I923&gt;DATE(2024,3,31),Sales_Deals!I923&lt;=DATE(2024,9,30)),Sales_Deals!J923,""),"")</f>
        <v>173</v>
      </c>
    </row>
    <row r="933" spans="1:3" x14ac:dyDescent="0.35">
      <c r="A933">
        <v>923</v>
      </c>
      <c r="B933" t="str">
        <f>IF(Sales_Deals!I924&lt;&gt;"",IF(AND(Sales_Deals!I924&gt;DATE(2024,9,30),Sales_Deals!I924&lt;=DATE(2025,3,31)),Sales_Deals!J924,""),"")</f>
        <v/>
      </c>
      <c r="C933" t="str">
        <f>IF(Sales_Deals!I924&lt;&gt;"",IF(AND(Sales_Deals!I924&gt;DATE(2024,3,31),Sales_Deals!I924&lt;=DATE(2024,9,30)),Sales_Deals!J924,""),"")</f>
        <v/>
      </c>
    </row>
    <row r="934" spans="1:3" x14ac:dyDescent="0.35">
      <c r="A934">
        <v>924</v>
      </c>
      <c r="B934" t="str">
        <f>IF(Sales_Deals!I925&lt;&gt;"",IF(AND(Sales_Deals!I925&gt;DATE(2024,9,30),Sales_Deals!I925&lt;=DATE(2025,3,31)),Sales_Deals!J925,""),"")</f>
        <v/>
      </c>
      <c r="C934" t="str">
        <f>IF(Sales_Deals!I925&lt;&gt;"",IF(AND(Sales_Deals!I925&gt;DATE(2024,3,31),Sales_Deals!I925&lt;=DATE(2024,9,30)),Sales_Deals!J925,""),"")</f>
        <v/>
      </c>
    </row>
    <row r="935" spans="1:3" x14ac:dyDescent="0.35">
      <c r="A935">
        <v>925</v>
      </c>
      <c r="B935" t="str">
        <f>IF(Sales_Deals!I926&lt;&gt;"",IF(AND(Sales_Deals!I926&gt;DATE(2024,9,30),Sales_Deals!I926&lt;=DATE(2025,3,31)),Sales_Deals!J926,""),"")</f>
        <v/>
      </c>
      <c r="C935" t="str">
        <f>IF(Sales_Deals!I926&lt;&gt;"",IF(AND(Sales_Deals!I926&gt;DATE(2024,3,31),Sales_Deals!I926&lt;=DATE(2024,9,30)),Sales_Deals!J926,""),"")</f>
        <v/>
      </c>
    </row>
    <row r="936" spans="1:3" x14ac:dyDescent="0.35">
      <c r="A936">
        <v>926</v>
      </c>
      <c r="B936" t="str">
        <f>IF(Sales_Deals!I927&lt;&gt;"",IF(AND(Sales_Deals!I927&gt;DATE(2024,9,30),Sales_Deals!I927&lt;=DATE(2025,3,31)),Sales_Deals!J927,""),"")</f>
        <v/>
      </c>
      <c r="C936" t="str">
        <f>IF(Sales_Deals!I927&lt;&gt;"",IF(AND(Sales_Deals!I927&gt;DATE(2024,3,31),Sales_Deals!I927&lt;=DATE(2024,9,30)),Sales_Deals!J927,""),"")</f>
        <v/>
      </c>
    </row>
    <row r="937" spans="1:3" x14ac:dyDescent="0.35">
      <c r="A937">
        <v>927</v>
      </c>
      <c r="B937" t="str">
        <f>IF(Sales_Deals!I928&lt;&gt;"",IF(AND(Sales_Deals!I928&gt;DATE(2024,9,30),Sales_Deals!I928&lt;=DATE(2025,3,31)),Sales_Deals!J928,""),"")</f>
        <v/>
      </c>
      <c r="C937" t="str">
        <f>IF(Sales_Deals!I928&lt;&gt;"",IF(AND(Sales_Deals!I928&gt;DATE(2024,3,31),Sales_Deals!I928&lt;=DATE(2024,9,30)),Sales_Deals!J928,""),"")</f>
        <v/>
      </c>
    </row>
    <row r="938" spans="1:3" x14ac:dyDescent="0.35">
      <c r="A938">
        <v>928</v>
      </c>
      <c r="B938" t="str">
        <f>IF(Sales_Deals!I929&lt;&gt;"",IF(AND(Sales_Deals!I929&gt;DATE(2024,9,30),Sales_Deals!I929&lt;=DATE(2025,3,31)),Sales_Deals!J929,""),"")</f>
        <v/>
      </c>
      <c r="C938" t="str">
        <f>IF(Sales_Deals!I929&lt;&gt;"",IF(AND(Sales_Deals!I929&gt;DATE(2024,3,31),Sales_Deals!I929&lt;=DATE(2024,9,30)),Sales_Deals!J929,""),"")</f>
        <v/>
      </c>
    </row>
    <row r="939" spans="1:3" x14ac:dyDescent="0.35">
      <c r="A939">
        <v>929</v>
      </c>
      <c r="B939" t="str">
        <f>IF(Sales_Deals!I930&lt;&gt;"",IF(AND(Sales_Deals!I930&gt;DATE(2024,9,30),Sales_Deals!I930&lt;=DATE(2025,3,31)),Sales_Deals!J930,""),"")</f>
        <v/>
      </c>
      <c r="C939" t="str">
        <f>IF(Sales_Deals!I930&lt;&gt;"",IF(AND(Sales_Deals!I930&gt;DATE(2024,3,31),Sales_Deals!I930&lt;=DATE(2024,9,30)),Sales_Deals!J930,""),"")</f>
        <v/>
      </c>
    </row>
    <row r="940" spans="1:3" x14ac:dyDescent="0.35">
      <c r="A940">
        <v>930</v>
      </c>
      <c r="B940" t="str">
        <f>IF(Sales_Deals!I931&lt;&gt;"",IF(AND(Sales_Deals!I931&gt;DATE(2024,9,30),Sales_Deals!I931&lt;=DATE(2025,3,31)),Sales_Deals!J931,""),"")</f>
        <v/>
      </c>
      <c r="C940" t="str">
        <f>IF(Sales_Deals!I931&lt;&gt;"",IF(AND(Sales_Deals!I931&gt;DATE(2024,3,31),Sales_Deals!I931&lt;=DATE(2024,9,30)),Sales_Deals!J931,""),"")</f>
        <v/>
      </c>
    </row>
    <row r="941" spans="1:3" x14ac:dyDescent="0.35">
      <c r="A941">
        <v>931</v>
      </c>
      <c r="B941" t="str">
        <f>IF(Sales_Deals!I932&lt;&gt;"",IF(AND(Sales_Deals!I932&gt;DATE(2024,9,30),Sales_Deals!I932&lt;=DATE(2025,3,31)),Sales_Deals!J932,""),"")</f>
        <v/>
      </c>
      <c r="C941" t="str">
        <f>IF(Sales_Deals!I932&lt;&gt;"",IF(AND(Sales_Deals!I932&gt;DATE(2024,3,31),Sales_Deals!I932&lt;=DATE(2024,9,30)),Sales_Deals!J932,""),"")</f>
        <v/>
      </c>
    </row>
    <row r="942" spans="1:3" x14ac:dyDescent="0.35">
      <c r="A942">
        <v>932</v>
      </c>
      <c r="B942" t="str">
        <f>IF(Sales_Deals!I933&lt;&gt;"",IF(AND(Sales_Deals!I933&gt;DATE(2024,9,30),Sales_Deals!I933&lt;=DATE(2025,3,31)),Sales_Deals!J933,""),"")</f>
        <v/>
      </c>
      <c r="C942" t="str">
        <f>IF(Sales_Deals!I933&lt;&gt;"",IF(AND(Sales_Deals!I933&gt;DATE(2024,3,31),Sales_Deals!I933&lt;=DATE(2024,9,30)),Sales_Deals!J933,""),"")</f>
        <v/>
      </c>
    </row>
    <row r="943" spans="1:3" x14ac:dyDescent="0.35">
      <c r="A943">
        <v>933</v>
      </c>
      <c r="B943" t="str">
        <f>IF(Sales_Deals!I934&lt;&gt;"",IF(AND(Sales_Deals!I934&gt;DATE(2024,9,30),Sales_Deals!I934&lt;=DATE(2025,3,31)),Sales_Deals!J934,""),"")</f>
        <v/>
      </c>
      <c r="C943" t="str">
        <f>IF(Sales_Deals!I934&lt;&gt;"",IF(AND(Sales_Deals!I934&gt;DATE(2024,3,31),Sales_Deals!I934&lt;=DATE(2024,9,30)),Sales_Deals!J934,""),"")</f>
        <v/>
      </c>
    </row>
    <row r="944" spans="1:3" x14ac:dyDescent="0.35">
      <c r="A944">
        <v>934</v>
      </c>
      <c r="B944" t="str">
        <f>IF(Sales_Deals!I935&lt;&gt;"",IF(AND(Sales_Deals!I935&gt;DATE(2024,9,30),Sales_Deals!I935&lt;=DATE(2025,3,31)),Sales_Deals!J935,""),"")</f>
        <v/>
      </c>
      <c r="C944" t="str">
        <f>IF(Sales_Deals!I935&lt;&gt;"",IF(AND(Sales_Deals!I935&gt;DATE(2024,3,31),Sales_Deals!I935&lt;=DATE(2024,9,30)),Sales_Deals!J935,""),"")</f>
        <v/>
      </c>
    </row>
    <row r="945" spans="1:3" x14ac:dyDescent="0.35">
      <c r="A945">
        <v>935</v>
      </c>
      <c r="B945" t="str">
        <f>IF(Sales_Deals!I936&lt;&gt;"",IF(AND(Sales_Deals!I936&gt;DATE(2024,9,30),Sales_Deals!I936&lt;=DATE(2025,3,31)),Sales_Deals!J936,""),"")</f>
        <v/>
      </c>
      <c r="C945" t="str">
        <f>IF(Sales_Deals!I936&lt;&gt;"",IF(AND(Sales_Deals!I936&gt;DATE(2024,3,31),Sales_Deals!I936&lt;=DATE(2024,9,30)),Sales_Deals!J936,""),"")</f>
        <v/>
      </c>
    </row>
    <row r="946" spans="1:3" x14ac:dyDescent="0.35">
      <c r="A946">
        <v>936</v>
      </c>
      <c r="B946" t="str">
        <f>IF(Sales_Deals!I937&lt;&gt;"",IF(AND(Sales_Deals!I937&gt;DATE(2024,9,30),Sales_Deals!I937&lt;=DATE(2025,3,31)),Sales_Deals!J937,""),"")</f>
        <v/>
      </c>
      <c r="C946" t="str">
        <f>IF(Sales_Deals!I937&lt;&gt;"",IF(AND(Sales_Deals!I937&gt;DATE(2024,3,31),Sales_Deals!I937&lt;=DATE(2024,9,30)),Sales_Deals!J937,""),"")</f>
        <v/>
      </c>
    </row>
    <row r="947" spans="1:3" x14ac:dyDescent="0.35">
      <c r="A947">
        <v>937</v>
      </c>
      <c r="B947">
        <f>IF(Sales_Deals!I938&lt;&gt;"",IF(AND(Sales_Deals!I938&gt;DATE(2024,9,30),Sales_Deals!I938&lt;=DATE(2025,3,31)),Sales_Deals!J938,""),"")</f>
        <v>162</v>
      </c>
      <c r="C947" t="str">
        <f>IF(Sales_Deals!I938&lt;&gt;"",IF(AND(Sales_Deals!I938&gt;DATE(2024,3,31),Sales_Deals!I938&lt;=DATE(2024,9,30)),Sales_Deals!J938,""),"")</f>
        <v/>
      </c>
    </row>
    <row r="948" spans="1:3" x14ac:dyDescent="0.35">
      <c r="A948">
        <v>938</v>
      </c>
      <c r="B948" t="str">
        <f>IF(Sales_Deals!I939&lt;&gt;"",IF(AND(Sales_Deals!I939&gt;DATE(2024,9,30),Sales_Deals!I939&lt;=DATE(2025,3,31)),Sales_Deals!J939,""),"")</f>
        <v/>
      </c>
      <c r="C948" t="str">
        <f>IF(Sales_Deals!I939&lt;&gt;"",IF(AND(Sales_Deals!I939&gt;DATE(2024,3,31),Sales_Deals!I939&lt;=DATE(2024,9,30)),Sales_Deals!J939,""),"")</f>
        <v/>
      </c>
    </row>
    <row r="949" spans="1:3" x14ac:dyDescent="0.35">
      <c r="A949">
        <v>939</v>
      </c>
      <c r="B949" t="str">
        <f>IF(Sales_Deals!I940&lt;&gt;"",IF(AND(Sales_Deals!I940&gt;DATE(2024,9,30),Sales_Deals!I940&lt;=DATE(2025,3,31)),Sales_Deals!J940,""),"")</f>
        <v/>
      </c>
      <c r="C949" t="str">
        <f>IF(Sales_Deals!I940&lt;&gt;"",IF(AND(Sales_Deals!I940&gt;DATE(2024,3,31),Sales_Deals!I940&lt;=DATE(2024,9,30)),Sales_Deals!J940,""),"")</f>
        <v/>
      </c>
    </row>
    <row r="950" spans="1:3" x14ac:dyDescent="0.35">
      <c r="A950">
        <v>940</v>
      </c>
      <c r="B950" t="str">
        <f>IF(Sales_Deals!I941&lt;&gt;"",IF(AND(Sales_Deals!I941&gt;DATE(2024,9,30),Sales_Deals!I941&lt;=DATE(2025,3,31)),Sales_Deals!J941,""),"")</f>
        <v/>
      </c>
      <c r="C950" t="str">
        <f>IF(Sales_Deals!I941&lt;&gt;"",IF(AND(Sales_Deals!I941&gt;DATE(2024,3,31),Sales_Deals!I941&lt;=DATE(2024,9,30)),Sales_Deals!J941,""),"")</f>
        <v/>
      </c>
    </row>
    <row r="951" spans="1:3" x14ac:dyDescent="0.35">
      <c r="A951">
        <v>941</v>
      </c>
      <c r="B951" t="str">
        <f>IF(Sales_Deals!I942&lt;&gt;"",IF(AND(Sales_Deals!I942&gt;DATE(2024,9,30),Sales_Deals!I942&lt;=DATE(2025,3,31)),Sales_Deals!J942,""),"")</f>
        <v/>
      </c>
      <c r="C951" t="str">
        <f>IF(Sales_Deals!I942&lt;&gt;"",IF(AND(Sales_Deals!I942&gt;DATE(2024,3,31),Sales_Deals!I942&lt;=DATE(2024,9,30)),Sales_Deals!J942,""),"")</f>
        <v/>
      </c>
    </row>
    <row r="952" spans="1:3" x14ac:dyDescent="0.35">
      <c r="A952">
        <v>942</v>
      </c>
      <c r="B952" t="str">
        <f>IF(Sales_Deals!I943&lt;&gt;"",IF(AND(Sales_Deals!I943&gt;DATE(2024,9,30),Sales_Deals!I943&lt;=DATE(2025,3,31)),Sales_Deals!J943,""),"")</f>
        <v/>
      </c>
      <c r="C952" t="str">
        <f>IF(Sales_Deals!I943&lt;&gt;"",IF(AND(Sales_Deals!I943&gt;DATE(2024,3,31),Sales_Deals!I943&lt;=DATE(2024,9,30)),Sales_Deals!J943,""),"")</f>
        <v/>
      </c>
    </row>
    <row r="953" spans="1:3" x14ac:dyDescent="0.35">
      <c r="A953">
        <v>943</v>
      </c>
      <c r="B953" t="str">
        <f>IF(Sales_Deals!I944&lt;&gt;"",IF(AND(Sales_Deals!I944&gt;DATE(2024,9,30),Sales_Deals!I944&lt;=DATE(2025,3,31)),Sales_Deals!J944,""),"")</f>
        <v/>
      </c>
      <c r="C953" t="str">
        <f>IF(Sales_Deals!I944&lt;&gt;"",IF(AND(Sales_Deals!I944&gt;DATE(2024,3,31),Sales_Deals!I944&lt;=DATE(2024,9,30)),Sales_Deals!J944,""),"")</f>
        <v/>
      </c>
    </row>
    <row r="954" spans="1:3" x14ac:dyDescent="0.35">
      <c r="A954">
        <v>944</v>
      </c>
      <c r="B954" t="str">
        <f>IF(Sales_Deals!I945&lt;&gt;"",IF(AND(Sales_Deals!I945&gt;DATE(2024,9,30),Sales_Deals!I945&lt;=DATE(2025,3,31)),Sales_Deals!J945,""),"")</f>
        <v/>
      </c>
      <c r="C954">
        <f>IF(Sales_Deals!I945&lt;&gt;"",IF(AND(Sales_Deals!I945&gt;DATE(2024,3,31),Sales_Deals!I945&lt;=DATE(2024,9,30)),Sales_Deals!J945,""),"")</f>
        <v>127</v>
      </c>
    </row>
    <row r="955" spans="1:3" x14ac:dyDescent="0.35">
      <c r="A955">
        <v>945</v>
      </c>
      <c r="B955" t="str">
        <f>IF(Sales_Deals!I946&lt;&gt;"",IF(AND(Sales_Deals!I946&gt;DATE(2024,9,30),Sales_Deals!I946&lt;=DATE(2025,3,31)),Sales_Deals!J946,""),"")</f>
        <v/>
      </c>
      <c r="C955" t="str">
        <f>IF(Sales_Deals!I946&lt;&gt;"",IF(AND(Sales_Deals!I946&gt;DATE(2024,3,31),Sales_Deals!I946&lt;=DATE(2024,9,30)),Sales_Deals!J946,""),"")</f>
        <v/>
      </c>
    </row>
    <row r="956" spans="1:3" x14ac:dyDescent="0.35">
      <c r="A956">
        <v>946</v>
      </c>
      <c r="B956" t="str">
        <f>IF(Sales_Deals!I947&lt;&gt;"",IF(AND(Sales_Deals!I947&gt;DATE(2024,9,30),Sales_Deals!I947&lt;=DATE(2025,3,31)),Sales_Deals!J947,""),"")</f>
        <v/>
      </c>
      <c r="C956" t="str">
        <f>IF(Sales_Deals!I947&lt;&gt;"",IF(AND(Sales_Deals!I947&gt;DATE(2024,3,31),Sales_Deals!I947&lt;=DATE(2024,9,30)),Sales_Deals!J947,""),"")</f>
        <v/>
      </c>
    </row>
    <row r="957" spans="1:3" x14ac:dyDescent="0.35">
      <c r="A957">
        <v>947</v>
      </c>
      <c r="B957" t="str">
        <f>IF(Sales_Deals!I948&lt;&gt;"",IF(AND(Sales_Deals!I948&gt;DATE(2024,9,30),Sales_Deals!I948&lt;=DATE(2025,3,31)),Sales_Deals!J948,""),"")</f>
        <v/>
      </c>
      <c r="C957" t="str">
        <f>IF(Sales_Deals!I948&lt;&gt;"",IF(AND(Sales_Deals!I948&gt;DATE(2024,3,31),Sales_Deals!I948&lt;=DATE(2024,9,30)),Sales_Deals!J948,""),"")</f>
        <v/>
      </c>
    </row>
    <row r="958" spans="1:3" x14ac:dyDescent="0.35">
      <c r="A958">
        <v>948</v>
      </c>
      <c r="B958" t="str">
        <f>IF(Sales_Deals!I949&lt;&gt;"",IF(AND(Sales_Deals!I949&gt;DATE(2024,9,30),Sales_Deals!I949&lt;=DATE(2025,3,31)),Sales_Deals!J949,""),"")</f>
        <v/>
      </c>
      <c r="C958" t="str">
        <f>IF(Sales_Deals!I949&lt;&gt;"",IF(AND(Sales_Deals!I949&gt;DATE(2024,3,31),Sales_Deals!I949&lt;=DATE(2024,9,30)),Sales_Deals!J949,""),"")</f>
        <v/>
      </c>
    </row>
    <row r="959" spans="1:3" x14ac:dyDescent="0.35">
      <c r="A959">
        <v>949</v>
      </c>
      <c r="B959" t="str">
        <f>IF(Sales_Deals!I950&lt;&gt;"",IF(AND(Sales_Deals!I950&gt;DATE(2024,9,30),Sales_Deals!I950&lt;=DATE(2025,3,31)),Sales_Deals!J950,""),"")</f>
        <v/>
      </c>
      <c r="C959" t="str">
        <f>IF(Sales_Deals!I950&lt;&gt;"",IF(AND(Sales_Deals!I950&gt;DATE(2024,3,31),Sales_Deals!I950&lt;=DATE(2024,9,30)),Sales_Deals!J950,""),"")</f>
        <v/>
      </c>
    </row>
    <row r="960" spans="1:3" x14ac:dyDescent="0.35">
      <c r="A960">
        <v>950</v>
      </c>
      <c r="B960" t="str">
        <f>IF(Sales_Deals!I951&lt;&gt;"",IF(AND(Sales_Deals!I951&gt;DATE(2024,9,30),Sales_Deals!I951&lt;=DATE(2025,3,31)),Sales_Deals!J951,""),"")</f>
        <v/>
      </c>
      <c r="C960" t="str">
        <f>IF(Sales_Deals!I951&lt;&gt;"",IF(AND(Sales_Deals!I951&gt;DATE(2024,3,31),Sales_Deals!I951&lt;=DATE(2024,9,30)),Sales_Deals!J951,""),"")</f>
        <v/>
      </c>
    </row>
    <row r="961" spans="1:3" x14ac:dyDescent="0.35">
      <c r="A961">
        <v>951</v>
      </c>
      <c r="B961" t="str">
        <f>IF(Sales_Deals!I952&lt;&gt;"",IF(AND(Sales_Deals!I952&gt;DATE(2024,9,30),Sales_Deals!I952&lt;=DATE(2025,3,31)),Sales_Deals!J952,""),"")</f>
        <v/>
      </c>
      <c r="C961" t="str">
        <f>IF(Sales_Deals!I952&lt;&gt;"",IF(AND(Sales_Deals!I952&gt;DATE(2024,3,31),Sales_Deals!I952&lt;=DATE(2024,9,30)),Sales_Deals!J952,""),"")</f>
        <v/>
      </c>
    </row>
    <row r="962" spans="1:3" x14ac:dyDescent="0.35">
      <c r="A962">
        <v>952</v>
      </c>
      <c r="B962" t="str">
        <f>IF(Sales_Deals!I953&lt;&gt;"",IF(AND(Sales_Deals!I953&gt;DATE(2024,9,30),Sales_Deals!I953&lt;=DATE(2025,3,31)),Sales_Deals!J953,""),"")</f>
        <v/>
      </c>
      <c r="C962" t="str">
        <f>IF(Sales_Deals!I953&lt;&gt;"",IF(AND(Sales_Deals!I953&gt;DATE(2024,3,31),Sales_Deals!I953&lt;=DATE(2024,9,30)),Sales_Deals!J953,""),"")</f>
        <v/>
      </c>
    </row>
    <row r="963" spans="1:3" x14ac:dyDescent="0.35">
      <c r="A963">
        <v>953</v>
      </c>
      <c r="B963" t="str">
        <f>IF(Sales_Deals!I954&lt;&gt;"",IF(AND(Sales_Deals!I954&gt;DATE(2024,9,30),Sales_Deals!I954&lt;=DATE(2025,3,31)),Sales_Deals!J954,""),"")</f>
        <v/>
      </c>
      <c r="C963" t="str">
        <f>IF(Sales_Deals!I954&lt;&gt;"",IF(AND(Sales_Deals!I954&gt;DATE(2024,3,31),Sales_Deals!I954&lt;=DATE(2024,9,30)),Sales_Deals!J954,""),"")</f>
        <v/>
      </c>
    </row>
    <row r="964" spans="1:3" x14ac:dyDescent="0.35">
      <c r="A964">
        <v>954</v>
      </c>
      <c r="B964" t="str">
        <f>IF(Sales_Deals!I955&lt;&gt;"",IF(AND(Sales_Deals!I955&gt;DATE(2024,9,30),Sales_Deals!I955&lt;=DATE(2025,3,31)),Sales_Deals!J955,""),"")</f>
        <v/>
      </c>
      <c r="C964" t="str">
        <f>IF(Sales_Deals!I955&lt;&gt;"",IF(AND(Sales_Deals!I955&gt;DATE(2024,3,31),Sales_Deals!I955&lt;=DATE(2024,9,30)),Sales_Deals!J955,""),"")</f>
        <v/>
      </c>
    </row>
    <row r="965" spans="1:3" x14ac:dyDescent="0.35">
      <c r="A965">
        <v>955</v>
      </c>
      <c r="B965" t="str">
        <f>IF(Sales_Deals!I956&lt;&gt;"",IF(AND(Sales_Deals!I956&gt;DATE(2024,9,30),Sales_Deals!I956&lt;=DATE(2025,3,31)),Sales_Deals!J956,""),"")</f>
        <v/>
      </c>
      <c r="C965" t="str">
        <f>IF(Sales_Deals!I956&lt;&gt;"",IF(AND(Sales_Deals!I956&gt;DATE(2024,3,31),Sales_Deals!I956&lt;=DATE(2024,9,30)),Sales_Deals!J956,""),"")</f>
        <v/>
      </c>
    </row>
    <row r="966" spans="1:3" x14ac:dyDescent="0.35">
      <c r="A966">
        <v>956</v>
      </c>
      <c r="B966" t="str">
        <f>IF(Sales_Deals!I957&lt;&gt;"",IF(AND(Sales_Deals!I957&gt;DATE(2024,9,30),Sales_Deals!I957&lt;=DATE(2025,3,31)),Sales_Deals!J957,""),"")</f>
        <v/>
      </c>
      <c r="C966" t="str">
        <f>IF(Sales_Deals!I957&lt;&gt;"",IF(AND(Sales_Deals!I957&gt;DATE(2024,3,31),Sales_Deals!I957&lt;=DATE(2024,9,30)),Sales_Deals!J957,""),"")</f>
        <v/>
      </c>
    </row>
    <row r="967" spans="1:3" x14ac:dyDescent="0.35">
      <c r="A967">
        <v>957</v>
      </c>
      <c r="B967" t="str">
        <f>IF(Sales_Deals!I958&lt;&gt;"",IF(AND(Sales_Deals!I958&gt;DATE(2024,9,30),Sales_Deals!I958&lt;=DATE(2025,3,31)),Sales_Deals!J958,""),"")</f>
        <v/>
      </c>
      <c r="C967" t="str">
        <f>IF(Sales_Deals!I958&lt;&gt;"",IF(AND(Sales_Deals!I958&gt;DATE(2024,3,31),Sales_Deals!I958&lt;=DATE(2024,9,30)),Sales_Deals!J958,""),"")</f>
        <v/>
      </c>
    </row>
    <row r="968" spans="1:3" x14ac:dyDescent="0.35">
      <c r="A968">
        <v>958</v>
      </c>
      <c r="B968" t="str">
        <f>IF(Sales_Deals!I959&lt;&gt;"",IF(AND(Sales_Deals!I959&gt;DATE(2024,9,30),Sales_Deals!I959&lt;=DATE(2025,3,31)),Sales_Deals!J959,""),"")</f>
        <v/>
      </c>
      <c r="C968" t="str">
        <f>IF(Sales_Deals!I959&lt;&gt;"",IF(AND(Sales_Deals!I959&gt;DATE(2024,3,31),Sales_Deals!I959&lt;=DATE(2024,9,30)),Sales_Deals!J959,""),"")</f>
        <v/>
      </c>
    </row>
    <row r="969" spans="1:3" x14ac:dyDescent="0.35">
      <c r="A969">
        <v>959</v>
      </c>
      <c r="B969" t="str">
        <f>IF(Sales_Deals!I960&lt;&gt;"",IF(AND(Sales_Deals!I960&gt;DATE(2024,9,30),Sales_Deals!I960&lt;=DATE(2025,3,31)),Sales_Deals!J960,""),"")</f>
        <v/>
      </c>
      <c r="C969" t="str">
        <f>IF(Sales_Deals!I960&lt;&gt;"",IF(AND(Sales_Deals!I960&gt;DATE(2024,3,31),Sales_Deals!I960&lt;=DATE(2024,9,30)),Sales_Deals!J960,""),"")</f>
        <v/>
      </c>
    </row>
    <row r="970" spans="1:3" x14ac:dyDescent="0.35">
      <c r="A970">
        <v>960</v>
      </c>
      <c r="B970" t="str">
        <f>IF(Sales_Deals!I961&lt;&gt;"",IF(AND(Sales_Deals!I961&gt;DATE(2024,9,30),Sales_Deals!I961&lt;=DATE(2025,3,31)),Sales_Deals!J961,""),"")</f>
        <v/>
      </c>
      <c r="C970" t="str">
        <f>IF(Sales_Deals!I961&lt;&gt;"",IF(AND(Sales_Deals!I961&gt;DATE(2024,3,31),Sales_Deals!I961&lt;=DATE(2024,9,30)),Sales_Deals!J961,""),"")</f>
        <v/>
      </c>
    </row>
    <row r="971" spans="1:3" x14ac:dyDescent="0.35">
      <c r="A971">
        <v>961</v>
      </c>
      <c r="B971" t="str">
        <f>IF(Sales_Deals!I962&lt;&gt;"",IF(AND(Sales_Deals!I962&gt;DATE(2024,9,30),Sales_Deals!I962&lt;=DATE(2025,3,31)),Sales_Deals!J962,""),"")</f>
        <v/>
      </c>
      <c r="C971" t="str">
        <f>IF(Sales_Deals!I962&lt;&gt;"",IF(AND(Sales_Deals!I962&gt;DATE(2024,3,31),Sales_Deals!I962&lt;=DATE(2024,9,30)),Sales_Deals!J962,""),"")</f>
        <v/>
      </c>
    </row>
    <row r="972" spans="1:3" x14ac:dyDescent="0.35">
      <c r="A972">
        <v>962</v>
      </c>
      <c r="B972" t="str">
        <f>IF(Sales_Deals!I963&lt;&gt;"",IF(AND(Sales_Deals!I963&gt;DATE(2024,9,30),Sales_Deals!I963&lt;=DATE(2025,3,31)),Sales_Deals!J963,""),"")</f>
        <v/>
      </c>
      <c r="C972" t="str">
        <f>IF(Sales_Deals!I963&lt;&gt;"",IF(AND(Sales_Deals!I963&gt;DATE(2024,3,31),Sales_Deals!I963&lt;=DATE(2024,9,30)),Sales_Deals!J963,""),"")</f>
        <v/>
      </c>
    </row>
    <row r="973" spans="1:3" x14ac:dyDescent="0.35">
      <c r="A973">
        <v>963</v>
      </c>
      <c r="B973">
        <f>IF(Sales_Deals!I964&lt;&gt;"",IF(AND(Sales_Deals!I964&gt;DATE(2024,9,30),Sales_Deals!I964&lt;=DATE(2025,3,31)),Sales_Deals!J964,""),"")</f>
        <v>33</v>
      </c>
      <c r="C973" t="str">
        <f>IF(Sales_Deals!I964&lt;&gt;"",IF(AND(Sales_Deals!I964&gt;DATE(2024,3,31),Sales_Deals!I964&lt;=DATE(2024,9,30)),Sales_Deals!J964,""),"")</f>
        <v/>
      </c>
    </row>
    <row r="974" spans="1:3" x14ac:dyDescent="0.35">
      <c r="A974">
        <v>964</v>
      </c>
      <c r="B974" t="str">
        <f>IF(Sales_Deals!I965&lt;&gt;"",IF(AND(Sales_Deals!I965&gt;DATE(2024,9,30),Sales_Deals!I965&lt;=DATE(2025,3,31)),Sales_Deals!J965,""),"")</f>
        <v/>
      </c>
      <c r="C974" t="str">
        <f>IF(Sales_Deals!I965&lt;&gt;"",IF(AND(Sales_Deals!I965&gt;DATE(2024,3,31),Sales_Deals!I965&lt;=DATE(2024,9,30)),Sales_Deals!J965,""),"")</f>
        <v/>
      </c>
    </row>
    <row r="975" spans="1:3" x14ac:dyDescent="0.35">
      <c r="A975">
        <v>965</v>
      </c>
      <c r="B975" t="str">
        <f>IF(Sales_Deals!I966&lt;&gt;"",IF(AND(Sales_Deals!I966&gt;DATE(2024,9,30),Sales_Deals!I966&lt;=DATE(2025,3,31)),Sales_Deals!J966,""),"")</f>
        <v/>
      </c>
      <c r="C975" t="str">
        <f>IF(Sales_Deals!I966&lt;&gt;"",IF(AND(Sales_Deals!I966&gt;DATE(2024,3,31),Sales_Deals!I966&lt;=DATE(2024,9,30)),Sales_Deals!J966,""),"")</f>
        <v/>
      </c>
    </row>
    <row r="976" spans="1:3" x14ac:dyDescent="0.35">
      <c r="A976">
        <v>966</v>
      </c>
      <c r="B976" t="str">
        <f>IF(Sales_Deals!I967&lt;&gt;"",IF(AND(Sales_Deals!I967&gt;DATE(2024,9,30),Sales_Deals!I967&lt;=DATE(2025,3,31)),Sales_Deals!J967,""),"")</f>
        <v/>
      </c>
      <c r="C976" t="str">
        <f>IF(Sales_Deals!I967&lt;&gt;"",IF(AND(Sales_Deals!I967&gt;DATE(2024,3,31),Sales_Deals!I967&lt;=DATE(2024,9,30)),Sales_Deals!J967,""),"")</f>
        <v/>
      </c>
    </row>
    <row r="977" spans="1:3" x14ac:dyDescent="0.35">
      <c r="A977">
        <v>967</v>
      </c>
      <c r="B977" t="str">
        <f>IF(Sales_Deals!I968&lt;&gt;"",IF(AND(Sales_Deals!I968&gt;DATE(2024,9,30),Sales_Deals!I968&lt;=DATE(2025,3,31)),Sales_Deals!J968,""),"")</f>
        <v/>
      </c>
      <c r="C977" t="str">
        <f>IF(Sales_Deals!I968&lt;&gt;"",IF(AND(Sales_Deals!I968&gt;DATE(2024,3,31),Sales_Deals!I968&lt;=DATE(2024,9,30)),Sales_Deals!J968,""),"")</f>
        <v/>
      </c>
    </row>
    <row r="978" spans="1:3" x14ac:dyDescent="0.35">
      <c r="A978">
        <v>968</v>
      </c>
      <c r="B978" t="str">
        <f>IF(Sales_Deals!I969&lt;&gt;"",IF(AND(Sales_Deals!I969&gt;DATE(2024,9,30),Sales_Deals!I969&lt;=DATE(2025,3,31)),Sales_Deals!J969,""),"")</f>
        <v/>
      </c>
      <c r="C978" t="str">
        <f>IF(Sales_Deals!I969&lt;&gt;"",IF(AND(Sales_Deals!I969&gt;DATE(2024,3,31),Sales_Deals!I969&lt;=DATE(2024,9,30)),Sales_Deals!J969,""),"")</f>
        <v/>
      </c>
    </row>
    <row r="979" spans="1:3" x14ac:dyDescent="0.35">
      <c r="A979">
        <v>969</v>
      </c>
      <c r="B979" t="str">
        <f>IF(Sales_Deals!I970&lt;&gt;"",IF(AND(Sales_Deals!I970&gt;DATE(2024,9,30),Sales_Deals!I970&lt;=DATE(2025,3,31)),Sales_Deals!J970,""),"")</f>
        <v/>
      </c>
      <c r="C979" t="str">
        <f>IF(Sales_Deals!I970&lt;&gt;"",IF(AND(Sales_Deals!I970&gt;DATE(2024,3,31),Sales_Deals!I970&lt;=DATE(2024,9,30)),Sales_Deals!J970,""),"")</f>
        <v/>
      </c>
    </row>
    <row r="980" spans="1:3" x14ac:dyDescent="0.35">
      <c r="A980">
        <v>970</v>
      </c>
      <c r="B980" t="str">
        <f>IF(Sales_Deals!I971&lt;&gt;"",IF(AND(Sales_Deals!I971&gt;DATE(2024,9,30),Sales_Deals!I971&lt;=DATE(2025,3,31)),Sales_Deals!J971,""),"")</f>
        <v/>
      </c>
      <c r="C980" t="str">
        <f>IF(Sales_Deals!I971&lt;&gt;"",IF(AND(Sales_Deals!I971&gt;DATE(2024,3,31),Sales_Deals!I971&lt;=DATE(2024,9,30)),Sales_Deals!J971,""),"")</f>
        <v/>
      </c>
    </row>
    <row r="981" spans="1:3" x14ac:dyDescent="0.35">
      <c r="A981">
        <v>971</v>
      </c>
      <c r="B981" t="str">
        <f>IF(Sales_Deals!I972&lt;&gt;"",IF(AND(Sales_Deals!I972&gt;DATE(2024,9,30),Sales_Deals!I972&lt;=DATE(2025,3,31)),Sales_Deals!J972,""),"")</f>
        <v/>
      </c>
      <c r="C981" t="str">
        <f>IF(Sales_Deals!I972&lt;&gt;"",IF(AND(Sales_Deals!I972&gt;DATE(2024,3,31),Sales_Deals!I972&lt;=DATE(2024,9,30)),Sales_Deals!J972,""),"")</f>
        <v/>
      </c>
    </row>
    <row r="982" spans="1:3" x14ac:dyDescent="0.35">
      <c r="A982">
        <v>972</v>
      </c>
      <c r="B982" t="str">
        <f>IF(Sales_Deals!I973&lt;&gt;"",IF(AND(Sales_Deals!I973&gt;DATE(2024,9,30),Sales_Deals!I973&lt;=DATE(2025,3,31)),Sales_Deals!J973,""),"")</f>
        <v/>
      </c>
      <c r="C982" t="str">
        <f>IF(Sales_Deals!I973&lt;&gt;"",IF(AND(Sales_Deals!I973&gt;DATE(2024,3,31),Sales_Deals!I973&lt;=DATE(2024,9,30)),Sales_Deals!J973,""),"")</f>
        <v/>
      </c>
    </row>
    <row r="983" spans="1:3" x14ac:dyDescent="0.35">
      <c r="A983">
        <v>973</v>
      </c>
      <c r="B983" t="str">
        <f>IF(Sales_Deals!I974&lt;&gt;"",IF(AND(Sales_Deals!I974&gt;DATE(2024,9,30),Sales_Deals!I974&lt;=DATE(2025,3,31)),Sales_Deals!J974,""),"")</f>
        <v/>
      </c>
      <c r="C983" t="str">
        <f>IF(Sales_Deals!I974&lt;&gt;"",IF(AND(Sales_Deals!I974&gt;DATE(2024,3,31),Sales_Deals!I974&lt;=DATE(2024,9,30)),Sales_Deals!J974,""),"")</f>
        <v/>
      </c>
    </row>
    <row r="984" spans="1:3" x14ac:dyDescent="0.35">
      <c r="A984">
        <v>974</v>
      </c>
      <c r="B984" t="str">
        <f>IF(Sales_Deals!I975&lt;&gt;"",IF(AND(Sales_Deals!I975&gt;DATE(2024,9,30),Sales_Deals!I975&lt;=DATE(2025,3,31)),Sales_Deals!J975,""),"")</f>
        <v/>
      </c>
      <c r="C984" t="str">
        <f>IF(Sales_Deals!I975&lt;&gt;"",IF(AND(Sales_Deals!I975&gt;DATE(2024,3,31),Sales_Deals!I975&lt;=DATE(2024,9,30)),Sales_Deals!J975,""),"")</f>
        <v/>
      </c>
    </row>
    <row r="985" spans="1:3" x14ac:dyDescent="0.35">
      <c r="A985">
        <v>975</v>
      </c>
      <c r="B985" t="str">
        <f>IF(Sales_Deals!I976&lt;&gt;"",IF(AND(Sales_Deals!I976&gt;DATE(2024,9,30),Sales_Deals!I976&lt;=DATE(2025,3,31)),Sales_Deals!J976,""),"")</f>
        <v/>
      </c>
      <c r="C985" t="str">
        <f>IF(Sales_Deals!I976&lt;&gt;"",IF(AND(Sales_Deals!I976&gt;DATE(2024,3,31),Sales_Deals!I976&lt;=DATE(2024,9,30)),Sales_Deals!J976,""),"")</f>
        <v/>
      </c>
    </row>
    <row r="986" spans="1:3" x14ac:dyDescent="0.35">
      <c r="A986">
        <v>976</v>
      </c>
      <c r="B986">
        <f>IF(Sales_Deals!I977&lt;&gt;"",IF(AND(Sales_Deals!I977&gt;DATE(2024,9,30),Sales_Deals!I977&lt;=DATE(2025,3,31)),Sales_Deals!J977,""),"")</f>
        <v>40</v>
      </c>
      <c r="C986" t="str">
        <f>IF(Sales_Deals!I977&lt;&gt;"",IF(AND(Sales_Deals!I977&gt;DATE(2024,3,31),Sales_Deals!I977&lt;=DATE(2024,9,30)),Sales_Deals!J977,""),"")</f>
        <v/>
      </c>
    </row>
    <row r="987" spans="1:3" x14ac:dyDescent="0.35">
      <c r="A987">
        <v>977</v>
      </c>
      <c r="B987" t="str">
        <f>IF(Sales_Deals!I978&lt;&gt;"",IF(AND(Sales_Deals!I978&gt;DATE(2024,9,30),Sales_Deals!I978&lt;=DATE(2025,3,31)),Sales_Deals!J978,""),"")</f>
        <v/>
      </c>
      <c r="C987" t="str">
        <f>IF(Sales_Deals!I978&lt;&gt;"",IF(AND(Sales_Deals!I978&gt;DATE(2024,3,31),Sales_Deals!I978&lt;=DATE(2024,9,30)),Sales_Deals!J978,""),"")</f>
        <v/>
      </c>
    </row>
    <row r="988" spans="1:3" x14ac:dyDescent="0.35">
      <c r="A988">
        <v>978</v>
      </c>
      <c r="B988" t="str">
        <f>IF(Sales_Deals!I979&lt;&gt;"",IF(AND(Sales_Deals!I979&gt;DATE(2024,9,30),Sales_Deals!I979&lt;=DATE(2025,3,31)),Sales_Deals!J979,""),"")</f>
        <v/>
      </c>
      <c r="C988" t="str">
        <f>IF(Sales_Deals!I979&lt;&gt;"",IF(AND(Sales_Deals!I979&gt;DATE(2024,3,31),Sales_Deals!I979&lt;=DATE(2024,9,30)),Sales_Deals!J979,""),"")</f>
        <v/>
      </c>
    </row>
    <row r="989" spans="1:3" x14ac:dyDescent="0.35">
      <c r="A989">
        <v>979</v>
      </c>
      <c r="B989" t="str">
        <f>IF(Sales_Deals!I980&lt;&gt;"",IF(AND(Sales_Deals!I980&gt;DATE(2024,9,30),Sales_Deals!I980&lt;=DATE(2025,3,31)),Sales_Deals!J980,""),"")</f>
        <v/>
      </c>
      <c r="C989" t="str">
        <f>IF(Sales_Deals!I980&lt;&gt;"",IF(AND(Sales_Deals!I980&gt;DATE(2024,3,31),Sales_Deals!I980&lt;=DATE(2024,9,30)),Sales_Deals!J980,""),"")</f>
        <v/>
      </c>
    </row>
    <row r="990" spans="1:3" x14ac:dyDescent="0.35">
      <c r="A990">
        <v>980</v>
      </c>
      <c r="B990" t="str">
        <f>IF(Sales_Deals!I981&lt;&gt;"",IF(AND(Sales_Deals!I981&gt;DATE(2024,9,30),Sales_Deals!I981&lt;=DATE(2025,3,31)),Sales_Deals!J981,""),"")</f>
        <v/>
      </c>
      <c r="C990" t="str">
        <f>IF(Sales_Deals!I981&lt;&gt;"",IF(AND(Sales_Deals!I981&gt;DATE(2024,3,31),Sales_Deals!I981&lt;=DATE(2024,9,30)),Sales_Deals!J981,""),"")</f>
        <v/>
      </c>
    </row>
    <row r="991" spans="1:3" x14ac:dyDescent="0.35">
      <c r="A991">
        <v>981</v>
      </c>
      <c r="B991" t="str">
        <f>IF(Sales_Deals!I982&lt;&gt;"",IF(AND(Sales_Deals!I982&gt;DATE(2024,9,30),Sales_Deals!I982&lt;=DATE(2025,3,31)),Sales_Deals!J982,""),"")</f>
        <v/>
      </c>
      <c r="C991" t="str">
        <f>IF(Sales_Deals!I982&lt;&gt;"",IF(AND(Sales_Deals!I982&gt;DATE(2024,3,31),Sales_Deals!I982&lt;=DATE(2024,9,30)),Sales_Deals!J982,""),"")</f>
        <v/>
      </c>
    </row>
    <row r="992" spans="1:3" x14ac:dyDescent="0.35">
      <c r="A992">
        <v>982</v>
      </c>
      <c r="B992" t="str">
        <f>IF(Sales_Deals!I983&lt;&gt;"",IF(AND(Sales_Deals!I983&gt;DATE(2024,9,30),Sales_Deals!I983&lt;=DATE(2025,3,31)),Sales_Deals!J983,""),"")</f>
        <v/>
      </c>
      <c r="C992" t="str">
        <f>IF(Sales_Deals!I983&lt;&gt;"",IF(AND(Sales_Deals!I983&gt;DATE(2024,3,31),Sales_Deals!I983&lt;=DATE(2024,9,30)),Sales_Deals!J983,""),"")</f>
        <v/>
      </c>
    </row>
    <row r="993" spans="1:3" x14ac:dyDescent="0.35">
      <c r="A993">
        <v>983</v>
      </c>
      <c r="B993" t="str">
        <f>IF(Sales_Deals!I984&lt;&gt;"",IF(AND(Sales_Deals!I984&gt;DATE(2024,9,30),Sales_Deals!I984&lt;=DATE(2025,3,31)),Sales_Deals!J984,""),"")</f>
        <v/>
      </c>
      <c r="C993" t="str">
        <f>IF(Sales_Deals!I984&lt;&gt;"",IF(AND(Sales_Deals!I984&gt;DATE(2024,3,31),Sales_Deals!I984&lt;=DATE(2024,9,30)),Sales_Deals!J984,""),"")</f>
        <v/>
      </c>
    </row>
    <row r="994" spans="1:3" x14ac:dyDescent="0.35">
      <c r="A994">
        <v>984</v>
      </c>
      <c r="B994" t="str">
        <f>IF(Sales_Deals!I985&lt;&gt;"",IF(AND(Sales_Deals!I985&gt;DATE(2024,9,30),Sales_Deals!I985&lt;=DATE(2025,3,31)),Sales_Deals!J985,""),"")</f>
        <v/>
      </c>
      <c r="C994" t="str">
        <f>IF(Sales_Deals!I985&lt;&gt;"",IF(AND(Sales_Deals!I985&gt;DATE(2024,3,31),Sales_Deals!I985&lt;=DATE(2024,9,30)),Sales_Deals!J985,""),"")</f>
        <v/>
      </c>
    </row>
    <row r="995" spans="1:3" x14ac:dyDescent="0.35">
      <c r="A995">
        <v>985</v>
      </c>
      <c r="B995" t="str">
        <f>IF(Sales_Deals!I986&lt;&gt;"",IF(AND(Sales_Deals!I986&gt;DATE(2024,9,30),Sales_Deals!I986&lt;=DATE(2025,3,31)),Sales_Deals!J986,""),"")</f>
        <v/>
      </c>
      <c r="C995" t="str">
        <f>IF(Sales_Deals!I986&lt;&gt;"",IF(AND(Sales_Deals!I986&gt;DATE(2024,3,31),Sales_Deals!I986&lt;=DATE(2024,9,30)),Sales_Deals!J986,""),"")</f>
        <v/>
      </c>
    </row>
    <row r="996" spans="1:3" x14ac:dyDescent="0.35">
      <c r="A996">
        <v>986</v>
      </c>
      <c r="B996" t="str">
        <f>IF(Sales_Deals!I987&lt;&gt;"",IF(AND(Sales_Deals!I987&gt;DATE(2024,9,30),Sales_Deals!I987&lt;=DATE(2025,3,31)),Sales_Deals!J987,""),"")</f>
        <v/>
      </c>
      <c r="C996" t="str">
        <f>IF(Sales_Deals!I987&lt;&gt;"",IF(AND(Sales_Deals!I987&gt;DATE(2024,3,31),Sales_Deals!I987&lt;=DATE(2024,9,30)),Sales_Deals!J987,""),"")</f>
        <v/>
      </c>
    </row>
    <row r="997" spans="1:3" x14ac:dyDescent="0.35">
      <c r="A997">
        <v>987</v>
      </c>
      <c r="B997" t="str">
        <f>IF(Sales_Deals!I988&lt;&gt;"",IF(AND(Sales_Deals!I988&gt;DATE(2024,9,30),Sales_Deals!I988&lt;=DATE(2025,3,31)),Sales_Deals!J988,""),"")</f>
        <v/>
      </c>
      <c r="C997" t="str">
        <f>IF(Sales_Deals!I988&lt;&gt;"",IF(AND(Sales_Deals!I988&gt;DATE(2024,3,31),Sales_Deals!I988&lt;=DATE(2024,9,30)),Sales_Deals!J988,""),"")</f>
        <v/>
      </c>
    </row>
    <row r="998" spans="1:3" x14ac:dyDescent="0.35">
      <c r="A998">
        <v>988</v>
      </c>
      <c r="B998" t="str">
        <f>IF(Sales_Deals!I989&lt;&gt;"",IF(AND(Sales_Deals!I989&gt;DATE(2024,9,30),Sales_Deals!I989&lt;=DATE(2025,3,31)),Sales_Deals!J989,""),"")</f>
        <v/>
      </c>
      <c r="C998" t="str">
        <f>IF(Sales_Deals!I989&lt;&gt;"",IF(AND(Sales_Deals!I989&gt;DATE(2024,3,31),Sales_Deals!I989&lt;=DATE(2024,9,30)),Sales_Deals!J989,""),"")</f>
        <v/>
      </c>
    </row>
    <row r="999" spans="1:3" x14ac:dyDescent="0.35">
      <c r="A999">
        <v>989</v>
      </c>
      <c r="B999" t="str">
        <f>IF(Sales_Deals!I990&lt;&gt;"",IF(AND(Sales_Deals!I990&gt;DATE(2024,9,30),Sales_Deals!I990&lt;=DATE(2025,3,31)),Sales_Deals!J990,""),"")</f>
        <v/>
      </c>
      <c r="C999">
        <f>IF(Sales_Deals!I990&lt;&gt;"",IF(AND(Sales_Deals!I990&gt;DATE(2024,3,31),Sales_Deals!I990&lt;=DATE(2024,9,30)),Sales_Deals!J990,""),"")</f>
        <v>18</v>
      </c>
    </row>
    <row r="1000" spans="1:3" x14ac:dyDescent="0.35">
      <c r="A1000">
        <v>990</v>
      </c>
      <c r="B1000" t="str">
        <f>IF(Sales_Deals!I991&lt;&gt;"",IF(AND(Sales_Deals!I991&gt;DATE(2024,9,30),Sales_Deals!I991&lt;=DATE(2025,3,31)),Sales_Deals!J991,""),"")</f>
        <v/>
      </c>
      <c r="C1000" t="str">
        <f>IF(Sales_Deals!I991&lt;&gt;"",IF(AND(Sales_Deals!I991&gt;DATE(2024,3,31),Sales_Deals!I991&lt;=DATE(2024,9,30)),Sales_Deals!J991,""),"")</f>
        <v/>
      </c>
    </row>
    <row r="1001" spans="1:3" x14ac:dyDescent="0.35">
      <c r="A1001">
        <v>991</v>
      </c>
      <c r="B1001" t="str">
        <f>IF(Sales_Deals!I992&lt;&gt;"",IF(AND(Sales_Deals!I992&gt;DATE(2024,9,30),Sales_Deals!I992&lt;=DATE(2025,3,31)),Sales_Deals!J992,""),"")</f>
        <v/>
      </c>
      <c r="C1001" t="str">
        <f>IF(Sales_Deals!I992&lt;&gt;"",IF(AND(Sales_Deals!I992&gt;DATE(2024,3,31),Sales_Deals!I992&lt;=DATE(2024,9,30)),Sales_Deals!J992,""),"")</f>
        <v/>
      </c>
    </row>
    <row r="1002" spans="1:3" x14ac:dyDescent="0.35">
      <c r="A1002">
        <v>992</v>
      </c>
      <c r="B1002" t="str">
        <f>IF(Sales_Deals!I993&lt;&gt;"",IF(AND(Sales_Deals!I993&gt;DATE(2024,9,30),Sales_Deals!I993&lt;=DATE(2025,3,31)),Sales_Deals!J993,""),"")</f>
        <v/>
      </c>
      <c r="C1002" t="str">
        <f>IF(Sales_Deals!I993&lt;&gt;"",IF(AND(Sales_Deals!I993&gt;DATE(2024,3,31),Sales_Deals!I993&lt;=DATE(2024,9,30)),Sales_Deals!J993,""),"")</f>
        <v/>
      </c>
    </row>
    <row r="1003" spans="1:3" x14ac:dyDescent="0.35">
      <c r="A1003">
        <v>993</v>
      </c>
      <c r="B1003" t="str">
        <f>IF(Sales_Deals!I994&lt;&gt;"",IF(AND(Sales_Deals!I994&gt;DATE(2024,9,30),Sales_Deals!I994&lt;=DATE(2025,3,31)),Sales_Deals!J994,""),"")</f>
        <v/>
      </c>
      <c r="C1003" t="str">
        <f>IF(Sales_Deals!I994&lt;&gt;"",IF(AND(Sales_Deals!I994&gt;DATE(2024,3,31),Sales_Deals!I994&lt;=DATE(2024,9,30)),Sales_Deals!J994,""),"")</f>
        <v/>
      </c>
    </row>
    <row r="1004" spans="1:3" x14ac:dyDescent="0.35">
      <c r="A1004">
        <v>994</v>
      </c>
      <c r="B1004" t="str">
        <f>IF(Sales_Deals!I995&lt;&gt;"",IF(AND(Sales_Deals!I995&gt;DATE(2024,9,30),Sales_Deals!I995&lt;=DATE(2025,3,31)),Sales_Deals!J995,""),"")</f>
        <v/>
      </c>
      <c r="C1004" t="str">
        <f>IF(Sales_Deals!I995&lt;&gt;"",IF(AND(Sales_Deals!I995&gt;DATE(2024,3,31),Sales_Deals!I995&lt;=DATE(2024,9,30)),Sales_Deals!J995,""),"")</f>
        <v/>
      </c>
    </row>
    <row r="1005" spans="1:3" x14ac:dyDescent="0.35">
      <c r="A1005">
        <v>995</v>
      </c>
      <c r="B1005" t="str">
        <f>IF(Sales_Deals!I996&lt;&gt;"",IF(AND(Sales_Deals!I996&gt;DATE(2024,9,30),Sales_Deals!I996&lt;=DATE(2025,3,31)),Sales_Deals!J996,""),"")</f>
        <v/>
      </c>
      <c r="C1005" t="str">
        <f>IF(Sales_Deals!I996&lt;&gt;"",IF(AND(Sales_Deals!I996&gt;DATE(2024,3,31),Sales_Deals!I996&lt;=DATE(2024,9,30)),Sales_Deals!J996,""),"")</f>
        <v/>
      </c>
    </row>
    <row r="1006" spans="1:3" x14ac:dyDescent="0.35">
      <c r="A1006">
        <v>996</v>
      </c>
      <c r="B1006" t="str">
        <f>IF(Sales_Deals!I997&lt;&gt;"",IF(AND(Sales_Deals!I997&gt;DATE(2024,9,30),Sales_Deals!I997&lt;=DATE(2025,3,31)),Sales_Deals!J997,""),"")</f>
        <v/>
      </c>
      <c r="C1006" t="str">
        <f>IF(Sales_Deals!I997&lt;&gt;"",IF(AND(Sales_Deals!I997&gt;DATE(2024,3,31),Sales_Deals!I997&lt;=DATE(2024,9,30)),Sales_Deals!J997,""),"")</f>
        <v/>
      </c>
    </row>
    <row r="1007" spans="1:3" x14ac:dyDescent="0.35">
      <c r="A1007">
        <v>997</v>
      </c>
      <c r="B1007" t="str">
        <f>IF(Sales_Deals!I998&lt;&gt;"",IF(AND(Sales_Deals!I998&gt;DATE(2024,9,30),Sales_Deals!I998&lt;=DATE(2025,3,31)),Sales_Deals!J998,""),"")</f>
        <v/>
      </c>
      <c r="C1007" t="str">
        <f>IF(Sales_Deals!I998&lt;&gt;"",IF(AND(Sales_Deals!I998&gt;DATE(2024,3,31),Sales_Deals!I998&lt;=DATE(2024,9,30)),Sales_Deals!J998,""),"")</f>
        <v/>
      </c>
    </row>
    <row r="1008" spans="1:3" x14ac:dyDescent="0.35">
      <c r="A1008">
        <v>998</v>
      </c>
      <c r="B1008" t="str">
        <f>IF(Sales_Deals!I999&lt;&gt;"",IF(AND(Sales_Deals!I999&gt;DATE(2024,9,30),Sales_Deals!I999&lt;=DATE(2025,3,31)),Sales_Deals!J999,""),"")</f>
        <v/>
      </c>
      <c r="C1008" t="str">
        <f>IF(Sales_Deals!I999&lt;&gt;"",IF(AND(Sales_Deals!I999&gt;DATE(2024,3,31),Sales_Deals!I999&lt;=DATE(2024,9,30)),Sales_Deals!J999,""),"")</f>
        <v/>
      </c>
    </row>
    <row r="1009" spans="1:3" x14ac:dyDescent="0.35">
      <c r="A1009">
        <v>999</v>
      </c>
      <c r="B1009" t="str">
        <f>IF(Sales_Deals!I1000&lt;&gt;"",IF(AND(Sales_Deals!I1000&gt;DATE(2024,9,30),Sales_Deals!I1000&lt;=DATE(2025,3,31)),Sales_Deals!J1000,""),"")</f>
        <v/>
      </c>
      <c r="C1009" t="str">
        <f>IF(Sales_Deals!I1000&lt;&gt;"",IF(AND(Sales_Deals!I1000&gt;DATE(2024,3,31),Sales_Deals!I1000&lt;=DATE(2024,9,30)),Sales_Deals!J1000,""),"")</f>
        <v/>
      </c>
    </row>
    <row r="1010" spans="1:3" x14ac:dyDescent="0.35">
      <c r="A1010">
        <v>1000</v>
      </c>
      <c r="B1010" t="str">
        <f>IF(Sales_Deals!I1001&lt;&gt;"",IF(AND(Sales_Deals!I1001&gt;DATE(2024,9,30),Sales_Deals!I1001&lt;=DATE(2025,3,31)),Sales_Deals!J1001,""),"")</f>
        <v/>
      </c>
      <c r="C1010" t="str">
        <f>IF(Sales_Deals!I1001&lt;&gt;"",IF(AND(Sales_Deals!I1001&gt;DATE(2024,3,31),Sales_Deals!I1001&lt;=DATE(2024,9,30)),Sales_Deals!J1001,""),"")</f>
        <v/>
      </c>
    </row>
    <row r="1011" spans="1:3" x14ac:dyDescent="0.35">
      <c r="A1011">
        <v>1001</v>
      </c>
      <c r="B1011" t="str">
        <f>IF(Sales_Deals!I1002&lt;&gt;"",IF(AND(Sales_Deals!I1002&gt;DATE(2024,9,30),Sales_Deals!I1002&lt;=DATE(2025,3,31)),Sales_Deals!J1002,""),"")</f>
        <v/>
      </c>
      <c r="C1011" t="str">
        <f>IF(Sales_Deals!I1002&lt;&gt;"",IF(AND(Sales_Deals!I1002&gt;DATE(2024,3,31),Sales_Deals!I1002&lt;=DATE(2024,9,30)),Sales_Deals!J1002,""),"")</f>
        <v/>
      </c>
    </row>
    <row r="1012" spans="1:3" x14ac:dyDescent="0.35">
      <c r="A1012">
        <v>1002</v>
      </c>
      <c r="B1012" t="str">
        <f>IF(Sales_Deals!I1003&lt;&gt;"",IF(AND(Sales_Deals!I1003&gt;DATE(2024,9,30),Sales_Deals!I1003&lt;=DATE(2025,3,31)),Sales_Deals!J1003,""),"")</f>
        <v/>
      </c>
      <c r="C1012" t="str">
        <f>IF(Sales_Deals!I1003&lt;&gt;"",IF(AND(Sales_Deals!I1003&gt;DATE(2024,3,31),Sales_Deals!I1003&lt;=DATE(2024,9,30)),Sales_Deals!J1003,""),"")</f>
        <v/>
      </c>
    </row>
    <row r="1013" spans="1:3" x14ac:dyDescent="0.35">
      <c r="A1013">
        <v>1003</v>
      </c>
      <c r="B1013" t="str">
        <f>IF(Sales_Deals!I1004&lt;&gt;"",IF(AND(Sales_Deals!I1004&gt;DATE(2024,9,30),Sales_Deals!I1004&lt;=DATE(2025,3,31)),Sales_Deals!J1004,""),"")</f>
        <v/>
      </c>
      <c r="C1013" t="str">
        <f>IF(Sales_Deals!I1004&lt;&gt;"",IF(AND(Sales_Deals!I1004&gt;DATE(2024,3,31),Sales_Deals!I1004&lt;=DATE(2024,9,30)),Sales_Deals!J1004,""),"")</f>
        <v/>
      </c>
    </row>
    <row r="1014" spans="1:3" x14ac:dyDescent="0.35">
      <c r="A1014">
        <v>1004</v>
      </c>
      <c r="B1014" t="str">
        <f>IF(Sales_Deals!I1005&lt;&gt;"",IF(AND(Sales_Deals!I1005&gt;DATE(2024,9,30),Sales_Deals!I1005&lt;=DATE(2025,3,31)),Sales_Deals!J1005,""),"")</f>
        <v/>
      </c>
      <c r="C1014" t="str">
        <f>IF(Sales_Deals!I1005&lt;&gt;"",IF(AND(Sales_Deals!I1005&gt;DATE(2024,3,31),Sales_Deals!I1005&lt;=DATE(2024,9,30)),Sales_Deals!J1005,""),"")</f>
        <v/>
      </c>
    </row>
    <row r="1015" spans="1:3" x14ac:dyDescent="0.35">
      <c r="A1015">
        <v>1005</v>
      </c>
      <c r="B1015" t="str">
        <f>IF(Sales_Deals!I1006&lt;&gt;"",IF(AND(Sales_Deals!I1006&gt;DATE(2024,9,30),Sales_Deals!I1006&lt;=DATE(2025,3,31)),Sales_Deals!J1006,""),"")</f>
        <v/>
      </c>
      <c r="C1015">
        <f>IF(Sales_Deals!I1006&lt;&gt;"",IF(AND(Sales_Deals!I1006&gt;DATE(2024,3,31),Sales_Deals!I1006&lt;=DATE(2024,9,30)),Sales_Deals!J1006,""),"")</f>
        <v>70</v>
      </c>
    </row>
    <row r="1016" spans="1:3" x14ac:dyDescent="0.35">
      <c r="A1016">
        <v>1006</v>
      </c>
      <c r="B1016" t="str">
        <f>IF(Sales_Deals!I1007&lt;&gt;"",IF(AND(Sales_Deals!I1007&gt;DATE(2024,9,30),Sales_Deals!I1007&lt;=DATE(2025,3,31)),Sales_Deals!J1007,""),"")</f>
        <v/>
      </c>
      <c r="C1016" t="str">
        <f>IF(Sales_Deals!I1007&lt;&gt;"",IF(AND(Sales_Deals!I1007&gt;DATE(2024,3,31),Sales_Deals!I1007&lt;=DATE(2024,9,30)),Sales_Deals!J1007,""),"")</f>
        <v/>
      </c>
    </row>
    <row r="1017" spans="1:3" x14ac:dyDescent="0.35">
      <c r="A1017">
        <v>1007</v>
      </c>
      <c r="B1017">
        <f>IF(Sales_Deals!I1008&lt;&gt;"",IF(AND(Sales_Deals!I1008&gt;DATE(2024,9,30),Sales_Deals!I1008&lt;=DATE(2025,3,31)),Sales_Deals!J1008,""),"")</f>
        <v>176</v>
      </c>
      <c r="C1017" t="str">
        <f>IF(Sales_Deals!I1008&lt;&gt;"",IF(AND(Sales_Deals!I1008&gt;DATE(2024,3,31),Sales_Deals!I1008&lt;=DATE(2024,9,30)),Sales_Deals!J1008,""),"")</f>
        <v/>
      </c>
    </row>
    <row r="1018" spans="1:3" x14ac:dyDescent="0.35">
      <c r="A1018">
        <v>1008</v>
      </c>
      <c r="B1018" t="str">
        <f>IF(Sales_Deals!I1009&lt;&gt;"",IF(AND(Sales_Deals!I1009&gt;DATE(2024,9,30),Sales_Deals!I1009&lt;=DATE(2025,3,31)),Sales_Deals!J1009,""),"")</f>
        <v/>
      </c>
      <c r="C1018" t="str">
        <f>IF(Sales_Deals!I1009&lt;&gt;"",IF(AND(Sales_Deals!I1009&gt;DATE(2024,3,31),Sales_Deals!I1009&lt;=DATE(2024,9,30)),Sales_Deals!J1009,""),"")</f>
        <v/>
      </c>
    </row>
    <row r="1019" spans="1:3" x14ac:dyDescent="0.35">
      <c r="A1019">
        <v>1009</v>
      </c>
      <c r="B1019" t="str">
        <f>IF(Sales_Deals!I1010&lt;&gt;"",IF(AND(Sales_Deals!I1010&gt;DATE(2024,9,30),Sales_Deals!I1010&lt;=DATE(2025,3,31)),Sales_Deals!J1010,""),"")</f>
        <v/>
      </c>
      <c r="C1019" t="str">
        <f>IF(Sales_Deals!I1010&lt;&gt;"",IF(AND(Sales_Deals!I1010&gt;DATE(2024,3,31),Sales_Deals!I1010&lt;=DATE(2024,9,30)),Sales_Deals!J1010,""),"")</f>
        <v/>
      </c>
    </row>
    <row r="1020" spans="1:3" x14ac:dyDescent="0.35">
      <c r="A1020">
        <v>1010</v>
      </c>
      <c r="B1020" t="str">
        <f>IF(Sales_Deals!I1011&lt;&gt;"",IF(AND(Sales_Deals!I1011&gt;DATE(2024,9,30),Sales_Deals!I1011&lt;=DATE(2025,3,31)),Sales_Deals!J1011,""),"")</f>
        <v/>
      </c>
      <c r="C1020" t="str">
        <f>IF(Sales_Deals!I1011&lt;&gt;"",IF(AND(Sales_Deals!I1011&gt;DATE(2024,3,31),Sales_Deals!I1011&lt;=DATE(2024,9,30)),Sales_Deals!J1011,""),"")</f>
        <v/>
      </c>
    </row>
    <row r="1021" spans="1:3" x14ac:dyDescent="0.35">
      <c r="A1021">
        <v>1011</v>
      </c>
      <c r="B1021" t="str">
        <f>IF(Sales_Deals!I1012&lt;&gt;"",IF(AND(Sales_Deals!I1012&gt;DATE(2024,9,30),Sales_Deals!I1012&lt;=DATE(2025,3,31)),Sales_Deals!J1012,""),"")</f>
        <v/>
      </c>
      <c r="C1021" t="str">
        <f>IF(Sales_Deals!I1012&lt;&gt;"",IF(AND(Sales_Deals!I1012&gt;DATE(2024,3,31),Sales_Deals!I1012&lt;=DATE(2024,9,30)),Sales_Deals!J1012,""),"")</f>
        <v/>
      </c>
    </row>
    <row r="1022" spans="1:3" x14ac:dyDescent="0.35">
      <c r="A1022">
        <v>1012</v>
      </c>
      <c r="B1022" t="str">
        <f>IF(Sales_Deals!I1013&lt;&gt;"",IF(AND(Sales_Deals!I1013&gt;DATE(2024,9,30),Sales_Deals!I1013&lt;=DATE(2025,3,31)),Sales_Deals!J1013,""),"")</f>
        <v/>
      </c>
      <c r="C1022" t="str">
        <f>IF(Sales_Deals!I1013&lt;&gt;"",IF(AND(Sales_Deals!I1013&gt;DATE(2024,3,31),Sales_Deals!I1013&lt;=DATE(2024,9,30)),Sales_Deals!J1013,""),"")</f>
        <v/>
      </c>
    </row>
    <row r="1023" spans="1:3" x14ac:dyDescent="0.35">
      <c r="A1023">
        <v>1013</v>
      </c>
      <c r="B1023" t="str">
        <f>IF(Sales_Deals!I1014&lt;&gt;"",IF(AND(Sales_Deals!I1014&gt;DATE(2024,9,30),Sales_Deals!I1014&lt;=DATE(2025,3,31)),Sales_Deals!J1014,""),"")</f>
        <v/>
      </c>
      <c r="C1023" t="str">
        <f>IF(Sales_Deals!I1014&lt;&gt;"",IF(AND(Sales_Deals!I1014&gt;DATE(2024,3,31),Sales_Deals!I1014&lt;=DATE(2024,9,30)),Sales_Deals!J1014,""),"")</f>
        <v/>
      </c>
    </row>
    <row r="1024" spans="1:3" x14ac:dyDescent="0.35">
      <c r="A1024">
        <v>1014</v>
      </c>
      <c r="B1024" t="str">
        <f>IF(Sales_Deals!I1015&lt;&gt;"",IF(AND(Sales_Deals!I1015&gt;DATE(2024,9,30),Sales_Deals!I1015&lt;=DATE(2025,3,31)),Sales_Deals!J1015,""),"")</f>
        <v/>
      </c>
      <c r="C1024" t="str">
        <f>IF(Sales_Deals!I1015&lt;&gt;"",IF(AND(Sales_Deals!I1015&gt;DATE(2024,3,31),Sales_Deals!I1015&lt;=DATE(2024,9,30)),Sales_Deals!J1015,""),"")</f>
        <v/>
      </c>
    </row>
    <row r="1025" spans="1:3" x14ac:dyDescent="0.35">
      <c r="A1025">
        <v>1015</v>
      </c>
      <c r="B1025" t="str">
        <f>IF(Sales_Deals!I1016&lt;&gt;"",IF(AND(Sales_Deals!I1016&gt;DATE(2024,9,30),Sales_Deals!I1016&lt;=DATE(2025,3,31)),Sales_Deals!J1016,""),"")</f>
        <v/>
      </c>
      <c r="C1025" t="str">
        <f>IF(Sales_Deals!I1016&lt;&gt;"",IF(AND(Sales_Deals!I1016&gt;DATE(2024,3,31),Sales_Deals!I1016&lt;=DATE(2024,9,30)),Sales_Deals!J1016,""),"")</f>
        <v/>
      </c>
    </row>
    <row r="1026" spans="1:3" x14ac:dyDescent="0.35">
      <c r="A1026">
        <v>1016</v>
      </c>
      <c r="B1026" t="str">
        <f>IF(Sales_Deals!I1017&lt;&gt;"",IF(AND(Sales_Deals!I1017&gt;DATE(2024,9,30),Sales_Deals!I1017&lt;=DATE(2025,3,31)),Sales_Deals!J1017,""),"")</f>
        <v/>
      </c>
      <c r="C1026" t="str">
        <f>IF(Sales_Deals!I1017&lt;&gt;"",IF(AND(Sales_Deals!I1017&gt;DATE(2024,3,31),Sales_Deals!I1017&lt;=DATE(2024,9,30)),Sales_Deals!J1017,""),"")</f>
        <v/>
      </c>
    </row>
    <row r="1027" spans="1:3" x14ac:dyDescent="0.35">
      <c r="A1027">
        <v>1017</v>
      </c>
      <c r="B1027" t="str">
        <f>IF(Sales_Deals!I1018&lt;&gt;"",IF(AND(Sales_Deals!I1018&gt;DATE(2024,9,30),Sales_Deals!I1018&lt;=DATE(2025,3,31)),Sales_Deals!J1018,""),"")</f>
        <v/>
      </c>
      <c r="C1027" t="str">
        <f>IF(Sales_Deals!I1018&lt;&gt;"",IF(AND(Sales_Deals!I1018&gt;DATE(2024,3,31),Sales_Deals!I1018&lt;=DATE(2024,9,30)),Sales_Deals!J1018,""),"")</f>
        <v/>
      </c>
    </row>
    <row r="1028" spans="1:3" x14ac:dyDescent="0.35">
      <c r="A1028">
        <v>1018</v>
      </c>
      <c r="B1028" t="str">
        <f>IF(Sales_Deals!I1019&lt;&gt;"",IF(AND(Sales_Deals!I1019&gt;DATE(2024,9,30),Sales_Deals!I1019&lt;=DATE(2025,3,31)),Sales_Deals!J1019,""),"")</f>
        <v/>
      </c>
      <c r="C1028" t="str">
        <f>IF(Sales_Deals!I1019&lt;&gt;"",IF(AND(Sales_Deals!I1019&gt;DATE(2024,3,31),Sales_Deals!I1019&lt;=DATE(2024,9,30)),Sales_Deals!J1019,""),"")</f>
        <v/>
      </c>
    </row>
    <row r="1029" spans="1:3" x14ac:dyDescent="0.35">
      <c r="A1029">
        <v>1019</v>
      </c>
      <c r="B1029" t="str">
        <f>IF(Sales_Deals!I1020&lt;&gt;"",IF(AND(Sales_Deals!I1020&gt;DATE(2024,9,30),Sales_Deals!I1020&lt;=DATE(2025,3,31)),Sales_Deals!J1020,""),"")</f>
        <v/>
      </c>
      <c r="C1029" t="str">
        <f>IF(Sales_Deals!I1020&lt;&gt;"",IF(AND(Sales_Deals!I1020&gt;DATE(2024,3,31),Sales_Deals!I1020&lt;=DATE(2024,9,30)),Sales_Deals!J1020,""),"")</f>
        <v/>
      </c>
    </row>
    <row r="1030" spans="1:3" x14ac:dyDescent="0.35">
      <c r="A1030">
        <v>1020</v>
      </c>
      <c r="B1030" t="str">
        <f>IF(Sales_Deals!I1021&lt;&gt;"",IF(AND(Sales_Deals!I1021&gt;DATE(2024,9,30),Sales_Deals!I1021&lt;=DATE(2025,3,31)),Sales_Deals!J1021,""),"")</f>
        <v/>
      </c>
      <c r="C1030" t="str">
        <f>IF(Sales_Deals!I1021&lt;&gt;"",IF(AND(Sales_Deals!I1021&gt;DATE(2024,3,31),Sales_Deals!I1021&lt;=DATE(2024,9,30)),Sales_Deals!J1021,""),"")</f>
        <v/>
      </c>
    </row>
    <row r="1031" spans="1:3" x14ac:dyDescent="0.35">
      <c r="A1031">
        <v>1021</v>
      </c>
      <c r="B1031" t="str">
        <f>IF(Sales_Deals!I1022&lt;&gt;"",IF(AND(Sales_Deals!I1022&gt;DATE(2024,9,30),Sales_Deals!I1022&lt;=DATE(2025,3,31)),Sales_Deals!J1022,""),"")</f>
        <v/>
      </c>
      <c r="C1031" t="str">
        <f>IF(Sales_Deals!I1022&lt;&gt;"",IF(AND(Sales_Deals!I1022&gt;DATE(2024,3,31),Sales_Deals!I1022&lt;=DATE(2024,9,30)),Sales_Deals!J1022,""),"")</f>
        <v/>
      </c>
    </row>
    <row r="1032" spans="1:3" x14ac:dyDescent="0.35">
      <c r="A1032">
        <v>1022</v>
      </c>
      <c r="B1032">
        <f>IF(Sales_Deals!I1023&lt;&gt;"",IF(AND(Sales_Deals!I1023&gt;DATE(2024,9,30),Sales_Deals!I1023&lt;=DATE(2025,3,31)),Sales_Deals!J1023,""),"")</f>
        <v>175</v>
      </c>
      <c r="C1032" t="str">
        <f>IF(Sales_Deals!I1023&lt;&gt;"",IF(AND(Sales_Deals!I1023&gt;DATE(2024,3,31),Sales_Deals!I1023&lt;=DATE(2024,9,30)),Sales_Deals!J1023,""),"")</f>
        <v/>
      </c>
    </row>
    <row r="1033" spans="1:3" x14ac:dyDescent="0.35">
      <c r="A1033">
        <v>1023</v>
      </c>
      <c r="B1033" t="str">
        <f>IF(Sales_Deals!I1024&lt;&gt;"",IF(AND(Sales_Deals!I1024&gt;DATE(2024,9,30),Sales_Deals!I1024&lt;=DATE(2025,3,31)),Sales_Deals!J1024,""),"")</f>
        <v/>
      </c>
      <c r="C1033" t="str">
        <f>IF(Sales_Deals!I1024&lt;&gt;"",IF(AND(Sales_Deals!I1024&gt;DATE(2024,3,31),Sales_Deals!I1024&lt;=DATE(2024,9,30)),Sales_Deals!J1024,""),"")</f>
        <v/>
      </c>
    </row>
    <row r="1034" spans="1:3" x14ac:dyDescent="0.35">
      <c r="A1034">
        <v>1024</v>
      </c>
      <c r="B1034" t="str">
        <f>IF(Sales_Deals!I1025&lt;&gt;"",IF(AND(Sales_Deals!I1025&gt;DATE(2024,9,30),Sales_Deals!I1025&lt;=DATE(2025,3,31)),Sales_Deals!J1025,""),"")</f>
        <v/>
      </c>
      <c r="C1034" t="str">
        <f>IF(Sales_Deals!I1025&lt;&gt;"",IF(AND(Sales_Deals!I1025&gt;DATE(2024,3,31),Sales_Deals!I1025&lt;=DATE(2024,9,30)),Sales_Deals!J1025,""),"")</f>
        <v/>
      </c>
    </row>
    <row r="1035" spans="1:3" x14ac:dyDescent="0.35">
      <c r="A1035">
        <v>1025</v>
      </c>
      <c r="B1035" t="str">
        <f>IF(Sales_Deals!I1026&lt;&gt;"",IF(AND(Sales_Deals!I1026&gt;DATE(2024,9,30),Sales_Deals!I1026&lt;=DATE(2025,3,31)),Sales_Deals!J1026,""),"")</f>
        <v/>
      </c>
      <c r="C1035" t="str">
        <f>IF(Sales_Deals!I1026&lt;&gt;"",IF(AND(Sales_Deals!I1026&gt;DATE(2024,3,31),Sales_Deals!I1026&lt;=DATE(2024,9,30)),Sales_Deals!J1026,""),"")</f>
        <v/>
      </c>
    </row>
    <row r="1036" spans="1:3" x14ac:dyDescent="0.35">
      <c r="A1036">
        <v>1026</v>
      </c>
      <c r="B1036" t="str">
        <f>IF(Sales_Deals!I1027&lt;&gt;"",IF(AND(Sales_Deals!I1027&gt;DATE(2024,9,30),Sales_Deals!I1027&lt;=DATE(2025,3,31)),Sales_Deals!J1027,""),"")</f>
        <v/>
      </c>
      <c r="C1036" t="str">
        <f>IF(Sales_Deals!I1027&lt;&gt;"",IF(AND(Sales_Deals!I1027&gt;DATE(2024,3,31),Sales_Deals!I1027&lt;=DATE(2024,9,30)),Sales_Deals!J1027,""),"")</f>
        <v/>
      </c>
    </row>
    <row r="1037" spans="1:3" x14ac:dyDescent="0.35">
      <c r="A1037">
        <v>1027</v>
      </c>
      <c r="B1037" t="str">
        <f>IF(Sales_Deals!I1028&lt;&gt;"",IF(AND(Sales_Deals!I1028&gt;DATE(2024,9,30),Sales_Deals!I1028&lt;=DATE(2025,3,31)),Sales_Deals!J1028,""),"")</f>
        <v/>
      </c>
      <c r="C1037" t="str">
        <f>IF(Sales_Deals!I1028&lt;&gt;"",IF(AND(Sales_Deals!I1028&gt;DATE(2024,3,31),Sales_Deals!I1028&lt;=DATE(2024,9,30)),Sales_Deals!J1028,""),"")</f>
        <v/>
      </c>
    </row>
    <row r="1038" spans="1:3" x14ac:dyDescent="0.35">
      <c r="A1038">
        <v>1028</v>
      </c>
      <c r="B1038" t="str">
        <f>IF(Sales_Deals!I1029&lt;&gt;"",IF(AND(Sales_Deals!I1029&gt;DATE(2024,9,30),Sales_Deals!I1029&lt;=DATE(2025,3,31)),Sales_Deals!J1029,""),"")</f>
        <v/>
      </c>
      <c r="C1038" t="str">
        <f>IF(Sales_Deals!I1029&lt;&gt;"",IF(AND(Sales_Deals!I1029&gt;DATE(2024,3,31),Sales_Deals!I1029&lt;=DATE(2024,9,30)),Sales_Deals!J1029,""),"")</f>
        <v/>
      </c>
    </row>
    <row r="1039" spans="1:3" x14ac:dyDescent="0.35">
      <c r="A1039">
        <v>1029</v>
      </c>
      <c r="B1039" t="str">
        <f>IF(Sales_Deals!I1030&lt;&gt;"",IF(AND(Sales_Deals!I1030&gt;DATE(2024,9,30),Sales_Deals!I1030&lt;=DATE(2025,3,31)),Sales_Deals!J1030,""),"")</f>
        <v/>
      </c>
      <c r="C1039" t="str">
        <f>IF(Sales_Deals!I1030&lt;&gt;"",IF(AND(Sales_Deals!I1030&gt;DATE(2024,3,31),Sales_Deals!I1030&lt;=DATE(2024,9,30)),Sales_Deals!J1030,""),"")</f>
        <v/>
      </c>
    </row>
    <row r="1040" spans="1:3" x14ac:dyDescent="0.35">
      <c r="A1040">
        <v>1030</v>
      </c>
      <c r="B1040" t="str">
        <f>IF(Sales_Deals!I1031&lt;&gt;"",IF(AND(Sales_Deals!I1031&gt;DATE(2024,9,30),Sales_Deals!I1031&lt;=DATE(2025,3,31)),Sales_Deals!J1031,""),"")</f>
        <v/>
      </c>
      <c r="C1040" t="str">
        <f>IF(Sales_Deals!I1031&lt;&gt;"",IF(AND(Sales_Deals!I1031&gt;DATE(2024,3,31),Sales_Deals!I1031&lt;=DATE(2024,9,30)),Sales_Deals!J1031,""),"")</f>
        <v/>
      </c>
    </row>
    <row r="1041" spans="1:3" x14ac:dyDescent="0.35">
      <c r="A1041">
        <v>1031</v>
      </c>
      <c r="B1041" t="str">
        <f>IF(Sales_Deals!I1032&lt;&gt;"",IF(AND(Sales_Deals!I1032&gt;DATE(2024,9,30),Sales_Deals!I1032&lt;=DATE(2025,3,31)),Sales_Deals!J1032,""),"")</f>
        <v/>
      </c>
      <c r="C1041" t="str">
        <f>IF(Sales_Deals!I1032&lt;&gt;"",IF(AND(Sales_Deals!I1032&gt;DATE(2024,3,31),Sales_Deals!I1032&lt;=DATE(2024,9,30)),Sales_Deals!J1032,""),"")</f>
        <v/>
      </c>
    </row>
    <row r="1042" spans="1:3" x14ac:dyDescent="0.35">
      <c r="A1042">
        <v>1032</v>
      </c>
      <c r="B1042" t="str">
        <f>IF(Sales_Deals!I1033&lt;&gt;"",IF(AND(Sales_Deals!I1033&gt;DATE(2024,9,30),Sales_Deals!I1033&lt;=DATE(2025,3,31)),Sales_Deals!J1033,""),"")</f>
        <v/>
      </c>
      <c r="C1042" t="str">
        <f>IF(Sales_Deals!I1033&lt;&gt;"",IF(AND(Sales_Deals!I1033&gt;DATE(2024,3,31),Sales_Deals!I1033&lt;=DATE(2024,9,30)),Sales_Deals!J1033,""),"")</f>
        <v/>
      </c>
    </row>
    <row r="1043" spans="1:3" x14ac:dyDescent="0.35">
      <c r="A1043">
        <v>1033</v>
      </c>
      <c r="B1043" t="str">
        <f>IF(Sales_Deals!I1034&lt;&gt;"",IF(AND(Sales_Deals!I1034&gt;DATE(2024,9,30),Sales_Deals!I1034&lt;=DATE(2025,3,31)),Sales_Deals!J1034,""),"")</f>
        <v/>
      </c>
      <c r="C1043" t="str">
        <f>IF(Sales_Deals!I1034&lt;&gt;"",IF(AND(Sales_Deals!I1034&gt;DATE(2024,3,31),Sales_Deals!I1034&lt;=DATE(2024,9,30)),Sales_Deals!J1034,""),"")</f>
        <v/>
      </c>
    </row>
    <row r="1044" spans="1:3" x14ac:dyDescent="0.35">
      <c r="A1044">
        <v>1034</v>
      </c>
      <c r="B1044" t="str">
        <f>IF(Sales_Deals!I1035&lt;&gt;"",IF(AND(Sales_Deals!I1035&gt;DATE(2024,9,30),Sales_Deals!I1035&lt;=DATE(2025,3,31)),Sales_Deals!J1035,""),"")</f>
        <v/>
      </c>
      <c r="C1044" t="str">
        <f>IF(Sales_Deals!I1035&lt;&gt;"",IF(AND(Sales_Deals!I1035&gt;DATE(2024,3,31),Sales_Deals!I1035&lt;=DATE(2024,9,30)),Sales_Deals!J1035,""),"")</f>
        <v/>
      </c>
    </row>
    <row r="1045" spans="1:3" x14ac:dyDescent="0.35">
      <c r="A1045">
        <v>1035</v>
      </c>
      <c r="B1045" t="str">
        <f>IF(Sales_Deals!I1036&lt;&gt;"",IF(AND(Sales_Deals!I1036&gt;DATE(2024,9,30),Sales_Deals!I1036&lt;=DATE(2025,3,31)),Sales_Deals!J1036,""),"")</f>
        <v/>
      </c>
      <c r="C1045" t="str">
        <f>IF(Sales_Deals!I1036&lt;&gt;"",IF(AND(Sales_Deals!I1036&gt;DATE(2024,3,31),Sales_Deals!I1036&lt;=DATE(2024,9,30)),Sales_Deals!J1036,""),"")</f>
        <v/>
      </c>
    </row>
    <row r="1046" spans="1:3" x14ac:dyDescent="0.35">
      <c r="A1046">
        <v>1036</v>
      </c>
      <c r="B1046">
        <f>IF(Sales_Deals!I1037&lt;&gt;"",IF(AND(Sales_Deals!I1037&gt;DATE(2024,9,30),Sales_Deals!I1037&lt;=DATE(2025,3,31)),Sales_Deals!J1037,""),"")</f>
        <v>171</v>
      </c>
      <c r="C1046" t="str">
        <f>IF(Sales_Deals!I1037&lt;&gt;"",IF(AND(Sales_Deals!I1037&gt;DATE(2024,3,31),Sales_Deals!I1037&lt;=DATE(2024,9,30)),Sales_Deals!J1037,""),"")</f>
        <v/>
      </c>
    </row>
    <row r="1047" spans="1:3" x14ac:dyDescent="0.35">
      <c r="A1047">
        <v>1037</v>
      </c>
      <c r="B1047" t="str">
        <f>IF(Sales_Deals!I1038&lt;&gt;"",IF(AND(Sales_Deals!I1038&gt;DATE(2024,9,30),Sales_Deals!I1038&lt;=DATE(2025,3,31)),Sales_Deals!J1038,""),"")</f>
        <v/>
      </c>
      <c r="C1047" t="str">
        <f>IF(Sales_Deals!I1038&lt;&gt;"",IF(AND(Sales_Deals!I1038&gt;DATE(2024,3,31),Sales_Deals!I1038&lt;=DATE(2024,9,30)),Sales_Deals!J1038,""),"")</f>
        <v/>
      </c>
    </row>
    <row r="1048" spans="1:3" x14ac:dyDescent="0.35">
      <c r="A1048">
        <v>1038</v>
      </c>
      <c r="B1048" t="str">
        <f>IF(Sales_Deals!I1039&lt;&gt;"",IF(AND(Sales_Deals!I1039&gt;DATE(2024,9,30),Sales_Deals!I1039&lt;=DATE(2025,3,31)),Sales_Deals!J1039,""),"")</f>
        <v/>
      </c>
      <c r="C1048" t="str">
        <f>IF(Sales_Deals!I1039&lt;&gt;"",IF(AND(Sales_Deals!I1039&gt;DATE(2024,3,31),Sales_Deals!I1039&lt;=DATE(2024,9,30)),Sales_Deals!J1039,""),"")</f>
        <v/>
      </c>
    </row>
    <row r="1049" spans="1:3" x14ac:dyDescent="0.35">
      <c r="A1049">
        <v>1039</v>
      </c>
      <c r="B1049" t="str">
        <f>IF(Sales_Deals!I1040&lt;&gt;"",IF(AND(Sales_Deals!I1040&gt;DATE(2024,9,30),Sales_Deals!I1040&lt;=DATE(2025,3,31)),Sales_Deals!J1040,""),"")</f>
        <v/>
      </c>
      <c r="C1049" t="str">
        <f>IF(Sales_Deals!I1040&lt;&gt;"",IF(AND(Sales_Deals!I1040&gt;DATE(2024,3,31),Sales_Deals!I1040&lt;=DATE(2024,9,30)),Sales_Deals!J1040,""),"")</f>
        <v/>
      </c>
    </row>
    <row r="1050" spans="1:3" x14ac:dyDescent="0.35">
      <c r="A1050">
        <v>1040</v>
      </c>
      <c r="B1050" t="str">
        <f>IF(Sales_Deals!I1041&lt;&gt;"",IF(AND(Sales_Deals!I1041&gt;DATE(2024,9,30),Sales_Deals!I1041&lt;=DATE(2025,3,31)),Sales_Deals!J1041,""),"")</f>
        <v/>
      </c>
      <c r="C1050" t="str">
        <f>IF(Sales_Deals!I1041&lt;&gt;"",IF(AND(Sales_Deals!I1041&gt;DATE(2024,3,31),Sales_Deals!I1041&lt;=DATE(2024,9,30)),Sales_Deals!J1041,""),"")</f>
        <v/>
      </c>
    </row>
    <row r="1051" spans="1:3" x14ac:dyDescent="0.35">
      <c r="A1051">
        <v>1041</v>
      </c>
      <c r="B1051" t="str">
        <f>IF(Sales_Deals!I1042&lt;&gt;"",IF(AND(Sales_Deals!I1042&gt;DATE(2024,9,30),Sales_Deals!I1042&lt;=DATE(2025,3,31)),Sales_Deals!J1042,""),"")</f>
        <v/>
      </c>
      <c r="C1051" t="str">
        <f>IF(Sales_Deals!I1042&lt;&gt;"",IF(AND(Sales_Deals!I1042&gt;DATE(2024,3,31),Sales_Deals!I1042&lt;=DATE(2024,9,30)),Sales_Deals!J1042,""),"")</f>
        <v/>
      </c>
    </row>
    <row r="1052" spans="1:3" x14ac:dyDescent="0.35">
      <c r="A1052">
        <v>1042</v>
      </c>
      <c r="B1052" t="str">
        <f>IF(Sales_Deals!I1043&lt;&gt;"",IF(AND(Sales_Deals!I1043&gt;DATE(2024,9,30),Sales_Deals!I1043&lt;=DATE(2025,3,31)),Sales_Deals!J1043,""),"")</f>
        <v/>
      </c>
      <c r="C1052" t="str">
        <f>IF(Sales_Deals!I1043&lt;&gt;"",IF(AND(Sales_Deals!I1043&gt;DATE(2024,3,31),Sales_Deals!I1043&lt;=DATE(2024,9,30)),Sales_Deals!J1043,""),"")</f>
        <v/>
      </c>
    </row>
    <row r="1053" spans="1:3" x14ac:dyDescent="0.35">
      <c r="A1053">
        <v>1043</v>
      </c>
      <c r="B1053" t="str">
        <f>IF(Sales_Deals!I1044&lt;&gt;"",IF(AND(Sales_Deals!I1044&gt;DATE(2024,9,30),Sales_Deals!I1044&lt;=DATE(2025,3,31)),Sales_Deals!J1044,""),"")</f>
        <v/>
      </c>
      <c r="C1053" t="str">
        <f>IF(Sales_Deals!I1044&lt;&gt;"",IF(AND(Sales_Deals!I1044&gt;DATE(2024,3,31),Sales_Deals!I1044&lt;=DATE(2024,9,30)),Sales_Deals!J1044,""),"")</f>
        <v/>
      </c>
    </row>
    <row r="1054" spans="1:3" x14ac:dyDescent="0.35">
      <c r="A1054">
        <v>1044</v>
      </c>
      <c r="B1054" t="str">
        <f>IF(Sales_Deals!I1045&lt;&gt;"",IF(AND(Sales_Deals!I1045&gt;DATE(2024,9,30),Sales_Deals!I1045&lt;=DATE(2025,3,31)),Sales_Deals!J1045,""),"")</f>
        <v/>
      </c>
      <c r="C1054">
        <f>IF(Sales_Deals!I1045&lt;&gt;"",IF(AND(Sales_Deals!I1045&gt;DATE(2024,3,31),Sales_Deals!I1045&lt;=DATE(2024,9,30)),Sales_Deals!J1045,""),"")</f>
        <v>100</v>
      </c>
    </row>
    <row r="1055" spans="1:3" x14ac:dyDescent="0.35">
      <c r="A1055">
        <v>1045</v>
      </c>
      <c r="B1055" t="str">
        <f>IF(Sales_Deals!I1046&lt;&gt;"",IF(AND(Sales_Deals!I1046&gt;DATE(2024,9,30),Sales_Deals!I1046&lt;=DATE(2025,3,31)),Sales_Deals!J1046,""),"")</f>
        <v/>
      </c>
      <c r="C1055" t="str">
        <f>IF(Sales_Deals!I1046&lt;&gt;"",IF(AND(Sales_Deals!I1046&gt;DATE(2024,3,31),Sales_Deals!I1046&lt;=DATE(2024,9,30)),Sales_Deals!J1046,""),"")</f>
        <v/>
      </c>
    </row>
    <row r="1056" spans="1:3" x14ac:dyDescent="0.35">
      <c r="A1056">
        <v>1046</v>
      </c>
      <c r="B1056" t="str">
        <f>IF(Sales_Deals!I1047&lt;&gt;"",IF(AND(Sales_Deals!I1047&gt;DATE(2024,9,30),Sales_Deals!I1047&lt;=DATE(2025,3,31)),Sales_Deals!J1047,""),"")</f>
        <v/>
      </c>
      <c r="C1056" t="str">
        <f>IF(Sales_Deals!I1047&lt;&gt;"",IF(AND(Sales_Deals!I1047&gt;DATE(2024,3,31),Sales_Deals!I1047&lt;=DATE(2024,9,30)),Sales_Deals!J1047,""),"")</f>
        <v/>
      </c>
    </row>
    <row r="1057" spans="1:3" x14ac:dyDescent="0.35">
      <c r="A1057">
        <v>1047</v>
      </c>
      <c r="B1057" t="str">
        <f>IF(Sales_Deals!I1048&lt;&gt;"",IF(AND(Sales_Deals!I1048&gt;DATE(2024,9,30),Sales_Deals!I1048&lt;=DATE(2025,3,31)),Sales_Deals!J1048,""),"")</f>
        <v/>
      </c>
      <c r="C1057" t="str">
        <f>IF(Sales_Deals!I1048&lt;&gt;"",IF(AND(Sales_Deals!I1048&gt;DATE(2024,3,31),Sales_Deals!I1048&lt;=DATE(2024,9,30)),Sales_Deals!J1048,""),"")</f>
        <v/>
      </c>
    </row>
    <row r="1058" spans="1:3" x14ac:dyDescent="0.35">
      <c r="A1058">
        <v>1048</v>
      </c>
      <c r="B1058" t="str">
        <f>IF(Sales_Deals!I1049&lt;&gt;"",IF(AND(Sales_Deals!I1049&gt;DATE(2024,9,30),Sales_Deals!I1049&lt;=DATE(2025,3,31)),Sales_Deals!J1049,""),"")</f>
        <v/>
      </c>
      <c r="C1058" t="str">
        <f>IF(Sales_Deals!I1049&lt;&gt;"",IF(AND(Sales_Deals!I1049&gt;DATE(2024,3,31),Sales_Deals!I1049&lt;=DATE(2024,9,30)),Sales_Deals!J1049,""),"")</f>
        <v/>
      </c>
    </row>
    <row r="1059" spans="1:3" x14ac:dyDescent="0.35">
      <c r="A1059">
        <v>1049</v>
      </c>
      <c r="B1059" t="str">
        <f>IF(Sales_Deals!I1050&lt;&gt;"",IF(AND(Sales_Deals!I1050&gt;DATE(2024,9,30),Sales_Deals!I1050&lt;=DATE(2025,3,31)),Sales_Deals!J1050,""),"")</f>
        <v/>
      </c>
      <c r="C1059" t="str">
        <f>IF(Sales_Deals!I1050&lt;&gt;"",IF(AND(Sales_Deals!I1050&gt;DATE(2024,3,31),Sales_Deals!I1050&lt;=DATE(2024,9,30)),Sales_Deals!J1050,""),"")</f>
        <v/>
      </c>
    </row>
    <row r="1060" spans="1:3" x14ac:dyDescent="0.35">
      <c r="A1060">
        <v>1050</v>
      </c>
      <c r="B1060" t="str">
        <f>IF(Sales_Deals!I1051&lt;&gt;"",IF(AND(Sales_Deals!I1051&gt;DATE(2024,9,30),Sales_Deals!I1051&lt;=DATE(2025,3,31)),Sales_Deals!J1051,""),"")</f>
        <v/>
      </c>
      <c r="C1060" t="str">
        <f>IF(Sales_Deals!I1051&lt;&gt;"",IF(AND(Sales_Deals!I1051&gt;DATE(2024,3,31),Sales_Deals!I1051&lt;=DATE(2024,9,30)),Sales_Deals!J1051,""),"")</f>
        <v/>
      </c>
    </row>
    <row r="1061" spans="1:3" x14ac:dyDescent="0.35">
      <c r="A1061">
        <v>1051</v>
      </c>
      <c r="B1061" t="str">
        <f>IF(Sales_Deals!I1052&lt;&gt;"",IF(AND(Sales_Deals!I1052&gt;DATE(2024,9,30),Sales_Deals!I1052&lt;=DATE(2025,3,31)),Sales_Deals!J1052,""),"")</f>
        <v/>
      </c>
      <c r="C1061" t="str">
        <f>IF(Sales_Deals!I1052&lt;&gt;"",IF(AND(Sales_Deals!I1052&gt;DATE(2024,3,31),Sales_Deals!I1052&lt;=DATE(2024,9,30)),Sales_Deals!J1052,""),"")</f>
        <v/>
      </c>
    </row>
    <row r="1062" spans="1:3" x14ac:dyDescent="0.35">
      <c r="A1062">
        <v>1052</v>
      </c>
      <c r="B1062" t="str">
        <f>IF(Sales_Deals!I1053&lt;&gt;"",IF(AND(Sales_Deals!I1053&gt;DATE(2024,9,30),Sales_Deals!I1053&lt;=DATE(2025,3,31)),Sales_Deals!J1053,""),"")</f>
        <v/>
      </c>
      <c r="C1062" t="str">
        <f>IF(Sales_Deals!I1053&lt;&gt;"",IF(AND(Sales_Deals!I1053&gt;DATE(2024,3,31),Sales_Deals!I1053&lt;=DATE(2024,9,30)),Sales_Deals!J1053,""),"")</f>
        <v/>
      </c>
    </row>
    <row r="1063" spans="1:3" x14ac:dyDescent="0.35">
      <c r="A1063">
        <v>1053</v>
      </c>
      <c r="B1063" t="str">
        <f>IF(Sales_Deals!I1054&lt;&gt;"",IF(AND(Sales_Deals!I1054&gt;DATE(2024,9,30),Sales_Deals!I1054&lt;=DATE(2025,3,31)),Sales_Deals!J1054,""),"")</f>
        <v/>
      </c>
      <c r="C1063" t="str">
        <f>IF(Sales_Deals!I1054&lt;&gt;"",IF(AND(Sales_Deals!I1054&gt;DATE(2024,3,31),Sales_Deals!I1054&lt;=DATE(2024,9,30)),Sales_Deals!J1054,""),"")</f>
        <v/>
      </c>
    </row>
    <row r="1064" spans="1:3" x14ac:dyDescent="0.35">
      <c r="A1064">
        <v>1054</v>
      </c>
      <c r="B1064" t="str">
        <f>IF(Sales_Deals!I1055&lt;&gt;"",IF(AND(Sales_Deals!I1055&gt;DATE(2024,9,30),Sales_Deals!I1055&lt;=DATE(2025,3,31)),Sales_Deals!J1055,""),"")</f>
        <v/>
      </c>
      <c r="C1064" t="str">
        <f>IF(Sales_Deals!I1055&lt;&gt;"",IF(AND(Sales_Deals!I1055&gt;DATE(2024,3,31),Sales_Deals!I1055&lt;=DATE(2024,9,30)),Sales_Deals!J1055,""),"")</f>
        <v/>
      </c>
    </row>
    <row r="1065" spans="1:3" x14ac:dyDescent="0.35">
      <c r="A1065">
        <v>1055</v>
      </c>
      <c r="B1065" t="str">
        <f>IF(Sales_Deals!I1056&lt;&gt;"",IF(AND(Sales_Deals!I1056&gt;DATE(2024,9,30),Sales_Deals!I1056&lt;=DATE(2025,3,31)),Sales_Deals!J1056,""),"")</f>
        <v/>
      </c>
      <c r="C1065" t="str">
        <f>IF(Sales_Deals!I1056&lt;&gt;"",IF(AND(Sales_Deals!I1056&gt;DATE(2024,3,31),Sales_Deals!I1056&lt;=DATE(2024,9,30)),Sales_Deals!J1056,""),"")</f>
        <v/>
      </c>
    </row>
    <row r="1066" spans="1:3" x14ac:dyDescent="0.35">
      <c r="A1066">
        <v>1056</v>
      </c>
      <c r="B1066" t="str">
        <f>IF(Sales_Deals!I1057&lt;&gt;"",IF(AND(Sales_Deals!I1057&gt;DATE(2024,9,30),Sales_Deals!I1057&lt;=DATE(2025,3,31)),Sales_Deals!J1057,""),"")</f>
        <v/>
      </c>
      <c r="C1066" t="str">
        <f>IF(Sales_Deals!I1057&lt;&gt;"",IF(AND(Sales_Deals!I1057&gt;DATE(2024,3,31),Sales_Deals!I1057&lt;=DATE(2024,9,30)),Sales_Deals!J1057,""),"")</f>
        <v/>
      </c>
    </row>
    <row r="1067" spans="1:3" x14ac:dyDescent="0.35">
      <c r="A1067">
        <v>1057</v>
      </c>
      <c r="B1067" t="str">
        <f>IF(Sales_Deals!I1058&lt;&gt;"",IF(AND(Sales_Deals!I1058&gt;DATE(2024,9,30),Sales_Deals!I1058&lt;=DATE(2025,3,31)),Sales_Deals!J1058,""),"")</f>
        <v/>
      </c>
      <c r="C1067" t="str">
        <f>IF(Sales_Deals!I1058&lt;&gt;"",IF(AND(Sales_Deals!I1058&gt;DATE(2024,3,31),Sales_Deals!I1058&lt;=DATE(2024,9,30)),Sales_Deals!J1058,""),"")</f>
        <v/>
      </c>
    </row>
    <row r="1068" spans="1:3" x14ac:dyDescent="0.35">
      <c r="A1068">
        <v>1058</v>
      </c>
      <c r="B1068" t="str">
        <f>IF(Sales_Deals!I1059&lt;&gt;"",IF(AND(Sales_Deals!I1059&gt;DATE(2024,9,30),Sales_Deals!I1059&lt;=DATE(2025,3,31)),Sales_Deals!J1059,""),"")</f>
        <v/>
      </c>
      <c r="C1068" t="str">
        <f>IF(Sales_Deals!I1059&lt;&gt;"",IF(AND(Sales_Deals!I1059&gt;DATE(2024,3,31),Sales_Deals!I1059&lt;=DATE(2024,9,30)),Sales_Deals!J1059,""),"")</f>
        <v/>
      </c>
    </row>
    <row r="1069" spans="1:3" x14ac:dyDescent="0.35">
      <c r="A1069">
        <v>1059</v>
      </c>
      <c r="B1069" t="str">
        <f>IF(Sales_Deals!I1060&lt;&gt;"",IF(AND(Sales_Deals!I1060&gt;DATE(2024,9,30),Sales_Deals!I1060&lt;=DATE(2025,3,31)),Sales_Deals!J1060,""),"")</f>
        <v/>
      </c>
      <c r="C1069" t="str">
        <f>IF(Sales_Deals!I1060&lt;&gt;"",IF(AND(Sales_Deals!I1060&gt;DATE(2024,3,31),Sales_Deals!I1060&lt;=DATE(2024,9,30)),Sales_Deals!J1060,""),"")</f>
        <v/>
      </c>
    </row>
    <row r="1070" spans="1:3" x14ac:dyDescent="0.35">
      <c r="A1070">
        <v>1060</v>
      </c>
      <c r="B1070" t="str">
        <f>IF(Sales_Deals!I1061&lt;&gt;"",IF(AND(Sales_Deals!I1061&gt;DATE(2024,9,30),Sales_Deals!I1061&lt;=DATE(2025,3,31)),Sales_Deals!J1061,""),"")</f>
        <v/>
      </c>
      <c r="C1070" t="str">
        <f>IF(Sales_Deals!I1061&lt;&gt;"",IF(AND(Sales_Deals!I1061&gt;DATE(2024,3,31),Sales_Deals!I1061&lt;=DATE(2024,9,30)),Sales_Deals!J1061,""),"")</f>
        <v/>
      </c>
    </row>
    <row r="1071" spans="1:3" x14ac:dyDescent="0.35">
      <c r="A1071">
        <v>1061</v>
      </c>
      <c r="B1071" t="str">
        <f>IF(Sales_Deals!I1062&lt;&gt;"",IF(AND(Sales_Deals!I1062&gt;DATE(2024,9,30),Sales_Deals!I1062&lt;=DATE(2025,3,31)),Sales_Deals!J1062,""),"")</f>
        <v/>
      </c>
      <c r="C1071" t="str">
        <f>IF(Sales_Deals!I1062&lt;&gt;"",IF(AND(Sales_Deals!I1062&gt;DATE(2024,3,31),Sales_Deals!I1062&lt;=DATE(2024,9,30)),Sales_Deals!J1062,""),"")</f>
        <v/>
      </c>
    </row>
    <row r="1072" spans="1:3" x14ac:dyDescent="0.35">
      <c r="A1072">
        <v>1062</v>
      </c>
      <c r="B1072" t="str">
        <f>IF(Sales_Deals!I1063&lt;&gt;"",IF(AND(Sales_Deals!I1063&gt;DATE(2024,9,30),Sales_Deals!I1063&lt;=DATE(2025,3,31)),Sales_Deals!J1063,""),"")</f>
        <v/>
      </c>
      <c r="C1072">
        <f>IF(Sales_Deals!I1063&lt;&gt;"",IF(AND(Sales_Deals!I1063&gt;DATE(2024,3,31),Sales_Deals!I1063&lt;=DATE(2024,9,30)),Sales_Deals!J1063,""),"")</f>
        <v>74</v>
      </c>
    </row>
    <row r="1073" spans="1:3" x14ac:dyDescent="0.35">
      <c r="A1073">
        <v>1063</v>
      </c>
      <c r="B1073" t="str">
        <f>IF(Sales_Deals!I1064&lt;&gt;"",IF(AND(Sales_Deals!I1064&gt;DATE(2024,9,30),Sales_Deals!I1064&lt;=DATE(2025,3,31)),Sales_Deals!J1064,""),"")</f>
        <v/>
      </c>
      <c r="C1073" t="str">
        <f>IF(Sales_Deals!I1064&lt;&gt;"",IF(AND(Sales_Deals!I1064&gt;DATE(2024,3,31),Sales_Deals!I1064&lt;=DATE(2024,9,30)),Sales_Deals!J1064,""),"")</f>
        <v/>
      </c>
    </row>
    <row r="1074" spans="1:3" x14ac:dyDescent="0.35">
      <c r="A1074">
        <v>1064</v>
      </c>
      <c r="B1074">
        <f>IF(Sales_Deals!I1065&lt;&gt;"",IF(AND(Sales_Deals!I1065&gt;DATE(2024,9,30),Sales_Deals!I1065&lt;=DATE(2025,3,31)),Sales_Deals!J1065,""),"")</f>
        <v>33</v>
      </c>
      <c r="C1074" t="str">
        <f>IF(Sales_Deals!I1065&lt;&gt;"",IF(AND(Sales_Deals!I1065&gt;DATE(2024,3,31),Sales_Deals!I1065&lt;=DATE(2024,9,30)),Sales_Deals!J1065,""),"")</f>
        <v/>
      </c>
    </row>
    <row r="1075" spans="1:3" x14ac:dyDescent="0.35">
      <c r="A1075">
        <v>1065</v>
      </c>
      <c r="B1075" t="str">
        <f>IF(Sales_Deals!I1066&lt;&gt;"",IF(AND(Sales_Deals!I1066&gt;DATE(2024,9,30),Sales_Deals!I1066&lt;=DATE(2025,3,31)),Sales_Deals!J1066,""),"")</f>
        <v/>
      </c>
      <c r="C1075" t="str">
        <f>IF(Sales_Deals!I1066&lt;&gt;"",IF(AND(Sales_Deals!I1066&gt;DATE(2024,3,31),Sales_Deals!I1066&lt;=DATE(2024,9,30)),Sales_Deals!J1066,""),"")</f>
        <v/>
      </c>
    </row>
    <row r="1076" spans="1:3" x14ac:dyDescent="0.35">
      <c r="A1076">
        <v>1066</v>
      </c>
      <c r="B1076" t="str">
        <f>IF(Sales_Deals!I1067&lt;&gt;"",IF(AND(Sales_Deals!I1067&gt;DATE(2024,9,30),Sales_Deals!I1067&lt;=DATE(2025,3,31)),Sales_Deals!J1067,""),"")</f>
        <v/>
      </c>
      <c r="C1076" t="str">
        <f>IF(Sales_Deals!I1067&lt;&gt;"",IF(AND(Sales_Deals!I1067&gt;DATE(2024,3,31),Sales_Deals!I1067&lt;=DATE(2024,9,30)),Sales_Deals!J1067,""),"")</f>
        <v/>
      </c>
    </row>
    <row r="1077" spans="1:3" x14ac:dyDescent="0.35">
      <c r="A1077">
        <v>1067</v>
      </c>
      <c r="B1077" t="str">
        <f>IF(Sales_Deals!I1068&lt;&gt;"",IF(AND(Sales_Deals!I1068&gt;DATE(2024,9,30),Sales_Deals!I1068&lt;=DATE(2025,3,31)),Sales_Deals!J1068,""),"")</f>
        <v/>
      </c>
      <c r="C1077" t="str">
        <f>IF(Sales_Deals!I1068&lt;&gt;"",IF(AND(Sales_Deals!I1068&gt;DATE(2024,3,31),Sales_Deals!I1068&lt;=DATE(2024,9,30)),Sales_Deals!J1068,""),"")</f>
        <v/>
      </c>
    </row>
    <row r="1078" spans="1:3" x14ac:dyDescent="0.35">
      <c r="A1078">
        <v>1068</v>
      </c>
      <c r="B1078" t="str">
        <f>IF(Sales_Deals!I1069&lt;&gt;"",IF(AND(Sales_Deals!I1069&gt;DATE(2024,9,30),Sales_Deals!I1069&lt;=DATE(2025,3,31)),Sales_Deals!J1069,""),"")</f>
        <v/>
      </c>
      <c r="C1078" t="str">
        <f>IF(Sales_Deals!I1069&lt;&gt;"",IF(AND(Sales_Deals!I1069&gt;DATE(2024,3,31),Sales_Deals!I1069&lt;=DATE(2024,9,30)),Sales_Deals!J1069,""),"")</f>
        <v/>
      </c>
    </row>
    <row r="1079" spans="1:3" x14ac:dyDescent="0.35">
      <c r="A1079">
        <v>1069</v>
      </c>
      <c r="B1079" t="str">
        <f>IF(Sales_Deals!I1070&lt;&gt;"",IF(AND(Sales_Deals!I1070&gt;DATE(2024,9,30),Sales_Deals!I1070&lt;=DATE(2025,3,31)),Sales_Deals!J1070,""),"")</f>
        <v/>
      </c>
      <c r="C1079" t="str">
        <f>IF(Sales_Deals!I1070&lt;&gt;"",IF(AND(Sales_Deals!I1070&gt;DATE(2024,3,31),Sales_Deals!I1070&lt;=DATE(2024,9,30)),Sales_Deals!J1070,""),"")</f>
        <v/>
      </c>
    </row>
    <row r="1080" spans="1:3" x14ac:dyDescent="0.35">
      <c r="A1080">
        <v>1070</v>
      </c>
      <c r="B1080" t="str">
        <f>IF(Sales_Deals!I1071&lt;&gt;"",IF(AND(Sales_Deals!I1071&gt;DATE(2024,9,30),Sales_Deals!I1071&lt;=DATE(2025,3,31)),Sales_Deals!J1071,""),"")</f>
        <v/>
      </c>
      <c r="C1080" t="str">
        <f>IF(Sales_Deals!I1071&lt;&gt;"",IF(AND(Sales_Deals!I1071&gt;DATE(2024,3,31),Sales_Deals!I1071&lt;=DATE(2024,9,30)),Sales_Deals!J1071,""),"")</f>
        <v/>
      </c>
    </row>
    <row r="1081" spans="1:3" x14ac:dyDescent="0.35">
      <c r="A1081">
        <v>1071</v>
      </c>
      <c r="B1081" t="str">
        <f>IF(Sales_Deals!I1072&lt;&gt;"",IF(AND(Sales_Deals!I1072&gt;DATE(2024,9,30),Sales_Deals!I1072&lt;=DATE(2025,3,31)),Sales_Deals!J1072,""),"")</f>
        <v/>
      </c>
      <c r="C1081" t="str">
        <f>IF(Sales_Deals!I1072&lt;&gt;"",IF(AND(Sales_Deals!I1072&gt;DATE(2024,3,31),Sales_Deals!I1072&lt;=DATE(2024,9,30)),Sales_Deals!J1072,""),"")</f>
        <v/>
      </c>
    </row>
    <row r="1082" spans="1:3" x14ac:dyDescent="0.35">
      <c r="A1082">
        <v>1072</v>
      </c>
      <c r="B1082" t="str">
        <f>IF(Sales_Deals!I1073&lt;&gt;"",IF(AND(Sales_Deals!I1073&gt;DATE(2024,9,30),Sales_Deals!I1073&lt;=DATE(2025,3,31)),Sales_Deals!J1073,""),"")</f>
        <v/>
      </c>
      <c r="C1082" t="str">
        <f>IF(Sales_Deals!I1073&lt;&gt;"",IF(AND(Sales_Deals!I1073&gt;DATE(2024,3,31),Sales_Deals!I1073&lt;=DATE(2024,9,30)),Sales_Deals!J1073,""),"")</f>
        <v/>
      </c>
    </row>
    <row r="1083" spans="1:3" x14ac:dyDescent="0.35">
      <c r="A1083">
        <v>1073</v>
      </c>
      <c r="B1083" t="str">
        <f>IF(Sales_Deals!I1074&lt;&gt;"",IF(AND(Sales_Deals!I1074&gt;DATE(2024,9,30),Sales_Deals!I1074&lt;=DATE(2025,3,31)),Sales_Deals!J1074,""),"")</f>
        <v/>
      </c>
      <c r="C1083" t="str">
        <f>IF(Sales_Deals!I1074&lt;&gt;"",IF(AND(Sales_Deals!I1074&gt;DATE(2024,3,31),Sales_Deals!I1074&lt;=DATE(2024,9,30)),Sales_Deals!J1074,""),"")</f>
        <v/>
      </c>
    </row>
    <row r="1084" spans="1:3" x14ac:dyDescent="0.35">
      <c r="A1084">
        <v>1074</v>
      </c>
      <c r="B1084" t="str">
        <f>IF(Sales_Deals!I1075&lt;&gt;"",IF(AND(Sales_Deals!I1075&gt;DATE(2024,9,30),Sales_Deals!I1075&lt;=DATE(2025,3,31)),Sales_Deals!J1075,""),"")</f>
        <v/>
      </c>
      <c r="C1084" t="str">
        <f>IF(Sales_Deals!I1075&lt;&gt;"",IF(AND(Sales_Deals!I1075&gt;DATE(2024,3,31),Sales_Deals!I1075&lt;=DATE(2024,9,30)),Sales_Deals!J1075,""),"")</f>
        <v/>
      </c>
    </row>
    <row r="1085" spans="1:3" x14ac:dyDescent="0.35">
      <c r="A1085">
        <v>1075</v>
      </c>
      <c r="B1085" t="str">
        <f>IF(Sales_Deals!I1076&lt;&gt;"",IF(AND(Sales_Deals!I1076&gt;DATE(2024,9,30),Sales_Deals!I1076&lt;=DATE(2025,3,31)),Sales_Deals!J1076,""),"")</f>
        <v/>
      </c>
      <c r="C1085" t="str">
        <f>IF(Sales_Deals!I1076&lt;&gt;"",IF(AND(Sales_Deals!I1076&gt;DATE(2024,3,31),Sales_Deals!I1076&lt;=DATE(2024,9,30)),Sales_Deals!J1076,""),"")</f>
        <v/>
      </c>
    </row>
    <row r="1086" spans="1:3" x14ac:dyDescent="0.35">
      <c r="A1086">
        <v>1076</v>
      </c>
      <c r="B1086" t="str">
        <f>IF(Sales_Deals!I1077&lt;&gt;"",IF(AND(Sales_Deals!I1077&gt;DATE(2024,9,30),Sales_Deals!I1077&lt;=DATE(2025,3,31)),Sales_Deals!J1077,""),"")</f>
        <v/>
      </c>
      <c r="C1086" t="str">
        <f>IF(Sales_Deals!I1077&lt;&gt;"",IF(AND(Sales_Deals!I1077&gt;DATE(2024,3,31),Sales_Deals!I1077&lt;=DATE(2024,9,30)),Sales_Deals!J1077,""),"")</f>
        <v/>
      </c>
    </row>
    <row r="1087" spans="1:3" x14ac:dyDescent="0.35">
      <c r="A1087">
        <v>1077</v>
      </c>
      <c r="B1087" t="str">
        <f>IF(Sales_Deals!I1078&lt;&gt;"",IF(AND(Sales_Deals!I1078&gt;DATE(2024,9,30),Sales_Deals!I1078&lt;=DATE(2025,3,31)),Sales_Deals!J1078,""),"")</f>
        <v/>
      </c>
      <c r="C1087" t="str">
        <f>IF(Sales_Deals!I1078&lt;&gt;"",IF(AND(Sales_Deals!I1078&gt;DATE(2024,3,31),Sales_Deals!I1078&lt;=DATE(2024,9,30)),Sales_Deals!J1078,""),"")</f>
        <v/>
      </c>
    </row>
    <row r="1088" spans="1:3" x14ac:dyDescent="0.35">
      <c r="A1088">
        <v>1078</v>
      </c>
      <c r="B1088" t="str">
        <f>IF(Sales_Deals!I1079&lt;&gt;"",IF(AND(Sales_Deals!I1079&gt;DATE(2024,9,30),Sales_Deals!I1079&lt;=DATE(2025,3,31)),Sales_Deals!J1079,""),"")</f>
        <v/>
      </c>
      <c r="C1088" t="str">
        <f>IF(Sales_Deals!I1079&lt;&gt;"",IF(AND(Sales_Deals!I1079&gt;DATE(2024,3,31),Sales_Deals!I1079&lt;=DATE(2024,9,30)),Sales_Deals!J1079,""),"")</f>
        <v/>
      </c>
    </row>
    <row r="1089" spans="1:3" x14ac:dyDescent="0.35">
      <c r="A1089">
        <v>1079</v>
      </c>
      <c r="B1089" t="str">
        <f>IF(Sales_Deals!I1080&lt;&gt;"",IF(AND(Sales_Deals!I1080&gt;DATE(2024,9,30),Sales_Deals!I1080&lt;=DATE(2025,3,31)),Sales_Deals!J1080,""),"")</f>
        <v/>
      </c>
      <c r="C1089">
        <f>IF(Sales_Deals!I1080&lt;&gt;"",IF(AND(Sales_Deals!I1080&gt;DATE(2024,3,31),Sales_Deals!I1080&lt;=DATE(2024,9,30)),Sales_Deals!J1080,""),"")</f>
        <v>22</v>
      </c>
    </row>
    <row r="1090" spans="1:3" x14ac:dyDescent="0.35">
      <c r="A1090">
        <v>1080</v>
      </c>
      <c r="B1090" t="str">
        <f>IF(Sales_Deals!I1081&lt;&gt;"",IF(AND(Sales_Deals!I1081&gt;DATE(2024,9,30),Sales_Deals!I1081&lt;=DATE(2025,3,31)),Sales_Deals!J1081,""),"")</f>
        <v/>
      </c>
      <c r="C1090" t="str">
        <f>IF(Sales_Deals!I1081&lt;&gt;"",IF(AND(Sales_Deals!I1081&gt;DATE(2024,3,31),Sales_Deals!I1081&lt;=DATE(2024,9,30)),Sales_Deals!J1081,""),"")</f>
        <v/>
      </c>
    </row>
    <row r="1091" spans="1:3" x14ac:dyDescent="0.35">
      <c r="A1091">
        <v>1081</v>
      </c>
      <c r="B1091" t="str">
        <f>IF(Sales_Deals!I1082&lt;&gt;"",IF(AND(Sales_Deals!I1082&gt;DATE(2024,9,30),Sales_Deals!I1082&lt;=DATE(2025,3,31)),Sales_Deals!J1082,""),"")</f>
        <v/>
      </c>
      <c r="C1091">
        <f>IF(Sales_Deals!I1082&lt;&gt;"",IF(AND(Sales_Deals!I1082&gt;DATE(2024,3,31),Sales_Deals!I1082&lt;=DATE(2024,9,30)),Sales_Deals!J1082,""),"")</f>
        <v>105</v>
      </c>
    </row>
    <row r="1092" spans="1:3" x14ac:dyDescent="0.35">
      <c r="A1092">
        <v>1082</v>
      </c>
      <c r="B1092" t="str">
        <f>IF(Sales_Deals!I1083&lt;&gt;"",IF(AND(Sales_Deals!I1083&gt;DATE(2024,9,30),Sales_Deals!I1083&lt;=DATE(2025,3,31)),Sales_Deals!J1083,""),"")</f>
        <v/>
      </c>
      <c r="C1092" t="str">
        <f>IF(Sales_Deals!I1083&lt;&gt;"",IF(AND(Sales_Deals!I1083&gt;DATE(2024,3,31),Sales_Deals!I1083&lt;=DATE(2024,9,30)),Sales_Deals!J1083,""),"")</f>
        <v/>
      </c>
    </row>
    <row r="1093" spans="1:3" x14ac:dyDescent="0.35">
      <c r="A1093">
        <v>1083</v>
      </c>
      <c r="B1093" t="str">
        <f>IF(Sales_Deals!I1084&lt;&gt;"",IF(AND(Sales_Deals!I1084&gt;DATE(2024,9,30),Sales_Deals!I1084&lt;=DATE(2025,3,31)),Sales_Deals!J1084,""),"")</f>
        <v/>
      </c>
      <c r="C1093" t="str">
        <f>IF(Sales_Deals!I1084&lt;&gt;"",IF(AND(Sales_Deals!I1084&gt;DATE(2024,3,31),Sales_Deals!I1084&lt;=DATE(2024,9,30)),Sales_Deals!J1084,""),"")</f>
        <v/>
      </c>
    </row>
    <row r="1094" spans="1:3" x14ac:dyDescent="0.35">
      <c r="A1094">
        <v>1084</v>
      </c>
      <c r="B1094" t="str">
        <f>IF(Sales_Deals!I1085&lt;&gt;"",IF(AND(Sales_Deals!I1085&gt;DATE(2024,9,30),Sales_Deals!I1085&lt;=DATE(2025,3,31)),Sales_Deals!J1085,""),"")</f>
        <v/>
      </c>
      <c r="C1094" t="str">
        <f>IF(Sales_Deals!I1085&lt;&gt;"",IF(AND(Sales_Deals!I1085&gt;DATE(2024,3,31),Sales_Deals!I1085&lt;=DATE(2024,9,30)),Sales_Deals!J1085,""),"")</f>
        <v/>
      </c>
    </row>
    <row r="1095" spans="1:3" x14ac:dyDescent="0.35">
      <c r="A1095">
        <v>1085</v>
      </c>
      <c r="B1095" t="str">
        <f>IF(Sales_Deals!I1086&lt;&gt;"",IF(AND(Sales_Deals!I1086&gt;DATE(2024,9,30),Sales_Deals!I1086&lt;=DATE(2025,3,31)),Sales_Deals!J1086,""),"")</f>
        <v/>
      </c>
      <c r="C1095" t="str">
        <f>IF(Sales_Deals!I1086&lt;&gt;"",IF(AND(Sales_Deals!I1086&gt;DATE(2024,3,31),Sales_Deals!I1086&lt;=DATE(2024,9,30)),Sales_Deals!J1086,""),"")</f>
        <v/>
      </c>
    </row>
    <row r="1096" spans="1:3" x14ac:dyDescent="0.35">
      <c r="A1096">
        <v>1086</v>
      </c>
      <c r="B1096" t="str">
        <f>IF(Sales_Deals!I1087&lt;&gt;"",IF(AND(Sales_Deals!I1087&gt;DATE(2024,9,30),Sales_Deals!I1087&lt;=DATE(2025,3,31)),Sales_Deals!J1087,""),"")</f>
        <v/>
      </c>
      <c r="C1096" t="str">
        <f>IF(Sales_Deals!I1087&lt;&gt;"",IF(AND(Sales_Deals!I1087&gt;DATE(2024,3,31),Sales_Deals!I1087&lt;=DATE(2024,9,30)),Sales_Deals!J1087,""),"")</f>
        <v/>
      </c>
    </row>
    <row r="1097" spans="1:3" x14ac:dyDescent="0.35">
      <c r="A1097">
        <v>1087</v>
      </c>
      <c r="B1097" t="str">
        <f>IF(Sales_Deals!I1088&lt;&gt;"",IF(AND(Sales_Deals!I1088&gt;DATE(2024,9,30),Sales_Deals!I1088&lt;=DATE(2025,3,31)),Sales_Deals!J1088,""),"")</f>
        <v/>
      </c>
      <c r="C1097" t="str">
        <f>IF(Sales_Deals!I1088&lt;&gt;"",IF(AND(Sales_Deals!I1088&gt;DATE(2024,3,31),Sales_Deals!I1088&lt;=DATE(2024,9,30)),Sales_Deals!J1088,""),"")</f>
        <v/>
      </c>
    </row>
    <row r="1098" spans="1:3" x14ac:dyDescent="0.35">
      <c r="A1098">
        <v>1088</v>
      </c>
      <c r="B1098" t="str">
        <f>IF(Sales_Deals!I1089&lt;&gt;"",IF(AND(Sales_Deals!I1089&gt;DATE(2024,9,30),Sales_Deals!I1089&lt;=DATE(2025,3,31)),Sales_Deals!J1089,""),"")</f>
        <v/>
      </c>
      <c r="C1098" t="str">
        <f>IF(Sales_Deals!I1089&lt;&gt;"",IF(AND(Sales_Deals!I1089&gt;DATE(2024,3,31),Sales_Deals!I1089&lt;=DATE(2024,9,30)),Sales_Deals!J1089,""),"")</f>
        <v/>
      </c>
    </row>
    <row r="1099" spans="1:3" x14ac:dyDescent="0.35">
      <c r="A1099">
        <v>1089</v>
      </c>
      <c r="B1099" t="str">
        <f>IF(Sales_Deals!I1090&lt;&gt;"",IF(AND(Sales_Deals!I1090&gt;DATE(2024,9,30),Sales_Deals!I1090&lt;=DATE(2025,3,31)),Sales_Deals!J1090,""),"")</f>
        <v/>
      </c>
      <c r="C1099" t="str">
        <f>IF(Sales_Deals!I1090&lt;&gt;"",IF(AND(Sales_Deals!I1090&gt;DATE(2024,3,31),Sales_Deals!I1090&lt;=DATE(2024,9,30)),Sales_Deals!J1090,""),"")</f>
        <v/>
      </c>
    </row>
    <row r="1100" spans="1:3" x14ac:dyDescent="0.35">
      <c r="A1100">
        <v>1090</v>
      </c>
      <c r="B1100" t="str">
        <f>IF(Sales_Deals!I1091&lt;&gt;"",IF(AND(Sales_Deals!I1091&gt;DATE(2024,9,30),Sales_Deals!I1091&lt;=DATE(2025,3,31)),Sales_Deals!J1091,""),"")</f>
        <v/>
      </c>
      <c r="C1100" t="str">
        <f>IF(Sales_Deals!I1091&lt;&gt;"",IF(AND(Sales_Deals!I1091&gt;DATE(2024,3,31),Sales_Deals!I1091&lt;=DATE(2024,9,30)),Sales_Deals!J1091,""),"")</f>
        <v/>
      </c>
    </row>
    <row r="1101" spans="1:3" x14ac:dyDescent="0.35">
      <c r="A1101">
        <v>1091</v>
      </c>
      <c r="B1101" t="str">
        <f>IF(Sales_Deals!I1092&lt;&gt;"",IF(AND(Sales_Deals!I1092&gt;DATE(2024,9,30),Sales_Deals!I1092&lt;=DATE(2025,3,31)),Sales_Deals!J1092,""),"")</f>
        <v/>
      </c>
      <c r="C1101" t="str">
        <f>IF(Sales_Deals!I1092&lt;&gt;"",IF(AND(Sales_Deals!I1092&gt;DATE(2024,3,31),Sales_Deals!I1092&lt;=DATE(2024,9,30)),Sales_Deals!J1092,""),"")</f>
        <v/>
      </c>
    </row>
    <row r="1102" spans="1:3" x14ac:dyDescent="0.35">
      <c r="A1102">
        <v>1092</v>
      </c>
      <c r="B1102" t="str">
        <f>IF(Sales_Deals!I1093&lt;&gt;"",IF(AND(Sales_Deals!I1093&gt;DATE(2024,9,30),Sales_Deals!I1093&lt;=DATE(2025,3,31)),Sales_Deals!J1093,""),"")</f>
        <v/>
      </c>
      <c r="C1102" t="str">
        <f>IF(Sales_Deals!I1093&lt;&gt;"",IF(AND(Sales_Deals!I1093&gt;DATE(2024,3,31),Sales_Deals!I1093&lt;=DATE(2024,9,30)),Sales_Deals!J1093,""),"")</f>
        <v/>
      </c>
    </row>
    <row r="1103" spans="1:3" x14ac:dyDescent="0.35">
      <c r="A1103">
        <v>1093</v>
      </c>
      <c r="B1103" t="str">
        <f>IF(Sales_Deals!I1094&lt;&gt;"",IF(AND(Sales_Deals!I1094&gt;DATE(2024,9,30),Sales_Deals!I1094&lt;=DATE(2025,3,31)),Sales_Deals!J1094,""),"")</f>
        <v/>
      </c>
      <c r="C1103" t="str">
        <f>IF(Sales_Deals!I1094&lt;&gt;"",IF(AND(Sales_Deals!I1094&gt;DATE(2024,3,31),Sales_Deals!I1094&lt;=DATE(2024,9,30)),Sales_Deals!J1094,""),"")</f>
        <v/>
      </c>
    </row>
    <row r="1104" spans="1:3" x14ac:dyDescent="0.35">
      <c r="A1104">
        <v>1094</v>
      </c>
      <c r="B1104" t="str">
        <f>IF(Sales_Deals!I1095&lt;&gt;"",IF(AND(Sales_Deals!I1095&gt;DATE(2024,9,30),Sales_Deals!I1095&lt;=DATE(2025,3,31)),Sales_Deals!J1095,""),"")</f>
        <v/>
      </c>
      <c r="C1104" t="str">
        <f>IF(Sales_Deals!I1095&lt;&gt;"",IF(AND(Sales_Deals!I1095&gt;DATE(2024,3,31),Sales_Deals!I1095&lt;=DATE(2024,9,30)),Sales_Deals!J1095,""),"")</f>
        <v/>
      </c>
    </row>
    <row r="1105" spans="1:3" x14ac:dyDescent="0.35">
      <c r="A1105">
        <v>1095</v>
      </c>
      <c r="B1105" t="str">
        <f>IF(Sales_Deals!I1096&lt;&gt;"",IF(AND(Sales_Deals!I1096&gt;DATE(2024,9,30),Sales_Deals!I1096&lt;=DATE(2025,3,31)),Sales_Deals!J1096,""),"")</f>
        <v/>
      </c>
      <c r="C1105" t="str">
        <f>IF(Sales_Deals!I1096&lt;&gt;"",IF(AND(Sales_Deals!I1096&gt;DATE(2024,3,31),Sales_Deals!I1096&lt;=DATE(2024,9,30)),Sales_Deals!J1096,""),"")</f>
        <v/>
      </c>
    </row>
    <row r="1106" spans="1:3" x14ac:dyDescent="0.35">
      <c r="A1106">
        <v>1096</v>
      </c>
      <c r="B1106" t="str">
        <f>IF(Sales_Deals!I1097&lt;&gt;"",IF(AND(Sales_Deals!I1097&gt;DATE(2024,9,30),Sales_Deals!I1097&lt;=DATE(2025,3,31)),Sales_Deals!J1097,""),"")</f>
        <v/>
      </c>
      <c r="C1106" t="str">
        <f>IF(Sales_Deals!I1097&lt;&gt;"",IF(AND(Sales_Deals!I1097&gt;DATE(2024,3,31),Sales_Deals!I1097&lt;=DATE(2024,9,30)),Sales_Deals!J1097,""),"")</f>
        <v/>
      </c>
    </row>
    <row r="1107" spans="1:3" x14ac:dyDescent="0.35">
      <c r="A1107">
        <v>1097</v>
      </c>
      <c r="B1107" t="str">
        <f>IF(Sales_Deals!I1098&lt;&gt;"",IF(AND(Sales_Deals!I1098&gt;DATE(2024,9,30),Sales_Deals!I1098&lt;=DATE(2025,3,31)),Sales_Deals!J1098,""),"")</f>
        <v/>
      </c>
      <c r="C1107" t="str">
        <f>IF(Sales_Deals!I1098&lt;&gt;"",IF(AND(Sales_Deals!I1098&gt;DATE(2024,3,31),Sales_Deals!I1098&lt;=DATE(2024,9,30)),Sales_Deals!J1098,""),"")</f>
        <v/>
      </c>
    </row>
    <row r="1108" spans="1:3" x14ac:dyDescent="0.35">
      <c r="A1108">
        <v>1098</v>
      </c>
      <c r="B1108" t="str">
        <f>IF(Sales_Deals!I1099&lt;&gt;"",IF(AND(Sales_Deals!I1099&gt;DATE(2024,9,30),Sales_Deals!I1099&lt;=DATE(2025,3,31)),Sales_Deals!J1099,""),"")</f>
        <v/>
      </c>
      <c r="C1108" t="str">
        <f>IF(Sales_Deals!I1099&lt;&gt;"",IF(AND(Sales_Deals!I1099&gt;DATE(2024,3,31),Sales_Deals!I1099&lt;=DATE(2024,9,30)),Sales_Deals!J1099,""),"")</f>
        <v/>
      </c>
    </row>
    <row r="1109" spans="1:3" x14ac:dyDescent="0.35">
      <c r="A1109">
        <v>1099</v>
      </c>
      <c r="B1109" t="str">
        <f>IF(Sales_Deals!I1100&lt;&gt;"",IF(AND(Sales_Deals!I1100&gt;DATE(2024,9,30),Sales_Deals!I1100&lt;=DATE(2025,3,31)),Sales_Deals!J1100,""),"")</f>
        <v/>
      </c>
      <c r="C1109" t="str">
        <f>IF(Sales_Deals!I1100&lt;&gt;"",IF(AND(Sales_Deals!I1100&gt;DATE(2024,3,31),Sales_Deals!I1100&lt;=DATE(2024,9,30)),Sales_Deals!J1100,""),"")</f>
        <v/>
      </c>
    </row>
    <row r="1110" spans="1:3" x14ac:dyDescent="0.35">
      <c r="A1110">
        <v>1100</v>
      </c>
      <c r="B1110">
        <f>IF(Sales_Deals!I1101&lt;&gt;"",IF(AND(Sales_Deals!I1101&gt;DATE(2024,9,30),Sales_Deals!I1101&lt;=DATE(2025,3,31)),Sales_Deals!J1101,""),"")</f>
        <v>102</v>
      </c>
      <c r="C1110" t="str">
        <f>IF(Sales_Deals!I1101&lt;&gt;"",IF(AND(Sales_Deals!I1101&gt;DATE(2024,3,31),Sales_Deals!I1101&lt;=DATE(2024,9,30)),Sales_Deals!J1101,""),"")</f>
        <v/>
      </c>
    </row>
    <row r="1111" spans="1:3" x14ac:dyDescent="0.35">
      <c r="A1111">
        <v>1101</v>
      </c>
      <c r="B1111" t="str">
        <f>IF(Sales_Deals!I1102&lt;&gt;"",IF(AND(Sales_Deals!I1102&gt;DATE(2024,9,30),Sales_Deals!I1102&lt;=DATE(2025,3,31)),Sales_Deals!J1102,""),"")</f>
        <v/>
      </c>
      <c r="C1111" t="str">
        <f>IF(Sales_Deals!I1102&lt;&gt;"",IF(AND(Sales_Deals!I1102&gt;DATE(2024,3,31),Sales_Deals!I1102&lt;=DATE(2024,9,30)),Sales_Deals!J1102,""),"")</f>
        <v/>
      </c>
    </row>
    <row r="1112" spans="1:3" x14ac:dyDescent="0.35">
      <c r="A1112">
        <v>1102</v>
      </c>
      <c r="B1112" t="str">
        <f>IF(Sales_Deals!I1103&lt;&gt;"",IF(AND(Sales_Deals!I1103&gt;DATE(2024,9,30),Sales_Deals!I1103&lt;=DATE(2025,3,31)),Sales_Deals!J1103,""),"")</f>
        <v/>
      </c>
      <c r="C1112" t="str">
        <f>IF(Sales_Deals!I1103&lt;&gt;"",IF(AND(Sales_Deals!I1103&gt;DATE(2024,3,31),Sales_Deals!I1103&lt;=DATE(2024,9,30)),Sales_Deals!J1103,""),"")</f>
        <v/>
      </c>
    </row>
    <row r="1113" spans="1:3" x14ac:dyDescent="0.35">
      <c r="A1113">
        <v>1103</v>
      </c>
      <c r="B1113" t="str">
        <f>IF(Sales_Deals!I1104&lt;&gt;"",IF(AND(Sales_Deals!I1104&gt;DATE(2024,9,30),Sales_Deals!I1104&lt;=DATE(2025,3,31)),Sales_Deals!J1104,""),"")</f>
        <v/>
      </c>
      <c r="C1113" t="str">
        <f>IF(Sales_Deals!I1104&lt;&gt;"",IF(AND(Sales_Deals!I1104&gt;DATE(2024,3,31),Sales_Deals!I1104&lt;=DATE(2024,9,30)),Sales_Deals!J1104,""),"")</f>
        <v/>
      </c>
    </row>
    <row r="1114" spans="1:3" x14ac:dyDescent="0.35">
      <c r="A1114">
        <v>1104</v>
      </c>
      <c r="B1114" t="str">
        <f>IF(Sales_Deals!I1105&lt;&gt;"",IF(AND(Sales_Deals!I1105&gt;DATE(2024,9,30),Sales_Deals!I1105&lt;=DATE(2025,3,31)),Sales_Deals!J1105,""),"")</f>
        <v/>
      </c>
      <c r="C1114" t="str">
        <f>IF(Sales_Deals!I1105&lt;&gt;"",IF(AND(Sales_Deals!I1105&gt;DATE(2024,3,31),Sales_Deals!I1105&lt;=DATE(2024,9,30)),Sales_Deals!J1105,""),"")</f>
        <v/>
      </c>
    </row>
    <row r="1115" spans="1:3" x14ac:dyDescent="0.35">
      <c r="A1115">
        <v>1105</v>
      </c>
      <c r="B1115" t="str">
        <f>IF(Sales_Deals!I1106&lt;&gt;"",IF(AND(Sales_Deals!I1106&gt;DATE(2024,9,30),Sales_Deals!I1106&lt;=DATE(2025,3,31)),Sales_Deals!J1106,""),"")</f>
        <v/>
      </c>
      <c r="C1115" t="str">
        <f>IF(Sales_Deals!I1106&lt;&gt;"",IF(AND(Sales_Deals!I1106&gt;DATE(2024,3,31),Sales_Deals!I1106&lt;=DATE(2024,9,30)),Sales_Deals!J1106,""),"")</f>
        <v/>
      </c>
    </row>
    <row r="1116" spans="1:3" x14ac:dyDescent="0.35">
      <c r="A1116">
        <v>1106</v>
      </c>
      <c r="B1116" t="str">
        <f>IF(Sales_Deals!I1107&lt;&gt;"",IF(AND(Sales_Deals!I1107&gt;DATE(2024,9,30),Sales_Deals!I1107&lt;=DATE(2025,3,31)),Sales_Deals!J1107,""),"")</f>
        <v/>
      </c>
      <c r="C1116" t="str">
        <f>IF(Sales_Deals!I1107&lt;&gt;"",IF(AND(Sales_Deals!I1107&gt;DATE(2024,3,31),Sales_Deals!I1107&lt;=DATE(2024,9,30)),Sales_Deals!J1107,""),"")</f>
        <v/>
      </c>
    </row>
    <row r="1117" spans="1:3" x14ac:dyDescent="0.35">
      <c r="A1117">
        <v>1107</v>
      </c>
      <c r="B1117" t="str">
        <f>IF(Sales_Deals!I1108&lt;&gt;"",IF(AND(Sales_Deals!I1108&gt;DATE(2024,9,30),Sales_Deals!I1108&lt;=DATE(2025,3,31)),Sales_Deals!J1108,""),"")</f>
        <v/>
      </c>
      <c r="C1117" t="str">
        <f>IF(Sales_Deals!I1108&lt;&gt;"",IF(AND(Sales_Deals!I1108&gt;DATE(2024,3,31),Sales_Deals!I1108&lt;=DATE(2024,9,30)),Sales_Deals!J1108,""),"")</f>
        <v/>
      </c>
    </row>
    <row r="1118" spans="1:3" x14ac:dyDescent="0.35">
      <c r="A1118">
        <v>1108</v>
      </c>
      <c r="B1118" t="str">
        <f>IF(Sales_Deals!I1109&lt;&gt;"",IF(AND(Sales_Deals!I1109&gt;DATE(2024,9,30),Sales_Deals!I1109&lt;=DATE(2025,3,31)),Sales_Deals!J1109,""),"")</f>
        <v/>
      </c>
      <c r="C1118">
        <f>IF(Sales_Deals!I1109&lt;&gt;"",IF(AND(Sales_Deals!I1109&gt;DATE(2024,3,31),Sales_Deals!I1109&lt;=DATE(2024,9,30)),Sales_Deals!J1109,""),"")</f>
        <v>112</v>
      </c>
    </row>
    <row r="1119" spans="1:3" x14ac:dyDescent="0.35">
      <c r="A1119">
        <v>1109</v>
      </c>
      <c r="B1119" t="str">
        <f>IF(Sales_Deals!I1110&lt;&gt;"",IF(AND(Sales_Deals!I1110&gt;DATE(2024,9,30),Sales_Deals!I1110&lt;=DATE(2025,3,31)),Sales_Deals!J1110,""),"")</f>
        <v/>
      </c>
      <c r="C1119" t="str">
        <f>IF(Sales_Deals!I1110&lt;&gt;"",IF(AND(Sales_Deals!I1110&gt;DATE(2024,3,31),Sales_Deals!I1110&lt;=DATE(2024,9,30)),Sales_Deals!J1110,""),"")</f>
        <v/>
      </c>
    </row>
    <row r="1120" spans="1:3" x14ac:dyDescent="0.35">
      <c r="A1120">
        <v>1110</v>
      </c>
      <c r="B1120" t="str">
        <f>IF(Sales_Deals!I1111&lt;&gt;"",IF(AND(Sales_Deals!I1111&gt;DATE(2024,9,30),Sales_Deals!I1111&lt;=DATE(2025,3,31)),Sales_Deals!J1111,""),"")</f>
        <v/>
      </c>
      <c r="C1120" t="str">
        <f>IF(Sales_Deals!I1111&lt;&gt;"",IF(AND(Sales_Deals!I1111&gt;DATE(2024,3,31),Sales_Deals!I1111&lt;=DATE(2024,9,30)),Sales_Deals!J1111,""),"")</f>
        <v/>
      </c>
    </row>
    <row r="1121" spans="1:3" x14ac:dyDescent="0.35">
      <c r="A1121">
        <v>1111</v>
      </c>
      <c r="B1121">
        <f>IF(Sales_Deals!I1112&lt;&gt;"",IF(AND(Sales_Deals!I1112&gt;DATE(2024,9,30),Sales_Deals!I1112&lt;=DATE(2025,3,31)),Sales_Deals!J1112,""),"")</f>
        <v>25</v>
      </c>
      <c r="C1121" t="str">
        <f>IF(Sales_Deals!I1112&lt;&gt;"",IF(AND(Sales_Deals!I1112&gt;DATE(2024,3,31),Sales_Deals!I1112&lt;=DATE(2024,9,30)),Sales_Deals!J1112,""),"")</f>
        <v/>
      </c>
    </row>
    <row r="1122" spans="1:3" x14ac:dyDescent="0.35">
      <c r="A1122">
        <v>1112</v>
      </c>
      <c r="B1122" t="str">
        <f>IF(Sales_Deals!I1113&lt;&gt;"",IF(AND(Sales_Deals!I1113&gt;DATE(2024,9,30),Sales_Deals!I1113&lt;=DATE(2025,3,31)),Sales_Deals!J1113,""),"")</f>
        <v/>
      </c>
      <c r="C1122">
        <f>IF(Sales_Deals!I1113&lt;&gt;"",IF(AND(Sales_Deals!I1113&gt;DATE(2024,3,31),Sales_Deals!I1113&lt;=DATE(2024,9,30)),Sales_Deals!J1113,""),"")</f>
        <v>168</v>
      </c>
    </row>
    <row r="1123" spans="1:3" x14ac:dyDescent="0.35">
      <c r="A1123">
        <v>1113</v>
      </c>
      <c r="B1123" t="str">
        <f>IF(Sales_Deals!I1114&lt;&gt;"",IF(AND(Sales_Deals!I1114&gt;DATE(2024,9,30),Sales_Deals!I1114&lt;=DATE(2025,3,31)),Sales_Deals!J1114,""),"")</f>
        <v/>
      </c>
      <c r="C1123">
        <f>IF(Sales_Deals!I1114&lt;&gt;"",IF(AND(Sales_Deals!I1114&gt;DATE(2024,3,31),Sales_Deals!I1114&lt;=DATE(2024,9,30)),Sales_Deals!J1114,""),"")</f>
        <v>155</v>
      </c>
    </row>
    <row r="1124" spans="1:3" x14ac:dyDescent="0.35">
      <c r="A1124">
        <v>1114</v>
      </c>
      <c r="B1124" t="str">
        <f>IF(Sales_Deals!I1115&lt;&gt;"",IF(AND(Sales_Deals!I1115&gt;DATE(2024,9,30),Sales_Deals!I1115&lt;=DATE(2025,3,31)),Sales_Deals!J1115,""),"")</f>
        <v/>
      </c>
      <c r="C1124" t="str">
        <f>IF(Sales_Deals!I1115&lt;&gt;"",IF(AND(Sales_Deals!I1115&gt;DATE(2024,3,31),Sales_Deals!I1115&lt;=DATE(2024,9,30)),Sales_Deals!J1115,""),"")</f>
        <v/>
      </c>
    </row>
    <row r="1125" spans="1:3" x14ac:dyDescent="0.35">
      <c r="A1125">
        <v>1115</v>
      </c>
      <c r="B1125" t="str">
        <f>IF(Sales_Deals!I1116&lt;&gt;"",IF(AND(Sales_Deals!I1116&gt;DATE(2024,9,30),Sales_Deals!I1116&lt;=DATE(2025,3,31)),Sales_Deals!J1116,""),"")</f>
        <v/>
      </c>
      <c r="C1125" t="str">
        <f>IF(Sales_Deals!I1116&lt;&gt;"",IF(AND(Sales_Deals!I1116&gt;DATE(2024,3,31),Sales_Deals!I1116&lt;=DATE(2024,9,30)),Sales_Deals!J1116,""),"")</f>
        <v/>
      </c>
    </row>
    <row r="1126" spans="1:3" x14ac:dyDescent="0.35">
      <c r="A1126">
        <v>1116</v>
      </c>
      <c r="B1126" t="str">
        <f>IF(Sales_Deals!I1117&lt;&gt;"",IF(AND(Sales_Deals!I1117&gt;DATE(2024,9,30),Sales_Deals!I1117&lt;=DATE(2025,3,31)),Sales_Deals!J1117,""),"")</f>
        <v/>
      </c>
      <c r="C1126" t="str">
        <f>IF(Sales_Deals!I1117&lt;&gt;"",IF(AND(Sales_Deals!I1117&gt;DATE(2024,3,31),Sales_Deals!I1117&lt;=DATE(2024,9,30)),Sales_Deals!J1117,""),"")</f>
        <v/>
      </c>
    </row>
    <row r="1127" spans="1:3" x14ac:dyDescent="0.35">
      <c r="A1127">
        <v>1117</v>
      </c>
      <c r="B1127" t="str">
        <f>IF(Sales_Deals!I1118&lt;&gt;"",IF(AND(Sales_Deals!I1118&gt;DATE(2024,9,30),Sales_Deals!I1118&lt;=DATE(2025,3,31)),Sales_Deals!J1118,""),"")</f>
        <v/>
      </c>
      <c r="C1127" t="str">
        <f>IF(Sales_Deals!I1118&lt;&gt;"",IF(AND(Sales_Deals!I1118&gt;DATE(2024,3,31),Sales_Deals!I1118&lt;=DATE(2024,9,30)),Sales_Deals!J1118,""),"")</f>
        <v/>
      </c>
    </row>
    <row r="1128" spans="1:3" x14ac:dyDescent="0.35">
      <c r="A1128">
        <v>1118</v>
      </c>
      <c r="B1128" t="str">
        <f>IF(Sales_Deals!I1119&lt;&gt;"",IF(AND(Sales_Deals!I1119&gt;DATE(2024,9,30),Sales_Deals!I1119&lt;=DATE(2025,3,31)),Sales_Deals!J1119,""),"")</f>
        <v/>
      </c>
      <c r="C1128" t="str">
        <f>IF(Sales_Deals!I1119&lt;&gt;"",IF(AND(Sales_Deals!I1119&gt;DATE(2024,3,31),Sales_Deals!I1119&lt;=DATE(2024,9,30)),Sales_Deals!J1119,""),"")</f>
        <v/>
      </c>
    </row>
    <row r="1129" spans="1:3" x14ac:dyDescent="0.35">
      <c r="A1129">
        <v>1119</v>
      </c>
      <c r="B1129" t="str">
        <f>IF(Sales_Deals!I1120&lt;&gt;"",IF(AND(Sales_Deals!I1120&gt;DATE(2024,9,30),Sales_Deals!I1120&lt;=DATE(2025,3,31)),Sales_Deals!J1120,""),"")</f>
        <v/>
      </c>
      <c r="C1129" t="str">
        <f>IF(Sales_Deals!I1120&lt;&gt;"",IF(AND(Sales_Deals!I1120&gt;DATE(2024,3,31),Sales_Deals!I1120&lt;=DATE(2024,9,30)),Sales_Deals!J1120,""),"")</f>
        <v/>
      </c>
    </row>
    <row r="1130" spans="1:3" x14ac:dyDescent="0.35">
      <c r="A1130">
        <v>1120</v>
      </c>
      <c r="B1130" t="str">
        <f>IF(Sales_Deals!I1121&lt;&gt;"",IF(AND(Sales_Deals!I1121&gt;DATE(2024,9,30),Sales_Deals!I1121&lt;=DATE(2025,3,31)),Sales_Deals!J1121,""),"")</f>
        <v/>
      </c>
      <c r="C1130">
        <f>IF(Sales_Deals!I1121&lt;&gt;"",IF(AND(Sales_Deals!I1121&gt;DATE(2024,3,31),Sales_Deals!I1121&lt;=DATE(2024,9,30)),Sales_Deals!J1121,""),"")</f>
        <v>70</v>
      </c>
    </row>
    <row r="1131" spans="1:3" x14ac:dyDescent="0.35">
      <c r="A1131">
        <v>1121</v>
      </c>
      <c r="B1131" t="str">
        <f>IF(Sales_Deals!I1122&lt;&gt;"",IF(AND(Sales_Deals!I1122&gt;DATE(2024,9,30),Sales_Deals!I1122&lt;=DATE(2025,3,31)),Sales_Deals!J1122,""),"")</f>
        <v/>
      </c>
      <c r="C1131" t="str">
        <f>IF(Sales_Deals!I1122&lt;&gt;"",IF(AND(Sales_Deals!I1122&gt;DATE(2024,3,31),Sales_Deals!I1122&lt;=DATE(2024,9,30)),Sales_Deals!J1122,""),"")</f>
        <v/>
      </c>
    </row>
    <row r="1132" spans="1:3" x14ac:dyDescent="0.35">
      <c r="A1132">
        <v>1122</v>
      </c>
      <c r="B1132" t="str">
        <f>IF(Sales_Deals!I1123&lt;&gt;"",IF(AND(Sales_Deals!I1123&gt;DATE(2024,9,30),Sales_Deals!I1123&lt;=DATE(2025,3,31)),Sales_Deals!J1123,""),"")</f>
        <v/>
      </c>
      <c r="C1132" t="str">
        <f>IF(Sales_Deals!I1123&lt;&gt;"",IF(AND(Sales_Deals!I1123&gt;DATE(2024,3,31),Sales_Deals!I1123&lt;=DATE(2024,9,30)),Sales_Deals!J1123,""),"")</f>
        <v/>
      </c>
    </row>
    <row r="1133" spans="1:3" x14ac:dyDescent="0.35">
      <c r="A1133">
        <v>1123</v>
      </c>
      <c r="B1133" t="str">
        <f>IF(Sales_Deals!I1124&lt;&gt;"",IF(AND(Sales_Deals!I1124&gt;DATE(2024,9,30),Sales_Deals!I1124&lt;=DATE(2025,3,31)),Sales_Deals!J1124,""),"")</f>
        <v/>
      </c>
      <c r="C1133" t="str">
        <f>IF(Sales_Deals!I1124&lt;&gt;"",IF(AND(Sales_Deals!I1124&gt;DATE(2024,3,31),Sales_Deals!I1124&lt;=DATE(2024,9,30)),Sales_Deals!J1124,""),"")</f>
        <v/>
      </c>
    </row>
    <row r="1134" spans="1:3" x14ac:dyDescent="0.35">
      <c r="A1134">
        <v>1124</v>
      </c>
      <c r="B1134" t="str">
        <f>IF(Sales_Deals!I1125&lt;&gt;"",IF(AND(Sales_Deals!I1125&gt;DATE(2024,9,30),Sales_Deals!I1125&lt;=DATE(2025,3,31)),Sales_Deals!J1125,""),"")</f>
        <v/>
      </c>
      <c r="C1134" t="str">
        <f>IF(Sales_Deals!I1125&lt;&gt;"",IF(AND(Sales_Deals!I1125&gt;DATE(2024,3,31),Sales_Deals!I1125&lt;=DATE(2024,9,30)),Sales_Deals!J1125,""),"")</f>
        <v/>
      </c>
    </row>
    <row r="1135" spans="1:3" x14ac:dyDescent="0.35">
      <c r="A1135">
        <v>1125</v>
      </c>
      <c r="B1135" t="str">
        <f>IF(Sales_Deals!I1126&lt;&gt;"",IF(AND(Sales_Deals!I1126&gt;DATE(2024,9,30),Sales_Deals!I1126&lt;=DATE(2025,3,31)),Sales_Deals!J1126,""),"")</f>
        <v/>
      </c>
      <c r="C1135" t="str">
        <f>IF(Sales_Deals!I1126&lt;&gt;"",IF(AND(Sales_Deals!I1126&gt;DATE(2024,3,31),Sales_Deals!I1126&lt;=DATE(2024,9,30)),Sales_Deals!J1126,""),"")</f>
        <v/>
      </c>
    </row>
    <row r="1136" spans="1:3" x14ac:dyDescent="0.35">
      <c r="A1136">
        <v>1126</v>
      </c>
      <c r="B1136" t="str">
        <f>IF(Sales_Deals!I1127&lt;&gt;"",IF(AND(Sales_Deals!I1127&gt;DATE(2024,9,30),Sales_Deals!I1127&lt;=DATE(2025,3,31)),Sales_Deals!J1127,""),"")</f>
        <v/>
      </c>
      <c r="C1136" t="str">
        <f>IF(Sales_Deals!I1127&lt;&gt;"",IF(AND(Sales_Deals!I1127&gt;DATE(2024,3,31),Sales_Deals!I1127&lt;=DATE(2024,9,30)),Sales_Deals!J1127,""),"")</f>
        <v/>
      </c>
    </row>
    <row r="1137" spans="1:3" x14ac:dyDescent="0.35">
      <c r="A1137">
        <v>1127</v>
      </c>
      <c r="B1137" t="str">
        <f>IF(Sales_Deals!I1128&lt;&gt;"",IF(AND(Sales_Deals!I1128&gt;DATE(2024,9,30),Sales_Deals!I1128&lt;=DATE(2025,3,31)),Sales_Deals!J1128,""),"")</f>
        <v/>
      </c>
      <c r="C1137" t="str">
        <f>IF(Sales_Deals!I1128&lt;&gt;"",IF(AND(Sales_Deals!I1128&gt;DATE(2024,3,31),Sales_Deals!I1128&lt;=DATE(2024,9,30)),Sales_Deals!J1128,""),"")</f>
        <v/>
      </c>
    </row>
    <row r="1138" spans="1:3" x14ac:dyDescent="0.35">
      <c r="A1138">
        <v>1128</v>
      </c>
      <c r="B1138" t="str">
        <f>IF(Sales_Deals!I1129&lt;&gt;"",IF(AND(Sales_Deals!I1129&gt;DATE(2024,9,30),Sales_Deals!I1129&lt;=DATE(2025,3,31)),Sales_Deals!J1129,""),"")</f>
        <v/>
      </c>
      <c r="C1138" t="str">
        <f>IF(Sales_Deals!I1129&lt;&gt;"",IF(AND(Sales_Deals!I1129&gt;DATE(2024,3,31),Sales_Deals!I1129&lt;=DATE(2024,9,30)),Sales_Deals!J1129,""),"")</f>
        <v/>
      </c>
    </row>
    <row r="1139" spans="1:3" x14ac:dyDescent="0.35">
      <c r="A1139">
        <v>1129</v>
      </c>
      <c r="B1139" t="str">
        <f>IF(Sales_Deals!I1130&lt;&gt;"",IF(AND(Sales_Deals!I1130&gt;DATE(2024,9,30),Sales_Deals!I1130&lt;=DATE(2025,3,31)),Sales_Deals!J1130,""),"")</f>
        <v/>
      </c>
      <c r="C1139" t="str">
        <f>IF(Sales_Deals!I1130&lt;&gt;"",IF(AND(Sales_Deals!I1130&gt;DATE(2024,3,31),Sales_Deals!I1130&lt;=DATE(2024,9,30)),Sales_Deals!J1130,""),"")</f>
        <v/>
      </c>
    </row>
    <row r="1140" spans="1:3" x14ac:dyDescent="0.35">
      <c r="A1140">
        <v>1130</v>
      </c>
      <c r="B1140" t="str">
        <f>IF(Sales_Deals!I1131&lt;&gt;"",IF(AND(Sales_Deals!I1131&gt;DATE(2024,9,30),Sales_Deals!I1131&lt;=DATE(2025,3,31)),Sales_Deals!J1131,""),"")</f>
        <v/>
      </c>
      <c r="C1140">
        <f>IF(Sales_Deals!I1131&lt;&gt;"",IF(AND(Sales_Deals!I1131&gt;DATE(2024,3,31),Sales_Deals!I1131&lt;=DATE(2024,9,30)),Sales_Deals!J1131,""),"")</f>
        <v>110</v>
      </c>
    </row>
    <row r="1141" spans="1:3" x14ac:dyDescent="0.35">
      <c r="A1141">
        <v>1131</v>
      </c>
      <c r="B1141" t="str">
        <f>IF(Sales_Deals!I1132&lt;&gt;"",IF(AND(Sales_Deals!I1132&gt;DATE(2024,9,30),Sales_Deals!I1132&lt;=DATE(2025,3,31)),Sales_Deals!J1132,""),"")</f>
        <v/>
      </c>
      <c r="C1141" t="str">
        <f>IF(Sales_Deals!I1132&lt;&gt;"",IF(AND(Sales_Deals!I1132&gt;DATE(2024,3,31),Sales_Deals!I1132&lt;=DATE(2024,9,30)),Sales_Deals!J1132,""),"")</f>
        <v/>
      </c>
    </row>
    <row r="1142" spans="1:3" x14ac:dyDescent="0.35">
      <c r="A1142">
        <v>1132</v>
      </c>
      <c r="B1142" t="str">
        <f>IF(Sales_Deals!I1133&lt;&gt;"",IF(AND(Sales_Deals!I1133&gt;DATE(2024,9,30),Sales_Deals!I1133&lt;=DATE(2025,3,31)),Sales_Deals!J1133,""),"")</f>
        <v/>
      </c>
      <c r="C1142" t="str">
        <f>IF(Sales_Deals!I1133&lt;&gt;"",IF(AND(Sales_Deals!I1133&gt;DATE(2024,3,31),Sales_Deals!I1133&lt;=DATE(2024,9,30)),Sales_Deals!J1133,""),"")</f>
        <v/>
      </c>
    </row>
    <row r="1143" spans="1:3" x14ac:dyDescent="0.35">
      <c r="A1143">
        <v>1133</v>
      </c>
      <c r="B1143" t="str">
        <f>IF(Sales_Deals!I1134&lt;&gt;"",IF(AND(Sales_Deals!I1134&gt;DATE(2024,9,30),Sales_Deals!I1134&lt;=DATE(2025,3,31)),Sales_Deals!J1134,""),"")</f>
        <v/>
      </c>
      <c r="C1143" t="str">
        <f>IF(Sales_Deals!I1134&lt;&gt;"",IF(AND(Sales_Deals!I1134&gt;DATE(2024,3,31),Sales_Deals!I1134&lt;=DATE(2024,9,30)),Sales_Deals!J1134,""),"")</f>
        <v/>
      </c>
    </row>
    <row r="1144" spans="1:3" x14ac:dyDescent="0.35">
      <c r="A1144">
        <v>1134</v>
      </c>
      <c r="B1144" t="str">
        <f>IF(Sales_Deals!I1135&lt;&gt;"",IF(AND(Sales_Deals!I1135&gt;DATE(2024,9,30),Sales_Deals!I1135&lt;=DATE(2025,3,31)),Sales_Deals!J1135,""),"")</f>
        <v/>
      </c>
      <c r="C1144">
        <f>IF(Sales_Deals!I1135&lt;&gt;"",IF(AND(Sales_Deals!I1135&gt;DATE(2024,3,31),Sales_Deals!I1135&lt;=DATE(2024,9,30)),Sales_Deals!J1135,""),"")</f>
        <v>31</v>
      </c>
    </row>
    <row r="1145" spans="1:3" x14ac:dyDescent="0.35">
      <c r="A1145">
        <v>1135</v>
      </c>
      <c r="B1145" t="str">
        <f>IF(Sales_Deals!I1136&lt;&gt;"",IF(AND(Sales_Deals!I1136&gt;DATE(2024,9,30),Sales_Deals!I1136&lt;=DATE(2025,3,31)),Sales_Deals!J1136,""),"")</f>
        <v/>
      </c>
      <c r="C1145">
        <f>IF(Sales_Deals!I1136&lt;&gt;"",IF(AND(Sales_Deals!I1136&gt;DATE(2024,3,31),Sales_Deals!I1136&lt;=DATE(2024,9,30)),Sales_Deals!J1136,""),"")</f>
        <v>93</v>
      </c>
    </row>
    <row r="1146" spans="1:3" x14ac:dyDescent="0.35">
      <c r="A1146">
        <v>1136</v>
      </c>
      <c r="B1146" t="str">
        <f>IF(Sales_Deals!I1137&lt;&gt;"",IF(AND(Sales_Deals!I1137&gt;DATE(2024,9,30),Sales_Deals!I1137&lt;=DATE(2025,3,31)),Sales_Deals!J1137,""),"")</f>
        <v/>
      </c>
      <c r="C1146" t="str">
        <f>IF(Sales_Deals!I1137&lt;&gt;"",IF(AND(Sales_Deals!I1137&gt;DATE(2024,3,31),Sales_Deals!I1137&lt;=DATE(2024,9,30)),Sales_Deals!J1137,""),"")</f>
        <v/>
      </c>
    </row>
    <row r="1147" spans="1:3" x14ac:dyDescent="0.35">
      <c r="A1147">
        <v>1137</v>
      </c>
      <c r="B1147" t="str">
        <f>IF(Sales_Deals!I1138&lt;&gt;"",IF(AND(Sales_Deals!I1138&gt;DATE(2024,9,30),Sales_Deals!I1138&lt;=DATE(2025,3,31)),Sales_Deals!J1138,""),"")</f>
        <v/>
      </c>
      <c r="C1147">
        <f>IF(Sales_Deals!I1138&lt;&gt;"",IF(AND(Sales_Deals!I1138&gt;DATE(2024,3,31),Sales_Deals!I1138&lt;=DATE(2024,9,30)),Sales_Deals!J1138,""),"")</f>
        <v>53</v>
      </c>
    </row>
    <row r="1148" spans="1:3" x14ac:dyDescent="0.35">
      <c r="A1148">
        <v>1138</v>
      </c>
      <c r="B1148" t="str">
        <f>IF(Sales_Deals!I1139&lt;&gt;"",IF(AND(Sales_Deals!I1139&gt;DATE(2024,9,30),Sales_Deals!I1139&lt;=DATE(2025,3,31)),Sales_Deals!J1139,""),"")</f>
        <v/>
      </c>
      <c r="C1148" t="str">
        <f>IF(Sales_Deals!I1139&lt;&gt;"",IF(AND(Sales_Deals!I1139&gt;DATE(2024,3,31),Sales_Deals!I1139&lt;=DATE(2024,9,30)),Sales_Deals!J1139,""),"")</f>
        <v/>
      </c>
    </row>
    <row r="1149" spans="1:3" x14ac:dyDescent="0.35">
      <c r="A1149">
        <v>1139</v>
      </c>
      <c r="B1149" t="str">
        <f>IF(Sales_Deals!I1140&lt;&gt;"",IF(AND(Sales_Deals!I1140&gt;DATE(2024,9,30),Sales_Deals!I1140&lt;=DATE(2025,3,31)),Sales_Deals!J1140,""),"")</f>
        <v/>
      </c>
      <c r="C1149">
        <f>IF(Sales_Deals!I1140&lt;&gt;"",IF(AND(Sales_Deals!I1140&gt;DATE(2024,3,31),Sales_Deals!I1140&lt;=DATE(2024,9,30)),Sales_Deals!J1140,""),"")</f>
        <v>178</v>
      </c>
    </row>
    <row r="1150" spans="1:3" x14ac:dyDescent="0.35">
      <c r="A1150">
        <v>1140</v>
      </c>
      <c r="B1150" t="str">
        <f>IF(Sales_Deals!I1141&lt;&gt;"",IF(AND(Sales_Deals!I1141&gt;DATE(2024,9,30),Sales_Deals!I1141&lt;=DATE(2025,3,31)),Sales_Deals!J1141,""),"")</f>
        <v/>
      </c>
      <c r="C1150" t="str">
        <f>IF(Sales_Deals!I1141&lt;&gt;"",IF(AND(Sales_Deals!I1141&gt;DATE(2024,3,31),Sales_Deals!I1141&lt;=DATE(2024,9,30)),Sales_Deals!J1141,""),"")</f>
        <v/>
      </c>
    </row>
    <row r="1151" spans="1:3" x14ac:dyDescent="0.35">
      <c r="A1151">
        <v>1141</v>
      </c>
      <c r="B1151" t="str">
        <f>IF(Sales_Deals!I1142&lt;&gt;"",IF(AND(Sales_Deals!I1142&gt;DATE(2024,9,30),Sales_Deals!I1142&lt;=DATE(2025,3,31)),Sales_Deals!J1142,""),"")</f>
        <v/>
      </c>
      <c r="C1151" t="str">
        <f>IF(Sales_Deals!I1142&lt;&gt;"",IF(AND(Sales_Deals!I1142&gt;DATE(2024,3,31),Sales_Deals!I1142&lt;=DATE(2024,9,30)),Sales_Deals!J1142,""),"")</f>
        <v/>
      </c>
    </row>
    <row r="1152" spans="1:3" x14ac:dyDescent="0.35">
      <c r="A1152">
        <v>1142</v>
      </c>
      <c r="B1152" t="str">
        <f>IF(Sales_Deals!I1143&lt;&gt;"",IF(AND(Sales_Deals!I1143&gt;DATE(2024,9,30),Sales_Deals!I1143&lt;=DATE(2025,3,31)),Sales_Deals!J1143,""),"")</f>
        <v/>
      </c>
      <c r="C1152" t="str">
        <f>IF(Sales_Deals!I1143&lt;&gt;"",IF(AND(Sales_Deals!I1143&gt;DATE(2024,3,31),Sales_Deals!I1143&lt;=DATE(2024,9,30)),Sales_Deals!J1143,""),"")</f>
        <v/>
      </c>
    </row>
    <row r="1153" spans="1:3" x14ac:dyDescent="0.35">
      <c r="A1153">
        <v>1143</v>
      </c>
      <c r="B1153" t="str">
        <f>IF(Sales_Deals!I1144&lt;&gt;"",IF(AND(Sales_Deals!I1144&gt;DATE(2024,9,30),Sales_Deals!I1144&lt;=DATE(2025,3,31)),Sales_Deals!J1144,""),"")</f>
        <v/>
      </c>
      <c r="C1153" t="str">
        <f>IF(Sales_Deals!I1144&lt;&gt;"",IF(AND(Sales_Deals!I1144&gt;DATE(2024,3,31),Sales_Deals!I1144&lt;=DATE(2024,9,30)),Sales_Deals!J1144,""),"")</f>
        <v/>
      </c>
    </row>
    <row r="1154" spans="1:3" x14ac:dyDescent="0.35">
      <c r="A1154">
        <v>1144</v>
      </c>
      <c r="B1154" t="str">
        <f>IF(Sales_Deals!I1145&lt;&gt;"",IF(AND(Sales_Deals!I1145&gt;DATE(2024,9,30),Sales_Deals!I1145&lt;=DATE(2025,3,31)),Sales_Deals!J1145,""),"")</f>
        <v/>
      </c>
      <c r="C1154" t="str">
        <f>IF(Sales_Deals!I1145&lt;&gt;"",IF(AND(Sales_Deals!I1145&gt;DATE(2024,3,31),Sales_Deals!I1145&lt;=DATE(2024,9,30)),Sales_Deals!J1145,""),"")</f>
        <v/>
      </c>
    </row>
    <row r="1155" spans="1:3" x14ac:dyDescent="0.35">
      <c r="A1155">
        <v>1145</v>
      </c>
      <c r="B1155" t="str">
        <f>IF(Sales_Deals!I1146&lt;&gt;"",IF(AND(Sales_Deals!I1146&gt;DATE(2024,9,30),Sales_Deals!I1146&lt;=DATE(2025,3,31)),Sales_Deals!J1146,""),"")</f>
        <v/>
      </c>
      <c r="C1155" t="str">
        <f>IF(Sales_Deals!I1146&lt;&gt;"",IF(AND(Sales_Deals!I1146&gt;DATE(2024,3,31),Sales_Deals!I1146&lt;=DATE(2024,9,30)),Sales_Deals!J1146,""),"")</f>
        <v/>
      </c>
    </row>
    <row r="1156" spans="1:3" x14ac:dyDescent="0.35">
      <c r="A1156">
        <v>1146</v>
      </c>
      <c r="B1156" t="str">
        <f>IF(Sales_Deals!I1147&lt;&gt;"",IF(AND(Sales_Deals!I1147&gt;DATE(2024,9,30),Sales_Deals!I1147&lt;=DATE(2025,3,31)),Sales_Deals!J1147,""),"")</f>
        <v/>
      </c>
      <c r="C1156" t="str">
        <f>IF(Sales_Deals!I1147&lt;&gt;"",IF(AND(Sales_Deals!I1147&gt;DATE(2024,3,31),Sales_Deals!I1147&lt;=DATE(2024,9,30)),Sales_Deals!J1147,""),"")</f>
        <v/>
      </c>
    </row>
    <row r="1157" spans="1:3" x14ac:dyDescent="0.35">
      <c r="A1157">
        <v>1147</v>
      </c>
      <c r="B1157" t="str">
        <f>IF(Sales_Deals!I1148&lt;&gt;"",IF(AND(Sales_Deals!I1148&gt;DATE(2024,9,30),Sales_Deals!I1148&lt;=DATE(2025,3,31)),Sales_Deals!J1148,""),"")</f>
        <v/>
      </c>
      <c r="C1157" t="str">
        <f>IF(Sales_Deals!I1148&lt;&gt;"",IF(AND(Sales_Deals!I1148&gt;DATE(2024,3,31),Sales_Deals!I1148&lt;=DATE(2024,9,30)),Sales_Deals!J1148,""),"")</f>
        <v/>
      </c>
    </row>
    <row r="1158" spans="1:3" x14ac:dyDescent="0.35">
      <c r="A1158">
        <v>1148</v>
      </c>
      <c r="B1158" t="str">
        <f>IF(Sales_Deals!I1149&lt;&gt;"",IF(AND(Sales_Deals!I1149&gt;DATE(2024,9,30),Sales_Deals!I1149&lt;=DATE(2025,3,31)),Sales_Deals!J1149,""),"")</f>
        <v/>
      </c>
      <c r="C1158" t="str">
        <f>IF(Sales_Deals!I1149&lt;&gt;"",IF(AND(Sales_Deals!I1149&gt;DATE(2024,3,31),Sales_Deals!I1149&lt;=DATE(2024,9,30)),Sales_Deals!J1149,""),"")</f>
        <v/>
      </c>
    </row>
    <row r="1159" spans="1:3" x14ac:dyDescent="0.35">
      <c r="A1159">
        <v>1149</v>
      </c>
      <c r="B1159" t="str">
        <f>IF(Sales_Deals!I1150&lt;&gt;"",IF(AND(Sales_Deals!I1150&gt;DATE(2024,9,30),Sales_Deals!I1150&lt;=DATE(2025,3,31)),Sales_Deals!J1150,""),"")</f>
        <v/>
      </c>
      <c r="C1159" t="str">
        <f>IF(Sales_Deals!I1150&lt;&gt;"",IF(AND(Sales_Deals!I1150&gt;DATE(2024,3,31),Sales_Deals!I1150&lt;=DATE(2024,9,30)),Sales_Deals!J1150,""),"")</f>
        <v/>
      </c>
    </row>
    <row r="1160" spans="1:3" x14ac:dyDescent="0.35">
      <c r="A1160">
        <v>1150</v>
      </c>
      <c r="B1160" t="str">
        <f>IF(Sales_Deals!I1151&lt;&gt;"",IF(AND(Sales_Deals!I1151&gt;DATE(2024,9,30),Sales_Deals!I1151&lt;=DATE(2025,3,31)),Sales_Deals!J1151,""),"")</f>
        <v/>
      </c>
      <c r="C1160" t="str">
        <f>IF(Sales_Deals!I1151&lt;&gt;"",IF(AND(Sales_Deals!I1151&gt;DATE(2024,3,31),Sales_Deals!I1151&lt;=DATE(2024,9,30)),Sales_Deals!J1151,""),"")</f>
        <v/>
      </c>
    </row>
    <row r="1161" spans="1:3" x14ac:dyDescent="0.35">
      <c r="A1161">
        <v>1151</v>
      </c>
      <c r="B1161" t="str">
        <f>IF(Sales_Deals!I1152&lt;&gt;"",IF(AND(Sales_Deals!I1152&gt;DATE(2024,9,30),Sales_Deals!I1152&lt;=DATE(2025,3,31)),Sales_Deals!J1152,""),"")</f>
        <v/>
      </c>
      <c r="C1161" t="str">
        <f>IF(Sales_Deals!I1152&lt;&gt;"",IF(AND(Sales_Deals!I1152&gt;DATE(2024,3,31),Sales_Deals!I1152&lt;=DATE(2024,9,30)),Sales_Deals!J1152,""),"")</f>
        <v/>
      </c>
    </row>
    <row r="1162" spans="1:3" x14ac:dyDescent="0.35">
      <c r="A1162">
        <v>1152</v>
      </c>
      <c r="B1162" t="str">
        <f>IF(Sales_Deals!I1153&lt;&gt;"",IF(AND(Sales_Deals!I1153&gt;DATE(2024,9,30),Sales_Deals!I1153&lt;=DATE(2025,3,31)),Sales_Deals!J1153,""),"")</f>
        <v/>
      </c>
      <c r="C1162" t="str">
        <f>IF(Sales_Deals!I1153&lt;&gt;"",IF(AND(Sales_Deals!I1153&gt;DATE(2024,3,31),Sales_Deals!I1153&lt;=DATE(2024,9,30)),Sales_Deals!J1153,""),"")</f>
        <v/>
      </c>
    </row>
    <row r="1163" spans="1:3" x14ac:dyDescent="0.35">
      <c r="A1163">
        <v>1153</v>
      </c>
      <c r="B1163" t="str">
        <f>IF(Sales_Deals!I1154&lt;&gt;"",IF(AND(Sales_Deals!I1154&gt;DATE(2024,9,30),Sales_Deals!I1154&lt;=DATE(2025,3,31)),Sales_Deals!J1154,""),"")</f>
        <v/>
      </c>
      <c r="C1163" t="str">
        <f>IF(Sales_Deals!I1154&lt;&gt;"",IF(AND(Sales_Deals!I1154&gt;DATE(2024,3,31),Sales_Deals!I1154&lt;=DATE(2024,9,30)),Sales_Deals!J1154,""),"")</f>
        <v/>
      </c>
    </row>
    <row r="1164" spans="1:3" x14ac:dyDescent="0.35">
      <c r="A1164">
        <v>1154</v>
      </c>
      <c r="B1164" t="str">
        <f>IF(Sales_Deals!I1155&lt;&gt;"",IF(AND(Sales_Deals!I1155&gt;DATE(2024,9,30),Sales_Deals!I1155&lt;=DATE(2025,3,31)),Sales_Deals!J1155,""),"")</f>
        <v/>
      </c>
      <c r="C1164" t="str">
        <f>IF(Sales_Deals!I1155&lt;&gt;"",IF(AND(Sales_Deals!I1155&gt;DATE(2024,3,31),Sales_Deals!I1155&lt;=DATE(2024,9,30)),Sales_Deals!J1155,""),"")</f>
        <v/>
      </c>
    </row>
    <row r="1165" spans="1:3" x14ac:dyDescent="0.35">
      <c r="A1165">
        <v>1155</v>
      </c>
      <c r="B1165" t="str">
        <f>IF(Sales_Deals!I1156&lt;&gt;"",IF(AND(Sales_Deals!I1156&gt;DATE(2024,9,30),Sales_Deals!I1156&lt;=DATE(2025,3,31)),Sales_Deals!J1156,""),"")</f>
        <v/>
      </c>
      <c r="C1165" t="str">
        <f>IF(Sales_Deals!I1156&lt;&gt;"",IF(AND(Sales_Deals!I1156&gt;DATE(2024,3,31),Sales_Deals!I1156&lt;=DATE(2024,9,30)),Sales_Deals!J1156,""),"")</f>
        <v/>
      </c>
    </row>
    <row r="1166" spans="1:3" x14ac:dyDescent="0.35">
      <c r="A1166">
        <v>1156</v>
      </c>
      <c r="B1166" t="str">
        <f>IF(Sales_Deals!I1157&lt;&gt;"",IF(AND(Sales_Deals!I1157&gt;DATE(2024,9,30),Sales_Deals!I1157&lt;=DATE(2025,3,31)),Sales_Deals!J1157,""),"")</f>
        <v/>
      </c>
      <c r="C1166" t="str">
        <f>IF(Sales_Deals!I1157&lt;&gt;"",IF(AND(Sales_Deals!I1157&gt;DATE(2024,3,31),Sales_Deals!I1157&lt;=DATE(2024,9,30)),Sales_Deals!J1157,""),"")</f>
        <v/>
      </c>
    </row>
    <row r="1167" spans="1:3" x14ac:dyDescent="0.35">
      <c r="A1167">
        <v>1157</v>
      </c>
      <c r="B1167" t="str">
        <f>IF(Sales_Deals!I1158&lt;&gt;"",IF(AND(Sales_Deals!I1158&gt;DATE(2024,9,30),Sales_Deals!I1158&lt;=DATE(2025,3,31)),Sales_Deals!J1158,""),"")</f>
        <v/>
      </c>
      <c r="C1167" t="str">
        <f>IF(Sales_Deals!I1158&lt;&gt;"",IF(AND(Sales_Deals!I1158&gt;DATE(2024,3,31),Sales_Deals!I1158&lt;=DATE(2024,9,30)),Sales_Deals!J1158,""),"")</f>
        <v/>
      </c>
    </row>
    <row r="1168" spans="1:3" x14ac:dyDescent="0.35">
      <c r="A1168">
        <v>1158</v>
      </c>
      <c r="B1168" t="str">
        <f>IF(Sales_Deals!I1159&lt;&gt;"",IF(AND(Sales_Deals!I1159&gt;DATE(2024,9,30),Sales_Deals!I1159&lt;=DATE(2025,3,31)),Sales_Deals!J1159,""),"")</f>
        <v/>
      </c>
      <c r="C1168" t="str">
        <f>IF(Sales_Deals!I1159&lt;&gt;"",IF(AND(Sales_Deals!I1159&gt;DATE(2024,3,31),Sales_Deals!I1159&lt;=DATE(2024,9,30)),Sales_Deals!J1159,""),"")</f>
        <v/>
      </c>
    </row>
    <row r="1169" spans="1:3" x14ac:dyDescent="0.35">
      <c r="A1169">
        <v>1159</v>
      </c>
      <c r="B1169" t="str">
        <f>IF(Sales_Deals!I1160&lt;&gt;"",IF(AND(Sales_Deals!I1160&gt;DATE(2024,9,30),Sales_Deals!I1160&lt;=DATE(2025,3,31)),Sales_Deals!J1160,""),"")</f>
        <v/>
      </c>
      <c r="C1169" t="str">
        <f>IF(Sales_Deals!I1160&lt;&gt;"",IF(AND(Sales_Deals!I1160&gt;DATE(2024,3,31),Sales_Deals!I1160&lt;=DATE(2024,9,30)),Sales_Deals!J1160,""),"")</f>
        <v/>
      </c>
    </row>
    <row r="1170" spans="1:3" x14ac:dyDescent="0.35">
      <c r="A1170">
        <v>1160</v>
      </c>
      <c r="B1170" t="str">
        <f>IF(Sales_Deals!I1161&lt;&gt;"",IF(AND(Sales_Deals!I1161&gt;DATE(2024,9,30),Sales_Deals!I1161&lt;=DATE(2025,3,31)),Sales_Deals!J1161,""),"")</f>
        <v/>
      </c>
      <c r="C1170" t="str">
        <f>IF(Sales_Deals!I1161&lt;&gt;"",IF(AND(Sales_Deals!I1161&gt;DATE(2024,3,31),Sales_Deals!I1161&lt;=DATE(2024,9,30)),Sales_Deals!J1161,""),"")</f>
        <v/>
      </c>
    </row>
    <row r="1171" spans="1:3" x14ac:dyDescent="0.35">
      <c r="A1171">
        <v>1161</v>
      </c>
      <c r="B1171" t="str">
        <f>IF(Sales_Deals!I1162&lt;&gt;"",IF(AND(Sales_Deals!I1162&gt;DATE(2024,9,30),Sales_Deals!I1162&lt;=DATE(2025,3,31)),Sales_Deals!J1162,""),"")</f>
        <v/>
      </c>
      <c r="C1171" t="str">
        <f>IF(Sales_Deals!I1162&lt;&gt;"",IF(AND(Sales_Deals!I1162&gt;DATE(2024,3,31),Sales_Deals!I1162&lt;=DATE(2024,9,30)),Sales_Deals!J1162,""),"")</f>
        <v/>
      </c>
    </row>
    <row r="1172" spans="1:3" x14ac:dyDescent="0.35">
      <c r="A1172">
        <v>1162</v>
      </c>
      <c r="B1172" t="str">
        <f>IF(Sales_Deals!I1163&lt;&gt;"",IF(AND(Sales_Deals!I1163&gt;DATE(2024,9,30),Sales_Deals!I1163&lt;=DATE(2025,3,31)),Sales_Deals!J1163,""),"")</f>
        <v/>
      </c>
      <c r="C1172" t="str">
        <f>IF(Sales_Deals!I1163&lt;&gt;"",IF(AND(Sales_Deals!I1163&gt;DATE(2024,3,31),Sales_Deals!I1163&lt;=DATE(2024,9,30)),Sales_Deals!J1163,""),"")</f>
        <v/>
      </c>
    </row>
    <row r="1173" spans="1:3" x14ac:dyDescent="0.35">
      <c r="A1173">
        <v>1163</v>
      </c>
      <c r="B1173" t="str">
        <f>IF(Sales_Deals!I1164&lt;&gt;"",IF(AND(Sales_Deals!I1164&gt;DATE(2024,9,30),Sales_Deals!I1164&lt;=DATE(2025,3,31)),Sales_Deals!J1164,""),"")</f>
        <v/>
      </c>
      <c r="C1173" t="str">
        <f>IF(Sales_Deals!I1164&lt;&gt;"",IF(AND(Sales_Deals!I1164&gt;DATE(2024,3,31),Sales_Deals!I1164&lt;=DATE(2024,9,30)),Sales_Deals!J1164,""),"")</f>
        <v/>
      </c>
    </row>
    <row r="1174" spans="1:3" x14ac:dyDescent="0.35">
      <c r="A1174">
        <v>1164</v>
      </c>
      <c r="B1174" t="str">
        <f>IF(Sales_Deals!I1165&lt;&gt;"",IF(AND(Sales_Deals!I1165&gt;DATE(2024,9,30),Sales_Deals!I1165&lt;=DATE(2025,3,31)),Sales_Deals!J1165,""),"")</f>
        <v/>
      </c>
      <c r="C1174" t="str">
        <f>IF(Sales_Deals!I1165&lt;&gt;"",IF(AND(Sales_Deals!I1165&gt;DATE(2024,3,31),Sales_Deals!I1165&lt;=DATE(2024,9,30)),Sales_Deals!J1165,""),"")</f>
        <v/>
      </c>
    </row>
    <row r="1175" spans="1:3" x14ac:dyDescent="0.35">
      <c r="A1175">
        <v>1165</v>
      </c>
      <c r="B1175" t="str">
        <f>IF(Sales_Deals!I1166&lt;&gt;"",IF(AND(Sales_Deals!I1166&gt;DATE(2024,9,30),Sales_Deals!I1166&lt;=DATE(2025,3,31)),Sales_Deals!J1166,""),"")</f>
        <v/>
      </c>
      <c r="C1175" t="str">
        <f>IF(Sales_Deals!I1166&lt;&gt;"",IF(AND(Sales_Deals!I1166&gt;DATE(2024,3,31),Sales_Deals!I1166&lt;=DATE(2024,9,30)),Sales_Deals!J1166,""),"")</f>
        <v/>
      </c>
    </row>
    <row r="1176" spans="1:3" x14ac:dyDescent="0.35">
      <c r="A1176">
        <v>1166</v>
      </c>
      <c r="B1176" t="str">
        <f>IF(Sales_Deals!I1167&lt;&gt;"",IF(AND(Sales_Deals!I1167&gt;DATE(2024,9,30),Sales_Deals!I1167&lt;=DATE(2025,3,31)),Sales_Deals!J1167,""),"")</f>
        <v/>
      </c>
      <c r="C1176" t="str">
        <f>IF(Sales_Deals!I1167&lt;&gt;"",IF(AND(Sales_Deals!I1167&gt;DATE(2024,3,31),Sales_Deals!I1167&lt;=DATE(2024,9,30)),Sales_Deals!J1167,""),"")</f>
        <v/>
      </c>
    </row>
    <row r="1177" spans="1:3" x14ac:dyDescent="0.35">
      <c r="A1177">
        <v>1167</v>
      </c>
      <c r="B1177">
        <f>IF(Sales_Deals!I1168&lt;&gt;"",IF(AND(Sales_Deals!I1168&gt;DATE(2024,9,30),Sales_Deals!I1168&lt;=DATE(2025,3,31)),Sales_Deals!J1168,""),"")</f>
        <v>159</v>
      </c>
      <c r="C1177" t="str">
        <f>IF(Sales_Deals!I1168&lt;&gt;"",IF(AND(Sales_Deals!I1168&gt;DATE(2024,3,31),Sales_Deals!I1168&lt;=DATE(2024,9,30)),Sales_Deals!J1168,""),"")</f>
        <v/>
      </c>
    </row>
    <row r="1178" spans="1:3" x14ac:dyDescent="0.35">
      <c r="A1178">
        <v>1168</v>
      </c>
      <c r="B1178" t="str">
        <f>IF(Sales_Deals!I1169&lt;&gt;"",IF(AND(Sales_Deals!I1169&gt;DATE(2024,9,30),Sales_Deals!I1169&lt;=DATE(2025,3,31)),Sales_Deals!J1169,""),"")</f>
        <v/>
      </c>
      <c r="C1178" t="str">
        <f>IF(Sales_Deals!I1169&lt;&gt;"",IF(AND(Sales_Deals!I1169&gt;DATE(2024,3,31),Sales_Deals!I1169&lt;=DATE(2024,9,30)),Sales_Deals!J1169,""),"")</f>
        <v/>
      </c>
    </row>
    <row r="1179" spans="1:3" x14ac:dyDescent="0.35">
      <c r="A1179">
        <v>1169</v>
      </c>
      <c r="B1179">
        <f>IF(Sales_Deals!I1170&lt;&gt;"",IF(AND(Sales_Deals!I1170&gt;DATE(2024,9,30),Sales_Deals!I1170&lt;=DATE(2025,3,31)),Sales_Deals!J1170,""),"")</f>
        <v>34</v>
      </c>
      <c r="C1179" t="str">
        <f>IF(Sales_Deals!I1170&lt;&gt;"",IF(AND(Sales_Deals!I1170&gt;DATE(2024,3,31),Sales_Deals!I1170&lt;=DATE(2024,9,30)),Sales_Deals!J1170,""),"")</f>
        <v/>
      </c>
    </row>
    <row r="1180" spans="1:3" x14ac:dyDescent="0.35">
      <c r="A1180">
        <v>1170</v>
      </c>
      <c r="B1180" t="str">
        <f>IF(Sales_Deals!I1171&lt;&gt;"",IF(AND(Sales_Deals!I1171&gt;DATE(2024,9,30),Sales_Deals!I1171&lt;=DATE(2025,3,31)),Sales_Deals!J1171,""),"")</f>
        <v/>
      </c>
      <c r="C1180" t="str">
        <f>IF(Sales_Deals!I1171&lt;&gt;"",IF(AND(Sales_Deals!I1171&gt;DATE(2024,3,31),Sales_Deals!I1171&lt;=DATE(2024,9,30)),Sales_Deals!J1171,""),"")</f>
        <v/>
      </c>
    </row>
    <row r="1181" spans="1:3" x14ac:dyDescent="0.35">
      <c r="A1181">
        <v>1171</v>
      </c>
      <c r="B1181" t="str">
        <f>IF(Sales_Deals!I1172&lt;&gt;"",IF(AND(Sales_Deals!I1172&gt;DATE(2024,9,30),Sales_Deals!I1172&lt;=DATE(2025,3,31)),Sales_Deals!J1172,""),"")</f>
        <v/>
      </c>
      <c r="C1181" t="str">
        <f>IF(Sales_Deals!I1172&lt;&gt;"",IF(AND(Sales_Deals!I1172&gt;DATE(2024,3,31),Sales_Deals!I1172&lt;=DATE(2024,9,30)),Sales_Deals!J1172,""),"")</f>
        <v/>
      </c>
    </row>
    <row r="1182" spans="1:3" x14ac:dyDescent="0.35">
      <c r="A1182">
        <v>1172</v>
      </c>
      <c r="B1182" t="str">
        <f>IF(Sales_Deals!I1173&lt;&gt;"",IF(AND(Sales_Deals!I1173&gt;DATE(2024,9,30),Sales_Deals!I1173&lt;=DATE(2025,3,31)),Sales_Deals!J1173,""),"")</f>
        <v/>
      </c>
      <c r="C1182" t="str">
        <f>IF(Sales_Deals!I1173&lt;&gt;"",IF(AND(Sales_Deals!I1173&gt;DATE(2024,3,31),Sales_Deals!I1173&lt;=DATE(2024,9,30)),Sales_Deals!J1173,""),"")</f>
        <v/>
      </c>
    </row>
    <row r="1183" spans="1:3" x14ac:dyDescent="0.35">
      <c r="A1183">
        <v>1173</v>
      </c>
      <c r="B1183" t="str">
        <f>IF(Sales_Deals!I1174&lt;&gt;"",IF(AND(Sales_Deals!I1174&gt;DATE(2024,9,30),Sales_Deals!I1174&lt;=DATE(2025,3,31)),Sales_Deals!J1174,""),"")</f>
        <v/>
      </c>
      <c r="C1183" t="str">
        <f>IF(Sales_Deals!I1174&lt;&gt;"",IF(AND(Sales_Deals!I1174&gt;DATE(2024,3,31),Sales_Deals!I1174&lt;=DATE(2024,9,30)),Sales_Deals!J1174,""),"")</f>
        <v/>
      </c>
    </row>
    <row r="1184" spans="1:3" x14ac:dyDescent="0.35">
      <c r="A1184">
        <v>1174</v>
      </c>
      <c r="B1184" t="str">
        <f>IF(Sales_Deals!I1175&lt;&gt;"",IF(AND(Sales_Deals!I1175&gt;DATE(2024,9,30),Sales_Deals!I1175&lt;=DATE(2025,3,31)),Sales_Deals!J1175,""),"")</f>
        <v/>
      </c>
      <c r="C1184" t="str">
        <f>IF(Sales_Deals!I1175&lt;&gt;"",IF(AND(Sales_Deals!I1175&gt;DATE(2024,3,31),Sales_Deals!I1175&lt;=DATE(2024,9,30)),Sales_Deals!J1175,""),"")</f>
        <v/>
      </c>
    </row>
    <row r="1185" spans="1:3" x14ac:dyDescent="0.35">
      <c r="A1185">
        <v>1175</v>
      </c>
      <c r="B1185" t="str">
        <f>IF(Sales_Deals!I1176&lt;&gt;"",IF(AND(Sales_Deals!I1176&gt;DATE(2024,9,30),Sales_Deals!I1176&lt;=DATE(2025,3,31)),Sales_Deals!J1176,""),"")</f>
        <v/>
      </c>
      <c r="C1185" t="str">
        <f>IF(Sales_Deals!I1176&lt;&gt;"",IF(AND(Sales_Deals!I1176&gt;DATE(2024,3,31),Sales_Deals!I1176&lt;=DATE(2024,9,30)),Sales_Deals!J1176,""),"")</f>
        <v/>
      </c>
    </row>
    <row r="1186" spans="1:3" x14ac:dyDescent="0.35">
      <c r="A1186">
        <v>1176</v>
      </c>
      <c r="B1186" t="str">
        <f>IF(Sales_Deals!I1177&lt;&gt;"",IF(AND(Sales_Deals!I1177&gt;DATE(2024,9,30),Sales_Deals!I1177&lt;=DATE(2025,3,31)),Sales_Deals!J1177,""),"")</f>
        <v/>
      </c>
      <c r="C1186" t="str">
        <f>IF(Sales_Deals!I1177&lt;&gt;"",IF(AND(Sales_Deals!I1177&gt;DATE(2024,3,31),Sales_Deals!I1177&lt;=DATE(2024,9,30)),Sales_Deals!J1177,""),"")</f>
        <v/>
      </c>
    </row>
    <row r="1187" spans="1:3" x14ac:dyDescent="0.35">
      <c r="A1187">
        <v>1177</v>
      </c>
      <c r="B1187">
        <f>IF(Sales_Deals!I1178&lt;&gt;"",IF(AND(Sales_Deals!I1178&gt;DATE(2024,9,30),Sales_Deals!I1178&lt;=DATE(2025,3,31)),Sales_Deals!J1178,""),"")</f>
        <v>51</v>
      </c>
      <c r="C1187" t="str">
        <f>IF(Sales_Deals!I1178&lt;&gt;"",IF(AND(Sales_Deals!I1178&gt;DATE(2024,3,31),Sales_Deals!I1178&lt;=DATE(2024,9,30)),Sales_Deals!J1178,""),"")</f>
        <v/>
      </c>
    </row>
    <row r="1188" spans="1:3" x14ac:dyDescent="0.35">
      <c r="A1188">
        <v>1178</v>
      </c>
      <c r="B1188" t="str">
        <f>IF(Sales_Deals!I1179&lt;&gt;"",IF(AND(Sales_Deals!I1179&gt;DATE(2024,9,30),Sales_Deals!I1179&lt;=DATE(2025,3,31)),Sales_Deals!J1179,""),"")</f>
        <v/>
      </c>
      <c r="C1188" t="str">
        <f>IF(Sales_Deals!I1179&lt;&gt;"",IF(AND(Sales_Deals!I1179&gt;DATE(2024,3,31),Sales_Deals!I1179&lt;=DATE(2024,9,30)),Sales_Deals!J1179,""),"")</f>
        <v/>
      </c>
    </row>
    <row r="1189" spans="1:3" x14ac:dyDescent="0.35">
      <c r="A1189">
        <v>1179</v>
      </c>
      <c r="B1189" t="str">
        <f>IF(Sales_Deals!I1180&lt;&gt;"",IF(AND(Sales_Deals!I1180&gt;DATE(2024,9,30),Sales_Deals!I1180&lt;=DATE(2025,3,31)),Sales_Deals!J1180,""),"")</f>
        <v/>
      </c>
      <c r="C1189" t="str">
        <f>IF(Sales_Deals!I1180&lt;&gt;"",IF(AND(Sales_Deals!I1180&gt;DATE(2024,3,31),Sales_Deals!I1180&lt;=DATE(2024,9,30)),Sales_Deals!J1180,""),"")</f>
        <v/>
      </c>
    </row>
    <row r="1190" spans="1:3" x14ac:dyDescent="0.35">
      <c r="A1190">
        <v>1180</v>
      </c>
      <c r="B1190" t="str">
        <f>IF(Sales_Deals!I1181&lt;&gt;"",IF(AND(Sales_Deals!I1181&gt;DATE(2024,9,30),Sales_Deals!I1181&lt;=DATE(2025,3,31)),Sales_Deals!J1181,""),"")</f>
        <v/>
      </c>
      <c r="C1190">
        <f>IF(Sales_Deals!I1181&lt;&gt;"",IF(AND(Sales_Deals!I1181&gt;DATE(2024,3,31),Sales_Deals!I1181&lt;=DATE(2024,9,30)),Sales_Deals!J1181,""),"")</f>
        <v>116</v>
      </c>
    </row>
    <row r="1191" spans="1:3" x14ac:dyDescent="0.35">
      <c r="A1191">
        <v>1181</v>
      </c>
      <c r="B1191" t="str">
        <f>IF(Sales_Deals!I1182&lt;&gt;"",IF(AND(Sales_Deals!I1182&gt;DATE(2024,9,30),Sales_Deals!I1182&lt;=DATE(2025,3,31)),Sales_Deals!J1182,""),"")</f>
        <v/>
      </c>
      <c r="C1191" t="str">
        <f>IF(Sales_Deals!I1182&lt;&gt;"",IF(AND(Sales_Deals!I1182&gt;DATE(2024,3,31),Sales_Deals!I1182&lt;=DATE(2024,9,30)),Sales_Deals!J1182,""),"")</f>
        <v/>
      </c>
    </row>
    <row r="1192" spans="1:3" x14ac:dyDescent="0.35">
      <c r="A1192">
        <v>1182</v>
      </c>
      <c r="B1192" t="str">
        <f>IF(Sales_Deals!I1183&lt;&gt;"",IF(AND(Sales_Deals!I1183&gt;DATE(2024,9,30),Sales_Deals!I1183&lt;=DATE(2025,3,31)),Sales_Deals!J1183,""),"")</f>
        <v/>
      </c>
      <c r="C1192" t="str">
        <f>IF(Sales_Deals!I1183&lt;&gt;"",IF(AND(Sales_Deals!I1183&gt;DATE(2024,3,31),Sales_Deals!I1183&lt;=DATE(2024,9,30)),Sales_Deals!J1183,""),"")</f>
        <v/>
      </c>
    </row>
    <row r="1193" spans="1:3" x14ac:dyDescent="0.35">
      <c r="A1193">
        <v>1183</v>
      </c>
      <c r="B1193" t="str">
        <f>IF(Sales_Deals!I1184&lt;&gt;"",IF(AND(Sales_Deals!I1184&gt;DATE(2024,9,30),Sales_Deals!I1184&lt;=DATE(2025,3,31)),Sales_Deals!J1184,""),"")</f>
        <v/>
      </c>
      <c r="C1193" t="str">
        <f>IF(Sales_Deals!I1184&lt;&gt;"",IF(AND(Sales_Deals!I1184&gt;DATE(2024,3,31),Sales_Deals!I1184&lt;=DATE(2024,9,30)),Sales_Deals!J1184,""),"")</f>
        <v/>
      </c>
    </row>
    <row r="1194" spans="1:3" x14ac:dyDescent="0.35">
      <c r="A1194">
        <v>1184</v>
      </c>
      <c r="B1194" t="str">
        <f>IF(Sales_Deals!I1185&lt;&gt;"",IF(AND(Sales_Deals!I1185&gt;DATE(2024,9,30),Sales_Deals!I1185&lt;=DATE(2025,3,31)),Sales_Deals!J1185,""),"")</f>
        <v/>
      </c>
      <c r="C1194" t="str">
        <f>IF(Sales_Deals!I1185&lt;&gt;"",IF(AND(Sales_Deals!I1185&gt;DATE(2024,3,31),Sales_Deals!I1185&lt;=DATE(2024,9,30)),Sales_Deals!J1185,""),"")</f>
        <v/>
      </c>
    </row>
    <row r="1195" spans="1:3" x14ac:dyDescent="0.35">
      <c r="A1195">
        <v>1185</v>
      </c>
      <c r="B1195" t="str">
        <f>IF(Sales_Deals!I1186&lt;&gt;"",IF(AND(Sales_Deals!I1186&gt;DATE(2024,9,30),Sales_Deals!I1186&lt;=DATE(2025,3,31)),Sales_Deals!J1186,""),"")</f>
        <v/>
      </c>
      <c r="C1195" t="str">
        <f>IF(Sales_Deals!I1186&lt;&gt;"",IF(AND(Sales_Deals!I1186&gt;DATE(2024,3,31),Sales_Deals!I1186&lt;=DATE(2024,9,30)),Sales_Deals!J1186,""),"")</f>
        <v/>
      </c>
    </row>
    <row r="1196" spans="1:3" x14ac:dyDescent="0.35">
      <c r="A1196">
        <v>1186</v>
      </c>
      <c r="B1196" t="str">
        <f>IF(Sales_Deals!I1187&lt;&gt;"",IF(AND(Sales_Deals!I1187&gt;DATE(2024,9,30),Sales_Deals!I1187&lt;=DATE(2025,3,31)),Sales_Deals!J1187,""),"")</f>
        <v/>
      </c>
      <c r="C1196" t="str">
        <f>IF(Sales_Deals!I1187&lt;&gt;"",IF(AND(Sales_Deals!I1187&gt;DATE(2024,3,31),Sales_Deals!I1187&lt;=DATE(2024,9,30)),Sales_Deals!J1187,""),"")</f>
        <v/>
      </c>
    </row>
    <row r="1197" spans="1:3" x14ac:dyDescent="0.35">
      <c r="A1197">
        <v>1187</v>
      </c>
      <c r="B1197" t="str">
        <f>IF(Sales_Deals!I1188&lt;&gt;"",IF(AND(Sales_Deals!I1188&gt;DATE(2024,9,30),Sales_Deals!I1188&lt;=DATE(2025,3,31)),Sales_Deals!J1188,""),"")</f>
        <v/>
      </c>
      <c r="C1197">
        <f>IF(Sales_Deals!I1188&lt;&gt;"",IF(AND(Sales_Deals!I1188&gt;DATE(2024,3,31),Sales_Deals!I1188&lt;=DATE(2024,9,30)),Sales_Deals!J1188,""),"")</f>
        <v>114</v>
      </c>
    </row>
    <row r="1198" spans="1:3" x14ac:dyDescent="0.35">
      <c r="A1198">
        <v>1188</v>
      </c>
      <c r="B1198" t="str">
        <f>IF(Sales_Deals!I1189&lt;&gt;"",IF(AND(Sales_Deals!I1189&gt;DATE(2024,9,30),Sales_Deals!I1189&lt;=DATE(2025,3,31)),Sales_Deals!J1189,""),"")</f>
        <v/>
      </c>
      <c r="C1198" t="str">
        <f>IF(Sales_Deals!I1189&lt;&gt;"",IF(AND(Sales_Deals!I1189&gt;DATE(2024,3,31),Sales_Deals!I1189&lt;=DATE(2024,9,30)),Sales_Deals!J1189,""),"")</f>
        <v/>
      </c>
    </row>
    <row r="1199" spans="1:3" x14ac:dyDescent="0.35">
      <c r="A1199">
        <v>1189</v>
      </c>
      <c r="B1199" t="str">
        <f>IF(Sales_Deals!I1190&lt;&gt;"",IF(AND(Sales_Deals!I1190&gt;DATE(2024,9,30),Sales_Deals!I1190&lt;=DATE(2025,3,31)),Sales_Deals!J1190,""),"")</f>
        <v/>
      </c>
      <c r="C1199" t="str">
        <f>IF(Sales_Deals!I1190&lt;&gt;"",IF(AND(Sales_Deals!I1190&gt;DATE(2024,3,31),Sales_Deals!I1190&lt;=DATE(2024,9,30)),Sales_Deals!J1190,""),"")</f>
        <v/>
      </c>
    </row>
    <row r="1200" spans="1:3" x14ac:dyDescent="0.35">
      <c r="A1200">
        <v>1190</v>
      </c>
      <c r="B1200" t="str">
        <f>IF(Sales_Deals!I1191&lt;&gt;"",IF(AND(Sales_Deals!I1191&gt;DATE(2024,9,30),Sales_Deals!I1191&lt;=DATE(2025,3,31)),Sales_Deals!J1191,""),"")</f>
        <v/>
      </c>
      <c r="C1200" t="str">
        <f>IF(Sales_Deals!I1191&lt;&gt;"",IF(AND(Sales_Deals!I1191&gt;DATE(2024,3,31),Sales_Deals!I1191&lt;=DATE(2024,9,30)),Sales_Deals!J1191,""),"")</f>
        <v/>
      </c>
    </row>
    <row r="1201" spans="1:3" x14ac:dyDescent="0.35">
      <c r="A1201">
        <v>1191</v>
      </c>
      <c r="B1201" t="str">
        <f>IF(Sales_Deals!I1192&lt;&gt;"",IF(AND(Sales_Deals!I1192&gt;DATE(2024,9,30),Sales_Deals!I1192&lt;=DATE(2025,3,31)),Sales_Deals!J1192,""),"")</f>
        <v/>
      </c>
      <c r="C1201" t="str">
        <f>IF(Sales_Deals!I1192&lt;&gt;"",IF(AND(Sales_Deals!I1192&gt;DATE(2024,3,31),Sales_Deals!I1192&lt;=DATE(2024,9,30)),Sales_Deals!J1192,""),"")</f>
        <v/>
      </c>
    </row>
    <row r="1202" spans="1:3" x14ac:dyDescent="0.35">
      <c r="A1202">
        <v>1192</v>
      </c>
      <c r="B1202" t="str">
        <f>IF(Sales_Deals!I1193&lt;&gt;"",IF(AND(Sales_Deals!I1193&gt;DATE(2024,9,30),Sales_Deals!I1193&lt;=DATE(2025,3,31)),Sales_Deals!J1193,""),"")</f>
        <v/>
      </c>
      <c r="C1202" t="str">
        <f>IF(Sales_Deals!I1193&lt;&gt;"",IF(AND(Sales_Deals!I1193&gt;DATE(2024,3,31),Sales_Deals!I1193&lt;=DATE(2024,9,30)),Sales_Deals!J1193,""),"")</f>
        <v/>
      </c>
    </row>
    <row r="1203" spans="1:3" x14ac:dyDescent="0.35">
      <c r="A1203">
        <v>1193</v>
      </c>
      <c r="B1203">
        <f>IF(Sales_Deals!I1194&lt;&gt;"",IF(AND(Sales_Deals!I1194&gt;DATE(2024,9,30),Sales_Deals!I1194&lt;=DATE(2025,3,31)),Sales_Deals!J1194,""),"")</f>
        <v>79</v>
      </c>
      <c r="C1203" t="str">
        <f>IF(Sales_Deals!I1194&lt;&gt;"",IF(AND(Sales_Deals!I1194&gt;DATE(2024,3,31),Sales_Deals!I1194&lt;=DATE(2024,9,30)),Sales_Deals!J1194,""),"")</f>
        <v/>
      </c>
    </row>
    <row r="1204" spans="1:3" x14ac:dyDescent="0.35">
      <c r="A1204">
        <v>1194</v>
      </c>
      <c r="B1204" t="str">
        <f>IF(Sales_Deals!I1195&lt;&gt;"",IF(AND(Sales_Deals!I1195&gt;DATE(2024,9,30),Sales_Deals!I1195&lt;=DATE(2025,3,31)),Sales_Deals!J1195,""),"")</f>
        <v/>
      </c>
      <c r="C1204" t="str">
        <f>IF(Sales_Deals!I1195&lt;&gt;"",IF(AND(Sales_Deals!I1195&gt;DATE(2024,3,31),Sales_Deals!I1195&lt;=DATE(2024,9,30)),Sales_Deals!J1195,""),"")</f>
        <v/>
      </c>
    </row>
    <row r="1205" spans="1:3" x14ac:dyDescent="0.35">
      <c r="A1205">
        <v>1195</v>
      </c>
      <c r="B1205" t="str">
        <f>IF(Sales_Deals!I1196&lt;&gt;"",IF(AND(Sales_Deals!I1196&gt;DATE(2024,9,30),Sales_Deals!I1196&lt;=DATE(2025,3,31)),Sales_Deals!J1196,""),"")</f>
        <v/>
      </c>
      <c r="C1205" t="str">
        <f>IF(Sales_Deals!I1196&lt;&gt;"",IF(AND(Sales_Deals!I1196&gt;DATE(2024,3,31),Sales_Deals!I1196&lt;=DATE(2024,9,30)),Sales_Deals!J1196,""),"")</f>
        <v/>
      </c>
    </row>
    <row r="1206" spans="1:3" x14ac:dyDescent="0.35">
      <c r="A1206">
        <v>1196</v>
      </c>
      <c r="B1206" t="str">
        <f>IF(Sales_Deals!I1197&lt;&gt;"",IF(AND(Sales_Deals!I1197&gt;DATE(2024,9,30),Sales_Deals!I1197&lt;=DATE(2025,3,31)),Sales_Deals!J1197,""),"")</f>
        <v/>
      </c>
      <c r="C1206" t="str">
        <f>IF(Sales_Deals!I1197&lt;&gt;"",IF(AND(Sales_Deals!I1197&gt;DATE(2024,3,31),Sales_Deals!I1197&lt;=DATE(2024,9,30)),Sales_Deals!J1197,""),"")</f>
        <v/>
      </c>
    </row>
    <row r="1207" spans="1:3" x14ac:dyDescent="0.35">
      <c r="A1207">
        <v>1197</v>
      </c>
      <c r="B1207" t="str">
        <f>IF(Sales_Deals!I1198&lt;&gt;"",IF(AND(Sales_Deals!I1198&gt;DATE(2024,9,30),Sales_Deals!I1198&lt;=DATE(2025,3,31)),Sales_Deals!J1198,""),"")</f>
        <v/>
      </c>
      <c r="C1207">
        <f>IF(Sales_Deals!I1198&lt;&gt;"",IF(AND(Sales_Deals!I1198&gt;DATE(2024,3,31),Sales_Deals!I1198&lt;=DATE(2024,9,30)),Sales_Deals!J1198,""),"")</f>
        <v>114</v>
      </c>
    </row>
    <row r="1208" spans="1:3" x14ac:dyDescent="0.35">
      <c r="A1208">
        <v>1198</v>
      </c>
      <c r="B1208" t="str">
        <f>IF(Sales_Deals!I1199&lt;&gt;"",IF(AND(Sales_Deals!I1199&gt;DATE(2024,9,30),Sales_Deals!I1199&lt;=DATE(2025,3,31)),Sales_Deals!J1199,""),"")</f>
        <v/>
      </c>
      <c r="C1208" t="str">
        <f>IF(Sales_Deals!I1199&lt;&gt;"",IF(AND(Sales_Deals!I1199&gt;DATE(2024,3,31),Sales_Deals!I1199&lt;=DATE(2024,9,30)),Sales_Deals!J1199,""),"")</f>
        <v/>
      </c>
    </row>
    <row r="1209" spans="1:3" x14ac:dyDescent="0.35">
      <c r="A1209">
        <v>1199</v>
      </c>
      <c r="B1209" t="str">
        <f>IF(Sales_Deals!I1200&lt;&gt;"",IF(AND(Sales_Deals!I1200&gt;DATE(2024,9,30),Sales_Deals!I1200&lt;=DATE(2025,3,31)),Sales_Deals!J1200,""),"")</f>
        <v/>
      </c>
      <c r="C1209" t="str">
        <f>IF(Sales_Deals!I1200&lt;&gt;"",IF(AND(Sales_Deals!I1200&gt;DATE(2024,3,31),Sales_Deals!I1200&lt;=DATE(2024,9,30)),Sales_Deals!J1200,""),"")</f>
        <v/>
      </c>
    </row>
    <row r="1210" spans="1:3" x14ac:dyDescent="0.35">
      <c r="A1210">
        <v>1200</v>
      </c>
      <c r="B1210" t="str">
        <f>IF(Sales_Deals!I1201&lt;&gt;"",IF(AND(Sales_Deals!I1201&gt;DATE(2024,9,30),Sales_Deals!I1201&lt;=DATE(2025,3,31)),Sales_Deals!J1201,""),"")</f>
        <v/>
      </c>
      <c r="C1210" t="str">
        <f>IF(Sales_Deals!I1201&lt;&gt;"",IF(AND(Sales_Deals!I1201&gt;DATE(2024,3,31),Sales_Deals!I1201&lt;=DATE(2024,9,30)),Sales_Deals!J1201,""),"")</f>
        <v/>
      </c>
    </row>
    <row r="1211" spans="1:3" x14ac:dyDescent="0.35">
      <c r="A1211">
        <v>1201</v>
      </c>
      <c r="B1211" t="str">
        <f>IF(Sales_Deals!I1202&lt;&gt;"",IF(AND(Sales_Deals!I1202&gt;DATE(2024,9,30),Sales_Deals!I1202&lt;=DATE(2025,3,31)),Sales_Deals!J1202,""),"")</f>
        <v/>
      </c>
      <c r="C1211" t="str">
        <f>IF(Sales_Deals!I1202&lt;&gt;"",IF(AND(Sales_Deals!I1202&gt;DATE(2024,3,31),Sales_Deals!I1202&lt;=DATE(2024,9,30)),Sales_Deals!J1202,""),"")</f>
        <v/>
      </c>
    </row>
    <row r="1212" spans="1:3" x14ac:dyDescent="0.35">
      <c r="A1212">
        <v>1202</v>
      </c>
      <c r="B1212" t="str">
        <f>IF(Sales_Deals!I1203&lt;&gt;"",IF(AND(Sales_Deals!I1203&gt;DATE(2024,9,30),Sales_Deals!I1203&lt;=DATE(2025,3,31)),Sales_Deals!J1203,""),"")</f>
        <v/>
      </c>
      <c r="C1212" t="str">
        <f>IF(Sales_Deals!I1203&lt;&gt;"",IF(AND(Sales_Deals!I1203&gt;DATE(2024,3,31),Sales_Deals!I1203&lt;=DATE(2024,9,30)),Sales_Deals!J1203,""),"")</f>
        <v/>
      </c>
    </row>
    <row r="1213" spans="1:3" x14ac:dyDescent="0.35">
      <c r="A1213">
        <v>1203</v>
      </c>
      <c r="B1213" t="str">
        <f>IF(Sales_Deals!I1204&lt;&gt;"",IF(AND(Sales_Deals!I1204&gt;DATE(2024,9,30),Sales_Deals!I1204&lt;=DATE(2025,3,31)),Sales_Deals!J1204,""),"")</f>
        <v/>
      </c>
      <c r="C1213" t="str">
        <f>IF(Sales_Deals!I1204&lt;&gt;"",IF(AND(Sales_Deals!I1204&gt;DATE(2024,3,31),Sales_Deals!I1204&lt;=DATE(2024,9,30)),Sales_Deals!J1204,""),"")</f>
        <v/>
      </c>
    </row>
    <row r="1214" spans="1:3" x14ac:dyDescent="0.35">
      <c r="A1214">
        <v>1204</v>
      </c>
      <c r="B1214" t="str">
        <f>IF(Sales_Deals!I1205&lt;&gt;"",IF(AND(Sales_Deals!I1205&gt;DATE(2024,9,30),Sales_Deals!I1205&lt;=DATE(2025,3,31)),Sales_Deals!J1205,""),"")</f>
        <v/>
      </c>
      <c r="C1214" t="str">
        <f>IF(Sales_Deals!I1205&lt;&gt;"",IF(AND(Sales_Deals!I1205&gt;DATE(2024,3,31),Sales_Deals!I1205&lt;=DATE(2024,9,30)),Sales_Deals!J1205,""),"")</f>
        <v/>
      </c>
    </row>
    <row r="1215" spans="1:3" x14ac:dyDescent="0.35">
      <c r="A1215">
        <v>1205</v>
      </c>
      <c r="B1215" t="str">
        <f>IF(Sales_Deals!I1206&lt;&gt;"",IF(AND(Sales_Deals!I1206&gt;DATE(2024,9,30),Sales_Deals!I1206&lt;=DATE(2025,3,31)),Sales_Deals!J1206,""),"")</f>
        <v/>
      </c>
      <c r="C1215" t="str">
        <f>IF(Sales_Deals!I1206&lt;&gt;"",IF(AND(Sales_Deals!I1206&gt;DATE(2024,3,31),Sales_Deals!I1206&lt;=DATE(2024,9,30)),Sales_Deals!J1206,""),"")</f>
        <v/>
      </c>
    </row>
    <row r="1216" spans="1:3" x14ac:dyDescent="0.35">
      <c r="A1216">
        <v>1206</v>
      </c>
      <c r="B1216" t="str">
        <f>IF(Sales_Deals!I1207&lt;&gt;"",IF(AND(Sales_Deals!I1207&gt;DATE(2024,9,30),Sales_Deals!I1207&lt;=DATE(2025,3,31)),Sales_Deals!J1207,""),"")</f>
        <v/>
      </c>
      <c r="C1216" t="str">
        <f>IF(Sales_Deals!I1207&lt;&gt;"",IF(AND(Sales_Deals!I1207&gt;DATE(2024,3,31),Sales_Deals!I1207&lt;=DATE(2024,9,30)),Sales_Deals!J1207,""),"")</f>
        <v/>
      </c>
    </row>
    <row r="1217" spans="1:3" x14ac:dyDescent="0.35">
      <c r="A1217">
        <v>1207</v>
      </c>
      <c r="B1217" t="str">
        <f>IF(Sales_Deals!I1208&lt;&gt;"",IF(AND(Sales_Deals!I1208&gt;DATE(2024,9,30),Sales_Deals!I1208&lt;=DATE(2025,3,31)),Sales_Deals!J1208,""),"")</f>
        <v/>
      </c>
      <c r="C1217" t="str">
        <f>IF(Sales_Deals!I1208&lt;&gt;"",IF(AND(Sales_Deals!I1208&gt;DATE(2024,3,31),Sales_Deals!I1208&lt;=DATE(2024,9,30)),Sales_Deals!J1208,""),"")</f>
        <v/>
      </c>
    </row>
    <row r="1218" spans="1:3" x14ac:dyDescent="0.35">
      <c r="A1218">
        <v>1208</v>
      </c>
      <c r="B1218">
        <f>IF(Sales_Deals!I1209&lt;&gt;"",IF(AND(Sales_Deals!I1209&gt;DATE(2024,9,30),Sales_Deals!I1209&lt;=DATE(2025,3,31)),Sales_Deals!J1209,""),"")</f>
        <v>52</v>
      </c>
      <c r="C1218" t="str">
        <f>IF(Sales_Deals!I1209&lt;&gt;"",IF(AND(Sales_Deals!I1209&gt;DATE(2024,3,31),Sales_Deals!I1209&lt;=DATE(2024,9,30)),Sales_Deals!J1209,""),"")</f>
        <v/>
      </c>
    </row>
    <row r="1219" spans="1:3" x14ac:dyDescent="0.35">
      <c r="A1219">
        <v>1209</v>
      </c>
      <c r="B1219" t="str">
        <f>IF(Sales_Deals!I1210&lt;&gt;"",IF(AND(Sales_Deals!I1210&gt;DATE(2024,9,30),Sales_Deals!I1210&lt;=DATE(2025,3,31)),Sales_Deals!J1210,""),"")</f>
        <v/>
      </c>
      <c r="C1219" t="str">
        <f>IF(Sales_Deals!I1210&lt;&gt;"",IF(AND(Sales_Deals!I1210&gt;DATE(2024,3,31),Sales_Deals!I1210&lt;=DATE(2024,9,30)),Sales_Deals!J1210,""),"")</f>
        <v/>
      </c>
    </row>
    <row r="1220" spans="1:3" x14ac:dyDescent="0.35">
      <c r="A1220">
        <v>1210</v>
      </c>
      <c r="B1220">
        <f>IF(Sales_Deals!I1211&lt;&gt;"",IF(AND(Sales_Deals!I1211&gt;DATE(2024,9,30),Sales_Deals!I1211&lt;=DATE(2025,3,31)),Sales_Deals!J1211,""),"")</f>
        <v>24</v>
      </c>
      <c r="C1220" t="str">
        <f>IF(Sales_Deals!I1211&lt;&gt;"",IF(AND(Sales_Deals!I1211&gt;DATE(2024,3,31),Sales_Deals!I1211&lt;=DATE(2024,9,30)),Sales_Deals!J1211,""),"")</f>
        <v/>
      </c>
    </row>
    <row r="1221" spans="1:3" x14ac:dyDescent="0.35">
      <c r="A1221">
        <v>1211</v>
      </c>
      <c r="B1221" t="str">
        <f>IF(Sales_Deals!I1212&lt;&gt;"",IF(AND(Sales_Deals!I1212&gt;DATE(2024,9,30),Sales_Deals!I1212&lt;=DATE(2025,3,31)),Sales_Deals!J1212,""),"")</f>
        <v/>
      </c>
      <c r="C1221" t="str">
        <f>IF(Sales_Deals!I1212&lt;&gt;"",IF(AND(Sales_Deals!I1212&gt;DATE(2024,3,31),Sales_Deals!I1212&lt;=DATE(2024,9,30)),Sales_Deals!J1212,""),"")</f>
        <v/>
      </c>
    </row>
    <row r="1222" spans="1:3" x14ac:dyDescent="0.35">
      <c r="A1222">
        <v>1212</v>
      </c>
      <c r="B1222" t="str">
        <f>IF(Sales_Deals!I1213&lt;&gt;"",IF(AND(Sales_Deals!I1213&gt;DATE(2024,9,30),Sales_Deals!I1213&lt;=DATE(2025,3,31)),Sales_Deals!J1213,""),"")</f>
        <v/>
      </c>
      <c r="C1222" t="str">
        <f>IF(Sales_Deals!I1213&lt;&gt;"",IF(AND(Sales_Deals!I1213&gt;DATE(2024,3,31),Sales_Deals!I1213&lt;=DATE(2024,9,30)),Sales_Deals!J1213,""),"")</f>
        <v/>
      </c>
    </row>
    <row r="1223" spans="1:3" x14ac:dyDescent="0.35">
      <c r="A1223">
        <v>1213</v>
      </c>
      <c r="B1223" t="str">
        <f>IF(Sales_Deals!I1214&lt;&gt;"",IF(AND(Sales_Deals!I1214&gt;DATE(2024,9,30),Sales_Deals!I1214&lt;=DATE(2025,3,31)),Sales_Deals!J1214,""),"")</f>
        <v/>
      </c>
      <c r="C1223" t="str">
        <f>IF(Sales_Deals!I1214&lt;&gt;"",IF(AND(Sales_Deals!I1214&gt;DATE(2024,3,31),Sales_Deals!I1214&lt;=DATE(2024,9,30)),Sales_Deals!J1214,""),"")</f>
        <v/>
      </c>
    </row>
    <row r="1224" spans="1:3" x14ac:dyDescent="0.35">
      <c r="A1224">
        <v>1214</v>
      </c>
      <c r="B1224">
        <f>IF(Sales_Deals!I1215&lt;&gt;"",IF(AND(Sales_Deals!I1215&gt;DATE(2024,9,30),Sales_Deals!I1215&lt;=DATE(2025,3,31)),Sales_Deals!J1215,""),"")</f>
        <v>92</v>
      </c>
      <c r="C1224" t="str">
        <f>IF(Sales_Deals!I1215&lt;&gt;"",IF(AND(Sales_Deals!I1215&gt;DATE(2024,3,31),Sales_Deals!I1215&lt;=DATE(2024,9,30)),Sales_Deals!J1215,""),"")</f>
        <v/>
      </c>
    </row>
    <row r="1225" spans="1:3" x14ac:dyDescent="0.35">
      <c r="A1225">
        <v>1215</v>
      </c>
      <c r="B1225" t="str">
        <f>IF(Sales_Deals!I1216&lt;&gt;"",IF(AND(Sales_Deals!I1216&gt;DATE(2024,9,30),Sales_Deals!I1216&lt;=DATE(2025,3,31)),Sales_Deals!J1216,""),"")</f>
        <v/>
      </c>
      <c r="C1225" t="str">
        <f>IF(Sales_Deals!I1216&lt;&gt;"",IF(AND(Sales_Deals!I1216&gt;DATE(2024,3,31),Sales_Deals!I1216&lt;=DATE(2024,9,30)),Sales_Deals!J1216,""),"")</f>
        <v/>
      </c>
    </row>
    <row r="1226" spans="1:3" x14ac:dyDescent="0.35">
      <c r="A1226">
        <v>1216</v>
      </c>
      <c r="B1226" t="str">
        <f>IF(Sales_Deals!I1217&lt;&gt;"",IF(AND(Sales_Deals!I1217&gt;DATE(2024,9,30),Sales_Deals!I1217&lt;=DATE(2025,3,31)),Sales_Deals!J1217,""),"")</f>
        <v/>
      </c>
      <c r="C1226" t="str">
        <f>IF(Sales_Deals!I1217&lt;&gt;"",IF(AND(Sales_Deals!I1217&gt;DATE(2024,3,31),Sales_Deals!I1217&lt;=DATE(2024,9,30)),Sales_Deals!J1217,""),"")</f>
        <v/>
      </c>
    </row>
    <row r="1227" spans="1:3" x14ac:dyDescent="0.35">
      <c r="A1227">
        <v>1217</v>
      </c>
      <c r="B1227" t="str">
        <f>IF(Sales_Deals!I1218&lt;&gt;"",IF(AND(Sales_Deals!I1218&gt;DATE(2024,9,30),Sales_Deals!I1218&lt;=DATE(2025,3,31)),Sales_Deals!J1218,""),"")</f>
        <v/>
      </c>
      <c r="C1227" t="str">
        <f>IF(Sales_Deals!I1218&lt;&gt;"",IF(AND(Sales_Deals!I1218&gt;DATE(2024,3,31),Sales_Deals!I1218&lt;=DATE(2024,9,30)),Sales_Deals!J1218,""),"")</f>
        <v/>
      </c>
    </row>
    <row r="1228" spans="1:3" x14ac:dyDescent="0.35">
      <c r="A1228">
        <v>1218</v>
      </c>
      <c r="B1228" t="str">
        <f>IF(Sales_Deals!I1219&lt;&gt;"",IF(AND(Sales_Deals!I1219&gt;DATE(2024,9,30),Sales_Deals!I1219&lt;=DATE(2025,3,31)),Sales_Deals!J1219,""),"")</f>
        <v/>
      </c>
      <c r="C1228">
        <f>IF(Sales_Deals!I1219&lt;&gt;"",IF(AND(Sales_Deals!I1219&gt;DATE(2024,3,31),Sales_Deals!I1219&lt;=DATE(2024,9,30)),Sales_Deals!J1219,""),"")</f>
        <v>88</v>
      </c>
    </row>
    <row r="1229" spans="1:3" x14ac:dyDescent="0.35">
      <c r="A1229">
        <v>1219</v>
      </c>
      <c r="B1229" t="str">
        <f>IF(Sales_Deals!I1220&lt;&gt;"",IF(AND(Sales_Deals!I1220&gt;DATE(2024,9,30),Sales_Deals!I1220&lt;=DATE(2025,3,31)),Sales_Deals!J1220,""),"")</f>
        <v/>
      </c>
      <c r="C1229" t="str">
        <f>IF(Sales_Deals!I1220&lt;&gt;"",IF(AND(Sales_Deals!I1220&gt;DATE(2024,3,31),Sales_Deals!I1220&lt;=DATE(2024,9,30)),Sales_Deals!J1220,""),"")</f>
        <v/>
      </c>
    </row>
    <row r="1230" spans="1:3" x14ac:dyDescent="0.35">
      <c r="A1230">
        <v>1220</v>
      </c>
      <c r="B1230" t="str">
        <f>IF(Sales_Deals!I1221&lt;&gt;"",IF(AND(Sales_Deals!I1221&gt;DATE(2024,9,30),Sales_Deals!I1221&lt;=DATE(2025,3,31)),Sales_Deals!J1221,""),"")</f>
        <v/>
      </c>
      <c r="C1230" t="str">
        <f>IF(Sales_Deals!I1221&lt;&gt;"",IF(AND(Sales_Deals!I1221&gt;DATE(2024,3,31),Sales_Deals!I1221&lt;=DATE(2024,9,30)),Sales_Deals!J1221,""),"")</f>
        <v/>
      </c>
    </row>
    <row r="1231" spans="1:3" x14ac:dyDescent="0.35">
      <c r="A1231">
        <v>1221</v>
      </c>
      <c r="B1231" t="str">
        <f>IF(Sales_Deals!I1222&lt;&gt;"",IF(AND(Sales_Deals!I1222&gt;DATE(2024,9,30),Sales_Deals!I1222&lt;=DATE(2025,3,31)),Sales_Deals!J1222,""),"")</f>
        <v/>
      </c>
      <c r="C1231" t="str">
        <f>IF(Sales_Deals!I1222&lt;&gt;"",IF(AND(Sales_Deals!I1222&gt;DATE(2024,3,31),Sales_Deals!I1222&lt;=DATE(2024,9,30)),Sales_Deals!J1222,""),"")</f>
        <v/>
      </c>
    </row>
    <row r="1232" spans="1:3" x14ac:dyDescent="0.35">
      <c r="A1232">
        <v>1222</v>
      </c>
      <c r="B1232" t="str">
        <f>IF(Sales_Deals!I1223&lt;&gt;"",IF(AND(Sales_Deals!I1223&gt;DATE(2024,9,30),Sales_Deals!I1223&lt;=DATE(2025,3,31)),Sales_Deals!J1223,""),"")</f>
        <v/>
      </c>
      <c r="C1232" t="str">
        <f>IF(Sales_Deals!I1223&lt;&gt;"",IF(AND(Sales_Deals!I1223&gt;DATE(2024,3,31),Sales_Deals!I1223&lt;=DATE(2024,9,30)),Sales_Deals!J1223,""),"")</f>
        <v/>
      </c>
    </row>
    <row r="1233" spans="1:3" x14ac:dyDescent="0.35">
      <c r="A1233">
        <v>1223</v>
      </c>
      <c r="B1233" t="str">
        <f>IF(Sales_Deals!I1224&lt;&gt;"",IF(AND(Sales_Deals!I1224&gt;DATE(2024,9,30),Sales_Deals!I1224&lt;=DATE(2025,3,31)),Sales_Deals!J1224,""),"")</f>
        <v/>
      </c>
      <c r="C1233" t="str">
        <f>IF(Sales_Deals!I1224&lt;&gt;"",IF(AND(Sales_Deals!I1224&gt;DATE(2024,3,31),Sales_Deals!I1224&lt;=DATE(2024,9,30)),Sales_Deals!J1224,""),"")</f>
        <v/>
      </c>
    </row>
    <row r="1234" spans="1:3" x14ac:dyDescent="0.35">
      <c r="A1234">
        <v>1224</v>
      </c>
      <c r="B1234" t="str">
        <f>IF(Sales_Deals!I1225&lt;&gt;"",IF(AND(Sales_Deals!I1225&gt;DATE(2024,9,30),Sales_Deals!I1225&lt;=DATE(2025,3,31)),Sales_Deals!J1225,""),"")</f>
        <v/>
      </c>
      <c r="C1234">
        <f>IF(Sales_Deals!I1225&lt;&gt;"",IF(AND(Sales_Deals!I1225&gt;DATE(2024,3,31),Sales_Deals!I1225&lt;=DATE(2024,9,30)),Sales_Deals!J1225,""),"")</f>
        <v>116</v>
      </c>
    </row>
    <row r="1235" spans="1:3" x14ac:dyDescent="0.35">
      <c r="A1235">
        <v>1225</v>
      </c>
      <c r="B1235" t="str">
        <f>IF(Sales_Deals!I1226&lt;&gt;"",IF(AND(Sales_Deals!I1226&gt;DATE(2024,9,30),Sales_Deals!I1226&lt;=DATE(2025,3,31)),Sales_Deals!J1226,""),"")</f>
        <v/>
      </c>
      <c r="C1235" t="str">
        <f>IF(Sales_Deals!I1226&lt;&gt;"",IF(AND(Sales_Deals!I1226&gt;DATE(2024,3,31),Sales_Deals!I1226&lt;=DATE(2024,9,30)),Sales_Deals!J1226,""),"")</f>
        <v/>
      </c>
    </row>
    <row r="1236" spans="1:3" x14ac:dyDescent="0.35">
      <c r="A1236">
        <v>1226</v>
      </c>
      <c r="B1236" t="str">
        <f>IF(Sales_Deals!I1227&lt;&gt;"",IF(AND(Sales_Deals!I1227&gt;DATE(2024,9,30),Sales_Deals!I1227&lt;=DATE(2025,3,31)),Sales_Deals!J1227,""),"")</f>
        <v/>
      </c>
      <c r="C1236" t="str">
        <f>IF(Sales_Deals!I1227&lt;&gt;"",IF(AND(Sales_Deals!I1227&gt;DATE(2024,3,31),Sales_Deals!I1227&lt;=DATE(2024,9,30)),Sales_Deals!J1227,""),"")</f>
        <v/>
      </c>
    </row>
    <row r="1237" spans="1:3" x14ac:dyDescent="0.35">
      <c r="A1237">
        <v>1227</v>
      </c>
      <c r="B1237" t="str">
        <f>IF(Sales_Deals!I1228&lt;&gt;"",IF(AND(Sales_Deals!I1228&gt;DATE(2024,9,30),Sales_Deals!I1228&lt;=DATE(2025,3,31)),Sales_Deals!J1228,""),"")</f>
        <v/>
      </c>
      <c r="C1237" t="str">
        <f>IF(Sales_Deals!I1228&lt;&gt;"",IF(AND(Sales_Deals!I1228&gt;DATE(2024,3,31),Sales_Deals!I1228&lt;=DATE(2024,9,30)),Sales_Deals!J1228,""),"")</f>
        <v/>
      </c>
    </row>
    <row r="1238" spans="1:3" x14ac:dyDescent="0.35">
      <c r="A1238">
        <v>1228</v>
      </c>
      <c r="B1238" t="str">
        <f>IF(Sales_Deals!I1229&lt;&gt;"",IF(AND(Sales_Deals!I1229&gt;DATE(2024,9,30),Sales_Deals!I1229&lt;=DATE(2025,3,31)),Sales_Deals!J1229,""),"")</f>
        <v/>
      </c>
      <c r="C1238" t="str">
        <f>IF(Sales_Deals!I1229&lt;&gt;"",IF(AND(Sales_Deals!I1229&gt;DATE(2024,3,31),Sales_Deals!I1229&lt;=DATE(2024,9,30)),Sales_Deals!J1229,""),"")</f>
        <v/>
      </c>
    </row>
    <row r="1239" spans="1:3" x14ac:dyDescent="0.35">
      <c r="A1239">
        <v>1229</v>
      </c>
      <c r="B1239" t="str">
        <f>IF(Sales_Deals!I1230&lt;&gt;"",IF(AND(Sales_Deals!I1230&gt;DATE(2024,9,30),Sales_Deals!I1230&lt;=DATE(2025,3,31)),Sales_Deals!J1230,""),"")</f>
        <v/>
      </c>
      <c r="C1239" t="str">
        <f>IF(Sales_Deals!I1230&lt;&gt;"",IF(AND(Sales_Deals!I1230&gt;DATE(2024,3,31),Sales_Deals!I1230&lt;=DATE(2024,9,30)),Sales_Deals!J1230,""),"")</f>
        <v/>
      </c>
    </row>
    <row r="1240" spans="1:3" x14ac:dyDescent="0.35">
      <c r="A1240">
        <v>1230</v>
      </c>
      <c r="B1240" t="str">
        <f>IF(Sales_Deals!I1231&lt;&gt;"",IF(AND(Sales_Deals!I1231&gt;DATE(2024,9,30),Sales_Deals!I1231&lt;=DATE(2025,3,31)),Sales_Deals!J1231,""),"")</f>
        <v/>
      </c>
      <c r="C1240" t="str">
        <f>IF(Sales_Deals!I1231&lt;&gt;"",IF(AND(Sales_Deals!I1231&gt;DATE(2024,3,31),Sales_Deals!I1231&lt;=DATE(2024,9,30)),Sales_Deals!J1231,""),"")</f>
        <v/>
      </c>
    </row>
    <row r="1241" spans="1:3" x14ac:dyDescent="0.35">
      <c r="A1241">
        <v>1231</v>
      </c>
      <c r="B1241" t="str">
        <f>IF(Sales_Deals!I1232&lt;&gt;"",IF(AND(Sales_Deals!I1232&gt;DATE(2024,9,30),Sales_Deals!I1232&lt;=DATE(2025,3,31)),Sales_Deals!J1232,""),"")</f>
        <v/>
      </c>
      <c r="C1241" t="str">
        <f>IF(Sales_Deals!I1232&lt;&gt;"",IF(AND(Sales_Deals!I1232&gt;DATE(2024,3,31),Sales_Deals!I1232&lt;=DATE(2024,9,30)),Sales_Deals!J1232,""),"")</f>
        <v/>
      </c>
    </row>
    <row r="1242" spans="1:3" x14ac:dyDescent="0.35">
      <c r="A1242">
        <v>1232</v>
      </c>
      <c r="B1242">
        <f>IF(Sales_Deals!I1233&lt;&gt;"",IF(AND(Sales_Deals!I1233&gt;DATE(2024,9,30),Sales_Deals!I1233&lt;=DATE(2025,3,31)),Sales_Deals!J1233,""),"")</f>
        <v>18</v>
      </c>
      <c r="C1242" t="str">
        <f>IF(Sales_Deals!I1233&lt;&gt;"",IF(AND(Sales_Deals!I1233&gt;DATE(2024,3,31),Sales_Deals!I1233&lt;=DATE(2024,9,30)),Sales_Deals!J1233,""),"")</f>
        <v/>
      </c>
    </row>
    <row r="1243" spans="1:3" x14ac:dyDescent="0.35">
      <c r="A1243">
        <v>1233</v>
      </c>
      <c r="B1243" t="str">
        <f>IF(Sales_Deals!I1234&lt;&gt;"",IF(AND(Sales_Deals!I1234&gt;DATE(2024,9,30),Sales_Deals!I1234&lt;=DATE(2025,3,31)),Sales_Deals!J1234,""),"")</f>
        <v/>
      </c>
      <c r="C1243" t="str">
        <f>IF(Sales_Deals!I1234&lt;&gt;"",IF(AND(Sales_Deals!I1234&gt;DATE(2024,3,31),Sales_Deals!I1234&lt;=DATE(2024,9,30)),Sales_Deals!J1234,""),"")</f>
        <v/>
      </c>
    </row>
    <row r="1244" spans="1:3" x14ac:dyDescent="0.35">
      <c r="A1244">
        <v>1234</v>
      </c>
      <c r="B1244">
        <f>IF(Sales_Deals!I1235&lt;&gt;"",IF(AND(Sales_Deals!I1235&gt;DATE(2024,9,30),Sales_Deals!I1235&lt;=DATE(2025,3,31)),Sales_Deals!J1235,""),"")</f>
        <v>146</v>
      </c>
      <c r="C1244" t="str">
        <f>IF(Sales_Deals!I1235&lt;&gt;"",IF(AND(Sales_Deals!I1235&gt;DATE(2024,3,31),Sales_Deals!I1235&lt;=DATE(2024,9,30)),Sales_Deals!J1235,""),"")</f>
        <v/>
      </c>
    </row>
    <row r="1245" spans="1:3" x14ac:dyDescent="0.35">
      <c r="A1245">
        <v>1235</v>
      </c>
      <c r="B1245" t="str">
        <f>IF(Sales_Deals!I1236&lt;&gt;"",IF(AND(Sales_Deals!I1236&gt;DATE(2024,9,30),Sales_Deals!I1236&lt;=DATE(2025,3,31)),Sales_Deals!J1236,""),"")</f>
        <v/>
      </c>
      <c r="C1245" t="str">
        <f>IF(Sales_Deals!I1236&lt;&gt;"",IF(AND(Sales_Deals!I1236&gt;DATE(2024,3,31),Sales_Deals!I1236&lt;=DATE(2024,9,30)),Sales_Deals!J1236,""),"")</f>
        <v/>
      </c>
    </row>
    <row r="1246" spans="1:3" x14ac:dyDescent="0.35">
      <c r="A1246">
        <v>1236</v>
      </c>
      <c r="B1246" t="str">
        <f>IF(Sales_Deals!I1237&lt;&gt;"",IF(AND(Sales_Deals!I1237&gt;DATE(2024,9,30),Sales_Deals!I1237&lt;=DATE(2025,3,31)),Sales_Deals!J1237,""),"")</f>
        <v/>
      </c>
      <c r="C1246" t="str">
        <f>IF(Sales_Deals!I1237&lt;&gt;"",IF(AND(Sales_Deals!I1237&gt;DATE(2024,3,31),Sales_Deals!I1237&lt;=DATE(2024,9,30)),Sales_Deals!J1237,""),"")</f>
        <v/>
      </c>
    </row>
    <row r="1247" spans="1:3" x14ac:dyDescent="0.35">
      <c r="A1247">
        <v>1237</v>
      </c>
      <c r="B1247" t="str">
        <f>IF(Sales_Deals!I1238&lt;&gt;"",IF(AND(Sales_Deals!I1238&gt;DATE(2024,9,30),Sales_Deals!I1238&lt;=DATE(2025,3,31)),Sales_Deals!J1238,""),"")</f>
        <v/>
      </c>
      <c r="C1247" t="str">
        <f>IF(Sales_Deals!I1238&lt;&gt;"",IF(AND(Sales_Deals!I1238&gt;DATE(2024,3,31),Sales_Deals!I1238&lt;=DATE(2024,9,30)),Sales_Deals!J1238,""),"")</f>
        <v/>
      </c>
    </row>
    <row r="1248" spans="1:3" x14ac:dyDescent="0.35">
      <c r="A1248">
        <v>1238</v>
      </c>
      <c r="B1248" t="str">
        <f>IF(Sales_Deals!I1239&lt;&gt;"",IF(AND(Sales_Deals!I1239&gt;DATE(2024,9,30),Sales_Deals!I1239&lt;=DATE(2025,3,31)),Sales_Deals!J1239,""),"")</f>
        <v/>
      </c>
      <c r="C1248" t="str">
        <f>IF(Sales_Deals!I1239&lt;&gt;"",IF(AND(Sales_Deals!I1239&gt;DATE(2024,3,31),Sales_Deals!I1239&lt;=DATE(2024,9,30)),Sales_Deals!J1239,""),"")</f>
        <v/>
      </c>
    </row>
    <row r="1249" spans="1:3" x14ac:dyDescent="0.35">
      <c r="A1249">
        <v>1239</v>
      </c>
      <c r="B1249" t="str">
        <f>IF(Sales_Deals!I1240&lt;&gt;"",IF(AND(Sales_Deals!I1240&gt;DATE(2024,9,30),Sales_Deals!I1240&lt;=DATE(2025,3,31)),Sales_Deals!J1240,""),"")</f>
        <v/>
      </c>
      <c r="C1249" t="str">
        <f>IF(Sales_Deals!I1240&lt;&gt;"",IF(AND(Sales_Deals!I1240&gt;DATE(2024,3,31),Sales_Deals!I1240&lt;=DATE(2024,9,30)),Sales_Deals!J1240,""),"")</f>
        <v/>
      </c>
    </row>
    <row r="1250" spans="1:3" x14ac:dyDescent="0.35">
      <c r="A1250">
        <v>1240</v>
      </c>
      <c r="B1250" t="str">
        <f>IF(Sales_Deals!I1241&lt;&gt;"",IF(AND(Sales_Deals!I1241&gt;DATE(2024,9,30),Sales_Deals!I1241&lt;=DATE(2025,3,31)),Sales_Deals!J1241,""),"")</f>
        <v/>
      </c>
      <c r="C1250">
        <f>IF(Sales_Deals!I1241&lt;&gt;"",IF(AND(Sales_Deals!I1241&gt;DATE(2024,3,31),Sales_Deals!I1241&lt;=DATE(2024,9,30)),Sales_Deals!J1241,""),"")</f>
        <v>45</v>
      </c>
    </row>
    <row r="1251" spans="1:3" x14ac:dyDescent="0.35">
      <c r="A1251">
        <v>1241</v>
      </c>
      <c r="B1251" t="str">
        <f>IF(Sales_Deals!I1242&lt;&gt;"",IF(AND(Sales_Deals!I1242&gt;DATE(2024,9,30),Sales_Deals!I1242&lt;=DATE(2025,3,31)),Sales_Deals!J1242,""),"")</f>
        <v/>
      </c>
      <c r="C1251" t="str">
        <f>IF(Sales_Deals!I1242&lt;&gt;"",IF(AND(Sales_Deals!I1242&gt;DATE(2024,3,31),Sales_Deals!I1242&lt;=DATE(2024,9,30)),Sales_Deals!J1242,""),"")</f>
        <v/>
      </c>
    </row>
    <row r="1252" spans="1:3" x14ac:dyDescent="0.35">
      <c r="A1252">
        <v>1242</v>
      </c>
      <c r="B1252" t="str">
        <f>IF(Sales_Deals!I1243&lt;&gt;"",IF(AND(Sales_Deals!I1243&gt;DATE(2024,9,30),Sales_Deals!I1243&lt;=DATE(2025,3,31)),Sales_Deals!J1243,""),"")</f>
        <v/>
      </c>
      <c r="C1252" t="str">
        <f>IF(Sales_Deals!I1243&lt;&gt;"",IF(AND(Sales_Deals!I1243&gt;DATE(2024,3,31),Sales_Deals!I1243&lt;=DATE(2024,9,30)),Sales_Deals!J1243,""),"")</f>
        <v/>
      </c>
    </row>
    <row r="1253" spans="1:3" x14ac:dyDescent="0.35">
      <c r="A1253">
        <v>1243</v>
      </c>
      <c r="B1253" t="str">
        <f>IF(Sales_Deals!I1244&lt;&gt;"",IF(AND(Sales_Deals!I1244&gt;DATE(2024,9,30),Sales_Deals!I1244&lt;=DATE(2025,3,31)),Sales_Deals!J1244,""),"")</f>
        <v/>
      </c>
      <c r="C1253" t="str">
        <f>IF(Sales_Deals!I1244&lt;&gt;"",IF(AND(Sales_Deals!I1244&gt;DATE(2024,3,31),Sales_Deals!I1244&lt;=DATE(2024,9,30)),Sales_Deals!J1244,""),"")</f>
        <v/>
      </c>
    </row>
    <row r="1254" spans="1:3" x14ac:dyDescent="0.35">
      <c r="A1254">
        <v>1244</v>
      </c>
      <c r="B1254" t="str">
        <f>IF(Sales_Deals!I1245&lt;&gt;"",IF(AND(Sales_Deals!I1245&gt;DATE(2024,9,30),Sales_Deals!I1245&lt;=DATE(2025,3,31)),Sales_Deals!J1245,""),"")</f>
        <v/>
      </c>
      <c r="C1254" t="str">
        <f>IF(Sales_Deals!I1245&lt;&gt;"",IF(AND(Sales_Deals!I1245&gt;DATE(2024,3,31),Sales_Deals!I1245&lt;=DATE(2024,9,30)),Sales_Deals!J1245,""),"")</f>
        <v/>
      </c>
    </row>
    <row r="1255" spans="1:3" x14ac:dyDescent="0.35">
      <c r="A1255">
        <v>1245</v>
      </c>
      <c r="B1255" t="str">
        <f>IF(Sales_Deals!I1246&lt;&gt;"",IF(AND(Sales_Deals!I1246&gt;DATE(2024,9,30),Sales_Deals!I1246&lt;=DATE(2025,3,31)),Sales_Deals!J1246,""),"")</f>
        <v/>
      </c>
      <c r="C1255" t="str">
        <f>IF(Sales_Deals!I1246&lt;&gt;"",IF(AND(Sales_Deals!I1246&gt;DATE(2024,3,31),Sales_Deals!I1246&lt;=DATE(2024,9,30)),Sales_Deals!J1246,""),"")</f>
        <v/>
      </c>
    </row>
    <row r="1256" spans="1:3" x14ac:dyDescent="0.35">
      <c r="A1256">
        <v>1246</v>
      </c>
      <c r="B1256">
        <f>IF(Sales_Deals!I1247&lt;&gt;"",IF(AND(Sales_Deals!I1247&gt;DATE(2024,9,30),Sales_Deals!I1247&lt;=DATE(2025,3,31)),Sales_Deals!J1247,""),"")</f>
        <v>178</v>
      </c>
      <c r="C1256" t="str">
        <f>IF(Sales_Deals!I1247&lt;&gt;"",IF(AND(Sales_Deals!I1247&gt;DATE(2024,3,31),Sales_Deals!I1247&lt;=DATE(2024,9,30)),Sales_Deals!J1247,""),"")</f>
        <v/>
      </c>
    </row>
    <row r="1257" spans="1:3" x14ac:dyDescent="0.35">
      <c r="A1257">
        <v>1247</v>
      </c>
      <c r="B1257" t="str">
        <f>IF(Sales_Deals!I1248&lt;&gt;"",IF(AND(Sales_Deals!I1248&gt;DATE(2024,9,30),Sales_Deals!I1248&lt;=DATE(2025,3,31)),Sales_Deals!J1248,""),"")</f>
        <v/>
      </c>
      <c r="C1257" t="str">
        <f>IF(Sales_Deals!I1248&lt;&gt;"",IF(AND(Sales_Deals!I1248&gt;DATE(2024,3,31),Sales_Deals!I1248&lt;=DATE(2024,9,30)),Sales_Deals!J1248,""),"")</f>
        <v/>
      </c>
    </row>
    <row r="1258" spans="1:3" x14ac:dyDescent="0.35">
      <c r="A1258">
        <v>1248</v>
      </c>
      <c r="B1258" t="str">
        <f>IF(Sales_Deals!I1249&lt;&gt;"",IF(AND(Sales_Deals!I1249&gt;DATE(2024,9,30),Sales_Deals!I1249&lt;=DATE(2025,3,31)),Sales_Deals!J1249,""),"")</f>
        <v/>
      </c>
      <c r="C1258" t="str">
        <f>IF(Sales_Deals!I1249&lt;&gt;"",IF(AND(Sales_Deals!I1249&gt;DATE(2024,3,31),Sales_Deals!I1249&lt;=DATE(2024,9,30)),Sales_Deals!J1249,""),"")</f>
        <v/>
      </c>
    </row>
    <row r="1259" spans="1:3" x14ac:dyDescent="0.35">
      <c r="A1259">
        <v>1249</v>
      </c>
      <c r="B1259" t="str">
        <f>IF(Sales_Deals!I1250&lt;&gt;"",IF(AND(Sales_Deals!I1250&gt;DATE(2024,9,30),Sales_Deals!I1250&lt;=DATE(2025,3,31)),Sales_Deals!J1250,""),"")</f>
        <v/>
      </c>
      <c r="C1259" t="str">
        <f>IF(Sales_Deals!I1250&lt;&gt;"",IF(AND(Sales_Deals!I1250&gt;DATE(2024,3,31),Sales_Deals!I1250&lt;=DATE(2024,9,30)),Sales_Deals!J1250,""),"")</f>
        <v/>
      </c>
    </row>
    <row r="1260" spans="1:3" x14ac:dyDescent="0.35">
      <c r="A1260">
        <v>1250</v>
      </c>
      <c r="B1260" t="str">
        <f>IF(Sales_Deals!I1251&lt;&gt;"",IF(AND(Sales_Deals!I1251&gt;DATE(2024,9,30),Sales_Deals!I1251&lt;=DATE(2025,3,31)),Sales_Deals!J1251,""),"")</f>
        <v/>
      </c>
      <c r="C1260" t="str">
        <f>IF(Sales_Deals!I1251&lt;&gt;"",IF(AND(Sales_Deals!I1251&gt;DATE(2024,3,31),Sales_Deals!I1251&lt;=DATE(2024,9,30)),Sales_Deals!J1251,""),"")</f>
        <v/>
      </c>
    </row>
    <row r="1261" spans="1:3" x14ac:dyDescent="0.35">
      <c r="A1261">
        <v>1251</v>
      </c>
      <c r="B1261" t="str">
        <f>IF(Sales_Deals!I1252&lt;&gt;"",IF(AND(Sales_Deals!I1252&gt;DATE(2024,9,30),Sales_Deals!I1252&lt;=DATE(2025,3,31)),Sales_Deals!J1252,""),"")</f>
        <v/>
      </c>
      <c r="C1261" t="str">
        <f>IF(Sales_Deals!I1252&lt;&gt;"",IF(AND(Sales_Deals!I1252&gt;DATE(2024,3,31),Sales_Deals!I1252&lt;=DATE(2024,9,30)),Sales_Deals!J1252,""),"")</f>
        <v/>
      </c>
    </row>
    <row r="1262" spans="1:3" x14ac:dyDescent="0.35">
      <c r="A1262">
        <v>1252</v>
      </c>
      <c r="B1262" t="str">
        <f>IF(Sales_Deals!I1253&lt;&gt;"",IF(AND(Sales_Deals!I1253&gt;DATE(2024,9,30),Sales_Deals!I1253&lt;=DATE(2025,3,31)),Sales_Deals!J1253,""),"")</f>
        <v/>
      </c>
      <c r="C1262" t="str">
        <f>IF(Sales_Deals!I1253&lt;&gt;"",IF(AND(Sales_Deals!I1253&gt;DATE(2024,3,31),Sales_Deals!I1253&lt;=DATE(2024,9,30)),Sales_Deals!J1253,""),"")</f>
        <v/>
      </c>
    </row>
    <row r="1263" spans="1:3" x14ac:dyDescent="0.35">
      <c r="A1263">
        <v>1253</v>
      </c>
      <c r="B1263" t="str">
        <f>IF(Sales_Deals!I1254&lt;&gt;"",IF(AND(Sales_Deals!I1254&gt;DATE(2024,9,30),Sales_Deals!I1254&lt;=DATE(2025,3,31)),Sales_Deals!J1254,""),"")</f>
        <v/>
      </c>
      <c r="C1263" t="str">
        <f>IF(Sales_Deals!I1254&lt;&gt;"",IF(AND(Sales_Deals!I1254&gt;DATE(2024,3,31),Sales_Deals!I1254&lt;=DATE(2024,9,30)),Sales_Deals!J1254,""),"")</f>
        <v/>
      </c>
    </row>
    <row r="1264" spans="1:3" x14ac:dyDescent="0.35">
      <c r="A1264">
        <v>1254</v>
      </c>
      <c r="B1264" t="str">
        <f>IF(Sales_Deals!I1255&lt;&gt;"",IF(AND(Sales_Deals!I1255&gt;DATE(2024,9,30),Sales_Deals!I1255&lt;=DATE(2025,3,31)),Sales_Deals!J1255,""),"")</f>
        <v/>
      </c>
      <c r="C1264" t="str">
        <f>IF(Sales_Deals!I1255&lt;&gt;"",IF(AND(Sales_Deals!I1255&gt;DATE(2024,3,31),Sales_Deals!I1255&lt;=DATE(2024,9,30)),Sales_Deals!J1255,""),"")</f>
        <v/>
      </c>
    </row>
    <row r="1265" spans="1:3" x14ac:dyDescent="0.35">
      <c r="A1265">
        <v>1255</v>
      </c>
      <c r="B1265" t="str">
        <f>IF(Sales_Deals!I1256&lt;&gt;"",IF(AND(Sales_Deals!I1256&gt;DATE(2024,9,30),Sales_Deals!I1256&lt;=DATE(2025,3,31)),Sales_Deals!J1256,""),"")</f>
        <v/>
      </c>
      <c r="C1265" t="str">
        <f>IF(Sales_Deals!I1256&lt;&gt;"",IF(AND(Sales_Deals!I1256&gt;DATE(2024,3,31),Sales_Deals!I1256&lt;=DATE(2024,9,30)),Sales_Deals!J1256,""),"")</f>
        <v/>
      </c>
    </row>
    <row r="1266" spans="1:3" x14ac:dyDescent="0.35">
      <c r="A1266">
        <v>1256</v>
      </c>
      <c r="B1266" t="str">
        <f>IF(Sales_Deals!I1257&lt;&gt;"",IF(AND(Sales_Deals!I1257&gt;DATE(2024,9,30),Sales_Deals!I1257&lt;=DATE(2025,3,31)),Sales_Deals!J1257,""),"")</f>
        <v/>
      </c>
      <c r="C1266" t="str">
        <f>IF(Sales_Deals!I1257&lt;&gt;"",IF(AND(Sales_Deals!I1257&gt;DATE(2024,3,31),Sales_Deals!I1257&lt;=DATE(2024,9,30)),Sales_Deals!J1257,""),"")</f>
        <v/>
      </c>
    </row>
    <row r="1267" spans="1:3" x14ac:dyDescent="0.35">
      <c r="A1267">
        <v>1257</v>
      </c>
      <c r="B1267" t="str">
        <f>IF(Sales_Deals!I1258&lt;&gt;"",IF(AND(Sales_Deals!I1258&gt;DATE(2024,9,30),Sales_Deals!I1258&lt;=DATE(2025,3,31)),Sales_Deals!J1258,""),"")</f>
        <v/>
      </c>
      <c r="C1267" t="str">
        <f>IF(Sales_Deals!I1258&lt;&gt;"",IF(AND(Sales_Deals!I1258&gt;DATE(2024,3,31),Sales_Deals!I1258&lt;=DATE(2024,9,30)),Sales_Deals!J1258,""),"")</f>
        <v/>
      </c>
    </row>
    <row r="1268" spans="1:3" x14ac:dyDescent="0.35">
      <c r="A1268">
        <v>1258</v>
      </c>
      <c r="B1268" t="str">
        <f>IF(Sales_Deals!I1259&lt;&gt;"",IF(AND(Sales_Deals!I1259&gt;DATE(2024,9,30),Sales_Deals!I1259&lt;=DATE(2025,3,31)),Sales_Deals!J1259,""),"")</f>
        <v/>
      </c>
      <c r="C1268" t="str">
        <f>IF(Sales_Deals!I1259&lt;&gt;"",IF(AND(Sales_Deals!I1259&gt;DATE(2024,3,31),Sales_Deals!I1259&lt;=DATE(2024,9,30)),Sales_Deals!J1259,""),"")</f>
        <v/>
      </c>
    </row>
    <row r="1269" spans="1:3" x14ac:dyDescent="0.35">
      <c r="A1269">
        <v>1259</v>
      </c>
      <c r="B1269" t="str">
        <f>IF(Sales_Deals!I1260&lt;&gt;"",IF(AND(Sales_Deals!I1260&gt;DATE(2024,9,30),Sales_Deals!I1260&lt;=DATE(2025,3,31)),Sales_Deals!J1260,""),"")</f>
        <v/>
      </c>
      <c r="C1269" t="str">
        <f>IF(Sales_Deals!I1260&lt;&gt;"",IF(AND(Sales_Deals!I1260&gt;DATE(2024,3,31),Sales_Deals!I1260&lt;=DATE(2024,9,30)),Sales_Deals!J1260,""),"")</f>
        <v/>
      </c>
    </row>
    <row r="1270" spans="1:3" x14ac:dyDescent="0.35">
      <c r="A1270">
        <v>1260</v>
      </c>
      <c r="B1270" t="str">
        <f>IF(Sales_Deals!I1261&lt;&gt;"",IF(AND(Sales_Deals!I1261&gt;DATE(2024,9,30),Sales_Deals!I1261&lt;=DATE(2025,3,31)),Sales_Deals!J1261,""),"")</f>
        <v/>
      </c>
      <c r="C1270" t="str">
        <f>IF(Sales_Deals!I1261&lt;&gt;"",IF(AND(Sales_Deals!I1261&gt;DATE(2024,3,31),Sales_Deals!I1261&lt;=DATE(2024,9,30)),Sales_Deals!J1261,""),"")</f>
        <v/>
      </c>
    </row>
    <row r="1271" spans="1:3" x14ac:dyDescent="0.35">
      <c r="A1271">
        <v>1261</v>
      </c>
      <c r="B1271" t="str">
        <f>IF(Sales_Deals!I1262&lt;&gt;"",IF(AND(Sales_Deals!I1262&gt;DATE(2024,9,30),Sales_Deals!I1262&lt;=DATE(2025,3,31)),Sales_Deals!J1262,""),"")</f>
        <v/>
      </c>
      <c r="C1271" t="str">
        <f>IF(Sales_Deals!I1262&lt;&gt;"",IF(AND(Sales_Deals!I1262&gt;DATE(2024,3,31),Sales_Deals!I1262&lt;=DATE(2024,9,30)),Sales_Deals!J1262,""),"")</f>
        <v/>
      </c>
    </row>
    <row r="1272" spans="1:3" x14ac:dyDescent="0.35">
      <c r="A1272">
        <v>1262</v>
      </c>
      <c r="B1272" t="str">
        <f>IF(Sales_Deals!I1263&lt;&gt;"",IF(AND(Sales_Deals!I1263&gt;DATE(2024,9,30),Sales_Deals!I1263&lt;=DATE(2025,3,31)),Sales_Deals!J1263,""),"")</f>
        <v/>
      </c>
      <c r="C1272">
        <f>IF(Sales_Deals!I1263&lt;&gt;"",IF(AND(Sales_Deals!I1263&gt;DATE(2024,3,31),Sales_Deals!I1263&lt;=DATE(2024,9,30)),Sales_Deals!J1263,""),"")</f>
        <v>143</v>
      </c>
    </row>
    <row r="1273" spans="1:3" x14ac:dyDescent="0.35">
      <c r="A1273">
        <v>1263</v>
      </c>
      <c r="B1273" t="str">
        <f>IF(Sales_Deals!I1264&lt;&gt;"",IF(AND(Sales_Deals!I1264&gt;DATE(2024,9,30),Sales_Deals!I1264&lt;=DATE(2025,3,31)),Sales_Deals!J1264,""),"")</f>
        <v/>
      </c>
      <c r="C1273" t="str">
        <f>IF(Sales_Deals!I1264&lt;&gt;"",IF(AND(Sales_Deals!I1264&gt;DATE(2024,3,31),Sales_Deals!I1264&lt;=DATE(2024,9,30)),Sales_Deals!J1264,""),"")</f>
        <v/>
      </c>
    </row>
    <row r="1274" spans="1:3" x14ac:dyDescent="0.35">
      <c r="A1274">
        <v>1264</v>
      </c>
      <c r="B1274" t="str">
        <f>IF(Sales_Deals!I1265&lt;&gt;"",IF(AND(Sales_Deals!I1265&gt;DATE(2024,9,30),Sales_Deals!I1265&lt;=DATE(2025,3,31)),Sales_Deals!J1265,""),"")</f>
        <v/>
      </c>
      <c r="C1274" t="str">
        <f>IF(Sales_Deals!I1265&lt;&gt;"",IF(AND(Sales_Deals!I1265&gt;DATE(2024,3,31),Sales_Deals!I1265&lt;=DATE(2024,9,30)),Sales_Deals!J1265,""),"")</f>
        <v/>
      </c>
    </row>
    <row r="1275" spans="1:3" x14ac:dyDescent="0.35">
      <c r="A1275">
        <v>1265</v>
      </c>
      <c r="B1275">
        <f>IF(Sales_Deals!I1266&lt;&gt;"",IF(AND(Sales_Deals!I1266&gt;DATE(2024,9,30),Sales_Deals!I1266&lt;=DATE(2025,3,31)),Sales_Deals!J1266,""),"")</f>
        <v>154</v>
      </c>
      <c r="C1275" t="str">
        <f>IF(Sales_Deals!I1266&lt;&gt;"",IF(AND(Sales_Deals!I1266&gt;DATE(2024,3,31),Sales_Deals!I1266&lt;=DATE(2024,9,30)),Sales_Deals!J1266,""),"")</f>
        <v/>
      </c>
    </row>
    <row r="1276" spans="1:3" x14ac:dyDescent="0.35">
      <c r="A1276">
        <v>1266</v>
      </c>
      <c r="B1276" t="str">
        <f>IF(Sales_Deals!I1267&lt;&gt;"",IF(AND(Sales_Deals!I1267&gt;DATE(2024,9,30),Sales_Deals!I1267&lt;=DATE(2025,3,31)),Sales_Deals!J1267,""),"")</f>
        <v/>
      </c>
      <c r="C1276" t="str">
        <f>IF(Sales_Deals!I1267&lt;&gt;"",IF(AND(Sales_Deals!I1267&gt;DATE(2024,3,31),Sales_Deals!I1267&lt;=DATE(2024,9,30)),Sales_Deals!J1267,""),"")</f>
        <v/>
      </c>
    </row>
    <row r="1277" spans="1:3" x14ac:dyDescent="0.35">
      <c r="A1277">
        <v>1267</v>
      </c>
      <c r="B1277" t="str">
        <f>IF(Sales_Deals!I1268&lt;&gt;"",IF(AND(Sales_Deals!I1268&gt;DATE(2024,9,30),Sales_Deals!I1268&lt;=DATE(2025,3,31)),Sales_Deals!J1268,""),"")</f>
        <v/>
      </c>
      <c r="C1277">
        <f>IF(Sales_Deals!I1268&lt;&gt;"",IF(AND(Sales_Deals!I1268&gt;DATE(2024,3,31),Sales_Deals!I1268&lt;=DATE(2024,9,30)),Sales_Deals!J1268,""),"")</f>
        <v>50</v>
      </c>
    </row>
    <row r="1278" spans="1:3" x14ac:dyDescent="0.35">
      <c r="A1278">
        <v>1268</v>
      </c>
      <c r="B1278" t="str">
        <f>IF(Sales_Deals!I1269&lt;&gt;"",IF(AND(Sales_Deals!I1269&gt;DATE(2024,9,30),Sales_Deals!I1269&lt;=DATE(2025,3,31)),Sales_Deals!J1269,""),"")</f>
        <v/>
      </c>
      <c r="C1278" t="str">
        <f>IF(Sales_Deals!I1269&lt;&gt;"",IF(AND(Sales_Deals!I1269&gt;DATE(2024,3,31),Sales_Deals!I1269&lt;=DATE(2024,9,30)),Sales_Deals!J1269,""),"")</f>
        <v/>
      </c>
    </row>
    <row r="1279" spans="1:3" x14ac:dyDescent="0.35">
      <c r="A1279">
        <v>1269</v>
      </c>
      <c r="B1279" t="str">
        <f>IF(Sales_Deals!I1270&lt;&gt;"",IF(AND(Sales_Deals!I1270&gt;DATE(2024,9,30),Sales_Deals!I1270&lt;=DATE(2025,3,31)),Sales_Deals!J1270,""),"")</f>
        <v/>
      </c>
      <c r="C1279" t="str">
        <f>IF(Sales_Deals!I1270&lt;&gt;"",IF(AND(Sales_Deals!I1270&gt;DATE(2024,3,31),Sales_Deals!I1270&lt;=DATE(2024,9,30)),Sales_Deals!J1270,""),"")</f>
        <v/>
      </c>
    </row>
    <row r="1280" spans="1:3" x14ac:dyDescent="0.35">
      <c r="A1280">
        <v>1270</v>
      </c>
      <c r="B1280" t="str">
        <f>IF(Sales_Deals!I1271&lt;&gt;"",IF(AND(Sales_Deals!I1271&gt;DATE(2024,9,30),Sales_Deals!I1271&lt;=DATE(2025,3,31)),Sales_Deals!J1271,""),"")</f>
        <v/>
      </c>
      <c r="C1280" t="str">
        <f>IF(Sales_Deals!I1271&lt;&gt;"",IF(AND(Sales_Deals!I1271&gt;DATE(2024,3,31),Sales_Deals!I1271&lt;=DATE(2024,9,30)),Sales_Deals!J1271,""),"")</f>
        <v/>
      </c>
    </row>
    <row r="1281" spans="1:3" x14ac:dyDescent="0.35">
      <c r="A1281">
        <v>1271</v>
      </c>
      <c r="B1281" t="str">
        <f>IF(Sales_Deals!I1272&lt;&gt;"",IF(AND(Sales_Deals!I1272&gt;DATE(2024,9,30),Sales_Deals!I1272&lt;=DATE(2025,3,31)),Sales_Deals!J1272,""),"")</f>
        <v/>
      </c>
      <c r="C1281" t="str">
        <f>IF(Sales_Deals!I1272&lt;&gt;"",IF(AND(Sales_Deals!I1272&gt;DATE(2024,3,31),Sales_Deals!I1272&lt;=DATE(2024,9,30)),Sales_Deals!J1272,""),"")</f>
        <v/>
      </c>
    </row>
    <row r="1282" spans="1:3" x14ac:dyDescent="0.35">
      <c r="A1282">
        <v>1272</v>
      </c>
      <c r="B1282" t="str">
        <f>IF(Sales_Deals!I1273&lt;&gt;"",IF(AND(Sales_Deals!I1273&gt;DATE(2024,9,30),Sales_Deals!I1273&lt;=DATE(2025,3,31)),Sales_Deals!J1273,""),"")</f>
        <v/>
      </c>
      <c r="C1282" t="str">
        <f>IF(Sales_Deals!I1273&lt;&gt;"",IF(AND(Sales_Deals!I1273&gt;DATE(2024,3,31),Sales_Deals!I1273&lt;=DATE(2024,9,30)),Sales_Deals!J1273,""),"")</f>
        <v/>
      </c>
    </row>
    <row r="1283" spans="1:3" x14ac:dyDescent="0.35">
      <c r="A1283">
        <v>1273</v>
      </c>
      <c r="B1283" t="str">
        <f>IF(Sales_Deals!I1274&lt;&gt;"",IF(AND(Sales_Deals!I1274&gt;DATE(2024,9,30),Sales_Deals!I1274&lt;=DATE(2025,3,31)),Sales_Deals!J1274,""),"")</f>
        <v/>
      </c>
      <c r="C1283" t="str">
        <f>IF(Sales_Deals!I1274&lt;&gt;"",IF(AND(Sales_Deals!I1274&gt;DATE(2024,3,31),Sales_Deals!I1274&lt;=DATE(2024,9,30)),Sales_Deals!J1274,""),"")</f>
        <v/>
      </c>
    </row>
    <row r="1284" spans="1:3" x14ac:dyDescent="0.35">
      <c r="A1284">
        <v>1274</v>
      </c>
      <c r="B1284" t="str">
        <f>IF(Sales_Deals!I1275&lt;&gt;"",IF(AND(Sales_Deals!I1275&gt;DATE(2024,9,30),Sales_Deals!I1275&lt;=DATE(2025,3,31)),Sales_Deals!J1275,""),"")</f>
        <v/>
      </c>
      <c r="C1284">
        <f>IF(Sales_Deals!I1275&lt;&gt;"",IF(AND(Sales_Deals!I1275&gt;DATE(2024,3,31),Sales_Deals!I1275&lt;=DATE(2024,9,30)),Sales_Deals!J1275,""),"")</f>
        <v>135</v>
      </c>
    </row>
    <row r="1285" spans="1:3" x14ac:dyDescent="0.35">
      <c r="A1285">
        <v>1275</v>
      </c>
      <c r="B1285" t="str">
        <f>IF(Sales_Deals!I1276&lt;&gt;"",IF(AND(Sales_Deals!I1276&gt;DATE(2024,9,30),Sales_Deals!I1276&lt;=DATE(2025,3,31)),Sales_Deals!J1276,""),"")</f>
        <v/>
      </c>
      <c r="C1285">
        <f>IF(Sales_Deals!I1276&lt;&gt;"",IF(AND(Sales_Deals!I1276&gt;DATE(2024,3,31),Sales_Deals!I1276&lt;=DATE(2024,9,30)),Sales_Deals!J1276,""),"")</f>
        <v>85</v>
      </c>
    </row>
    <row r="1286" spans="1:3" x14ac:dyDescent="0.35">
      <c r="A1286">
        <v>1276</v>
      </c>
      <c r="B1286" t="str">
        <f>IF(Sales_Deals!I1277&lt;&gt;"",IF(AND(Sales_Deals!I1277&gt;DATE(2024,9,30),Sales_Deals!I1277&lt;=DATE(2025,3,31)),Sales_Deals!J1277,""),"")</f>
        <v/>
      </c>
      <c r="C1286" t="str">
        <f>IF(Sales_Deals!I1277&lt;&gt;"",IF(AND(Sales_Deals!I1277&gt;DATE(2024,3,31),Sales_Deals!I1277&lt;=DATE(2024,9,30)),Sales_Deals!J1277,""),"")</f>
        <v/>
      </c>
    </row>
    <row r="1287" spans="1:3" x14ac:dyDescent="0.35">
      <c r="A1287">
        <v>1277</v>
      </c>
      <c r="B1287" t="str">
        <f>IF(Sales_Deals!I1278&lt;&gt;"",IF(AND(Sales_Deals!I1278&gt;DATE(2024,9,30),Sales_Deals!I1278&lt;=DATE(2025,3,31)),Sales_Deals!J1278,""),"")</f>
        <v/>
      </c>
      <c r="C1287" t="str">
        <f>IF(Sales_Deals!I1278&lt;&gt;"",IF(AND(Sales_Deals!I1278&gt;DATE(2024,3,31),Sales_Deals!I1278&lt;=DATE(2024,9,30)),Sales_Deals!J1278,""),"")</f>
        <v/>
      </c>
    </row>
    <row r="1288" spans="1:3" x14ac:dyDescent="0.35">
      <c r="A1288">
        <v>1278</v>
      </c>
      <c r="B1288" t="str">
        <f>IF(Sales_Deals!I1279&lt;&gt;"",IF(AND(Sales_Deals!I1279&gt;DATE(2024,9,30),Sales_Deals!I1279&lt;=DATE(2025,3,31)),Sales_Deals!J1279,""),"")</f>
        <v/>
      </c>
      <c r="C1288" t="str">
        <f>IF(Sales_Deals!I1279&lt;&gt;"",IF(AND(Sales_Deals!I1279&gt;DATE(2024,3,31),Sales_Deals!I1279&lt;=DATE(2024,9,30)),Sales_Deals!J1279,""),"")</f>
        <v/>
      </c>
    </row>
    <row r="1289" spans="1:3" x14ac:dyDescent="0.35">
      <c r="A1289">
        <v>1279</v>
      </c>
      <c r="B1289">
        <f>IF(Sales_Deals!I1280&lt;&gt;"",IF(AND(Sales_Deals!I1280&gt;DATE(2024,9,30),Sales_Deals!I1280&lt;=DATE(2025,3,31)),Sales_Deals!J1280,""),"")</f>
        <v>167</v>
      </c>
      <c r="C1289" t="str">
        <f>IF(Sales_Deals!I1280&lt;&gt;"",IF(AND(Sales_Deals!I1280&gt;DATE(2024,3,31),Sales_Deals!I1280&lt;=DATE(2024,9,30)),Sales_Deals!J1280,""),"")</f>
        <v/>
      </c>
    </row>
    <row r="1290" spans="1:3" x14ac:dyDescent="0.35">
      <c r="A1290">
        <v>1280</v>
      </c>
      <c r="B1290" t="str">
        <f>IF(Sales_Deals!I1281&lt;&gt;"",IF(AND(Sales_Deals!I1281&gt;DATE(2024,9,30),Sales_Deals!I1281&lt;=DATE(2025,3,31)),Sales_Deals!J1281,""),"")</f>
        <v/>
      </c>
      <c r="C1290" t="str">
        <f>IF(Sales_Deals!I1281&lt;&gt;"",IF(AND(Sales_Deals!I1281&gt;DATE(2024,3,31),Sales_Deals!I1281&lt;=DATE(2024,9,30)),Sales_Deals!J1281,""),"")</f>
        <v/>
      </c>
    </row>
    <row r="1291" spans="1:3" x14ac:dyDescent="0.35">
      <c r="A1291">
        <v>1281</v>
      </c>
      <c r="B1291" t="str">
        <f>IF(Sales_Deals!I1282&lt;&gt;"",IF(AND(Sales_Deals!I1282&gt;DATE(2024,9,30),Sales_Deals!I1282&lt;=DATE(2025,3,31)),Sales_Deals!J1282,""),"")</f>
        <v/>
      </c>
      <c r="C1291" t="str">
        <f>IF(Sales_Deals!I1282&lt;&gt;"",IF(AND(Sales_Deals!I1282&gt;DATE(2024,3,31),Sales_Deals!I1282&lt;=DATE(2024,9,30)),Sales_Deals!J1282,""),"")</f>
        <v/>
      </c>
    </row>
    <row r="1292" spans="1:3" x14ac:dyDescent="0.35">
      <c r="A1292">
        <v>1282</v>
      </c>
      <c r="B1292" t="str">
        <f>IF(Sales_Deals!I1283&lt;&gt;"",IF(AND(Sales_Deals!I1283&gt;DATE(2024,9,30),Sales_Deals!I1283&lt;=DATE(2025,3,31)),Sales_Deals!J1283,""),"")</f>
        <v/>
      </c>
      <c r="C1292" t="str">
        <f>IF(Sales_Deals!I1283&lt;&gt;"",IF(AND(Sales_Deals!I1283&gt;DATE(2024,3,31),Sales_Deals!I1283&lt;=DATE(2024,9,30)),Sales_Deals!J1283,""),"")</f>
        <v/>
      </c>
    </row>
    <row r="1293" spans="1:3" x14ac:dyDescent="0.35">
      <c r="A1293">
        <v>1283</v>
      </c>
      <c r="B1293" t="str">
        <f>IF(Sales_Deals!I1284&lt;&gt;"",IF(AND(Sales_Deals!I1284&gt;DATE(2024,9,30),Sales_Deals!I1284&lt;=DATE(2025,3,31)),Sales_Deals!J1284,""),"")</f>
        <v/>
      </c>
      <c r="C1293" t="str">
        <f>IF(Sales_Deals!I1284&lt;&gt;"",IF(AND(Sales_Deals!I1284&gt;DATE(2024,3,31),Sales_Deals!I1284&lt;=DATE(2024,9,30)),Sales_Deals!J1284,""),"")</f>
        <v/>
      </c>
    </row>
    <row r="1294" spans="1:3" x14ac:dyDescent="0.35">
      <c r="A1294">
        <v>1284</v>
      </c>
      <c r="B1294">
        <f>IF(Sales_Deals!I1285&lt;&gt;"",IF(AND(Sales_Deals!I1285&gt;DATE(2024,9,30),Sales_Deals!I1285&lt;=DATE(2025,3,31)),Sales_Deals!J1285,""),"")</f>
        <v>57</v>
      </c>
      <c r="C1294" t="str">
        <f>IF(Sales_Deals!I1285&lt;&gt;"",IF(AND(Sales_Deals!I1285&gt;DATE(2024,3,31),Sales_Deals!I1285&lt;=DATE(2024,9,30)),Sales_Deals!J1285,""),"")</f>
        <v/>
      </c>
    </row>
    <row r="1295" spans="1:3" x14ac:dyDescent="0.35">
      <c r="A1295">
        <v>1285</v>
      </c>
      <c r="B1295" t="str">
        <f>IF(Sales_Deals!I1286&lt;&gt;"",IF(AND(Sales_Deals!I1286&gt;DATE(2024,9,30),Sales_Deals!I1286&lt;=DATE(2025,3,31)),Sales_Deals!J1286,""),"")</f>
        <v/>
      </c>
      <c r="C1295" t="str">
        <f>IF(Sales_Deals!I1286&lt;&gt;"",IF(AND(Sales_Deals!I1286&gt;DATE(2024,3,31),Sales_Deals!I1286&lt;=DATE(2024,9,30)),Sales_Deals!J1286,""),"")</f>
        <v/>
      </c>
    </row>
    <row r="1296" spans="1:3" x14ac:dyDescent="0.35">
      <c r="A1296">
        <v>1286</v>
      </c>
      <c r="B1296" t="str">
        <f>IF(Sales_Deals!I1287&lt;&gt;"",IF(AND(Sales_Deals!I1287&gt;DATE(2024,9,30),Sales_Deals!I1287&lt;=DATE(2025,3,31)),Sales_Deals!J1287,""),"")</f>
        <v/>
      </c>
      <c r="C1296" t="str">
        <f>IF(Sales_Deals!I1287&lt;&gt;"",IF(AND(Sales_Deals!I1287&gt;DATE(2024,3,31),Sales_Deals!I1287&lt;=DATE(2024,9,30)),Sales_Deals!J1287,""),"")</f>
        <v/>
      </c>
    </row>
    <row r="1297" spans="1:3" x14ac:dyDescent="0.35">
      <c r="A1297">
        <v>1287</v>
      </c>
      <c r="B1297" t="str">
        <f>IF(Sales_Deals!I1288&lt;&gt;"",IF(AND(Sales_Deals!I1288&gt;DATE(2024,9,30),Sales_Deals!I1288&lt;=DATE(2025,3,31)),Sales_Deals!J1288,""),"")</f>
        <v/>
      </c>
      <c r="C1297" t="str">
        <f>IF(Sales_Deals!I1288&lt;&gt;"",IF(AND(Sales_Deals!I1288&gt;DATE(2024,3,31),Sales_Deals!I1288&lt;=DATE(2024,9,30)),Sales_Deals!J1288,""),"")</f>
        <v/>
      </c>
    </row>
    <row r="1298" spans="1:3" x14ac:dyDescent="0.35">
      <c r="A1298">
        <v>1288</v>
      </c>
      <c r="B1298" t="str">
        <f>IF(Sales_Deals!I1289&lt;&gt;"",IF(AND(Sales_Deals!I1289&gt;DATE(2024,9,30),Sales_Deals!I1289&lt;=DATE(2025,3,31)),Sales_Deals!J1289,""),"")</f>
        <v/>
      </c>
      <c r="C1298" t="str">
        <f>IF(Sales_Deals!I1289&lt;&gt;"",IF(AND(Sales_Deals!I1289&gt;DATE(2024,3,31),Sales_Deals!I1289&lt;=DATE(2024,9,30)),Sales_Deals!J1289,""),"")</f>
        <v/>
      </c>
    </row>
    <row r="1299" spans="1:3" x14ac:dyDescent="0.35">
      <c r="A1299">
        <v>1289</v>
      </c>
      <c r="B1299" t="str">
        <f>IF(Sales_Deals!I1290&lt;&gt;"",IF(AND(Sales_Deals!I1290&gt;DATE(2024,9,30),Sales_Deals!I1290&lt;=DATE(2025,3,31)),Sales_Deals!J1290,""),"")</f>
        <v/>
      </c>
      <c r="C1299" t="str">
        <f>IF(Sales_Deals!I1290&lt;&gt;"",IF(AND(Sales_Deals!I1290&gt;DATE(2024,3,31),Sales_Deals!I1290&lt;=DATE(2024,9,30)),Sales_Deals!J1290,""),"")</f>
        <v/>
      </c>
    </row>
    <row r="1300" spans="1:3" x14ac:dyDescent="0.35">
      <c r="A1300">
        <v>1290</v>
      </c>
      <c r="B1300" t="str">
        <f>IF(Sales_Deals!I1291&lt;&gt;"",IF(AND(Sales_Deals!I1291&gt;DATE(2024,9,30),Sales_Deals!I1291&lt;=DATE(2025,3,31)),Sales_Deals!J1291,""),"")</f>
        <v/>
      </c>
      <c r="C1300" t="str">
        <f>IF(Sales_Deals!I1291&lt;&gt;"",IF(AND(Sales_Deals!I1291&gt;DATE(2024,3,31),Sales_Deals!I1291&lt;=DATE(2024,9,30)),Sales_Deals!J1291,""),"")</f>
        <v/>
      </c>
    </row>
    <row r="1301" spans="1:3" x14ac:dyDescent="0.35">
      <c r="A1301">
        <v>1291</v>
      </c>
      <c r="B1301" t="str">
        <f>IF(Sales_Deals!I1292&lt;&gt;"",IF(AND(Sales_Deals!I1292&gt;DATE(2024,9,30),Sales_Deals!I1292&lt;=DATE(2025,3,31)),Sales_Deals!J1292,""),"")</f>
        <v/>
      </c>
      <c r="C1301" t="str">
        <f>IF(Sales_Deals!I1292&lt;&gt;"",IF(AND(Sales_Deals!I1292&gt;DATE(2024,3,31),Sales_Deals!I1292&lt;=DATE(2024,9,30)),Sales_Deals!J1292,""),"")</f>
        <v/>
      </c>
    </row>
    <row r="1302" spans="1:3" x14ac:dyDescent="0.35">
      <c r="A1302">
        <v>1292</v>
      </c>
      <c r="B1302" t="str">
        <f>IF(Sales_Deals!I1293&lt;&gt;"",IF(AND(Sales_Deals!I1293&gt;DATE(2024,9,30),Sales_Deals!I1293&lt;=DATE(2025,3,31)),Sales_Deals!J1293,""),"")</f>
        <v/>
      </c>
      <c r="C1302" t="str">
        <f>IF(Sales_Deals!I1293&lt;&gt;"",IF(AND(Sales_Deals!I1293&gt;DATE(2024,3,31),Sales_Deals!I1293&lt;=DATE(2024,9,30)),Sales_Deals!J1293,""),"")</f>
        <v/>
      </c>
    </row>
    <row r="1303" spans="1:3" x14ac:dyDescent="0.35">
      <c r="A1303">
        <v>1293</v>
      </c>
      <c r="B1303" t="str">
        <f>IF(Sales_Deals!I1294&lt;&gt;"",IF(AND(Sales_Deals!I1294&gt;DATE(2024,9,30),Sales_Deals!I1294&lt;=DATE(2025,3,31)),Sales_Deals!J1294,""),"")</f>
        <v/>
      </c>
      <c r="C1303" t="str">
        <f>IF(Sales_Deals!I1294&lt;&gt;"",IF(AND(Sales_Deals!I1294&gt;DATE(2024,3,31),Sales_Deals!I1294&lt;=DATE(2024,9,30)),Sales_Deals!J1294,""),"")</f>
        <v/>
      </c>
    </row>
    <row r="1304" spans="1:3" x14ac:dyDescent="0.35">
      <c r="A1304">
        <v>1294</v>
      </c>
      <c r="B1304" t="str">
        <f>IF(Sales_Deals!I1295&lt;&gt;"",IF(AND(Sales_Deals!I1295&gt;DATE(2024,9,30),Sales_Deals!I1295&lt;=DATE(2025,3,31)),Sales_Deals!J1295,""),"")</f>
        <v/>
      </c>
      <c r="C1304" t="str">
        <f>IF(Sales_Deals!I1295&lt;&gt;"",IF(AND(Sales_Deals!I1295&gt;DATE(2024,3,31),Sales_Deals!I1295&lt;=DATE(2024,9,30)),Sales_Deals!J1295,""),"")</f>
        <v/>
      </c>
    </row>
    <row r="1305" spans="1:3" x14ac:dyDescent="0.35">
      <c r="A1305">
        <v>1295</v>
      </c>
      <c r="B1305" t="str">
        <f>IF(Sales_Deals!I1296&lt;&gt;"",IF(AND(Sales_Deals!I1296&gt;DATE(2024,9,30),Sales_Deals!I1296&lt;=DATE(2025,3,31)),Sales_Deals!J1296,""),"")</f>
        <v/>
      </c>
      <c r="C1305" t="str">
        <f>IF(Sales_Deals!I1296&lt;&gt;"",IF(AND(Sales_Deals!I1296&gt;DATE(2024,3,31),Sales_Deals!I1296&lt;=DATE(2024,9,30)),Sales_Deals!J1296,""),"")</f>
        <v/>
      </c>
    </row>
    <row r="1306" spans="1:3" x14ac:dyDescent="0.35">
      <c r="A1306">
        <v>1296</v>
      </c>
      <c r="B1306" t="str">
        <f>IF(Sales_Deals!I1297&lt;&gt;"",IF(AND(Sales_Deals!I1297&gt;DATE(2024,9,30),Sales_Deals!I1297&lt;=DATE(2025,3,31)),Sales_Deals!J1297,""),"")</f>
        <v/>
      </c>
      <c r="C1306" t="str">
        <f>IF(Sales_Deals!I1297&lt;&gt;"",IF(AND(Sales_Deals!I1297&gt;DATE(2024,3,31),Sales_Deals!I1297&lt;=DATE(2024,9,30)),Sales_Deals!J1297,""),"")</f>
        <v/>
      </c>
    </row>
    <row r="1307" spans="1:3" x14ac:dyDescent="0.35">
      <c r="A1307">
        <v>1297</v>
      </c>
      <c r="B1307" t="str">
        <f>IF(Sales_Deals!I1298&lt;&gt;"",IF(AND(Sales_Deals!I1298&gt;DATE(2024,9,30),Sales_Deals!I1298&lt;=DATE(2025,3,31)),Sales_Deals!J1298,""),"")</f>
        <v/>
      </c>
      <c r="C1307" t="str">
        <f>IF(Sales_Deals!I1298&lt;&gt;"",IF(AND(Sales_Deals!I1298&gt;DATE(2024,3,31),Sales_Deals!I1298&lt;=DATE(2024,9,30)),Sales_Deals!J1298,""),"")</f>
        <v/>
      </c>
    </row>
    <row r="1308" spans="1:3" x14ac:dyDescent="0.35">
      <c r="A1308">
        <v>1298</v>
      </c>
      <c r="B1308" t="str">
        <f>IF(Sales_Deals!I1299&lt;&gt;"",IF(AND(Sales_Deals!I1299&gt;DATE(2024,9,30),Sales_Deals!I1299&lt;=DATE(2025,3,31)),Sales_Deals!J1299,""),"")</f>
        <v/>
      </c>
      <c r="C1308" t="str">
        <f>IF(Sales_Deals!I1299&lt;&gt;"",IF(AND(Sales_Deals!I1299&gt;DATE(2024,3,31),Sales_Deals!I1299&lt;=DATE(2024,9,30)),Sales_Deals!J1299,""),"")</f>
        <v/>
      </c>
    </row>
    <row r="1309" spans="1:3" x14ac:dyDescent="0.35">
      <c r="A1309">
        <v>1299</v>
      </c>
      <c r="B1309" t="str">
        <f>IF(Sales_Deals!I1300&lt;&gt;"",IF(AND(Sales_Deals!I1300&gt;DATE(2024,9,30),Sales_Deals!I1300&lt;=DATE(2025,3,31)),Sales_Deals!J1300,""),"")</f>
        <v/>
      </c>
      <c r="C1309" t="str">
        <f>IF(Sales_Deals!I1300&lt;&gt;"",IF(AND(Sales_Deals!I1300&gt;DATE(2024,3,31),Sales_Deals!I1300&lt;=DATE(2024,9,30)),Sales_Deals!J1300,""),"")</f>
        <v/>
      </c>
    </row>
    <row r="1310" spans="1:3" x14ac:dyDescent="0.35">
      <c r="A1310">
        <v>1300</v>
      </c>
      <c r="B1310" t="str">
        <f>IF(Sales_Deals!I1301&lt;&gt;"",IF(AND(Sales_Deals!I1301&gt;DATE(2024,9,30),Sales_Deals!I1301&lt;=DATE(2025,3,31)),Sales_Deals!J1301,""),"")</f>
        <v/>
      </c>
      <c r="C1310" t="str">
        <f>IF(Sales_Deals!I1301&lt;&gt;"",IF(AND(Sales_Deals!I1301&gt;DATE(2024,3,31),Sales_Deals!I1301&lt;=DATE(2024,9,30)),Sales_Deals!J1301,""),"")</f>
        <v/>
      </c>
    </row>
    <row r="1311" spans="1:3" x14ac:dyDescent="0.35">
      <c r="A1311">
        <v>1301</v>
      </c>
      <c r="B1311" t="str">
        <f>IF(Sales_Deals!I1302&lt;&gt;"",IF(AND(Sales_Deals!I1302&gt;DATE(2024,9,30),Sales_Deals!I1302&lt;=DATE(2025,3,31)),Sales_Deals!J1302,""),"")</f>
        <v/>
      </c>
      <c r="C1311" t="str">
        <f>IF(Sales_Deals!I1302&lt;&gt;"",IF(AND(Sales_Deals!I1302&gt;DATE(2024,3,31),Sales_Deals!I1302&lt;=DATE(2024,9,30)),Sales_Deals!J1302,""),"")</f>
        <v/>
      </c>
    </row>
    <row r="1312" spans="1:3" x14ac:dyDescent="0.35">
      <c r="A1312">
        <v>1302</v>
      </c>
      <c r="B1312" t="str">
        <f>IF(Sales_Deals!I1303&lt;&gt;"",IF(AND(Sales_Deals!I1303&gt;DATE(2024,9,30),Sales_Deals!I1303&lt;=DATE(2025,3,31)),Sales_Deals!J1303,""),"")</f>
        <v/>
      </c>
      <c r="C1312" t="str">
        <f>IF(Sales_Deals!I1303&lt;&gt;"",IF(AND(Sales_Deals!I1303&gt;DATE(2024,3,31),Sales_Deals!I1303&lt;=DATE(2024,9,30)),Sales_Deals!J1303,""),"")</f>
        <v/>
      </c>
    </row>
    <row r="1313" spans="1:3" x14ac:dyDescent="0.35">
      <c r="A1313">
        <v>1303</v>
      </c>
      <c r="B1313" t="str">
        <f>IF(Sales_Deals!I1304&lt;&gt;"",IF(AND(Sales_Deals!I1304&gt;DATE(2024,9,30),Sales_Deals!I1304&lt;=DATE(2025,3,31)),Sales_Deals!J1304,""),"")</f>
        <v/>
      </c>
      <c r="C1313" t="str">
        <f>IF(Sales_Deals!I1304&lt;&gt;"",IF(AND(Sales_Deals!I1304&gt;DATE(2024,3,31),Sales_Deals!I1304&lt;=DATE(2024,9,30)),Sales_Deals!J1304,""),"")</f>
        <v/>
      </c>
    </row>
    <row r="1314" spans="1:3" x14ac:dyDescent="0.35">
      <c r="A1314">
        <v>1304</v>
      </c>
      <c r="B1314" t="str">
        <f>IF(Sales_Deals!I1305&lt;&gt;"",IF(AND(Sales_Deals!I1305&gt;DATE(2024,9,30),Sales_Deals!I1305&lt;=DATE(2025,3,31)),Sales_Deals!J1305,""),"")</f>
        <v/>
      </c>
      <c r="C1314" t="str">
        <f>IF(Sales_Deals!I1305&lt;&gt;"",IF(AND(Sales_Deals!I1305&gt;DATE(2024,3,31),Sales_Deals!I1305&lt;=DATE(2024,9,30)),Sales_Deals!J1305,""),"")</f>
        <v/>
      </c>
    </row>
    <row r="1315" spans="1:3" x14ac:dyDescent="0.35">
      <c r="A1315">
        <v>1305</v>
      </c>
      <c r="B1315" t="str">
        <f>IF(Sales_Deals!I1306&lt;&gt;"",IF(AND(Sales_Deals!I1306&gt;DATE(2024,9,30),Sales_Deals!I1306&lt;=DATE(2025,3,31)),Sales_Deals!J1306,""),"")</f>
        <v/>
      </c>
      <c r="C1315" t="str">
        <f>IF(Sales_Deals!I1306&lt;&gt;"",IF(AND(Sales_Deals!I1306&gt;DATE(2024,3,31),Sales_Deals!I1306&lt;=DATE(2024,9,30)),Sales_Deals!J1306,""),"")</f>
        <v/>
      </c>
    </row>
    <row r="1316" spans="1:3" x14ac:dyDescent="0.35">
      <c r="A1316">
        <v>1306</v>
      </c>
      <c r="B1316" t="str">
        <f>IF(Sales_Deals!I1307&lt;&gt;"",IF(AND(Sales_Deals!I1307&gt;DATE(2024,9,30),Sales_Deals!I1307&lt;=DATE(2025,3,31)),Sales_Deals!J1307,""),"")</f>
        <v/>
      </c>
      <c r="C1316" t="str">
        <f>IF(Sales_Deals!I1307&lt;&gt;"",IF(AND(Sales_Deals!I1307&gt;DATE(2024,3,31),Sales_Deals!I1307&lt;=DATE(2024,9,30)),Sales_Deals!J1307,""),"")</f>
        <v/>
      </c>
    </row>
    <row r="1317" spans="1:3" x14ac:dyDescent="0.35">
      <c r="A1317">
        <v>1307</v>
      </c>
      <c r="B1317" t="str">
        <f>IF(Sales_Deals!I1308&lt;&gt;"",IF(AND(Sales_Deals!I1308&gt;DATE(2024,9,30),Sales_Deals!I1308&lt;=DATE(2025,3,31)),Sales_Deals!J1308,""),"")</f>
        <v/>
      </c>
      <c r="C1317" t="str">
        <f>IF(Sales_Deals!I1308&lt;&gt;"",IF(AND(Sales_Deals!I1308&gt;DATE(2024,3,31),Sales_Deals!I1308&lt;=DATE(2024,9,30)),Sales_Deals!J1308,""),"")</f>
        <v/>
      </c>
    </row>
    <row r="1318" spans="1:3" x14ac:dyDescent="0.35">
      <c r="A1318">
        <v>1308</v>
      </c>
      <c r="B1318" t="str">
        <f>IF(Sales_Deals!I1309&lt;&gt;"",IF(AND(Sales_Deals!I1309&gt;DATE(2024,9,30),Sales_Deals!I1309&lt;=DATE(2025,3,31)),Sales_Deals!J1309,""),"")</f>
        <v/>
      </c>
      <c r="C1318" t="str">
        <f>IF(Sales_Deals!I1309&lt;&gt;"",IF(AND(Sales_Deals!I1309&gt;DATE(2024,3,31),Sales_Deals!I1309&lt;=DATE(2024,9,30)),Sales_Deals!J1309,""),"")</f>
        <v/>
      </c>
    </row>
    <row r="1319" spans="1:3" x14ac:dyDescent="0.35">
      <c r="A1319">
        <v>1309</v>
      </c>
      <c r="B1319" t="str">
        <f>IF(Sales_Deals!I1310&lt;&gt;"",IF(AND(Sales_Deals!I1310&gt;DATE(2024,9,30),Sales_Deals!I1310&lt;=DATE(2025,3,31)),Sales_Deals!J1310,""),"")</f>
        <v/>
      </c>
      <c r="C1319" t="str">
        <f>IF(Sales_Deals!I1310&lt;&gt;"",IF(AND(Sales_Deals!I1310&gt;DATE(2024,3,31),Sales_Deals!I1310&lt;=DATE(2024,9,30)),Sales_Deals!J1310,""),"")</f>
        <v/>
      </c>
    </row>
    <row r="1320" spans="1:3" x14ac:dyDescent="0.35">
      <c r="A1320">
        <v>1310</v>
      </c>
      <c r="B1320" t="str">
        <f>IF(Sales_Deals!I1311&lt;&gt;"",IF(AND(Sales_Deals!I1311&gt;DATE(2024,9,30),Sales_Deals!I1311&lt;=DATE(2025,3,31)),Sales_Deals!J1311,""),"")</f>
        <v/>
      </c>
      <c r="C1320" t="str">
        <f>IF(Sales_Deals!I1311&lt;&gt;"",IF(AND(Sales_Deals!I1311&gt;DATE(2024,3,31),Sales_Deals!I1311&lt;=DATE(2024,9,30)),Sales_Deals!J1311,""),"")</f>
        <v/>
      </c>
    </row>
    <row r="1321" spans="1:3" x14ac:dyDescent="0.35">
      <c r="A1321">
        <v>1311</v>
      </c>
      <c r="B1321" t="str">
        <f>IF(Sales_Deals!I1312&lt;&gt;"",IF(AND(Sales_Deals!I1312&gt;DATE(2024,9,30),Sales_Deals!I1312&lt;=DATE(2025,3,31)),Sales_Deals!J1312,""),"")</f>
        <v/>
      </c>
      <c r="C1321" t="str">
        <f>IF(Sales_Deals!I1312&lt;&gt;"",IF(AND(Sales_Deals!I1312&gt;DATE(2024,3,31),Sales_Deals!I1312&lt;=DATE(2024,9,30)),Sales_Deals!J1312,""),"")</f>
        <v/>
      </c>
    </row>
    <row r="1322" spans="1:3" x14ac:dyDescent="0.35">
      <c r="A1322">
        <v>1312</v>
      </c>
      <c r="B1322" t="str">
        <f>IF(Sales_Deals!I1313&lt;&gt;"",IF(AND(Sales_Deals!I1313&gt;DATE(2024,9,30),Sales_Deals!I1313&lt;=DATE(2025,3,31)),Sales_Deals!J1313,""),"")</f>
        <v/>
      </c>
      <c r="C1322" t="str">
        <f>IF(Sales_Deals!I1313&lt;&gt;"",IF(AND(Sales_Deals!I1313&gt;DATE(2024,3,31),Sales_Deals!I1313&lt;=DATE(2024,9,30)),Sales_Deals!J1313,""),"")</f>
        <v/>
      </c>
    </row>
    <row r="1323" spans="1:3" x14ac:dyDescent="0.35">
      <c r="A1323">
        <v>1313</v>
      </c>
      <c r="B1323">
        <f>IF(Sales_Deals!I1314&lt;&gt;"",IF(AND(Sales_Deals!I1314&gt;DATE(2024,9,30),Sales_Deals!I1314&lt;=DATE(2025,3,31)),Sales_Deals!J1314,""),"")</f>
        <v>91</v>
      </c>
      <c r="C1323" t="str">
        <f>IF(Sales_Deals!I1314&lt;&gt;"",IF(AND(Sales_Deals!I1314&gt;DATE(2024,3,31),Sales_Deals!I1314&lt;=DATE(2024,9,30)),Sales_Deals!J1314,""),"")</f>
        <v/>
      </c>
    </row>
    <row r="1324" spans="1:3" x14ac:dyDescent="0.35">
      <c r="A1324">
        <v>1314</v>
      </c>
      <c r="B1324" t="str">
        <f>IF(Sales_Deals!I1315&lt;&gt;"",IF(AND(Sales_Deals!I1315&gt;DATE(2024,9,30),Sales_Deals!I1315&lt;=DATE(2025,3,31)),Sales_Deals!J1315,""),"")</f>
        <v/>
      </c>
      <c r="C1324" t="str">
        <f>IF(Sales_Deals!I1315&lt;&gt;"",IF(AND(Sales_Deals!I1315&gt;DATE(2024,3,31),Sales_Deals!I1315&lt;=DATE(2024,9,30)),Sales_Deals!J1315,""),"")</f>
        <v/>
      </c>
    </row>
    <row r="1325" spans="1:3" x14ac:dyDescent="0.35">
      <c r="A1325">
        <v>1315</v>
      </c>
      <c r="B1325" t="str">
        <f>IF(Sales_Deals!I1316&lt;&gt;"",IF(AND(Sales_Deals!I1316&gt;DATE(2024,9,30),Sales_Deals!I1316&lt;=DATE(2025,3,31)),Sales_Deals!J1316,""),"")</f>
        <v/>
      </c>
      <c r="C1325" t="str">
        <f>IF(Sales_Deals!I1316&lt;&gt;"",IF(AND(Sales_Deals!I1316&gt;DATE(2024,3,31),Sales_Deals!I1316&lt;=DATE(2024,9,30)),Sales_Deals!J1316,""),"")</f>
        <v/>
      </c>
    </row>
    <row r="1326" spans="1:3" x14ac:dyDescent="0.35">
      <c r="A1326">
        <v>1316</v>
      </c>
      <c r="B1326" t="str">
        <f>IF(Sales_Deals!I1317&lt;&gt;"",IF(AND(Sales_Deals!I1317&gt;DATE(2024,9,30),Sales_Deals!I1317&lt;=DATE(2025,3,31)),Sales_Deals!J1317,""),"")</f>
        <v/>
      </c>
      <c r="C1326" t="str">
        <f>IF(Sales_Deals!I1317&lt;&gt;"",IF(AND(Sales_Deals!I1317&gt;DATE(2024,3,31),Sales_Deals!I1317&lt;=DATE(2024,9,30)),Sales_Deals!J1317,""),"")</f>
        <v/>
      </c>
    </row>
    <row r="1327" spans="1:3" x14ac:dyDescent="0.35">
      <c r="A1327">
        <v>1317</v>
      </c>
      <c r="B1327" t="str">
        <f>IF(Sales_Deals!I1318&lt;&gt;"",IF(AND(Sales_Deals!I1318&gt;DATE(2024,9,30),Sales_Deals!I1318&lt;=DATE(2025,3,31)),Sales_Deals!J1318,""),"")</f>
        <v/>
      </c>
      <c r="C1327" t="str">
        <f>IF(Sales_Deals!I1318&lt;&gt;"",IF(AND(Sales_Deals!I1318&gt;DATE(2024,3,31),Sales_Deals!I1318&lt;=DATE(2024,9,30)),Sales_Deals!J1318,""),"")</f>
        <v/>
      </c>
    </row>
    <row r="1328" spans="1:3" x14ac:dyDescent="0.35">
      <c r="A1328">
        <v>1318</v>
      </c>
      <c r="B1328" t="str">
        <f>IF(Sales_Deals!I1319&lt;&gt;"",IF(AND(Sales_Deals!I1319&gt;DATE(2024,9,30),Sales_Deals!I1319&lt;=DATE(2025,3,31)),Sales_Deals!J1319,""),"")</f>
        <v/>
      </c>
      <c r="C1328" t="str">
        <f>IF(Sales_Deals!I1319&lt;&gt;"",IF(AND(Sales_Deals!I1319&gt;DATE(2024,3,31),Sales_Deals!I1319&lt;=DATE(2024,9,30)),Sales_Deals!J1319,""),"")</f>
        <v/>
      </c>
    </row>
    <row r="1329" spans="1:3" x14ac:dyDescent="0.35">
      <c r="A1329">
        <v>1319</v>
      </c>
      <c r="B1329" t="str">
        <f>IF(Sales_Deals!I1320&lt;&gt;"",IF(AND(Sales_Deals!I1320&gt;DATE(2024,9,30),Sales_Deals!I1320&lt;=DATE(2025,3,31)),Sales_Deals!J1320,""),"")</f>
        <v/>
      </c>
      <c r="C1329" t="str">
        <f>IF(Sales_Deals!I1320&lt;&gt;"",IF(AND(Sales_Deals!I1320&gt;DATE(2024,3,31),Sales_Deals!I1320&lt;=DATE(2024,9,30)),Sales_Deals!J1320,""),"")</f>
        <v/>
      </c>
    </row>
    <row r="1330" spans="1:3" x14ac:dyDescent="0.35">
      <c r="A1330">
        <v>1320</v>
      </c>
      <c r="B1330" t="str">
        <f>IF(Sales_Deals!I1321&lt;&gt;"",IF(AND(Sales_Deals!I1321&gt;DATE(2024,9,30),Sales_Deals!I1321&lt;=DATE(2025,3,31)),Sales_Deals!J1321,""),"")</f>
        <v/>
      </c>
      <c r="C1330" t="str">
        <f>IF(Sales_Deals!I1321&lt;&gt;"",IF(AND(Sales_Deals!I1321&gt;DATE(2024,3,31),Sales_Deals!I1321&lt;=DATE(2024,9,30)),Sales_Deals!J1321,""),"")</f>
        <v/>
      </c>
    </row>
    <row r="1331" spans="1:3" x14ac:dyDescent="0.35">
      <c r="A1331">
        <v>1321</v>
      </c>
      <c r="B1331">
        <f>IF(Sales_Deals!I1322&lt;&gt;"",IF(AND(Sales_Deals!I1322&gt;DATE(2024,9,30),Sales_Deals!I1322&lt;=DATE(2025,3,31)),Sales_Deals!J1322,""),"")</f>
        <v>110</v>
      </c>
      <c r="C1331" t="str">
        <f>IF(Sales_Deals!I1322&lt;&gt;"",IF(AND(Sales_Deals!I1322&gt;DATE(2024,3,31),Sales_Deals!I1322&lt;=DATE(2024,9,30)),Sales_Deals!J1322,""),"")</f>
        <v/>
      </c>
    </row>
    <row r="1332" spans="1:3" x14ac:dyDescent="0.35">
      <c r="A1332">
        <v>1322</v>
      </c>
      <c r="B1332" t="str">
        <f>IF(Sales_Deals!I1323&lt;&gt;"",IF(AND(Sales_Deals!I1323&gt;DATE(2024,9,30),Sales_Deals!I1323&lt;=DATE(2025,3,31)),Sales_Deals!J1323,""),"")</f>
        <v/>
      </c>
      <c r="C1332" t="str">
        <f>IF(Sales_Deals!I1323&lt;&gt;"",IF(AND(Sales_Deals!I1323&gt;DATE(2024,3,31),Sales_Deals!I1323&lt;=DATE(2024,9,30)),Sales_Deals!J1323,""),"")</f>
        <v/>
      </c>
    </row>
    <row r="1333" spans="1:3" x14ac:dyDescent="0.35">
      <c r="A1333">
        <v>1323</v>
      </c>
      <c r="B1333" t="str">
        <f>IF(Sales_Deals!I1324&lt;&gt;"",IF(AND(Sales_Deals!I1324&gt;DATE(2024,9,30),Sales_Deals!I1324&lt;=DATE(2025,3,31)),Sales_Deals!J1324,""),"")</f>
        <v/>
      </c>
      <c r="C1333" t="str">
        <f>IF(Sales_Deals!I1324&lt;&gt;"",IF(AND(Sales_Deals!I1324&gt;DATE(2024,3,31),Sales_Deals!I1324&lt;=DATE(2024,9,30)),Sales_Deals!J1324,""),"")</f>
        <v/>
      </c>
    </row>
    <row r="1334" spans="1:3" x14ac:dyDescent="0.35">
      <c r="A1334">
        <v>1324</v>
      </c>
      <c r="B1334" t="str">
        <f>IF(Sales_Deals!I1325&lt;&gt;"",IF(AND(Sales_Deals!I1325&gt;DATE(2024,9,30),Sales_Deals!I1325&lt;=DATE(2025,3,31)),Sales_Deals!J1325,""),"")</f>
        <v/>
      </c>
      <c r="C1334" t="str">
        <f>IF(Sales_Deals!I1325&lt;&gt;"",IF(AND(Sales_Deals!I1325&gt;DATE(2024,3,31),Sales_Deals!I1325&lt;=DATE(2024,9,30)),Sales_Deals!J1325,""),"")</f>
        <v/>
      </c>
    </row>
    <row r="1335" spans="1:3" x14ac:dyDescent="0.35">
      <c r="A1335">
        <v>1325</v>
      </c>
      <c r="B1335" t="str">
        <f>IF(Sales_Deals!I1326&lt;&gt;"",IF(AND(Sales_Deals!I1326&gt;DATE(2024,9,30),Sales_Deals!I1326&lt;=DATE(2025,3,31)),Sales_Deals!J1326,""),"")</f>
        <v/>
      </c>
      <c r="C1335" t="str">
        <f>IF(Sales_Deals!I1326&lt;&gt;"",IF(AND(Sales_Deals!I1326&gt;DATE(2024,3,31),Sales_Deals!I1326&lt;=DATE(2024,9,30)),Sales_Deals!J1326,""),"")</f>
        <v/>
      </c>
    </row>
    <row r="1336" spans="1:3" x14ac:dyDescent="0.35">
      <c r="A1336">
        <v>1326</v>
      </c>
      <c r="B1336" t="str">
        <f>IF(Sales_Deals!I1327&lt;&gt;"",IF(AND(Sales_Deals!I1327&gt;DATE(2024,9,30),Sales_Deals!I1327&lt;=DATE(2025,3,31)),Sales_Deals!J1327,""),"")</f>
        <v/>
      </c>
      <c r="C1336" t="str">
        <f>IF(Sales_Deals!I1327&lt;&gt;"",IF(AND(Sales_Deals!I1327&gt;DATE(2024,3,31),Sales_Deals!I1327&lt;=DATE(2024,9,30)),Sales_Deals!J1327,""),"")</f>
        <v/>
      </c>
    </row>
    <row r="1337" spans="1:3" x14ac:dyDescent="0.35">
      <c r="A1337">
        <v>1327</v>
      </c>
      <c r="B1337" t="str">
        <f>IF(Sales_Deals!I1328&lt;&gt;"",IF(AND(Sales_Deals!I1328&gt;DATE(2024,9,30),Sales_Deals!I1328&lt;=DATE(2025,3,31)),Sales_Deals!J1328,""),"")</f>
        <v/>
      </c>
      <c r="C1337" t="str">
        <f>IF(Sales_Deals!I1328&lt;&gt;"",IF(AND(Sales_Deals!I1328&gt;DATE(2024,3,31),Sales_Deals!I1328&lt;=DATE(2024,9,30)),Sales_Deals!J1328,""),"")</f>
        <v/>
      </c>
    </row>
    <row r="1338" spans="1:3" x14ac:dyDescent="0.35">
      <c r="A1338">
        <v>1328</v>
      </c>
      <c r="B1338" t="str">
        <f>IF(Sales_Deals!I1329&lt;&gt;"",IF(AND(Sales_Deals!I1329&gt;DATE(2024,9,30),Sales_Deals!I1329&lt;=DATE(2025,3,31)),Sales_Deals!J1329,""),"")</f>
        <v/>
      </c>
      <c r="C1338" t="str">
        <f>IF(Sales_Deals!I1329&lt;&gt;"",IF(AND(Sales_Deals!I1329&gt;DATE(2024,3,31),Sales_Deals!I1329&lt;=DATE(2024,9,30)),Sales_Deals!J1329,""),"")</f>
        <v/>
      </c>
    </row>
    <row r="1339" spans="1:3" x14ac:dyDescent="0.35">
      <c r="A1339">
        <v>1329</v>
      </c>
      <c r="B1339" t="str">
        <f>IF(Sales_Deals!I1330&lt;&gt;"",IF(AND(Sales_Deals!I1330&gt;DATE(2024,9,30),Sales_Deals!I1330&lt;=DATE(2025,3,31)),Sales_Deals!J1330,""),"")</f>
        <v/>
      </c>
      <c r="C1339" t="str">
        <f>IF(Sales_Deals!I1330&lt;&gt;"",IF(AND(Sales_Deals!I1330&gt;DATE(2024,3,31),Sales_Deals!I1330&lt;=DATE(2024,9,30)),Sales_Deals!J1330,""),"")</f>
        <v/>
      </c>
    </row>
    <row r="1340" spans="1:3" x14ac:dyDescent="0.35">
      <c r="A1340">
        <v>1330</v>
      </c>
      <c r="B1340" t="str">
        <f>IF(Sales_Deals!I1331&lt;&gt;"",IF(AND(Sales_Deals!I1331&gt;DATE(2024,9,30),Sales_Deals!I1331&lt;=DATE(2025,3,31)),Sales_Deals!J1331,""),"")</f>
        <v/>
      </c>
      <c r="C1340" t="str">
        <f>IF(Sales_Deals!I1331&lt;&gt;"",IF(AND(Sales_Deals!I1331&gt;DATE(2024,3,31),Sales_Deals!I1331&lt;=DATE(2024,9,30)),Sales_Deals!J1331,""),"")</f>
        <v/>
      </c>
    </row>
    <row r="1341" spans="1:3" x14ac:dyDescent="0.35">
      <c r="A1341">
        <v>1331</v>
      </c>
      <c r="B1341">
        <f>IF(Sales_Deals!I1332&lt;&gt;"",IF(AND(Sales_Deals!I1332&gt;DATE(2024,9,30),Sales_Deals!I1332&lt;=DATE(2025,3,31)),Sales_Deals!J1332,""),"")</f>
        <v>85</v>
      </c>
      <c r="C1341" t="str">
        <f>IF(Sales_Deals!I1332&lt;&gt;"",IF(AND(Sales_Deals!I1332&gt;DATE(2024,3,31),Sales_Deals!I1332&lt;=DATE(2024,9,30)),Sales_Deals!J1332,""),"")</f>
        <v/>
      </c>
    </row>
    <row r="1342" spans="1:3" x14ac:dyDescent="0.35">
      <c r="A1342">
        <v>1332</v>
      </c>
      <c r="B1342" t="str">
        <f>IF(Sales_Deals!I1333&lt;&gt;"",IF(AND(Sales_Deals!I1333&gt;DATE(2024,9,30),Sales_Deals!I1333&lt;=DATE(2025,3,31)),Sales_Deals!J1333,""),"")</f>
        <v/>
      </c>
      <c r="C1342" t="str">
        <f>IF(Sales_Deals!I1333&lt;&gt;"",IF(AND(Sales_Deals!I1333&gt;DATE(2024,3,31),Sales_Deals!I1333&lt;=DATE(2024,9,30)),Sales_Deals!J1333,""),"")</f>
        <v/>
      </c>
    </row>
    <row r="1343" spans="1:3" x14ac:dyDescent="0.35">
      <c r="A1343">
        <v>1333</v>
      </c>
      <c r="B1343" t="str">
        <f>IF(Sales_Deals!I1334&lt;&gt;"",IF(AND(Sales_Deals!I1334&gt;DATE(2024,9,30),Sales_Deals!I1334&lt;=DATE(2025,3,31)),Sales_Deals!J1334,""),"")</f>
        <v/>
      </c>
      <c r="C1343" t="str">
        <f>IF(Sales_Deals!I1334&lt;&gt;"",IF(AND(Sales_Deals!I1334&gt;DATE(2024,3,31),Sales_Deals!I1334&lt;=DATE(2024,9,30)),Sales_Deals!J1334,""),"")</f>
        <v/>
      </c>
    </row>
    <row r="1344" spans="1:3" x14ac:dyDescent="0.35">
      <c r="A1344">
        <v>1334</v>
      </c>
      <c r="B1344" t="str">
        <f>IF(Sales_Deals!I1335&lt;&gt;"",IF(AND(Sales_Deals!I1335&gt;DATE(2024,9,30),Sales_Deals!I1335&lt;=DATE(2025,3,31)),Sales_Deals!J1335,""),"")</f>
        <v/>
      </c>
      <c r="C1344" t="str">
        <f>IF(Sales_Deals!I1335&lt;&gt;"",IF(AND(Sales_Deals!I1335&gt;DATE(2024,3,31),Sales_Deals!I1335&lt;=DATE(2024,9,30)),Sales_Deals!J1335,""),"")</f>
        <v/>
      </c>
    </row>
    <row r="1345" spans="1:3" x14ac:dyDescent="0.35">
      <c r="A1345">
        <v>1335</v>
      </c>
      <c r="B1345" t="str">
        <f>IF(Sales_Deals!I1336&lt;&gt;"",IF(AND(Sales_Deals!I1336&gt;DATE(2024,9,30),Sales_Deals!I1336&lt;=DATE(2025,3,31)),Sales_Deals!J1336,""),"")</f>
        <v/>
      </c>
      <c r="C1345" t="str">
        <f>IF(Sales_Deals!I1336&lt;&gt;"",IF(AND(Sales_Deals!I1336&gt;DATE(2024,3,31),Sales_Deals!I1336&lt;=DATE(2024,9,30)),Sales_Deals!J1336,""),"")</f>
        <v/>
      </c>
    </row>
    <row r="1346" spans="1:3" x14ac:dyDescent="0.35">
      <c r="A1346">
        <v>1336</v>
      </c>
      <c r="B1346" t="str">
        <f>IF(Sales_Deals!I1337&lt;&gt;"",IF(AND(Sales_Deals!I1337&gt;DATE(2024,9,30),Sales_Deals!I1337&lt;=DATE(2025,3,31)),Sales_Deals!J1337,""),"")</f>
        <v/>
      </c>
      <c r="C1346" t="str">
        <f>IF(Sales_Deals!I1337&lt;&gt;"",IF(AND(Sales_Deals!I1337&gt;DATE(2024,3,31),Sales_Deals!I1337&lt;=DATE(2024,9,30)),Sales_Deals!J1337,""),"")</f>
        <v/>
      </c>
    </row>
    <row r="1347" spans="1:3" x14ac:dyDescent="0.35">
      <c r="A1347">
        <v>1337</v>
      </c>
      <c r="B1347">
        <f>IF(Sales_Deals!I1338&lt;&gt;"",IF(AND(Sales_Deals!I1338&gt;DATE(2024,9,30),Sales_Deals!I1338&lt;=DATE(2025,3,31)),Sales_Deals!J1338,""),"")</f>
        <v>97</v>
      </c>
      <c r="C1347" t="str">
        <f>IF(Sales_Deals!I1338&lt;&gt;"",IF(AND(Sales_Deals!I1338&gt;DATE(2024,3,31),Sales_Deals!I1338&lt;=DATE(2024,9,30)),Sales_Deals!J1338,""),"")</f>
        <v/>
      </c>
    </row>
    <row r="1348" spans="1:3" x14ac:dyDescent="0.35">
      <c r="A1348">
        <v>1338</v>
      </c>
      <c r="B1348" t="str">
        <f>IF(Sales_Deals!I1339&lt;&gt;"",IF(AND(Sales_Deals!I1339&gt;DATE(2024,9,30),Sales_Deals!I1339&lt;=DATE(2025,3,31)),Sales_Deals!J1339,""),"")</f>
        <v/>
      </c>
      <c r="C1348" t="str">
        <f>IF(Sales_Deals!I1339&lt;&gt;"",IF(AND(Sales_Deals!I1339&gt;DATE(2024,3,31),Sales_Deals!I1339&lt;=DATE(2024,9,30)),Sales_Deals!J1339,""),"")</f>
        <v/>
      </c>
    </row>
    <row r="1349" spans="1:3" x14ac:dyDescent="0.35">
      <c r="A1349">
        <v>1339</v>
      </c>
      <c r="B1349">
        <f>IF(Sales_Deals!I1340&lt;&gt;"",IF(AND(Sales_Deals!I1340&gt;DATE(2024,9,30),Sales_Deals!I1340&lt;=DATE(2025,3,31)),Sales_Deals!J1340,""),"")</f>
        <v>111</v>
      </c>
      <c r="C1349" t="str">
        <f>IF(Sales_Deals!I1340&lt;&gt;"",IF(AND(Sales_Deals!I1340&gt;DATE(2024,3,31),Sales_Deals!I1340&lt;=DATE(2024,9,30)),Sales_Deals!J1340,""),"")</f>
        <v/>
      </c>
    </row>
    <row r="1350" spans="1:3" x14ac:dyDescent="0.35">
      <c r="A1350">
        <v>1340</v>
      </c>
      <c r="B1350" t="str">
        <f>IF(Sales_Deals!I1341&lt;&gt;"",IF(AND(Sales_Deals!I1341&gt;DATE(2024,9,30),Sales_Deals!I1341&lt;=DATE(2025,3,31)),Sales_Deals!J1341,""),"")</f>
        <v/>
      </c>
      <c r="C1350" t="str">
        <f>IF(Sales_Deals!I1341&lt;&gt;"",IF(AND(Sales_Deals!I1341&gt;DATE(2024,3,31),Sales_Deals!I1341&lt;=DATE(2024,9,30)),Sales_Deals!J1341,""),"")</f>
        <v/>
      </c>
    </row>
    <row r="1351" spans="1:3" x14ac:dyDescent="0.35">
      <c r="A1351">
        <v>1341</v>
      </c>
      <c r="B1351">
        <f>IF(Sales_Deals!I1342&lt;&gt;"",IF(AND(Sales_Deals!I1342&gt;DATE(2024,9,30),Sales_Deals!I1342&lt;=DATE(2025,3,31)),Sales_Deals!J1342,""),"")</f>
        <v>37</v>
      </c>
      <c r="C1351" t="str">
        <f>IF(Sales_Deals!I1342&lt;&gt;"",IF(AND(Sales_Deals!I1342&gt;DATE(2024,3,31),Sales_Deals!I1342&lt;=DATE(2024,9,30)),Sales_Deals!J1342,""),"")</f>
        <v/>
      </c>
    </row>
    <row r="1352" spans="1:3" x14ac:dyDescent="0.35">
      <c r="A1352">
        <v>1342</v>
      </c>
      <c r="B1352" t="str">
        <f>IF(Sales_Deals!I1343&lt;&gt;"",IF(AND(Sales_Deals!I1343&gt;DATE(2024,9,30),Sales_Deals!I1343&lt;=DATE(2025,3,31)),Sales_Deals!J1343,""),"")</f>
        <v/>
      </c>
      <c r="C1352" t="str">
        <f>IF(Sales_Deals!I1343&lt;&gt;"",IF(AND(Sales_Deals!I1343&gt;DATE(2024,3,31),Sales_Deals!I1343&lt;=DATE(2024,9,30)),Sales_Deals!J1343,""),"")</f>
        <v/>
      </c>
    </row>
    <row r="1353" spans="1:3" x14ac:dyDescent="0.35">
      <c r="A1353">
        <v>1343</v>
      </c>
      <c r="B1353" t="str">
        <f>IF(Sales_Deals!I1344&lt;&gt;"",IF(AND(Sales_Deals!I1344&gt;DATE(2024,9,30),Sales_Deals!I1344&lt;=DATE(2025,3,31)),Sales_Deals!J1344,""),"")</f>
        <v/>
      </c>
      <c r="C1353" t="str">
        <f>IF(Sales_Deals!I1344&lt;&gt;"",IF(AND(Sales_Deals!I1344&gt;DATE(2024,3,31),Sales_Deals!I1344&lt;=DATE(2024,9,30)),Sales_Deals!J1344,""),"")</f>
        <v/>
      </c>
    </row>
    <row r="1354" spans="1:3" x14ac:dyDescent="0.35">
      <c r="A1354">
        <v>1344</v>
      </c>
      <c r="B1354" t="str">
        <f>IF(Sales_Deals!I1345&lt;&gt;"",IF(AND(Sales_Deals!I1345&gt;DATE(2024,9,30),Sales_Deals!I1345&lt;=DATE(2025,3,31)),Sales_Deals!J1345,""),"")</f>
        <v/>
      </c>
      <c r="C1354" t="str">
        <f>IF(Sales_Deals!I1345&lt;&gt;"",IF(AND(Sales_Deals!I1345&gt;DATE(2024,3,31),Sales_Deals!I1345&lt;=DATE(2024,9,30)),Sales_Deals!J1345,""),"")</f>
        <v/>
      </c>
    </row>
    <row r="1355" spans="1:3" x14ac:dyDescent="0.35">
      <c r="A1355">
        <v>1345</v>
      </c>
      <c r="B1355" t="str">
        <f>IF(Sales_Deals!I1346&lt;&gt;"",IF(AND(Sales_Deals!I1346&gt;DATE(2024,9,30),Sales_Deals!I1346&lt;=DATE(2025,3,31)),Sales_Deals!J1346,""),"")</f>
        <v/>
      </c>
      <c r="C1355" t="str">
        <f>IF(Sales_Deals!I1346&lt;&gt;"",IF(AND(Sales_Deals!I1346&gt;DATE(2024,3,31),Sales_Deals!I1346&lt;=DATE(2024,9,30)),Sales_Deals!J1346,""),"")</f>
        <v/>
      </c>
    </row>
    <row r="1356" spans="1:3" x14ac:dyDescent="0.35">
      <c r="A1356">
        <v>1346</v>
      </c>
      <c r="B1356" t="str">
        <f>IF(Sales_Deals!I1347&lt;&gt;"",IF(AND(Sales_Deals!I1347&gt;DATE(2024,9,30),Sales_Deals!I1347&lt;=DATE(2025,3,31)),Sales_Deals!J1347,""),"")</f>
        <v/>
      </c>
      <c r="C1356" t="str">
        <f>IF(Sales_Deals!I1347&lt;&gt;"",IF(AND(Sales_Deals!I1347&gt;DATE(2024,3,31),Sales_Deals!I1347&lt;=DATE(2024,9,30)),Sales_Deals!J1347,""),"")</f>
        <v/>
      </c>
    </row>
    <row r="1357" spans="1:3" x14ac:dyDescent="0.35">
      <c r="A1357">
        <v>1347</v>
      </c>
      <c r="B1357" t="str">
        <f>IF(Sales_Deals!I1348&lt;&gt;"",IF(AND(Sales_Deals!I1348&gt;DATE(2024,9,30),Sales_Deals!I1348&lt;=DATE(2025,3,31)),Sales_Deals!J1348,""),"")</f>
        <v/>
      </c>
      <c r="C1357" t="str">
        <f>IF(Sales_Deals!I1348&lt;&gt;"",IF(AND(Sales_Deals!I1348&gt;DATE(2024,3,31),Sales_Deals!I1348&lt;=DATE(2024,9,30)),Sales_Deals!J1348,""),"")</f>
        <v/>
      </c>
    </row>
    <row r="1358" spans="1:3" x14ac:dyDescent="0.35">
      <c r="A1358">
        <v>1348</v>
      </c>
      <c r="B1358" t="str">
        <f>IF(Sales_Deals!I1349&lt;&gt;"",IF(AND(Sales_Deals!I1349&gt;DATE(2024,9,30),Sales_Deals!I1349&lt;=DATE(2025,3,31)),Sales_Deals!J1349,""),"")</f>
        <v/>
      </c>
      <c r="C1358" t="str">
        <f>IF(Sales_Deals!I1349&lt;&gt;"",IF(AND(Sales_Deals!I1349&gt;DATE(2024,3,31),Sales_Deals!I1349&lt;=DATE(2024,9,30)),Sales_Deals!J1349,""),"")</f>
        <v/>
      </c>
    </row>
    <row r="1359" spans="1:3" x14ac:dyDescent="0.35">
      <c r="A1359">
        <v>1349</v>
      </c>
      <c r="B1359" t="str">
        <f>IF(Sales_Deals!I1350&lt;&gt;"",IF(AND(Sales_Deals!I1350&gt;DATE(2024,9,30),Sales_Deals!I1350&lt;=DATE(2025,3,31)),Sales_Deals!J1350,""),"")</f>
        <v/>
      </c>
      <c r="C1359">
        <f>IF(Sales_Deals!I1350&lt;&gt;"",IF(AND(Sales_Deals!I1350&gt;DATE(2024,3,31),Sales_Deals!I1350&lt;=DATE(2024,9,30)),Sales_Deals!J1350,""),"")</f>
        <v>18</v>
      </c>
    </row>
    <row r="1360" spans="1:3" x14ac:dyDescent="0.35">
      <c r="A1360">
        <v>1350</v>
      </c>
      <c r="B1360" t="str">
        <f>IF(Sales_Deals!I1351&lt;&gt;"",IF(AND(Sales_Deals!I1351&gt;DATE(2024,9,30),Sales_Deals!I1351&lt;=DATE(2025,3,31)),Sales_Deals!J1351,""),"")</f>
        <v/>
      </c>
      <c r="C1360" t="str">
        <f>IF(Sales_Deals!I1351&lt;&gt;"",IF(AND(Sales_Deals!I1351&gt;DATE(2024,3,31),Sales_Deals!I1351&lt;=DATE(2024,9,30)),Sales_Deals!J1351,""),"")</f>
        <v/>
      </c>
    </row>
    <row r="1361" spans="1:3" x14ac:dyDescent="0.35">
      <c r="A1361">
        <v>1351</v>
      </c>
      <c r="B1361" t="str">
        <f>IF(Sales_Deals!I1352&lt;&gt;"",IF(AND(Sales_Deals!I1352&gt;DATE(2024,9,30),Sales_Deals!I1352&lt;=DATE(2025,3,31)),Sales_Deals!J1352,""),"")</f>
        <v/>
      </c>
      <c r="C1361" t="str">
        <f>IF(Sales_Deals!I1352&lt;&gt;"",IF(AND(Sales_Deals!I1352&gt;DATE(2024,3,31),Sales_Deals!I1352&lt;=DATE(2024,9,30)),Sales_Deals!J1352,""),"")</f>
        <v/>
      </c>
    </row>
    <row r="1362" spans="1:3" x14ac:dyDescent="0.35">
      <c r="A1362">
        <v>1352</v>
      </c>
      <c r="B1362" t="str">
        <f>IF(Sales_Deals!I1353&lt;&gt;"",IF(AND(Sales_Deals!I1353&gt;DATE(2024,9,30),Sales_Deals!I1353&lt;=DATE(2025,3,31)),Sales_Deals!J1353,""),"")</f>
        <v/>
      </c>
      <c r="C1362" t="str">
        <f>IF(Sales_Deals!I1353&lt;&gt;"",IF(AND(Sales_Deals!I1353&gt;DATE(2024,3,31),Sales_Deals!I1353&lt;=DATE(2024,9,30)),Sales_Deals!J1353,""),"")</f>
        <v/>
      </c>
    </row>
    <row r="1363" spans="1:3" x14ac:dyDescent="0.35">
      <c r="A1363">
        <v>1353</v>
      </c>
      <c r="B1363" t="str">
        <f>IF(Sales_Deals!I1354&lt;&gt;"",IF(AND(Sales_Deals!I1354&gt;DATE(2024,9,30),Sales_Deals!I1354&lt;=DATE(2025,3,31)),Sales_Deals!J1354,""),"")</f>
        <v/>
      </c>
      <c r="C1363" t="str">
        <f>IF(Sales_Deals!I1354&lt;&gt;"",IF(AND(Sales_Deals!I1354&gt;DATE(2024,3,31),Sales_Deals!I1354&lt;=DATE(2024,9,30)),Sales_Deals!J1354,""),"")</f>
        <v/>
      </c>
    </row>
    <row r="1364" spans="1:3" x14ac:dyDescent="0.35">
      <c r="A1364">
        <v>1354</v>
      </c>
      <c r="B1364" t="str">
        <f>IF(Sales_Deals!I1355&lt;&gt;"",IF(AND(Sales_Deals!I1355&gt;DATE(2024,9,30),Sales_Deals!I1355&lt;=DATE(2025,3,31)),Sales_Deals!J1355,""),"")</f>
        <v/>
      </c>
      <c r="C1364">
        <f>IF(Sales_Deals!I1355&lt;&gt;"",IF(AND(Sales_Deals!I1355&gt;DATE(2024,3,31),Sales_Deals!I1355&lt;=DATE(2024,9,30)),Sales_Deals!J1355,""),"")</f>
        <v>92</v>
      </c>
    </row>
    <row r="1365" spans="1:3" x14ac:dyDescent="0.35">
      <c r="A1365">
        <v>1355</v>
      </c>
      <c r="B1365" t="str">
        <f>IF(Sales_Deals!I1356&lt;&gt;"",IF(AND(Sales_Deals!I1356&gt;DATE(2024,9,30),Sales_Deals!I1356&lt;=DATE(2025,3,31)),Sales_Deals!J1356,""),"")</f>
        <v/>
      </c>
      <c r="C1365" t="str">
        <f>IF(Sales_Deals!I1356&lt;&gt;"",IF(AND(Sales_Deals!I1356&gt;DATE(2024,3,31),Sales_Deals!I1356&lt;=DATE(2024,9,30)),Sales_Deals!J1356,""),"")</f>
        <v/>
      </c>
    </row>
    <row r="1366" spans="1:3" x14ac:dyDescent="0.35">
      <c r="A1366">
        <v>1356</v>
      </c>
      <c r="B1366" t="str">
        <f>IF(Sales_Deals!I1357&lt;&gt;"",IF(AND(Sales_Deals!I1357&gt;DATE(2024,9,30),Sales_Deals!I1357&lt;=DATE(2025,3,31)),Sales_Deals!J1357,""),"")</f>
        <v/>
      </c>
      <c r="C1366" t="str">
        <f>IF(Sales_Deals!I1357&lt;&gt;"",IF(AND(Sales_Deals!I1357&gt;DATE(2024,3,31),Sales_Deals!I1357&lt;=DATE(2024,9,30)),Sales_Deals!J1357,""),"")</f>
        <v/>
      </c>
    </row>
    <row r="1367" spans="1:3" x14ac:dyDescent="0.35">
      <c r="A1367">
        <v>1357</v>
      </c>
      <c r="B1367" t="str">
        <f>IF(Sales_Deals!I1358&lt;&gt;"",IF(AND(Sales_Deals!I1358&gt;DATE(2024,9,30),Sales_Deals!I1358&lt;=DATE(2025,3,31)),Sales_Deals!J1358,""),"")</f>
        <v/>
      </c>
      <c r="C1367" t="str">
        <f>IF(Sales_Deals!I1358&lt;&gt;"",IF(AND(Sales_Deals!I1358&gt;DATE(2024,3,31),Sales_Deals!I1358&lt;=DATE(2024,9,30)),Sales_Deals!J1358,""),"")</f>
        <v/>
      </c>
    </row>
    <row r="1368" spans="1:3" x14ac:dyDescent="0.35">
      <c r="A1368">
        <v>1358</v>
      </c>
      <c r="B1368" t="str">
        <f>IF(Sales_Deals!I1359&lt;&gt;"",IF(AND(Sales_Deals!I1359&gt;DATE(2024,9,30),Sales_Deals!I1359&lt;=DATE(2025,3,31)),Sales_Deals!J1359,""),"")</f>
        <v/>
      </c>
      <c r="C1368" t="str">
        <f>IF(Sales_Deals!I1359&lt;&gt;"",IF(AND(Sales_Deals!I1359&gt;DATE(2024,3,31),Sales_Deals!I1359&lt;=DATE(2024,9,30)),Sales_Deals!J1359,""),"")</f>
        <v/>
      </c>
    </row>
    <row r="1369" spans="1:3" x14ac:dyDescent="0.35">
      <c r="A1369">
        <v>1359</v>
      </c>
      <c r="B1369" t="str">
        <f>IF(Sales_Deals!I1360&lt;&gt;"",IF(AND(Sales_Deals!I1360&gt;DATE(2024,9,30),Sales_Deals!I1360&lt;=DATE(2025,3,31)),Sales_Deals!J1360,""),"")</f>
        <v/>
      </c>
      <c r="C1369" t="str">
        <f>IF(Sales_Deals!I1360&lt;&gt;"",IF(AND(Sales_Deals!I1360&gt;DATE(2024,3,31),Sales_Deals!I1360&lt;=DATE(2024,9,30)),Sales_Deals!J1360,""),"")</f>
        <v/>
      </c>
    </row>
    <row r="1370" spans="1:3" x14ac:dyDescent="0.35">
      <c r="A1370">
        <v>1360</v>
      </c>
      <c r="B1370" t="str">
        <f>IF(Sales_Deals!I1361&lt;&gt;"",IF(AND(Sales_Deals!I1361&gt;DATE(2024,9,30),Sales_Deals!I1361&lt;=DATE(2025,3,31)),Sales_Deals!J1361,""),"")</f>
        <v/>
      </c>
      <c r="C1370" t="str">
        <f>IF(Sales_Deals!I1361&lt;&gt;"",IF(AND(Sales_Deals!I1361&gt;DATE(2024,3,31),Sales_Deals!I1361&lt;=DATE(2024,9,30)),Sales_Deals!J1361,""),"")</f>
        <v/>
      </c>
    </row>
    <row r="1371" spans="1:3" x14ac:dyDescent="0.35">
      <c r="A1371">
        <v>1361</v>
      </c>
      <c r="B1371" t="str">
        <f>IF(Sales_Deals!I1362&lt;&gt;"",IF(AND(Sales_Deals!I1362&gt;DATE(2024,9,30),Sales_Deals!I1362&lt;=DATE(2025,3,31)),Sales_Deals!J1362,""),"")</f>
        <v/>
      </c>
      <c r="C1371" t="str">
        <f>IF(Sales_Deals!I1362&lt;&gt;"",IF(AND(Sales_Deals!I1362&gt;DATE(2024,3,31),Sales_Deals!I1362&lt;=DATE(2024,9,30)),Sales_Deals!J1362,""),"")</f>
        <v/>
      </c>
    </row>
    <row r="1372" spans="1:3" x14ac:dyDescent="0.35">
      <c r="A1372">
        <v>1362</v>
      </c>
      <c r="B1372" t="str">
        <f>IF(Sales_Deals!I1363&lt;&gt;"",IF(AND(Sales_Deals!I1363&gt;DATE(2024,9,30),Sales_Deals!I1363&lt;=DATE(2025,3,31)),Sales_Deals!J1363,""),"")</f>
        <v/>
      </c>
      <c r="C1372" t="str">
        <f>IF(Sales_Deals!I1363&lt;&gt;"",IF(AND(Sales_Deals!I1363&gt;DATE(2024,3,31),Sales_Deals!I1363&lt;=DATE(2024,9,30)),Sales_Deals!J1363,""),"")</f>
        <v/>
      </c>
    </row>
    <row r="1373" spans="1:3" x14ac:dyDescent="0.35">
      <c r="A1373">
        <v>1363</v>
      </c>
      <c r="B1373" t="str">
        <f>IF(Sales_Deals!I1364&lt;&gt;"",IF(AND(Sales_Deals!I1364&gt;DATE(2024,9,30),Sales_Deals!I1364&lt;=DATE(2025,3,31)),Sales_Deals!J1364,""),"")</f>
        <v/>
      </c>
      <c r="C1373" t="str">
        <f>IF(Sales_Deals!I1364&lt;&gt;"",IF(AND(Sales_Deals!I1364&gt;DATE(2024,3,31),Sales_Deals!I1364&lt;=DATE(2024,9,30)),Sales_Deals!J1364,""),"")</f>
        <v/>
      </c>
    </row>
    <row r="1374" spans="1:3" x14ac:dyDescent="0.35">
      <c r="A1374">
        <v>1364</v>
      </c>
      <c r="B1374" t="str">
        <f>IF(Sales_Deals!I1365&lt;&gt;"",IF(AND(Sales_Deals!I1365&gt;DATE(2024,9,30),Sales_Deals!I1365&lt;=DATE(2025,3,31)),Sales_Deals!J1365,""),"")</f>
        <v/>
      </c>
      <c r="C1374" t="str">
        <f>IF(Sales_Deals!I1365&lt;&gt;"",IF(AND(Sales_Deals!I1365&gt;DATE(2024,3,31),Sales_Deals!I1365&lt;=DATE(2024,9,30)),Sales_Deals!J1365,""),"")</f>
        <v/>
      </c>
    </row>
    <row r="1375" spans="1:3" x14ac:dyDescent="0.35">
      <c r="A1375">
        <v>1365</v>
      </c>
      <c r="B1375" t="str">
        <f>IF(Sales_Deals!I1366&lt;&gt;"",IF(AND(Sales_Deals!I1366&gt;DATE(2024,9,30),Sales_Deals!I1366&lt;=DATE(2025,3,31)),Sales_Deals!J1366,""),"")</f>
        <v/>
      </c>
      <c r="C1375" t="str">
        <f>IF(Sales_Deals!I1366&lt;&gt;"",IF(AND(Sales_Deals!I1366&gt;DATE(2024,3,31),Sales_Deals!I1366&lt;=DATE(2024,9,30)),Sales_Deals!J1366,""),"")</f>
        <v/>
      </c>
    </row>
    <row r="1376" spans="1:3" x14ac:dyDescent="0.35">
      <c r="A1376">
        <v>1366</v>
      </c>
      <c r="B1376" t="str">
        <f>IF(Sales_Deals!I1367&lt;&gt;"",IF(AND(Sales_Deals!I1367&gt;DATE(2024,9,30),Sales_Deals!I1367&lt;=DATE(2025,3,31)),Sales_Deals!J1367,""),"")</f>
        <v/>
      </c>
      <c r="C1376" t="str">
        <f>IF(Sales_Deals!I1367&lt;&gt;"",IF(AND(Sales_Deals!I1367&gt;DATE(2024,3,31),Sales_Deals!I1367&lt;=DATE(2024,9,30)),Sales_Deals!J1367,""),"")</f>
        <v/>
      </c>
    </row>
    <row r="1377" spans="1:3" x14ac:dyDescent="0.35">
      <c r="A1377">
        <v>1367</v>
      </c>
      <c r="B1377" t="str">
        <f>IF(Sales_Deals!I1368&lt;&gt;"",IF(AND(Sales_Deals!I1368&gt;DATE(2024,9,30),Sales_Deals!I1368&lt;=DATE(2025,3,31)),Sales_Deals!J1368,""),"")</f>
        <v/>
      </c>
      <c r="C1377" t="str">
        <f>IF(Sales_Deals!I1368&lt;&gt;"",IF(AND(Sales_Deals!I1368&gt;DATE(2024,3,31),Sales_Deals!I1368&lt;=DATE(2024,9,30)),Sales_Deals!J1368,""),"")</f>
        <v/>
      </c>
    </row>
    <row r="1378" spans="1:3" x14ac:dyDescent="0.35">
      <c r="A1378">
        <v>1368</v>
      </c>
      <c r="B1378">
        <f>IF(Sales_Deals!I1369&lt;&gt;"",IF(AND(Sales_Deals!I1369&gt;DATE(2024,9,30),Sales_Deals!I1369&lt;=DATE(2025,3,31)),Sales_Deals!J1369,""),"")</f>
        <v>114</v>
      </c>
      <c r="C1378" t="str">
        <f>IF(Sales_Deals!I1369&lt;&gt;"",IF(AND(Sales_Deals!I1369&gt;DATE(2024,3,31),Sales_Deals!I1369&lt;=DATE(2024,9,30)),Sales_Deals!J1369,""),"")</f>
        <v/>
      </c>
    </row>
    <row r="1379" spans="1:3" x14ac:dyDescent="0.35">
      <c r="A1379">
        <v>1369</v>
      </c>
      <c r="B1379" t="str">
        <f>IF(Sales_Deals!I1370&lt;&gt;"",IF(AND(Sales_Deals!I1370&gt;DATE(2024,9,30),Sales_Deals!I1370&lt;=DATE(2025,3,31)),Sales_Deals!J1370,""),"")</f>
        <v/>
      </c>
      <c r="C1379">
        <f>IF(Sales_Deals!I1370&lt;&gt;"",IF(AND(Sales_Deals!I1370&gt;DATE(2024,3,31),Sales_Deals!I1370&lt;=DATE(2024,9,30)),Sales_Deals!J1370,""),"")</f>
        <v>39</v>
      </c>
    </row>
    <row r="1380" spans="1:3" x14ac:dyDescent="0.35">
      <c r="A1380">
        <v>1370</v>
      </c>
      <c r="B1380" t="str">
        <f>IF(Sales_Deals!I1371&lt;&gt;"",IF(AND(Sales_Deals!I1371&gt;DATE(2024,9,30),Sales_Deals!I1371&lt;=DATE(2025,3,31)),Sales_Deals!J1371,""),"")</f>
        <v/>
      </c>
      <c r="C1380" t="str">
        <f>IF(Sales_Deals!I1371&lt;&gt;"",IF(AND(Sales_Deals!I1371&gt;DATE(2024,3,31),Sales_Deals!I1371&lt;=DATE(2024,9,30)),Sales_Deals!J1371,""),"")</f>
        <v/>
      </c>
    </row>
    <row r="1381" spans="1:3" x14ac:dyDescent="0.35">
      <c r="A1381">
        <v>1371</v>
      </c>
      <c r="B1381" t="str">
        <f>IF(Sales_Deals!I1372&lt;&gt;"",IF(AND(Sales_Deals!I1372&gt;DATE(2024,9,30),Sales_Deals!I1372&lt;=DATE(2025,3,31)),Sales_Deals!J1372,""),"")</f>
        <v/>
      </c>
      <c r="C1381" t="str">
        <f>IF(Sales_Deals!I1372&lt;&gt;"",IF(AND(Sales_Deals!I1372&gt;DATE(2024,3,31),Sales_Deals!I1372&lt;=DATE(2024,9,30)),Sales_Deals!J1372,""),"")</f>
        <v/>
      </c>
    </row>
    <row r="1382" spans="1:3" x14ac:dyDescent="0.35">
      <c r="A1382">
        <v>1372</v>
      </c>
      <c r="B1382" t="str">
        <f>IF(Sales_Deals!I1373&lt;&gt;"",IF(AND(Sales_Deals!I1373&gt;DATE(2024,9,30),Sales_Deals!I1373&lt;=DATE(2025,3,31)),Sales_Deals!J1373,""),"")</f>
        <v/>
      </c>
      <c r="C1382">
        <f>IF(Sales_Deals!I1373&lt;&gt;"",IF(AND(Sales_Deals!I1373&gt;DATE(2024,3,31),Sales_Deals!I1373&lt;=DATE(2024,9,30)),Sales_Deals!J1373,""),"")</f>
        <v>62</v>
      </c>
    </row>
    <row r="1383" spans="1:3" x14ac:dyDescent="0.35">
      <c r="A1383">
        <v>1373</v>
      </c>
      <c r="B1383" t="str">
        <f>IF(Sales_Deals!I1374&lt;&gt;"",IF(AND(Sales_Deals!I1374&gt;DATE(2024,9,30),Sales_Deals!I1374&lt;=DATE(2025,3,31)),Sales_Deals!J1374,""),"")</f>
        <v/>
      </c>
      <c r="C1383">
        <f>IF(Sales_Deals!I1374&lt;&gt;"",IF(AND(Sales_Deals!I1374&gt;DATE(2024,3,31),Sales_Deals!I1374&lt;=DATE(2024,9,30)),Sales_Deals!J1374,""),"")</f>
        <v>167</v>
      </c>
    </row>
    <row r="1384" spans="1:3" x14ac:dyDescent="0.35">
      <c r="A1384">
        <v>1374</v>
      </c>
      <c r="B1384" t="str">
        <f>IF(Sales_Deals!I1375&lt;&gt;"",IF(AND(Sales_Deals!I1375&gt;DATE(2024,9,30),Sales_Deals!I1375&lt;=DATE(2025,3,31)),Sales_Deals!J1375,""),"")</f>
        <v/>
      </c>
      <c r="C1384" t="str">
        <f>IF(Sales_Deals!I1375&lt;&gt;"",IF(AND(Sales_Deals!I1375&gt;DATE(2024,3,31),Sales_Deals!I1375&lt;=DATE(2024,9,30)),Sales_Deals!J1375,""),"")</f>
        <v/>
      </c>
    </row>
    <row r="1385" spans="1:3" x14ac:dyDescent="0.35">
      <c r="A1385">
        <v>1375</v>
      </c>
      <c r="B1385" t="str">
        <f>IF(Sales_Deals!I1376&lt;&gt;"",IF(AND(Sales_Deals!I1376&gt;DATE(2024,9,30),Sales_Deals!I1376&lt;=DATE(2025,3,31)),Sales_Deals!J1376,""),"")</f>
        <v/>
      </c>
      <c r="C1385" t="str">
        <f>IF(Sales_Deals!I1376&lt;&gt;"",IF(AND(Sales_Deals!I1376&gt;DATE(2024,3,31),Sales_Deals!I1376&lt;=DATE(2024,9,30)),Sales_Deals!J1376,""),"")</f>
        <v/>
      </c>
    </row>
    <row r="1386" spans="1:3" x14ac:dyDescent="0.35">
      <c r="A1386">
        <v>1376</v>
      </c>
      <c r="B1386" t="str">
        <f>IF(Sales_Deals!I1377&lt;&gt;"",IF(AND(Sales_Deals!I1377&gt;DATE(2024,9,30),Sales_Deals!I1377&lt;=DATE(2025,3,31)),Sales_Deals!J1377,""),"")</f>
        <v/>
      </c>
      <c r="C1386" t="str">
        <f>IF(Sales_Deals!I1377&lt;&gt;"",IF(AND(Sales_Deals!I1377&gt;DATE(2024,3,31),Sales_Deals!I1377&lt;=DATE(2024,9,30)),Sales_Deals!J1377,""),"")</f>
        <v/>
      </c>
    </row>
    <row r="1387" spans="1:3" x14ac:dyDescent="0.35">
      <c r="A1387">
        <v>1377</v>
      </c>
      <c r="B1387" t="str">
        <f>IF(Sales_Deals!I1378&lt;&gt;"",IF(AND(Sales_Deals!I1378&gt;DATE(2024,9,30),Sales_Deals!I1378&lt;=DATE(2025,3,31)),Sales_Deals!J1378,""),"")</f>
        <v/>
      </c>
      <c r="C1387">
        <f>IF(Sales_Deals!I1378&lt;&gt;"",IF(AND(Sales_Deals!I1378&gt;DATE(2024,3,31),Sales_Deals!I1378&lt;=DATE(2024,9,30)),Sales_Deals!J1378,""),"")</f>
        <v>91</v>
      </c>
    </row>
    <row r="1388" spans="1:3" x14ac:dyDescent="0.35">
      <c r="A1388">
        <v>1378</v>
      </c>
      <c r="B1388" t="str">
        <f>IF(Sales_Deals!I1379&lt;&gt;"",IF(AND(Sales_Deals!I1379&gt;DATE(2024,9,30),Sales_Deals!I1379&lt;=DATE(2025,3,31)),Sales_Deals!J1379,""),"")</f>
        <v/>
      </c>
      <c r="C1388" t="str">
        <f>IF(Sales_Deals!I1379&lt;&gt;"",IF(AND(Sales_Deals!I1379&gt;DATE(2024,3,31),Sales_Deals!I1379&lt;=DATE(2024,9,30)),Sales_Deals!J1379,""),"")</f>
        <v/>
      </c>
    </row>
    <row r="1389" spans="1:3" x14ac:dyDescent="0.35">
      <c r="A1389">
        <v>1379</v>
      </c>
      <c r="B1389" t="str">
        <f>IF(Sales_Deals!I1380&lt;&gt;"",IF(AND(Sales_Deals!I1380&gt;DATE(2024,9,30),Sales_Deals!I1380&lt;=DATE(2025,3,31)),Sales_Deals!J1380,""),"")</f>
        <v/>
      </c>
      <c r="C1389" t="str">
        <f>IF(Sales_Deals!I1380&lt;&gt;"",IF(AND(Sales_Deals!I1380&gt;DATE(2024,3,31),Sales_Deals!I1380&lt;=DATE(2024,9,30)),Sales_Deals!J1380,""),"")</f>
        <v/>
      </c>
    </row>
    <row r="1390" spans="1:3" x14ac:dyDescent="0.35">
      <c r="A1390">
        <v>1380</v>
      </c>
      <c r="B1390" t="str">
        <f>IF(Sales_Deals!I1381&lt;&gt;"",IF(AND(Sales_Deals!I1381&gt;DATE(2024,9,30),Sales_Deals!I1381&lt;=DATE(2025,3,31)),Sales_Deals!J1381,""),"")</f>
        <v/>
      </c>
      <c r="C1390" t="str">
        <f>IF(Sales_Deals!I1381&lt;&gt;"",IF(AND(Sales_Deals!I1381&gt;DATE(2024,3,31),Sales_Deals!I1381&lt;=DATE(2024,9,30)),Sales_Deals!J1381,""),"")</f>
        <v/>
      </c>
    </row>
    <row r="1391" spans="1:3" x14ac:dyDescent="0.35">
      <c r="A1391">
        <v>1381</v>
      </c>
      <c r="B1391">
        <f>IF(Sales_Deals!I1382&lt;&gt;"",IF(AND(Sales_Deals!I1382&gt;DATE(2024,9,30),Sales_Deals!I1382&lt;=DATE(2025,3,31)),Sales_Deals!J1382,""),"")</f>
        <v>98</v>
      </c>
      <c r="C1391" t="str">
        <f>IF(Sales_Deals!I1382&lt;&gt;"",IF(AND(Sales_Deals!I1382&gt;DATE(2024,3,31),Sales_Deals!I1382&lt;=DATE(2024,9,30)),Sales_Deals!J1382,""),"")</f>
        <v/>
      </c>
    </row>
    <row r="1392" spans="1:3" x14ac:dyDescent="0.35">
      <c r="A1392">
        <v>1382</v>
      </c>
      <c r="B1392" t="str">
        <f>IF(Sales_Deals!I1383&lt;&gt;"",IF(AND(Sales_Deals!I1383&gt;DATE(2024,9,30),Sales_Deals!I1383&lt;=DATE(2025,3,31)),Sales_Deals!J1383,""),"")</f>
        <v/>
      </c>
      <c r="C1392" t="str">
        <f>IF(Sales_Deals!I1383&lt;&gt;"",IF(AND(Sales_Deals!I1383&gt;DATE(2024,3,31),Sales_Deals!I1383&lt;=DATE(2024,9,30)),Sales_Deals!J1383,""),"")</f>
        <v/>
      </c>
    </row>
    <row r="1393" spans="1:3" x14ac:dyDescent="0.35">
      <c r="A1393">
        <v>1383</v>
      </c>
      <c r="B1393" t="str">
        <f>IF(Sales_Deals!I1384&lt;&gt;"",IF(AND(Sales_Deals!I1384&gt;DATE(2024,9,30),Sales_Deals!I1384&lt;=DATE(2025,3,31)),Sales_Deals!J1384,""),"")</f>
        <v/>
      </c>
      <c r="C1393" t="str">
        <f>IF(Sales_Deals!I1384&lt;&gt;"",IF(AND(Sales_Deals!I1384&gt;DATE(2024,3,31),Sales_Deals!I1384&lt;=DATE(2024,9,30)),Sales_Deals!J1384,""),"")</f>
        <v/>
      </c>
    </row>
    <row r="1394" spans="1:3" x14ac:dyDescent="0.35">
      <c r="A1394">
        <v>1384</v>
      </c>
      <c r="B1394" t="str">
        <f>IF(Sales_Deals!I1385&lt;&gt;"",IF(AND(Sales_Deals!I1385&gt;DATE(2024,9,30),Sales_Deals!I1385&lt;=DATE(2025,3,31)),Sales_Deals!J1385,""),"")</f>
        <v/>
      </c>
      <c r="C1394" t="str">
        <f>IF(Sales_Deals!I1385&lt;&gt;"",IF(AND(Sales_Deals!I1385&gt;DATE(2024,3,31),Sales_Deals!I1385&lt;=DATE(2024,9,30)),Sales_Deals!J1385,""),"")</f>
        <v/>
      </c>
    </row>
    <row r="1395" spans="1:3" x14ac:dyDescent="0.35">
      <c r="A1395">
        <v>1385</v>
      </c>
      <c r="B1395" t="str">
        <f>IF(Sales_Deals!I1386&lt;&gt;"",IF(AND(Sales_Deals!I1386&gt;DATE(2024,9,30),Sales_Deals!I1386&lt;=DATE(2025,3,31)),Sales_Deals!J1386,""),"")</f>
        <v/>
      </c>
      <c r="C1395" t="str">
        <f>IF(Sales_Deals!I1386&lt;&gt;"",IF(AND(Sales_Deals!I1386&gt;DATE(2024,3,31),Sales_Deals!I1386&lt;=DATE(2024,9,30)),Sales_Deals!J1386,""),"")</f>
        <v/>
      </c>
    </row>
    <row r="1396" spans="1:3" x14ac:dyDescent="0.35">
      <c r="A1396">
        <v>1386</v>
      </c>
      <c r="B1396" t="str">
        <f>IF(Sales_Deals!I1387&lt;&gt;"",IF(AND(Sales_Deals!I1387&gt;DATE(2024,9,30),Sales_Deals!I1387&lt;=DATE(2025,3,31)),Sales_Deals!J1387,""),"")</f>
        <v/>
      </c>
      <c r="C1396" t="str">
        <f>IF(Sales_Deals!I1387&lt;&gt;"",IF(AND(Sales_Deals!I1387&gt;DATE(2024,3,31),Sales_Deals!I1387&lt;=DATE(2024,9,30)),Sales_Deals!J1387,""),"")</f>
        <v/>
      </c>
    </row>
    <row r="1397" spans="1:3" x14ac:dyDescent="0.35">
      <c r="A1397">
        <v>1387</v>
      </c>
      <c r="B1397" t="str">
        <f>IF(Sales_Deals!I1388&lt;&gt;"",IF(AND(Sales_Deals!I1388&gt;DATE(2024,9,30),Sales_Deals!I1388&lt;=DATE(2025,3,31)),Sales_Deals!J1388,""),"")</f>
        <v/>
      </c>
      <c r="C1397" t="str">
        <f>IF(Sales_Deals!I1388&lt;&gt;"",IF(AND(Sales_Deals!I1388&gt;DATE(2024,3,31),Sales_Deals!I1388&lt;=DATE(2024,9,30)),Sales_Deals!J1388,""),"")</f>
        <v/>
      </c>
    </row>
    <row r="1398" spans="1:3" x14ac:dyDescent="0.35">
      <c r="A1398">
        <v>1388</v>
      </c>
      <c r="B1398" t="str">
        <f>IF(Sales_Deals!I1389&lt;&gt;"",IF(AND(Sales_Deals!I1389&gt;DATE(2024,9,30),Sales_Deals!I1389&lt;=DATE(2025,3,31)),Sales_Deals!J1389,""),"")</f>
        <v/>
      </c>
      <c r="C1398">
        <f>IF(Sales_Deals!I1389&lt;&gt;"",IF(AND(Sales_Deals!I1389&gt;DATE(2024,3,31),Sales_Deals!I1389&lt;=DATE(2024,9,30)),Sales_Deals!J1389,""),"")</f>
        <v>105</v>
      </c>
    </row>
    <row r="1399" spans="1:3" x14ac:dyDescent="0.35">
      <c r="A1399">
        <v>1389</v>
      </c>
      <c r="B1399" t="str">
        <f>IF(Sales_Deals!I1390&lt;&gt;"",IF(AND(Sales_Deals!I1390&gt;DATE(2024,9,30),Sales_Deals!I1390&lt;=DATE(2025,3,31)),Sales_Deals!J1390,""),"")</f>
        <v/>
      </c>
      <c r="C1399" t="str">
        <f>IF(Sales_Deals!I1390&lt;&gt;"",IF(AND(Sales_Deals!I1390&gt;DATE(2024,3,31),Sales_Deals!I1390&lt;=DATE(2024,9,30)),Sales_Deals!J1390,""),"")</f>
        <v/>
      </c>
    </row>
    <row r="1400" spans="1:3" x14ac:dyDescent="0.35">
      <c r="A1400">
        <v>1390</v>
      </c>
      <c r="B1400">
        <f>IF(Sales_Deals!I1391&lt;&gt;"",IF(AND(Sales_Deals!I1391&gt;DATE(2024,9,30),Sales_Deals!I1391&lt;=DATE(2025,3,31)),Sales_Deals!J1391,""),"")</f>
        <v>21</v>
      </c>
      <c r="C1400" t="str">
        <f>IF(Sales_Deals!I1391&lt;&gt;"",IF(AND(Sales_Deals!I1391&gt;DATE(2024,3,31),Sales_Deals!I1391&lt;=DATE(2024,9,30)),Sales_Deals!J1391,""),"")</f>
        <v/>
      </c>
    </row>
    <row r="1401" spans="1:3" x14ac:dyDescent="0.35">
      <c r="A1401">
        <v>1391</v>
      </c>
      <c r="B1401" t="str">
        <f>IF(Sales_Deals!I1392&lt;&gt;"",IF(AND(Sales_Deals!I1392&gt;DATE(2024,9,30),Sales_Deals!I1392&lt;=DATE(2025,3,31)),Sales_Deals!J1392,""),"")</f>
        <v/>
      </c>
      <c r="C1401" t="str">
        <f>IF(Sales_Deals!I1392&lt;&gt;"",IF(AND(Sales_Deals!I1392&gt;DATE(2024,3,31),Sales_Deals!I1392&lt;=DATE(2024,9,30)),Sales_Deals!J1392,""),"")</f>
        <v/>
      </c>
    </row>
    <row r="1402" spans="1:3" x14ac:dyDescent="0.35">
      <c r="A1402">
        <v>1392</v>
      </c>
      <c r="B1402" t="str">
        <f>IF(Sales_Deals!I1393&lt;&gt;"",IF(AND(Sales_Deals!I1393&gt;DATE(2024,9,30),Sales_Deals!I1393&lt;=DATE(2025,3,31)),Sales_Deals!J1393,""),"")</f>
        <v/>
      </c>
      <c r="C1402" t="str">
        <f>IF(Sales_Deals!I1393&lt;&gt;"",IF(AND(Sales_Deals!I1393&gt;DATE(2024,3,31),Sales_Deals!I1393&lt;=DATE(2024,9,30)),Sales_Deals!J1393,""),"")</f>
        <v/>
      </c>
    </row>
    <row r="1403" spans="1:3" x14ac:dyDescent="0.35">
      <c r="A1403">
        <v>1393</v>
      </c>
      <c r="B1403" t="str">
        <f>IF(Sales_Deals!I1394&lt;&gt;"",IF(AND(Sales_Deals!I1394&gt;DATE(2024,9,30),Sales_Deals!I1394&lt;=DATE(2025,3,31)),Sales_Deals!J1394,""),"")</f>
        <v/>
      </c>
      <c r="C1403" t="str">
        <f>IF(Sales_Deals!I1394&lt;&gt;"",IF(AND(Sales_Deals!I1394&gt;DATE(2024,3,31),Sales_Deals!I1394&lt;=DATE(2024,9,30)),Sales_Deals!J1394,""),"")</f>
        <v/>
      </c>
    </row>
    <row r="1404" spans="1:3" x14ac:dyDescent="0.35">
      <c r="A1404">
        <v>1394</v>
      </c>
      <c r="B1404" t="str">
        <f>IF(Sales_Deals!I1395&lt;&gt;"",IF(AND(Sales_Deals!I1395&gt;DATE(2024,9,30),Sales_Deals!I1395&lt;=DATE(2025,3,31)),Sales_Deals!J1395,""),"")</f>
        <v/>
      </c>
      <c r="C1404" t="str">
        <f>IF(Sales_Deals!I1395&lt;&gt;"",IF(AND(Sales_Deals!I1395&gt;DATE(2024,3,31),Sales_Deals!I1395&lt;=DATE(2024,9,30)),Sales_Deals!J1395,""),"")</f>
        <v/>
      </c>
    </row>
    <row r="1405" spans="1:3" x14ac:dyDescent="0.35">
      <c r="A1405">
        <v>1395</v>
      </c>
      <c r="B1405" t="str">
        <f>IF(Sales_Deals!I1396&lt;&gt;"",IF(AND(Sales_Deals!I1396&gt;DATE(2024,9,30),Sales_Deals!I1396&lt;=DATE(2025,3,31)),Sales_Deals!J1396,""),"")</f>
        <v/>
      </c>
      <c r="C1405" t="str">
        <f>IF(Sales_Deals!I1396&lt;&gt;"",IF(AND(Sales_Deals!I1396&gt;DATE(2024,3,31),Sales_Deals!I1396&lt;=DATE(2024,9,30)),Sales_Deals!J1396,""),"")</f>
        <v/>
      </c>
    </row>
    <row r="1406" spans="1:3" x14ac:dyDescent="0.35">
      <c r="A1406">
        <v>1396</v>
      </c>
      <c r="B1406" t="str">
        <f>IF(Sales_Deals!I1397&lt;&gt;"",IF(AND(Sales_Deals!I1397&gt;DATE(2024,9,30),Sales_Deals!I1397&lt;=DATE(2025,3,31)),Sales_Deals!J1397,""),"")</f>
        <v/>
      </c>
      <c r="C1406" t="str">
        <f>IF(Sales_Deals!I1397&lt;&gt;"",IF(AND(Sales_Deals!I1397&gt;DATE(2024,3,31),Sales_Deals!I1397&lt;=DATE(2024,9,30)),Sales_Deals!J1397,""),"")</f>
        <v/>
      </c>
    </row>
    <row r="1407" spans="1:3" x14ac:dyDescent="0.35">
      <c r="A1407">
        <v>1397</v>
      </c>
      <c r="B1407">
        <f>IF(Sales_Deals!I1398&lt;&gt;"",IF(AND(Sales_Deals!I1398&gt;DATE(2024,9,30),Sales_Deals!I1398&lt;=DATE(2025,3,31)),Sales_Deals!J1398,""),"")</f>
        <v>176</v>
      </c>
      <c r="C1407" t="str">
        <f>IF(Sales_Deals!I1398&lt;&gt;"",IF(AND(Sales_Deals!I1398&gt;DATE(2024,3,31),Sales_Deals!I1398&lt;=DATE(2024,9,30)),Sales_Deals!J1398,""),"")</f>
        <v/>
      </c>
    </row>
    <row r="1408" spans="1:3" x14ac:dyDescent="0.35">
      <c r="A1408">
        <v>1398</v>
      </c>
      <c r="B1408" t="str">
        <f>IF(Sales_Deals!I1399&lt;&gt;"",IF(AND(Sales_Deals!I1399&gt;DATE(2024,9,30),Sales_Deals!I1399&lt;=DATE(2025,3,31)),Sales_Deals!J1399,""),"")</f>
        <v/>
      </c>
      <c r="C1408" t="str">
        <f>IF(Sales_Deals!I1399&lt;&gt;"",IF(AND(Sales_Deals!I1399&gt;DATE(2024,3,31),Sales_Deals!I1399&lt;=DATE(2024,9,30)),Sales_Deals!J1399,""),"")</f>
        <v/>
      </c>
    </row>
    <row r="1409" spans="1:3" x14ac:dyDescent="0.35">
      <c r="A1409">
        <v>1399</v>
      </c>
      <c r="B1409" t="str">
        <f>IF(Sales_Deals!I1400&lt;&gt;"",IF(AND(Sales_Deals!I1400&gt;DATE(2024,9,30),Sales_Deals!I1400&lt;=DATE(2025,3,31)),Sales_Deals!J1400,""),"")</f>
        <v/>
      </c>
      <c r="C1409" t="str">
        <f>IF(Sales_Deals!I1400&lt;&gt;"",IF(AND(Sales_Deals!I1400&gt;DATE(2024,3,31),Sales_Deals!I1400&lt;=DATE(2024,9,30)),Sales_Deals!J1400,""),"")</f>
        <v/>
      </c>
    </row>
    <row r="1410" spans="1:3" x14ac:dyDescent="0.35">
      <c r="A1410">
        <v>1400</v>
      </c>
      <c r="B1410" t="str">
        <f>IF(Sales_Deals!I1401&lt;&gt;"",IF(AND(Sales_Deals!I1401&gt;DATE(2024,9,30),Sales_Deals!I1401&lt;=DATE(2025,3,31)),Sales_Deals!J1401,""),"")</f>
        <v/>
      </c>
      <c r="C1410" t="str">
        <f>IF(Sales_Deals!I1401&lt;&gt;"",IF(AND(Sales_Deals!I1401&gt;DATE(2024,3,31),Sales_Deals!I1401&lt;=DATE(2024,9,30)),Sales_Deals!J1401,""),"")</f>
        <v/>
      </c>
    </row>
    <row r="1411" spans="1:3" x14ac:dyDescent="0.35">
      <c r="A1411">
        <v>1401</v>
      </c>
      <c r="B1411" t="str">
        <f>IF(Sales_Deals!I1402&lt;&gt;"",IF(AND(Sales_Deals!I1402&gt;DATE(2024,9,30),Sales_Deals!I1402&lt;=DATE(2025,3,31)),Sales_Deals!J1402,""),"")</f>
        <v/>
      </c>
      <c r="C1411" t="str">
        <f>IF(Sales_Deals!I1402&lt;&gt;"",IF(AND(Sales_Deals!I1402&gt;DATE(2024,3,31),Sales_Deals!I1402&lt;=DATE(2024,9,30)),Sales_Deals!J1402,""),"")</f>
        <v/>
      </c>
    </row>
    <row r="1412" spans="1:3" x14ac:dyDescent="0.35">
      <c r="A1412">
        <v>1402</v>
      </c>
      <c r="B1412" t="str">
        <f>IF(Sales_Deals!I1403&lt;&gt;"",IF(AND(Sales_Deals!I1403&gt;DATE(2024,9,30),Sales_Deals!I1403&lt;=DATE(2025,3,31)),Sales_Deals!J1403,""),"")</f>
        <v/>
      </c>
      <c r="C1412" t="str">
        <f>IF(Sales_Deals!I1403&lt;&gt;"",IF(AND(Sales_Deals!I1403&gt;DATE(2024,3,31),Sales_Deals!I1403&lt;=DATE(2024,9,30)),Sales_Deals!J1403,""),"")</f>
        <v/>
      </c>
    </row>
    <row r="1413" spans="1:3" x14ac:dyDescent="0.35">
      <c r="A1413">
        <v>1403</v>
      </c>
      <c r="B1413" t="str">
        <f>IF(Sales_Deals!I1404&lt;&gt;"",IF(AND(Sales_Deals!I1404&gt;DATE(2024,9,30),Sales_Deals!I1404&lt;=DATE(2025,3,31)),Sales_Deals!J1404,""),"")</f>
        <v/>
      </c>
      <c r="C1413" t="str">
        <f>IF(Sales_Deals!I1404&lt;&gt;"",IF(AND(Sales_Deals!I1404&gt;DATE(2024,3,31),Sales_Deals!I1404&lt;=DATE(2024,9,30)),Sales_Deals!J1404,""),"")</f>
        <v/>
      </c>
    </row>
    <row r="1414" spans="1:3" x14ac:dyDescent="0.35">
      <c r="A1414">
        <v>1404</v>
      </c>
      <c r="B1414" t="str">
        <f>IF(Sales_Deals!I1405&lt;&gt;"",IF(AND(Sales_Deals!I1405&gt;DATE(2024,9,30),Sales_Deals!I1405&lt;=DATE(2025,3,31)),Sales_Deals!J1405,""),"")</f>
        <v/>
      </c>
      <c r="C1414" t="str">
        <f>IF(Sales_Deals!I1405&lt;&gt;"",IF(AND(Sales_Deals!I1405&gt;DATE(2024,3,31),Sales_Deals!I1405&lt;=DATE(2024,9,30)),Sales_Deals!J1405,""),"")</f>
        <v/>
      </c>
    </row>
    <row r="1415" spans="1:3" x14ac:dyDescent="0.35">
      <c r="A1415">
        <v>1405</v>
      </c>
      <c r="B1415" t="str">
        <f>IF(Sales_Deals!I1406&lt;&gt;"",IF(AND(Sales_Deals!I1406&gt;DATE(2024,9,30),Sales_Deals!I1406&lt;=DATE(2025,3,31)),Sales_Deals!J1406,""),"")</f>
        <v/>
      </c>
      <c r="C1415" t="str">
        <f>IF(Sales_Deals!I1406&lt;&gt;"",IF(AND(Sales_Deals!I1406&gt;DATE(2024,3,31),Sales_Deals!I1406&lt;=DATE(2024,9,30)),Sales_Deals!J1406,""),"")</f>
        <v/>
      </c>
    </row>
    <row r="1416" spans="1:3" x14ac:dyDescent="0.35">
      <c r="A1416">
        <v>1406</v>
      </c>
      <c r="B1416" t="str">
        <f>IF(Sales_Deals!I1407&lt;&gt;"",IF(AND(Sales_Deals!I1407&gt;DATE(2024,9,30),Sales_Deals!I1407&lt;=DATE(2025,3,31)),Sales_Deals!J1407,""),"")</f>
        <v/>
      </c>
      <c r="C1416" t="str">
        <f>IF(Sales_Deals!I1407&lt;&gt;"",IF(AND(Sales_Deals!I1407&gt;DATE(2024,3,31),Sales_Deals!I1407&lt;=DATE(2024,9,30)),Sales_Deals!J1407,""),"")</f>
        <v/>
      </c>
    </row>
    <row r="1417" spans="1:3" x14ac:dyDescent="0.35">
      <c r="A1417">
        <v>1407</v>
      </c>
      <c r="B1417" t="str">
        <f>IF(Sales_Deals!I1408&lt;&gt;"",IF(AND(Sales_Deals!I1408&gt;DATE(2024,9,30),Sales_Deals!I1408&lt;=DATE(2025,3,31)),Sales_Deals!J1408,""),"")</f>
        <v/>
      </c>
      <c r="C1417" t="str">
        <f>IF(Sales_Deals!I1408&lt;&gt;"",IF(AND(Sales_Deals!I1408&gt;DATE(2024,3,31),Sales_Deals!I1408&lt;=DATE(2024,9,30)),Sales_Deals!J1408,""),"")</f>
        <v/>
      </c>
    </row>
    <row r="1418" spans="1:3" x14ac:dyDescent="0.35">
      <c r="A1418">
        <v>1408</v>
      </c>
      <c r="B1418" t="str">
        <f>IF(Sales_Deals!I1409&lt;&gt;"",IF(AND(Sales_Deals!I1409&gt;DATE(2024,9,30),Sales_Deals!I1409&lt;=DATE(2025,3,31)),Sales_Deals!J1409,""),"")</f>
        <v/>
      </c>
      <c r="C1418" t="str">
        <f>IF(Sales_Deals!I1409&lt;&gt;"",IF(AND(Sales_Deals!I1409&gt;DATE(2024,3,31),Sales_Deals!I1409&lt;=DATE(2024,9,30)),Sales_Deals!J1409,""),"")</f>
        <v/>
      </c>
    </row>
    <row r="1419" spans="1:3" x14ac:dyDescent="0.35">
      <c r="A1419">
        <v>1409</v>
      </c>
      <c r="B1419" t="str">
        <f>IF(Sales_Deals!I1410&lt;&gt;"",IF(AND(Sales_Deals!I1410&gt;DATE(2024,9,30),Sales_Deals!I1410&lt;=DATE(2025,3,31)),Sales_Deals!J1410,""),"")</f>
        <v/>
      </c>
      <c r="C1419" t="str">
        <f>IF(Sales_Deals!I1410&lt;&gt;"",IF(AND(Sales_Deals!I1410&gt;DATE(2024,3,31),Sales_Deals!I1410&lt;=DATE(2024,9,30)),Sales_Deals!J1410,""),"")</f>
        <v/>
      </c>
    </row>
    <row r="1420" spans="1:3" x14ac:dyDescent="0.35">
      <c r="A1420">
        <v>1410</v>
      </c>
      <c r="B1420" t="str">
        <f>IF(Sales_Deals!I1411&lt;&gt;"",IF(AND(Sales_Deals!I1411&gt;DATE(2024,9,30),Sales_Deals!I1411&lt;=DATE(2025,3,31)),Sales_Deals!J1411,""),"")</f>
        <v/>
      </c>
      <c r="C1420" t="str">
        <f>IF(Sales_Deals!I1411&lt;&gt;"",IF(AND(Sales_Deals!I1411&gt;DATE(2024,3,31),Sales_Deals!I1411&lt;=DATE(2024,9,30)),Sales_Deals!J1411,""),"")</f>
        <v/>
      </c>
    </row>
    <row r="1421" spans="1:3" x14ac:dyDescent="0.35">
      <c r="A1421">
        <v>1411</v>
      </c>
      <c r="B1421" t="str">
        <f>IF(Sales_Deals!I1412&lt;&gt;"",IF(AND(Sales_Deals!I1412&gt;DATE(2024,9,30),Sales_Deals!I1412&lt;=DATE(2025,3,31)),Sales_Deals!J1412,""),"")</f>
        <v/>
      </c>
      <c r="C1421" t="str">
        <f>IF(Sales_Deals!I1412&lt;&gt;"",IF(AND(Sales_Deals!I1412&gt;DATE(2024,3,31),Sales_Deals!I1412&lt;=DATE(2024,9,30)),Sales_Deals!J1412,""),"")</f>
        <v/>
      </c>
    </row>
    <row r="1422" spans="1:3" x14ac:dyDescent="0.35">
      <c r="A1422">
        <v>1412</v>
      </c>
      <c r="B1422" t="str">
        <f>IF(Sales_Deals!I1413&lt;&gt;"",IF(AND(Sales_Deals!I1413&gt;DATE(2024,9,30),Sales_Deals!I1413&lt;=DATE(2025,3,31)),Sales_Deals!J1413,""),"")</f>
        <v/>
      </c>
      <c r="C1422" t="str">
        <f>IF(Sales_Deals!I1413&lt;&gt;"",IF(AND(Sales_Deals!I1413&gt;DATE(2024,3,31),Sales_Deals!I1413&lt;=DATE(2024,9,30)),Sales_Deals!J1413,""),"")</f>
        <v/>
      </c>
    </row>
    <row r="1423" spans="1:3" x14ac:dyDescent="0.35">
      <c r="A1423">
        <v>1413</v>
      </c>
      <c r="B1423" t="str">
        <f>IF(Sales_Deals!I1414&lt;&gt;"",IF(AND(Sales_Deals!I1414&gt;DATE(2024,9,30),Sales_Deals!I1414&lt;=DATE(2025,3,31)),Sales_Deals!J1414,""),"")</f>
        <v/>
      </c>
      <c r="C1423" t="str">
        <f>IF(Sales_Deals!I1414&lt;&gt;"",IF(AND(Sales_Deals!I1414&gt;DATE(2024,3,31),Sales_Deals!I1414&lt;=DATE(2024,9,30)),Sales_Deals!J1414,""),"")</f>
        <v/>
      </c>
    </row>
    <row r="1424" spans="1:3" x14ac:dyDescent="0.35">
      <c r="A1424">
        <v>1414</v>
      </c>
      <c r="B1424" t="str">
        <f>IF(Sales_Deals!I1415&lt;&gt;"",IF(AND(Sales_Deals!I1415&gt;DATE(2024,9,30),Sales_Deals!I1415&lt;=DATE(2025,3,31)),Sales_Deals!J1415,""),"")</f>
        <v/>
      </c>
      <c r="C1424" t="str">
        <f>IF(Sales_Deals!I1415&lt;&gt;"",IF(AND(Sales_Deals!I1415&gt;DATE(2024,3,31),Sales_Deals!I1415&lt;=DATE(2024,9,30)),Sales_Deals!J1415,""),"")</f>
        <v/>
      </c>
    </row>
    <row r="1425" spans="1:3" x14ac:dyDescent="0.35">
      <c r="A1425">
        <v>1415</v>
      </c>
      <c r="B1425" t="str">
        <f>IF(Sales_Deals!I1416&lt;&gt;"",IF(AND(Sales_Deals!I1416&gt;DATE(2024,9,30),Sales_Deals!I1416&lt;=DATE(2025,3,31)),Sales_Deals!J1416,""),"")</f>
        <v/>
      </c>
      <c r="C1425" t="str">
        <f>IF(Sales_Deals!I1416&lt;&gt;"",IF(AND(Sales_Deals!I1416&gt;DATE(2024,3,31),Sales_Deals!I1416&lt;=DATE(2024,9,30)),Sales_Deals!J1416,""),"")</f>
        <v/>
      </c>
    </row>
    <row r="1426" spans="1:3" x14ac:dyDescent="0.35">
      <c r="A1426">
        <v>1416</v>
      </c>
      <c r="B1426" t="str">
        <f>IF(Sales_Deals!I1417&lt;&gt;"",IF(AND(Sales_Deals!I1417&gt;DATE(2024,9,30),Sales_Deals!I1417&lt;=DATE(2025,3,31)),Sales_Deals!J1417,""),"")</f>
        <v/>
      </c>
      <c r="C1426" t="str">
        <f>IF(Sales_Deals!I1417&lt;&gt;"",IF(AND(Sales_Deals!I1417&gt;DATE(2024,3,31),Sales_Deals!I1417&lt;=DATE(2024,9,30)),Sales_Deals!J1417,""),"")</f>
        <v/>
      </c>
    </row>
    <row r="1427" spans="1:3" x14ac:dyDescent="0.35">
      <c r="A1427">
        <v>1417</v>
      </c>
      <c r="B1427" t="str">
        <f>IF(Sales_Deals!I1418&lt;&gt;"",IF(AND(Sales_Deals!I1418&gt;DATE(2024,9,30),Sales_Deals!I1418&lt;=DATE(2025,3,31)),Sales_Deals!J1418,""),"")</f>
        <v/>
      </c>
      <c r="C1427" t="str">
        <f>IF(Sales_Deals!I1418&lt;&gt;"",IF(AND(Sales_Deals!I1418&gt;DATE(2024,3,31),Sales_Deals!I1418&lt;=DATE(2024,9,30)),Sales_Deals!J1418,""),"")</f>
        <v/>
      </c>
    </row>
    <row r="1428" spans="1:3" x14ac:dyDescent="0.35">
      <c r="A1428">
        <v>1418</v>
      </c>
      <c r="B1428" t="str">
        <f>IF(Sales_Deals!I1419&lt;&gt;"",IF(AND(Sales_Deals!I1419&gt;DATE(2024,9,30),Sales_Deals!I1419&lt;=DATE(2025,3,31)),Sales_Deals!J1419,""),"")</f>
        <v/>
      </c>
      <c r="C1428" t="str">
        <f>IF(Sales_Deals!I1419&lt;&gt;"",IF(AND(Sales_Deals!I1419&gt;DATE(2024,3,31),Sales_Deals!I1419&lt;=DATE(2024,9,30)),Sales_Deals!J1419,""),"")</f>
        <v/>
      </c>
    </row>
    <row r="1429" spans="1:3" x14ac:dyDescent="0.35">
      <c r="A1429">
        <v>1419</v>
      </c>
      <c r="B1429" t="str">
        <f>IF(Sales_Deals!I1420&lt;&gt;"",IF(AND(Sales_Deals!I1420&gt;DATE(2024,9,30),Sales_Deals!I1420&lt;=DATE(2025,3,31)),Sales_Deals!J1420,""),"")</f>
        <v/>
      </c>
      <c r="C1429" t="str">
        <f>IF(Sales_Deals!I1420&lt;&gt;"",IF(AND(Sales_Deals!I1420&gt;DATE(2024,3,31),Sales_Deals!I1420&lt;=DATE(2024,9,30)),Sales_Deals!J1420,""),"")</f>
        <v/>
      </c>
    </row>
    <row r="1430" spans="1:3" x14ac:dyDescent="0.35">
      <c r="A1430">
        <v>1420</v>
      </c>
      <c r="B1430" t="str">
        <f>IF(Sales_Deals!I1421&lt;&gt;"",IF(AND(Sales_Deals!I1421&gt;DATE(2024,9,30),Sales_Deals!I1421&lt;=DATE(2025,3,31)),Sales_Deals!J1421,""),"")</f>
        <v/>
      </c>
      <c r="C1430">
        <f>IF(Sales_Deals!I1421&lt;&gt;"",IF(AND(Sales_Deals!I1421&gt;DATE(2024,3,31),Sales_Deals!I1421&lt;=DATE(2024,9,30)),Sales_Deals!J1421,""),"")</f>
        <v>70</v>
      </c>
    </row>
    <row r="1431" spans="1:3" x14ac:dyDescent="0.35">
      <c r="A1431">
        <v>1421</v>
      </c>
      <c r="B1431" t="str">
        <f>IF(Sales_Deals!I1422&lt;&gt;"",IF(AND(Sales_Deals!I1422&gt;DATE(2024,9,30),Sales_Deals!I1422&lt;=DATE(2025,3,31)),Sales_Deals!J1422,""),"")</f>
        <v/>
      </c>
      <c r="C1431" t="str">
        <f>IF(Sales_Deals!I1422&lt;&gt;"",IF(AND(Sales_Deals!I1422&gt;DATE(2024,3,31),Sales_Deals!I1422&lt;=DATE(2024,9,30)),Sales_Deals!J1422,""),"")</f>
        <v/>
      </c>
    </row>
    <row r="1432" spans="1:3" x14ac:dyDescent="0.35">
      <c r="A1432">
        <v>1422</v>
      </c>
      <c r="B1432" t="str">
        <f>IF(Sales_Deals!I1423&lt;&gt;"",IF(AND(Sales_Deals!I1423&gt;DATE(2024,9,30),Sales_Deals!I1423&lt;=DATE(2025,3,31)),Sales_Deals!J1423,""),"")</f>
        <v/>
      </c>
      <c r="C1432" t="str">
        <f>IF(Sales_Deals!I1423&lt;&gt;"",IF(AND(Sales_Deals!I1423&gt;DATE(2024,3,31),Sales_Deals!I1423&lt;=DATE(2024,9,30)),Sales_Deals!J1423,""),"")</f>
        <v/>
      </c>
    </row>
    <row r="1433" spans="1:3" x14ac:dyDescent="0.35">
      <c r="A1433">
        <v>1423</v>
      </c>
      <c r="B1433">
        <f>IF(Sales_Deals!I1424&lt;&gt;"",IF(AND(Sales_Deals!I1424&gt;DATE(2024,9,30),Sales_Deals!I1424&lt;=DATE(2025,3,31)),Sales_Deals!J1424,""),"")</f>
        <v>58</v>
      </c>
      <c r="C1433" t="str">
        <f>IF(Sales_Deals!I1424&lt;&gt;"",IF(AND(Sales_Deals!I1424&gt;DATE(2024,3,31),Sales_Deals!I1424&lt;=DATE(2024,9,30)),Sales_Deals!J1424,""),"")</f>
        <v/>
      </c>
    </row>
    <row r="1434" spans="1:3" x14ac:dyDescent="0.35">
      <c r="A1434">
        <v>1424</v>
      </c>
      <c r="B1434" t="str">
        <f>IF(Sales_Deals!I1425&lt;&gt;"",IF(AND(Sales_Deals!I1425&gt;DATE(2024,9,30),Sales_Deals!I1425&lt;=DATE(2025,3,31)),Sales_Deals!J1425,""),"")</f>
        <v/>
      </c>
      <c r="C1434" t="str">
        <f>IF(Sales_Deals!I1425&lt;&gt;"",IF(AND(Sales_Deals!I1425&gt;DATE(2024,3,31),Sales_Deals!I1425&lt;=DATE(2024,9,30)),Sales_Deals!J1425,""),"")</f>
        <v/>
      </c>
    </row>
    <row r="1435" spans="1:3" x14ac:dyDescent="0.35">
      <c r="A1435">
        <v>1425</v>
      </c>
      <c r="B1435" t="str">
        <f>IF(Sales_Deals!I1426&lt;&gt;"",IF(AND(Sales_Deals!I1426&gt;DATE(2024,9,30),Sales_Deals!I1426&lt;=DATE(2025,3,31)),Sales_Deals!J1426,""),"")</f>
        <v/>
      </c>
      <c r="C1435" t="str">
        <f>IF(Sales_Deals!I1426&lt;&gt;"",IF(AND(Sales_Deals!I1426&gt;DATE(2024,3,31),Sales_Deals!I1426&lt;=DATE(2024,9,30)),Sales_Deals!J1426,""),"")</f>
        <v/>
      </c>
    </row>
    <row r="1436" spans="1:3" x14ac:dyDescent="0.35">
      <c r="A1436">
        <v>1426</v>
      </c>
      <c r="B1436" t="str">
        <f>IF(Sales_Deals!I1427&lt;&gt;"",IF(AND(Sales_Deals!I1427&gt;DATE(2024,9,30),Sales_Deals!I1427&lt;=DATE(2025,3,31)),Sales_Deals!J1427,""),"")</f>
        <v/>
      </c>
      <c r="C1436" t="str">
        <f>IF(Sales_Deals!I1427&lt;&gt;"",IF(AND(Sales_Deals!I1427&gt;DATE(2024,3,31),Sales_Deals!I1427&lt;=DATE(2024,9,30)),Sales_Deals!J1427,""),"")</f>
        <v/>
      </c>
    </row>
    <row r="1437" spans="1:3" x14ac:dyDescent="0.35">
      <c r="A1437">
        <v>1427</v>
      </c>
      <c r="B1437" t="str">
        <f>IF(Sales_Deals!I1428&lt;&gt;"",IF(AND(Sales_Deals!I1428&gt;DATE(2024,9,30),Sales_Deals!I1428&lt;=DATE(2025,3,31)),Sales_Deals!J1428,""),"")</f>
        <v/>
      </c>
      <c r="C1437" t="str">
        <f>IF(Sales_Deals!I1428&lt;&gt;"",IF(AND(Sales_Deals!I1428&gt;DATE(2024,3,31),Sales_Deals!I1428&lt;=DATE(2024,9,30)),Sales_Deals!J1428,""),"")</f>
        <v/>
      </c>
    </row>
    <row r="1438" spans="1:3" x14ac:dyDescent="0.35">
      <c r="A1438">
        <v>1428</v>
      </c>
      <c r="B1438" t="str">
        <f>IF(Sales_Deals!I1429&lt;&gt;"",IF(AND(Sales_Deals!I1429&gt;DATE(2024,9,30),Sales_Deals!I1429&lt;=DATE(2025,3,31)),Sales_Deals!J1429,""),"")</f>
        <v/>
      </c>
      <c r="C1438" t="str">
        <f>IF(Sales_Deals!I1429&lt;&gt;"",IF(AND(Sales_Deals!I1429&gt;DATE(2024,3,31),Sales_Deals!I1429&lt;=DATE(2024,9,30)),Sales_Deals!J1429,""),"")</f>
        <v/>
      </c>
    </row>
    <row r="1439" spans="1:3" x14ac:dyDescent="0.35">
      <c r="A1439">
        <v>1429</v>
      </c>
      <c r="B1439" t="str">
        <f>IF(Sales_Deals!I1430&lt;&gt;"",IF(AND(Sales_Deals!I1430&gt;DATE(2024,9,30),Sales_Deals!I1430&lt;=DATE(2025,3,31)),Sales_Deals!J1430,""),"")</f>
        <v/>
      </c>
      <c r="C1439">
        <f>IF(Sales_Deals!I1430&lt;&gt;"",IF(AND(Sales_Deals!I1430&gt;DATE(2024,3,31),Sales_Deals!I1430&lt;=DATE(2024,9,30)),Sales_Deals!J1430,""),"")</f>
        <v>122</v>
      </c>
    </row>
    <row r="1440" spans="1:3" x14ac:dyDescent="0.35">
      <c r="A1440">
        <v>1430</v>
      </c>
      <c r="B1440" t="str">
        <f>IF(Sales_Deals!I1431&lt;&gt;"",IF(AND(Sales_Deals!I1431&gt;DATE(2024,9,30),Sales_Deals!I1431&lt;=DATE(2025,3,31)),Sales_Deals!J1431,""),"")</f>
        <v/>
      </c>
      <c r="C1440" t="str">
        <f>IF(Sales_Deals!I1431&lt;&gt;"",IF(AND(Sales_Deals!I1431&gt;DATE(2024,3,31),Sales_Deals!I1431&lt;=DATE(2024,9,30)),Sales_Deals!J1431,""),"")</f>
        <v/>
      </c>
    </row>
    <row r="1441" spans="1:3" x14ac:dyDescent="0.35">
      <c r="A1441">
        <v>1431</v>
      </c>
      <c r="B1441" t="str">
        <f>IF(Sales_Deals!I1432&lt;&gt;"",IF(AND(Sales_Deals!I1432&gt;DATE(2024,9,30),Sales_Deals!I1432&lt;=DATE(2025,3,31)),Sales_Deals!J1432,""),"")</f>
        <v/>
      </c>
      <c r="C1441" t="str">
        <f>IF(Sales_Deals!I1432&lt;&gt;"",IF(AND(Sales_Deals!I1432&gt;DATE(2024,3,31),Sales_Deals!I1432&lt;=DATE(2024,9,30)),Sales_Deals!J1432,""),"")</f>
        <v/>
      </c>
    </row>
    <row r="1442" spans="1:3" x14ac:dyDescent="0.35">
      <c r="A1442">
        <v>1432</v>
      </c>
      <c r="B1442" t="str">
        <f>IF(Sales_Deals!I1433&lt;&gt;"",IF(AND(Sales_Deals!I1433&gt;DATE(2024,9,30),Sales_Deals!I1433&lt;=DATE(2025,3,31)),Sales_Deals!J1433,""),"")</f>
        <v/>
      </c>
      <c r="C1442" t="str">
        <f>IF(Sales_Deals!I1433&lt;&gt;"",IF(AND(Sales_Deals!I1433&gt;DATE(2024,3,31),Sales_Deals!I1433&lt;=DATE(2024,9,30)),Sales_Deals!J1433,""),"")</f>
        <v/>
      </c>
    </row>
    <row r="1443" spans="1:3" x14ac:dyDescent="0.35">
      <c r="A1443">
        <v>1433</v>
      </c>
      <c r="B1443" t="str">
        <f>IF(Sales_Deals!I1434&lt;&gt;"",IF(AND(Sales_Deals!I1434&gt;DATE(2024,9,30),Sales_Deals!I1434&lt;=DATE(2025,3,31)),Sales_Deals!J1434,""),"")</f>
        <v/>
      </c>
      <c r="C1443" t="str">
        <f>IF(Sales_Deals!I1434&lt;&gt;"",IF(AND(Sales_Deals!I1434&gt;DATE(2024,3,31),Sales_Deals!I1434&lt;=DATE(2024,9,30)),Sales_Deals!J1434,""),"")</f>
        <v/>
      </c>
    </row>
    <row r="1444" spans="1:3" x14ac:dyDescent="0.35">
      <c r="A1444">
        <v>1434</v>
      </c>
      <c r="B1444" t="str">
        <f>IF(Sales_Deals!I1435&lt;&gt;"",IF(AND(Sales_Deals!I1435&gt;DATE(2024,9,30),Sales_Deals!I1435&lt;=DATE(2025,3,31)),Sales_Deals!J1435,""),"")</f>
        <v/>
      </c>
      <c r="C1444" t="str">
        <f>IF(Sales_Deals!I1435&lt;&gt;"",IF(AND(Sales_Deals!I1435&gt;DATE(2024,3,31),Sales_Deals!I1435&lt;=DATE(2024,9,30)),Sales_Deals!J1435,""),"")</f>
        <v/>
      </c>
    </row>
    <row r="1445" spans="1:3" x14ac:dyDescent="0.35">
      <c r="A1445">
        <v>1435</v>
      </c>
      <c r="B1445" t="str">
        <f>IF(Sales_Deals!I1436&lt;&gt;"",IF(AND(Sales_Deals!I1436&gt;DATE(2024,9,30),Sales_Deals!I1436&lt;=DATE(2025,3,31)),Sales_Deals!J1436,""),"")</f>
        <v/>
      </c>
      <c r="C1445" t="str">
        <f>IF(Sales_Deals!I1436&lt;&gt;"",IF(AND(Sales_Deals!I1436&gt;DATE(2024,3,31),Sales_Deals!I1436&lt;=DATE(2024,9,30)),Sales_Deals!J1436,""),"")</f>
        <v/>
      </c>
    </row>
    <row r="1446" spans="1:3" x14ac:dyDescent="0.35">
      <c r="A1446">
        <v>1436</v>
      </c>
      <c r="B1446" t="str">
        <f>IF(Sales_Deals!I1437&lt;&gt;"",IF(AND(Sales_Deals!I1437&gt;DATE(2024,9,30),Sales_Deals!I1437&lt;=DATE(2025,3,31)),Sales_Deals!J1437,""),"")</f>
        <v/>
      </c>
      <c r="C1446" t="str">
        <f>IF(Sales_Deals!I1437&lt;&gt;"",IF(AND(Sales_Deals!I1437&gt;DATE(2024,3,31),Sales_Deals!I1437&lt;=DATE(2024,9,30)),Sales_Deals!J1437,""),"")</f>
        <v/>
      </c>
    </row>
    <row r="1447" spans="1:3" x14ac:dyDescent="0.35">
      <c r="A1447">
        <v>1437</v>
      </c>
      <c r="B1447" t="str">
        <f>IF(Sales_Deals!I1438&lt;&gt;"",IF(AND(Sales_Deals!I1438&gt;DATE(2024,9,30),Sales_Deals!I1438&lt;=DATE(2025,3,31)),Sales_Deals!J1438,""),"")</f>
        <v/>
      </c>
      <c r="C1447" t="str">
        <f>IF(Sales_Deals!I1438&lt;&gt;"",IF(AND(Sales_Deals!I1438&gt;DATE(2024,3,31),Sales_Deals!I1438&lt;=DATE(2024,9,30)),Sales_Deals!J1438,""),"")</f>
        <v/>
      </c>
    </row>
    <row r="1448" spans="1:3" x14ac:dyDescent="0.35">
      <c r="A1448">
        <v>1438</v>
      </c>
      <c r="B1448" t="str">
        <f>IF(Sales_Deals!I1439&lt;&gt;"",IF(AND(Sales_Deals!I1439&gt;DATE(2024,9,30),Sales_Deals!I1439&lt;=DATE(2025,3,31)),Sales_Deals!J1439,""),"")</f>
        <v/>
      </c>
      <c r="C1448" t="str">
        <f>IF(Sales_Deals!I1439&lt;&gt;"",IF(AND(Sales_Deals!I1439&gt;DATE(2024,3,31),Sales_Deals!I1439&lt;=DATE(2024,9,30)),Sales_Deals!J1439,""),"")</f>
        <v/>
      </c>
    </row>
    <row r="1449" spans="1:3" x14ac:dyDescent="0.35">
      <c r="A1449">
        <v>1439</v>
      </c>
      <c r="B1449" t="str">
        <f>IF(Sales_Deals!I1440&lt;&gt;"",IF(AND(Sales_Deals!I1440&gt;DATE(2024,9,30),Sales_Deals!I1440&lt;=DATE(2025,3,31)),Sales_Deals!J1440,""),"")</f>
        <v/>
      </c>
      <c r="C1449" t="str">
        <f>IF(Sales_Deals!I1440&lt;&gt;"",IF(AND(Sales_Deals!I1440&gt;DATE(2024,3,31),Sales_Deals!I1440&lt;=DATE(2024,9,30)),Sales_Deals!J1440,""),"")</f>
        <v/>
      </c>
    </row>
    <row r="1450" spans="1:3" x14ac:dyDescent="0.35">
      <c r="A1450">
        <v>1440</v>
      </c>
      <c r="B1450" t="str">
        <f>IF(Sales_Deals!I1441&lt;&gt;"",IF(AND(Sales_Deals!I1441&gt;DATE(2024,9,30),Sales_Deals!I1441&lt;=DATE(2025,3,31)),Sales_Deals!J1441,""),"")</f>
        <v/>
      </c>
      <c r="C1450" t="str">
        <f>IF(Sales_Deals!I1441&lt;&gt;"",IF(AND(Sales_Deals!I1441&gt;DATE(2024,3,31),Sales_Deals!I1441&lt;=DATE(2024,9,30)),Sales_Deals!J1441,""),"")</f>
        <v/>
      </c>
    </row>
    <row r="1451" spans="1:3" x14ac:dyDescent="0.35">
      <c r="A1451">
        <v>1441</v>
      </c>
      <c r="B1451" t="str">
        <f>IF(Sales_Deals!I1442&lt;&gt;"",IF(AND(Sales_Deals!I1442&gt;DATE(2024,9,30),Sales_Deals!I1442&lt;=DATE(2025,3,31)),Sales_Deals!J1442,""),"")</f>
        <v/>
      </c>
      <c r="C1451" t="str">
        <f>IF(Sales_Deals!I1442&lt;&gt;"",IF(AND(Sales_Deals!I1442&gt;DATE(2024,3,31),Sales_Deals!I1442&lt;=DATE(2024,9,30)),Sales_Deals!J1442,""),"")</f>
        <v/>
      </c>
    </row>
    <row r="1452" spans="1:3" x14ac:dyDescent="0.35">
      <c r="A1452">
        <v>1442</v>
      </c>
      <c r="B1452" t="str">
        <f>IF(Sales_Deals!I1443&lt;&gt;"",IF(AND(Sales_Deals!I1443&gt;DATE(2024,9,30),Sales_Deals!I1443&lt;=DATE(2025,3,31)),Sales_Deals!J1443,""),"")</f>
        <v/>
      </c>
      <c r="C1452" t="str">
        <f>IF(Sales_Deals!I1443&lt;&gt;"",IF(AND(Sales_Deals!I1443&gt;DATE(2024,3,31),Sales_Deals!I1443&lt;=DATE(2024,9,30)),Sales_Deals!J1443,""),"")</f>
        <v/>
      </c>
    </row>
    <row r="1453" spans="1:3" x14ac:dyDescent="0.35">
      <c r="A1453">
        <v>1443</v>
      </c>
      <c r="B1453" t="str">
        <f>IF(Sales_Deals!I1444&lt;&gt;"",IF(AND(Sales_Deals!I1444&gt;DATE(2024,9,30),Sales_Deals!I1444&lt;=DATE(2025,3,31)),Sales_Deals!J1444,""),"")</f>
        <v/>
      </c>
      <c r="C1453" t="str">
        <f>IF(Sales_Deals!I1444&lt;&gt;"",IF(AND(Sales_Deals!I1444&gt;DATE(2024,3,31),Sales_Deals!I1444&lt;=DATE(2024,9,30)),Sales_Deals!J1444,""),"")</f>
        <v/>
      </c>
    </row>
    <row r="1454" spans="1:3" x14ac:dyDescent="0.35">
      <c r="A1454">
        <v>1444</v>
      </c>
      <c r="B1454" t="str">
        <f>IF(Sales_Deals!I1445&lt;&gt;"",IF(AND(Sales_Deals!I1445&gt;DATE(2024,9,30),Sales_Deals!I1445&lt;=DATE(2025,3,31)),Sales_Deals!J1445,""),"")</f>
        <v/>
      </c>
      <c r="C1454" t="str">
        <f>IF(Sales_Deals!I1445&lt;&gt;"",IF(AND(Sales_Deals!I1445&gt;DATE(2024,3,31),Sales_Deals!I1445&lt;=DATE(2024,9,30)),Sales_Deals!J1445,""),"")</f>
        <v/>
      </c>
    </row>
    <row r="1455" spans="1:3" x14ac:dyDescent="0.35">
      <c r="A1455">
        <v>1445</v>
      </c>
      <c r="B1455" t="str">
        <f>IF(Sales_Deals!I1446&lt;&gt;"",IF(AND(Sales_Deals!I1446&gt;DATE(2024,9,30),Sales_Deals!I1446&lt;=DATE(2025,3,31)),Sales_Deals!J1446,""),"")</f>
        <v/>
      </c>
      <c r="C1455" t="str">
        <f>IF(Sales_Deals!I1446&lt;&gt;"",IF(AND(Sales_Deals!I1446&gt;DATE(2024,3,31),Sales_Deals!I1446&lt;=DATE(2024,9,30)),Sales_Deals!J1446,""),"")</f>
        <v/>
      </c>
    </row>
    <row r="1456" spans="1:3" x14ac:dyDescent="0.35">
      <c r="A1456">
        <v>1446</v>
      </c>
      <c r="B1456">
        <f>IF(Sales_Deals!I1447&lt;&gt;"",IF(AND(Sales_Deals!I1447&gt;DATE(2024,9,30),Sales_Deals!I1447&lt;=DATE(2025,3,31)),Sales_Deals!J1447,""),"")</f>
        <v>67</v>
      </c>
      <c r="C1456" t="str">
        <f>IF(Sales_Deals!I1447&lt;&gt;"",IF(AND(Sales_Deals!I1447&gt;DATE(2024,3,31),Sales_Deals!I1447&lt;=DATE(2024,9,30)),Sales_Deals!J1447,""),"")</f>
        <v/>
      </c>
    </row>
    <row r="1457" spans="1:3" x14ac:dyDescent="0.35">
      <c r="A1457">
        <v>1447</v>
      </c>
      <c r="B1457" t="str">
        <f>IF(Sales_Deals!I1448&lt;&gt;"",IF(AND(Sales_Deals!I1448&gt;DATE(2024,9,30),Sales_Deals!I1448&lt;=DATE(2025,3,31)),Sales_Deals!J1448,""),"")</f>
        <v/>
      </c>
      <c r="C1457" t="str">
        <f>IF(Sales_Deals!I1448&lt;&gt;"",IF(AND(Sales_Deals!I1448&gt;DATE(2024,3,31),Sales_Deals!I1448&lt;=DATE(2024,9,30)),Sales_Deals!J1448,""),"")</f>
        <v/>
      </c>
    </row>
    <row r="1458" spans="1:3" x14ac:dyDescent="0.35">
      <c r="A1458">
        <v>1448</v>
      </c>
      <c r="B1458" t="str">
        <f>IF(Sales_Deals!I1449&lt;&gt;"",IF(AND(Sales_Deals!I1449&gt;DATE(2024,9,30),Sales_Deals!I1449&lt;=DATE(2025,3,31)),Sales_Deals!J1449,""),"")</f>
        <v/>
      </c>
      <c r="C1458" t="str">
        <f>IF(Sales_Deals!I1449&lt;&gt;"",IF(AND(Sales_Deals!I1449&gt;DATE(2024,3,31),Sales_Deals!I1449&lt;=DATE(2024,9,30)),Sales_Deals!J1449,""),"")</f>
        <v/>
      </c>
    </row>
    <row r="1459" spans="1:3" x14ac:dyDescent="0.35">
      <c r="A1459">
        <v>1449</v>
      </c>
      <c r="B1459" t="str">
        <f>IF(Sales_Deals!I1450&lt;&gt;"",IF(AND(Sales_Deals!I1450&gt;DATE(2024,9,30),Sales_Deals!I1450&lt;=DATE(2025,3,31)),Sales_Deals!J1450,""),"")</f>
        <v/>
      </c>
      <c r="C1459" t="str">
        <f>IF(Sales_Deals!I1450&lt;&gt;"",IF(AND(Sales_Deals!I1450&gt;DATE(2024,3,31),Sales_Deals!I1450&lt;=DATE(2024,9,30)),Sales_Deals!J1450,""),"")</f>
        <v/>
      </c>
    </row>
    <row r="1460" spans="1:3" x14ac:dyDescent="0.35">
      <c r="A1460">
        <v>1450</v>
      </c>
      <c r="B1460" t="str">
        <f>IF(Sales_Deals!I1451&lt;&gt;"",IF(AND(Sales_Deals!I1451&gt;DATE(2024,9,30),Sales_Deals!I1451&lt;=DATE(2025,3,31)),Sales_Deals!J1451,""),"")</f>
        <v/>
      </c>
      <c r="C1460" t="str">
        <f>IF(Sales_Deals!I1451&lt;&gt;"",IF(AND(Sales_Deals!I1451&gt;DATE(2024,3,31),Sales_Deals!I1451&lt;=DATE(2024,9,30)),Sales_Deals!J1451,""),"")</f>
        <v/>
      </c>
    </row>
    <row r="1461" spans="1:3" x14ac:dyDescent="0.35">
      <c r="A1461">
        <v>1451</v>
      </c>
      <c r="B1461" t="str">
        <f>IF(Sales_Deals!I1452&lt;&gt;"",IF(AND(Sales_Deals!I1452&gt;DATE(2024,9,30),Sales_Deals!I1452&lt;=DATE(2025,3,31)),Sales_Deals!J1452,""),"")</f>
        <v/>
      </c>
      <c r="C1461" t="str">
        <f>IF(Sales_Deals!I1452&lt;&gt;"",IF(AND(Sales_Deals!I1452&gt;DATE(2024,3,31),Sales_Deals!I1452&lt;=DATE(2024,9,30)),Sales_Deals!J1452,""),"")</f>
        <v/>
      </c>
    </row>
    <row r="1462" spans="1:3" x14ac:dyDescent="0.35">
      <c r="A1462">
        <v>1452</v>
      </c>
      <c r="B1462" t="str">
        <f>IF(Sales_Deals!I1453&lt;&gt;"",IF(AND(Sales_Deals!I1453&gt;DATE(2024,9,30),Sales_Deals!I1453&lt;=DATE(2025,3,31)),Sales_Deals!J1453,""),"")</f>
        <v/>
      </c>
      <c r="C1462" t="str">
        <f>IF(Sales_Deals!I1453&lt;&gt;"",IF(AND(Sales_Deals!I1453&gt;DATE(2024,3,31),Sales_Deals!I1453&lt;=DATE(2024,9,30)),Sales_Deals!J1453,""),"")</f>
        <v/>
      </c>
    </row>
    <row r="1463" spans="1:3" x14ac:dyDescent="0.35">
      <c r="A1463">
        <v>1453</v>
      </c>
      <c r="B1463" t="str">
        <f>IF(Sales_Deals!I1454&lt;&gt;"",IF(AND(Sales_Deals!I1454&gt;DATE(2024,9,30),Sales_Deals!I1454&lt;=DATE(2025,3,31)),Sales_Deals!J1454,""),"")</f>
        <v/>
      </c>
      <c r="C1463" t="str">
        <f>IF(Sales_Deals!I1454&lt;&gt;"",IF(AND(Sales_Deals!I1454&gt;DATE(2024,3,31),Sales_Deals!I1454&lt;=DATE(2024,9,30)),Sales_Deals!J1454,""),"")</f>
        <v/>
      </c>
    </row>
    <row r="1464" spans="1:3" x14ac:dyDescent="0.35">
      <c r="A1464">
        <v>1454</v>
      </c>
      <c r="B1464" t="str">
        <f>IF(Sales_Deals!I1455&lt;&gt;"",IF(AND(Sales_Deals!I1455&gt;DATE(2024,9,30),Sales_Deals!I1455&lt;=DATE(2025,3,31)),Sales_Deals!J1455,""),"")</f>
        <v/>
      </c>
      <c r="C1464" t="str">
        <f>IF(Sales_Deals!I1455&lt;&gt;"",IF(AND(Sales_Deals!I1455&gt;DATE(2024,3,31),Sales_Deals!I1455&lt;=DATE(2024,9,30)),Sales_Deals!J1455,""),"")</f>
        <v/>
      </c>
    </row>
    <row r="1465" spans="1:3" x14ac:dyDescent="0.35">
      <c r="A1465">
        <v>1455</v>
      </c>
      <c r="B1465" t="str">
        <f>IF(Sales_Deals!I1456&lt;&gt;"",IF(AND(Sales_Deals!I1456&gt;DATE(2024,9,30),Sales_Deals!I1456&lt;=DATE(2025,3,31)),Sales_Deals!J1456,""),"")</f>
        <v/>
      </c>
      <c r="C1465" t="str">
        <f>IF(Sales_Deals!I1456&lt;&gt;"",IF(AND(Sales_Deals!I1456&gt;DATE(2024,3,31),Sales_Deals!I1456&lt;=DATE(2024,9,30)),Sales_Deals!J1456,""),"")</f>
        <v/>
      </c>
    </row>
    <row r="1466" spans="1:3" x14ac:dyDescent="0.35">
      <c r="A1466">
        <v>1456</v>
      </c>
      <c r="B1466" t="str">
        <f>IF(Sales_Deals!I1457&lt;&gt;"",IF(AND(Sales_Deals!I1457&gt;DATE(2024,9,30),Sales_Deals!I1457&lt;=DATE(2025,3,31)),Sales_Deals!J1457,""),"")</f>
        <v/>
      </c>
      <c r="C1466" t="str">
        <f>IF(Sales_Deals!I1457&lt;&gt;"",IF(AND(Sales_Deals!I1457&gt;DATE(2024,3,31),Sales_Deals!I1457&lt;=DATE(2024,9,30)),Sales_Deals!J1457,""),"")</f>
        <v/>
      </c>
    </row>
    <row r="1467" spans="1:3" x14ac:dyDescent="0.35">
      <c r="A1467">
        <v>1457</v>
      </c>
      <c r="B1467" t="str">
        <f>IF(Sales_Deals!I1458&lt;&gt;"",IF(AND(Sales_Deals!I1458&gt;DATE(2024,9,30),Sales_Deals!I1458&lt;=DATE(2025,3,31)),Sales_Deals!J1458,""),"")</f>
        <v/>
      </c>
      <c r="C1467" t="str">
        <f>IF(Sales_Deals!I1458&lt;&gt;"",IF(AND(Sales_Deals!I1458&gt;DATE(2024,3,31),Sales_Deals!I1458&lt;=DATE(2024,9,30)),Sales_Deals!J1458,""),"")</f>
        <v/>
      </c>
    </row>
    <row r="1468" spans="1:3" x14ac:dyDescent="0.35">
      <c r="A1468">
        <v>1458</v>
      </c>
      <c r="B1468" t="str">
        <f>IF(Sales_Deals!I1459&lt;&gt;"",IF(AND(Sales_Deals!I1459&gt;DATE(2024,9,30),Sales_Deals!I1459&lt;=DATE(2025,3,31)),Sales_Deals!J1459,""),"")</f>
        <v/>
      </c>
      <c r="C1468" t="str">
        <f>IF(Sales_Deals!I1459&lt;&gt;"",IF(AND(Sales_Deals!I1459&gt;DATE(2024,3,31),Sales_Deals!I1459&lt;=DATE(2024,9,30)),Sales_Deals!J1459,""),"")</f>
        <v/>
      </c>
    </row>
    <row r="1469" spans="1:3" x14ac:dyDescent="0.35">
      <c r="A1469">
        <v>1459</v>
      </c>
      <c r="B1469">
        <f>IF(Sales_Deals!I1460&lt;&gt;"",IF(AND(Sales_Deals!I1460&gt;DATE(2024,9,30),Sales_Deals!I1460&lt;=DATE(2025,3,31)),Sales_Deals!J1460,""),"")</f>
        <v>154</v>
      </c>
      <c r="C1469" t="str">
        <f>IF(Sales_Deals!I1460&lt;&gt;"",IF(AND(Sales_Deals!I1460&gt;DATE(2024,3,31),Sales_Deals!I1460&lt;=DATE(2024,9,30)),Sales_Deals!J1460,""),"")</f>
        <v/>
      </c>
    </row>
    <row r="1470" spans="1:3" x14ac:dyDescent="0.35">
      <c r="A1470">
        <v>1460</v>
      </c>
      <c r="B1470" t="str">
        <f>IF(Sales_Deals!I1461&lt;&gt;"",IF(AND(Sales_Deals!I1461&gt;DATE(2024,9,30),Sales_Deals!I1461&lt;=DATE(2025,3,31)),Sales_Deals!J1461,""),"")</f>
        <v/>
      </c>
      <c r="C1470" t="str">
        <f>IF(Sales_Deals!I1461&lt;&gt;"",IF(AND(Sales_Deals!I1461&gt;DATE(2024,3,31),Sales_Deals!I1461&lt;=DATE(2024,9,30)),Sales_Deals!J1461,""),"")</f>
        <v/>
      </c>
    </row>
    <row r="1471" spans="1:3" x14ac:dyDescent="0.35">
      <c r="A1471">
        <v>1461</v>
      </c>
      <c r="B1471" t="str">
        <f>IF(Sales_Deals!I1462&lt;&gt;"",IF(AND(Sales_Deals!I1462&gt;DATE(2024,9,30),Sales_Deals!I1462&lt;=DATE(2025,3,31)),Sales_Deals!J1462,""),"")</f>
        <v/>
      </c>
      <c r="C1471" t="str">
        <f>IF(Sales_Deals!I1462&lt;&gt;"",IF(AND(Sales_Deals!I1462&gt;DATE(2024,3,31),Sales_Deals!I1462&lt;=DATE(2024,9,30)),Sales_Deals!J1462,""),"")</f>
        <v/>
      </c>
    </row>
    <row r="1472" spans="1:3" x14ac:dyDescent="0.35">
      <c r="A1472">
        <v>1462</v>
      </c>
      <c r="B1472" t="str">
        <f>IF(Sales_Deals!I1463&lt;&gt;"",IF(AND(Sales_Deals!I1463&gt;DATE(2024,9,30),Sales_Deals!I1463&lt;=DATE(2025,3,31)),Sales_Deals!J1463,""),"")</f>
        <v/>
      </c>
      <c r="C1472" t="str">
        <f>IF(Sales_Deals!I1463&lt;&gt;"",IF(AND(Sales_Deals!I1463&gt;DATE(2024,3,31),Sales_Deals!I1463&lt;=DATE(2024,9,30)),Sales_Deals!J1463,""),"")</f>
        <v/>
      </c>
    </row>
    <row r="1473" spans="1:3" x14ac:dyDescent="0.35">
      <c r="A1473">
        <v>1463</v>
      </c>
      <c r="B1473" t="str">
        <f>IF(Sales_Deals!I1464&lt;&gt;"",IF(AND(Sales_Deals!I1464&gt;DATE(2024,9,30),Sales_Deals!I1464&lt;=DATE(2025,3,31)),Sales_Deals!J1464,""),"")</f>
        <v/>
      </c>
      <c r="C1473" t="str">
        <f>IF(Sales_Deals!I1464&lt;&gt;"",IF(AND(Sales_Deals!I1464&gt;DATE(2024,3,31),Sales_Deals!I1464&lt;=DATE(2024,9,30)),Sales_Deals!J1464,""),"")</f>
        <v/>
      </c>
    </row>
    <row r="1474" spans="1:3" x14ac:dyDescent="0.35">
      <c r="A1474">
        <v>1464</v>
      </c>
      <c r="B1474" t="str">
        <f>IF(Sales_Deals!I1465&lt;&gt;"",IF(AND(Sales_Deals!I1465&gt;DATE(2024,9,30),Sales_Deals!I1465&lt;=DATE(2025,3,31)),Sales_Deals!J1465,""),"")</f>
        <v/>
      </c>
      <c r="C1474" t="str">
        <f>IF(Sales_Deals!I1465&lt;&gt;"",IF(AND(Sales_Deals!I1465&gt;DATE(2024,3,31),Sales_Deals!I1465&lt;=DATE(2024,9,30)),Sales_Deals!J1465,""),"")</f>
        <v/>
      </c>
    </row>
    <row r="1475" spans="1:3" x14ac:dyDescent="0.35">
      <c r="A1475">
        <v>1465</v>
      </c>
      <c r="B1475" t="str">
        <f>IF(Sales_Deals!I1466&lt;&gt;"",IF(AND(Sales_Deals!I1466&gt;DATE(2024,9,30),Sales_Deals!I1466&lt;=DATE(2025,3,31)),Sales_Deals!J1466,""),"")</f>
        <v/>
      </c>
      <c r="C1475" t="str">
        <f>IF(Sales_Deals!I1466&lt;&gt;"",IF(AND(Sales_Deals!I1466&gt;DATE(2024,3,31),Sales_Deals!I1466&lt;=DATE(2024,9,30)),Sales_Deals!J1466,""),"")</f>
        <v/>
      </c>
    </row>
    <row r="1476" spans="1:3" x14ac:dyDescent="0.35">
      <c r="A1476">
        <v>1466</v>
      </c>
      <c r="B1476" t="str">
        <f>IF(Sales_Deals!I1467&lt;&gt;"",IF(AND(Sales_Deals!I1467&gt;DATE(2024,9,30),Sales_Deals!I1467&lt;=DATE(2025,3,31)),Sales_Deals!J1467,""),"")</f>
        <v/>
      </c>
      <c r="C1476" t="str">
        <f>IF(Sales_Deals!I1467&lt;&gt;"",IF(AND(Sales_Deals!I1467&gt;DATE(2024,3,31),Sales_Deals!I1467&lt;=DATE(2024,9,30)),Sales_Deals!J1467,""),"")</f>
        <v/>
      </c>
    </row>
    <row r="1477" spans="1:3" x14ac:dyDescent="0.35">
      <c r="A1477">
        <v>1467</v>
      </c>
      <c r="B1477" t="str">
        <f>IF(Sales_Deals!I1468&lt;&gt;"",IF(AND(Sales_Deals!I1468&gt;DATE(2024,9,30),Sales_Deals!I1468&lt;=DATE(2025,3,31)),Sales_Deals!J1468,""),"")</f>
        <v/>
      </c>
      <c r="C1477" t="str">
        <f>IF(Sales_Deals!I1468&lt;&gt;"",IF(AND(Sales_Deals!I1468&gt;DATE(2024,3,31),Sales_Deals!I1468&lt;=DATE(2024,9,30)),Sales_Deals!J1468,""),"")</f>
        <v/>
      </c>
    </row>
    <row r="1478" spans="1:3" x14ac:dyDescent="0.35">
      <c r="A1478">
        <v>1468</v>
      </c>
      <c r="B1478" t="str">
        <f>IF(Sales_Deals!I1469&lt;&gt;"",IF(AND(Sales_Deals!I1469&gt;DATE(2024,9,30),Sales_Deals!I1469&lt;=DATE(2025,3,31)),Sales_Deals!J1469,""),"")</f>
        <v/>
      </c>
      <c r="C1478" t="str">
        <f>IF(Sales_Deals!I1469&lt;&gt;"",IF(AND(Sales_Deals!I1469&gt;DATE(2024,3,31),Sales_Deals!I1469&lt;=DATE(2024,9,30)),Sales_Deals!J1469,""),"")</f>
        <v/>
      </c>
    </row>
    <row r="1479" spans="1:3" x14ac:dyDescent="0.35">
      <c r="A1479">
        <v>1469</v>
      </c>
      <c r="B1479" t="str">
        <f>IF(Sales_Deals!I1470&lt;&gt;"",IF(AND(Sales_Deals!I1470&gt;DATE(2024,9,30),Sales_Deals!I1470&lt;=DATE(2025,3,31)),Sales_Deals!J1470,""),"")</f>
        <v/>
      </c>
      <c r="C1479" t="str">
        <f>IF(Sales_Deals!I1470&lt;&gt;"",IF(AND(Sales_Deals!I1470&gt;DATE(2024,3,31),Sales_Deals!I1470&lt;=DATE(2024,9,30)),Sales_Deals!J1470,""),"")</f>
        <v/>
      </c>
    </row>
    <row r="1480" spans="1:3" x14ac:dyDescent="0.35">
      <c r="A1480">
        <v>1470</v>
      </c>
      <c r="B1480" t="str">
        <f>IF(Sales_Deals!I1471&lt;&gt;"",IF(AND(Sales_Deals!I1471&gt;DATE(2024,9,30),Sales_Deals!I1471&lt;=DATE(2025,3,31)),Sales_Deals!J1471,""),"")</f>
        <v/>
      </c>
      <c r="C1480" t="str">
        <f>IF(Sales_Deals!I1471&lt;&gt;"",IF(AND(Sales_Deals!I1471&gt;DATE(2024,3,31),Sales_Deals!I1471&lt;=DATE(2024,9,30)),Sales_Deals!J1471,""),"")</f>
        <v/>
      </c>
    </row>
    <row r="1481" spans="1:3" x14ac:dyDescent="0.35">
      <c r="A1481">
        <v>1471</v>
      </c>
      <c r="B1481" t="str">
        <f>IF(Sales_Deals!I1472&lt;&gt;"",IF(AND(Sales_Deals!I1472&gt;DATE(2024,9,30),Sales_Deals!I1472&lt;=DATE(2025,3,31)),Sales_Deals!J1472,""),"")</f>
        <v/>
      </c>
      <c r="C1481" t="str">
        <f>IF(Sales_Deals!I1472&lt;&gt;"",IF(AND(Sales_Deals!I1472&gt;DATE(2024,3,31),Sales_Deals!I1472&lt;=DATE(2024,9,30)),Sales_Deals!J1472,""),"")</f>
        <v/>
      </c>
    </row>
    <row r="1482" spans="1:3" x14ac:dyDescent="0.35">
      <c r="A1482">
        <v>1472</v>
      </c>
      <c r="B1482" t="str">
        <f>IF(Sales_Deals!I1473&lt;&gt;"",IF(AND(Sales_Deals!I1473&gt;DATE(2024,9,30),Sales_Deals!I1473&lt;=DATE(2025,3,31)),Sales_Deals!J1473,""),"")</f>
        <v/>
      </c>
      <c r="C1482" t="str">
        <f>IF(Sales_Deals!I1473&lt;&gt;"",IF(AND(Sales_Deals!I1473&gt;DATE(2024,3,31),Sales_Deals!I1473&lt;=DATE(2024,9,30)),Sales_Deals!J1473,""),"")</f>
        <v/>
      </c>
    </row>
    <row r="1483" spans="1:3" x14ac:dyDescent="0.35">
      <c r="A1483">
        <v>1473</v>
      </c>
      <c r="B1483" t="str">
        <f>IF(Sales_Deals!I1474&lt;&gt;"",IF(AND(Sales_Deals!I1474&gt;DATE(2024,9,30),Sales_Deals!I1474&lt;=DATE(2025,3,31)),Sales_Deals!J1474,""),"")</f>
        <v/>
      </c>
      <c r="C1483" t="str">
        <f>IF(Sales_Deals!I1474&lt;&gt;"",IF(AND(Sales_Deals!I1474&gt;DATE(2024,3,31),Sales_Deals!I1474&lt;=DATE(2024,9,30)),Sales_Deals!J1474,""),"")</f>
        <v/>
      </c>
    </row>
    <row r="1484" spans="1:3" x14ac:dyDescent="0.35">
      <c r="A1484">
        <v>1474</v>
      </c>
      <c r="B1484" t="str">
        <f>IF(Sales_Deals!I1475&lt;&gt;"",IF(AND(Sales_Deals!I1475&gt;DATE(2024,9,30),Sales_Deals!I1475&lt;=DATE(2025,3,31)),Sales_Deals!J1475,""),"")</f>
        <v/>
      </c>
      <c r="C1484" t="str">
        <f>IF(Sales_Deals!I1475&lt;&gt;"",IF(AND(Sales_Deals!I1475&gt;DATE(2024,3,31),Sales_Deals!I1475&lt;=DATE(2024,9,30)),Sales_Deals!J1475,""),"")</f>
        <v/>
      </c>
    </row>
    <row r="1485" spans="1:3" x14ac:dyDescent="0.35">
      <c r="A1485">
        <v>1475</v>
      </c>
      <c r="B1485" t="str">
        <f>IF(Sales_Deals!I1476&lt;&gt;"",IF(AND(Sales_Deals!I1476&gt;DATE(2024,9,30),Sales_Deals!I1476&lt;=DATE(2025,3,31)),Sales_Deals!J1476,""),"")</f>
        <v/>
      </c>
      <c r="C1485" t="str">
        <f>IF(Sales_Deals!I1476&lt;&gt;"",IF(AND(Sales_Deals!I1476&gt;DATE(2024,3,31),Sales_Deals!I1476&lt;=DATE(2024,9,30)),Sales_Deals!J1476,""),"")</f>
        <v/>
      </c>
    </row>
    <row r="1486" spans="1:3" x14ac:dyDescent="0.35">
      <c r="A1486">
        <v>1476</v>
      </c>
      <c r="B1486" t="str">
        <f>IF(Sales_Deals!I1477&lt;&gt;"",IF(AND(Sales_Deals!I1477&gt;DATE(2024,9,30),Sales_Deals!I1477&lt;=DATE(2025,3,31)),Sales_Deals!J1477,""),"")</f>
        <v/>
      </c>
      <c r="C1486" t="str">
        <f>IF(Sales_Deals!I1477&lt;&gt;"",IF(AND(Sales_Deals!I1477&gt;DATE(2024,3,31),Sales_Deals!I1477&lt;=DATE(2024,9,30)),Sales_Deals!J1477,""),"")</f>
        <v/>
      </c>
    </row>
    <row r="1487" spans="1:3" x14ac:dyDescent="0.35">
      <c r="A1487">
        <v>1477</v>
      </c>
      <c r="B1487" t="str">
        <f>IF(Sales_Deals!I1478&lt;&gt;"",IF(AND(Sales_Deals!I1478&gt;DATE(2024,9,30),Sales_Deals!I1478&lt;=DATE(2025,3,31)),Sales_Deals!J1478,""),"")</f>
        <v/>
      </c>
      <c r="C1487" t="str">
        <f>IF(Sales_Deals!I1478&lt;&gt;"",IF(AND(Sales_Deals!I1478&gt;DATE(2024,3,31),Sales_Deals!I1478&lt;=DATE(2024,9,30)),Sales_Deals!J1478,""),"")</f>
        <v/>
      </c>
    </row>
    <row r="1488" spans="1:3" x14ac:dyDescent="0.35">
      <c r="A1488">
        <v>1478</v>
      </c>
      <c r="B1488" t="str">
        <f>IF(Sales_Deals!I1479&lt;&gt;"",IF(AND(Sales_Deals!I1479&gt;DATE(2024,9,30),Sales_Deals!I1479&lt;=DATE(2025,3,31)),Sales_Deals!J1479,""),"")</f>
        <v/>
      </c>
      <c r="C1488" t="str">
        <f>IF(Sales_Deals!I1479&lt;&gt;"",IF(AND(Sales_Deals!I1479&gt;DATE(2024,3,31),Sales_Deals!I1479&lt;=DATE(2024,9,30)),Sales_Deals!J1479,""),"")</f>
        <v/>
      </c>
    </row>
    <row r="1489" spans="1:3" x14ac:dyDescent="0.35">
      <c r="A1489">
        <v>1479</v>
      </c>
      <c r="B1489" t="str">
        <f>IF(Sales_Deals!I1480&lt;&gt;"",IF(AND(Sales_Deals!I1480&gt;DATE(2024,9,30),Sales_Deals!I1480&lt;=DATE(2025,3,31)),Sales_Deals!J1480,""),"")</f>
        <v/>
      </c>
      <c r="C1489" t="str">
        <f>IF(Sales_Deals!I1480&lt;&gt;"",IF(AND(Sales_Deals!I1480&gt;DATE(2024,3,31),Sales_Deals!I1480&lt;=DATE(2024,9,30)),Sales_Deals!J1480,""),"")</f>
        <v/>
      </c>
    </row>
    <row r="1490" spans="1:3" x14ac:dyDescent="0.35">
      <c r="A1490">
        <v>1480</v>
      </c>
      <c r="B1490" t="str">
        <f>IF(Sales_Deals!I1481&lt;&gt;"",IF(AND(Sales_Deals!I1481&gt;DATE(2024,9,30),Sales_Deals!I1481&lt;=DATE(2025,3,31)),Sales_Deals!J1481,""),"")</f>
        <v/>
      </c>
      <c r="C1490">
        <f>IF(Sales_Deals!I1481&lt;&gt;"",IF(AND(Sales_Deals!I1481&gt;DATE(2024,3,31),Sales_Deals!I1481&lt;=DATE(2024,9,30)),Sales_Deals!J1481,""),"")</f>
        <v>166</v>
      </c>
    </row>
    <row r="1491" spans="1:3" x14ac:dyDescent="0.35">
      <c r="A1491">
        <v>1481</v>
      </c>
      <c r="B1491" t="str">
        <f>IF(Sales_Deals!I1482&lt;&gt;"",IF(AND(Sales_Deals!I1482&gt;DATE(2024,9,30),Sales_Deals!I1482&lt;=DATE(2025,3,31)),Sales_Deals!J1482,""),"")</f>
        <v/>
      </c>
      <c r="C1491" t="str">
        <f>IF(Sales_Deals!I1482&lt;&gt;"",IF(AND(Sales_Deals!I1482&gt;DATE(2024,3,31),Sales_Deals!I1482&lt;=DATE(2024,9,30)),Sales_Deals!J1482,""),"")</f>
        <v/>
      </c>
    </row>
    <row r="1492" spans="1:3" x14ac:dyDescent="0.35">
      <c r="A1492">
        <v>1482</v>
      </c>
      <c r="B1492" t="str">
        <f>IF(Sales_Deals!I1483&lt;&gt;"",IF(AND(Sales_Deals!I1483&gt;DATE(2024,9,30),Sales_Deals!I1483&lt;=DATE(2025,3,31)),Sales_Deals!J1483,""),"")</f>
        <v/>
      </c>
      <c r="C1492" t="str">
        <f>IF(Sales_Deals!I1483&lt;&gt;"",IF(AND(Sales_Deals!I1483&gt;DATE(2024,3,31),Sales_Deals!I1483&lt;=DATE(2024,9,30)),Sales_Deals!J1483,""),"")</f>
        <v/>
      </c>
    </row>
    <row r="1493" spans="1:3" x14ac:dyDescent="0.35">
      <c r="A1493">
        <v>1483</v>
      </c>
      <c r="B1493" t="str">
        <f>IF(Sales_Deals!I1484&lt;&gt;"",IF(AND(Sales_Deals!I1484&gt;DATE(2024,9,30),Sales_Deals!I1484&lt;=DATE(2025,3,31)),Sales_Deals!J1484,""),"")</f>
        <v/>
      </c>
      <c r="C1493" t="str">
        <f>IF(Sales_Deals!I1484&lt;&gt;"",IF(AND(Sales_Deals!I1484&gt;DATE(2024,3,31),Sales_Deals!I1484&lt;=DATE(2024,9,30)),Sales_Deals!J1484,""),"")</f>
        <v/>
      </c>
    </row>
    <row r="1494" spans="1:3" x14ac:dyDescent="0.35">
      <c r="A1494">
        <v>1484</v>
      </c>
      <c r="B1494" t="str">
        <f>IF(Sales_Deals!I1485&lt;&gt;"",IF(AND(Sales_Deals!I1485&gt;DATE(2024,9,30),Sales_Deals!I1485&lt;=DATE(2025,3,31)),Sales_Deals!J1485,""),"")</f>
        <v/>
      </c>
      <c r="C1494" t="str">
        <f>IF(Sales_Deals!I1485&lt;&gt;"",IF(AND(Sales_Deals!I1485&gt;DATE(2024,3,31),Sales_Deals!I1485&lt;=DATE(2024,9,30)),Sales_Deals!J1485,""),"")</f>
        <v/>
      </c>
    </row>
    <row r="1495" spans="1:3" x14ac:dyDescent="0.35">
      <c r="A1495">
        <v>1485</v>
      </c>
      <c r="B1495" t="str">
        <f>IF(Sales_Deals!I1486&lt;&gt;"",IF(AND(Sales_Deals!I1486&gt;DATE(2024,9,30),Sales_Deals!I1486&lt;=DATE(2025,3,31)),Sales_Deals!J1486,""),"")</f>
        <v/>
      </c>
      <c r="C1495" t="str">
        <f>IF(Sales_Deals!I1486&lt;&gt;"",IF(AND(Sales_Deals!I1486&gt;DATE(2024,3,31),Sales_Deals!I1486&lt;=DATE(2024,9,30)),Sales_Deals!J1486,""),"")</f>
        <v/>
      </c>
    </row>
    <row r="1496" spans="1:3" x14ac:dyDescent="0.35">
      <c r="A1496">
        <v>1486</v>
      </c>
      <c r="B1496" t="str">
        <f>IF(Sales_Deals!I1487&lt;&gt;"",IF(AND(Sales_Deals!I1487&gt;DATE(2024,9,30),Sales_Deals!I1487&lt;=DATE(2025,3,31)),Sales_Deals!J1487,""),"")</f>
        <v/>
      </c>
      <c r="C1496" t="str">
        <f>IF(Sales_Deals!I1487&lt;&gt;"",IF(AND(Sales_Deals!I1487&gt;DATE(2024,3,31),Sales_Deals!I1487&lt;=DATE(2024,9,30)),Sales_Deals!J1487,""),"")</f>
        <v/>
      </c>
    </row>
    <row r="1497" spans="1:3" x14ac:dyDescent="0.35">
      <c r="A1497">
        <v>1487</v>
      </c>
      <c r="B1497">
        <f>IF(Sales_Deals!I1488&lt;&gt;"",IF(AND(Sales_Deals!I1488&gt;DATE(2024,9,30),Sales_Deals!I1488&lt;=DATE(2025,3,31)),Sales_Deals!J1488,""),"")</f>
        <v>55</v>
      </c>
      <c r="C1497" t="str">
        <f>IF(Sales_Deals!I1488&lt;&gt;"",IF(AND(Sales_Deals!I1488&gt;DATE(2024,3,31),Sales_Deals!I1488&lt;=DATE(2024,9,30)),Sales_Deals!J1488,""),"")</f>
        <v/>
      </c>
    </row>
    <row r="1498" spans="1:3" x14ac:dyDescent="0.35">
      <c r="A1498">
        <v>1488</v>
      </c>
      <c r="B1498" t="str">
        <f>IF(Sales_Deals!I1489&lt;&gt;"",IF(AND(Sales_Deals!I1489&gt;DATE(2024,9,30),Sales_Deals!I1489&lt;=DATE(2025,3,31)),Sales_Deals!J1489,""),"")</f>
        <v/>
      </c>
      <c r="C1498" t="str">
        <f>IF(Sales_Deals!I1489&lt;&gt;"",IF(AND(Sales_Deals!I1489&gt;DATE(2024,3,31),Sales_Deals!I1489&lt;=DATE(2024,9,30)),Sales_Deals!J1489,""),"")</f>
        <v/>
      </c>
    </row>
    <row r="1499" spans="1:3" x14ac:dyDescent="0.35">
      <c r="A1499">
        <v>1489</v>
      </c>
      <c r="B1499" t="str">
        <f>IF(Sales_Deals!I1490&lt;&gt;"",IF(AND(Sales_Deals!I1490&gt;DATE(2024,9,30),Sales_Deals!I1490&lt;=DATE(2025,3,31)),Sales_Deals!J1490,""),"")</f>
        <v/>
      </c>
      <c r="C1499" t="str">
        <f>IF(Sales_Deals!I1490&lt;&gt;"",IF(AND(Sales_Deals!I1490&gt;DATE(2024,3,31),Sales_Deals!I1490&lt;=DATE(2024,9,30)),Sales_Deals!J1490,""),"")</f>
        <v/>
      </c>
    </row>
    <row r="1500" spans="1:3" x14ac:dyDescent="0.35">
      <c r="A1500">
        <v>1490</v>
      </c>
      <c r="B1500" t="str">
        <f>IF(Sales_Deals!I1491&lt;&gt;"",IF(AND(Sales_Deals!I1491&gt;DATE(2024,9,30),Sales_Deals!I1491&lt;=DATE(2025,3,31)),Sales_Deals!J1491,""),"")</f>
        <v/>
      </c>
      <c r="C1500" t="str">
        <f>IF(Sales_Deals!I1491&lt;&gt;"",IF(AND(Sales_Deals!I1491&gt;DATE(2024,3,31),Sales_Deals!I1491&lt;=DATE(2024,9,30)),Sales_Deals!J1491,""),"")</f>
        <v/>
      </c>
    </row>
    <row r="1501" spans="1:3" x14ac:dyDescent="0.35">
      <c r="A1501">
        <v>1491</v>
      </c>
      <c r="B1501" t="str">
        <f>IF(Sales_Deals!I1492&lt;&gt;"",IF(AND(Sales_Deals!I1492&gt;DATE(2024,9,30),Sales_Deals!I1492&lt;=DATE(2025,3,31)),Sales_Deals!J1492,""),"")</f>
        <v/>
      </c>
      <c r="C1501" t="str">
        <f>IF(Sales_Deals!I1492&lt;&gt;"",IF(AND(Sales_Deals!I1492&gt;DATE(2024,3,31),Sales_Deals!I1492&lt;=DATE(2024,9,30)),Sales_Deals!J1492,""),"")</f>
        <v/>
      </c>
    </row>
    <row r="1502" spans="1:3" x14ac:dyDescent="0.35">
      <c r="A1502">
        <v>1492</v>
      </c>
      <c r="B1502" t="str">
        <f>IF(Sales_Deals!I1493&lt;&gt;"",IF(AND(Sales_Deals!I1493&gt;DATE(2024,9,30),Sales_Deals!I1493&lt;=DATE(2025,3,31)),Sales_Deals!J1493,""),"")</f>
        <v/>
      </c>
      <c r="C1502" t="str">
        <f>IF(Sales_Deals!I1493&lt;&gt;"",IF(AND(Sales_Deals!I1493&gt;DATE(2024,3,31),Sales_Deals!I1493&lt;=DATE(2024,9,30)),Sales_Deals!J1493,""),"")</f>
        <v/>
      </c>
    </row>
    <row r="1503" spans="1:3" x14ac:dyDescent="0.35">
      <c r="A1503">
        <v>1493</v>
      </c>
      <c r="B1503">
        <f>IF(Sales_Deals!I1494&lt;&gt;"",IF(AND(Sales_Deals!I1494&gt;DATE(2024,9,30),Sales_Deals!I1494&lt;=DATE(2025,3,31)),Sales_Deals!J1494,""),"")</f>
        <v>120</v>
      </c>
      <c r="C1503" t="str">
        <f>IF(Sales_Deals!I1494&lt;&gt;"",IF(AND(Sales_Deals!I1494&gt;DATE(2024,3,31),Sales_Deals!I1494&lt;=DATE(2024,9,30)),Sales_Deals!J1494,""),"")</f>
        <v/>
      </c>
    </row>
    <row r="1504" spans="1:3" x14ac:dyDescent="0.35">
      <c r="A1504">
        <v>1494</v>
      </c>
      <c r="B1504" t="str">
        <f>IF(Sales_Deals!I1495&lt;&gt;"",IF(AND(Sales_Deals!I1495&gt;DATE(2024,9,30),Sales_Deals!I1495&lt;=DATE(2025,3,31)),Sales_Deals!J1495,""),"")</f>
        <v/>
      </c>
      <c r="C1504" t="str">
        <f>IF(Sales_Deals!I1495&lt;&gt;"",IF(AND(Sales_Deals!I1495&gt;DATE(2024,3,31),Sales_Deals!I1495&lt;=DATE(2024,9,30)),Sales_Deals!J1495,""),"")</f>
        <v/>
      </c>
    </row>
    <row r="1505" spans="1:3" x14ac:dyDescent="0.35">
      <c r="A1505">
        <v>1495</v>
      </c>
      <c r="B1505">
        <f>IF(Sales_Deals!I1496&lt;&gt;"",IF(AND(Sales_Deals!I1496&gt;DATE(2024,9,30),Sales_Deals!I1496&lt;=DATE(2025,3,31)),Sales_Deals!J1496,""),"")</f>
        <v>24</v>
      </c>
      <c r="C1505" t="str">
        <f>IF(Sales_Deals!I1496&lt;&gt;"",IF(AND(Sales_Deals!I1496&gt;DATE(2024,3,31),Sales_Deals!I1496&lt;=DATE(2024,9,30)),Sales_Deals!J1496,""),"")</f>
        <v/>
      </c>
    </row>
    <row r="1506" spans="1:3" x14ac:dyDescent="0.35">
      <c r="A1506">
        <v>1496</v>
      </c>
      <c r="B1506">
        <f>IF(Sales_Deals!I1497&lt;&gt;"",IF(AND(Sales_Deals!I1497&gt;DATE(2024,9,30),Sales_Deals!I1497&lt;=DATE(2025,3,31)),Sales_Deals!J1497,""),"")</f>
        <v>63</v>
      </c>
      <c r="C1506" t="str">
        <f>IF(Sales_Deals!I1497&lt;&gt;"",IF(AND(Sales_Deals!I1497&gt;DATE(2024,3,31),Sales_Deals!I1497&lt;=DATE(2024,9,30)),Sales_Deals!J1497,""),"")</f>
        <v/>
      </c>
    </row>
    <row r="1507" spans="1:3" x14ac:dyDescent="0.35">
      <c r="A1507">
        <v>1497</v>
      </c>
      <c r="B1507" t="str">
        <f>IF(Sales_Deals!I1498&lt;&gt;"",IF(AND(Sales_Deals!I1498&gt;DATE(2024,9,30),Sales_Deals!I1498&lt;=DATE(2025,3,31)),Sales_Deals!J1498,""),"")</f>
        <v/>
      </c>
      <c r="C1507" t="str">
        <f>IF(Sales_Deals!I1498&lt;&gt;"",IF(AND(Sales_Deals!I1498&gt;DATE(2024,3,31),Sales_Deals!I1498&lt;=DATE(2024,9,30)),Sales_Deals!J1498,""),"")</f>
        <v/>
      </c>
    </row>
    <row r="1508" spans="1:3" x14ac:dyDescent="0.35">
      <c r="A1508">
        <v>1498</v>
      </c>
      <c r="B1508" t="str">
        <f>IF(Sales_Deals!I1499&lt;&gt;"",IF(AND(Sales_Deals!I1499&gt;DATE(2024,9,30),Sales_Deals!I1499&lt;=DATE(2025,3,31)),Sales_Deals!J1499,""),"")</f>
        <v/>
      </c>
      <c r="C1508" t="str">
        <f>IF(Sales_Deals!I1499&lt;&gt;"",IF(AND(Sales_Deals!I1499&gt;DATE(2024,3,31),Sales_Deals!I1499&lt;=DATE(2024,9,30)),Sales_Deals!J1499,""),"")</f>
        <v/>
      </c>
    </row>
    <row r="1509" spans="1:3" x14ac:dyDescent="0.35">
      <c r="A1509">
        <v>1499</v>
      </c>
      <c r="B1509" t="str">
        <f>IF(Sales_Deals!I1500&lt;&gt;"",IF(AND(Sales_Deals!I1500&gt;DATE(2024,9,30),Sales_Deals!I1500&lt;=DATE(2025,3,31)),Sales_Deals!J1500,""),"")</f>
        <v/>
      </c>
      <c r="C1509">
        <f>IF(Sales_Deals!I1500&lt;&gt;"",IF(AND(Sales_Deals!I1500&gt;DATE(2024,3,31),Sales_Deals!I1500&lt;=DATE(2024,9,30)),Sales_Deals!J1500,""),"")</f>
        <v>158</v>
      </c>
    </row>
    <row r="1510" spans="1:3" x14ac:dyDescent="0.35">
      <c r="A1510">
        <v>1500</v>
      </c>
      <c r="B1510" t="str">
        <f>IF(Sales_Deals!I1501&lt;&gt;"",IF(AND(Sales_Deals!I1501&gt;DATE(2024,9,30),Sales_Deals!I1501&lt;=DATE(2025,3,31)),Sales_Deals!J1501,""),"")</f>
        <v/>
      </c>
      <c r="C1510" t="str">
        <f>IF(Sales_Deals!I1501&lt;&gt;"",IF(AND(Sales_Deals!I1501&gt;DATE(2024,3,31),Sales_Deals!I1501&lt;=DATE(2024,9,30)),Sales_Deals!J1501,""),"")</f>
        <v/>
      </c>
    </row>
    <row r="1511" spans="1:3" x14ac:dyDescent="0.35">
      <c r="A1511">
        <v>1501</v>
      </c>
      <c r="B1511" t="str">
        <f>IF(Sales_Deals!I1502&lt;&gt;"",IF(AND(Sales_Deals!I1502&gt;DATE(2024,9,30),Sales_Deals!I1502&lt;=DATE(2025,3,31)),Sales_Deals!J1502,""),"")</f>
        <v/>
      </c>
      <c r="C1511" t="str">
        <f>IF(Sales_Deals!I1502&lt;&gt;"",IF(AND(Sales_Deals!I1502&gt;DATE(2024,3,31),Sales_Deals!I1502&lt;=DATE(2024,9,30)),Sales_Deals!J1502,""),"")</f>
        <v/>
      </c>
    </row>
    <row r="1512" spans="1:3" x14ac:dyDescent="0.35">
      <c r="A1512">
        <v>1502</v>
      </c>
      <c r="B1512" t="str">
        <f>IF(Sales_Deals!I1503&lt;&gt;"",IF(AND(Sales_Deals!I1503&gt;DATE(2024,9,30),Sales_Deals!I1503&lt;=DATE(2025,3,31)),Sales_Deals!J1503,""),"")</f>
        <v/>
      </c>
      <c r="C1512" t="str">
        <f>IF(Sales_Deals!I1503&lt;&gt;"",IF(AND(Sales_Deals!I1503&gt;DATE(2024,3,31),Sales_Deals!I1503&lt;=DATE(2024,9,30)),Sales_Deals!J1503,""),"")</f>
        <v/>
      </c>
    </row>
    <row r="1513" spans="1:3" x14ac:dyDescent="0.35">
      <c r="A1513">
        <v>1503</v>
      </c>
      <c r="B1513" t="str">
        <f>IF(Sales_Deals!I1504&lt;&gt;"",IF(AND(Sales_Deals!I1504&gt;DATE(2024,9,30),Sales_Deals!I1504&lt;=DATE(2025,3,31)),Sales_Deals!J1504,""),"")</f>
        <v/>
      </c>
      <c r="C1513" t="str">
        <f>IF(Sales_Deals!I1504&lt;&gt;"",IF(AND(Sales_Deals!I1504&gt;DATE(2024,3,31),Sales_Deals!I1504&lt;=DATE(2024,9,30)),Sales_Deals!J1504,""),"")</f>
        <v/>
      </c>
    </row>
    <row r="1514" spans="1:3" x14ac:dyDescent="0.35">
      <c r="A1514">
        <v>1504</v>
      </c>
      <c r="B1514" t="str">
        <f>IF(Sales_Deals!I1505&lt;&gt;"",IF(AND(Sales_Deals!I1505&gt;DATE(2024,9,30),Sales_Deals!I1505&lt;=DATE(2025,3,31)),Sales_Deals!J1505,""),"")</f>
        <v/>
      </c>
      <c r="C1514" t="str">
        <f>IF(Sales_Deals!I1505&lt;&gt;"",IF(AND(Sales_Deals!I1505&gt;DATE(2024,3,31),Sales_Deals!I1505&lt;=DATE(2024,9,30)),Sales_Deals!J1505,""),"")</f>
        <v/>
      </c>
    </row>
    <row r="1515" spans="1:3" x14ac:dyDescent="0.35">
      <c r="A1515">
        <v>1505</v>
      </c>
      <c r="B1515" t="str">
        <f>IF(Sales_Deals!I1506&lt;&gt;"",IF(AND(Sales_Deals!I1506&gt;DATE(2024,9,30),Sales_Deals!I1506&lt;=DATE(2025,3,31)),Sales_Deals!J1506,""),"")</f>
        <v/>
      </c>
      <c r="C1515" t="str">
        <f>IF(Sales_Deals!I1506&lt;&gt;"",IF(AND(Sales_Deals!I1506&gt;DATE(2024,3,31),Sales_Deals!I1506&lt;=DATE(2024,9,30)),Sales_Deals!J1506,""),"")</f>
        <v/>
      </c>
    </row>
    <row r="1516" spans="1:3" x14ac:dyDescent="0.35">
      <c r="A1516">
        <v>1506</v>
      </c>
      <c r="B1516" t="str">
        <f>IF(Sales_Deals!I1507&lt;&gt;"",IF(AND(Sales_Deals!I1507&gt;DATE(2024,9,30),Sales_Deals!I1507&lt;=DATE(2025,3,31)),Sales_Deals!J1507,""),"")</f>
        <v/>
      </c>
      <c r="C1516" t="str">
        <f>IF(Sales_Deals!I1507&lt;&gt;"",IF(AND(Sales_Deals!I1507&gt;DATE(2024,3,31),Sales_Deals!I1507&lt;=DATE(2024,9,30)),Sales_Deals!J1507,""),"")</f>
        <v/>
      </c>
    </row>
    <row r="1517" spans="1:3" x14ac:dyDescent="0.35">
      <c r="A1517">
        <v>1507</v>
      </c>
      <c r="B1517">
        <f>IF(Sales_Deals!I1508&lt;&gt;"",IF(AND(Sales_Deals!I1508&gt;DATE(2024,9,30),Sales_Deals!I1508&lt;=DATE(2025,3,31)),Sales_Deals!J1508,""),"")</f>
        <v>176</v>
      </c>
      <c r="C1517" t="str">
        <f>IF(Sales_Deals!I1508&lt;&gt;"",IF(AND(Sales_Deals!I1508&gt;DATE(2024,3,31),Sales_Deals!I1508&lt;=DATE(2024,9,30)),Sales_Deals!J1508,""),"")</f>
        <v/>
      </c>
    </row>
    <row r="1518" spans="1:3" x14ac:dyDescent="0.35">
      <c r="A1518">
        <v>1508</v>
      </c>
      <c r="B1518" t="str">
        <f>IF(Sales_Deals!I1509&lt;&gt;"",IF(AND(Sales_Deals!I1509&gt;DATE(2024,9,30),Sales_Deals!I1509&lt;=DATE(2025,3,31)),Sales_Deals!J1509,""),"")</f>
        <v/>
      </c>
      <c r="C1518" t="str">
        <f>IF(Sales_Deals!I1509&lt;&gt;"",IF(AND(Sales_Deals!I1509&gt;DATE(2024,3,31),Sales_Deals!I1509&lt;=DATE(2024,9,30)),Sales_Deals!J1509,""),"")</f>
        <v/>
      </c>
    </row>
    <row r="1519" spans="1:3" x14ac:dyDescent="0.35">
      <c r="A1519">
        <v>1509</v>
      </c>
      <c r="B1519" t="str">
        <f>IF(Sales_Deals!I1510&lt;&gt;"",IF(AND(Sales_Deals!I1510&gt;DATE(2024,9,30),Sales_Deals!I1510&lt;=DATE(2025,3,31)),Sales_Deals!J1510,""),"")</f>
        <v/>
      </c>
      <c r="C1519" t="str">
        <f>IF(Sales_Deals!I1510&lt;&gt;"",IF(AND(Sales_Deals!I1510&gt;DATE(2024,3,31),Sales_Deals!I1510&lt;=DATE(2024,9,30)),Sales_Deals!J1510,""),"")</f>
        <v/>
      </c>
    </row>
    <row r="1520" spans="1:3" x14ac:dyDescent="0.35">
      <c r="A1520">
        <v>1510</v>
      </c>
      <c r="B1520" t="str">
        <f>IF(Sales_Deals!I1511&lt;&gt;"",IF(AND(Sales_Deals!I1511&gt;DATE(2024,9,30),Sales_Deals!I1511&lt;=DATE(2025,3,31)),Sales_Deals!J1511,""),"")</f>
        <v/>
      </c>
      <c r="C1520" t="str">
        <f>IF(Sales_Deals!I1511&lt;&gt;"",IF(AND(Sales_Deals!I1511&gt;DATE(2024,3,31),Sales_Deals!I1511&lt;=DATE(2024,9,30)),Sales_Deals!J1511,""),"")</f>
        <v/>
      </c>
    </row>
    <row r="1521" spans="1:3" x14ac:dyDescent="0.35">
      <c r="A1521">
        <v>1511</v>
      </c>
      <c r="B1521" t="str">
        <f>IF(Sales_Deals!I1512&lt;&gt;"",IF(AND(Sales_Deals!I1512&gt;DATE(2024,9,30),Sales_Deals!I1512&lt;=DATE(2025,3,31)),Sales_Deals!J1512,""),"")</f>
        <v/>
      </c>
      <c r="C1521" t="str">
        <f>IF(Sales_Deals!I1512&lt;&gt;"",IF(AND(Sales_Deals!I1512&gt;DATE(2024,3,31),Sales_Deals!I1512&lt;=DATE(2024,9,30)),Sales_Deals!J1512,""),"")</f>
        <v/>
      </c>
    </row>
    <row r="1522" spans="1:3" x14ac:dyDescent="0.35">
      <c r="A1522">
        <v>1512</v>
      </c>
      <c r="B1522" t="str">
        <f>IF(Sales_Deals!I1513&lt;&gt;"",IF(AND(Sales_Deals!I1513&gt;DATE(2024,9,30),Sales_Deals!I1513&lt;=DATE(2025,3,31)),Sales_Deals!J1513,""),"")</f>
        <v/>
      </c>
      <c r="C1522" t="str">
        <f>IF(Sales_Deals!I1513&lt;&gt;"",IF(AND(Sales_Deals!I1513&gt;DATE(2024,3,31),Sales_Deals!I1513&lt;=DATE(2024,9,30)),Sales_Deals!J1513,""),"")</f>
        <v/>
      </c>
    </row>
    <row r="1523" spans="1:3" x14ac:dyDescent="0.35">
      <c r="A1523">
        <v>1513</v>
      </c>
      <c r="B1523" t="str">
        <f>IF(Sales_Deals!I1514&lt;&gt;"",IF(AND(Sales_Deals!I1514&gt;DATE(2024,9,30),Sales_Deals!I1514&lt;=DATE(2025,3,31)),Sales_Deals!J1514,""),"")</f>
        <v/>
      </c>
      <c r="C1523" t="str">
        <f>IF(Sales_Deals!I1514&lt;&gt;"",IF(AND(Sales_Deals!I1514&gt;DATE(2024,3,31),Sales_Deals!I1514&lt;=DATE(2024,9,30)),Sales_Deals!J1514,""),"")</f>
        <v/>
      </c>
    </row>
    <row r="1524" spans="1:3" x14ac:dyDescent="0.35">
      <c r="A1524">
        <v>1514</v>
      </c>
      <c r="B1524" t="str">
        <f>IF(Sales_Deals!I1515&lt;&gt;"",IF(AND(Sales_Deals!I1515&gt;DATE(2024,9,30),Sales_Deals!I1515&lt;=DATE(2025,3,31)),Sales_Deals!J1515,""),"")</f>
        <v/>
      </c>
      <c r="C1524">
        <f>IF(Sales_Deals!I1515&lt;&gt;"",IF(AND(Sales_Deals!I1515&gt;DATE(2024,3,31),Sales_Deals!I1515&lt;=DATE(2024,9,30)),Sales_Deals!J1515,""),"")</f>
        <v>98</v>
      </c>
    </row>
    <row r="1525" spans="1:3" x14ac:dyDescent="0.35">
      <c r="A1525">
        <v>1515</v>
      </c>
      <c r="B1525" t="str">
        <f>IF(Sales_Deals!I1516&lt;&gt;"",IF(AND(Sales_Deals!I1516&gt;DATE(2024,9,30),Sales_Deals!I1516&lt;=DATE(2025,3,31)),Sales_Deals!J1516,""),"")</f>
        <v/>
      </c>
      <c r="C1525" t="str">
        <f>IF(Sales_Deals!I1516&lt;&gt;"",IF(AND(Sales_Deals!I1516&gt;DATE(2024,3,31),Sales_Deals!I1516&lt;=DATE(2024,9,30)),Sales_Deals!J1516,""),"")</f>
        <v/>
      </c>
    </row>
    <row r="1526" spans="1:3" x14ac:dyDescent="0.35">
      <c r="A1526">
        <v>1516</v>
      </c>
      <c r="B1526" t="str">
        <f>IF(Sales_Deals!I1517&lt;&gt;"",IF(AND(Sales_Deals!I1517&gt;DATE(2024,9,30),Sales_Deals!I1517&lt;=DATE(2025,3,31)),Sales_Deals!J1517,""),"")</f>
        <v/>
      </c>
      <c r="C1526" t="str">
        <f>IF(Sales_Deals!I1517&lt;&gt;"",IF(AND(Sales_Deals!I1517&gt;DATE(2024,3,31),Sales_Deals!I1517&lt;=DATE(2024,9,30)),Sales_Deals!J1517,""),"")</f>
        <v/>
      </c>
    </row>
    <row r="1527" spans="1:3" x14ac:dyDescent="0.35">
      <c r="A1527">
        <v>1517</v>
      </c>
      <c r="B1527" t="str">
        <f>IF(Sales_Deals!I1518&lt;&gt;"",IF(AND(Sales_Deals!I1518&gt;DATE(2024,9,30),Sales_Deals!I1518&lt;=DATE(2025,3,31)),Sales_Deals!J1518,""),"")</f>
        <v/>
      </c>
      <c r="C1527" t="str">
        <f>IF(Sales_Deals!I1518&lt;&gt;"",IF(AND(Sales_Deals!I1518&gt;DATE(2024,3,31),Sales_Deals!I1518&lt;=DATE(2024,9,30)),Sales_Deals!J1518,""),"")</f>
        <v/>
      </c>
    </row>
    <row r="1528" spans="1:3" x14ac:dyDescent="0.35">
      <c r="A1528">
        <v>1518</v>
      </c>
      <c r="B1528" t="str">
        <f>IF(Sales_Deals!I1519&lt;&gt;"",IF(AND(Sales_Deals!I1519&gt;DATE(2024,9,30),Sales_Deals!I1519&lt;=DATE(2025,3,31)),Sales_Deals!J1519,""),"")</f>
        <v/>
      </c>
      <c r="C1528" t="str">
        <f>IF(Sales_Deals!I1519&lt;&gt;"",IF(AND(Sales_Deals!I1519&gt;DATE(2024,3,31),Sales_Deals!I1519&lt;=DATE(2024,9,30)),Sales_Deals!J1519,""),"")</f>
        <v/>
      </c>
    </row>
    <row r="1529" spans="1:3" x14ac:dyDescent="0.35">
      <c r="A1529">
        <v>1519</v>
      </c>
      <c r="B1529">
        <f>IF(Sales_Deals!I1520&lt;&gt;"",IF(AND(Sales_Deals!I1520&gt;DATE(2024,9,30),Sales_Deals!I1520&lt;=DATE(2025,3,31)),Sales_Deals!J1520,""),"")</f>
        <v>78</v>
      </c>
      <c r="C1529" t="str">
        <f>IF(Sales_Deals!I1520&lt;&gt;"",IF(AND(Sales_Deals!I1520&gt;DATE(2024,3,31),Sales_Deals!I1520&lt;=DATE(2024,9,30)),Sales_Deals!J1520,""),"")</f>
        <v/>
      </c>
    </row>
    <row r="1530" spans="1:3" x14ac:dyDescent="0.35">
      <c r="A1530">
        <v>1520</v>
      </c>
      <c r="B1530" t="str">
        <f>IF(Sales_Deals!I1521&lt;&gt;"",IF(AND(Sales_Deals!I1521&gt;DATE(2024,9,30),Sales_Deals!I1521&lt;=DATE(2025,3,31)),Sales_Deals!J1521,""),"")</f>
        <v/>
      </c>
      <c r="C1530" t="str">
        <f>IF(Sales_Deals!I1521&lt;&gt;"",IF(AND(Sales_Deals!I1521&gt;DATE(2024,3,31),Sales_Deals!I1521&lt;=DATE(2024,9,30)),Sales_Deals!J1521,""),"")</f>
        <v/>
      </c>
    </row>
    <row r="1531" spans="1:3" x14ac:dyDescent="0.35">
      <c r="A1531">
        <v>1521</v>
      </c>
      <c r="B1531" t="str">
        <f>IF(Sales_Deals!I1522&lt;&gt;"",IF(AND(Sales_Deals!I1522&gt;DATE(2024,9,30),Sales_Deals!I1522&lt;=DATE(2025,3,31)),Sales_Deals!J1522,""),"")</f>
        <v/>
      </c>
      <c r="C1531" t="str">
        <f>IF(Sales_Deals!I1522&lt;&gt;"",IF(AND(Sales_Deals!I1522&gt;DATE(2024,3,31),Sales_Deals!I1522&lt;=DATE(2024,9,30)),Sales_Deals!J1522,""),"")</f>
        <v/>
      </c>
    </row>
    <row r="1532" spans="1:3" x14ac:dyDescent="0.35">
      <c r="A1532">
        <v>1522</v>
      </c>
      <c r="B1532" t="str">
        <f>IF(Sales_Deals!I1523&lt;&gt;"",IF(AND(Sales_Deals!I1523&gt;DATE(2024,9,30),Sales_Deals!I1523&lt;=DATE(2025,3,31)),Sales_Deals!J1523,""),"")</f>
        <v/>
      </c>
      <c r="C1532" t="str">
        <f>IF(Sales_Deals!I1523&lt;&gt;"",IF(AND(Sales_Deals!I1523&gt;DATE(2024,3,31),Sales_Deals!I1523&lt;=DATE(2024,9,30)),Sales_Deals!J1523,""),"")</f>
        <v/>
      </c>
    </row>
    <row r="1533" spans="1:3" x14ac:dyDescent="0.35">
      <c r="A1533">
        <v>1523</v>
      </c>
      <c r="B1533" t="str">
        <f>IF(Sales_Deals!I1524&lt;&gt;"",IF(AND(Sales_Deals!I1524&gt;DATE(2024,9,30),Sales_Deals!I1524&lt;=DATE(2025,3,31)),Sales_Deals!J1524,""),"")</f>
        <v/>
      </c>
      <c r="C1533" t="str">
        <f>IF(Sales_Deals!I1524&lt;&gt;"",IF(AND(Sales_Deals!I1524&gt;DATE(2024,3,31),Sales_Deals!I1524&lt;=DATE(2024,9,30)),Sales_Deals!J1524,""),"")</f>
        <v/>
      </c>
    </row>
    <row r="1534" spans="1:3" x14ac:dyDescent="0.35">
      <c r="A1534">
        <v>1524</v>
      </c>
      <c r="B1534" t="str">
        <f>IF(Sales_Deals!I1525&lt;&gt;"",IF(AND(Sales_Deals!I1525&gt;DATE(2024,9,30),Sales_Deals!I1525&lt;=DATE(2025,3,31)),Sales_Deals!J1525,""),"")</f>
        <v/>
      </c>
      <c r="C1534" t="str">
        <f>IF(Sales_Deals!I1525&lt;&gt;"",IF(AND(Sales_Deals!I1525&gt;DATE(2024,3,31),Sales_Deals!I1525&lt;=DATE(2024,9,30)),Sales_Deals!J1525,""),"")</f>
        <v/>
      </c>
    </row>
    <row r="1535" spans="1:3" x14ac:dyDescent="0.35">
      <c r="A1535">
        <v>1525</v>
      </c>
      <c r="B1535">
        <f>IF(Sales_Deals!I1526&lt;&gt;"",IF(AND(Sales_Deals!I1526&gt;DATE(2024,9,30),Sales_Deals!I1526&lt;=DATE(2025,3,31)),Sales_Deals!J1526,""),"")</f>
        <v>28</v>
      </c>
      <c r="C1535" t="str">
        <f>IF(Sales_Deals!I1526&lt;&gt;"",IF(AND(Sales_Deals!I1526&gt;DATE(2024,3,31),Sales_Deals!I1526&lt;=DATE(2024,9,30)),Sales_Deals!J1526,""),"")</f>
        <v/>
      </c>
    </row>
    <row r="1536" spans="1:3" x14ac:dyDescent="0.35">
      <c r="A1536">
        <v>1526</v>
      </c>
      <c r="B1536" t="str">
        <f>IF(Sales_Deals!I1527&lt;&gt;"",IF(AND(Sales_Deals!I1527&gt;DATE(2024,9,30),Sales_Deals!I1527&lt;=DATE(2025,3,31)),Sales_Deals!J1527,""),"")</f>
        <v/>
      </c>
      <c r="C1536" t="str">
        <f>IF(Sales_Deals!I1527&lt;&gt;"",IF(AND(Sales_Deals!I1527&gt;DATE(2024,3,31),Sales_Deals!I1527&lt;=DATE(2024,9,30)),Sales_Deals!J1527,""),"")</f>
        <v/>
      </c>
    </row>
    <row r="1537" spans="1:3" x14ac:dyDescent="0.35">
      <c r="A1537">
        <v>1527</v>
      </c>
      <c r="B1537" t="str">
        <f>IF(Sales_Deals!I1528&lt;&gt;"",IF(AND(Sales_Deals!I1528&gt;DATE(2024,9,30),Sales_Deals!I1528&lt;=DATE(2025,3,31)),Sales_Deals!J1528,""),"")</f>
        <v/>
      </c>
      <c r="C1537" t="str">
        <f>IF(Sales_Deals!I1528&lt;&gt;"",IF(AND(Sales_Deals!I1528&gt;DATE(2024,3,31),Sales_Deals!I1528&lt;=DATE(2024,9,30)),Sales_Deals!J1528,""),"")</f>
        <v/>
      </c>
    </row>
    <row r="1538" spans="1:3" x14ac:dyDescent="0.35">
      <c r="A1538">
        <v>1528</v>
      </c>
      <c r="B1538" t="str">
        <f>IF(Sales_Deals!I1529&lt;&gt;"",IF(AND(Sales_Deals!I1529&gt;DATE(2024,9,30),Sales_Deals!I1529&lt;=DATE(2025,3,31)),Sales_Deals!J1529,""),"")</f>
        <v/>
      </c>
      <c r="C1538" t="str">
        <f>IF(Sales_Deals!I1529&lt;&gt;"",IF(AND(Sales_Deals!I1529&gt;DATE(2024,3,31),Sales_Deals!I1529&lt;=DATE(2024,9,30)),Sales_Deals!J1529,""),"")</f>
        <v/>
      </c>
    </row>
    <row r="1539" spans="1:3" x14ac:dyDescent="0.35">
      <c r="A1539">
        <v>1529</v>
      </c>
      <c r="B1539" t="str">
        <f>IF(Sales_Deals!I1530&lt;&gt;"",IF(AND(Sales_Deals!I1530&gt;DATE(2024,9,30),Sales_Deals!I1530&lt;=DATE(2025,3,31)),Sales_Deals!J1530,""),"")</f>
        <v/>
      </c>
      <c r="C1539" t="str">
        <f>IF(Sales_Deals!I1530&lt;&gt;"",IF(AND(Sales_Deals!I1530&gt;DATE(2024,3,31),Sales_Deals!I1530&lt;=DATE(2024,9,30)),Sales_Deals!J1530,""),"")</f>
        <v/>
      </c>
    </row>
    <row r="1540" spans="1:3" x14ac:dyDescent="0.35">
      <c r="A1540">
        <v>1530</v>
      </c>
      <c r="B1540">
        <f>IF(Sales_Deals!I1531&lt;&gt;"",IF(AND(Sales_Deals!I1531&gt;DATE(2024,9,30),Sales_Deals!I1531&lt;=DATE(2025,3,31)),Sales_Deals!J1531,""),"")</f>
        <v>77</v>
      </c>
      <c r="C1540" t="str">
        <f>IF(Sales_Deals!I1531&lt;&gt;"",IF(AND(Sales_Deals!I1531&gt;DATE(2024,3,31),Sales_Deals!I1531&lt;=DATE(2024,9,30)),Sales_Deals!J1531,""),"")</f>
        <v/>
      </c>
    </row>
    <row r="1541" spans="1:3" x14ac:dyDescent="0.35">
      <c r="A1541">
        <v>1531</v>
      </c>
      <c r="B1541" t="str">
        <f>IF(Sales_Deals!I1532&lt;&gt;"",IF(AND(Sales_Deals!I1532&gt;DATE(2024,9,30),Sales_Deals!I1532&lt;=DATE(2025,3,31)),Sales_Deals!J1532,""),"")</f>
        <v/>
      </c>
      <c r="C1541" t="str">
        <f>IF(Sales_Deals!I1532&lt;&gt;"",IF(AND(Sales_Deals!I1532&gt;DATE(2024,3,31),Sales_Deals!I1532&lt;=DATE(2024,9,30)),Sales_Deals!J1532,""),"")</f>
        <v/>
      </c>
    </row>
    <row r="1542" spans="1:3" x14ac:dyDescent="0.35">
      <c r="A1542">
        <v>1532</v>
      </c>
      <c r="B1542" t="str">
        <f>IF(Sales_Deals!I1533&lt;&gt;"",IF(AND(Sales_Deals!I1533&gt;DATE(2024,9,30),Sales_Deals!I1533&lt;=DATE(2025,3,31)),Sales_Deals!J1533,""),"")</f>
        <v/>
      </c>
      <c r="C1542" t="str">
        <f>IF(Sales_Deals!I1533&lt;&gt;"",IF(AND(Sales_Deals!I1533&gt;DATE(2024,3,31),Sales_Deals!I1533&lt;=DATE(2024,9,30)),Sales_Deals!J1533,""),"")</f>
        <v/>
      </c>
    </row>
    <row r="1543" spans="1:3" x14ac:dyDescent="0.35">
      <c r="A1543">
        <v>1533</v>
      </c>
      <c r="B1543" t="str">
        <f>IF(Sales_Deals!I1534&lt;&gt;"",IF(AND(Sales_Deals!I1534&gt;DATE(2024,9,30),Sales_Deals!I1534&lt;=DATE(2025,3,31)),Sales_Deals!J1534,""),"")</f>
        <v/>
      </c>
      <c r="C1543" t="str">
        <f>IF(Sales_Deals!I1534&lt;&gt;"",IF(AND(Sales_Deals!I1534&gt;DATE(2024,3,31),Sales_Deals!I1534&lt;=DATE(2024,9,30)),Sales_Deals!J1534,""),"")</f>
        <v/>
      </c>
    </row>
    <row r="1544" spans="1:3" x14ac:dyDescent="0.35">
      <c r="A1544">
        <v>1534</v>
      </c>
      <c r="B1544" t="str">
        <f>IF(Sales_Deals!I1535&lt;&gt;"",IF(AND(Sales_Deals!I1535&gt;DATE(2024,9,30),Sales_Deals!I1535&lt;=DATE(2025,3,31)),Sales_Deals!J1535,""),"")</f>
        <v/>
      </c>
      <c r="C1544" t="str">
        <f>IF(Sales_Deals!I1535&lt;&gt;"",IF(AND(Sales_Deals!I1535&gt;DATE(2024,3,31),Sales_Deals!I1535&lt;=DATE(2024,9,30)),Sales_Deals!J1535,""),"")</f>
        <v/>
      </c>
    </row>
    <row r="1545" spans="1:3" x14ac:dyDescent="0.35">
      <c r="A1545">
        <v>1535</v>
      </c>
      <c r="B1545" t="str">
        <f>IF(Sales_Deals!I1536&lt;&gt;"",IF(AND(Sales_Deals!I1536&gt;DATE(2024,9,30),Sales_Deals!I1536&lt;=DATE(2025,3,31)),Sales_Deals!J1536,""),"")</f>
        <v/>
      </c>
      <c r="C1545" t="str">
        <f>IF(Sales_Deals!I1536&lt;&gt;"",IF(AND(Sales_Deals!I1536&gt;DATE(2024,3,31),Sales_Deals!I1536&lt;=DATE(2024,9,30)),Sales_Deals!J1536,""),"")</f>
        <v/>
      </c>
    </row>
    <row r="1546" spans="1:3" x14ac:dyDescent="0.35">
      <c r="A1546">
        <v>1536</v>
      </c>
      <c r="B1546" t="str">
        <f>IF(Sales_Deals!I1537&lt;&gt;"",IF(AND(Sales_Deals!I1537&gt;DATE(2024,9,30),Sales_Deals!I1537&lt;=DATE(2025,3,31)),Sales_Deals!J1537,""),"")</f>
        <v/>
      </c>
      <c r="C1546" t="str">
        <f>IF(Sales_Deals!I1537&lt;&gt;"",IF(AND(Sales_Deals!I1537&gt;DATE(2024,3,31),Sales_Deals!I1537&lt;=DATE(2024,9,30)),Sales_Deals!J1537,""),"")</f>
        <v/>
      </c>
    </row>
    <row r="1547" spans="1:3" x14ac:dyDescent="0.35">
      <c r="A1547">
        <v>1537</v>
      </c>
      <c r="B1547" t="str">
        <f>IF(Sales_Deals!I1538&lt;&gt;"",IF(AND(Sales_Deals!I1538&gt;DATE(2024,9,30),Sales_Deals!I1538&lt;=DATE(2025,3,31)),Sales_Deals!J1538,""),"")</f>
        <v/>
      </c>
      <c r="C1547" t="str">
        <f>IF(Sales_Deals!I1538&lt;&gt;"",IF(AND(Sales_Deals!I1538&gt;DATE(2024,3,31),Sales_Deals!I1538&lt;=DATE(2024,9,30)),Sales_Deals!J1538,""),"")</f>
        <v/>
      </c>
    </row>
    <row r="1548" spans="1:3" x14ac:dyDescent="0.35">
      <c r="A1548">
        <v>1538</v>
      </c>
      <c r="B1548" t="str">
        <f>IF(Sales_Deals!I1539&lt;&gt;"",IF(AND(Sales_Deals!I1539&gt;DATE(2024,9,30),Sales_Deals!I1539&lt;=DATE(2025,3,31)),Sales_Deals!J1539,""),"")</f>
        <v/>
      </c>
      <c r="C1548" t="str">
        <f>IF(Sales_Deals!I1539&lt;&gt;"",IF(AND(Sales_Deals!I1539&gt;DATE(2024,3,31),Sales_Deals!I1539&lt;=DATE(2024,9,30)),Sales_Deals!J1539,""),"")</f>
        <v/>
      </c>
    </row>
    <row r="1549" spans="1:3" x14ac:dyDescent="0.35">
      <c r="A1549">
        <v>1539</v>
      </c>
      <c r="B1549">
        <f>IF(Sales_Deals!I1540&lt;&gt;"",IF(AND(Sales_Deals!I1540&gt;DATE(2024,9,30),Sales_Deals!I1540&lt;=DATE(2025,3,31)),Sales_Deals!J1540,""),"")</f>
        <v>113</v>
      </c>
      <c r="C1549" t="str">
        <f>IF(Sales_Deals!I1540&lt;&gt;"",IF(AND(Sales_Deals!I1540&gt;DATE(2024,3,31),Sales_Deals!I1540&lt;=DATE(2024,9,30)),Sales_Deals!J1540,""),"")</f>
        <v/>
      </c>
    </row>
    <row r="1550" spans="1:3" x14ac:dyDescent="0.35">
      <c r="A1550">
        <v>1540</v>
      </c>
      <c r="B1550" t="str">
        <f>IF(Sales_Deals!I1541&lt;&gt;"",IF(AND(Sales_Deals!I1541&gt;DATE(2024,9,30),Sales_Deals!I1541&lt;=DATE(2025,3,31)),Sales_Deals!J1541,""),"")</f>
        <v/>
      </c>
      <c r="C1550" t="str">
        <f>IF(Sales_Deals!I1541&lt;&gt;"",IF(AND(Sales_Deals!I1541&gt;DATE(2024,3,31),Sales_Deals!I1541&lt;=DATE(2024,9,30)),Sales_Deals!J1541,""),"")</f>
        <v/>
      </c>
    </row>
    <row r="1551" spans="1:3" x14ac:dyDescent="0.35">
      <c r="A1551">
        <v>1541</v>
      </c>
      <c r="B1551" t="str">
        <f>IF(Sales_Deals!I1542&lt;&gt;"",IF(AND(Sales_Deals!I1542&gt;DATE(2024,9,30),Sales_Deals!I1542&lt;=DATE(2025,3,31)),Sales_Deals!J1542,""),"")</f>
        <v/>
      </c>
      <c r="C1551" t="str">
        <f>IF(Sales_Deals!I1542&lt;&gt;"",IF(AND(Sales_Deals!I1542&gt;DATE(2024,3,31),Sales_Deals!I1542&lt;=DATE(2024,9,30)),Sales_Deals!J1542,""),"")</f>
        <v/>
      </c>
    </row>
    <row r="1552" spans="1:3" x14ac:dyDescent="0.35">
      <c r="A1552">
        <v>1542</v>
      </c>
      <c r="B1552" t="str">
        <f>IF(Sales_Deals!I1543&lt;&gt;"",IF(AND(Sales_Deals!I1543&gt;DATE(2024,9,30),Sales_Deals!I1543&lt;=DATE(2025,3,31)),Sales_Deals!J1543,""),"")</f>
        <v/>
      </c>
      <c r="C1552" t="str">
        <f>IF(Sales_Deals!I1543&lt;&gt;"",IF(AND(Sales_Deals!I1543&gt;DATE(2024,3,31),Sales_Deals!I1543&lt;=DATE(2024,9,30)),Sales_Deals!J1543,""),"")</f>
        <v/>
      </c>
    </row>
    <row r="1553" spans="1:3" x14ac:dyDescent="0.35">
      <c r="A1553">
        <v>1543</v>
      </c>
      <c r="B1553" t="str">
        <f>IF(Sales_Deals!I1544&lt;&gt;"",IF(AND(Sales_Deals!I1544&gt;DATE(2024,9,30),Sales_Deals!I1544&lt;=DATE(2025,3,31)),Sales_Deals!J1544,""),"")</f>
        <v/>
      </c>
      <c r="C1553" t="str">
        <f>IF(Sales_Deals!I1544&lt;&gt;"",IF(AND(Sales_Deals!I1544&gt;DATE(2024,3,31),Sales_Deals!I1544&lt;=DATE(2024,9,30)),Sales_Deals!J1544,""),"")</f>
        <v/>
      </c>
    </row>
    <row r="1554" spans="1:3" x14ac:dyDescent="0.35">
      <c r="A1554">
        <v>1544</v>
      </c>
      <c r="B1554">
        <f>IF(Sales_Deals!I1545&lt;&gt;"",IF(AND(Sales_Deals!I1545&gt;DATE(2024,9,30),Sales_Deals!I1545&lt;=DATE(2025,3,31)),Sales_Deals!J1545,""),"")</f>
        <v>57</v>
      </c>
      <c r="C1554" t="str">
        <f>IF(Sales_Deals!I1545&lt;&gt;"",IF(AND(Sales_Deals!I1545&gt;DATE(2024,3,31),Sales_Deals!I1545&lt;=DATE(2024,9,30)),Sales_Deals!J1545,""),"")</f>
        <v/>
      </c>
    </row>
    <row r="1555" spans="1:3" x14ac:dyDescent="0.35">
      <c r="A1555">
        <v>1545</v>
      </c>
      <c r="B1555" t="str">
        <f>IF(Sales_Deals!I1546&lt;&gt;"",IF(AND(Sales_Deals!I1546&gt;DATE(2024,9,30),Sales_Deals!I1546&lt;=DATE(2025,3,31)),Sales_Deals!J1546,""),"")</f>
        <v/>
      </c>
      <c r="C1555">
        <f>IF(Sales_Deals!I1546&lt;&gt;"",IF(AND(Sales_Deals!I1546&gt;DATE(2024,3,31),Sales_Deals!I1546&lt;=DATE(2024,9,30)),Sales_Deals!J1546,""),"")</f>
        <v>82</v>
      </c>
    </row>
    <row r="1556" spans="1:3" x14ac:dyDescent="0.35">
      <c r="A1556">
        <v>1546</v>
      </c>
      <c r="B1556" t="str">
        <f>IF(Sales_Deals!I1547&lt;&gt;"",IF(AND(Sales_Deals!I1547&gt;DATE(2024,9,30),Sales_Deals!I1547&lt;=DATE(2025,3,31)),Sales_Deals!J1547,""),"")</f>
        <v/>
      </c>
      <c r="C1556" t="str">
        <f>IF(Sales_Deals!I1547&lt;&gt;"",IF(AND(Sales_Deals!I1547&gt;DATE(2024,3,31),Sales_Deals!I1547&lt;=DATE(2024,9,30)),Sales_Deals!J1547,""),"")</f>
        <v/>
      </c>
    </row>
    <row r="1557" spans="1:3" x14ac:dyDescent="0.35">
      <c r="A1557">
        <v>1547</v>
      </c>
      <c r="B1557" t="str">
        <f>IF(Sales_Deals!I1548&lt;&gt;"",IF(AND(Sales_Deals!I1548&gt;DATE(2024,9,30),Sales_Deals!I1548&lt;=DATE(2025,3,31)),Sales_Deals!J1548,""),"")</f>
        <v/>
      </c>
      <c r="C1557">
        <f>IF(Sales_Deals!I1548&lt;&gt;"",IF(AND(Sales_Deals!I1548&gt;DATE(2024,3,31),Sales_Deals!I1548&lt;=DATE(2024,9,30)),Sales_Deals!J1548,""),"")</f>
        <v>72</v>
      </c>
    </row>
    <row r="1558" spans="1:3" x14ac:dyDescent="0.35">
      <c r="A1558">
        <v>1548</v>
      </c>
      <c r="B1558" t="str">
        <f>IF(Sales_Deals!I1549&lt;&gt;"",IF(AND(Sales_Deals!I1549&gt;DATE(2024,9,30),Sales_Deals!I1549&lt;=DATE(2025,3,31)),Sales_Deals!J1549,""),"")</f>
        <v/>
      </c>
      <c r="C1558" t="str">
        <f>IF(Sales_Deals!I1549&lt;&gt;"",IF(AND(Sales_Deals!I1549&gt;DATE(2024,3,31),Sales_Deals!I1549&lt;=DATE(2024,9,30)),Sales_Deals!J1549,""),"")</f>
        <v/>
      </c>
    </row>
    <row r="1559" spans="1:3" x14ac:dyDescent="0.35">
      <c r="A1559">
        <v>1549</v>
      </c>
      <c r="B1559" t="str">
        <f>IF(Sales_Deals!I1550&lt;&gt;"",IF(AND(Sales_Deals!I1550&gt;DATE(2024,9,30),Sales_Deals!I1550&lt;=DATE(2025,3,31)),Sales_Deals!J1550,""),"")</f>
        <v/>
      </c>
      <c r="C1559" t="str">
        <f>IF(Sales_Deals!I1550&lt;&gt;"",IF(AND(Sales_Deals!I1550&gt;DATE(2024,3,31),Sales_Deals!I1550&lt;=DATE(2024,9,30)),Sales_Deals!J1550,""),"")</f>
        <v/>
      </c>
    </row>
    <row r="1560" spans="1:3" x14ac:dyDescent="0.35">
      <c r="A1560">
        <v>1550</v>
      </c>
      <c r="B1560" t="str">
        <f>IF(Sales_Deals!I1551&lt;&gt;"",IF(AND(Sales_Deals!I1551&gt;DATE(2024,9,30),Sales_Deals!I1551&lt;=DATE(2025,3,31)),Sales_Deals!J1551,""),"")</f>
        <v/>
      </c>
      <c r="C1560" t="str">
        <f>IF(Sales_Deals!I1551&lt;&gt;"",IF(AND(Sales_Deals!I1551&gt;DATE(2024,3,31),Sales_Deals!I1551&lt;=DATE(2024,9,30)),Sales_Deals!J1551,""),"")</f>
        <v/>
      </c>
    </row>
    <row r="1561" spans="1:3" x14ac:dyDescent="0.35">
      <c r="A1561">
        <v>1551</v>
      </c>
      <c r="B1561" t="str">
        <f>IF(Sales_Deals!I1552&lt;&gt;"",IF(AND(Sales_Deals!I1552&gt;DATE(2024,9,30),Sales_Deals!I1552&lt;=DATE(2025,3,31)),Sales_Deals!J1552,""),"")</f>
        <v/>
      </c>
      <c r="C1561" t="str">
        <f>IF(Sales_Deals!I1552&lt;&gt;"",IF(AND(Sales_Deals!I1552&gt;DATE(2024,3,31),Sales_Deals!I1552&lt;=DATE(2024,9,30)),Sales_Deals!J1552,""),"")</f>
        <v/>
      </c>
    </row>
    <row r="1562" spans="1:3" x14ac:dyDescent="0.35">
      <c r="A1562">
        <v>1552</v>
      </c>
      <c r="B1562" t="str">
        <f>IF(Sales_Deals!I1553&lt;&gt;"",IF(AND(Sales_Deals!I1553&gt;DATE(2024,9,30),Sales_Deals!I1553&lt;=DATE(2025,3,31)),Sales_Deals!J1553,""),"")</f>
        <v/>
      </c>
      <c r="C1562" t="str">
        <f>IF(Sales_Deals!I1553&lt;&gt;"",IF(AND(Sales_Deals!I1553&gt;DATE(2024,3,31),Sales_Deals!I1553&lt;=DATE(2024,9,30)),Sales_Deals!J1553,""),"")</f>
        <v/>
      </c>
    </row>
    <row r="1563" spans="1:3" x14ac:dyDescent="0.35">
      <c r="A1563">
        <v>1553</v>
      </c>
      <c r="B1563" t="str">
        <f>IF(Sales_Deals!I1554&lt;&gt;"",IF(AND(Sales_Deals!I1554&gt;DATE(2024,9,30),Sales_Deals!I1554&lt;=DATE(2025,3,31)),Sales_Deals!J1554,""),"")</f>
        <v/>
      </c>
      <c r="C1563" t="str">
        <f>IF(Sales_Deals!I1554&lt;&gt;"",IF(AND(Sales_Deals!I1554&gt;DATE(2024,3,31),Sales_Deals!I1554&lt;=DATE(2024,9,30)),Sales_Deals!J1554,""),"")</f>
        <v/>
      </c>
    </row>
    <row r="1564" spans="1:3" x14ac:dyDescent="0.35">
      <c r="A1564">
        <v>1554</v>
      </c>
      <c r="B1564" t="str">
        <f>IF(Sales_Deals!I1555&lt;&gt;"",IF(AND(Sales_Deals!I1555&gt;DATE(2024,9,30),Sales_Deals!I1555&lt;=DATE(2025,3,31)),Sales_Deals!J1555,""),"")</f>
        <v/>
      </c>
      <c r="C1564" t="str">
        <f>IF(Sales_Deals!I1555&lt;&gt;"",IF(AND(Sales_Deals!I1555&gt;DATE(2024,3,31),Sales_Deals!I1555&lt;=DATE(2024,9,30)),Sales_Deals!J1555,""),"")</f>
        <v/>
      </c>
    </row>
    <row r="1565" spans="1:3" x14ac:dyDescent="0.35">
      <c r="A1565">
        <v>1555</v>
      </c>
      <c r="B1565" t="str">
        <f>IF(Sales_Deals!I1556&lt;&gt;"",IF(AND(Sales_Deals!I1556&gt;DATE(2024,9,30),Sales_Deals!I1556&lt;=DATE(2025,3,31)),Sales_Deals!J1556,""),"")</f>
        <v/>
      </c>
      <c r="C1565" t="str">
        <f>IF(Sales_Deals!I1556&lt;&gt;"",IF(AND(Sales_Deals!I1556&gt;DATE(2024,3,31),Sales_Deals!I1556&lt;=DATE(2024,9,30)),Sales_Deals!J1556,""),"")</f>
        <v/>
      </c>
    </row>
    <row r="1566" spans="1:3" x14ac:dyDescent="0.35">
      <c r="A1566">
        <v>1556</v>
      </c>
      <c r="B1566">
        <f>IF(Sales_Deals!I1557&lt;&gt;"",IF(AND(Sales_Deals!I1557&gt;DATE(2024,9,30),Sales_Deals!I1557&lt;=DATE(2025,3,31)),Sales_Deals!J1557,""),"")</f>
        <v>120</v>
      </c>
      <c r="C1566" t="str">
        <f>IF(Sales_Deals!I1557&lt;&gt;"",IF(AND(Sales_Deals!I1557&gt;DATE(2024,3,31),Sales_Deals!I1557&lt;=DATE(2024,9,30)),Sales_Deals!J1557,""),"")</f>
        <v/>
      </c>
    </row>
    <row r="1567" spans="1:3" x14ac:dyDescent="0.35">
      <c r="A1567">
        <v>1557</v>
      </c>
      <c r="B1567" t="str">
        <f>IF(Sales_Deals!I1558&lt;&gt;"",IF(AND(Sales_Deals!I1558&gt;DATE(2024,9,30),Sales_Deals!I1558&lt;=DATE(2025,3,31)),Sales_Deals!J1558,""),"")</f>
        <v/>
      </c>
      <c r="C1567" t="str">
        <f>IF(Sales_Deals!I1558&lt;&gt;"",IF(AND(Sales_Deals!I1558&gt;DATE(2024,3,31),Sales_Deals!I1558&lt;=DATE(2024,9,30)),Sales_Deals!J1558,""),"")</f>
        <v/>
      </c>
    </row>
    <row r="1568" spans="1:3" x14ac:dyDescent="0.35">
      <c r="A1568">
        <v>1558</v>
      </c>
      <c r="B1568" t="str">
        <f>IF(Sales_Deals!I1559&lt;&gt;"",IF(AND(Sales_Deals!I1559&gt;DATE(2024,9,30),Sales_Deals!I1559&lt;=DATE(2025,3,31)),Sales_Deals!J1559,""),"")</f>
        <v/>
      </c>
      <c r="C1568" t="str">
        <f>IF(Sales_Deals!I1559&lt;&gt;"",IF(AND(Sales_Deals!I1559&gt;DATE(2024,3,31),Sales_Deals!I1559&lt;=DATE(2024,9,30)),Sales_Deals!J1559,""),"")</f>
        <v/>
      </c>
    </row>
    <row r="1569" spans="1:3" x14ac:dyDescent="0.35">
      <c r="A1569">
        <v>1559</v>
      </c>
      <c r="B1569" t="str">
        <f>IF(Sales_Deals!I1560&lt;&gt;"",IF(AND(Sales_Deals!I1560&gt;DATE(2024,9,30),Sales_Deals!I1560&lt;=DATE(2025,3,31)),Sales_Deals!J1560,""),"")</f>
        <v/>
      </c>
      <c r="C1569" t="str">
        <f>IF(Sales_Deals!I1560&lt;&gt;"",IF(AND(Sales_Deals!I1560&gt;DATE(2024,3,31),Sales_Deals!I1560&lt;=DATE(2024,9,30)),Sales_Deals!J1560,""),"")</f>
        <v/>
      </c>
    </row>
    <row r="1570" spans="1:3" x14ac:dyDescent="0.35">
      <c r="A1570">
        <v>1560</v>
      </c>
      <c r="B1570" t="str">
        <f>IF(Sales_Deals!I1561&lt;&gt;"",IF(AND(Sales_Deals!I1561&gt;DATE(2024,9,30),Sales_Deals!I1561&lt;=DATE(2025,3,31)),Sales_Deals!J1561,""),"")</f>
        <v/>
      </c>
      <c r="C1570" t="str">
        <f>IF(Sales_Deals!I1561&lt;&gt;"",IF(AND(Sales_Deals!I1561&gt;DATE(2024,3,31),Sales_Deals!I1561&lt;=DATE(2024,9,30)),Sales_Deals!J1561,""),"")</f>
        <v/>
      </c>
    </row>
    <row r="1571" spans="1:3" x14ac:dyDescent="0.35">
      <c r="A1571">
        <v>1561</v>
      </c>
      <c r="B1571" t="str">
        <f>IF(Sales_Deals!I1562&lt;&gt;"",IF(AND(Sales_Deals!I1562&gt;DATE(2024,9,30),Sales_Deals!I1562&lt;=DATE(2025,3,31)),Sales_Deals!J1562,""),"")</f>
        <v/>
      </c>
      <c r="C1571" t="str">
        <f>IF(Sales_Deals!I1562&lt;&gt;"",IF(AND(Sales_Deals!I1562&gt;DATE(2024,3,31),Sales_Deals!I1562&lt;=DATE(2024,9,30)),Sales_Deals!J1562,""),"")</f>
        <v/>
      </c>
    </row>
    <row r="1572" spans="1:3" x14ac:dyDescent="0.35">
      <c r="A1572">
        <v>1562</v>
      </c>
      <c r="B1572" t="str">
        <f>IF(Sales_Deals!I1563&lt;&gt;"",IF(AND(Sales_Deals!I1563&gt;DATE(2024,9,30),Sales_Deals!I1563&lt;=DATE(2025,3,31)),Sales_Deals!J1563,""),"")</f>
        <v/>
      </c>
      <c r="C1572" t="str">
        <f>IF(Sales_Deals!I1563&lt;&gt;"",IF(AND(Sales_Deals!I1563&gt;DATE(2024,3,31),Sales_Deals!I1563&lt;=DATE(2024,9,30)),Sales_Deals!J1563,""),"")</f>
        <v/>
      </c>
    </row>
    <row r="1573" spans="1:3" x14ac:dyDescent="0.35">
      <c r="A1573">
        <v>1563</v>
      </c>
      <c r="B1573" t="str">
        <f>IF(Sales_Deals!I1564&lt;&gt;"",IF(AND(Sales_Deals!I1564&gt;DATE(2024,9,30),Sales_Deals!I1564&lt;=DATE(2025,3,31)),Sales_Deals!J1564,""),"")</f>
        <v/>
      </c>
      <c r="C1573" t="str">
        <f>IF(Sales_Deals!I1564&lt;&gt;"",IF(AND(Sales_Deals!I1564&gt;DATE(2024,3,31),Sales_Deals!I1564&lt;=DATE(2024,9,30)),Sales_Deals!J1564,""),"")</f>
        <v/>
      </c>
    </row>
    <row r="1574" spans="1:3" x14ac:dyDescent="0.35">
      <c r="A1574">
        <v>1564</v>
      </c>
      <c r="B1574" t="str">
        <f>IF(Sales_Deals!I1565&lt;&gt;"",IF(AND(Sales_Deals!I1565&gt;DATE(2024,9,30),Sales_Deals!I1565&lt;=DATE(2025,3,31)),Sales_Deals!J1565,""),"")</f>
        <v/>
      </c>
      <c r="C1574" t="str">
        <f>IF(Sales_Deals!I1565&lt;&gt;"",IF(AND(Sales_Deals!I1565&gt;DATE(2024,3,31),Sales_Deals!I1565&lt;=DATE(2024,9,30)),Sales_Deals!J1565,""),"")</f>
        <v/>
      </c>
    </row>
    <row r="1575" spans="1:3" x14ac:dyDescent="0.35">
      <c r="A1575">
        <v>1565</v>
      </c>
      <c r="B1575" t="str">
        <f>IF(Sales_Deals!I1566&lt;&gt;"",IF(AND(Sales_Deals!I1566&gt;DATE(2024,9,30),Sales_Deals!I1566&lt;=DATE(2025,3,31)),Sales_Deals!J1566,""),"")</f>
        <v/>
      </c>
      <c r="C1575" t="str">
        <f>IF(Sales_Deals!I1566&lt;&gt;"",IF(AND(Sales_Deals!I1566&gt;DATE(2024,3,31),Sales_Deals!I1566&lt;=DATE(2024,9,30)),Sales_Deals!J1566,""),"")</f>
        <v/>
      </c>
    </row>
    <row r="1576" spans="1:3" x14ac:dyDescent="0.35">
      <c r="A1576">
        <v>1566</v>
      </c>
      <c r="B1576" t="str">
        <f>IF(Sales_Deals!I1567&lt;&gt;"",IF(AND(Sales_Deals!I1567&gt;DATE(2024,9,30),Sales_Deals!I1567&lt;=DATE(2025,3,31)),Sales_Deals!J1567,""),"")</f>
        <v/>
      </c>
      <c r="C1576" t="str">
        <f>IF(Sales_Deals!I1567&lt;&gt;"",IF(AND(Sales_Deals!I1567&gt;DATE(2024,3,31),Sales_Deals!I1567&lt;=DATE(2024,9,30)),Sales_Deals!J1567,""),"")</f>
        <v/>
      </c>
    </row>
    <row r="1577" spans="1:3" x14ac:dyDescent="0.35">
      <c r="A1577">
        <v>1567</v>
      </c>
      <c r="B1577" t="str">
        <f>IF(Sales_Deals!I1568&lt;&gt;"",IF(AND(Sales_Deals!I1568&gt;DATE(2024,9,30),Sales_Deals!I1568&lt;=DATE(2025,3,31)),Sales_Deals!J1568,""),"")</f>
        <v/>
      </c>
      <c r="C1577" t="str">
        <f>IF(Sales_Deals!I1568&lt;&gt;"",IF(AND(Sales_Deals!I1568&gt;DATE(2024,3,31),Sales_Deals!I1568&lt;=DATE(2024,9,30)),Sales_Deals!J1568,""),"")</f>
        <v/>
      </c>
    </row>
    <row r="1578" spans="1:3" x14ac:dyDescent="0.35">
      <c r="A1578">
        <v>1568</v>
      </c>
      <c r="B1578" t="str">
        <f>IF(Sales_Deals!I1569&lt;&gt;"",IF(AND(Sales_Deals!I1569&gt;DATE(2024,9,30),Sales_Deals!I1569&lt;=DATE(2025,3,31)),Sales_Deals!J1569,""),"")</f>
        <v/>
      </c>
      <c r="C1578" t="str">
        <f>IF(Sales_Deals!I1569&lt;&gt;"",IF(AND(Sales_Deals!I1569&gt;DATE(2024,3,31),Sales_Deals!I1569&lt;=DATE(2024,9,30)),Sales_Deals!J1569,""),"")</f>
        <v/>
      </c>
    </row>
    <row r="1579" spans="1:3" x14ac:dyDescent="0.35">
      <c r="A1579">
        <v>1569</v>
      </c>
      <c r="B1579" t="str">
        <f>IF(Sales_Deals!I1570&lt;&gt;"",IF(AND(Sales_Deals!I1570&gt;DATE(2024,9,30),Sales_Deals!I1570&lt;=DATE(2025,3,31)),Sales_Deals!J1570,""),"")</f>
        <v/>
      </c>
      <c r="C1579" t="str">
        <f>IF(Sales_Deals!I1570&lt;&gt;"",IF(AND(Sales_Deals!I1570&gt;DATE(2024,3,31),Sales_Deals!I1570&lt;=DATE(2024,9,30)),Sales_Deals!J1570,""),"")</f>
        <v/>
      </c>
    </row>
    <row r="1580" spans="1:3" x14ac:dyDescent="0.35">
      <c r="A1580">
        <v>1570</v>
      </c>
      <c r="B1580" t="str">
        <f>IF(Sales_Deals!I1571&lt;&gt;"",IF(AND(Sales_Deals!I1571&gt;DATE(2024,9,30),Sales_Deals!I1571&lt;=DATE(2025,3,31)),Sales_Deals!J1571,""),"")</f>
        <v/>
      </c>
      <c r="C1580" t="str">
        <f>IF(Sales_Deals!I1571&lt;&gt;"",IF(AND(Sales_Deals!I1571&gt;DATE(2024,3,31),Sales_Deals!I1571&lt;=DATE(2024,9,30)),Sales_Deals!J1571,""),"")</f>
        <v/>
      </c>
    </row>
    <row r="1581" spans="1:3" x14ac:dyDescent="0.35">
      <c r="A1581">
        <v>1571</v>
      </c>
      <c r="B1581" t="str">
        <f>IF(Sales_Deals!I1572&lt;&gt;"",IF(AND(Sales_Deals!I1572&gt;DATE(2024,9,30),Sales_Deals!I1572&lt;=DATE(2025,3,31)),Sales_Deals!J1572,""),"")</f>
        <v/>
      </c>
      <c r="C1581" t="str">
        <f>IF(Sales_Deals!I1572&lt;&gt;"",IF(AND(Sales_Deals!I1572&gt;DATE(2024,3,31),Sales_Deals!I1572&lt;=DATE(2024,9,30)),Sales_Deals!J1572,""),"")</f>
        <v/>
      </c>
    </row>
    <row r="1582" spans="1:3" x14ac:dyDescent="0.35">
      <c r="A1582">
        <v>1572</v>
      </c>
      <c r="B1582" t="str">
        <f>IF(Sales_Deals!I1573&lt;&gt;"",IF(AND(Sales_Deals!I1573&gt;DATE(2024,9,30),Sales_Deals!I1573&lt;=DATE(2025,3,31)),Sales_Deals!J1573,""),"")</f>
        <v/>
      </c>
      <c r="C1582" t="str">
        <f>IF(Sales_Deals!I1573&lt;&gt;"",IF(AND(Sales_Deals!I1573&gt;DATE(2024,3,31),Sales_Deals!I1573&lt;=DATE(2024,9,30)),Sales_Deals!J1573,""),"")</f>
        <v/>
      </c>
    </row>
    <row r="1583" spans="1:3" x14ac:dyDescent="0.35">
      <c r="A1583">
        <v>1573</v>
      </c>
      <c r="B1583" t="str">
        <f>IF(Sales_Deals!I1574&lt;&gt;"",IF(AND(Sales_Deals!I1574&gt;DATE(2024,9,30),Sales_Deals!I1574&lt;=DATE(2025,3,31)),Sales_Deals!J1574,""),"")</f>
        <v/>
      </c>
      <c r="C1583" t="str">
        <f>IF(Sales_Deals!I1574&lt;&gt;"",IF(AND(Sales_Deals!I1574&gt;DATE(2024,3,31),Sales_Deals!I1574&lt;=DATE(2024,9,30)),Sales_Deals!J1574,""),"")</f>
        <v/>
      </c>
    </row>
    <row r="1584" spans="1:3" x14ac:dyDescent="0.35">
      <c r="A1584">
        <v>1574</v>
      </c>
      <c r="B1584" t="str">
        <f>IF(Sales_Deals!I1575&lt;&gt;"",IF(AND(Sales_Deals!I1575&gt;DATE(2024,9,30),Sales_Deals!I1575&lt;=DATE(2025,3,31)),Sales_Deals!J1575,""),"")</f>
        <v/>
      </c>
      <c r="C1584" t="str">
        <f>IF(Sales_Deals!I1575&lt;&gt;"",IF(AND(Sales_Deals!I1575&gt;DATE(2024,3,31),Sales_Deals!I1575&lt;=DATE(2024,9,30)),Sales_Deals!J1575,""),"")</f>
        <v/>
      </c>
    </row>
    <row r="1585" spans="1:3" x14ac:dyDescent="0.35">
      <c r="A1585">
        <v>1575</v>
      </c>
      <c r="B1585" t="str">
        <f>IF(Sales_Deals!I1576&lt;&gt;"",IF(AND(Sales_Deals!I1576&gt;DATE(2024,9,30),Sales_Deals!I1576&lt;=DATE(2025,3,31)),Sales_Deals!J1576,""),"")</f>
        <v/>
      </c>
      <c r="C1585" t="str">
        <f>IF(Sales_Deals!I1576&lt;&gt;"",IF(AND(Sales_Deals!I1576&gt;DATE(2024,3,31),Sales_Deals!I1576&lt;=DATE(2024,9,30)),Sales_Deals!J1576,""),"")</f>
        <v/>
      </c>
    </row>
    <row r="1586" spans="1:3" x14ac:dyDescent="0.35">
      <c r="A1586">
        <v>1576</v>
      </c>
      <c r="B1586">
        <f>IF(Sales_Deals!I1577&lt;&gt;"",IF(AND(Sales_Deals!I1577&gt;DATE(2024,9,30),Sales_Deals!I1577&lt;=DATE(2025,3,31)),Sales_Deals!J1577,""),"")</f>
        <v>117</v>
      </c>
      <c r="C1586" t="str">
        <f>IF(Sales_Deals!I1577&lt;&gt;"",IF(AND(Sales_Deals!I1577&gt;DATE(2024,3,31),Sales_Deals!I1577&lt;=DATE(2024,9,30)),Sales_Deals!J1577,""),"")</f>
        <v/>
      </c>
    </row>
    <row r="1587" spans="1:3" x14ac:dyDescent="0.35">
      <c r="A1587">
        <v>1577</v>
      </c>
      <c r="B1587" t="str">
        <f>IF(Sales_Deals!I1578&lt;&gt;"",IF(AND(Sales_Deals!I1578&gt;DATE(2024,9,30),Sales_Deals!I1578&lt;=DATE(2025,3,31)),Sales_Deals!J1578,""),"")</f>
        <v/>
      </c>
      <c r="C1587" t="str">
        <f>IF(Sales_Deals!I1578&lt;&gt;"",IF(AND(Sales_Deals!I1578&gt;DATE(2024,3,31),Sales_Deals!I1578&lt;=DATE(2024,9,30)),Sales_Deals!J1578,""),"")</f>
        <v/>
      </c>
    </row>
    <row r="1588" spans="1:3" x14ac:dyDescent="0.35">
      <c r="A1588">
        <v>1578</v>
      </c>
      <c r="B1588" t="str">
        <f>IF(Sales_Deals!I1579&lt;&gt;"",IF(AND(Sales_Deals!I1579&gt;DATE(2024,9,30),Sales_Deals!I1579&lt;=DATE(2025,3,31)),Sales_Deals!J1579,""),"")</f>
        <v/>
      </c>
      <c r="C1588" t="str">
        <f>IF(Sales_Deals!I1579&lt;&gt;"",IF(AND(Sales_Deals!I1579&gt;DATE(2024,3,31),Sales_Deals!I1579&lt;=DATE(2024,9,30)),Sales_Deals!J1579,""),"")</f>
        <v/>
      </c>
    </row>
    <row r="1589" spans="1:3" x14ac:dyDescent="0.35">
      <c r="A1589">
        <v>1579</v>
      </c>
      <c r="B1589" t="str">
        <f>IF(Sales_Deals!I1580&lt;&gt;"",IF(AND(Sales_Deals!I1580&gt;DATE(2024,9,30),Sales_Deals!I1580&lt;=DATE(2025,3,31)),Sales_Deals!J1580,""),"")</f>
        <v/>
      </c>
      <c r="C1589" t="str">
        <f>IF(Sales_Deals!I1580&lt;&gt;"",IF(AND(Sales_Deals!I1580&gt;DATE(2024,3,31),Sales_Deals!I1580&lt;=DATE(2024,9,30)),Sales_Deals!J1580,""),"")</f>
        <v/>
      </c>
    </row>
    <row r="1590" spans="1:3" x14ac:dyDescent="0.35">
      <c r="A1590">
        <v>1580</v>
      </c>
      <c r="B1590" t="str">
        <f>IF(Sales_Deals!I1581&lt;&gt;"",IF(AND(Sales_Deals!I1581&gt;DATE(2024,9,30),Sales_Deals!I1581&lt;=DATE(2025,3,31)),Sales_Deals!J1581,""),"")</f>
        <v/>
      </c>
      <c r="C1590" t="str">
        <f>IF(Sales_Deals!I1581&lt;&gt;"",IF(AND(Sales_Deals!I1581&gt;DATE(2024,3,31),Sales_Deals!I1581&lt;=DATE(2024,9,30)),Sales_Deals!J1581,""),"")</f>
        <v/>
      </c>
    </row>
    <row r="1591" spans="1:3" x14ac:dyDescent="0.35">
      <c r="A1591">
        <v>1581</v>
      </c>
      <c r="B1591" t="str">
        <f>IF(Sales_Deals!I1582&lt;&gt;"",IF(AND(Sales_Deals!I1582&gt;DATE(2024,9,30),Sales_Deals!I1582&lt;=DATE(2025,3,31)),Sales_Deals!J1582,""),"")</f>
        <v/>
      </c>
      <c r="C1591" t="str">
        <f>IF(Sales_Deals!I1582&lt;&gt;"",IF(AND(Sales_Deals!I1582&gt;DATE(2024,3,31),Sales_Deals!I1582&lt;=DATE(2024,9,30)),Sales_Deals!J1582,""),"")</f>
        <v/>
      </c>
    </row>
    <row r="1592" spans="1:3" x14ac:dyDescent="0.35">
      <c r="A1592">
        <v>1582</v>
      </c>
      <c r="B1592" t="str">
        <f>IF(Sales_Deals!I1583&lt;&gt;"",IF(AND(Sales_Deals!I1583&gt;DATE(2024,9,30),Sales_Deals!I1583&lt;=DATE(2025,3,31)),Sales_Deals!J1583,""),"")</f>
        <v/>
      </c>
      <c r="C1592" t="str">
        <f>IF(Sales_Deals!I1583&lt;&gt;"",IF(AND(Sales_Deals!I1583&gt;DATE(2024,3,31),Sales_Deals!I1583&lt;=DATE(2024,9,30)),Sales_Deals!J1583,""),"")</f>
        <v/>
      </c>
    </row>
    <row r="1593" spans="1:3" x14ac:dyDescent="0.35">
      <c r="A1593">
        <v>1583</v>
      </c>
      <c r="B1593" t="str">
        <f>IF(Sales_Deals!I1584&lt;&gt;"",IF(AND(Sales_Deals!I1584&gt;DATE(2024,9,30),Sales_Deals!I1584&lt;=DATE(2025,3,31)),Sales_Deals!J1584,""),"")</f>
        <v/>
      </c>
      <c r="C1593" t="str">
        <f>IF(Sales_Deals!I1584&lt;&gt;"",IF(AND(Sales_Deals!I1584&gt;DATE(2024,3,31),Sales_Deals!I1584&lt;=DATE(2024,9,30)),Sales_Deals!J1584,""),"")</f>
        <v/>
      </c>
    </row>
    <row r="1594" spans="1:3" x14ac:dyDescent="0.35">
      <c r="A1594">
        <v>1584</v>
      </c>
      <c r="B1594" t="str">
        <f>IF(Sales_Deals!I1585&lt;&gt;"",IF(AND(Sales_Deals!I1585&gt;DATE(2024,9,30),Sales_Deals!I1585&lt;=DATE(2025,3,31)),Sales_Deals!J1585,""),"")</f>
        <v/>
      </c>
      <c r="C1594" t="str">
        <f>IF(Sales_Deals!I1585&lt;&gt;"",IF(AND(Sales_Deals!I1585&gt;DATE(2024,3,31),Sales_Deals!I1585&lt;=DATE(2024,9,30)),Sales_Deals!J1585,""),"")</f>
        <v/>
      </c>
    </row>
    <row r="1595" spans="1:3" x14ac:dyDescent="0.35">
      <c r="A1595">
        <v>1585</v>
      </c>
      <c r="B1595" t="str">
        <f>IF(Sales_Deals!I1586&lt;&gt;"",IF(AND(Sales_Deals!I1586&gt;DATE(2024,9,30),Sales_Deals!I1586&lt;=DATE(2025,3,31)),Sales_Deals!J1586,""),"")</f>
        <v/>
      </c>
      <c r="C1595" t="str">
        <f>IF(Sales_Deals!I1586&lt;&gt;"",IF(AND(Sales_Deals!I1586&gt;DATE(2024,3,31),Sales_Deals!I1586&lt;=DATE(2024,9,30)),Sales_Deals!J1586,""),"")</f>
        <v/>
      </c>
    </row>
    <row r="1596" spans="1:3" x14ac:dyDescent="0.35">
      <c r="A1596">
        <v>1586</v>
      </c>
      <c r="B1596" t="str">
        <f>IF(Sales_Deals!I1587&lt;&gt;"",IF(AND(Sales_Deals!I1587&gt;DATE(2024,9,30),Sales_Deals!I1587&lt;=DATE(2025,3,31)),Sales_Deals!J1587,""),"")</f>
        <v/>
      </c>
      <c r="C1596">
        <f>IF(Sales_Deals!I1587&lt;&gt;"",IF(AND(Sales_Deals!I1587&gt;DATE(2024,3,31),Sales_Deals!I1587&lt;=DATE(2024,9,30)),Sales_Deals!J1587,""),"")</f>
        <v>164</v>
      </c>
    </row>
    <row r="1597" spans="1:3" x14ac:dyDescent="0.35">
      <c r="A1597">
        <v>1587</v>
      </c>
      <c r="B1597" t="str">
        <f>IF(Sales_Deals!I1588&lt;&gt;"",IF(AND(Sales_Deals!I1588&gt;DATE(2024,9,30),Sales_Deals!I1588&lt;=DATE(2025,3,31)),Sales_Deals!J1588,""),"")</f>
        <v/>
      </c>
      <c r="C1597" t="str">
        <f>IF(Sales_Deals!I1588&lt;&gt;"",IF(AND(Sales_Deals!I1588&gt;DATE(2024,3,31),Sales_Deals!I1588&lt;=DATE(2024,9,30)),Sales_Deals!J1588,""),"")</f>
        <v/>
      </c>
    </row>
    <row r="1598" spans="1:3" x14ac:dyDescent="0.35">
      <c r="A1598">
        <v>1588</v>
      </c>
      <c r="B1598" t="str">
        <f>IF(Sales_Deals!I1589&lt;&gt;"",IF(AND(Sales_Deals!I1589&gt;DATE(2024,9,30),Sales_Deals!I1589&lt;=DATE(2025,3,31)),Sales_Deals!J1589,""),"")</f>
        <v/>
      </c>
      <c r="C1598" t="str">
        <f>IF(Sales_Deals!I1589&lt;&gt;"",IF(AND(Sales_Deals!I1589&gt;DATE(2024,3,31),Sales_Deals!I1589&lt;=DATE(2024,9,30)),Sales_Deals!J1589,""),"")</f>
        <v/>
      </c>
    </row>
    <row r="1599" spans="1:3" x14ac:dyDescent="0.35">
      <c r="A1599">
        <v>1589</v>
      </c>
      <c r="B1599" t="str">
        <f>IF(Sales_Deals!I1590&lt;&gt;"",IF(AND(Sales_Deals!I1590&gt;DATE(2024,9,30),Sales_Deals!I1590&lt;=DATE(2025,3,31)),Sales_Deals!J1590,""),"")</f>
        <v/>
      </c>
      <c r="C1599" t="str">
        <f>IF(Sales_Deals!I1590&lt;&gt;"",IF(AND(Sales_Deals!I1590&gt;DATE(2024,3,31),Sales_Deals!I1590&lt;=DATE(2024,9,30)),Sales_Deals!J1590,""),"")</f>
        <v/>
      </c>
    </row>
    <row r="1600" spans="1:3" x14ac:dyDescent="0.35">
      <c r="A1600">
        <v>1590</v>
      </c>
      <c r="B1600" t="str">
        <f>IF(Sales_Deals!I1591&lt;&gt;"",IF(AND(Sales_Deals!I1591&gt;DATE(2024,9,30),Sales_Deals!I1591&lt;=DATE(2025,3,31)),Sales_Deals!J1591,""),"")</f>
        <v/>
      </c>
      <c r="C1600" t="str">
        <f>IF(Sales_Deals!I1591&lt;&gt;"",IF(AND(Sales_Deals!I1591&gt;DATE(2024,3,31),Sales_Deals!I1591&lt;=DATE(2024,9,30)),Sales_Deals!J1591,""),"")</f>
        <v/>
      </c>
    </row>
    <row r="1601" spans="1:3" x14ac:dyDescent="0.35">
      <c r="A1601">
        <v>1591</v>
      </c>
      <c r="B1601" t="str">
        <f>IF(Sales_Deals!I1592&lt;&gt;"",IF(AND(Sales_Deals!I1592&gt;DATE(2024,9,30),Sales_Deals!I1592&lt;=DATE(2025,3,31)),Sales_Deals!J1592,""),"")</f>
        <v/>
      </c>
      <c r="C1601" t="str">
        <f>IF(Sales_Deals!I1592&lt;&gt;"",IF(AND(Sales_Deals!I1592&gt;DATE(2024,3,31),Sales_Deals!I1592&lt;=DATE(2024,9,30)),Sales_Deals!J1592,""),"")</f>
        <v/>
      </c>
    </row>
    <row r="1602" spans="1:3" x14ac:dyDescent="0.35">
      <c r="A1602">
        <v>1592</v>
      </c>
      <c r="B1602" t="str">
        <f>IF(Sales_Deals!I1593&lt;&gt;"",IF(AND(Sales_Deals!I1593&gt;DATE(2024,9,30),Sales_Deals!I1593&lt;=DATE(2025,3,31)),Sales_Deals!J1593,""),"")</f>
        <v/>
      </c>
      <c r="C1602" t="str">
        <f>IF(Sales_Deals!I1593&lt;&gt;"",IF(AND(Sales_Deals!I1593&gt;DATE(2024,3,31),Sales_Deals!I1593&lt;=DATE(2024,9,30)),Sales_Deals!J1593,""),"")</f>
        <v/>
      </c>
    </row>
    <row r="1603" spans="1:3" x14ac:dyDescent="0.35">
      <c r="A1603">
        <v>1593</v>
      </c>
      <c r="B1603" t="str">
        <f>IF(Sales_Deals!I1594&lt;&gt;"",IF(AND(Sales_Deals!I1594&gt;DATE(2024,9,30),Sales_Deals!I1594&lt;=DATE(2025,3,31)),Sales_Deals!J1594,""),"")</f>
        <v/>
      </c>
      <c r="C1603" t="str">
        <f>IF(Sales_Deals!I1594&lt;&gt;"",IF(AND(Sales_Deals!I1594&gt;DATE(2024,3,31),Sales_Deals!I1594&lt;=DATE(2024,9,30)),Sales_Deals!J1594,""),"")</f>
        <v/>
      </c>
    </row>
    <row r="1604" spans="1:3" x14ac:dyDescent="0.35">
      <c r="A1604">
        <v>1594</v>
      </c>
      <c r="B1604">
        <f>IF(Sales_Deals!I1595&lt;&gt;"",IF(AND(Sales_Deals!I1595&gt;DATE(2024,9,30),Sales_Deals!I1595&lt;=DATE(2025,3,31)),Sales_Deals!J1595,""),"")</f>
        <v>47</v>
      </c>
      <c r="C1604" t="str">
        <f>IF(Sales_Deals!I1595&lt;&gt;"",IF(AND(Sales_Deals!I1595&gt;DATE(2024,3,31),Sales_Deals!I1595&lt;=DATE(2024,9,30)),Sales_Deals!J1595,""),"")</f>
        <v/>
      </c>
    </row>
    <row r="1605" spans="1:3" x14ac:dyDescent="0.35">
      <c r="A1605">
        <v>1595</v>
      </c>
      <c r="B1605" t="str">
        <f>IF(Sales_Deals!I1596&lt;&gt;"",IF(AND(Sales_Deals!I1596&gt;DATE(2024,9,30),Sales_Deals!I1596&lt;=DATE(2025,3,31)),Sales_Deals!J1596,""),"")</f>
        <v/>
      </c>
      <c r="C1605" t="str">
        <f>IF(Sales_Deals!I1596&lt;&gt;"",IF(AND(Sales_Deals!I1596&gt;DATE(2024,3,31),Sales_Deals!I1596&lt;=DATE(2024,9,30)),Sales_Deals!J1596,""),"")</f>
        <v/>
      </c>
    </row>
    <row r="1606" spans="1:3" x14ac:dyDescent="0.35">
      <c r="A1606">
        <v>1596</v>
      </c>
      <c r="B1606" t="str">
        <f>IF(Sales_Deals!I1597&lt;&gt;"",IF(AND(Sales_Deals!I1597&gt;DATE(2024,9,30),Sales_Deals!I1597&lt;=DATE(2025,3,31)),Sales_Deals!J1597,""),"")</f>
        <v/>
      </c>
      <c r="C1606" t="str">
        <f>IF(Sales_Deals!I1597&lt;&gt;"",IF(AND(Sales_Deals!I1597&gt;DATE(2024,3,31),Sales_Deals!I1597&lt;=DATE(2024,9,30)),Sales_Deals!J1597,""),"")</f>
        <v/>
      </c>
    </row>
    <row r="1607" spans="1:3" x14ac:dyDescent="0.35">
      <c r="A1607">
        <v>1597</v>
      </c>
      <c r="B1607" t="str">
        <f>IF(Sales_Deals!I1598&lt;&gt;"",IF(AND(Sales_Deals!I1598&gt;DATE(2024,9,30),Sales_Deals!I1598&lt;=DATE(2025,3,31)),Sales_Deals!J1598,""),"")</f>
        <v/>
      </c>
      <c r="C1607" t="str">
        <f>IF(Sales_Deals!I1598&lt;&gt;"",IF(AND(Sales_Deals!I1598&gt;DATE(2024,3,31),Sales_Deals!I1598&lt;=DATE(2024,9,30)),Sales_Deals!J1598,""),"")</f>
        <v/>
      </c>
    </row>
    <row r="1608" spans="1:3" x14ac:dyDescent="0.35">
      <c r="A1608">
        <v>1598</v>
      </c>
      <c r="B1608" t="str">
        <f>IF(Sales_Deals!I1599&lt;&gt;"",IF(AND(Sales_Deals!I1599&gt;DATE(2024,9,30),Sales_Deals!I1599&lt;=DATE(2025,3,31)),Sales_Deals!J1599,""),"")</f>
        <v/>
      </c>
      <c r="C1608" t="str">
        <f>IF(Sales_Deals!I1599&lt;&gt;"",IF(AND(Sales_Deals!I1599&gt;DATE(2024,3,31),Sales_Deals!I1599&lt;=DATE(2024,9,30)),Sales_Deals!J1599,""),"")</f>
        <v/>
      </c>
    </row>
    <row r="1609" spans="1:3" x14ac:dyDescent="0.35">
      <c r="A1609">
        <v>1599</v>
      </c>
      <c r="B1609" t="str">
        <f>IF(Sales_Deals!I1600&lt;&gt;"",IF(AND(Sales_Deals!I1600&gt;DATE(2024,9,30),Sales_Deals!I1600&lt;=DATE(2025,3,31)),Sales_Deals!J1600,""),"")</f>
        <v/>
      </c>
      <c r="C1609" t="str">
        <f>IF(Sales_Deals!I1600&lt;&gt;"",IF(AND(Sales_Deals!I1600&gt;DATE(2024,3,31),Sales_Deals!I1600&lt;=DATE(2024,9,30)),Sales_Deals!J1600,""),"")</f>
        <v/>
      </c>
    </row>
    <row r="1610" spans="1:3" x14ac:dyDescent="0.35">
      <c r="A1610">
        <v>1600</v>
      </c>
      <c r="B1610" t="str">
        <f>IF(Sales_Deals!I1601&lt;&gt;"",IF(AND(Sales_Deals!I1601&gt;DATE(2024,9,30),Sales_Deals!I1601&lt;=DATE(2025,3,31)),Sales_Deals!J1601,""),"")</f>
        <v/>
      </c>
      <c r="C1610">
        <f>IF(Sales_Deals!I1601&lt;&gt;"",IF(AND(Sales_Deals!I1601&gt;DATE(2024,3,31),Sales_Deals!I1601&lt;=DATE(2024,9,30)),Sales_Deals!J1601,""),"")</f>
        <v>141</v>
      </c>
    </row>
    <row r="1611" spans="1:3" x14ac:dyDescent="0.35">
      <c r="A1611">
        <v>1601</v>
      </c>
      <c r="B1611" t="str">
        <f>IF(Sales_Deals!I1602&lt;&gt;"",IF(AND(Sales_Deals!I1602&gt;DATE(2024,9,30),Sales_Deals!I1602&lt;=DATE(2025,3,31)),Sales_Deals!J1602,""),"")</f>
        <v/>
      </c>
      <c r="C1611" t="str">
        <f>IF(Sales_Deals!I1602&lt;&gt;"",IF(AND(Sales_Deals!I1602&gt;DATE(2024,3,31),Sales_Deals!I1602&lt;=DATE(2024,9,30)),Sales_Deals!J1602,""),"")</f>
        <v/>
      </c>
    </row>
    <row r="1612" spans="1:3" x14ac:dyDescent="0.35">
      <c r="A1612">
        <v>1602</v>
      </c>
      <c r="B1612" t="str">
        <f>IF(Sales_Deals!I1603&lt;&gt;"",IF(AND(Sales_Deals!I1603&gt;DATE(2024,9,30),Sales_Deals!I1603&lt;=DATE(2025,3,31)),Sales_Deals!J1603,""),"")</f>
        <v/>
      </c>
      <c r="C1612" t="str">
        <f>IF(Sales_Deals!I1603&lt;&gt;"",IF(AND(Sales_Deals!I1603&gt;DATE(2024,3,31),Sales_Deals!I1603&lt;=DATE(2024,9,30)),Sales_Deals!J1603,""),"")</f>
        <v/>
      </c>
    </row>
    <row r="1613" spans="1:3" x14ac:dyDescent="0.35">
      <c r="A1613">
        <v>1603</v>
      </c>
      <c r="B1613" t="str">
        <f>IF(Sales_Deals!I1604&lt;&gt;"",IF(AND(Sales_Deals!I1604&gt;DATE(2024,9,30),Sales_Deals!I1604&lt;=DATE(2025,3,31)),Sales_Deals!J1604,""),"")</f>
        <v/>
      </c>
      <c r="C1613" t="str">
        <f>IF(Sales_Deals!I1604&lt;&gt;"",IF(AND(Sales_Deals!I1604&gt;DATE(2024,3,31),Sales_Deals!I1604&lt;=DATE(2024,9,30)),Sales_Deals!J1604,""),"")</f>
        <v/>
      </c>
    </row>
    <row r="1614" spans="1:3" x14ac:dyDescent="0.35">
      <c r="A1614">
        <v>1604</v>
      </c>
      <c r="B1614" t="str">
        <f>IF(Sales_Deals!I1605&lt;&gt;"",IF(AND(Sales_Deals!I1605&gt;DATE(2024,9,30),Sales_Deals!I1605&lt;=DATE(2025,3,31)),Sales_Deals!J1605,""),"")</f>
        <v/>
      </c>
      <c r="C1614" t="str">
        <f>IF(Sales_Deals!I1605&lt;&gt;"",IF(AND(Sales_Deals!I1605&gt;DATE(2024,3,31),Sales_Deals!I1605&lt;=DATE(2024,9,30)),Sales_Deals!J1605,""),"")</f>
        <v/>
      </c>
    </row>
    <row r="1615" spans="1:3" x14ac:dyDescent="0.35">
      <c r="A1615">
        <v>1605</v>
      </c>
      <c r="B1615" t="str">
        <f>IF(Sales_Deals!I1606&lt;&gt;"",IF(AND(Sales_Deals!I1606&gt;DATE(2024,9,30),Sales_Deals!I1606&lt;=DATE(2025,3,31)),Sales_Deals!J1606,""),"")</f>
        <v/>
      </c>
      <c r="C1615" t="str">
        <f>IF(Sales_Deals!I1606&lt;&gt;"",IF(AND(Sales_Deals!I1606&gt;DATE(2024,3,31),Sales_Deals!I1606&lt;=DATE(2024,9,30)),Sales_Deals!J1606,""),"")</f>
        <v/>
      </c>
    </row>
    <row r="1616" spans="1:3" x14ac:dyDescent="0.35">
      <c r="A1616">
        <v>1606</v>
      </c>
      <c r="B1616" t="str">
        <f>IF(Sales_Deals!I1607&lt;&gt;"",IF(AND(Sales_Deals!I1607&gt;DATE(2024,9,30),Sales_Deals!I1607&lt;=DATE(2025,3,31)),Sales_Deals!J1607,""),"")</f>
        <v/>
      </c>
      <c r="C1616" t="str">
        <f>IF(Sales_Deals!I1607&lt;&gt;"",IF(AND(Sales_Deals!I1607&gt;DATE(2024,3,31),Sales_Deals!I1607&lt;=DATE(2024,9,30)),Sales_Deals!J1607,""),"")</f>
        <v/>
      </c>
    </row>
    <row r="1617" spans="1:3" x14ac:dyDescent="0.35">
      <c r="A1617">
        <v>1607</v>
      </c>
      <c r="B1617">
        <f>IF(Sales_Deals!I1608&lt;&gt;"",IF(AND(Sales_Deals!I1608&gt;DATE(2024,9,30),Sales_Deals!I1608&lt;=DATE(2025,3,31)),Sales_Deals!J1608,""),"")</f>
        <v>170</v>
      </c>
      <c r="C1617" t="str">
        <f>IF(Sales_Deals!I1608&lt;&gt;"",IF(AND(Sales_Deals!I1608&gt;DATE(2024,3,31),Sales_Deals!I1608&lt;=DATE(2024,9,30)),Sales_Deals!J1608,""),"")</f>
        <v/>
      </c>
    </row>
    <row r="1618" spans="1:3" x14ac:dyDescent="0.35">
      <c r="A1618">
        <v>1608</v>
      </c>
      <c r="B1618" t="str">
        <f>IF(Sales_Deals!I1609&lt;&gt;"",IF(AND(Sales_Deals!I1609&gt;DATE(2024,9,30),Sales_Deals!I1609&lt;=DATE(2025,3,31)),Sales_Deals!J1609,""),"")</f>
        <v/>
      </c>
      <c r="C1618">
        <f>IF(Sales_Deals!I1609&lt;&gt;"",IF(AND(Sales_Deals!I1609&gt;DATE(2024,3,31),Sales_Deals!I1609&lt;=DATE(2024,9,30)),Sales_Deals!J1609,""),"")</f>
        <v>140</v>
      </c>
    </row>
    <row r="1619" spans="1:3" x14ac:dyDescent="0.35">
      <c r="A1619">
        <v>1609</v>
      </c>
      <c r="B1619" t="str">
        <f>IF(Sales_Deals!I1610&lt;&gt;"",IF(AND(Sales_Deals!I1610&gt;DATE(2024,9,30),Sales_Deals!I1610&lt;=DATE(2025,3,31)),Sales_Deals!J1610,""),"")</f>
        <v/>
      </c>
      <c r="C1619">
        <f>IF(Sales_Deals!I1610&lt;&gt;"",IF(AND(Sales_Deals!I1610&gt;DATE(2024,3,31),Sales_Deals!I1610&lt;=DATE(2024,9,30)),Sales_Deals!J1610,""),"")</f>
        <v>172</v>
      </c>
    </row>
    <row r="1620" spans="1:3" x14ac:dyDescent="0.35">
      <c r="A1620">
        <v>1610</v>
      </c>
      <c r="B1620" t="str">
        <f>IF(Sales_Deals!I1611&lt;&gt;"",IF(AND(Sales_Deals!I1611&gt;DATE(2024,9,30),Sales_Deals!I1611&lt;=DATE(2025,3,31)),Sales_Deals!J1611,""),"")</f>
        <v/>
      </c>
      <c r="C1620" t="str">
        <f>IF(Sales_Deals!I1611&lt;&gt;"",IF(AND(Sales_Deals!I1611&gt;DATE(2024,3,31),Sales_Deals!I1611&lt;=DATE(2024,9,30)),Sales_Deals!J1611,""),"")</f>
        <v/>
      </c>
    </row>
    <row r="1621" spans="1:3" x14ac:dyDescent="0.35">
      <c r="A1621">
        <v>1611</v>
      </c>
      <c r="B1621" t="str">
        <f>IF(Sales_Deals!I1612&lt;&gt;"",IF(AND(Sales_Deals!I1612&gt;DATE(2024,9,30),Sales_Deals!I1612&lt;=DATE(2025,3,31)),Sales_Deals!J1612,""),"")</f>
        <v/>
      </c>
      <c r="C1621" t="str">
        <f>IF(Sales_Deals!I1612&lt;&gt;"",IF(AND(Sales_Deals!I1612&gt;DATE(2024,3,31),Sales_Deals!I1612&lt;=DATE(2024,9,30)),Sales_Deals!J1612,""),"")</f>
        <v/>
      </c>
    </row>
    <row r="1622" spans="1:3" x14ac:dyDescent="0.35">
      <c r="A1622">
        <v>1612</v>
      </c>
      <c r="B1622">
        <f>IF(Sales_Deals!I1613&lt;&gt;"",IF(AND(Sales_Deals!I1613&gt;DATE(2024,9,30),Sales_Deals!I1613&lt;=DATE(2025,3,31)),Sales_Deals!J1613,""),"")</f>
        <v>108</v>
      </c>
      <c r="C1622" t="str">
        <f>IF(Sales_Deals!I1613&lt;&gt;"",IF(AND(Sales_Deals!I1613&gt;DATE(2024,3,31),Sales_Deals!I1613&lt;=DATE(2024,9,30)),Sales_Deals!J1613,""),"")</f>
        <v/>
      </c>
    </row>
    <row r="1623" spans="1:3" x14ac:dyDescent="0.35">
      <c r="A1623">
        <v>1613</v>
      </c>
      <c r="B1623" t="str">
        <f>IF(Sales_Deals!I1614&lt;&gt;"",IF(AND(Sales_Deals!I1614&gt;DATE(2024,9,30),Sales_Deals!I1614&lt;=DATE(2025,3,31)),Sales_Deals!J1614,""),"")</f>
        <v/>
      </c>
      <c r="C1623" t="str">
        <f>IF(Sales_Deals!I1614&lt;&gt;"",IF(AND(Sales_Deals!I1614&gt;DATE(2024,3,31),Sales_Deals!I1614&lt;=DATE(2024,9,30)),Sales_Deals!J1614,""),"")</f>
        <v/>
      </c>
    </row>
    <row r="1624" spans="1:3" x14ac:dyDescent="0.35">
      <c r="A1624">
        <v>1614</v>
      </c>
      <c r="B1624" t="str">
        <f>IF(Sales_Deals!I1615&lt;&gt;"",IF(AND(Sales_Deals!I1615&gt;DATE(2024,9,30),Sales_Deals!I1615&lt;=DATE(2025,3,31)),Sales_Deals!J1615,""),"")</f>
        <v/>
      </c>
      <c r="C1624">
        <f>IF(Sales_Deals!I1615&lt;&gt;"",IF(AND(Sales_Deals!I1615&gt;DATE(2024,3,31),Sales_Deals!I1615&lt;=DATE(2024,9,30)),Sales_Deals!J1615,""),"")</f>
        <v>35</v>
      </c>
    </row>
    <row r="1625" spans="1:3" x14ac:dyDescent="0.35">
      <c r="A1625">
        <v>1615</v>
      </c>
      <c r="B1625" t="str">
        <f>IF(Sales_Deals!I1616&lt;&gt;"",IF(AND(Sales_Deals!I1616&gt;DATE(2024,9,30),Sales_Deals!I1616&lt;=DATE(2025,3,31)),Sales_Deals!J1616,""),"")</f>
        <v/>
      </c>
      <c r="C1625" t="str">
        <f>IF(Sales_Deals!I1616&lt;&gt;"",IF(AND(Sales_Deals!I1616&gt;DATE(2024,3,31),Sales_Deals!I1616&lt;=DATE(2024,9,30)),Sales_Deals!J1616,""),"")</f>
        <v/>
      </c>
    </row>
    <row r="1626" spans="1:3" x14ac:dyDescent="0.35">
      <c r="A1626">
        <v>1616</v>
      </c>
      <c r="B1626" t="str">
        <f>IF(Sales_Deals!I1617&lt;&gt;"",IF(AND(Sales_Deals!I1617&gt;DATE(2024,9,30),Sales_Deals!I1617&lt;=DATE(2025,3,31)),Sales_Deals!J1617,""),"")</f>
        <v/>
      </c>
      <c r="C1626" t="str">
        <f>IF(Sales_Deals!I1617&lt;&gt;"",IF(AND(Sales_Deals!I1617&gt;DATE(2024,3,31),Sales_Deals!I1617&lt;=DATE(2024,9,30)),Sales_Deals!J1617,""),"")</f>
        <v/>
      </c>
    </row>
    <row r="1627" spans="1:3" x14ac:dyDescent="0.35">
      <c r="A1627">
        <v>1617</v>
      </c>
      <c r="B1627" t="str">
        <f>IF(Sales_Deals!I1618&lt;&gt;"",IF(AND(Sales_Deals!I1618&gt;DATE(2024,9,30),Sales_Deals!I1618&lt;=DATE(2025,3,31)),Sales_Deals!J1618,""),"")</f>
        <v/>
      </c>
      <c r="C1627" t="str">
        <f>IF(Sales_Deals!I1618&lt;&gt;"",IF(AND(Sales_Deals!I1618&gt;DATE(2024,3,31),Sales_Deals!I1618&lt;=DATE(2024,9,30)),Sales_Deals!J1618,""),"")</f>
        <v/>
      </c>
    </row>
    <row r="1628" spans="1:3" x14ac:dyDescent="0.35">
      <c r="A1628">
        <v>1618</v>
      </c>
      <c r="B1628" t="str">
        <f>IF(Sales_Deals!I1619&lt;&gt;"",IF(AND(Sales_Deals!I1619&gt;DATE(2024,9,30),Sales_Deals!I1619&lt;=DATE(2025,3,31)),Sales_Deals!J1619,""),"")</f>
        <v/>
      </c>
      <c r="C1628" t="str">
        <f>IF(Sales_Deals!I1619&lt;&gt;"",IF(AND(Sales_Deals!I1619&gt;DATE(2024,3,31),Sales_Deals!I1619&lt;=DATE(2024,9,30)),Sales_Deals!J1619,""),"")</f>
        <v/>
      </c>
    </row>
    <row r="1629" spans="1:3" x14ac:dyDescent="0.35">
      <c r="A1629">
        <v>1619</v>
      </c>
      <c r="B1629" t="str">
        <f>IF(Sales_Deals!I1620&lt;&gt;"",IF(AND(Sales_Deals!I1620&gt;DATE(2024,9,30),Sales_Deals!I1620&lt;=DATE(2025,3,31)),Sales_Deals!J1620,""),"")</f>
        <v/>
      </c>
      <c r="C1629" t="str">
        <f>IF(Sales_Deals!I1620&lt;&gt;"",IF(AND(Sales_Deals!I1620&gt;DATE(2024,3,31),Sales_Deals!I1620&lt;=DATE(2024,9,30)),Sales_Deals!J1620,""),"")</f>
        <v/>
      </c>
    </row>
    <row r="1630" spans="1:3" x14ac:dyDescent="0.35">
      <c r="A1630">
        <v>1620</v>
      </c>
      <c r="B1630" t="str">
        <f>IF(Sales_Deals!I1621&lt;&gt;"",IF(AND(Sales_Deals!I1621&gt;DATE(2024,9,30),Sales_Deals!I1621&lt;=DATE(2025,3,31)),Sales_Deals!J1621,""),"")</f>
        <v/>
      </c>
      <c r="C1630">
        <f>IF(Sales_Deals!I1621&lt;&gt;"",IF(AND(Sales_Deals!I1621&gt;DATE(2024,3,31),Sales_Deals!I1621&lt;=DATE(2024,9,30)),Sales_Deals!J1621,""),"")</f>
        <v>72</v>
      </c>
    </row>
    <row r="1631" spans="1:3" x14ac:dyDescent="0.35">
      <c r="A1631">
        <v>1621</v>
      </c>
      <c r="B1631">
        <f>IF(Sales_Deals!I1622&lt;&gt;"",IF(AND(Sales_Deals!I1622&gt;DATE(2024,9,30),Sales_Deals!I1622&lt;=DATE(2025,3,31)),Sales_Deals!J1622,""),"")</f>
        <v>165</v>
      </c>
      <c r="C1631" t="str">
        <f>IF(Sales_Deals!I1622&lt;&gt;"",IF(AND(Sales_Deals!I1622&gt;DATE(2024,3,31),Sales_Deals!I1622&lt;=DATE(2024,9,30)),Sales_Deals!J1622,""),"")</f>
        <v/>
      </c>
    </row>
    <row r="1632" spans="1:3" x14ac:dyDescent="0.35">
      <c r="A1632">
        <v>1622</v>
      </c>
      <c r="B1632" t="str">
        <f>IF(Sales_Deals!I1623&lt;&gt;"",IF(AND(Sales_Deals!I1623&gt;DATE(2024,9,30),Sales_Deals!I1623&lt;=DATE(2025,3,31)),Sales_Deals!J1623,""),"")</f>
        <v/>
      </c>
      <c r="C1632" t="str">
        <f>IF(Sales_Deals!I1623&lt;&gt;"",IF(AND(Sales_Deals!I1623&gt;DATE(2024,3,31),Sales_Deals!I1623&lt;=DATE(2024,9,30)),Sales_Deals!J1623,""),"")</f>
        <v/>
      </c>
    </row>
    <row r="1633" spans="1:3" x14ac:dyDescent="0.35">
      <c r="A1633">
        <v>1623</v>
      </c>
      <c r="B1633" t="str">
        <f>IF(Sales_Deals!I1624&lt;&gt;"",IF(AND(Sales_Deals!I1624&gt;DATE(2024,9,30),Sales_Deals!I1624&lt;=DATE(2025,3,31)),Sales_Deals!J1624,""),"")</f>
        <v/>
      </c>
      <c r="C1633" t="str">
        <f>IF(Sales_Deals!I1624&lt;&gt;"",IF(AND(Sales_Deals!I1624&gt;DATE(2024,3,31),Sales_Deals!I1624&lt;=DATE(2024,9,30)),Sales_Deals!J1624,""),"")</f>
        <v/>
      </c>
    </row>
    <row r="1634" spans="1:3" x14ac:dyDescent="0.35">
      <c r="A1634">
        <v>1624</v>
      </c>
      <c r="B1634">
        <f>IF(Sales_Deals!I1625&lt;&gt;"",IF(AND(Sales_Deals!I1625&gt;DATE(2024,9,30),Sales_Deals!I1625&lt;=DATE(2025,3,31)),Sales_Deals!J1625,""),"")</f>
        <v>77</v>
      </c>
      <c r="C1634" t="str">
        <f>IF(Sales_Deals!I1625&lt;&gt;"",IF(AND(Sales_Deals!I1625&gt;DATE(2024,3,31),Sales_Deals!I1625&lt;=DATE(2024,9,30)),Sales_Deals!J1625,""),"")</f>
        <v/>
      </c>
    </row>
    <row r="1635" spans="1:3" x14ac:dyDescent="0.35">
      <c r="A1635">
        <v>1625</v>
      </c>
      <c r="B1635" t="str">
        <f>IF(Sales_Deals!I1626&lt;&gt;"",IF(AND(Sales_Deals!I1626&gt;DATE(2024,9,30),Sales_Deals!I1626&lt;=DATE(2025,3,31)),Sales_Deals!J1626,""),"")</f>
        <v/>
      </c>
      <c r="C1635" t="str">
        <f>IF(Sales_Deals!I1626&lt;&gt;"",IF(AND(Sales_Deals!I1626&gt;DATE(2024,3,31),Sales_Deals!I1626&lt;=DATE(2024,9,30)),Sales_Deals!J1626,""),"")</f>
        <v/>
      </c>
    </row>
    <row r="1636" spans="1:3" x14ac:dyDescent="0.35">
      <c r="A1636">
        <v>1626</v>
      </c>
      <c r="B1636" t="str">
        <f>IF(Sales_Deals!I1627&lt;&gt;"",IF(AND(Sales_Deals!I1627&gt;DATE(2024,9,30),Sales_Deals!I1627&lt;=DATE(2025,3,31)),Sales_Deals!J1627,""),"")</f>
        <v/>
      </c>
      <c r="C1636" t="str">
        <f>IF(Sales_Deals!I1627&lt;&gt;"",IF(AND(Sales_Deals!I1627&gt;DATE(2024,3,31),Sales_Deals!I1627&lt;=DATE(2024,9,30)),Sales_Deals!J1627,""),"")</f>
        <v/>
      </c>
    </row>
    <row r="1637" spans="1:3" x14ac:dyDescent="0.35">
      <c r="A1637">
        <v>1627</v>
      </c>
      <c r="B1637" t="str">
        <f>IF(Sales_Deals!I1628&lt;&gt;"",IF(AND(Sales_Deals!I1628&gt;DATE(2024,9,30),Sales_Deals!I1628&lt;=DATE(2025,3,31)),Sales_Deals!J1628,""),"")</f>
        <v/>
      </c>
      <c r="C1637" t="str">
        <f>IF(Sales_Deals!I1628&lt;&gt;"",IF(AND(Sales_Deals!I1628&gt;DATE(2024,3,31),Sales_Deals!I1628&lt;=DATE(2024,9,30)),Sales_Deals!J1628,""),"")</f>
        <v/>
      </c>
    </row>
    <row r="1638" spans="1:3" x14ac:dyDescent="0.35">
      <c r="A1638">
        <v>1628</v>
      </c>
      <c r="B1638" t="str">
        <f>IF(Sales_Deals!I1629&lt;&gt;"",IF(AND(Sales_Deals!I1629&gt;DATE(2024,9,30),Sales_Deals!I1629&lt;=DATE(2025,3,31)),Sales_Deals!J1629,""),"")</f>
        <v/>
      </c>
      <c r="C1638" t="str">
        <f>IF(Sales_Deals!I1629&lt;&gt;"",IF(AND(Sales_Deals!I1629&gt;DATE(2024,3,31),Sales_Deals!I1629&lt;=DATE(2024,9,30)),Sales_Deals!J1629,""),"")</f>
        <v/>
      </c>
    </row>
    <row r="1639" spans="1:3" x14ac:dyDescent="0.35">
      <c r="A1639">
        <v>1629</v>
      </c>
      <c r="B1639" t="str">
        <f>IF(Sales_Deals!I1630&lt;&gt;"",IF(AND(Sales_Deals!I1630&gt;DATE(2024,9,30),Sales_Deals!I1630&lt;=DATE(2025,3,31)),Sales_Deals!J1630,""),"")</f>
        <v/>
      </c>
      <c r="C1639" t="str">
        <f>IF(Sales_Deals!I1630&lt;&gt;"",IF(AND(Sales_Deals!I1630&gt;DATE(2024,3,31),Sales_Deals!I1630&lt;=DATE(2024,9,30)),Sales_Deals!J1630,""),"")</f>
        <v/>
      </c>
    </row>
    <row r="1640" spans="1:3" x14ac:dyDescent="0.35">
      <c r="A1640">
        <v>1630</v>
      </c>
      <c r="B1640" t="str">
        <f>IF(Sales_Deals!I1631&lt;&gt;"",IF(AND(Sales_Deals!I1631&gt;DATE(2024,9,30),Sales_Deals!I1631&lt;=DATE(2025,3,31)),Sales_Deals!J1631,""),"")</f>
        <v/>
      </c>
      <c r="C1640" t="str">
        <f>IF(Sales_Deals!I1631&lt;&gt;"",IF(AND(Sales_Deals!I1631&gt;DATE(2024,3,31),Sales_Deals!I1631&lt;=DATE(2024,9,30)),Sales_Deals!J1631,""),"")</f>
        <v/>
      </c>
    </row>
    <row r="1641" spans="1:3" x14ac:dyDescent="0.35">
      <c r="A1641">
        <v>1631</v>
      </c>
      <c r="B1641" t="str">
        <f>IF(Sales_Deals!I1632&lt;&gt;"",IF(AND(Sales_Deals!I1632&gt;DATE(2024,9,30),Sales_Deals!I1632&lt;=DATE(2025,3,31)),Sales_Deals!J1632,""),"")</f>
        <v/>
      </c>
      <c r="C1641" t="str">
        <f>IF(Sales_Deals!I1632&lt;&gt;"",IF(AND(Sales_Deals!I1632&gt;DATE(2024,3,31),Sales_Deals!I1632&lt;=DATE(2024,9,30)),Sales_Deals!J1632,""),"")</f>
        <v/>
      </c>
    </row>
    <row r="1642" spans="1:3" x14ac:dyDescent="0.35">
      <c r="A1642">
        <v>1632</v>
      </c>
      <c r="B1642" t="str">
        <f>IF(Sales_Deals!I1633&lt;&gt;"",IF(AND(Sales_Deals!I1633&gt;DATE(2024,9,30),Sales_Deals!I1633&lt;=DATE(2025,3,31)),Sales_Deals!J1633,""),"")</f>
        <v/>
      </c>
      <c r="C1642" t="str">
        <f>IF(Sales_Deals!I1633&lt;&gt;"",IF(AND(Sales_Deals!I1633&gt;DATE(2024,3,31),Sales_Deals!I1633&lt;=DATE(2024,9,30)),Sales_Deals!J1633,""),"")</f>
        <v/>
      </c>
    </row>
    <row r="1643" spans="1:3" x14ac:dyDescent="0.35">
      <c r="A1643">
        <v>1633</v>
      </c>
      <c r="B1643" t="str">
        <f>IF(Sales_Deals!I1634&lt;&gt;"",IF(AND(Sales_Deals!I1634&gt;DATE(2024,9,30),Sales_Deals!I1634&lt;=DATE(2025,3,31)),Sales_Deals!J1634,""),"")</f>
        <v/>
      </c>
      <c r="C1643" t="str">
        <f>IF(Sales_Deals!I1634&lt;&gt;"",IF(AND(Sales_Deals!I1634&gt;DATE(2024,3,31),Sales_Deals!I1634&lt;=DATE(2024,9,30)),Sales_Deals!J1634,""),"")</f>
        <v/>
      </c>
    </row>
    <row r="1644" spans="1:3" x14ac:dyDescent="0.35">
      <c r="A1644">
        <v>1634</v>
      </c>
      <c r="B1644" t="str">
        <f>IF(Sales_Deals!I1635&lt;&gt;"",IF(AND(Sales_Deals!I1635&gt;DATE(2024,9,30),Sales_Deals!I1635&lt;=DATE(2025,3,31)),Sales_Deals!J1635,""),"")</f>
        <v/>
      </c>
      <c r="C1644" t="str">
        <f>IF(Sales_Deals!I1635&lt;&gt;"",IF(AND(Sales_Deals!I1635&gt;DATE(2024,3,31),Sales_Deals!I1635&lt;=DATE(2024,9,30)),Sales_Deals!J1635,""),"")</f>
        <v/>
      </c>
    </row>
    <row r="1645" spans="1:3" x14ac:dyDescent="0.35">
      <c r="A1645">
        <v>1635</v>
      </c>
      <c r="B1645" t="str">
        <f>IF(Sales_Deals!I1636&lt;&gt;"",IF(AND(Sales_Deals!I1636&gt;DATE(2024,9,30),Sales_Deals!I1636&lt;=DATE(2025,3,31)),Sales_Deals!J1636,""),"")</f>
        <v/>
      </c>
      <c r="C1645" t="str">
        <f>IF(Sales_Deals!I1636&lt;&gt;"",IF(AND(Sales_Deals!I1636&gt;DATE(2024,3,31),Sales_Deals!I1636&lt;=DATE(2024,9,30)),Sales_Deals!J1636,""),"")</f>
        <v/>
      </c>
    </row>
    <row r="1646" spans="1:3" x14ac:dyDescent="0.35">
      <c r="A1646">
        <v>1636</v>
      </c>
      <c r="B1646" t="str">
        <f>IF(Sales_Deals!I1637&lt;&gt;"",IF(AND(Sales_Deals!I1637&gt;DATE(2024,9,30),Sales_Deals!I1637&lt;=DATE(2025,3,31)),Sales_Deals!J1637,""),"")</f>
        <v/>
      </c>
      <c r="C1646" t="str">
        <f>IF(Sales_Deals!I1637&lt;&gt;"",IF(AND(Sales_Deals!I1637&gt;DATE(2024,3,31),Sales_Deals!I1637&lt;=DATE(2024,9,30)),Sales_Deals!J1637,""),"")</f>
        <v/>
      </c>
    </row>
    <row r="1647" spans="1:3" x14ac:dyDescent="0.35">
      <c r="A1647">
        <v>1637</v>
      </c>
      <c r="B1647" t="str">
        <f>IF(Sales_Deals!I1638&lt;&gt;"",IF(AND(Sales_Deals!I1638&gt;DATE(2024,9,30),Sales_Deals!I1638&lt;=DATE(2025,3,31)),Sales_Deals!J1638,""),"")</f>
        <v/>
      </c>
      <c r="C1647" t="str">
        <f>IF(Sales_Deals!I1638&lt;&gt;"",IF(AND(Sales_Deals!I1638&gt;DATE(2024,3,31),Sales_Deals!I1638&lt;=DATE(2024,9,30)),Sales_Deals!J1638,""),"")</f>
        <v/>
      </c>
    </row>
    <row r="1648" spans="1:3" x14ac:dyDescent="0.35">
      <c r="A1648">
        <v>1638</v>
      </c>
      <c r="B1648" t="str">
        <f>IF(Sales_Deals!I1639&lt;&gt;"",IF(AND(Sales_Deals!I1639&gt;DATE(2024,9,30),Sales_Deals!I1639&lt;=DATE(2025,3,31)),Sales_Deals!J1639,""),"")</f>
        <v/>
      </c>
      <c r="C1648" t="str">
        <f>IF(Sales_Deals!I1639&lt;&gt;"",IF(AND(Sales_Deals!I1639&gt;DATE(2024,3,31),Sales_Deals!I1639&lt;=DATE(2024,9,30)),Sales_Deals!J1639,""),"")</f>
        <v/>
      </c>
    </row>
    <row r="1649" spans="1:3" x14ac:dyDescent="0.35">
      <c r="A1649">
        <v>1639</v>
      </c>
      <c r="B1649" t="str">
        <f>IF(Sales_Deals!I1640&lt;&gt;"",IF(AND(Sales_Deals!I1640&gt;DATE(2024,9,30),Sales_Deals!I1640&lt;=DATE(2025,3,31)),Sales_Deals!J1640,""),"")</f>
        <v/>
      </c>
      <c r="C1649" t="str">
        <f>IF(Sales_Deals!I1640&lt;&gt;"",IF(AND(Sales_Deals!I1640&gt;DATE(2024,3,31),Sales_Deals!I1640&lt;=DATE(2024,9,30)),Sales_Deals!J1640,""),"")</f>
        <v/>
      </c>
    </row>
    <row r="1650" spans="1:3" x14ac:dyDescent="0.35">
      <c r="A1650">
        <v>1640</v>
      </c>
      <c r="B1650" t="str">
        <f>IF(Sales_Deals!I1641&lt;&gt;"",IF(AND(Sales_Deals!I1641&gt;DATE(2024,9,30),Sales_Deals!I1641&lt;=DATE(2025,3,31)),Sales_Deals!J1641,""),"")</f>
        <v/>
      </c>
      <c r="C1650" t="str">
        <f>IF(Sales_Deals!I1641&lt;&gt;"",IF(AND(Sales_Deals!I1641&gt;DATE(2024,3,31),Sales_Deals!I1641&lt;=DATE(2024,9,30)),Sales_Deals!J1641,""),"")</f>
        <v/>
      </c>
    </row>
    <row r="1651" spans="1:3" x14ac:dyDescent="0.35">
      <c r="A1651">
        <v>1641</v>
      </c>
      <c r="B1651" t="str">
        <f>IF(Sales_Deals!I1642&lt;&gt;"",IF(AND(Sales_Deals!I1642&gt;DATE(2024,9,30),Sales_Deals!I1642&lt;=DATE(2025,3,31)),Sales_Deals!J1642,""),"")</f>
        <v/>
      </c>
      <c r="C1651">
        <f>IF(Sales_Deals!I1642&lt;&gt;"",IF(AND(Sales_Deals!I1642&gt;DATE(2024,3,31),Sales_Deals!I1642&lt;=DATE(2024,9,30)),Sales_Deals!J1642,""),"")</f>
        <v>151</v>
      </c>
    </row>
    <row r="1652" spans="1:3" x14ac:dyDescent="0.35">
      <c r="A1652">
        <v>1642</v>
      </c>
      <c r="B1652" t="str">
        <f>IF(Sales_Deals!I1643&lt;&gt;"",IF(AND(Sales_Deals!I1643&gt;DATE(2024,9,30),Sales_Deals!I1643&lt;=DATE(2025,3,31)),Sales_Deals!J1643,""),"")</f>
        <v/>
      </c>
      <c r="C1652" t="str">
        <f>IF(Sales_Deals!I1643&lt;&gt;"",IF(AND(Sales_Deals!I1643&gt;DATE(2024,3,31),Sales_Deals!I1643&lt;=DATE(2024,9,30)),Sales_Deals!J1643,""),"")</f>
        <v/>
      </c>
    </row>
    <row r="1653" spans="1:3" x14ac:dyDescent="0.35">
      <c r="A1653">
        <v>1643</v>
      </c>
      <c r="B1653" t="str">
        <f>IF(Sales_Deals!I1644&lt;&gt;"",IF(AND(Sales_Deals!I1644&gt;DATE(2024,9,30),Sales_Deals!I1644&lt;=DATE(2025,3,31)),Sales_Deals!J1644,""),"")</f>
        <v/>
      </c>
      <c r="C1653" t="str">
        <f>IF(Sales_Deals!I1644&lt;&gt;"",IF(AND(Sales_Deals!I1644&gt;DATE(2024,3,31),Sales_Deals!I1644&lt;=DATE(2024,9,30)),Sales_Deals!J1644,""),"")</f>
        <v/>
      </c>
    </row>
    <row r="1654" spans="1:3" x14ac:dyDescent="0.35">
      <c r="A1654">
        <v>1644</v>
      </c>
      <c r="B1654" t="str">
        <f>IF(Sales_Deals!I1645&lt;&gt;"",IF(AND(Sales_Deals!I1645&gt;DATE(2024,9,30),Sales_Deals!I1645&lt;=DATE(2025,3,31)),Sales_Deals!J1645,""),"")</f>
        <v/>
      </c>
      <c r="C1654" t="str">
        <f>IF(Sales_Deals!I1645&lt;&gt;"",IF(AND(Sales_Deals!I1645&gt;DATE(2024,3,31),Sales_Deals!I1645&lt;=DATE(2024,9,30)),Sales_Deals!J1645,""),"")</f>
        <v/>
      </c>
    </row>
    <row r="1655" spans="1:3" x14ac:dyDescent="0.35">
      <c r="A1655">
        <v>1645</v>
      </c>
      <c r="B1655">
        <f>IF(Sales_Deals!I1646&lt;&gt;"",IF(AND(Sales_Deals!I1646&gt;DATE(2024,9,30),Sales_Deals!I1646&lt;=DATE(2025,3,31)),Sales_Deals!J1646,""),"")</f>
        <v>31</v>
      </c>
      <c r="C1655" t="str">
        <f>IF(Sales_Deals!I1646&lt;&gt;"",IF(AND(Sales_Deals!I1646&gt;DATE(2024,3,31),Sales_Deals!I1646&lt;=DATE(2024,9,30)),Sales_Deals!J1646,""),"")</f>
        <v/>
      </c>
    </row>
    <row r="1656" spans="1:3" x14ac:dyDescent="0.35">
      <c r="A1656">
        <v>1646</v>
      </c>
      <c r="B1656" t="str">
        <f>IF(Sales_Deals!I1647&lt;&gt;"",IF(AND(Sales_Deals!I1647&gt;DATE(2024,9,30),Sales_Deals!I1647&lt;=DATE(2025,3,31)),Sales_Deals!J1647,""),"")</f>
        <v/>
      </c>
      <c r="C1656" t="str">
        <f>IF(Sales_Deals!I1647&lt;&gt;"",IF(AND(Sales_Deals!I1647&gt;DATE(2024,3,31),Sales_Deals!I1647&lt;=DATE(2024,9,30)),Sales_Deals!J1647,""),"")</f>
        <v/>
      </c>
    </row>
    <row r="1657" spans="1:3" x14ac:dyDescent="0.35">
      <c r="A1657">
        <v>1647</v>
      </c>
      <c r="B1657" t="str">
        <f>IF(Sales_Deals!I1648&lt;&gt;"",IF(AND(Sales_Deals!I1648&gt;DATE(2024,9,30),Sales_Deals!I1648&lt;=DATE(2025,3,31)),Sales_Deals!J1648,""),"")</f>
        <v/>
      </c>
      <c r="C1657" t="str">
        <f>IF(Sales_Deals!I1648&lt;&gt;"",IF(AND(Sales_Deals!I1648&gt;DATE(2024,3,31),Sales_Deals!I1648&lt;=DATE(2024,9,30)),Sales_Deals!J1648,""),"")</f>
        <v/>
      </c>
    </row>
    <row r="1658" spans="1:3" x14ac:dyDescent="0.35">
      <c r="A1658">
        <v>1648</v>
      </c>
      <c r="B1658" t="str">
        <f>IF(Sales_Deals!I1649&lt;&gt;"",IF(AND(Sales_Deals!I1649&gt;DATE(2024,9,30),Sales_Deals!I1649&lt;=DATE(2025,3,31)),Sales_Deals!J1649,""),"")</f>
        <v/>
      </c>
      <c r="C1658" t="str">
        <f>IF(Sales_Deals!I1649&lt;&gt;"",IF(AND(Sales_Deals!I1649&gt;DATE(2024,3,31),Sales_Deals!I1649&lt;=DATE(2024,9,30)),Sales_Deals!J1649,""),"")</f>
        <v/>
      </c>
    </row>
    <row r="1659" spans="1:3" x14ac:dyDescent="0.35">
      <c r="A1659">
        <v>1649</v>
      </c>
      <c r="B1659" t="str">
        <f>IF(Sales_Deals!I1650&lt;&gt;"",IF(AND(Sales_Deals!I1650&gt;DATE(2024,9,30),Sales_Deals!I1650&lt;=DATE(2025,3,31)),Sales_Deals!J1650,""),"")</f>
        <v/>
      </c>
      <c r="C1659" t="str">
        <f>IF(Sales_Deals!I1650&lt;&gt;"",IF(AND(Sales_Deals!I1650&gt;DATE(2024,3,31),Sales_Deals!I1650&lt;=DATE(2024,9,30)),Sales_Deals!J1650,""),"")</f>
        <v/>
      </c>
    </row>
    <row r="1660" spans="1:3" x14ac:dyDescent="0.35">
      <c r="A1660">
        <v>1650</v>
      </c>
      <c r="B1660" t="str">
        <f>IF(Sales_Deals!I1651&lt;&gt;"",IF(AND(Sales_Deals!I1651&gt;DATE(2024,9,30),Sales_Deals!I1651&lt;=DATE(2025,3,31)),Sales_Deals!J1651,""),"")</f>
        <v/>
      </c>
      <c r="C1660" t="str">
        <f>IF(Sales_Deals!I1651&lt;&gt;"",IF(AND(Sales_Deals!I1651&gt;DATE(2024,3,31),Sales_Deals!I1651&lt;=DATE(2024,9,30)),Sales_Deals!J1651,""),"")</f>
        <v/>
      </c>
    </row>
    <row r="1661" spans="1:3" x14ac:dyDescent="0.35">
      <c r="A1661">
        <v>1651</v>
      </c>
      <c r="B1661">
        <f>IF(Sales_Deals!I1652&lt;&gt;"",IF(AND(Sales_Deals!I1652&gt;DATE(2024,9,30),Sales_Deals!I1652&lt;=DATE(2025,3,31)),Sales_Deals!J1652,""),"")</f>
        <v>56</v>
      </c>
      <c r="C1661" t="str">
        <f>IF(Sales_Deals!I1652&lt;&gt;"",IF(AND(Sales_Deals!I1652&gt;DATE(2024,3,31),Sales_Deals!I1652&lt;=DATE(2024,9,30)),Sales_Deals!J1652,""),"")</f>
        <v/>
      </c>
    </row>
    <row r="1662" spans="1:3" x14ac:dyDescent="0.35">
      <c r="A1662">
        <v>1652</v>
      </c>
      <c r="B1662" t="str">
        <f>IF(Sales_Deals!I1653&lt;&gt;"",IF(AND(Sales_Deals!I1653&gt;DATE(2024,9,30),Sales_Deals!I1653&lt;=DATE(2025,3,31)),Sales_Deals!J1653,""),"")</f>
        <v/>
      </c>
      <c r="C1662" t="str">
        <f>IF(Sales_Deals!I1653&lt;&gt;"",IF(AND(Sales_Deals!I1653&gt;DATE(2024,3,31),Sales_Deals!I1653&lt;=DATE(2024,9,30)),Sales_Deals!J1653,""),"")</f>
        <v/>
      </c>
    </row>
    <row r="1663" spans="1:3" x14ac:dyDescent="0.35">
      <c r="A1663">
        <v>1653</v>
      </c>
      <c r="B1663" t="str">
        <f>IF(Sales_Deals!I1654&lt;&gt;"",IF(AND(Sales_Deals!I1654&gt;DATE(2024,9,30),Sales_Deals!I1654&lt;=DATE(2025,3,31)),Sales_Deals!J1654,""),"")</f>
        <v/>
      </c>
      <c r="C1663" t="str">
        <f>IF(Sales_Deals!I1654&lt;&gt;"",IF(AND(Sales_Deals!I1654&gt;DATE(2024,3,31),Sales_Deals!I1654&lt;=DATE(2024,9,30)),Sales_Deals!J1654,""),"")</f>
        <v/>
      </c>
    </row>
    <row r="1664" spans="1:3" x14ac:dyDescent="0.35">
      <c r="A1664">
        <v>1654</v>
      </c>
      <c r="B1664" t="str">
        <f>IF(Sales_Deals!I1655&lt;&gt;"",IF(AND(Sales_Deals!I1655&gt;DATE(2024,9,30),Sales_Deals!I1655&lt;=DATE(2025,3,31)),Sales_Deals!J1655,""),"")</f>
        <v/>
      </c>
      <c r="C1664" t="str">
        <f>IF(Sales_Deals!I1655&lt;&gt;"",IF(AND(Sales_Deals!I1655&gt;DATE(2024,3,31),Sales_Deals!I1655&lt;=DATE(2024,9,30)),Sales_Deals!J1655,""),"")</f>
        <v/>
      </c>
    </row>
    <row r="1665" spans="1:3" x14ac:dyDescent="0.35">
      <c r="A1665">
        <v>1655</v>
      </c>
      <c r="B1665" t="str">
        <f>IF(Sales_Deals!I1656&lt;&gt;"",IF(AND(Sales_Deals!I1656&gt;DATE(2024,9,30),Sales_Deals!I1656&lt;=DATE(2025,3,31)),Sales_Deals!J1656,""),"")</f>
        <v/>
      </c>
      <c r="C1665" t="str">
        <f>IF(Sales_Deals!I1656&lt;&gt;"",IF(AND(Sales_Deals!I1656&gt;DATE(2024,3,31),Sales_Deals!I1656&lt;=DATE(2024,9,30)),Sales_Deals!J1656,""),"")</f>
        <v/>
      </c>
    </row>
    <row r="1666" spans="1:3" x14ac:dyDescent="0.35">
      <c r="A1666">
        <v>1656</v>
      </c>
      <c r="B1666" t="str">
        <f>IF(Sales_Deals!I1657&lt;&gt;"",IF(AND(Sales_Deals!I1657&gt;DATE(2024,9,30),Sales_Deals!I1657&lt;=DATE(2025,3,31)),Sales_Deals!J1657,""),"")</f>
        <v/>
      </c>
      <c r="C1666" t="str">
        <f>IF(Sales_Deals!I1657&lt;&gt;"",IF(AND(Sales_Deals!I1657&gt;DATE(2024,3,31),Sales_Deals!I1657&lt;=DATE(2024,9,30)),Sales_Deals!J1657,""),"")</f>
        <v/>
      </c>
    </row>
    <row r="1667" spans="1:3" x14ac:dyDescent="0.35">
      <c r="A1667">
        <v>1657</v>
      </c>
      <c r="B1667" t="str">
        <f>IF(Sales_Deals!I1658&lt;&gt;"",IF(AND(Sales_Deals!I1658&gt;DATE(2024,9,30),Sales_Deals!I1658&lt;=DATE(2025,3,31)),Sales_Deals!J1658,""),"")</f>
        <v/>
      </c>
      <c r="C1667" t="str">
        <f>IF(Sales_Deals!I1658&lt;&gt;"",IF(AND(Sales_Deals!I1658&gt;DATE(2024,3,31),Sales_Deals!I1658&lt;=DATE(2024,9,30)),Sales_Deals!J1658,""),"")</f>
        <v/>
      </c>
    </row>
    <row r="1668" spans="1:3" x14ac:dyDescent="0.35">
      <c r="A1668">
        <v>1658</v>
      </c>
      <c r="B1668" t="str">
        <f>IF(Sales_Deals!I1659&lt;&gt;"",IF(AND(Sales_Deals!I1659&gt;DATE(2024,9,30),Sales_Deals!I1659&lt;=DATE(2025,3,31)),Sales_Deals!J1659,""),"")</f>
        <v/>
      </c>
      <c r="C1668" t="str">
        <f>IF(Sales_Deals!I1659&lt;&gt;"",IF(AND(Sales_Deals!I1659&gt;DATE(2024,3,31),Sales_Deals!I1659&lt;=DATE(2024,9,30)),Sales_Deals!J1659,""),"")</f>
        <v/>
      </c>
    </row>
    <row r="1669" spans="1:3" x14ac:dyDescent="0.35">
      <c r="A1669">
        <v>1659</v>
      </c>
      <c r="B1669" t="str">
        <f>IF(Sales_Deals!I1660&lt;&gt;"",IF(AND(Sales_Deals!I1660&gt;DATE(2024,9,30),Sales_Deals!I1660&lt;=DATE(2025,3,31)),Sales_Deals!J1660,""),"")</f>
        <v/>
      </c>
      <c r="C1669" t="str">
        <f>IF(Sales_Deals!I1660&lt;&gt;"",IF(AND(Sales_Deals!I1660&gt;DATE(2024,3,31),Sales_Deals!I1660&lt;=DATE(2024,9,30)),Sales_Deals!J1660,""),"")</f>
        <v/>
      </c>
    </row>
    <row r="1670" spans="1:3" x14ac:dyDescent="0.35">
      <c r="A1670">
        <v>1660</v>
      </c>
      <c r="B1670" t="str">
        <f>IF(Sales_Deals!I1661&lt;&gt;"",IF(AND(Sales_Deals!I1661&gt;DATE(2024,9,30),Sales_Deals!I1661&lt;=DATE(2025,3,31)),Sales_Deals!J1661,""),"")</f>
        <v/>
      </c>
      <c r="C1670" t="str">
        <f>IF(Sales_Deals!I1661&lt;&gt;"",IF(AND(Sales_Deals!I1661&gt;DATE(2024,3,31),Sales_Deals!I1661&lt;=DATE(2024,9,30)),Sales_Deals!J1661,""),"")</f>
        <v/>
      </c>
    </row>
    <row r="1671" spans="1:3" x14ac:dyDescent="0.35">
      <c r="A1671">
        <v>1661</v>
      </c>
      <c r="B1671" t="str">
        <f>IF(Sales_Deals!I1662&lt;&gt;"",IF(AND(Sales_Deals!I1662&gt;DATE(2024,9,30),Sales_Deals!I1662&lt;=DATE(2025,3,31)),Sales_Deals!J1662,""),"")</f>
        <v/>
      </c>
      <c r="C1671" t="str">
        <f>IF(Sales_Deals!I1662&lt;&gt;"",IF(AND(Sales_Deals!I1662&gt;DATE(2024,3,31),Sales_Deals!I1662&lt;=DATE(2024,9,30)),Sales_Deals!J1662,""),"")</f>
        <v/>
      </c>
    </row>
    <row r="1672" spans="1:3" x14ac:dyDescent="0.35">
      <c r="A1672">
        <v>1662</v>
      </c>
      <c r="B1672" t="str">
        <f>IF(Sales_Deals!I1663&lt;&gt;"",IF(AND(Sales_Deals!I1663&gt;DATE(2024,9,30),Sales_Deals!I1663&lt;=DATE(2025,3,31)),Sales_Deals!J1663,""),"")</f>
        <v/>
      </c>
      <c r="C1672" t="str">
        <f>IF(Sales_Deals!I1663&lt;&gt;"",IF(AND(Sales_Deals!I1663&gt;DATE(2024,3,31),Sales_Deals!I1663&lt;=DATE(2024,9,30)),Sales_Deals!J1663,""),"")</f>
        <v/>
      </c>
    </row>
    <row r="1673" spans="1:3" x14ac:dyDescent="0.35">
      <c r="A1673">
        <v>1663</v>
      </c>
      <c r="B1673" t="str">
        <f>IF(Sales_Deals!I1664&lt;&gt;"",IF(AND(Sales_Deals!I1664&gt;DATE(2024,9,30),Sales_Deals!I1664&lt;=DATE(2025,3,31)),Sales_Deals!J1664,""),"")</f>
        <v/>
      </c>
      <c r="C1673">
        <f>IF(Sales_Deals!I1664&lt;&gt;"",IF(AND(Sales_Deals!I1664&gt;DATE(2024,3,31),Sales_Deals!I1664&lt;=DATE(2024,9,30)),Sales_Deals!J1664,""),"")</f>
        <v>68</v>
      </c>
    </row>
    <row r="1674" spans="1:3" x14ac:dyDescent="0.35">
      <c r="A1674">
        <v>1664</v>
      </c>
      <c r="B1674" t="str">
        <f>IF(Sales_Deals!I1665&lt;&gt;"",IF(AND(Sales_Deals!I1665&gt;DATE(2024,9,30),Sales_Deals!I1665&lt;=DATE(2025,3,31)),Sales_Deals!J1665,""),"")</f>
        <v/>
      </c>
      <c r="C1674" t="str">
        <f>IF(Sales_Deals!I1665&lt;&gt;"",IF(AND(Sales_Deals!I1665&gt;DATE(2024,3,31),Sales_Deals!I1665&lt;=DATE(2024,9,30)),Sales_Deals!J1665,""),"")</f>
        <v/>
      </c>
    </row>
    <row r="1675" spans="1:3" x14ac:dyDescent="0.35">
      <c r="A1675">
        <v>1665</v>
      </c>
      <c r="B1675" t="str">
        <f>IF(Sales_Deals!I1666&lt;&gt;"",IF(AND(Sales_Deals!I1666&gt;DATE(2024,9,30),Sales_Deals!I1666&lt;=DATE(2025,3,31)),Sales_Deals!J1666,""),"")</f>
        <v/>
      </c>
      <c r="C1675" t="str">
        <f>IF(Sales_Deals!I1666&lt;&gt;"",IF(AND(Sales_Deals!I1666&gt;DATE(2024,3,31),Sales_Deals!I1666&lt;=DATE(2024,9,30)),Sales_Deals!J1666,""),"")</f>
        <v/>
      </c>
    </row>
    <row r="1676" spans="1:3" x14ac:dyDescent="0.35">
      <c r="A1676">
        <v>1666</v>
      </c>
      <c r="B1676" t="str">
        <f>IF(Sales_Deals!I1667&lt;&gt;"",IF(AND(Sales_Deals!I1667&gt;DATE(2024,9,30),Sales_Deals!I1667&lt;=DATE(2025,3,31)),Sales_Deals!J1667,""),"")</f>
        <v/>
      </c>
      <c r="C1676" t="str">
        <f>IF(Sales_Deals!I1667&lt;&gt;"",IF(AND(Sales_Deals!I1667&gt;DATE(2024,3,31),Sales_Deals!I1667&lt;=DATE(2024,9,30)),Sales_Deals!J1667,""),"")</f>
        <v/>
      </c>
    </row>
    <row r="1677" spans="1:3" x14ac:dyDescent="0.35">
      <c r="A1677">
        <v>1667</v>
      </c>
      <c r="B1677" t="str">
        <f>IF(Sales_Deals!I1668&lt;&gt;"",IF(AND(Sales_Deals!I1668&gt;DATE(2024,9,30),Sales_Deals!I1668&lt;=DATE(2025,3,31)),Sales_Deals!J1668,""),"")</f>
        <v/>
      </c>
      <c r="C1677" t="str">
        <f>IF(Sales_Deals!I1668&lt;&gt;"",IF(AND(Sales_Deals!I1668&gt;DATE(2024,3,31),Sales_Deals!I1668&lt;=DATE(2024,9,30)),Sales_Deals!J1668,""),"")</f>
        <v/>
      </c>
    </row>
    <row r="1678" spans="1:3" x14ac:dyDescent="0.35">
      <c r="A1678">
        <v>1668</v>
      </c>
      <c r="B1678" t="str">
        <f>IF(Sales_Deals!I1669&lt;&gt;"",IF(AND(Sales_Deals!I1669&gt;DATE(2024,9,30),Sales_Deals!I1669&lt;=DATE(2025,3,31)),Sales_Deals!J1669,""),"")</f>
        <v/>
      </c>
      <c r="C1678" t="str">
        <f>IF(Sales_Deals!I1669&lt;&gt;"",IF(AND(Sales_Deals!I1669&gt;DATE(2024,3,31),Sales_Deals!I1669&lt;=DATE(2024,9,30)),Sales_Deals!J1669,""),"")</f>
        <v/>
      </c>
    </row>
    <row r="1679" spans="1:3" x14ac:dyDescent="0.35">
      <c r="A1679">
        <v>1669</v>
      </c>
      <c r="B1679" t="str">
        <f>IF(Sales_Deals!I1670&lt;&gt;"",IF(AND(Sales_Deals!I1670&gt;DATE(2024,9,30),Sales_Deals!I1670&lt;=DATE(2025,3,31)),Sales_Deals!J1670,""),"")</f>
        <v/>
      </c>
      <c r="C1679" t="str">
        <f>IF(Sales_Deals!I1670&lt;&gt;"",IF(AND(Sales_Deals!I1670&gt;DATE(2024,3,31),Sales_Deals!I1670&lt;=DATE(2024,9,30)),Sales_Deals!J1670,""),"")</f>
        <v/>
      </c>
    </row>
    <row r="1680" spans="1:3" x14ac:dyDescent="0.35">
      <c r="A1680">
        <v>1670</v>
      </c>
      <c r="B1680" t="str">
        <f>IF(Sales_Deals!I1671&lt;&gt;"",IF(AND(Sales_Deals!I1671&gt;DATE(2024,9,30),Sales_Deals!I1671&lt;=DATE(2025,3,31)),Sales_Deals!J1671,""),"")</f>
        <v/>
      </c>
      <c r="C1680" t="str">
        <f>IF(Sales_Deals!I1671&lt;&gt;"",IF(AND(Sales_Deals!I1671&gt;DATE(2024,3,31),Sales_Deals!I1671&lt;=DATE(2024,9,30)),Sales_Deals!J1671,""),"")</f>
        <v/>
      </c>
    </row>
    <row r="1681" spans="1:3" x14ac:dyDescent="0.35">
      <c r="A1681">
        <v>1671</v>
      </c>
      <c r="B1681" t="str">
        <f>IF(Sales_Deals!I1672&lt;&gt;"",IF(AND(Sales_Deals!I1672&gt;DATE(2024,9,30),Sales_Deals!I1672&lt;=DATE(2025,3,31)),Sales_Deals!J1672,""),"")</f>
        <v/>
      </c>
      <c r="C1681" t="str">
        <f>IF(Sales_Deals!I1672&lt;&gt;"",IF(AND(Sales_Deals!I1672&gt;DATE(2024,3,31),Sales_Deals!I1672&lt;=DATE(2024,9,30)),Sales_Deals!J1672,""),"")</f>
        <v/>
      </c>
    </row>
    <row r="1682" spans="1:3" x14ac:dyDescent="0.35">
      <c r="A1682">
        <v>1672</v>
      </c>
      <c r="B1682">
        <f>IF(Sales_Deals!I1673&lt;&gt;"",IF(AND(Sales_Deals!I1673&gt;DATE(2024,9,30),Sales_Deals!I1673&lt;=DATE(2025,3,31)),Sales_Deals!J1673,""),"")</f>
        <v>72</v>
      </c>
      <c r="C1682" t="str">
        <f>IF(Sales_Deals!I1673&lt;&gt;"",IF(AND(Sales_Deals!I1673&gt;DATE(2024,3,31),Sales_Deals!I1673&lt;=DATE(2024,9,30)),Sales_Deals!J1673,""),"")</f>
        <v/>
      </c>
    </row>
    <row r="1683" spans="1:3" x14ac:dyDescent="0.35">
      <c r="A1683">
        <v>1673</v>
      </c>
      <c r="B1683" t="str">
        <f>IF(Sales_Deals!I1674&lt;&gt;"",IF(AND(Sales_Deals!I1674&gt;DATE(2024,9,30),Sales_Deals!I1674&lt;=DATE(2025,3,31)),Sales_Deals!J1674,""),"")</f>
        <v/>
      </c>
      <c r="C1683">
        <f>IF(Sales_Deals!I1674&lt;&gt;"",IF(AND(Sales_Deals!I1674&gt;DATE(2024,3,31),Sales_Deals!I1674&lt;=DATE(2024,9,30)),Sales_Deals!J1674,""),"")</f>
        <v>89</v>
      </c>
    </row>
    <row r="1684" spans="1:3" x14ac:dyDescent="0.35">
      <c r="A1684">
        <v>1674</v>
      </c>
      <c r="B1684" t="str">
        <f>IF(Sales_Deals!I1675&lt;&gt;"",IF(AND(Sales_Deals!I1675&gt;DATE(2024,9,30),Sales_Deals!I1675&lt;=DATE(2025,3,31)),Sales_Deals!J1675,""),"")</f>
        <v/>
      </c>
      <c r="C1684" t="str">
        <f>IF(Sales_Deals!I1675&lt;&gt;"",IF(AND(Sales_Deals!I1675&gt;DATE(2024,3,31),Sales_Deals!I1675&lt;=DATE(2024,9,30)),Sales_Deals!J1675,""),"")</f>
        <v/>
      </c>
    </row>
    <row r="1685" spans="1:3" x14ac:dyDescent="0.35">
      <c r="A1685">
        <v>1675</v>
      </c>
      <c r="B1685" t="str">
        <f>IF(Sales_Deals!I1676&lt;&gt;"",IF(AND(Sales_Deals!I1676&gt;DATE(2024,9,30),Sales_Deals!I1676&lt;=DATE(2025,3,31)),Sales_Deals!J1676,""),"")</f>
        <v/>
      </c>
      <c r="C1685" t="str">
        <f>IF(Sales_Deals!I1676&lt;&gt;"",IF(AND(Sales_Deals!I1676&gt;DATE(2024,3,31),Sales_Deals!I1676&lt;=DATE(2024,9,30)),Sales_Deals!J1676,""),"")</f>
        <v/>
      </c>
    </row>
    <row r="1686" spans="1:3" x14ac:dyDescent="0.35">
      <c r="A1686">
        <v>1676</v>
      </c>
      <c r="B1686" t="str">
        <f>IF(Sales_Deals!I1677&lt;&gt;"",IF(AND(Sales_Deals!I1677&gt;DATE(2024,9,30),Sales_Deals!I1677&lt;=DATE(2025,3,31)),Sales_Deals!J1677,""),"")</f>
        <v/>
      </c>
      <c r="C1686" t="str">
        <f>IF(Sales_Deals!I1677&lt;&gt;"",IF(AND(Sales_Deals!I1677&gt;DATE(2024,3,31),Sales_Deals!I1677&lt;=DATE(2024,9,30)),Sales_Deals!J1677,""),"")</f>
        <v/>
      </c>
    </row>
    <row r="1687" spans="1:3" x14ac:dyDescent="0.35">
      <c r="A1687">
        <v>1677</v>
      </c>
      <c r="B1687" t="str">
        <f>IF(Sales_Deals!I1678&lt;&gt;"",IF(AND(Sales_Deals!I1678&gt;DATE(2024,9,30),Sales_Deals!I1678&lt;=DATE(2025,3,31)),Sales_Deals!J1678,""),"")</f>
        <v/>
      </c>
      <c r="C1687" t="str">
        <f>IF(Sales_Deals!I1678&lt;&gt;"",IF(AND(Sales_Deals!I1678&gt;DATE(2024,3,31),Sales_Deals!I1678&lt;=DATE(2024,9,30)),Sales_Deals!J1678,""),"")</f>
        <v/>
      </c>
    </row>
    <row r="1688" spans="1:3" x14ac:dyDescent="0.35">
      <c r="A1688">
        <v>1678</v>
      </c>
      <c r="B1688">
        <f>IF(Sales_Deals!I1679&lt;&gt;"",IF(AND(Sales_Deals!I1679&gt;DATE(2024,9,30),Sales_Deals!I1679&lt;=DATE(2025,3,31)),Sales_Deals!J1679,""),"")</f>
        <v>15</v>
      </c>
      <c r="C1688" t="str">
        <f>IF(Sales_Deals!I1679&lt;&gt;"",IF(AND(Sales_Deals!I1679&gt;DATE(2024,3,31),Sales_Deals!I1679&lt;=DATE(2024,9,30)),Sales_Deals!J1679,""),"")</f>
        <v/>
      </c>
    </row>
    <row r="1689" spans="1:3" x14ac:dyDescent="0.35">
      <c r="A1689">
        <v>1679</v>
      </c>
      <c r="B1689" t="str">
        <f>IF(Sales_Deals!I1680&lt;&gt;"",IF(AND(Sales_Deals!I1680&gt;DATE(2024,9,30),Sales_Deals!I1680&lt;=DATE(2025,3,31)),Sales_Deals!J1680,""),"")</f>
        <v/>
      </c>
      <c r="C1689" t="str">
        <f>IF(Sales_Deals!I1680&lt;&gt;"",IF(AND(Sales_Deals!I1680&gt;DATE(2024,3,31),Sales_Deals!I1680&lt;=DATE(2024,9,30)),Sales_Deals!J1680,""),"")</f>
        <v/>
      </c>
    </row>
    <row r="1690" spans="1:3" x14ac:dyDescent="0.35">
      <c r="A1690">
        <v>1680</v>
      </c>
      <c r="B1690" t="str">
        <f>IF(Sales_Deals!I1681&lt;&gt;"",IF(AND(Sales_Deals!I1681&gt;DATE(2024,9,30),Sales_Deals!I1681&lt;=DATE(2025,3,31)),Sales_Deals!J1681,""),"")</f>
        <v/>
      </c>
      <c r="C1690" t="str">
        <f>IF(Sales_Deals!I1681&lt;&gt;"",IF(AND(Sales_Deals!I1681&gt;DATE(2024,3,31),Sales_Deals!I1681&lt;=DATE(2024,9,30)),Sales_Deals!J1681,""),"")</f>
        <v/>
      </c>
    </row>
    <row r="1691" spans="1:3" x14ac:dyDescent="0.35">
      <c r="A1691">
        <v>1681</v>
      </c>
      <c r="B1691" t="str">
        <f>IF(Sales_Deals!I1682&lt;&gt;"",IF(AND(Sales_Deals!I1682&gt;DATE(2024,9,30),Sales_Deals!I1682&lt;=DATE(2025,3,31)),Sales_Deals!J1682,""),"")</f>
        <v/>
      </c>
      <c r="C1691" t="str">
        <f>IF(Sales_Deals!I1682&lt;&gt;"",IF(AND(Sales_Deals!I1682&gt;DATE(2024,3,31),Sales_Deals!I1682&lt;=DATE(2024,9,30)),Sales_Deals!J1682,""),"")</f>
        <v/>
      </c>
    </row>
    <row r="1692" spans="1:3" x14ac:dyDescent="0.35">
      <c r="A1692">
        <v>1682</v>
      </c>
      <c r="B1692" t="str">
        <f>IF(Sales_Deals!I1683&lt;&gt;"",IF(AND(Sales_Deals!I1683&gt;DATE(2024,9,30),Sales_Deals!I1683&lt;=DATE(2025,3,31)),Sales_Deals!J1683,""),"")</f>
        <v/>
      </c>
      <c r="C1692" t="str">
        <f>IF(Sales_Deals!I1683&lt;&gt;"",IF(AND(Sales_Deals!I1683&gt;DATE(2024,3,31),Sales_Deals!I1683&lt;=DATE(2024,9,30)),Sales_Deals!J1683,""),"")</f>
        <v/>
      </c>
    </row>
    <row r="1693" spans="1:3" x14ac:dyDescent="0.35">
      <c r="A1693">
        <v>1683</v>
      </c>
      <c r="B1693" t="str">
        <f>IF(Sales_Deals!I1684&lt;&gt;"",IF(AND(Sales_Deals!I1684&gt;DATE(2024,9,30),Sales_Deals!I1684&lt;=DATE(2025,3,31)),Sales_Deals!J1684,""),"")</f>
        <v/>
      </c>
      <c r="C1693" t="str">
        <f>IF(Sales_Deals!I1684&lt;&gt;"",IF(AND(Sales_Deals!I1684&gt;DATE(2024,3,31),Sales_Deals!I1684&lt;=DATE(2024,9,30)),Sales_Deals!J1684,""),"")</f>
        <v/>
      </c>
    </row>
    <row r="1694" spans="1:3" x14ac:dyDescent="0.35">
      <c r="A1694">
        <v>1684</v>
      </c>
      <c r="B1694" t="str">
        <f>IF(Sales_Deals!I1685&lt;&gt;"",IF(AND(Sales_Deals!I1685&gt;DATE(2024,9,30),Sales_Deals!I1685&lt;=DATE(2025,3,31)),Sales_Deals!J1685,""),"")</f>
        <v/>
      </c>
      <c r="C1694">
        <f>IF(Sales_Deals!I1685&lt;&gt;"",IF(AND(Sales_Deals!I1685&gt;DATE(2024,3,31),Sales_Deals!I1685&lt;=DATE(2024,9,30)),Sales_Deals!J1685,""),"")</f>
        <v>52</v>
      </c>
    </row>
    <row r="1695" spans="1:3" x14ac:dyDescent="0.35">
      <c r="A1695">
        <v>1685</v>
      </c>
      <c r="B1695" t="str">
        <f>IF(Sales_Deals!I1686&lt;&gt;"",IF(AND(Sales_Deals!I1686&gt;DATE(2024,9,30),Sales_Deals!I1686&lt;=DATE(2025,3,31)),Sales_Deals!J1686,""),"")</f>
        <v/>
      </c>
      <c r="C1695" t="str">
        <f>IF(Sales_Deals!I1686&lt;&gt;"",IF(AND(Sales_Deals!I1686&gt;DATE(2024,3,31),Sales_Deals!I1686&lt;=DATE(2024,9,30)),Sales_Deals!J1686,""),"")</f>
        <v/>
      </c>
    </row>
    <row r="1696" spans="1:3" x14ac:dyDescent="0.35">
      <c r="A1696">
        <v>1686</v>
      </c>
      <c r="B1696" t="str">
        <f>IF(Sales_Deals!I1687&lt;&gt;"",IF(AND(Sales_Deals!I1687&gt;DATE(2024,9,30),Sales_Deals!I1687&lt;=DATE(2025,3,31)),Sales_Deals!J1687,""),"")</f>
        <v/>
      </c>
      <c r="C1696" t="str">
        <f>IF(Sales_Deals!I1687&lt;&gt;"",IF(AND(Sales_Deals!I1687&gt;DATE(2024,3,31),Sales_Deals!I1687&lt;=DATE(2024,9,30)),Sales_Deals!J1687,""),"")</f>
        <v/>
      </c>
    </row>
    <row r="1697" spans="1:3" x14ac:dyDescent="0.35">
      <c r="A1697">
        <v>1687</v>
      </c>
      <c r="B1697" t="str">
        <f>IF(Sales_Deals!I1688&lt;&gt;"",IF(AND(Sales_Deals!I1688&gt;DATE(2024,9,30),Sales_Deals!I1688&lt;=DATE(2025,3,31)),Sales_Deals!J1688,""),"")</f>
        <v/>
      </c>
      <c r="C1697" t="str">
        <f>IF(Sales_Deals!I1688&lt;&gt;"",IF(AND(Sales_Deals!I1688&gt;DATE(2024,3,31),Sales_Deals!I1688&lt;=DATE(2024,9,30)),Sales_Deals!J1688,""),"")</f>
        <v/>
      </c>
    </row>
    <row r="1698" spans="1:3" x14ac:dyDescent="0.35">
      <c r="A1698">
        <v>1688</v>
      </c>
      <c r="B1698" t="str">
        <f>IF(Sales_Deals!I1689&lt;&gt;"",IF(AND(Sales_Deals!I1689&gt;DATE(2024,9,30),Sales_Deals!I1689&lt;=DATE(2025,3,31)),Sales_Deals!J1689,""),"")</f>
        <v/>
      </c>
      <c r="C1698" t="str">
        <f>IF(Sales_Deals!I1689&lt;&gt;"",IF(AND(Sales_Deals!I1689&gt;DATE(2024,3,31),Sales_Deals!I1689&lt;=DATE(2024,9,30)),Sales_Deals!J1689,""),"")</f>
        <v/>
      </c>
    </row>
    <row r="1699" spans="1:3" x14ac:dyDescent="0.35">
      <c r="A1699">
        <v>1689</v>
      </c>
      <c r="B1699" t="str">
        <f>IF(Sales_Deals!I1690&lt;&gt;"",IF(AND(Sales_Deals!I1690&gt;DATE(2024,9,30),Sales_Deals!I1690&lt;=DATE(2025,3,31)),Sales_Deals!J1690,""),"")</f>
        <v/>
      </c>
      <c r="C1699" t="str">
        <f>IF(Sales_Deals!I1690&lt;&gt;"",IF(AND(Sales_Deals!I1690&gt;DATE(2024,3,31),Sales_Deals!I1690&lt;=DATE(2024,9,30)),Sales_Deals!J1690,""),"")</f>
        <v/>
      </c>
    </row>
    <row r="1700" spans="1:3" x14ac:dyDescent="0.35">
      <c r="A1700">
        <v>1690</v>
      </c>
      <c r="B1700" t="str">
        <f>IF(Sales_Deals!I1691&lt;&gt;"",IF(AND(Sales_Deals!I1691&gt;DATE(2024,9,30),Sales_Deals!I1691&lt;=DATE(2025,3,31)),Sales_Deals!J1691,""),"")</f>
        <v/>
      </c>
      <c r="C1700" t="str">
        <f>IF(Sales_Deals!I1691&lt;&gt;"",IF(AND(Sales_Deals!I1691&gt;DATE(2024,3,31),Sales_Deals!I1691&lt;=DATE(2024,9,30)),Sales_Deals!J1691,""),"")</f>
        <v/>
      </c>
    </row>
    <row r="1701" spans="1:3" x14ac:dyDescent="0.35">
      <c r="A1701">
        <v>1691</v>
      </c>
      <c r="B1701" t="str">
        <f>IF(Sales_Deals!I1692&lt;&gt;"",IF(AND(Sales_Deals!I1692&gt;DATE(2024,9,30),Sales_Deals!I1692&lt;=DATE(2025,3,31)),Sales_Deals!J1692,""),"")</f>
        <v/>
      </c>
      <c r="C1701" t="str">
        <f>IF(Sales_Deals!I1692&lt;&gt;"",IF(AND(Sales_Deals!I1692&gt;DATE(2024,3,31),Sales_Deals!I1692&lt;=DATE(2024,9,30)),Sales_Deals!J1692,""),"")</f>
        <v/>
      </c>
    </row>
    <row r="1702" spans="1:3" x14ac:dyDescent="0.35">
      <c r="A1702">
        <v>1692</v>
      </c>
      <c r="B1702" t="str">
        <f>IF(Sales_Deals!I1693&lt;&gt;"",IF(AND(Sales_Deals!I1693&gt;DATE(2024,9,30),Sales_Deals!I1693&lt;=DATE(2025,3,31)),Sales_Deals!J1693,""),"")</f>
        <v/>
      </c>
      <c r="C1702" t="str">
        <f>IF(Sales_Deals!I1693&lt;&gt;"",IF(AND(Sales_Deals!I1693&gt;DATE(2024,3,31),Sales_Deals!I1693&lt;=DATE(2024,9,30)),Sales_Deals!J1693,""),"")</f>
        <v/>
      </c>
    </row>
    <row r="1703" spans="1:3" x14ac:dyDescent="0.35">
      <c r="A1703">
        <v>1693</v>
      </c>
      <c r="B1703" t="str">
        <f>IF(Sales_Deals!I1694&lt;&gt;"",IF(AND(Sales_Deals!I1694&gt;DATE(2024,9,30),Sales_Deals!I1694&lt;=DATE(2025,3,31)),Sales_Deals!J1694,""),"")</f>
        <v/>
      </c>
      <c r="C1703">
        <f>IF(Sales_Deals!I1694&lt;&gt;"",IF(AND(Sales_Deals!I1694&gt;DATE(2024,3,31),Sales_Deals!I1694&lt;=DATE(2024,9,30)),Sales_Deals!J1694,""),"")</f>
        <v>19</v>
      </c>
    </row>
    <row r="1704" spans="1:3" x14ac:dyDescent="0.35">
      <c r="A1704">
        <v>1694</v>
      </c>
      <c r="B1704" t="str">
        <f>IF(Sales_Deals!I1695&lt;&gt;"",IF(AND(Sales_Deals!I1695&gt;DATE(2024,9,30),Sales_Deals!I1695&lt;=DATE(2025,3,31)),Sales_Deals!J1695,""),"")</f>
        <v/>
      </c>
      <c r="C1704" t="str">
        <f>IF(Sales_Deals!I1695&lt;&gt;"",IF(AND(Sales_Deals!I1695&gt;DATE(2024,3,31),Sales_Deals!I1695&lt;=DATE(2024,9,30)),Sales_Deals!J1695,""),"")</f>
        <v/>
      </c>
    </row>
    <row r="1705" spans="1:3" x14ac:dyDescent="0.35">
      <c r="A1705">
        <v>1695</v>
      </c>
      <c r="B1705" t="str">
        <f>IF(Sales_Deals!I1696&lt;&gt;"",IF(AND(Sales_Deals!I1696&gt;DATE(2024,9,30),Sales_Deals!I1696&lt;=DATE(2025,3,31)),Sales_Deals!J1696,""),"")</f>
        <v/>
      </c>
      <c r="C1705" t="str">
        <f>IF(Sales_Deals!I1696&lt;&gt;"",IF(AND(Sales_Deals!I1696&gt;DATE(2024,3,31),Sales_Deals!I1696&lt;=DATE(2024,9,30)),Sales_Deals!J1696,""),"")</f>
        <v/>
      </c>
    </row>
    <row r="1706" spans="1:3" x14ac:dyDescent="0.35">
      <c r="A1706">
        <v>1696</v>
      </c>
      <c r="B1706">
        <f>IF(Sales_Deals!I1697&lt;&gt;"",IF(AND(Sales_Deals!I1697&gt;DATE(2024,9,30),Sales_Deals!I1697&lt;=DATE(2025,3,31)),Sales_Deals!J1697,""),"")</f>
        <v>84</v>
      </c>
      <c r="C1706" t="str">
        <f>IF(Sales_Deals!I1697&lt;&gt;"",IF(AND(Sales_Deals!I1697&gt;DATE(2024,3,31),Sales_Deals!I1697&lt;=DATE(2024,9,30)),Sales_Deals!J1697,""),"")</f>
        <v/>
      </c>
    </row>
    <row r="1707" spans="1:3" x14ac:dyDescent="0.35">
      <c r="A1707">
        <v>1697</v>
      </c>
      <c r="B1707" t="str">
        <f>IF(Sales_Deals!I1698&lt;&gt;"",IF(AND(Sales_Deals!I1698&gt;DATE(2024,9,30),Sales_Deals!I1698&lt;=DATE(2025,3,31)),Sales_Deals!J1698,""),"")</f>
        <v/>
      </c>
      <c r="C1707" t="str">
        <f>IF(Sales_Deals!I1698&lt;&gt;"",IF(AND(Sales_Deals!I1698&gt;DATE(2024,3,31),Sales_Deals!I1698&lt;=DATE(2024,9,30)),Sales_Deals!J1698,""),"")</f>
        <v/>
      </c>
    </row>
    <row r="1708" spans="1:3" x14ac:dyDescent="0.35">
      <c r="A1708">
        <v>1698</v>
      </c>
      <c r="B1708" t="str">
        <f>IF(Sales_Deals!I1699&lt;&gt;"",IF(AND(Sales_Deals!I1699&gt;DATE(2024,9,30),Sales_Deals!I1699&lt;=DATE(2025,3,31)),Sales_Deals!J1699,""),"")</f>
        <v/>
      </c>
      <c r="C1708" t="str">
        <f>IF(Sales_Deals!I1699&lt;&gt;"",IF(AND(Sales_Deals!I1699&gt;DATE(2024,3,31),Sales_Deals!I1699&lt;=DATE(2024,9,30)),Sales_Deals!J1699,""),"")</f>
        <v/>
      </c>
    </row>
    <row r="1709" spans="1:3" x14ac:dyDescent="0.35">
      <c r="A1709">
        <v>1699</v>
      </c>
      <c r="B1709" t="str">
        <f>IF(Sales_Deals!I1700&lt;&gt;"",IF(AND(Sales_Deals!I1700&gt;DATE(2024,9,30),Sales_Deals!I1700&lt;=DATE(2025,3,31)),Sales_Deals!J1700,""),"")</f>
        <v/>
      </c>
      <c r="C1709" t="str">
        <f>IF(Sales_Deals!I1700&lt;&gt;"",IF(AND(Sales_Deals!I1700&gt;DATE(2024,3,31),Sales_Deals!I1700&lt;=DATE(2024,9,30)),Sales_Deals!J1700,""),"")</f>
        <v/>
      </c>
    </row>
    <row r="1710" spans="1:3" x14ac:dyDescent="0.35">
      <c r="A1710">
        <v>1700</v>
      </c>
      <c r="B1710" t="str">
        <f>IF(Sales_Deals!I1701&lt;&gt;"",IF(AND(Sales_Deals!I1701&gt;DATE(2024,9,30),Sales_Deals!I1701&lt;=DATE(2025,3,31)),Sales_Deals!J1701,""),"")</f>
        <v/>
      </c>
      <c r="C1710" t="str">
        <f>IF(Sales_Deals!I1701&lt;&gt;"",IF(AND(Sales_Deals!I1701&gt;DATE(2024,3,31),Sales_Deals!I1701&lt;=DATE(2024,9,30)),Sales_Deals!J1701,""),"")</f>
        <v/>
      </c>
    </row>
    <row r="1711" spans="1:3" x14ac:dyDescent="0.35">
      <c r="A1711">
        <v>1701</v>
      </c>
      <c r="B1711" t="str">
        <f>IF(Sales_Deals!I1702&lt;&gt;"",IF(AND(Sales_Deals!I1702&gt;DATE(2024,9,30),Sales_Deals!I1702&lt;=DATE(2025,3,31)),Sales_Deals!J1702,""),"")</f>
        <v/>
      </c>
      <c r="C1711" t="str">
        <f>IF(Sales_Deals!I1702&lt;&gt;"",IF(AND(Sales_Deals!I1702&gt;DATE(2024,3,31),Sales_Deals!I1702&lt;=DATE(2024,9,30)),Sales_Deals!J1702,""),"")</f>
        <v/>
      </c>
    </row>
    <row r="1712" spans="1:3" x14ac:dyDescent="0.35">
      <c r="A1712">
        <v>1702</v>
      </c>
      <c r="B1712" t="str">
        <f>IF(Sales_Deals!I1703&lt;&gt;"",IF(AND(Sales_Deals!I1703&gt;DATE(2024,9,30),Sales_Deals!I1703&lt;=DATE(2025,3,31)),Sales_Deals!J1703,""),"")</f>
        <v/>
      </c>
      <c r="C1712" t="str">
        <f>IF(Sales_Deals!I1703&lt;&gt;"",IF(AND(Sales_Deals!I1703&gt;DATE(2024,3,31),Sales_Deals!I1703&lt;=DATE(2024,9,30)),Sales_Deals!J1703,""),"")</f>
        <v/>
      </c>
    </row>
    <row r="1713" spans="1:3" x14ac:dyDescent="0.35">
      <c r="A1713">
        <v>1703</v>
      </c>
      <c r="B1713" t="str">
        <f>IF(Sales_Deals!I1704&lt;&gt;"",IF(AND(Sales_Deals!I1704&gt;DATE(2024,9,30),Sales_Deals!I1704&lt;=DATE(2025,3,31)),Sales_Deals!J1704,""),"")</f>
        <v/>
      </c>
      <c r="C1713" t="str">
        <f>IF(Sales_Deals!I1704&lt;&gt;"",IF(AND(Sales_Deals!I1704&gt;DATE(2024,3,31),Sales_Deals!I1704&lt;=DATE(2024,9,30)),Sales_Deals!J1704,""),"")</f>
        <v/>
      </c>
    </row>
    <row r="1714" spans="1:3" x14ac:dyDescent="0.35">
      <c r="A1714">
        <v>1704</v>
      </c>
      <c r="B1714" t="str">
        <f>IF(Sales_Deals!I1705&lt;&gt;"",IF(AND(Sales_Deals!I1705&gt;DATE(2024,9,30),Sales_Deals!I1705&lt;=DATE(2025,3,31)),Sales_Deals!J1705,""),"")</f>
        <v/>
      </c>
      <c r="C1714" t="str">
        <f>IF(Sales_Deals!I1705&lt;&gt;"",IF(AND(Sales_Deals!I1705&gt;DATE(2024,3,31),Sales_Deals!I1705&lt;=DATE(2024,9,30)),Sales_Deals!J1705,""),"")</f>
        <v/>
      </c>
    </row>
    <row r="1715" spans="1:3" x14ac:dyDescent="0.35">
      <c r="A1715">
        <v>1705</v>
      </c>
      <c r="B1715" t="str">
        <f>IF(Sales_Deals!I1706&lt;&gt;"",IF(AND(Sales_Deals!I1706&gt;DATE(2024,9,30),Sales_Deals!I1706&lt;=DATE(2025,3,31)),Sales_Deals!J1706,""),"")</f>
        <v/>
      </c>
      <c r="C1715" t="str">
        <f>IF(Sales_Deals!I1706&lt;&gt;"",IF(AND(Sales_Deals!I1706&gt;DATE(2024,3,31),Sales_Deals!I1706&lt;=DATE(2024,9,30)),Sales_Deals!J1706,""),"")</f>
        <v/>
      </c>
    </row>
    <row r="1716" spans="1:3" x14ac:dyDescent="0.35">
      <c r="A1716">
        <v>1706</v>
      </c>
      <c r="B1716" t="str">
        <f>IF(Sales_Deals!I1707&lt;&gt;"",IF(AND(Sales_Deals!I1707&gt;DATE(2024,9,30),Sales_Deals!I1707&lt;=DATE(2025,3,31)),Sales_Deals!J1707,""),"")</f>
        <v/>
      </c>
      <c r="C1716" t="str">
        <f>IF(Sales_Deals!I1707&lt;&gt;"",IF(AND(Sales_Deals!I1707&gt;DATE(2024,3,31),Sales_Deals!I1707&lt;=DATE(2024,9,30)),Sales_Deals!J1707,""),"")</f>
        <v/>
      </c>
    </row>
    <row r="1717" spans="1:3" x14ac:dyDescent="0.35">
      <c r="A1717">
        <v>1707</v>
      </c>
      <c r="B1717" t="str">
        <f>IF(Sales_Deals!I1708&lt;&gt;"",IF(AND(Sales_Deals!I1708&gt;DATE(2024,9,30),Sales_Deals!I1708&lt;=DATE(2025,3,31)),Sales_Deals!J1708,""),"")</f>
        <v/>
      </c>
      <c r="C1717">
        <f>IF(Sales_Deals!I1708&lt;&gt;"",IF(AND(Sales_Deals!I1708&gt;DATE(2024,3,31),Sales_Deals!I1708&lt;=DATE(2024,9,30)),Sales_Deals!J1708,""),"")</f>
        <v>15</v>
      </c>
    </row>
    <row r="1718" spans="1:3" x14ac:dyDescent="0.35">
      <c r="A1718">
        <v>1708</v>
      </c>
      <c r="B1718" t="str">
        <f>IF(Sales_Deals!I1709&lt;&gt;"",IF(AND(Sales_Deals!I1709&gt;DATE(2024,9,30),Sales_Deals!I1709&lt;=DATE(2025,3,31)),Sales_Deals!J1709,""),"")</f>
        <v/>
      </c>
      <c r="C1718" t="str">
        <f>IF(Sales_Deals!I1709&lt;&gt;"",IF(AND(Sales_Deals!I1709&gt;DATE(2024,3,31),Sales_Deals!I1709&lt;=DATE(2024,9,30)),Sales_Deals!J1709,""),"")</f>
        <v/>
      </c>
    </row>
    <row r="1719" spans="1:3" x14ac:dyDescent="0.35">
      <c r="A1719">
        <v>1709</v>
      </c>
      <c r="B1719" t="str">
        <f>IF(Sales_Deals!I1710&lt;&gt;"",IF(AND(Sales_Deals!I1710&gt;DATE(2024,9,30),Sales_Deals!I1710&lt;=DATE(2025,3,31)),Sales_Deals!J1710,""),"")</f>
        <v/>
      </c>
      <c r="C1719" t="str">
        <f>IF(Sales_Deals!I1710&lt;&gt;"",IF(AND(Sales_Deals!I1710&gt;DATE(2024,3,31),Sales_Deals!I1710&lt;=DATE(2024,9,30)),Sales_Deals!J1710,""),"")</f>
        <v/>
      </c>
    </row>
    <row r="1720" spans="1:3" x14ac:dyDescent="0.35">
      <c r="A1720">
        <v>1710</v>
      </c>
      <c r="B1720" t="str">
        <f>IF(Sales_Deals!I1711&lt;&gt;"",IF(AND(Sales_Deals!I1711&gt;DATE(2024,9,30),Sales_Deals!I1711&lt;=DATE(2025,3,31)),Sales_Deals!J1711,""),"")</f>
        <v/>
      </c>
      <c r="C1720" t="str">
        <f>IF(Sales_Deals!I1711&lt;&gt;"",IF(AND(Sales_Deals!I1711&gt;DATE(2024,3,31),Sales_Deals!I1711&lt;=DATE(2024,9,30)),Sales_Deals!J1711,""),"")</f>
        <v/>
      </c>
    </row>
    <row r="1721" spans="1:3" x14ac:dyDescent="0.35">
      <c r="A1721">
        <v>1711</v>
      </c>
      <c r="B1721" t="str">
        <f>IF(Sales_Deals!I1712&lt;&gt;"",IF(AND(Sales_Deals!I1712&gt;DATE(2024,9,30),Sales_Deals!I1712&lt;=DATE(2025,3,31)),Sales_Deals!J1712,""),"")</f>
        <v/>
      </c>
      <c r="C1721" t="str">
        <f>IF(Sales_Deals!I1712&lt;&gt;"",IF(AND(Sales_Deals!I1712&gt;DATE(2024,3,31),Sales_Deals!I1712&lt;=DATE(2024,9,30)),Sales_Deals!J1712,""),"")</f>
        <v/>
      </c>
    </row>
    <row r="1722" spans="1:3" x14ac:dyDescent="0.35">
      <c r="A1722">
        <v>1712</v>
      </c>
      <c r="B1722" t="str">
        <f>IF(Sales_Deals!I1713&lt;&gt;"",IF(AND(Sales_Deals!I1713&gt;DATE(2024,9,30),Sales_Deals!I1713&lt;=DATE(2025,3,31)),Sales_Deals!J1713,""),"")</f>
        <v/>
      </c>
      <c r="C1722" t="str">
        <f>IF(Sales_Deals!I1713&lt;&gt;"",IF(AND(Sales_Deals!I1713&gt;DATE(2024,3,31),Sales_Deals!I1713&lt;=DATE(2024,9,30)),Sales_Deals!J1713,""),"")</f>
        <v/>
      </c>
    </row>
    <row r="1723" spans="1:3" x14ac:dyDescent="0.35">
      <c r="A1723">
        <v>1713</v>
      </c>
      <c r="B1723" t="str">
        <f>IF(Sales_Deals!I1714&lt;&gt;"",IF(AND(Sales_Deals!I1714&gt;DATE(2024,9,30),Sales_Deals!I1714&lt;=DATE(2025,3,31)),Sales_Deals!J1714,""),"")</f>
        <v/>
      </c>
      <c r="C1723" t="str">
        <f>IF(Sales_Deals!I1714&lt;&gt;"",IF(AND(Sales_Deals!I1714&gt;DATE(2024,3,31),Sales_Deals!I1714&lt;=DATE(2024,9,30)),Sales_Deals!J1714,""),"")</f>
        <v/>
      </c>
    </row>
    <row r="1724" spans="1:3" x14ac:dyDescent="0.35">
      <c r="A1724">
        <v>1714</v>
      </c>
      <c r="B1724" t="str">
        <f>IF(Sales_Deals!I1715&lt;&gt;"",IF(AND(Sales_Deals!I1715&gt;DATE(2024,9,30),Sales_Deals!I1715&lt;=DATE(2025,3,31)),Sales_Deals!J1715,""),"")</f>
        <v/>
      </c>
      <c r="C1724" t="str">
        <f>IF(Sales_Deals!I1715&lt;&gt;"",IF(AND(Sales_Deals!I1715&gt;DATE(2024,3,31),Sales_Deals!I1715&lt;=DATE(2024,9,30)),Sales_Deals!J1715,""),"")</f>
        <v/>
      </c>
    </row>
    <row r="1725" spans="1:3" x14ac:dyDescent="0.35">
      <c r="A1725">
        <v>1715</v>
      </c>
      <c r="B1725" t="str">
        <f>IF(Sales_Deals!I1716&lt;&gt;"",IF(AND(Sales_Deals!I1716&gt;DATE(2024,9,30),Sales_Deals!I1716&lt;=DATE(2025,3,31)),Sales_Deals!J1716,""),"")</f>
        <v/>
      </c>
      <c r="C1725" t="str">
        <f>IF(Sales_Deals!I1716&lt;&gt;"",IF(AND(Sales_Deals!I1716&gt;DATE(2024,3,31),Sales_Deals!I1716&lt;=DATE(2024,9,30)),Sales_Deals!J1716,""),"")</f>
        <v/>
      </c>
    </row>
    <row r="1726" spans="1:3" x14ac:dyDescent="0.35">
      <c r="A1726">
        <v>1716</v>
      </c>
      <c r="B1726" t="str">
        <f>IF(Sales_Deals!I1717&lt;&gt;"",IF(AND(Sales_Deals!I1717&gt;DATE(2024,9,30),Sales_Deals!I1717&lt;=DATE(2025,3,31)),Sales_Deals!J1717,""),"")</f>
        <v/>
      </c>
      <c r="C1726" t="str">
        <f>IF(Sales_Deals!I1717&lt;&gt;"",IF(AND(Sales_Deals!I1717&gt;DATE(2024,3,31),Sales_Deals!I1717&lt;=DATE(2024,9,30)),Sales_Deals!J1717,""),"")</f>
        <v/>
      </c>
    </row>
    <row r="1727" spans="1:3" x14ac:dyDescent="0.35">
      <c r="A1727">
        <v>1717</v>
      </c>
      <c r="B1727" t="str">
        <f>IF(Sales_Deals!I1718&lt;&gt;"",IF(AND(Sales_Deals!I1718&gt;DATE(2024,9,30),Sales_Deals!I1718&lt;=DATE(2025,3,31)),Sales_Deals!J1718,""),"")</f>
        <v/>
      </c>
      <c r="C1727" t="str">
        <f>IF(Sales_Deals!I1718&lt;&gt;"",IF(AND(Sales_Deals!I1718&gt;DATE(2024,3,31),Sales_Deals!I1718&lt;=DATE(2024,9,30)),Sales_Deals!J1718,""),"")</f>
        <v/>
      </c>
    </row>
    <row r="1728" spans="1:3" x14ac:dyDescent="0.35">
      <c r="A1728">
        <v>1718</v>
      </c>
      <c r="B1728" t="str">
        <f>IF(Sales_Deals!I1719&lt;&gt;"",IF(AND(Sales_Deals!I1719&gt;DATE(2024,9,30),Sales_Deals!I1719&lt;=DATE(2025,3,31)),Sales_Deals!J1719,""),"")</f>
        <v/>
      </c>
      <c r="C1728" t="str">
        <f>IF(Sales_Deals!I1719&lt;&gt;"",IF(AND(Sales_Deals!I1719&gt;DATE(2024,3,31),Sales_Deals!I1719&lt;=DATE(2024,9,30)),Sales_Deals!J1719,""),"")</f>
        <v/>
      </c>
    </row>
    <row r="1729" spans="1:3" x14ac:dyDescent="0.35">
      <c r="A1729">
        <v>1719</v>
      </c>
      <c r="B1729" t="str">
        <f>IF(Sales_Deals!I1720&lt;&gt;"",IF(AND(Sales_Deals!I1720&gt;DATE(2024,9,30),Sales_Deals!I1720&lt;=DATE(2025,3,31)),Sales_Deals!J1720,""),"")</f>
        <v/>
      </c>
      <c r="C1729" t="str">
        <f>IF(Sales_Deals!I1720&lt;&gt;"",IF(AND(Sales_Deals!I1720&gt;DATE(2024,3,31),Sales_Deals!I1720&lt;=DATE(2024,9,30)),Sales_Deals!J1720,""),"")</f>
        <v/>
      </c>
    </row>
    <row r="1730" spans="1:3" x14ac:dyDescent="0.35">
      <c r="A1730">
        <v>1720</v>
      </c>
      <c r="B1730" t="str">
        <f>IF(Sales_Deals!I1721&lt;&gt;"",IF(AND(Sales_Deals!I1721&gt;DATE(2024,9,30),Sales_Deals!I1721&lt;=DATE(2025,3,31)),Sales_Deals!J1721,""),"")</f>
        <v/>
      </c>
      <c r="C1730" t="str">
        <f>IF(Sales_Deals!I1721&lt;&gt;"",IF(AND(Sales_Deals!I1721&gt;DATE(2024,3,31),Sales_Deals!I1721&lt;=DATE(2024,9,30)),Sales_Deals!J1721,""),"")</f>
        <v/>
      </c>
    </row>
    <row r="1731" spans="1:3" x14ac:dyDescent="0.35">
      <c r="A1731">
        <v>1721</v>
      </c>
      <c r="B1731" t="str">
        <f>IF(Sales_Deals!I1722&lt;&gt;"",IF(AND(Sales_Deals!I1722&gt;DATE(2024,9,30),Sales_Deals!I1722&lt;=DATE(2025,3,31)),Sales_Deals!J1722,""),"")</f>
        <v/>
      </c>
      <c r="C1731" t="str">
        <f>IF(Sales_Deals!I1722&lt;&gt;"",IF(AND(Sales_Deals!I1722&gt;DATE(2024,3,31),Sales_Deals!I1722&lt;=DATE(2024,9,30)),Sales_Deals!J1722,""),"")</f>
        <v/>
      </c>
    </row>
    <row r="1732" spans="1:3" x14ac:dyDescent="0.35">
      <c r="A1732">
        <v>1722</v>
      </c>
      <c r="B1732" t="str">
        <f>IF(Sales_Deals!I1723&lt;&gt;"",IF(AND(Sales_Deals!I1723&gt;DATE(2024,9,30),Sales_Deals!I1723&lt;=DATE(2025,3,31)),Sales_Deals!J1723,""),"")</f>
        <v/>
      </c>
      <c r="C1732" t="str">
        <f>IF(Sales_Deals!I1723&lt;&gt;"",IF(AND(Sales_Deals!I1723&gt;DATE(2024,3,31),Sales_Deals!I1723&lt;=DATE(2024,9,30)),Sales_Deals!J1723,""),"")</f>
        <v/>
      </c>
    </row>
    <row r="1733" spans="1:3" x14ac:dyDescent="0.35">
      <c r="A1733">
        <v>1723</v>
      </c>
      <c r="B1733">
        <f>IF(Sales_Deals!I1724&lt;&gt;"",IF(AND(Sales_Deals!I1724&gt;DATE(2024,9,30),Sales_Deals!I1724&lt;=DATE(2025,3,31)),Sales_Deals!J1724,""),"")</f>
        <v>169</v>
      </c>
      <c r="C1733" t="str">
        <f>IF(Sales_Deals!I1724&lt;&gt;"",IF(AND(Sales_Deals!I1724&gt;DATE(2024,3,31),Sales_Deals!I1724&lt;=DATE(2024,9,30)),Sales_Deals!J1724,""),"")</f>
        <v/>
      </c>
    </row>
    <row r="1734" spans="1:3" x14ac:dyDescent="0.35">
      <c r="A1734">
        <v>1724</v>
      </c>
      <c r="B1734" t="str">
        <f>IF(Sales_Deals!I1725&lt;&gt;"",IF(AND(Sales_Deals!I1725&gt;DATE(2024,9,30),Sales_Deals!I1725&lt;=DATE(2025,3,31)),Sales_Deals!J1725,""),"")</f>
        <v/>
      </c>
      <c r="C1734" t="str">
        <f>IF(Sales_Deals!I1725&lt;&gt;"",IF(AND(Sales_Deals!I1725&gt;DATE(2024,3,31),Sales_Deals!I1725&lt;=DATE(2024,9,30)),Sales_Deals!J1725,""),"")</f>
        <v/>
      </c>
    </row>
    <row r="1735" spans="1:3" x14ac:dyDescent="0.35">
      <c r="A1735">
        <v>1725</v>
      </c>
      <c r="B1735" t="str">
        <f>IF(Sales_Deals!I1726&lt;&gt;"",IF(AND(Sales_Deals!I1726&gt;DATE(2024,9,30),Sales_Deals!I1726&lt;=DATE(2025,3,31)),Sales_Deals!J1726,""),"")</f>
        <v/>
      </c>
      <c r="C1735" t="str">
        <f>IF(Sales_Deals!I1726&lt;&gt;"",IF(AND(Sales_Deals!I1726&gt;DATE(2024,3,31),Sales_Deals!I1726&lt;=DATE(2024,9,30)),Sales_Deals!J1726,""),"")</f>
        <v/>
      </c>
    </row>
    <row r="1736" spans="1:3" x14ac:dyDescent="0.35">
      <c r="A1736">
        <v>1726</v>
      </c>
      <c r="B1736" t="str">
        <f>IF(Sales_Deals!I1727&lt;&gt;"",IF(AND(Sales_Deals!I1727&gt;DATE(2024,9,30),Sales_Deals!I1727&lt;=DATE(2025,3,31)),Sales_Deals!J1727,""),"")</f>
        <v/>
      </c>
      <c r="C1736" t="str">
        <f>IF(Sales_Deals!I1727&lt;&gt;"",IF(AND(Sales_Deals!I1727&gt;DATE(2024,3,31),Sales_Deals!I1727&lt;=DATE(2024,9,30)),Sales_Deals!J1727,""),"")</f>
        <v/>
      </c>
    </row>
    <row r="1737" spans="1:3" x14ac:dyDescent="0.35">
      <c r="A1737">
        <v>1727</v>
      </c>
      <c r="B1737" t="str">
        <f>IF(Sales_Deals!I1728&lt;&gt;"",IF(AND(Sales_Deals!I1728&gt;DATE(2024,9,30),Sales_Deals!I1728&lt;=DATE(2025,3,31)),Sales_Deals!J1728,""),"")</f>
        <v/>
      </c>
      <c r="C1737" t="str">
        <f>IF(Sales_Deals!I1728&lt;&gt;"",IF(AND(Sales_Deals!I1728&gt;DATE(2024,3,31),Sales_Deals!I1728&lt;=DATE(2024,9,30)),Sales_Deals!J1728,""),"")</f>
        <v/>
      </c>
    </row>
    <row r="1738" spans="1:3" x14ac:dyDescent="0.35">
      <c r="A1738">
        <v>1728</v>
      </c>
      <c r="B1738" t="str">
        <f>IF(Sales_Deals!I1729&lt;&gt;"",IF(AND(Sales_Deals!I1729&gt;DATE(2024,9,30),Sales_Deals!I1729&lt;=DATE(2025,3,31)),Sales_Deals!J1729,""),"")</f>
        <v/>
      </c>
      <c r="C1738" t="str">
        <f>IF(Sales_Deals!I1729&lt;&gt;"",IF(AND(Sales_Deals!I1729&gt;DATE(2024,3,31),Sales_Deals!I1729&lt;=DATE(2024,9,30)),Sales_Deals!J1729,""),"")</f>
        <v/>
      </c>
    </row>
    <row r="1739" spans="1:3" x14ac:dyDescent="0.35">
      <c r="A1739">
        <v>1729</v>
      </c>
      <c r="B1739" t="str">
        <f>IF(Sales_Deals!I1730&lt;&gt;"",IF(AND(Sales_Deals!I1730&gt;DATE(2024,9,30),Sales_Deals!I1730&lt;=DATE(2025,3,31)),Sales_Deals!J1730,""),"")</f>
        <v/>
      </c>
      <c r="C1739" t="str">
        <f>IF(Sales_Deals!I1730&lt;&gt;"",IF(AND(Sales_Deals!I1730&gt;DATE(2024,3,31),Sales_Deals!I1730&lt;=DATE(2024,9,30)),Sales_Deals!J1730,""),"")</f>
        <v/>
      </c>
    </row>
    <row r="1740" spans="1:3" x14ac:dyDescent="0.35">
      <c r="A1740">
        <v>1730</v>
      </c>
      <c r="B1740" t="str">
        <f>IF(Sales_Deals!I1731&lt;&gt;"",IF(AND(Sales_Deals!I1731&gt;DATE(2024,9,30),Sales_Deals!I1731&lt;=DATE(2025,3,31)),Sales_Deals!J1731,""),"")</f>
        <v/>
      </c>
      <c r="C1740" t="str">
        <f>IF(Sales_Deals!I1731&lt;&gt;"",IF(AND(Sales_Deals!I1731&gt;DATE(2024,3,31),Sales_Deals!I1731&lt;=DATE(2024,9,30)),Sales_Deals!J1731,""),"")</f>
        <v/>
      </c>
    </row>
    <row r="1741" spans="1:3" x14ac:dyDescent="0.35">
      <c r="A1741">
        <v>1731</v>
      </c>
      <c r="B1741" t="str">
        <f>IF(Sales_Deals!I1732&lt;&gt;"",IF(AND(Sales_Deals!I1732&gt;DATE(2024,9,30),Sales_Deals!I1732&lt;=DATE(2025,3,31)),Sales_Deals!J1732,""),"")</f>
        <v/>
      </c>
      <c r="C1741" t="str">
        <f>IF(Sales_Deals!I1732&lt;&gt;"",IF(AND(Sales_Deals!I1732&gt;DATE(2024,3,31),Sales_Deals!I1732&lt;=DATE(2024,9,30)),Sales_Deals!J1732,""),"")</f>
        <v/>
      </c>
    </row>
    <row r="1742" spans="1:3" x14ac:dyDescent="0.35">
      <c r="A1742">
        <v>1732</v>
      </c>
      <c r="B1742" t="str">
        <f>IF(Sales_Deals!I1733&lt;&gt;"",IF(AND(Sales_Deals!I1733&gt;DATE(2024,9,30),Sales_Deals!I1733&lt;=DATE(2025,3,31)),Sales_Deals!J1733,""),"")</f>
        <v/>
      </c>
      <c r="C1742" t="str">
        <f>IF(Sales_Deals!I1733&lt;&gt;"",IF(AND(Sales_Deals!I1733&gt;DATE(2024,3,31),Sales_Deals!I1733&lt;=DATE(2024,9,30)),Sales_Deals!J1733,""),"")</f>
        <v/>
      </c>
    </row>
    <row r="1743" spans="1:3" x14ac:dyDescent="0.35">
      <c r="A1743">
        <v>1733</v>
      </c>
      <c r="B1743">
        <f>IF(Sales_Deals!I1734&lt;&gt;"",IF(AND(Sales_Deals!I1734&gt;DATE(2024,9,30),Sales_Deals!I1734&lt;=DATE(2025,3,31)),Sales_Deals!J1734,""),"")</f>
        <v>167</v>
      </c>
      <c r="C1743" t="str">
        <f>IF(Sales_Deals!I1734&lt;&gt;"",IF(AND(Sales_Deals!I1734&gt;DATE(2024,3,31),Sales_Deals!I1734&lt;=DATE(2024,9,30)),Sales_Deals!J1734,""),"")</f>
        <v/>
      </c>
    </row>
    <row r="1744" spans="1:3" x14ac:dyDescent="0.35">
      <c r="A1744">
        <v>1734</v>
      </c>
      <c r="B1744" t="str">
        <f>IF(Sales_Deals!I1735&lt;&gt;"",IF(AND(Sales_Deals!I1735&gt;DATE(2024,9,30),Sales_Deals!I1735&lt;=DATE(2025,3,31)),Sales_Deals!J1735,""),"")</f>
        <v/>
      </c>
      <c r="C1744" t="str">
        <f>IF(Sales_Deals!I1735&lt;&gt;"",IF(AND(Sales_Deals!I1735&gt;DATE(2024,3,31),Sales_Deals!I1735&lt;=DATE(2024,9,30)),Sales_Deals!J1735,""),"")</f>
        <v/>
      </c>
    </row>
    <row r="1745" spans="1:3" x14ac:dyDescent="0.35">
      <c r="A1745">
        <v>1735</v>
      </c>
      <c r="B1745" t="str">
        <f>IF(Sales_Deals!I1736&lt;&gt;"",IF(AND(Sales_Deals!I1736&gt;DATE(2024,9,30),Sales_Deals!I1736&lt;=DATE(2025,3,31)),Sales_Deals!J1736,""),"")</f>
        <v/>
      </c>
      <c r="C1745">
        <f>IF(Sales_Deals!I1736&lt;&gt;"",IF(AND(Sales_Deals!I1736&gt;DATE(2024,3,31),Sales_Deals!I1736&lt;=DATE(2024,9,30)),Sales_Deals!J1736,""),"")</f>
        <v>144</v>
      </c>
    </row>
    <row r="1746" spans="1:3" x14ac:dyDescent="0.35">
      <c r="A1746">
        <v>1736</v>
      </c>
      <c r="B1746" t="str">
        <f>IF(Sales_Deals!I1737&lt;&gt;"",IF(AND(Sales_Deals!I1737&gt;DATE(2024,9,30),Sales_Deals!I1737&lt;=DATE(2025,3,31)),Sales_Deals!J1737,""),"")</f>
        <v/>
      </c>
      <c r="C1746" t="str">
        <f>IF(Sales_Deals!I1737&lt;&gt;"",IF(AND(Sales_Deals!I1737&gt;DATE(2024,3,31),Sales_Deals!I1737&lt;=DATE(2024,9,30)),Sales_Deals!J1737,""),"")</f>
        <v/>
      </c>
    </row>
    <row r="1747" spans="1:3" x14ac:dyDescent="0.35">
      <c r="A1747">
        <v>1737</v>
      </c>
      <c r="B1747" t="str">
        <f>IF(Sales_Deals!I1738&lt;&gt;"",IF(AND(Sales_Deals!I1738&gt;DATE(2024,9,30),Sales_Deals!I1738&lt;=DATE(2025,3,31)),Sales_Deals!J1738,""),"")</f>
        <v/>
      </c>
      <c r="C1747" t="str">
        <f>IF(Sales_Deals!I1738&lt;&gt;"",IF(AND(Sales_Deals!I1738&gt;DATE(2024,3,31),Sales_Deals!I1738&lt;=DATE(2024,9,30)),Sales_Deals!J1738,""),"")</f>
        <v/>
      </c>
    </row>
    <row r="1748" spans="1:3" x14ac:dyDescent="0.35">
      <c r="A1748">
        <v>1738</v>
      </c>
      <c r="B1748" t="str">
        <f>IF(Sales_Deals!I1739&lt;&gt;"",IF(AND(Sales_Deals!I1739&gt;DATE(2024,9,30),Sales_Deals!I1739&lt;=DATE(2025,3,31)),Sales_Deals!J1739,""),"")</f>
        <v/>
      </c>
      <c r="C1748" t="str">
        <f>IF(Sales_Deals!I1739&lt;&gt;"",IF(AND(Sales_Deals!I1739&gt;DATE(2024,3,31),Sales_Deals!I1739&lt;=DATE(2024,9,30)),Sales_Deals!J1739,""),"")</f>
        <v/>
      </c>
    </row>
    <row r="1749" spans="1:3" x14ac:dyDescent="0.35">
      <c r="A1749">
        <v>1739</v>
      </c>
      <c r="B1749" t="str">
        <f>IF(Sales_Deals!I1740&lt;&gt;"",IF(AND(Sales_Deals!I1740&gt;DATE(2024,9,30),Sales_Deals!I1740&lt;=DATE(2025,3,31)),Sales_Deals!J1740,""),"")</f>
        <v/>
      </c>
      <c r="C1749" t="str">
        <f>IF(Sales_Deals!I1740&lt;&gt;"",IF(AND(Sales_Deals!I1740&gt;DATE(2024,3,31),Sales_Deals!I1740&lt;=DATE(2024,9,30)),Sales_Deals!J1740,""),"")</f>
        <v/>
      </c>
    </row>
    <row r="1750" spans="1:3" x14ac:dyDescent="0.35">
      <c r="A1750">
        <v>1740</v>
      </c>
      <c r="B1750" t="str">
        <f>IF(Sales_Deals!I1741&lt;&gt;"",IF(AND(Sales_Deals!I1741&gt;DATE(2024,9,30),Sales_Deals!I1741&lt;=DATE(2025,3,31)),Sales_Deals!J1741,""),"")</f>
        <v/>
      </c>
      <c r="C1750" t="str">
        <f>IF(Sales_Deals!I1741&lt;&gt;"",IF(AND(Sales_Deals!I1741&gt;DATE(2024,3,31),Sales_Deals!I1741&lt;=DATE(2024,9,30)),Sales_Deals!J1741,""),"")</f>
        <v/>
      </c>
    </row>
    <row r="1751" spans="1:3" x14ac:dyDescent="0.35">
      <c r="A1751">
        <v>1741</v>
      </c>
      <c r="B1751" t="str">
        <f>IF(Sales_Deals!I1742&lt;&gt;"",IF(AND(Sales_Deals!I1742&gt;DATE(2024,9,30),Sales_Deals!I1742&lt;=DATE(2025,3,31)),Sales_Deals!J1742,""),"")</f>
        <v/>
      </c>
      <c r="C1751">
        <f>IF(Sales_Deals!I1742&lt;&gt;"",IF(AND(Sales_Deals!I1742&gt;DATE(2024,3,31),Sales_Deals!I1742&lt;=DATE(2024,9,30)),Sales_Deals!J1742,""),"")</f>
        <v>42</v>
      </c>
    </row>
    <row r="1752" spans="1:3" x14ac:dyDescent="0.35">
      <c r="A1752">
        <v>1742</v>
      </c>
      <c r="B1752" t="str">
        <f>IF(Sales_Deals!I1743&lt;&gt;"",IF(AND(Sales_Deals!I1743&gt;DATE(2024,9,30),Sales_Deals!I1743&lt;=DATE(2025,3,31)),Sales_Deals!J1743,""),"")</f>
        <v/>
      </c>
      <c r="C1752" t="str">
        <f>IF(Sales_Deals!I1743&lt;&gt;"",IF(AND(Sales_Deals!I1743&gt;DATE(2024,3,31),Sales_Deals!I1743&lt;=DATE(2024,9,30)),Sales_Deals!J1743,""),"")</f>
        <v/>
      </c>
    </row>
    <row r="1753" spans="1:3" x14ac:dyDescent="0.35">
      <c r="A1753">
        <v>1743</v>
      </c>
      <c r="B1753" t="str">
        <f>IF(Sales_Deals!I1744&lt;&gt;"",IF(AND(Sales_Deals!I1744&gt;DATE(2024,9,30),Sales_Deals!I1744&lt;=DATE(2025,3,31)),Sales_Deals!J1744,""),"")</f>
        <v/>
      </c>
      <c r="C1753" t="str">
        <f>IF(Sales_Deals!I1744&lt;&gt;"",IF(AND(Sales_Deals!I1744&gt;DATE(2024,3,31),Sales_Deals!I1744&lt;=DATE(2024,9,30)),Sales_Deals!J1744,""),"")</f>
        <v/>
      </c>
    </row>
    <row r="1754" spans="1:3" x14ac:dyDescent="0.35">
      <c r="A1754">
        <v>1744</v>
      </c>
      <c r="B1754" t="str">
        <f>IF(Sales_Deals!I1745&lt;&gt;"",IF(AND(Sales_Deals!I1745&gt;DATE(2024,9,30),Sales_Deals!I1745&lt;=DATE(2025,3,31)),Sales_Deals!J1745,""),"")</f>
        <v/>
      </c>
      <c r="C1754" t="str">
        <f>IF(Sales_Deals!I1745&lt;&gt;"",IF(AND(Sales_Deals!I1745&gt;DATE(2024,3,31),Sales_Deals!I1745&lt;=DATE(2024,9,30)),Sales_Deals!J1745,""),"")</f>
        <v/>
      </c>
    </row>
    <row r="1755" spans="1:3" x14ac:dyDescent="0.35">
      <c r="A1755">
        <v>1745</v>
      </c>
      <c r="B1755" t="str">
        <f>IF(Sales_Deals!I1746&lt;&gt;"",IF(AND(Sales_Deals!I1746&gt;DATE(2024,9,30),Sales_Deals!I1746&lt;=DATE(2025,3,31)),Sales_Deals!J1746,""),"")</f>
        <v/>
      </c>
      <c r="C1755">
        <f>IF(Sales_Deals!I1746&lt;&gt;"",IF(AND(Sales_Deals!I1746&gt;DATE(2024,3,31),Sales_Deals!I1746&lt;=DATE(2024,9,30)),Sales_Deals!J1746,""),"")</f>
        <v>169</v>
      </c>
    </row>
    <row r="1756" spans="1:3" x14ac:dyDescent="0.35">
      <c r="A1756">
        <v>1746</v>
      </c>
      <c r="B1756" t="str">
        <f>IF(Sales_Deals!I1747&lt;&gt;"",IF(AND(Sales_Deals!I1747&gt;DATE(2024,9,30),Sales_Deals!I1747&lt;=DATE(2025,3,31)),Sales_Deals!J1747,""),"")</f>
        <v/>
      </c>
      <c r="C1756" t="str">
        <f>IF(Sales_Deals!I1747&lt;&gt;"",IF(AND(Sales_Deals!I1747&gt;DATE(2024,3,31),Sales_Deals!I1747&lt;=DATE(2024,9,30)),Sales_Deals!J1747,""),"")</f>
        <v/>
      </c>
    </row>
    <row r="1757" spans="1:3" x14ac:dyDescent="0.35">
      <c r="A1757">
        <v>1747</v>
      </c>
      <c r="B1757" t="str">
        <f>IF(Sales_Deals!I1748&lt;&gt;"",IF(AND(Sales_Deals!I1748&gt;DATE(2024,9,30),Sales_Deals!I1748&lt;=DATE(2025,3,31)),Sales_Deals!J1748,""),"")</f>
        <v/>
      </c>
      <c r="C1757">
        <f>IF(Sales_Deals!I1748&lt;&gt;"",IF(AND(Sales_Deals!I1748&gt;DATE(2024,3,31),Sales_Deals!I1748&lt;=DATE(2024,9,30)),Sales_Deals!J1748,""),"")</f>
        <v>59</v>
      </c>
    </row>
    <row r="1758" spans="1:3" x14ac:dyDescent="0.35">
      <c r="A1758">
        <v>1748</v>
      </c>
      <c r="B1758" t="str">
        <f>IF(Sales_Deals!I1749&lt;&gt;"",IF(AND(Sales_Deals!I1749&gt;DATE(2024,9,30),Sales_Deals!I1749&lt;=DATE(2025,3,31)),Sales_Deals!J1749,""),"")</f>
        <v/>
      </c>
      <c r="C1758" t="str">
        <f>IF(Sales_Deals!I1749&lt;&gt;"",IF(AND(Sales_Deals!I1749&gt;DATE(2024,3,31),Sales_Deals!I1749&lt;=DATE(2024,9,30)),Sales_Deals!J1749,""),"")</f>
        <v/>
      </c>
    </row>
    <row r="1759" spans="1:3" x14ac:dyDescent="0.35">
      <c r="A1759">
        <v>1749</v>
      </c>
      <c r="B1759">
        <f>IF(Sales_Deals!I1750&lt;&gt;"",IF(AND(Sales_Deals!I1750&gt;DATE(2024,9,30),Sales_Deals!I1750&lt;=DATE(2025,3,31)),Sales_Deals!J1750,""),"")</f>
        <v>54</v>
      </c>
      <c r="C1759" t="str">
        <f>IF(Sales_Deals!I1750&lt;&gt;"",IF(AND(Sales_Deals!I1750&gt;DATE(2024,3,31),Sales_Deals!I1750&lt;=DATE(2024,9,30)),Sales_Deals!J1750,""),"")</f>
        <v/>
      </c>
    </row>
    <row r="1760" spans="1:3" x14ac:dyDescent="0.35">
      <c r="A1760">
        <v>1750</v>
      </c>
      <c r="B1760">
        <f>IF(Sales_Deals!I1751&lt;&gt;"",IF(AND(Sales_Deals!I1751&gt;DATE(2024,9,30),Sales_Deals!I1751&lt;=DATE(2025,3,31)),Sales_Deals!J1751,""),"")</f>
        <v>84</v>
      </c>
      <c r="C1760" t="str">
        <f>IF(Sales_Deals!I1751&lt;&gt;"",IF(AND(Sales_Deals!I1751&gt;DATE(2024,3,31),Sales_Deals!I1751&lt;=DATE(2024,9,30)),Sales_Deals!J1751,""),"")</f>
        <v/>
      </c>
    </row>
    <row r="1761" spans="1:3" x14ac:dyDescent="0.35">
      <c r="A1761">
        <v>1751</v>
      </c>
      <c r="B1761" t="str">
        <f>IF(Sales_Deals!I1752&lt;&gt;"",IF(AND(Sales_Deals!I1752&gt;DATE(2024,9,30),Sales_Deals!I1752&lt;=DATE(2025,3,31)),Sales_Deals!J1752,""),"")</f>
        <v/>
      </c>
      <c r="C1761" t="str">
        <f>IF(Sales_Deals!I1752&lt;&gt;"",IF(AND(Sales_Deals!I1752&gt;DATE(2024,3,31),Sales_Deals!I1752&lt;=DATE(2024,9,30)),Sales_Deals!J1752,""),"")</f>
        <v/>
      </c>
    </row>
    <row r="1762" spans="1:3" x14ac:dyDescent="0.35">
      <c r="A1762">
        <v>1752</v>
      </c>
      <c r="B1762" t="str">
        <f>IF(Sales_Deals!I1753&lt;&gt;"",IF(AND(Sales_Deals!I1753&gt;DATE(2024,9,30),Sales_Deals!I1753&lt;=DATE(2025,3,31)),Sales_Deals!J1753,""),"")</f>
        <v/>
      </c>
      <c r="C1762" t="str">
        <f>IF(Sales_Deals!I1753&lt;&gt;"",IF(AND(Sales_Deals!I1753&gt;DATE(2024,3,31),Sales_Deals!I1753&lt;=DATE(2024,9,30)),Sales_Deals!J1753,""),"")</f>
        <v/>
      </c>
    </row>
    <row r="1763" spans="1:3" x14ac:dyDescent="0.35">
      <c r="A1763">
        <v>1753</v>
      </c>
      <c r="B1763">
        <f>IF(Sales_Deals!I1754&lt;&gt;"",IF(AND(Sales_Deals!I1754&gt;DATE(2024,9,30),Sales_Deals!I1754&lt;=DATE(2025,3,31)),Sales_Deals!J1754,""),"")</f>
        <v>18</v>
      </c>
      <c r="C1763" t="str">
        <f>IF(Sales_Deals!I1754&lt;&gt;"",IF(AND(Sales_Deals!I1754&gt;DATE(2024,3,31),Sales_Deals!I1754&lt;=DATE(2024,9,30)),Sales_Deals!J1754,""),"")</f>
        <v/>
      </c>
    </row>
    <row r="1764" spans="1:3" x14ac:dyDescent="0.35">
      <c r="A1764">
        <v>1754</v>
      </c>
      <c r="B1764" t="str">
        <f>IF(Sales_Deals!I1755&lt;&gt;"",IF(AND(Sales_Deals!I1755&gt;DATE(2024,9,30),Sales_Deals!I1755&lt;=DATE(2025,3,31)),Sales_Deals!J1755,""),"")</f>
        <v/>
      </c>
      <c r="C1764" t="str">
        <f>IF(Sales_Deals!I1755&lt;&gt;"",IF(AND(Sales_Deals!I1755&gt;DATE(2024,3,31),Sales_Deals!I1755&lt;=DATE(2024,9,30)),Sales_Deals!J1755,""),"")</f>
        <v/>
      </c>
    </row>
    <row r="1765" spans="1:3" x14ac:dyDescent="0.35">
      <c r="A1765">
        <v>1755</v>
      </c>
      <c r="B1765" t="str">
        <f>IF(Sales_Deals!I1756&lt;&gt;"",IF(AND(Sales_Deals!I1756&gt;DATE(2024,9,30),Sales_Deals!I1756&lt;=DATE(2025,3,31)),Sales_Deals!J1756,""),"")</f>
        <v/>
      </c>
      <c r="C1765" t="str">
        <f>IF(Sales_Deals!I1756&lt;&gt;"",IF(AND(Sales_Deals!I1756&gt;DATE(2024,3,31),Sales_Deals!I1756&lt;=DATE(2024,9,30)),Sales_Deals!J1756,""),"")</f>
        <v/>
      </c>
    </row>
    <row r="1766" spans="1:3" x14ac:dyDescent="0.35">
      <c r="A1766">
        <v>1756</v>
      </c>
      <c r="B1766">
        <f>IF(Sales_Deals!I1757&lt;&gt;"",IF(AND(Sales_Deals!I1757&gt;DATE(2024,9,30),Sales_Deals!I1757&lt;=DATE(2025,3,31)),Sales_Deals!J1757,""),"")</f>
        <v>99</v>
      </c>
      <c r="C1766" t="str">
        <f>IF(Sales_Deals!I1757&lt;&gt;"",IF(AND(Sales_Deals!I1757&gt;DATE(2024,3,31),Sales_Deals!I1757&lt;=DATE(2024,9,30)),Sales_Deals!J1757,""),"")</f>
        <v/>
      </c>
    </row>
    <row r="1767" spans="1:3" x14ac:dyDescent="0.35">
      <c r="A1767">
        <v>1757</v>
      </c>
      <c r="B1767" t="str">
        <f>IF(Sales_Deals!I1758&lt;&gt;"",IF(AND(Sales_Deals!I1758&gt;DATE(2024,9,30),Sales_Deals!I1758&lt;=DATE(2025,3,31)),Sales_Deals!J1758,""),"")</f>
        <v/>
      </c>
      <c r="C1767" t="str">
        <f>IF(Sales_Deals!I1758&lt;&gt;"",IF(AND(Sales_Deals!I1758&gt;DATE(2024,3,31),Sales_Deals!I1758&lt;=DATE(2024,9,30)),Sales_Deals!J1758,""),"")</f>
        <v/>
      </c>
    </row>
    <row r="1768" spans="1:3" x14ac:dyDescent="0.35">
      <c r="A1768">
        <v>1758</v>
      </c>
      <c r="B1768" t="str">
        <f>IF(Sales_Deals!I1759&lt;&gt;"",IF(AND(Sales_Deals!I1759&gt;DATE(2024,9,30),Sales_Deals!I1759&lt;=DATE(2025,3,31)),Sales_Deals!J1759,""),"")</f>
        <v/>
      </c>
      <c r="C1768" t="str">
        <f>IF(Sales_Deals!I1759&lt;&gt;"",IF(AND(Sales_Deals!I1759&gt;DATE(2024,3,31),Sales_Deals!I1759&lt;=DATE(2024,9,30)),Sales_Deals!J1759,""),"")</f>
        <v/>
      </c>
    </row>
    <row r="1769" spans="1:3" x14ac:dyDescent="0.35">
      <c r="A1769">
        <v>1759</v>
      </c>
      <c r="B1769" t="str">
        <f>IF(Sales_Deals!I1760&lt;&gt;"",IF(AND(Sales_Deals!I1760&gt;DATE(2024,9,30),Sales_Deals!I1760&lt;=DATE(2025,3,31)),Sales_Deals!J1760,""),"")</f>
        <v/>
      </c>
      <c r="C1769" t="str">
        <f>IF(Sales_Deals!I1760&lt;&gt;"",IF(AND(Sales_Deals!I1760&gt;DATE(2024,3,31),Sales_Deals!I1760&lt;=DATE(2024,9,30)),Sales_Deals!J1760,""),"")</f>
        <v/>
      </c>
    </row>
    <row r="1770" spans="1:3" x14ac:dyDescent="0.35">
      <c r="A1770">
        <v>1760</v>
      </c>
      <c r="B1770">
        <f>IF(Sales_Deals!I1761&lt;&gt;"",IF(AND(Sales_Deals!I1761&gt;DATE(2024,9,30),Sales_Deals!I1761&lt;=DATE(2025,3,31)),Sales_Deals!J1761,""),"")</f>
        <v>125</v>
      </c>
      <c r="C1770" t="str">
        <f>IF(Sales_Deals!I1761&lt;&gt;"",IF(AND(Sales_Deals!I1761&gt;DATE(2024,3,31),Sales_Deals!I1761&lt;=DATE(2024,9,30)),Sales_Deals!J1761,""),"")</f>
        <v/>
      </c>
    </row>
    <row r="1771" spans="1:3" x14ac:dyDescent="0.35">
      <c r="A1771">
        <v>1761</v>
      </c>
      <c r="B1771" t="str">
        <f>IF(Sales_Deals!I1762&lt;&gt;"",IF(AND(Sales_Deals!I1762&gt;DATE(2024,9,30),Sales_Deals!I1762&lt;=DATE(2025,3,31)),Sales_Deals!J1762,""),"")</f>
        <v/>
      </c>
      <c r="C1771" t="str">
        <f>IF(Sales_Deals!I1762&lt;&gt;"",IF(AND(Sales_Deals!I1762&gt;DATE(2024,3,31),Sales_Deals!I1762&lt;=DATE(2024,9,30)),Sales_Deals!J1762,""),"")</f>
        <v/>
      </c>
    </row>
    <row r="1772" spans="1:3" x14ac:dyDescent="0.35">
      <c r="A1772">
        <v>1762</v>
      </c>
      <c r="B1772" t="str">
        <f>IF(Sales_Deals!I1763&lt;&gt;"",IF(AND(Sales_Deals!I1763&gt;DATE(2024,9,30),Sales_Deals!I1763&lt;=DATE(2025,3,31)),Sales_Deals!J1763,""),"")</f>
        <v/>
      </c>
      <c r="C1772" t="str">
        <f>IF(Sales_Deals!I1763&lt;&gt;"",IF(AND(Sales_Deals!I1763&gt;DATE(2024,3,31),Sales_Deals!I1763&lt;=DATE(2024,9,30)),Sales_Deals!J1763,""),"")</f>
        <v/>
      </c>
    </row>
    <row r="1773" spans="1:3" x14ac:dyDescent="0.35">
      <c r="A1773">
        <v>1763</v>
      </c>
      <c r="B1773" t="str">
        <f>IF(Sales_Deals!I1764&lt;&gt;"",IF(AND(Sales_Deals!I1764&gt;DATE(2024,9,30),Sales_Deals!I1764&lt;=DATE(2025,3,31)),Sales_Deals!J1764,""),"")</f>
        <v/>
      </c>
      <c r="C1773" t="str">
        <f>IF(Sales_Deals!I1764&lt;&gt;"",IF(AND(Sales_Deals!I1764&gt;DATE(2024,3,31),Sales_Deals!I1764&lt;=DATE(2024,9,30)),Sales_Deals!J1764,""),"")</f>
        <v/>
      </c>
    </row>
    <row r="1774" spans="1:3" x14ac:dyDescent="0.35">
      <c r="A1774">
        <v>1764</v>
      </c>
      <c r="B1774" t="str">
        <f>IF(Sales_Deals!I1765&lt;&gt;"",IF(AND(Sales_Deals!I1765&gt;DATE(2024,9,30),Sales_Deals!I1765&lt;=DATE(2025,3,31)),Sales_Deals!J1765,""),"")</f>
        <v/>
      </c>
      <c r="C1774" t="str">
        <f>IF(Sales_Deals!I1765&lt;&gt;"",IF(AND(Sales_Deals!I1765&gt;DATE(2024,3,31),Sales_Deals!I1765&lt;=DATE(2024,9,30)),Sales_Deals!J1765,""),"")</f>
        <v/>
      </c>
    </row>
    <row r="1775" spans="1:3" x14ac:dyDescent="0.35">
      <c r="A1775">
        <v>1765</v>
      </c>
      <c r="B1775" t="str">
        <f>IF(Sales_Deals!I1766&lt;&gt;"",IF(AND(Sales_Deals!I1766&gt;DATE(2024,9,30),Sales_Deals!I1766&lt;=DATE(2025,3,31)),Sales_Deals!J1766,""),"")</f>
        <v/>
      </c>
      <c r="C1775">
        <f>IF(Sales_Deals!I1766&lt;&gt;"",IF(AND(Sales_Deals!I1766&gt;DATE(2024,3,31),Sales_Deals!I1766&lt;=DATE(2024,9,30)),Sales_Deals!J1766,""),"")</f>
        <v>28</v>
      </c>
    </row>
    <row r="1776" spans="1:3" x14ac:dyDescent="0.35">
      <c r="A1776">
        <v>1766</v>
      </c>
      <c r="B1776" t="str">
        <f>IF(Sales_Deals!I1767&lt;&gt;"",IF(AND(Sales_Deals!I1767&gt;DATE(2024,9,30),Sales_Deals!I1767&lt;=DATE(2025,3,31)),Sales_Deals!J1767,""),"")</f>
        <v/>
      </c>
      <c r="C1776" t="str">
        <f>IF(Sales_Deals!I1767&lt;&gt;"",IF(AND(Sales_Deals!I1767&gt;DATE(2024,3,31),Sales_Deals!I1767&lt;=DATE(2024,9,30)),Sales_Deals!J1767,""),"")</f>
        <v/>
      </c>
    </row>
    <row r="1777" spans="1:3" x14ac:dyDescent="0.35">
      <c r="A1777">
        <v>1767</v>
      </c>
      <c r="B1777" t="str">
        <f>IF(Sales_Deals!I1768&lt;&gt;"",IF(AND(Sales_Deals!I1768&gt;DATE(2024,9,30),Sales_Deals!I1768&lt;=DATE(2025,3,31)),Sales_Deals!J1768,""),"")</f>
        <v/>
      </c>
      <c r="C1777" t="str">
        <f>IF(Sales_Deals!I1768&lt;&gt;"",IF(AND(Sales_Deals!I1768&gt;DATE(2024,3,31),Sales_Deals!I1768&lt;=DATE(2024,9,30)),Sales_Deals!J1768,""),"")</f>
        <v/>
      </c>
    </row>
    <row r="1778" spans="1:3" x14ac:dyDescent="0.35">
      <c r="A1778">
        <v>1768</v>
      </c>
      <c r="B1778" t="str">
        <f>IF(Sales_Deals!I1769&lt;&gt;"",IF(AND(Sales_Deals!I1769&gt;DATE(2024,9,30),Sales_Deals!I1769&lt;=DATE(2025,3,31)),Sales_Deals!J1769,""),"")</f>
        <v/>
      </c>
      <c r="C1778" t="str">
        <f>IF(Sales_Deals!I1769&lt;&gt;"",IF(AND(Sales_Deals!I1769&gt;DATE(2024,3,31),Sales_Deals!I1769&lt;=DATE(2024,9,30)),Sales_Deals!J1769,""),"")</f>
        <v/>
      </c>
    </row>
    <row r="1779" spans="1:3" x14ac:dyDescent="0.35">
      <c r="A1779">
        <v>1769</v>
      </c>
      <c r="B1779" t="str">
        <f>IF(Sales_Deals!I1770&lt;&gt;"",IF(AND(Sales_Deals!I1770&gt;DATE(2024,9,30),Sales_Deals!I1770&lt;=DATE(2025,3,31)),Sales_Deals!J1770,""),"")</f>
        <v/>
      </c>
      <c r="C1779" t="str">
        <f>IF(Sales_Deals!I1770&lt;&gt;"",IF(AND(Sales_Deals!I1770&gt;DATE(2024,3,31),Sales_Deals!I1770&lt;=DATE(2024,9,30)),Sales_Deals!J1770,""),"")</f>
        <v/>
      </c>
    </row>
    <row r="1780" spans="1:3" x14ac:dyDescent="0.35">
      <c r="A1780">
        <v>1770</v>
      </c>
      <c r="B1780" t="str">
        <f>IF(Sales_Deals!I1771&lt;&gt;"",IF(AND(Sales_Deals!I1771&gt;DATE(2024,9,30),Sales_Deals!I1771&lt;=DATE(2025,3,31)),Sales_Deals!J1771,""),"")</f>
        <v/>
      </c>
      <c r="C1780" t="str">
        <f>IF(Sales_Deals!I1771&lt;&gt;"",IF(AND(Sales_Deals!I1771&gt;DATE(2024,3,31),Sales_Deals!I1771&lt;=DATE(2024,9,30)),Sales_Deals!J1771,""),"")</f>
        <v/>
      </c>
    </row>
    <row r="1781" spans="1:3" x14ac:dyDescent="0.35">
      <c r="A1781">
        <v>1771</v>
      </c>
      <c r="B1781" t="str">
        <f>IF(Sales_Deals!I1772&lt;&gt;"",IF(AND(Sales_Deals!I1772&gt;DATE(2024,9,30),Sales_Deals!I1772&lt;=DATE(2025,3,31)),Sales_Deals!J1772,""),"")</f>
        <v/>
      </c>
      <c r="C1781" t="str">
        <f>IF(Sales_Deals!I1772&lt;&gt;"",IF(AND(Sales_Deals!I1772&gt;DATE(2024,3,31),Sales_Deals!I1772&lt;=DATE(2024,9,30)),Sales_Deals!J1772,""),"")</f>
        <v/>
      </c>
    </row>
    <row r="1782" spans="1:3" x14ac:dyDescent="0.35">
      <c r="A1782">
        <v>1772</v>
      </c>
      <c r="B1782" t="str">
        <f>IF(Sales_Deals!I1773&lt;&gt;"",IF(AND(Sales_Deals!I1773&gt;DATE(2024,9,30),Sales_Deals!I1773&lt;=DATE(2025,3,31)),Sales_Deals!J1773,""),"")</f>
        <v/>
      </c>
      <c r="C1782" t="str">
        <f>IF(Sales_Deals!I1773&lt;&gt;"",IF(AND(Sales_Deals!I1773&gt;DATE(2024,3,31),Sales_Deals!I1773&lt;=DATE(2024,9,30)),Sales_Deals!J1773,""),"")</f>
        <v/>
      </c>
    </row>
    <row r="1783" spans="1:3" x14ac:dyDescent="0.35">
      <c r="A1783">
        <v>1773</v>
      </c>
      <c r="B1783" t="str">
        <f>IF(Sales_Deals!I1774&lt;&gt;"",IF(AND(Sales_Deals!I1774&gt;DATE(2024,9,30),Sales_Deals!I1774&lt;=DATE(2025,3,31)),Sales_Deals!J1774,""),"")</f>
        <v/>
      </c>
      <c r="C1783" t="str">
        <f>IF(Sales_Deals!I1774&lt;&gt;"",IF(AND(Sales_Deals!I1774&gt;DATE(2024,3,31),Sales_Deals!I1774&lt;=DATE(2024,9,30)),Sales_Deals!J1774,""),"")</f>
        <v/>
      </c>
    </row>
    <row r="1784" spans="1:3" x14ac:dyDescent="0.35">
      <c r="A1784">
        <v>1774</v>
      </c>
      <c r="B1784" t="str">
        <f>IF(Sales_Deals!I1775&lt;&gt;"",IF(AND(Sales_Deals!I1775&gt;DATE(2024,9,30),Sales_Deals!I1775&lt;=DATE(2025,3,31)),Sales_Deals!J1775,""),"")</f>
        <v/>
      </c>
      <c r="C1784" t="str">
        <f>IF(Sales_Deals!I1775&lt;&gt;"",IF(AND(Sales_Deals!I1775&gt;DATE(2024,3,31),Sales_Deals!I1775&lt;=DATE(2024,9,30)),Sales_Deals!J1775,""),"")</f>
        <v/>
      </c>
    </row>
    <row r="1785" spans="1:3" x14ac:dyDescent="0.35">
      <c r="A1785">
        <v>1775</v>
      </c>
      <c r="B1785" t="str">
        <f>IF(Sales_Deals!I1776&lt;&gt;"",IF(AND(Sales_Deals!I1776&gt;DATE(2024,9,30),Sales_Deals!I1776&lt;=DATE(2025,3,31)),Sales_Deals!J1776,""),"")</f>
        <v/>
      </c>
      <c r="C1785">
        <f>IF(Sales_Deals!I1776&lt;&gt;"",IF(AND(Sales_Deals!I1776&gt;DATE(2024,3,31),Sales_Deals!I1776&lt;=DATE(2024,9,30)),Sales_Deals!J1776,""),"")</f>
        <v>159</v>
      </c>
    </row>
    <row r="1786" spans="1:3" x14ac:dyDescent="0.35">
      <c r="A1786">
        <v>1776</v>
      </c>
      <c r="B1786" t="str">
        <f>IF(Sales_Deals!I1777&lt;&gt;"",IF(AND(Sales_Deals!I1777&gt;DATE(2024,9,30),Sales_Deals!I1777&lt;=DATE(2025,3,31)),Sales_Deals!J1777,""),"")</f>
        <v/>
      </c>
      <c r="C1786" t="str">
        <f>IF(Sales_Deals!I1777&lt;&gt;"",IF(AND(Sales_Deals!I1777&gt;DATE(2024,3,31),Sales_Deals!I1777&lt;=DATE(2024,9,30)),Sales_Deals!J1777,""),"")</f>
        <v/>
      </c>
    </row>
    <row r="1787" spans="1:3" x14ac:dyDescent="0.35">
      <c r="A1787">
        <v>1777</v>
      </c>
      <c r="B1787" t="str">
        <f>IF(Sales_Deals!I1778&lt;&gt;"",IF(AND(Sales_Deals!I1778&gt;DATE(2024,9,30),Sales_Deals!I1778&lt;=DATE(2025,3,31)),Sales_Deals!J1778,""),"")</f>
        <v/>
      </c>
      <c r="C1787" t="str">
        <f>IF(Sales_Deals!I1778&lt;&gt;"",IF(AND(Sales_Deals!I1778&gt;DATE(2024,3,31),Sales_Deals!I1778&lt;=DATE(2024,9,30)),Sales_Deals!J1778,""),"")</f>
        <v/>
      </c>
    </row>
    <row r="1788" spans="1:3" x14ac:dyDescent="0.35">
      <c r="A1788">
        <v>1778</v>
      </c>
      <c r="B1788" t="str">
        <f>IF(Sales_Deals!I1779&lt;&gt;"",IF(AND(Sales_Deals!I1779&gt;DATE(2024,9,30),Sales_Deals!I1779&lt;=DATE(2025,3,31)),Sales_Deals!J1779,""),"")</f>
        <v/>
      </c>
      <c r="C1788" t="str">
        <f>IF(Sales_Deals!I1779&lt;&gt;"",IF(AND(Sales_Deals!I1779&gt;DATE(2024,3,31),Sales_Deals!I1779&lt;=DATE(2024,9,30)),Sales_Deals!J1779,""),"")</f>
        <v/>
      </c>
    </row>
    <row r="1789" spans="1:3" x14ac:dyDescent="0.35">
      <c r="A1789">
        <v>1779</v>
      </c>
      <c r="B1789" t="str">
        <f>IF(Sales_Deals!I1780&lt;&gt;"",IF(AND(Sales_Deals!I1780&gt;DATE(2024,9,30),Sales_Deals!I1780&lt;=DATE(2025,3,31)),Sales_Deals!J1780,""),"")</f>
        <v/>
      </c>
      <c r="C1789">
        <f>IF(Sales_Deals!I1780&lt;&gt;"",IF(AND(Sales_Deals!I1780&gt;DATE(2024,3,31),Sales_Deals!I1780&lt;=DATE(2024,9,30)),Sales_Deals!J1780,""),"")</f>
        <v>170</v>
      </c>
    </row>
    <row r="1790" spans="1:3" x14ac:dyDescent="0.35">
      <c r="A1790">
        <v>1780</v>
      </c>
      <c r="B1790" t="str">
        <f>IF(Sales_Deals!I1781&lt;&gt;"",IF(AND(Sales_Deals!I1781&gt;DATE(2024,9,30),Sales_Deals!I1781&lt;=DATE(2025,3,31)),Sales_Deals!J1781,""),"")</f>
        <v/>
      </c>
      <c r="C1790" t="str">
        <f>IF(Sales_Deals!I1781&lt;&gt;"",IF(AND(Sales_Deals!I1781&gt;DATE(2024,3,31),Sales_Deals!I1781&lt;=DATE(2024,9,30)),Sales_Deals!J1781,""),"")</f>
        <v/>
      </c>
    </row>
    <row r="1791" spans="1:3" x14ac:dyDescent="0.35">
      <c r="A1791">
        <v>1781</v>
      </c>
      <c r="B1791">
        <f>IF(Sales_Deals!I1782&lt;&gt;"",IF(AND(Sales_Deals!I1782&gt;DATE(2024,9,30),Sales_Deals!I1782&lt;=DATE(2025,3,31)),Sales_Deals!J1782,""),"")</f>
        <v>180</v>
      </c>
      <c r="C1791" t="str">
        <f>IF(Sales_Deals!I1782&lt;&gt;"",IF(AND(Sales_Deals!I1782&gt;DATE(2024,3,31),Sales_Deals!I1782&lt;=DATE(2024,9,30)),Sales_Deals!J1782,""),"")</f>
        <v/>
      </c>
    </row>
    <row r="1792" spans="1:3" x14ac:dyDescent="0.35">
      <c r="A1792">
        <v>1782</v>
      </c>
      <c r="B1792" t="str">
        <f>IF(Sales_Deals!I1783&lt;&gt;"",IF(AND(Sales_Deals!I1783&gt;DATE(2024,9,30),Sales_Deals!I1783&lt;=DATE(2025,3,31)),Sales_Deals!J1783,""),"")</f>
        <v/>
      </c>
      <c r="C1792" t="str">
        <f>IF(Sales_Deals!I1783&lt;&gt;"",IF(AND(Sales_Deals!I1783&gt;DATE(2024,3,31),Sales_Deals!I1783&lt;=DATE(2024,9,30)),Sales_Deals!J1783,""),"")</f>
        <v/>
      </c>
    </row>
    <row r="1793" spans="1:3" x14ac:dyDescent="0.35">
      <c r="A1793">
        <v>1783</v>
      </c>
      <c r="B1793" t="str">
        <f>IF(Sales_Deals!I1784&lt;&gt;"",IF(AND(Sales_Deals!I1784&gt;DATE(2024,9,30),Sales_Deals!I1784&lt;=DATE(2025,3,31)),Sales_Deals!J1784,""),"")</f>
        <v/>
      </c>
      <c r="C1793" t="str">
        <f>IF(Sales_Deals!I1784&lt;&gt;"",IF(AND(Sales_Deals!I1784&gt;DATE(2024,3,31),Sales_Deals!I1784&lt;=DATE(2024,9,30)),Sales_Deals!J1784,""),"")</f>
        <v/>
      </c>
    </row>
    <row r="1794" spans="1:3" x14ac:dyDescent="0.35">
      <c r="A1794">
        <v>1784</v>
      </c>
      <c r="B1794">
        <f>IF(Sales_Deals!I1785&lt;&gt;"",IF(AND(Sales_Deals!I1785&gt;DATE(2024,9,30),Sales_Deals!I1785&lt;=DATE(2025,3,31)),Sales_Deals!J1785,""),"")</f>
        <v>114</v>
      </c>
      <c r="C1794" t="str">
        <f>IF(Sales_Deals!I1785&lt;&gt;"",IF(AND(Sales_Deals!I1785&gt;DATE(2024,3,31),Sales_Deals!I1785&lt;=DATE(2024,9,30)),Sales_Deals!J1785,""),"")</f>
        <v/>
      </c>
    </row>
    <row r="1795" spans="1:3" x14ac:dyDescent="0.35">
      <c r="A1795">
        <v>1785</v>
      </c>
      <c r="B1795" t="str">
        <f>IF(Sales_Deals!I1786&lt;&gt;"",IF(AND(Sales_Deals!I1786&gt;DATE(2024,9,30),Sales_Deals!I1786&lt;=DATE(2025,3,31)),Sales_Deals!J1786,""),"")</f>
        <v/>
      </c>
      <c r="C1795" t="str">
        <f>IF(Sales_Deals!I1786&lt;&gt;"",IF(AND(Sales_Deals!I1786&gt;DATE(2024,3,31),Sales_Deals!I1786&lt;=DATE(2024,9,30)),Sales_Deals!J1786,""),"")</f>
        <v/>
      </c>
    </row>
    <row r="1796" spans="1:3" x14ac:dyDescent="0.35">
      <c r="A1796">
        <v>1786</v>
      </c>
      <c r="B1796" t="str">
        <f>IF(Sales_Deals!I1787&lt;&gt;"",IF(AND(Sales_Deals!I1787&gt;DATE(2024,9,30),Sales_Deals!I1787&lt;=DATE(2025,3,31)),Sales_Deals!J1787,""),"")</f>
        <v/>
      </c>
      <c r="C1796" t="str">
        <f>IF(Sales_Deals!I1787&lt;&gt;"",IF(AND(Sales_Deals!I1787&gt;DATE(2024,3,31),Sales_Deals!I1787&lt;=DATE(2024,9,30)),Sales_Deals!J1787,""),"")</f>
        <v/>
      </c>
    </row>
    <row r="1797" spans="1:3" x14ac:dyDescent="0.35">
      <c r="A1797">
        <v>1787</v>
      </c>
      <c r="B1797" t="str">
        <f>IF(Sales_Deals!I1788&lt;&gt;"",IF(AND(Sales_Deals!I1788&gt;DATE(2024,9,30),Sales_Deals!I1788&lt;=DATE(2025,3,31)),Sales_Deals!J1788,""),"")</f>
        <v/>
      </c>
      <c r="C1797" t="str">
        <f>IF(Sales_Deals!I1788&lt;&gt;"",IF(AND(Sales_Deals!I1788&gt;DATE(2024,3,31),Sales_Deals!I1788&lt;=DATE(2024,9,30)),Sales_Deals!J1788,""),"")</f>
        <v/>
      </c>
    </row>
    <row r="1798" spans="1:3" x14ac:dyDescent="0.35">
      <c r="A1798">
        <v>1788</v>
      </c>
      <c r="B1798" t="str">
        <f>IF(Sales_Deals!I1789&lt;&gt;"",IF(AND(Sales_Deals!I1789&gt;DATE(2024,9,30),Sales_Deals!I1789&lt;=DATE(2025,3,31)),Sales_Deals!J1789,""),"")</f>
        <v/>
      </c>
      <c r="C1798" t="str">
        <f>IF(Sales_Deals!I1789&lt;&gt;"",IF(AND(Sales_Deals!I1789&gt;DATE(2024,3,31),Sales_Deals!I1789&lt;=DATE(2024,9,30)),Sales_Deals!J1789,""),"")</f>
        <v/>
      </c>
    </row>
    <row r="1799" spans="1:3" x14ac:dyDescent="0.35">
      <c r="A1799">
        <v>1789</v>
      </c>
      <c r="B1799" t="str">
        <f>IF(Sales_Deals!I1790&lt;&gt;"",IF(AND(Sales_Deals!I1790&gt;DATE(2024,9,30),Sales_Deals!I1790&lt;=DATE(2025,3,31)),Sales_Deals!J1790,""),"")</f>
        <v/>
      </c>
      <c r="C1799" t="str">
        <f>IF(Sales_Deals!I1790&lt;&gt;"",IF(AND(Sales_Deals!I1790&gt;DATE(2024,3,31),Sales_Deals!I1790&lt;=DATE(2024,9,30)),Sales_Deals!J1790,""),"")</f>
        <v/>
      </c>
    </row>
    <row r="1800" spans="1:3" x14ac:dyDescent="0.35">
      <c r="A1800">
        <v>1790</v>
      </c>
      <c r="B1800" t="str">
        <f>IF(Sales_Deals!I1791&lt;&gt;"",IF(AND(Sales_Deals!I1791&gt;DATE(2024,9,30),Sales_Deals!I1791&lt;=DATE(2025,3,31)),Sales_Deals!J1791,""),"")</f>
        <v/>
      </c>
      <c r="C1800" t="str">
        <f>IF(Sales_Deals!I1791&lt;&gt;"",IF(AND(Sales_Deals!I1791&gt;DATE(2024,3,31),Sales_Deals!I1791&lt;=DATE(2024,9,30)),Sales_Deals!J1791,""),"")</f>
        <v/>
      </c>
    </row>
    <row r="1801" spans="1:3" x14ac:dyDescent="0.35">
      <c r="A1801">
        <v>1791</v>
      </c>
      <c r="B1801" t="str">
        <f>IF(Sales_Deals!I1792&lt;&gt;"",IF(AND(Sales_Deals!I1792&gt;DATE(2024,9,30),Sales_Deals!I1792&lt;=DATE(2025,3,31)),Sales_Deals!J1792,""),"")</f>
        <v/>
      </c>
      <c r="C1801" t="str">
        <f>IF(Sales_Deals!I1792&lt;&gt;"",IF(AND(Sales_Deals!I1792&gt;DATE(2024,3,31),Sales_Deals!I1792&lt;=DATE(2024,9,30)),Sales_Deals!J1792,""),"")</f>
        <v/>
      </c>
    </row>
    <row r="1802" spans="1:3" x14ac:dyDescent="0.35">
      <c r="A1802">
        <v>1792</v>
      </c>
      <c r="B1802" t="str">
        <f>IF(Sales_Deals!I1793&lt;&gt;"",IF(AND(Sales_Deals!I1793&gt;DATE(2024,9,30),Sales_Deals!I1793&lt;=DATE(2025,3,31)),Sales_Deals!J1793,""),"")</f>
        <v/>
      </c>
      <c r="C1802" t="str">
        <f>IF(Sales_Deals!I1793&lt;&gt;"",IF(AND(Sales_Deals!I1793&gt;DATE(2024,3,31),Sales_Deals!I1793&lt;=DATE(2024,9,30)),Sales_Deals!J1793,""),"")</f>
        <v/>
      </c>
    </row>
    <row r="1803" spans="1:3" x14ac:dyDescent="0.35">
      <c r="A1803">
        <v>1793</v>
      </c>
      <c r="B1803" t="str">
        <f>IF(Sales_Deals!I1794&lt;&gt;"",IF(AND(Sales_Deals!I1794&gt;DATE(2024,9,30),Sales_Deals!I1794&lt;=DATE(2025,3,31)),Sales_Deals!J1794,""),"")</f>
        <v/>
      </c>
      <c r="C1803" t="str">
        <f>IF(Sales_Deals!I1794&lt;&gt;"",IF(AND(Sales_Deals!I1794&gt;DATE(2024,3,31),Sales_Deals!I1794&lt;=DATE(2024,9,30)),Sales_Deals!J1794,""),"")</f>
        <v/>
      </c>
    </row>
    <row r="1804" spans="1:3" x14ac:dyDescent="0.35">
      <c r="A1804">
        <v>1794</v>
      </c>
      <c r="B1804" t="str">
        <f>IF(Sales_Deals!I1795&lt;&gt;"",IF(AND(Sales_Deals!I1795&gt;DATE(2024,9,30),Sales_Deals!I1795&lt;=DATE(2025,3,31)),Sales_Deals!J1795,""),"")</f>
        <v/>
      </c>
      <c r="C1804">
        <f>IF(Sales_Deals!I1795&lt;&gt;"",IF(AND(Sales_Deals!I1795&gt;DATE(2024,3,31),Sales_Deals!I1795&lt;=DATE(2024,9,30)),Sales_Deals!J1795,""),"")</f>
        <v>173</v>
      </c>
    </row>
    <row r="1805" spans="1:3" x14ac:dyDescent="0.35">
      <c r="A1805">
        <v>1795</v>
      </c>
      <c r="B1805" t="str">
        <f>IF(Sales_Deals!I1796&lt;&gt;"",IF(AND(Sales_Deals!I1796&gt;DATE(2024,9,30),Sales_Deals!I1796&lt;=DATE(2025,3,31)),Sales_Deals!J1796,""),"")</f>
        <v/>
      </c>
      <c r="C1805" t="str">
        <f>IF(Sales_Deals!I1796&lt;&gt;"",IF(AND(Sales_Deals!I1796&gt;DATE(2024,3,31),Sales_Deals!I1796&lt;=DATE(2024,9,30)),Sales_Deals!J1796,""),"")</f>
        <v/>
      </c>
    </row>
    <row r="1806" spans="1:3" x14ac:dyDescent="0.35">
      <c r="A1806">
        <v>1796</v>
      </c>
      <c r="B1806" t="str">
        <f>IF(Sales_Deals!I1797&lt;&gt;"",IF(AND(Sales_Deals!I1797&gt;DATE(2024,9,30),Sales_Deals!I1797&lt;=DATE(2025,3,31)),Sales_Deals!J1797,""),"")</f>
        <v/>
      </c>
      <c r="C1806" t="str">
        <f>IF(Sales_Deals!I1797&lt;&gt;"",IF(AND(Sales_Deals!I1797&gt;DATE(2024,3,31),Sales_Deals!I1797&lt;=DATE(2024,9,30)),Sales_Deals!J1797,""),"")</f>
        <v/>
      </c>
    </row>
    <row r="1807" spans="1:3" x14ac:dyDescent="0.35">
      <c r="A1807">
        <v>1797</v>
      </c>
      <c r="B1807" t="str">
        <f>IF(Sales_Deals!I1798&lt;&gt;"",IF(AND(Sales_Deals!I1798&gt;DATE(2024,9,30),Sales_Deals!I1798&lt;=DATE(2025,3,31)),Sales_Deals!J1798,""),"")</f>
        <v/>
      </c>
      <c r="C1807" t="str">
        <f>IF(Sales_Deals!I1798&lt;&gt;"",IF(AND(Sales_Deals!I1798&gt;DATE(2024,3,31),Sales_Deals!I1798&lt;=DATE(2024,9,30)),Sales_Deals!J1798,""),"")</f>
        <v/>
      </c>
    </row>
    <row r="1808" spans="1:3" x14ac:dyDescent="0.35">
      <c r="A1808">
        <v>1798</v>
      </c>
      <c r="B1808" t="str">
        <f>IF(Sales_Deals!I1799&lt;&gt;"",IF(AND(Sales_Deals!I1799&gt;DATE(2024,9,30),Sales_Deals!I1799&lt;=DATE(2025,3,31)),Sales_Deals!J1799,""),"")</f>
        <v/>
      </c>
      <c r="C1808" t="str">
        <f>IF(Sales_Deals!I1799&lt;&gt;"",IF(AND(Sales_Deals!I1799&gt;DATE(2024,3,31),Sales_Deals!I1799&lt;=DATE(2024,9,30)),Sales_Deals!J1799,""),"")</f>
        <v/>
      </c>
    </row>
    <row r="1809" spans="1:3" x14ac:dyDescent="0.35">
      <c r="A1809">
        <v>1799</v>
      </c>
      <c r="B1809" t="str">
        <f>IF(Sales_Deals!I1800&lt;&gt;"",IF(AND(Sales_Deals!I1800&gt;DATE(2024,9,30),Sales_Deals!I1800&lt;=DATE(2025,3,31)),Sales_Deals!J1800,""),"")</f>
        <v/>
      </c>
      <c r="C1809" t="str">
        <f>IF(Sales_Deals!I1800&lt;&gt;"",IF(AND(Sales_Deals!I1800&gt;DATE(2024,3,31),Sales_Deals!I1800&lt;=DATE(2024,9,30)),Sales_Deals!J1800,""),"")</f>
        <v/>
      </c>
    </row>
    <row r="1810" spans="1:3" x14ac:dyDescent="0.35">
      <c r="A1810">
        <v>1800</v>
      </c>
      <c r="B1810" t="str">
        <f>IF(Sales_Deals!I1801&lt;&gt;"",IF(AND(Sales_Deals!I1801&gt;DATE(2024,9,30),Sales_Deals!I1801&lt;=DATE(2025,3,31)),Sales_Deals!J1801,""),"")</f>
        <v/>
      </c>
      <c r="C1810" t="str">
        <f>IF(Sales_Deals!I1801&lt;&gt;"",IF(AND(Sales_Deals!I1801&gt;DATE(2024,3,31),Sales_Deals!I1801&lt;=DATE(2024,9,30)),Sales_Deals!J1801,""),"")</f>
        <v/>
      </c>
    </row>
    <row r="1811" spans="1:3" x14ac:dyDescent="0.35">
      <c r="A1811">
        <v>1801</v>
      </c>
      <c r="B1811" t="str">
        <f>IF(Sales_Deals!I1802&lt;&gt;"",IF(AND(Sales_Deals!I1802&gt;DATE(2024,9,30),Sales_Deals!I1802&lt;=DATE(2025,3,31)),Sales_Deals!J1802,""),"")</f>
        <v/>
      </c>
      <c r="C1811" t="str">
        <f>IF(Sales_Deals!I1802&lt;&gt;"",IF(AND(Sales_Deals!I1802&gt;DATE(2024,3,31),Sales_Deals!I1802&lt;=DATE(2024,9,30)),Sales_Deals!J1802,""),"")</f>
        <v/>
      </c>
    </row>
    <row r="1812" spans="1:3" x14ac:dyDescent="0.35">
      <c r="A1812">
        <v>1802</v>
      </c>
      <c r="B1812" t="str">
        <f>IF(Sales_Deals!I1803&lt;&gt;"",IF(AND(Sales_Deals!I1803&gt;DATE(2024,9,30),Sales_Deals!I1803&lt;=DATE(2025,3,31)),Sales_Deals!J1803,""),"")</f>
        <v/>
      </c>
      <c r="C1812" t="str">
        <f>IF(Sales_Deals!I1803&lt;&gt;"",IF(AND(Sales_Deals!I1803&gt;DATE(2024,3,31),Sales_Deals!I1803&lt;=DATE(2024,9,30)),Sales_Deals!J1803,""),"")</f>
        <v/>
      </c>
    </row>
    <row r="1813" spans="1:3" x14ac:dyDescent="0.35">
      <c r="A1813">
        <v>1803</v>
      </c>
      <c r="B1813" t="str">
        <f>IF(Sales_Deals!I1804&lt;&gt;"",IF(AND(Sales_Deals!I1804&gt;DATE(2024,9,30),Sales_Deals!I1804&lt;=DATE(2025,3,31)),Sales_Deals!J1804,""),"")</f>
        <v/>
      </c>
      <c r="C1813" t="str">
        <f>IF(Sales_Deals!I1804&lt;&gt;"",IF(AND(Sales_Deals!I1804&gt;DATE(2024,3,31),Sales_Deals!I1804&lt;=DATE(2024,9,30)),Sales_Deals!J1804,""),"")</f>
        <v/>
      </c>
    </row>
    <row r="1814" spans="1:3" x14ac:dyDescent="0.35">
      <c r="A1814">
        <v>1804</v>
      </c>
      <c r="B1814" t="str">
        <f>IF(Sales_Deals!I1805&lt;&gt;"",IF(AND(Sales_Deals!I1805&gt;DATE(2024,9,30),Sales_Deals!I1805&lt;=DATE(2025,3,31)),Sales_Deals!J1805,""),"")</f>
        <v/>
      </c>
      <c r="C1814">
        <f>IF(Sales_Deals!I1805&lt;&gt;"",IF(AND(Sales_Deals!I1805&gt;DATE(2024,3,31),Sales_Deals!I1805&lt;=DATE(2024,9,30)),Sales_Deals!J1805,""),"")</f>
        <v>117</v>
      </c>
    </row>
    <row r="1815" spans="1:3" x14ac:dyDescent="0.35">
      <c r="A1815">
        <v>1805</v>
      </c>
      <c r="B1815" t="str">
        <f>IF(Sales_Deals!I1806&lt;&gt;"",IF(AND(Sales_Deals!I1806&gt;DATE(2024,9,30),Sales_Deals!I1806&lt;=DATE(2025,3,31)),Sales_Deals!J1806,""),"")</f>
        <v/>
      </c>
      <c r="C1815" t="str">
        <f>IF(Sales_Deals!I1806&lt;&gt;"",IF(AND(Sales_Deals!I1806&gt;DATE(2024,3,31),Sales_Deals!I1806&lt;=DATE(2024,9,30)),Sales_Deals!J1806,""),"")</f>
        <v/>
      </c>
    </row>
    <row r="1816" spans="1:3" x14ac:dyDescent="0.35">
      <c r="A1816">
        <v>1806</v>
      </c>
      <c r="B1816">
        <f>IF(Sales_Deals!I1807&lt;&gt;"",IF(AND(Sales_Deals!I1807&gt;DATE(2024,9,30),Sales_Deals!I1807&lt;=DATE(2025,3,31)),Sales_Deals!J1807,""),"")</f>
        <v>151</v>
      </c>
      <c r="C1816" t="str">
        <f>IF(Sales_Deals!I1807&lt;&gt;"",IF(AND(Sales_Deals!I1807&gt;DATE(2024,3,31),Sales_Deals!I1807&lt;=DATE(2024,9,30)),Sales_Deals!J1807,""),"")</f>
        <v/>
      </c>
    </row>
    <row r="1817" spans="1:3" x14ac:dyDescent="0.35">
      <c r="A1817">
        <v>1807</v>
      </c>
      <c r="B1817" t="str">
        <f>IF(Sales_Deals!I1808&lt;&gt;"",IF(AND(Sales_Deals!I1808&gt;DATE(2024,9,30),Sales_Deals!I1808&lt;=DATE(2025,3,31)),Sales_Deals!J1808,""),"")</f>
        <v/>
      </c>
      <c r="C1817">
        <f>IF(Sales_Deals!I1808&lt;&gt;"",IF(AND(Sales_Deals!I1808&gt;DATE(2024,3,31),Sales_Deals!I1808&lt;=DATE(2024,9,30)),Sales_Deals!J1808,""),"")</f>
        <v>107</v>
      </c>
    </row>
    <row r="1818" spans="1:3" x14ac:dyDescent="0.35">
      <c r="A1818">
        <v>1808</v>
      </c>
      <c r="B1818" t="str">
        <f>IF(Sales_Deals!I1809&lt;&gt;"",IF(AND(Sales_Deals!I1809&gt;DATE(2024,9,30),Sales_Deals!I1809&lt;=DATE(2025,3,31)),Sales_Deals!J1809,""),"")</f>
        <v/>
      </c>
      <c r="C1818" t="str">
        <f>IF(Sales_Deals!I1809&lt;&gt;"",IF(AND(Sales_Deals!I1809&gt;DATE(2024,3,31),Sales_Deals!I1809&lt;=DATE(2024,9,30)),Sales_Deals!J1809,""),"")</f>
        <v/>
      </c>
    </row>
    <row r="1819" spans="1:3" x14ac:dyDescent="0.35">
      <c r="A1819">
        <v>1809</v>
      </c>
      <c r="B1819">
        <f>IF(Sales_Deals!I1810&lt;&gt;"",IF(AND(Sales_Deals!I1810&gt;DATE(2024,9,30),Sales_Deals!I1810&lt;=DATE(2025,3,31)),Sales_Deals!J1810,""),"")</f>
        <v>97</v>
      </c>
      <c r="C1819" t="str">
        <f>IF(Sales_Deals!I1810&lt;&gt;"",IF(AND(Sales_Deals!I1810&gt;DATE(2024,3,31),Sales_Deals!I1810&lt;=DATE(2024,9,30)),Sales_Deals!J1810,""),"")</f>
        <v/>
      </c>
    </row>
    <row r="1820" spans="1:3" x14ac:dyDescent="0.35">
      <c r="A1820">
        <v>1810</v>
      </c>
      <c r="B1820" t="str">
        <f>IF(Sales_Deals!I1811&lt;&gt;"",IF(AND(Sales_Deals!I1811&gt;DATE(2024,9,30),Sales_Deals!I1811&lt;=DATE(2025,3,31)),Sales_Deals!J1811,""),"")</f>
        <v/>
      </c>
      <c r="C1820" t="str">
        <f>IF(Sales_Deals!I1811&lt;&gt;"",IF(AND(Sales_Deals!I1811&gt;DATE(2024,3,31),Sales_Deals!I1811&lt;=DATE(2024,9,30)),Sales_Deals!J1811,""),"")</f>
        <v/>
      </c>
    </row>
    <row r="1821" spans="1:3" x14ac:dyDescent="0.35">
      <c r="A1821">
        <v>1811</v>
      </c>
      <c r="B1821" t="str">
        <f>IF(Sales_Deals!I1812&lt;&gt;"",IF(AND(Sales_Deals!I1812&gt;DATE(2024,9,30),Sales_Deals!I1812&lt;=DATE(2025,3,31)),Sales_Deals!J1812,""),"")</f>
        <v/>
      </c>
      <c r="C1821" t="str">
        <f>IF(Sales_Deals!I1812&lt;&gt;"",IF(AND(Sales_Deals!I1812&gt;DATE(2024,3,31),Sales_Deals!I1812&lt;=DATE(2024,9,30)),Sales_Deals!J1812,""),"")</f>
        <v/>
      </c>
    </row>
    <row r="1822" spans="1:3" x14ac:dyDescent="0.35">
      <c r="A1822">
        <v>1812</v>
      </c>
      <c r="B1822" t="str">
        <f>IF(Sales_Deals!I1813&lt;&gt;"",IF(AND(Sales_Deals!I1813&gt;DATE(2024,9,30),Sales_Deals!I1813&lt;=DATE(2025,3,31)),Sales_Deals!J1813,""),"")</f>
        <v/>
      </c>
      <c r="C1822" t="str">
        <f>IF(Sales_Deals!I1813&lt;&gt;"",IF(AND(Sales_Deals!I1813&gt;DATE(2024,3,31),Sales_Deals!I1813&lt;=DATE(2024,9,30)),Sales_Deals!J1813,""),"")</f>
        <v/>
      </c>
    </row>
    <row r="1823" spans="1:3" x14ac:dyDescent="0.35">
      <c r="A1823">
        <v>1813</v>
      </c>
      <c r="B1823" t="str">
        <f>IF(Sales_Deals!I1814&lt;&gt;"",IF(AND(Sales_Deals!I1814&gt;DATE(2024,9,30),Sales_Deals!I1814&lt;=DATE(2025,3,31)),Sales_Deals!J1814,""),"")</f>
        <v/>
      </c>
      <c r="C1823" t="str">
        <f>IF(Sales_Deals!I1814&lt;&gt;"",IF(AND(Sales_Deals!I1814&gt;DATE(2024,3,31),Sales_Deals!I1814&lt;=DATE(2024,9,30)),Sales_Deals!J1814,""),"")</f>
        <v/>
      </c>
    </row>
    <row r="1824" spans="1:3" x14ac:dyDescent="0.35">
      <c r="A1824">
        <v>1814</v>
      </c>
      <c r="B1824" t="str">
        <f>IF(Sales_Deals!I1815&lt;&gt;"",IF(AND(Sales_Deals!I1815&gt;DATE(2024,9,30),Sales_Deals!I1815&lt;=DATE(2025,3,31)),Sales_Deals!J1815,""),"")</f>
        <v/>
      </c>
      <c r="C1824">
        <f>IF(Sales_Deals!I1815&lt;&gt;"",IF(AND(Sales_Deals!I1815&gt;DATE(2024,3,31),Sales_Deals!I1815&lt;=DATE(2024,9,30)),Sales_Deals!J1815,""),"")</f>
        <v>167</v>
      </c>
    </row>
    <row r="1825" spans="1:3" x14ac:dyDescent="0.35">
      <c r="A1825">
        <v>1815</v>
      </c>
      <c r="B1825" t="str">
        <f>IF(Sales_Deals!I1816&lt;&gt;"",IF(AND(Sales_Deals!I1816&gt;DATE(2024,9,30),Sales_Deals!I1816&lt;=DATE(2025,3,31)),Sales_Deals!J1816,""),"")</f>
        <v/>
      </c>
      <c r="C1825" t="str">
        <f>IF(Sales_Deals!I1816&lt;&gt;"",IF(AND(Sales_Deals!I1816&gt;DATE(2024,3,31),Sales_Deals!I1816&lt;=DATE(2024,9,30)),Sales_Deals!J1816,""),"")</f>
        <v/>
      </c>
    </row>
    <row r="1826" spans="1:3" x14ac:dyDescent="0.35">
      <c r="A1826">
        <v>1816</v>
      </c>
      <c r="B1826" t="str">
        <f>IF(Sales_Deals!I1817&lt;&gt;"",IF(AND(Sales_Deals!I1817&gt;DATE(2024,9,30),Sales_Deals!I1817&lt;=DATE(2025,3,31)),Sales_Deals!J1817,""),"")</f>
        <v/>
      </c>
      <c r="C1826" t="str">
        <f>IF(Sales_Deals!I1817&lt;&gt;"",IF(AND(Sales_Deals!I1817&gt;DATE(2024,3,31),Sales_Deals!I1817&lt;=DATE(2024,9,30)),Sales_Deals!J1817,""),"")</f>
        <v/>
      </c>
    </row>
    <row r="1827" spans="1:3" x14ac:dyDescent="0.35">
      <c r="A1827">
        <v>1817</v>
      </c>
      <c r="B1827" t="str">
        <f>IF(Sales_Deals!I1818&lt;&gt;"",IF(AND(Sales_Deals!I1818&gt;DATE(2024,9,30),Sales_Deals!I1818&lt;=DATE(2025,3,31)),Sales_Deals!J1818,""),"")</f>
        <v/>
      </c>
      <c r="C1827" t="str">
        <f>IF(Sales_Deals!I1818&lt;&gt;"",IF(AND(Sales_Deals!I1818&gt;DATE(2024,3,31),Sales_Deals!I1818&lt;=DATE(2024,9,30)),Sales_Deals!J1818,""),"")</f>
        <v/>
      </c>
    </row>
    <row r="1828" spans="1:3" x14ac:dyDescent="0.35">
      <c r="A1828">
        <v>1818</v>
      </c>
      <c r="B1828" t="str">
        <f>IF(Sales_Deals!I1819&lt;&gt;"",IF(AND(Sales_Deals!I1819&gt;DATE(2024,9,30),Sales_Deals!I1819&lt;=DATE(2025,3,31)),Sales_Deals!J1819,""),"")</f>
        <v/>
      </c>
      <c r="C1828" t="str">
        <f>IF(Sales_Deals!I1819&lt;&gt;"",IF(AND(Sales_Deals!I1819&gt;DATE(2024,3,31),Sales_Deals!I1819&lt;=DATE(2024,9,30)),Sales_Deals!J1819,""),"")</f>
        <v/>
      </c>
    </row>
    <row r="1829" spans="1:3" x14ac:dyDescent="0.35">
      <c r="A1829">
        <v>1819</v>
      </c>
      <c r="B1829" t="str">
        <f>IF(Sales_Deals!I1820&lt;&gt;"",IF(AND(Sales_Deals!I1820&gt;DATE(2024,9,30),Sales_Deals!I1820&lt;=DATE(2025,3,31)),Sales_Deals!J1820,""),"")</f>
        <v/>
      </c>
      <c r="C1829" t="str">
        <f>IF(Sales_Deals!I1820&lt;&gt;"",IF(AND(Sales_Deals!I1820&gt;DATE(2024,3,31),Sales_Deals!I1820&lt;=DATE(2024,9,30)),Sales_Deals!J1820,""),"")</f>
        <v/>
      </c>
    </row>
    <row r="1830" spans="1:3" x14ac:dyDescent="0.35">
      <c r="A1830">
        <v>1820</v>
      </c>
      <c r="B1830" t="str">
        <f>IF(Sales_Deals!I1821&lt;&gt;"",IF(AND(Sales_Deals!I1821&gt;DATE(2024,9,30),Sales_Deals!I1821&lt;=DATE(2025,3,31)),Sales_Deals!J1821,""),"")</f>
        <v/>
      </c>
      <c r="C1830" t="str">
        <f>IF(Sales_Deals!I1821&lt;&gt;"",IF(AND(Sales_Deals!I1821&gt;DATE(2024,3,31),Sales_Deals!I1821&lt;=DATE(2024,9,30)),Sales_Deals!J1821,""),"")</f>
        <v/>
      </c>
    </row>
    <row r="1831" spans="1:3" x14ac:dyDescent="0.35">
      <c r="A1831">
        <v>1821</v>
      </c>
      <c r="B1831" t="str">
        <f>IF(Sales_Deals!I1822&lt;&gt;"",IF(AND(Sales_Deals!I1822&gt;DATE(2024,9,30),Sales_Deals!I1822&lt;=DATE(2025,3,31)),Sales_Deals!J1822,""),"")</f>
        <v/>
      </c>
      <c r="C1831" t="str">
        <f>IF(Sales_Deals!I1822&lt;&gt;"",IF(AND(Sales_Deals!I1822&gt;DATE(2024,3,31),Sales_Deals!I1822&lt;=DATE(2024,9,30)),Sales_Deals!J1822,""),"")</f>
        <v/>
      </c>
    </row>
    <row r="1832" spans="1:3" x14ac:dyDescent="0.35">
      <c r="A1832">
        <v>1822</v>
      </c>
      <c r="B1832" t="str">
        <f>IF(Sales_Deals!I1823&lt;&gt;"",IF(AND(Sales_Deals!I1823&gt;DATE(2024,9,30),Sales_Deals!I1823&lt;=DATE(2025,3,31)),Sales_Deals!J1823,""),"")</f>
        <v/>
      </c>
      <c r="C1832" t="str">
        <f>IF(Sales_Deals!I1823&lt;&gt;"",IF(AND(Sales_Deals!I1823&gt;DATE(2024,3,31),Sales_Deals!I1823&lt;=DATE(2024,9,30)),Sales_Deals!J1823,""),"")</f>
        <v/>
      </c>
    </row>
    <row r="1833" spans="1:3" x14ac:dyDescent="0.35">
      <c r="A1833">
        <v>1823</v>
      </c>
      <c r="B1833" t="str">
        <f>IF(Sales_Deals!I1824&lt;&gt;"",IF(AND(Sales_Deals!I1824&gt;DATE(2024,9,30),Sales_Deals!I1824&lt;=DATE(2025,3,31)),Sales_Deals!J1824,""),"")</f>
        <v/>
      </c>
      <c r="C1833" t="str">
        <f>IF(Sales_Deals!I1824&lt;&gt;"",IF(AND(Sales_Deals!I1824&gt;DATE(2024,3,31),Sales_Deals!I1824&lt;=DATE(2024,9,30)),Sales_Deals!J1824,""),"")</f>
        <v/>
      </c>
    </row>
    <row r="1834" spans="1:3" x14ac:dyDescent="0.35">
      <c r="A1834">
        <v>1824</v>
      </c>
      <c r="B1834" t="str">
        <f>IF(Sales_Deals!I1825&lt;&gt;"",IF(AND(Sales_Deals!I1825&gt;DATE(2024,9,30),Sales_Deals!I1825&lt;=DATE(2025,3,31)),Sales_Deals!J1825,""),"")</f>
        <v/>
      </c>
      <c r="C1834" t="str">
        <f>IF(Sales_Deals!I1825&lt;&gt;"",IF(AND(Sales_Deals!I1825&gt;DATE(2024,3,31),Sales_Deals!I1825&lt;=DATE(2024,9,30)),Sales_Deals!J1825,""),"")</f>
        <v/>
      </c>
    </row>
    <row r="1835" spans="1:3" x14ac:dyDescent="0.35">
      <c r="A1835">
        <v>1825</v>
      </c>
      <c r="B1835" t="str">
        <f>IF(Sales_Deals!I1826&lt;&gt;"",IF(AND(Sales_Deals!I1826&gt;DATE(2024,9,30),Sales_Deals!I1826&lt;=DATE(2025,3,31)),Sales_Deals!J1826,""),"")</f>
        <v/>
      </c>
      <c r="C1835" t="str">
        <f>IF(Sales_Deals!I1826&lt;&gt;"",IF(AND(Sales_Deals!I1826&gt;DATE(2024,3,31),Sales_Deals!I1826&lt;=DATE(2024,9,30)),Sales_Deals!J1826,""),"")</f>
        <v/>
      </c>
    </row>
    <row r="1836" spans="1:3" x14ac:dyDescent="0.35">
      <c r="A1836">
        <v>1826</v>
      </c>
      <c r="B1836" t="str">
        <f>IF(Sales_Deals!I1827&lt;&gt;"",IF(AND(Sales_Deals!I1827&gt;DATE(2024,9,30),Sales_Deals!I1827&lt;=DATE(2025,3,31)),Sales_Deals!J1827,""),"")</f>
        <v/>
      </c>
      <c r="C1836" t="str">
        <f>IF(Sales_Deals!I1827&lt;&gt;"",IF(AND(Sales_Deals!I1827&gt;DATE(2024,3,31),Sales_Deals!I1827&lt;=DATE(2024,9,30)),Sales_Deals!J1827,""),"")</f>
        <v/>
      </c>
    </row>
    <row r="1837" spans="1:3" x14ac:dyDescent="0.35">
      <c r="A1837">
        <v>1827</v>
      </c>
      <c r="B1837">
        <f>IF(Sales_Deals!I1828&lt;&gt;"",IF(AND(Sales_Deals!I1828&gt;DATE(2024,9,30),Sales_Deals!I1828&lt;=DATE(2025,3,31)),Sales_Deals!J1828,""),"")</f>
        <v>85</v>
      </c>
      <c r="C1837" t="str">
        <f>IF(Sales_Deals!I1828&lt;&gt;"",IF(AND(Sales_Deals!I1828&gt;DATE(2024,3,31),Sales_Deals!I1828&lt;=DATE(2024,9,30)),Sales_Deals!J1828,""),"")</f>
        <v/>
      </c>
    </row>
    <row r="1838" spans="1:3" x14ac:dyDescent="0.35">
      <c r="A1838">
        <v>1828</v>
      </c>
      <c r="B1838" t="str">
        <f>IF(Sales_Deals!I1829&lt;&gt;"",IF(AND(Sales_Deals!I1829&gt;DATE(2024,9,30),Sales_Deals!I1829&lt;=DATE(2025,3,31)),Sales_Deals!J1829,""),"")</f>
        <v/>
      </c>
      <c r="C1838" t="str">
        <f>IF(Sales_Deals!I1829&lt;&gt;"",IF(AND(Sales_Deals!I1829&gt;DATE(2024,3,31),Sales_Deals!I1829&lt;=DATE(2024,9,30)),Sales_Deals!J1829,""),"")</f>
        <v/>
      </c>
    </row>
    <row r="1839" spans="1:3" x14ac:dyDescent="0.35">
      <c r="A1839">
        <v>1829</v>
      </c>
      <c r="B1839" t="str">
        <f>IF(Sales_Deals!I1830&lt;&gt;"",IF(AND(Sales_Deals!I1830&gt;DATE(2024,9,30),Sales_Deals!I1830&lt;=DATE(2025,3,31)),Sales_Deals!J1830,""),"")</f>
        <v/>
      </c>
      <c r="C1839" t="str">
        <f>IF(Sales_Deals!I1830&lt;&gt;"",IF(AND(Sales_Deals!I1830&gt;DATE(2024,3,31),Sales_Deals!I1830&lt;=DATE(2024,9,30)),Sales_Deals!J1830,""),"")</f>
        <v/>
      </c>
    </row>
    <row r="1840" spans="1:3" x14ac:dyDescent="0.35">
      <c r="A1840">
        <v>1830</v>
      </c>
      <c r="B1840" t="str">
        <f>IF(Sales_Deals!I1831&lt;&gt;"",IF(AND(Sales_Deals!I1831&gt;DATE(2024,9,30),Sales_Deals!I1831&lt;=DATE(2025,3,31)),Sales_Deals!J1831,""),"")</f>
        <v/>
      </c>
      <c r="C1840" t="str">
        <f>IF(Sales_Deals!I1831&lt;&gt;"",IF(AND(Sales_Deals!I1831&gt;DATE(2024,3,31),Sales_Deals!I1831&lt;=DATE(2024,9,30)),Sales_Deals!J1831,""),"")</f>
        <v/>
      </c>
    </row>
    <row r="1841" spans="1:3" x14ac:dyDescent="0.35">
      <c r="A1841">
        <v>1831</v>
      </c>
      <c r="B1841" t="str">
        <f>IF(Sales_Deals!I1832&lt;&gt;"",IF(AND(Sales_Deals!I1832&gt;DATE(2024,9,30),Sales_Deals!I1832&lt;=DATE(2025,3,31)),Sales_Deals!J1832,""),"")</f>
        <v/>
      </c>
      <c r="C1841" t="str">
        <f>IF(Sales_Deals!I1832&lt;&gt;"",IF(AND(Sales_Deals!I1832&gt;DATE(2024,3,31),Sales_Deals!I1832&lt;=DATE(2024,9,30)),Sales_Deals!J1832,""),"")</f>
        <v/>
      </c>
    </row>
    <row r="1842" spans="1:3" x14ac:dyDescent="0.35">
      <c r="A1842">
        <v>1832</v>
      </c>
      <c r="B1842" t="str">
        <f>IF(Sales_Deals!I1833&lt;&gt;"",IF(AND(Sales_Deals!I1833&gt;DATE(2024,9,30),Sales_Deals!I1833&lt;=DATE(2025,3,31)),Sales_Deals!J1833,""),"")</f>
        <v/>
      </c>
      <c r="C1842">
        <f>IF(Sales_Deals!I1833&lt;&gt;"",IF(AND(Sales_Deals!I1833&gt;DATE(2024,3,31),Sales_Deals!I1833&lt;=DATE(2024,9,30)),Sales_Deals!J1833,""),"")</f>
        <v>18</v>
      </c>
    </row>
    <row r="1843" spans="1:3" x14ac:dyDescent="0.35">
      <c r="A1843">
        <v>1833</v>
      </c>
      <c r="B1843" t="str">
        <f>IF(Sales_Deals!I1834&lt;&gt;"",IF(AND(Sales_Deals!I1834&gt;DATE(2024,9,30),Sales_Deals!I1834&lt;=DATE(2025,3,31)),Sales_Deals!J1834,""),"")</f>
        <v/>
      </c>
      <c r="C1843" t="str">
        <f>IF(Sales_Deals!I1834&lt;&gt;"",IF(AND(Sales_Deals!I1834&gt;DATE(2024,3,31),Sales_Deals!I1834&lt;=DATE(2024,9,30)),Sales_Deals!J1834,""),"")</f>
        <v/>
      </c>
    </row>
    <row r="1844" spans="1:3" x14ac:dyDescent="0.35">
      <c r="A1844">
        <v>1834</v>
      </c>
      <c r="B1844" t="str">
        <f>IF(Sales_Deals!I1835&lt;&gt;"",IF(AND(Sales_Deals!I1835&gt;DATE(2024,9,30),Sales_Deals!I1835&lt;=DATE(2025,3,31)),Sales_Deals!J1835,""),"")</f>
        <v/>
      </c>
      <c r="C1844" t="str">
        <f>IF(Sales_Deals!I1835&lt;&gt;"",IF(AND(Sales_Deals!I1835&gt;DATE(2024,3,31),Sales_Deals!I1835&lt;=DATE(2024,9,30)),Sales_Deals!J1835,""),"")</f>
        <v/>
      </c>
    </row>
    <row r="1845" spans="1:3" x14ac:dyDescent="0.35">
      <c r="A1845">
        <v>1835</v>
      </c>
      <c r="B1845" t="str">
        <f>IF(Sales_Deals!I1836&lt;&gt;"",IF(AND(Sales_Deals!I1836&gt;DATE(2024,9,30),Sales_Deals!I1836&lt;=DATE(2025,3,31)),Sales_Deals!J1836,""),"")</f>
        <v/>
      </c>
      <c r="C1845" t="str">
        <f>IF(Sales_Deals!I1836&lt;&gt;"",IF(AND(Sales_Deals!I1836&gt;DATE(2024,3,31),Sales_Deals!I1836&lt;=DATE(2024,9,30)),Sales_Deals!J1836,""),"")</f>
        <v/>
      </c>
    </row>
    <row r="1846" spans="1:3" x14ac:dyDescent="0.35">
      <c r="A1846">
        <v>1836</v>
      </c>
      <c r="B1846" t="str">
        <f>IF(Sales_Deals!I1837&lt;&gt;"",IF(AND(Sales_Deals!I1837&gt;DATE(2024,9,30),Sales_Deals!I1837&lt;=DATE(2025,3,31)),Sales_Deals!J1837,""),"")</f>
        <v/>
      </c>
      <c r="C1846" t="str">
        <f>IF(Sales_Deals!I1837&lt;&gt;"",IF(AND(Sales_Deals!I1837&gt;DATE(2024,3,31),Sales_Deals!I1837&lt;=DATE(2024,9,30)),Sales_Deals!J1837,""),"")</f>
        <v/>
      </c>
    </row>
    <row r="1847" spans="1:3" x14ac:dyDescent="0.35">
      <c r="A1847">
        <v>1837</v>
      </c>
      <c r="B1847" t="str">
        <f>IF(Sales_Deals!I1838&lt;&gt;"",IF(AND(Sales_Deals!I1838&gt;DATE(2024,9,30),Sales_Deals!I1838&lt;=DATE(2025,3,31)),Sales_Deals!J1838,""),"")</f>
        <v/>
      </c>
      <c r="C1847" t="str">
        <f>IF(Sales_Deals!I1838&lt;&gt;"",IF(AND(Sales_Deals!I1838&gt;DATE(2024,3,31),Sales_Deals!I1838&lt;=DATE(2024,9,30)),Sales_Deals!J1838,""),"")</f>
        <v/>
      </c>
    </row>
    <row r="1848" spans="1:3" x14ac:dyDescent="0.35">
      <c r="A1848">
        <v>1838</v>
      </c>
      <c r="B1848" t="str">
        <f>IF(Sales_Deals!I1839&lt;&gt;"",IF(AND(Sales_Deals!I1839&gt;DATE(2024,9,30),Sales_Deals!I1839&lt;=DATE(2025,3,31)),Sales_Deals!J1839,""),"")</f>
        <v/>
      </c>
      <c r="C1848" t="str">
        <f>IF(Sales_Deals!I1839&lt;&gt;"",IF(AND(Sales_Deals!I1839&gt;DATE(2024,3,31),Sales_Deals!I1839&lt;=DATE(2024,9,30)),Sales_Deals!J1839,""),"")</f>
        <v/>
      </c>
    </row>
    <row r="1849" spans="1:3" x14ac:dyDescent="0.35">
      <c r="A1849">
        <v>1839</v>
      </c>
      <c r="B1849" t="str">
        <f>IF(Sales_Deals!I1840&lt;&gt;"",IF(AND(Sales_Deals!I1840&gt;DATE(2024,9,30),Sales_Deals!I1840&lt;=DATE(2025,3,31)),Sales_Deals!J1840,""),"")</f>
        <v/>
      </c>
      <c r="C1849" t="str">
        <f>IF(Sales_Deals!I1840&lt;&gt;"",IF(AND(Sales_Deals!I1840&gt;DATE(2024,3,31),Sales_Deals!I1840&lt;=DATE(2024,9,30)),Sales_Deals!J1840,""),"")</f>
        <v/>
      </c>
    </row>
    <row r="1850" spans="1:3" x14ac:dyDescent="0.35">
      <c r="A1850">
        <v>1840</v>
      </c>
      <c r="B1850" t="str">
        <f>IF(Sales_Deals!I1841&lt;&gt;"",IF(AND(Sales_Deals!I1841&gt;DATE(2024,9,30),Sales_Deals!I1841&lt;=DATE(2025,3,31)),Sales_Deals!J1841,""),"")</f>
        <v/>
      </c>
      <c r="C1850" t="str">
        <f>IF(Sales_Deals!I1841&lt;&gt;"",IF(AND(Sales_Deals!I1841&gt;DATE(2024,3,31),Sales_Deals!I1841&lt;=DATE(2024,9,30)),Sales_Deals!J1841,""),"")</f>
        <v/>
      </c>
    </row>
    <row r="1851" spans="1:3" x14ac:dyDescent="0.35">
      <c r="A1851">
        <v>1841</v>
      </c>
      <c r="B1851" t="str">
        <f>IF(Sales_Deals!I1842&lt;&gt;"",IF(AND(Sales_Deals!I1842&gt;DATE(2024,9,30),Sales_Deals!I1842&lt;=DATE(2025,3,31)),Sales_Deals!J1842,""),"")</f>
        <v/>
      </c>
      <c r="C1851" t="str">
        <f>IF(Sales_Deals!I1842&lt;&gt;"",IF(AND(Sales_Deals!I1842&gt;DATE(2024,3,31),Sales_Deals!I1842&lt;=DATE(2024,9,30)),Sales_Deals!J1842,""),"")</f>
        <v/>
      </c>
    </row>
    <row r="1852" spans="1:3" x14ac:dyDescent="0.35">
      <c r="A1852">
        <v>1842</v>
      </c>
      <c r="B1852" t="str">
        <f>IF(Sales_Deals!I1843&lt;&gt;"",IF(AND(Sales_Deals!I1843&gt;DATE(2024,9,30),Sales_Deals!I1843&lt;=DATE(2025,3,31)),Sales_Deals!J1843,""),"")</f>
        <v/>
      </c>
      <c r="C1852" t="str">
        <f>IF(Sales_Deals!I1843&lt;&gt;"",IF(AND(Sales_Deals!I1843&gt;DATE(2024,3,31),Sales_Deals!I1843&lt;=DATE(2024,9,30)),Sales_Deals!J1843,""),"")</f>
        <v/>
      </c>
    </row>
    <row r="1853" spans="1:3" x14ac:dyDescent="0.35">
      <c r="A1853">
        <v>1843</v>
      </c>
      <c r="B1853" t="str">
        <f>IF(Sales_Deals!I1844&lt;&gt;"",IF(AND(Sales_Deals!I1844&gt;DATE(2024,9,30),Sales_Deals!I1844&lt;=DATE(2025,3,31)),Sales_Deals!J1844,""),"")</f>
        <v/>
      </c>
      <c r="C1853" t="str">
        <f>IF(Sales_Deals!I1844&lt;&gt;"",IF(AND(Sales_Deals!I1844&gt;DATE(2024,3,31),Sales_Deals!I1844&lt;=DATE(2024,9,30)),Sales_Deals!J1844,""),"")</f>
        <v/>
      </c>
    </row>
    <row r="1854" spans="1:3" x14ac:dyDescent="0.35">
      <c r="A1854">
        <v>1844</v>
      </c>
      <c r="B1854" t="str">
        <f>IF(Sales_Deals!I1845&lt;&gt;"",IF(AND(Sales_Deals!I1845&gt;DATE(2024,9,30),Sales_Deals!I1845&lt;=DATE(2025,3,31)),Sales_Deals!J1845,""),"")</f>
        <v/>
      </c>
      <c r="C1854">
        <f>IF(Sales_Deals!I1845&lt;&gt;"",IF(AND(Sales_Deals!I1845&gt;DATE(2024,3,31),Sales_Deals!I1845&lt;=DATE(2024,9,30)),Sales_Deals!J1845,""),"")</f>
        <v>105</v>
      </c>
    </row>
    <row r="1855" spans="1:3" x14ac:dyDescent="0.35">
      <c r="A1855">
        <v>1845</v>
      </c>
      <c r="B1855" t="str">
        <f>IF(Sales_Deals!I1846&lt;&gt;"",IF(AND(Sales_Deals!I1846&gt;DATE(2024,9,30),Sales_Deals!I1846&lt;=DATE(2025,3,31)),Sales_Deals!J1846,""),"")</f>
        <v/>
      </c>
      <c r="C1855" t="str">
        <f>IF(Sales_Deals!I1846&lt;&gt;"",IF(AND(Sales_Deals!I1846&gt;DATE(2024,3,31),Sales_Deals!I1846&lt;=DATE(2024,9,30)),Sales_Deals!J1846,""),"")</f>
        <v/>
      </c>
    </row>
    <row r="1856" spans="1:3" x14ac:dyDescent="0.35">
      <c r="A1856">
        <v>1846</v>
      </c>
      <c r="B1856" t="str">
        <f>IF(Sales_Deals!I1847&lt;&gt;"",IF(AND(Sales_Deals!I1847&gt;DATE(2024,9,30),Sales_Deals!I1847&lt;=DATE(2025,3,31)),Sales_Deals!J1847,""),"")</f>
        <v/>
      </c>
      <c r="C1856" t="str">
        <f>IF(Sales_Deals!I1847&lt;&gt;"",IF(AND(Sales_Deals!I1847&gt;DATE(2024,3,31),Sales_Deals!I1847&lt;=DATE(2024,9,30)),Sales_Deals!J1847,""),"")</f>
        <v/>
      </c>
    </row>
    <row r="1857" spans="1:3" x14ac:dyDescent="0.35">
      <c r="A1857">
        <v>1847</v>
      </c>
      <c r="B1857" t="str">
        <f>IF(Sales_Deals!I1848&lt;&gt;"",IF(AND(Sales_Deals!I1848&gt;DATE(2024,9,30),Sales_Deals!I1848&lt;=DATE(2025,3,31)),Sales_Deals!J1848,""),"")</f>
        <v/>
      </c>
      <c r="C1857" t="str">
        <f>IF(Sales_Deals!I1848&lt;&gt;"",IF(AND(Sales_Deals!I1848&gt;DATE(2024,3,31),Sales_Deals!I1848&lt;=DATE(2024,9,30)),Sales_Deals!J1848,""),"")</f>
        <v/>
      </c>
    </row>
    <row r="1858" spans="1:3" x14ac:dyDescent="0.35">
      <c r="A1858">
        <v>1848</v>
      </c>
      <c r="B1858" t="str">
        <f>IF(Sales_Deals!I1849&lt;&gt;"",IF(AND(Sales_Deals!I1849&gt;DATE(2024,9,30),Sales_Deals!I1849&lt;=DATE(2025,3,31)),Sales_Deals!J1849,""),"")</f>
        <v/>
      </c>
      <c r="C1858" t="str">
        <f>IF(Sales_Deals!I1849&lt;&gt;"",IF(AND(Sales_Deals!I1849&gt;DATE(2024,3,31),Sales_Deals!I1849&lt;=DATE(2024,9,30)),Sales_Deals!J1849,""),"")</f>
        <v/>
      </c>
    </row>
    <row r="1859" spans="1:3" x14ac:dyDescent="0.35">
      <c r="A1859">
        <v>1849</v>
      </c>
      <c r="B1859" t="str">
        <f>IF(Sales_Deals!I1850&lt;&gt;"",IF(AND(Sales_Deals!I1850&gt;DATE(2024,9,30),Sales_Deals!I1850&lt;=DATE(2025,3,31)),Sales_Deals!J1850,""),"")</f>
        <v/>
      </c>
      <c r="C1859" t="str">
        <f>IF(Sales_Deals!I1850&lt;&gt;"",IF(AND(Sales_Deals!I1850&gt;DATE(2024,3,31),Sales_Deals!I1850&lt;=DATE(2024,9,30)),Sales_Deals!J1850,""),"")</f>
        <v/>
      </c>
    </row>
    <row r="1860" spans="1:3" x14ac:dyDescent="0.35">
      <c r="A1860">
        <v>1850</v>
      </c>
      <c r="B1860" t="str">
        <f>IF(Sales_Deals!I1851&lt;&gt;"",IF(AND(Sales_Deals!I1851&gt;DATE(2024,9,30),Sales_Deals!I1851&lt;=DATE(2025,3,31)),Sales_Deals!J1851,""),"")</f>
        <v/>
      </c>
      <c r="C1860" t="str">
        <f>IF(Sales_Deals!I1851&lt;&gt;"",IF(AND(Sales_Deals!I1851&gt;DATE(2024,3,31),Sales_Deals!I1851&lt;=DATE(2024,9,30)),Sales_Deals!J1851,""),"")</f>
        <v/>
      </c>
    </row>
    <row r="1861" spans="1:3" x14ac:dyDescent="0.35">
      <c r="A1861">
        <v>1851</v>
      </c>
      <c r="B1861" t="str">
        <f>IF(Sales_Deals!I1852&lt;&gt;"",IF(AND(Sales_Deals!I1852&gt;DATE(2024,9,30),Sales_Deals!I1852&lt;=DATE(2025,3,31)),Sales_Deals!J1852,""),"")</f>
        <v/>
      </c>
      <c r="C1861" t="str">
        <f>IF(Sales_Deals!I1852&lt;&gt;"",IF(AND(Sales_Deals!I1852&gt;DATE(2024,3,31),Sales_Deals!I1852&lt;=DATE(2024,9,30)),Sales_Deals!J1852,""),"")</f>
        <v/>
      </c>
    </row>
    <row r="1862" spans="1:3" x14ac:dyDescent="0.35">
      <c r="A1862">
        <v>1852</v>
      </c>
      <c r="B1862">
        <f>IF(Sales_Deals!I1853&lt;&gt;"",IF(AND(Sales_Deals!I1853&gt;DATE(2024,9,30),Sales_Deals!I1853&lt;=DATE(2025,3,31)),Sales_Deals!J1853,""),"")</f>
        <v>21</v>
      </c>
      <c r="C1862" t="str">
        <f>IF(Sales_Deals!I1853&lt;&gt;"",IF(AND(Sales_Deals!I1853&gt;DATE(2024,3,31),Sales_Deals!I1853&lt;=DATE(2024,9,30)),Sales_Deals!J1853,""),"")</f>
        <v/>
      </c>
    </row>
    <row r="1863" spans="1:3" x14ac:dyDescent="0.35">
      <c r="A1863">
        <v>1853</v>
      </c>
      <c r="B1863" t="str">
        <f>IF(Sales_Deals!I1854&lt;&gt;"",IF(AND(Sales_Deals!I1854&gt;DATE(2024,9,30),Sales_Deals!I1854&lt;=DATE(2025,3,31)),Sales_Deals!J1854,""),"")</f>
        <v/>
      </c>
      <c r="C1863">
        <f>IF(Sales_Deals!I1854&lt;&gt;"",IF(AND(Sales_Deals!I1854&gt;DATE(2024,3,31),Sales_Deals!I1854&lt;=DATE(2024,9,30)),Sales_Deals!J1854,""),"")</f>
        <v>81</v>
      </c>
    </row>
    <row r="1864" spans="1:3" x14ac:dyDescent="0.35">
      <c r="A1864">
        <v>1854</v>
      </c>
      <c r="B1864" t="str">
        <f>IF(Sales_Deals!I1855&lt;&gt;"",IF(AND(Sales_Deals!I1855&gt;DATE(2024,9,30),Sales_Deals!I1855&lt;=DATE(2025,3,31)),Sales_Deals!J1855,""),"")</f>
        <v/>
      </c>
      <c r="C1864" t="str">
        <f>IF(Sales_Deals!I1855&lt;&gt;"",IF(AND(Sales_Deals!I1855&gt;DATE(2024,3,31),Sales_Deals!I1855&lt;=DATE(2024,9,30)),Sales_Deals!J1855,""),"")</f>
        <v/>
      </c>
    </row>
    <row r="1865" spans="1:3" x14ac:dyDescent="0.35">
      <c r="A1865">
        <v>1855</v>
      </c>
      <c r="B1865" t="str">
        <f>IF(Sales_Deals!I1856&lt;&gt;"",IF(AND(Sales_Deals!I1856&gt;DATE(2024,9,30),Sales_Deals!I1856&lt;=DATE(2025,3,31)),Sales_Deals!J1856,""),"")</f>
        <v/>
      </c>
      <c r="C1865" t="str">
        <f>IF(Sales_Deals!I1856&lt;&gt;"",IF(AND(Sales_Deals!I1856&gt;DATE(2024,3,31),Sales_Deals!I1856&lt;=DATE(2024,9,30)),Sales_Deals!J1856,""),"")</f>
        <v/>
      </c>
    </row>
    <row r="1866" spans="1:3" x14ac:dyDescent="0.35">
      <c r="A1866">
        <v>1856</v>
      </c>
      <c r="B1866" t="str">
        <f>IF(Sales_Deals!I1857&lt;&gt;"",IF(AND(Sales_Deals!I1857&gt;DATE(2024,9,30),Sales_Deals!I1857&lt;=DATE(2025,3,31)),Sales_Deals!J1857,""),"")</f>
        <v/>
      </c>
      <c r="C1866" t="str">
        <f>IF(Sales_Deals!I1857&lt;&gt;"",IF(AND(Sales_Deals!I1857&gt;DATE(2024,3,31),Sales_Deals!I1857&lt;=DATE(2024,9,30)),Sales_Deals!J1857,""),"")</f>
        <v/>
      </c>
    </row>
    <row r="1867" spans="1:3" x14ac:dyDescent="0.35">
      <c r="A1867">
        <v>1857</v>
      </c>
      <c r="B1867" t="str">
        <f>IF(Sales_Deals!I1858&lt;&gt;"",IF(AND(Sales_Deals!I1858&gt;DATE(2024,9,30),Sales_Deals!I1858&lt;=DATE(2025,3,31)),Sales_Deals!J1858,""),"")</f>
        <v/>
      </c>
      <c r="C1867" t="str">
        <f>IF(Sales_Deals!I1858&lt;&gt;"",IF(AND(Sales_Deals!I1858&gt;DATE(2024,3,31),Sales_Deals!I1858&lt;=DATE(2024,9,30)),Sales_Deals!J1858,""),"")</f>
        <v/>
      </c>
    </row>
    <row r="1868" spans="1:3" x14ac:dyDescent="0.35">
      <c r="A1868">
        <v>1858</v>
      </c>
      <c r="B1868" t="str">
        <f>IF(Sales_Deals!I1859&lt;&gt;"",IF(AND(Sales_Deals!I1859&gt;DATE(2024,9,30),Sales_Deals!I1859&lt;=DATE(2025,3,31)),Sales_Deals!J1859,""),"")</f>
        <v/>
      </c>
      <c r="C1868" t="str">
        <f>IF(Sales_Deals!I1859&lt;&gt;"",IF(AND(Sales_Deals!I1859&gt;DATE(2024,3,31),Sales_Deals!I1859&lt;=DATE(2024,9,30)),Sales_Deals!J1859,""),"")</f>
        <v/>
      </c>
    </row>
    <row r="1869" spans="1:3" x14ac:dyDescent="0.35">
      <c r="A1869">
        <v>1859</v>
      </c>
      <c r="B1869" t="str">
        <f>IF(Sales_Deals!I1860&lt;&gt;"",IF(AND(Sales_Deals!I1860&gt;DATE(2024,9,30),Sales_Deals!I1860&lt;=DATE(2025,3,31)),Sales_Deals!J1860,""),"")</f>
        <v/>
      </c>
      <c r="C1869" t="str">
        <f>IF(Sales_Deals!I1860&lt;&gt;"",IF(AND(Sales_Deals!I1860&gt;DATE(2024,3,31),Sales_Deals!I1860&lt;=DATE(2024,9,30)),Sales_Deals!J1860,""),"")</f>
        <v/>
      </c>
    </row>
    <row r="1870" spans="1:3" x14ac:dyDescent="0.35">
      <c r="A1870">
        <v>1860</v>
      </c>
      <c r="B1870" t="str">
        <f>IF(Sales_Deals!I1861&lt;&gt;"",IF(AND(Sales_Deals!I1861&gt;DATE(2024,9,30),Sales_Deals!I1861&lt;=DATE(2025,3,31)),Sales_Deals!J1861,""),"")</f>
        <v/>
      </c>
      <c r="C1870" t="str">
        <f>IF(Sales_Deals!I1861&lt;&gt;"",IF(AND(Sales_Deals!I1861&gt;DATE(2024,3,31),Sales_Deals!I1861&lt;=DATE(2024,9,30)),Sales_Deals!J1861,""),"")</f>
        <v/>
      </c>
    </row>
    <row r="1871" spans="1:3" x14ac:dyDescent="0.35">
      <c r="A1871">
        <v>1861</v>
      </c>
      <c r="B1871" t="str">
        <f>IF(Sales_Deals!I1862&lt;&gt;"",IF(AND(Sales_Deals!I1862&gt;DATE(2024,9,30),Sales_Deals!I1862&lt;=DATE(2025,3,31)),Sales_Deals!J1862,""),"")</f>
        <v/>
      </c>
      <c r="C1871" t="str">
        <f>IF(Sales_Deals!I1862&lt;&gt;"",IF(AND(Sales_Deals!I1862&gt;DATE(2024,3,31),Sales_Deals!I1862&lt;=DATE(2024,9,30)),Sales_Deals!J1862,""),"")</f>
        <v/>
      </c>
    </row>
    <row r="1872" spans="1:3" x14ac:dyDescent="0.35">
      <c r="A1872">
        <v>1862</v>
      </c>
      <c r="B1872" t="str">
        <f>IF(Sales_Deals!I1863&lt;&gt;"",IF(AND(Sales_Deals!I1863&gt;DATE(2024,9,30),Sales_Deals!I1863&lt;=DATE(2025,3,31)),Sales_Deals!J1863,""),"")</f>
        <v/>
      </c>
      <c r="C1872" t="str">
        <f>IF(Sales_Deals!I1863&lt;&gt;"",IF(AND(Sales_Deals!I1863&gt;DATE(2024,3,31),Sales_Deals!I1863&lt;=DATE(2024,9,30)),Sales_Deals!J1863,""),"")</f>
        <v/>
      </c>
    </row>
    <row r="1873" spans="1:3" x14ac:dyDescent="0.35">
      <c r="A1873">
        <v>1863</v>
      </c>
      <c r="B1873" t="str">
        <f>IF(Sales_Deals!I1864&lt;&gt;"",IF(AND(Sales_Deals!I1864&gt;DATE(2024,9,30),Sales_Deals!I1864&lt;=DATE(2025,3,31)),Sales_Deals!J1864,""),"")</f>
        <v/>
      </c>
      <c r="C1873" t="str">
        <f>IF(Sales_Deals!I1864&lt;&gt;"",IF(AND(Sales_Deals!I1864&gt;DATE(2024,3,31),Sales_Deals!I1864&lt;=DATE(2024,9,30)),Sales_Deals!J1864,""),"")</f>
        <v/>
      </c>
    </row>
    <row r="1874" spans="1:3" x14ac:dyDescent="0.35">
      <c r="A1874">
        <v>1864</v>
      </c>
      <c r="B1874" t="str">
        <f>IF(Sales_Deals!I1865&lt;&gt;"",IF(AND(Sales_Deals!I1865&gt;DATE(2024,9,30),Sales_Deals!I1865&lt;=DATE(2025,3,31)),Sales_Deals!J1865,""),"")</f>
        <v/>
      </c>
      <c r="C1874" t="str">
        <f>IF(Sales_Deals!I1865&lt;&gt;"",IF(AND(Sales_Deals!I1865&gt;DATE(2024,3,31),Sales_Deals!I1865&lt;=DATE(2024,9,30)),Sales_Deals!J1865,""),"")</f>
        <v/>
      </c>
    </row>
    <row r="1875" spans="1:3" x14ac:dyDescent="0.35">
      <c r="A1875">
        <v>1865</v>
      </c>
      <c r="B1875" t="str">
        <f>IF(Sales_Deals!I1866&lt;&gt;"",IF(AND(Sales_Deals!I1866&gt;DATE(2024,9,30),Sales_Deals!I1866&lt;=DATE(2025,3,31)),Sales_Deals!J1866,""),"")</f>
        <v/>
      </c>
      <c r="C1875" t="str">
        <f>IF(Sales_Deals!I1866&lt;&gt;"",IF(AND(Sales_Deals!I1866&gt;DATE(2024,3,31),Sales_Deals!I1866&lt;=DATE(2024,9,30)),Sales_Deals!J1866,""),"")</f>
        <v/>
      </c>
    </row>
    <row r="1876" spans="1:3" x14ac:dyDescent="0.35">
      <c r="A1876">
        <v>1866</v>
      </c>
      <c r="B1876" t="str">
        <f>IF(Sales_Deals!I1867&lt;&gt;"",IF(AND(Sales_Deals!I1867&gt;DATE(2024,9,30),Sales_Deals!I1867&lt;=DATE(2025,3,31)),Sales_Deals!J1867,""),"")</f>
        <v/>
      </c>
      <c r="C1876" t="str">
        <f>IF(Sales_Deals!I1867&lt;&gt;"",IF(AND(Sales_Deals!I1867&gt;DATE(2024,3,31),Sales_Deals!I1867&lt;=DATE(2024,9,30)),Sales_Deals!J1867,""),"")</f>
        <v/>
      </c>
    </row>
    <row r="1877" spans="1:3" x14ac:dyDescent="0.35">
      <c r="A1877">
        <v>1867</v>
      </c>
      <c r="B1877" t="str">
        <f>IF(Sales_Deals!I1868&lt;&gt;"",IF(AND(Sales_Deals!I1868&gt;DATE(2024,9,30),Sales_Deals!I1868&lt;=DATE(2025,3,31)),Sales_Deals!J1868,""),"")</f>
        <v/>
      </c>
      <c r="C1877" t="str">
        <f>IF(Sales_Deals!I1868&lt;&gt;"",IF(AND(Sales_Deals!I1868&gt;DATE(2024,3,31),Sales_Deals!I1868&lt;=DATE(2024,9,30)),Sales_Deals!J1868,""),"")</f>
        <v/>
      </c>
    </row>
    <row r="1878" spans="1:3" x14ac:dyDescent="0.35">
      <c r="A1878">
        <v>1868</v>
      </c>
      <c r="B1878" t="str">
        <f>IF(Sales_Deals!I1869&lt;&gt;"",IF(AND(Sales_Deals!I1869&gt;DATE(2024,9,30),Sales_Deals!I1869&lt;=DATE(2025,3,31)),Sales_Deals!J1869,""),"")</f>
        <v/>
      </c>
      <c r="C1878">
        <f>IF(Sales_Deals!I1869&lt;&gt;"",IF(AND(Sales_Deals!I1869&gt;DATE(2024,3,31),Sales_Deals!I1869&lt;=DATE(2024,9,30)),Sales_Deals!J1869,""),"")</f>
        <v>25</v>
      </c>
    </row>
    <row r="1879" spans="1:3" x14ac:dyDescent="0.35">
      <c r="A1879">
        <v>1869</v>
      </c>
      <c r="B1879" t="str">
        <f>IF(Sales_Deals!I1870&lt;&gt;"",IF(AND(Sales_Deals!I1870&gt;DATE(2024,9,30),Sales_Deals!I1870&lt;=DATE(2025,3,31)),Sales_Deals!J1870,""),"")</f>
        <v/>
      </c>
      <c r="C1879" t="str">
        <f>IF(Sales_Deals!I1870&lt;&gt;"",IF(AND(Sales_Deals!I1870&gt;DATE(2024,3,31),Sales_Deals!I1870&lt;=DATE(2024,9,30)),Sales_Deals!J1870,""),"")</f>
        <v/>
      </c>
    </row>
    <row r="1880" spans="1:3" x14ac:dyDescent="0.35">
      <c r="A1880">
        <v>1870</v>
      </c>
      <c r="B1880" t="str">
        <f>IF(Sales_Deals!I1871&lt;&gt;"",IF(AND(Sales_Deals!I1871&gt;DATE(2024,9,30),Sales_Deals!I1871&lt;=DATE(2025,3,31)),Sales_Deals!J1871,""),"")</f>
        <v/>
      </c>
      <c r="C1880" t="str">
        <f>IF(Sales_Deals!I1871&lt;&gt;"",IF(AND(Sales_Deals!I1871&gt;DATE(2024,3,31),Sales_Deals!I1871&lt;=DATE(2024,9,30)),Sales_Deals!J1871,""),"")</f>
        <v/>
      </c>
    </row>
    <row r="1881" spans="1:3" x14ac:dyDescent="0.35">
      <c r="A1881">
        <v>1871</v>
      </c>
      <c r="B1881" t="str">
        <f>IF(Sales_Deals!I1872&lt;&gt;"",IF(AND(Sales_Deals!I1872&gt;DATE(2024,9,30),Sales_Deals!I1872&lt;=DATE(2025,3,31)),Sales_Deals!J1872,""),"")</f>
        <v/>
      </c>
      <c r="C1881" t="str">
        <f>IF(Sales_Deals!I1872&lt;&gt;"",IF(AND(Sales_Deals!I1872&gt;DATE(2024,3,31),Sales_Deals!I1872&lt;=DATE(2024,9,30)),Sales_Deals!J1872,""),"")</f>
        <v/>
      </c>
    </row>
    <row r="1882" spans="1:3" x14ac:dyDescent="0.35">
      <c r="A1882">
        <v>1872</v>
      </c>
      <c r="B1882" t="str">
        <f>IF(Sales_Deals!I1873&lt;&gt;"",IF(AND(Sales_Deals!I1873&gt;DATE(2024,9,30),Sales_Deals!I1873&lt;=DATE(2025,3,31)),Sales_Deals!J1873,""),"")</f>
        <v/>
      </c>
      <c r="C1882" t="str">
        <f>IF(Sales_Deals!I1873&lt;&gt;"",IF(AND(Sales_Deals!I1873&gt;DATE(2024,3,31),Sales_Deals!I1873&lt;=DATE(2024,9,30)),Sales_Deals!J1873,""),"")</f>
        <v/>
      </c>
    </row>
    <row r="1883" spans="1:3" x14ac:dyDescent="0.35">
      <c r="A1883">
        <v>1873</v>
      </c>
      <c r="B1883" t="str">
        <f>IF(Sales_Deals!I1874&lt;&gt;"",IF(AND(Sales_Deals!I1874&gt;DATE(2024,9,30),Sales_Deals!I1874&lt;=DATE(2025,3,31)),Sales_Deals!J1874,""),"")</f>
        <v/>
      </c>
      <c r="C1883" t="str">
        <f>IF(Sales_Deals!I1874&lt;&gt;"",IF(AND(Sales_Deals!I1874&gt;DATE(2024,3,31),Sales_Deals!I1874&lt;=DATE(2024,9,30)),Sales_Deals!J1874,""),"")</f>
        <v/>
      </c>
    </row>
    <row r="1884" spans="1:3" x14ac:dyDescent="0.35">
      <c r="A1884">
        <v>1874</v>
      </c>
      <c r="B1884" t="str">
        <f>IF(Sales_Deals!I1875&lt;&gt;"",IF(AND(Sales_Deals!I1875&gt;DATE(2024,9,30),Sales_Deals!I1875&lt;=DATE(2025,3,31)),Sales_Deals!J1875,""),"")</f>
        <v/>
      </c>
      <c r="C1884" t="str">
        <f>IF(Sales_Deals!I1875&lt;&gt;"",IF(AND(Sales_Deals!I1875&gt;DATE(2024,3,31),Sales_Deals!I1875&lt;=DATE(2024,9,30)),Sales_Deals!J1875,""),"")</f>
        <v/>
      </c>
    </row>
    <row r="1885" spans="1:3" x14ac:dyDescent="0.35">
      <c r="A1885">
        <v>1875</v>
      </c>
      <c r="B1885" t="str">
        <f>IF(Sales_Deals!I1876&lt;&gt;"",IF(AND(Sales_Deals!I1876&gt;DATE(2024,9,30),Sales_Deals!I1876&lt;=DATE(2025,3,31)),Sales_Deals!J1876,""),"")</f>
        <v/>
      </c>
      <c r="C1885" t="str">
        <f>IF(Sales_Deals!I1876&lt;&gt;"",IF(AND(Sales_Deals!I1876&gt;DATE(2024,3,31),Sales_Deals!I1876&lt;=DATE(2024,9,30)),Sales_Deals!J1876,""),"")</f>
        <v/>
      </c>
    </row>
    <row r="1886" spans="1:3" x14ac:dyDescent="0.35">
      <c r="A1886">
        <v>1876</v>
      </c>
      <c r="B1886" t="str">
        <f>IF(Sales_Deals!I1877&lt;&gt;"",IF(AND(Sales_Deals!I1877&gt;DATE(2024,9,30),Sales_Deals!I1877&lt;=DATE(2025,3,31)),Sales_Deals!J1877,""),"")</f>
        <v/>
      </c>
      <c r="C1886" t="str">
        <f>IF(Sales_Deals!I1877&lt;&gt;"",IF(AND(Sales_Deals!I1877&gt;DATE(2024,3,31),Sales_Deals!I1877&lt;=DATE(2024,9,30)),Sales_Deals!J1877,""),"")</f>
        <v/>
      </c>
    </row>
    <row r="1887" spans="1:3" x14ac:dyDescent="0.35">
      <c r="A1887">
        <v>1877</v>
      </c>
      <c r="B1887" t="str">
        <f>IF(Sales_Deals!I1878&lt;&gt;"",IF(AND(Sales_Deals!I1878&gt;DATE(2024,9,30),Sales_Deals!I1878&lt;=DATE(2025,3,31)),Sales_Deals!J1878,""),"")</f>
        <v/>
      </c>
      <c r="C1887" t="str">
        <f>IF(Sales_Deals!I1878&lt;&gt;"",IF(AND(Sales_Deals!I1878&gt;DATE(2024,3,31),Sales_Deals!I1878&lt;=DATE(2024,9,30)),Sales_Deals!J1878,""),"")</f>
        <v/>
      </c>
    </row>
    <row r="1888" spans="1:3" x14ac:dyDescent="0.35">
      <c r="A1888">
        <v>1878</v>
      </c>
      <c r="B1888" t="str">
        <f>IF(Sales_Deals!I1879&lt;&gt;"",IF(AND(Sales_Deals!I1879&gt;DATE(2024,9,30),Sales_Deals!I1879&lt;=DATE(2025,3,31)),Sales_Deals!J1879,""),"")</f>
        <v/>
      </c>
      <c r="C1888" t="str">
        <f>IF(Sales_Deals!I1879&lt;&gt;"",IF(AND(Sales_Deals!I1879&gt;DATE(2024,3,31),Sales_Deals!I1879&lt;=DATE(2024,9,30)),Sales_Deals!J1879,""),"")</f>
        <v/>
      </c>
    </row>
    <row r="1889" spans="1:3" x14ac:dyDescent="0.35">
      <c r="A1889">
        <v>1879</v>
      </c>
      <c r="B1889" t="str">
        <f>IF(Sales_Deals!I1880&lt;&gt;"",IF(AND(Sales_Deals!I1880&gt;DATE(2024,9,30),Sales_Deals!I1880&lt;=DATE(2025,3,31)),Sales_Deals!J1880,""),"")</f>
        <v/>
      </c>
      <c r="C1889" t="str">
        <f>IF(Sales_Deals!I1880&lt;&gt;"",IF(AND(Sales_Deals!I1880&gt;DATE(2024,3,31),Sales_Deals!I1880&lt;=DATE(2024,9,30)),Sales_Deals!J1880,""),"")</f>
        <v/>
      </c>
    </row>
    <row r="1890" spans="1:3" x14ac:dyDescent="0.35">
      <c r="A1890">
        <v>1880</v>
      </c>
      <c r="B1890" t="str">
        <f>IF(Sales_Deals!I1881&lt;&gt;"",IF(AND(Sales_Deals!I1881&gt;DATE(2024,9,30),Sales_Deals!I1881&lt;=DATE(2025,3,31)),Sales_Deals!J1881,""),"")</f>
        <v/>
      </c>
      <c r="C1890" t="str">
        <f>IF(Sales_Deals!I1881&lt;&gt;"",IF(AND(Sales_Deals!I1881&gt;DATE(2024,3,31),Sales_Deals!I1881&lt;=DATE(2024,9,30)),Sales_Deals!J1881,""),"")</f>
        <v/>
      </c>
    </row>
    <row r="1891" spans="1:3" x14ac:dyDescent="0.35">
      <c r="A1891">
        <v>1881</v>
      </c>
      <c r="B1891" t="str">
        <f>IF(Sales_Deals!I1882&lt;&gt;"",IF(AND(Sales_Deals!I1882&gt;DATE(2024,9,30),Sales_Deals!I1882&lt;=DATE(2025,3,31)),Sales_Deals!J1882,""),"")</f>
        <v/>
      </c>
      <c r="C1891" t="str">
        <f>IF(Sales_Deals!I1882&lt;&gt;"",IF(AND(Sales_Deals!I1882&gt;DATE(2024,3,31),Sales_Deals!I1882&lt;=DATE(2024,9,30)),Sales_Deals!J1882,""),"")</f>
        <v/>
      </c>
    </row>
    <row r="1892" spans="1:3" x14ac:dyDescent="0.35">
      <c r="A1892">
        <v>1882</v>
      </c>
      <c r="B1892" t="str">
        <f>IF(Sales_Deals!I1883&lt;&gt;"",IF(AND(Sales_Deals!I1883&gt;DATE(2024,9,30),Sales_Deals!I1883&lt;=DATE(2025,3,31)),Sales_Deals!J1883,""),"")</f>
        <v/>
      </c>
      <c r="C1892" t="str">
        <f>IF(Sales_Deals!I1883&lt;&gt;"",IF(AND(Sales_Deals!I1883&gt;DATE(2024,3,31),Sales_Deals!I1883&lt;=DATE(2024,9,30)),Sales_Deals!J1883,""),"")</f>
        <v/>
      </c>
    </row>
    <row r="1893" spans="1:3" x14ac:dyDescent="0.35">
      <c r="A1893">
        <v>1883</v>
      </c>
      <c r="B1893" t="str">
        <f>IF(Sales_Deals!I1884&lt;&gt;"",IF(AND(Sales_Deals!I1884&gt;DATE(2024,9,30),Sales_Deals!I1884&lt;=DATE(2025,3,31)),Sales_Deals!J1884,""),"")</f>
        <v/>
      </c>
      <c r="C1893" t="str">
        <f>IF(Sales_Deals!I1884&lt;&gt;"",IF(AND(Sales_Deals!I1884&gt;DATE(2024,3,31),Sales_Deals!I1884&lt;=DATE(2024,9,30)),Sales_Deals!J1884,""),"")</f>
        <v/>
      </c>
    </row>
    <row r="1894" spans="1:3" x14ac:dyDescent="0.35">
      <c r="A1894">
        <v>1884</v>
      </c>
      <c r="B1894">
        <f>IF(Sales_Deals!I1885&lt;&gt;"",IF(AND(Sales_Deals!I1885&gt;DATE(2024,9,30),Sales_Deals!I1885&lt;=DATE(2025,3,31)),Sales_Deals!J1885,""),"")</f>
        <v>117</v>
      </c>
      <c r="C1894" t="str">
        <f>IF(Sales_Deals!I1885&lt;&gt;"",IF(AND(Sales_Deals!I1885&gt;DATE(2024,3,31),Sales_Deals!I1885&lt;=DATE(2024,9,30)),Sales_Deals!J1885,""),"")</f>
        <v/>
      </c>
    </row>
    <row r="1895" spans="1:3" x14ac:dyDescent="0.35">
      <c r="A1895">
        <v>1885</v>
      </c>
      <c r="B1895" t="str">
        <f>IF(Sales_Deals!I1886&lt;&gt;"",IF(AND(Sales_Deals!I1886&gt;DATE(2024,9,30),Sales_Deals!I1886&lt;=DATE(2025,3,31)),Sales_Deals!J1886,""),"")</f>
        <v/>
      </c>
      <c r="C1895" t="str">
        <f>IF(Sales_Deals!I1886&lt;&gt;"",IF(AND(Sales_Deals!I1886&gt;DATE(2024,3,31),Sales_Deals!I1886&lt;=DATE(2024,9,30)),Sales_Deals!J1886,""),"")</f>
        <v/>
      </c>
    </row>
    <row r="1896" spans="1:3" x14ac:dyDescent="0.35">
      <c r="A1896">
        <v>1886</v>
      </c>
      <c r="B1896" t="str">
        <f>IF(Sales_Deals!I1887&lt;&gt;"",IF(AND(Sales_Deals!I1887&gt;DATE(2024,9,30),Sales_Deals!I1887&lt;=DATE(2025,3,31)),Sales_Deals!J1887,""),"")</f>
        <v/>
      </c>
      <c r="C1896" t="str">
        <f>IF(Sales_Deals!I1887&lt;&gt;"",IF(AND(Sales_Deals!I1887&gt;DATE(2024,3,31),Sales_Deals!I1887&lt;=DATE(2024,9,30)),Sales_Deals!J1887,""),"")</f>
        <v/>
      </c>
    </row>
    <row r="1897" spans="1:3" x14ac:dyDescent="0.35">
      <c r="A1897">
        <v>1887</v>
      </c>
      <c r="B1897" t="str">
        <f>IF(Sales_Deals!I1888&lt;&gt;"",IF(AND(Sales_Deals!I1888&gt;DATE(2024,9,30),Sales_Deals!I1888&lt;=DATE(2025,3,31)),Sales_Deals!J1888,""),"")</f>
        <v/>
      </c>
      <c r="C1897" t="str">
        <f>IF(Sales_Deals!I1888&lt;&gt;"",IF(AND(Sales_Deals!I1888&gt;DATE(2024,3,31),Sales_Deals!I1888&lt;=DATE(2024,9,30)),Sales_Deals!J1888,""),"")</f>
        <v/>
      </c>
    </row>
    <row r="1898" spans="1:3" x14ac:dyDescent="0.35">
      <c r="A1898">
        <v>1888</v>
      </c>
      <c r="B1898" t="str">
        <f>IF(Sales_Deals!I1889&lt;&gt;"",IF(AND(Sales_Deals!I1889&gt;DATE(2024,9,30),Sales_Deals!I1889&lt;=DATE(2025,3,31)),Sales_Deals!J1889,""),"")</f>
        <v/>
      </c>
      <c r="C1898" t="str">
        <f>IF(Sales_Deals!I1889&lt;&gt;"",IF(AND(Sales_Deals!I1889&gt;DATE(2024,3,31),Sales_Deals!I1889&lt;=DATE(2024,9,30)),Sales_Deals!J1889,""),"")</f>
        <v/>
      </c>
    </row>
    <row r="1899" spans="1:3" x14ac:dyDescent="0.35">
      <c r="A1899">
        <v>1889</v>
      </c>
      <c r="B1899" t="str">
        <f>IF(Sales_Deals!I1890&lt;&gt;"",IF(AND(Sales_Deals!I1890&gt;DATE(2024,9,30),Sales_Deals!I1890&lt;=DATE(2025,3,31)),Sales_Deals!J1890,""),"")</f>
        <v/>
      </c>
      <c r="C1899">
        <f>IF(Sales_Deals!I1890&lt;&gt;"",IF(AND(Sales_Deals!I1890&gt;DATE(2024,3,31),Sales_Deals!I1890&lt;=DATE(2024,9,30)),Sales_Deals!J1890,""),"")</f>
        <v>135</v>
      </c>
    </row>
    <row r="1900" spans="1:3" x14ac:dyDescent="0.35">
      <c r="A1900">
        <v>1890</v>
      </c>
      <c r="B1900" t="str">
        <f>IF(Sales_Deals!I1891&lt;&gt;"",IF(AND(Sales_Deals!I1891&gt;DATE(2024,9,30),Sales_Deals!I1891&lt;=DATE(2025,3,31)),Sales_Deals!J1891,""),"")</f>
        <v/>
      </c>
      <c r="C1900" t="str">
        <f>IF(Sales_Deals!I1891&lt;&gt;"",IF(AND(Sales_Deals!I1891&gt;DATE(2024,3,31),Sales_Deals!I1891&lt;=DATE(2024,9,30)),Sales_Deals!J1891,""),"")</f>
        <v/>
      </c>
    </row>
    <row r="1901" spans="1:3" x14ac:dyDescent="0.35">
      <c r="A1901">
        <v>1891</v>
      </c>
      <c r="B1901" t="str">
        <f>IF(Sales_Deals!I1892&lt;&gt;"",IF(AND(Sales_Deals!I1892&gt;DATE(2024,9,30),Sales_Deals!I1892&lt;=DATE(2025,3,31)),Sales_Deals!J1892,""),"")</f>
        <v/>
      </c>
      <c r="C1901">
        <f>IF(Sales_Deals!I1892&lt;&gt;"",IF(AND(Sales_Deals!I1892&gt;DATE(2024,3,31),Sales_Deals!I1892&lt;=DATE(2024,9,30)),Sales_Deals!J1892,""),"")</f>
        <v>118</v>
      </c>
    </row>
    <row r="1902" spans="1:3" x14ac:dyDescent="0.35">
      <c r="A1902">
        <v>1892</v>
      </c>
      <c r="B1902" t="str">
        <f>IF(Sales_Deals!I1893&lt;&gt;"",IF(AND(Sales_Deals!I1893&gt;DATE(2024,9,30),Sales_Deals!I1893&lt;=DATE(2025,3,31)),Sales_Deals!J1893,""),"")</f>
        <v/>
      </c>
      <c r="C1902">
        <f>IF(Sales_Deals!I1893&lt;&gt;"",IF(AND(Sales_Deals!I1893&gt;DATE(2024,3,31),Sales_Deals!I1893&lt;=DATE(2024,9,30)),Sales_Deals!J1893,""),"")</f>
        <v>175</v>
      </c>
    </row>
    <row r="1903" spans="1:3" x14ac:dyDescent="0.35">
      <c r="A1903">
        <v>1893</v>
      </c>
      <c r="B1903" t="str">
        <f>IF(Sales_Deals!I1894&lt;&gt;"",IF(AND(Sales_Deals!I1894&gt;DATE(2024,9,30),Sales_Deals!I1894&lt;=DATE(2025,3,31)),Sales_Deals!J1894,""),"")</f>
        <v/>
      </c>
      <c r="C1903" t="str">
        <f>IF(Sales_Deals!I1894&lt;&gt;"",IF(AND(Sales_Deals!I1894&gt;DATE(2024,3,31),Sales_Deals!I1894&lt;=DATE(2024,9,30)),Sales_Deals!J1894,""),"")</f>
        <v/>
      </c>
    </row>
    <row r="1904" spans="1:3" x14ac:dyDescent="0.35">
      <c r="A1904">
        <v>1894</v>
      </c>
      <c r="B1904" t="str">
        <f>IF(Sales_Deals!I1895&lt;&gt;"",IF(AND(Sales_Deals!I1895&gt;DATE(2024,9,30),Sales_Deals!I1895&lt;=DATE(2025,3,31)),Sales_Deals!J1895,""),"")</f>
        <v/>
      </c>
      <c r="C1904">
        <f>IF(Sales_Deals!I1895&lt;&gt;"",IF(AND(Sales_Deals!I1895&gt;DATE(2024,3,31),Sales_Deals!I1895&lt;=DATE(2024,9,30)),Sales_Deals!J1895,""),"")</f>
        <v>31</v>
      </c>
    </row>
    <row r="1905" spans="1:3" x14ac:dyDescent="0.35">
      <c r="A1905">
        <v>1895</v>
      </c>
      <c r="B1905" t="str">
        <f>IF(Sales_Deals!I1896&lt;&gt;"",IF(AND(Sales_Deals!I1896&gt;DATE(2024,9,30),Sales_Deals!I1896&lt;=DATE(2025,3,31)),Sales_Deals!J1896,""),"")</f>
        <v/>
      </c>
      <c r="C1905" t="str">
        <f>IF(Sales_Deals!I1896&lt;&gt;"",IF(AND(Sales_Deals!I1896&gt;DATE(2024,3,31),Sales_Deals!I1896&lt;=DATE(2024,9,30)),Sales_Deals!J1896,""),"")</f>
        <v/>
      </c>
    </row>
    <row r="1906" spans="1:3" x14ac:dyDescent="0.35">
      <c r="A1906">
        <v>1896</v>
      </c>
      <c r="B1906">
        <f>IF(Sales_Deals!I1897&lt;&gt;"",IF(AND(Sales_Deals!I1897&gt;DATE(2024,9,30),Sales_Deals!I1897&lt;=DATE(2025,3,31)),Sales_Deals!J1897,""),"")</f>
        <v>128</v>
      </c>
      <c r="C1906" t="str">
        <f>IF(Sales_Deals!I1897&lt;&gt;"",IF(AND(Sales_Deals!I1897&gt;DATE(2024,3,31),Sales_Deals!I1897&lt;=DATE(2024,9,30)),Sales_Deals!J1897,""),"")</f>
        <v/>
      </c>
    </row>
    <row r="1907" spans="1:3" x14ac:dyDescent="0.35">
      <c r="A1907">
        <v>1897</v>
      </c>
      <c r="B1907" t="str">
        <f>IF(Sales_Deals!I1898&lt;&gt;"",IF(AND(Sales_Deals!I1898&gt;DATE(2024,9,30),Sales_Deals!I1898&lt;=DATE(2025,3,31)),Sales_Deals!J1898,""),"")</f>
        <v/>
      </c>
      <c r="C1907" t="str">
        <f>IF(Sales_Deals!I1898&lt;&gt;"",IF(AND(Sales_Deals!I1898&gt;DATE(2024,3,31),Sales_Deals!I1898&lt;=DATE(2024,9,30)),Sales_Deals!J1898,""),"")</f>
        <v/>
      </c>
    </row>
    <row r="1908" spans="1:3" x14ac:dyDescent="0.35">
      <c r="A1908">
        <v>1898</v>
      </c>
      <c r="B1908" t="str">
        <f>IF(Sales_Deals!I1899&lt;&gt;"",IF(AND(Sales_Deals!I1899&gt;DATE(2024,9,30),Sales_Deals!I1899&lt;=DATE(2025,3,31)),Sales_Deals!J1899,""),"")</f>
        <v/>
      </c>
      <c r="C1908" t="str">
        <f>IF(Sales_Deals!I1899&lt;&gt;"",IF(AND(Sales_Deals!I1899&gt;DATE(2024,3,31),Sales_Deals!I1899&lt;=DATE(2024,9,30)),Sales_Deals!J1899,""),"")</f>
        <v/>
      </c>
    </row>
    <row r="1909" spans="1:3" x14ac:dyDescent="0.35">
      <c r="A1909">
        <v>1899</v>
      </c>
      <c r="B1909" t="str">
        <f>IF(Sales_Deals!I1900&lt;&gt;"",IF(AND(Sales_Deals!I1900&gt;DATE(2024,9,30),Sales_Deals!I1900&lt;=DATE(2025,3,31)),Sales_Deals!J1900,""),"")</f>
        <v/>
      </c>
      <c r="C1909" t="str">
        <f>IF(Sales_Deals!I1900&lt;&gt;"",IF(AND(Sales_Deals!I1900&gt;DATE(2024,3,31),Sales_Deals!I1900&lt;=DATE(2024,9,30)),Sales_Deals!J1900,""),"")</f>
        <v/>
      </c>
    </row>
    <row r="1910" spans="1:3" x14ac:dyDescent="0.35">
      <c r="A1910">
        <v>1900</v>
      </c>
      <c r="B1910" t="str">
        <f>IF(Sales_Deals!I1901&lt;&gt;"",IF(AND(Sales_Deals!I1901&gt;DATE(2024,9,30),Sales_Deals!I1901&lt;=DATE(2025,3,31)),Sales_Deals!J1901,""),"")</f>
        <v/>
      </c>
      <c r="C1910" t="str">
        <f>IF(Sales_Deals!I1901&lt;&gt;"",IF(AND(Sales_Deals!I1901&gt;DATE(2024,3,31),Sales_Deals!I1901&lt;=DATE(2024,9,30)),Sales_Deals!J1901,""),"")</f>
        <v/>
      </c>
    </row>
    <row r="1911" spans="1:3" x14ac:dyDescent="0.35">
      <c r="A1911">
        <v>1901</v>
      </c>
      <c r="B1911" t="str">
        <f>IF(Sales_Deals!I1902&lt;&gt;"",IF(AND(Sales_Deals!I1902&gt;DATE(2024,9,30),Sales_Deals!I1902&lt;=DATE(2025,3,31)),Sales_Deals!J1902,""),"")</f>
        <v/>
      </c>
      <c r="C1911" t="str">
        <f>IF(Sales_Deals!I1902&lt;&gt;"",IF(AND(Sales_Deals!I1902&gt;DATE(2024,3,31),Sales_Deals!I1902&lt;=DATE(2024,9,30)),Sales_Deals!J1902,""),"")</f>
        <v/>
      </c>
    </row>
    <row r="1912" spans="1:3" x14ac:dyDescent="0.35">
      <c r="A1912">
        <v>1902</v>
      </c>
      <c r="B1912" t="str">
        <f>IF(Sales_Deals!I1903&lt;&gt;"",IF(AND(Sales_Deals!I1903&gt;DATE(2024,9,30),Sales_Deals!I1903&lt;=DATE(2025,3,31)),Sales_Deals!J1903,""),"")</f>
        <v/>
      </c>
      <c r="C1912" t="str">
        <f>IF(Sales_Deals!I1903&lt;&gt;"",IF(AND(Sales_Deals!I1903&gt;DATE(2024,3,31),Sales_Deals!I1903&lt;=DATE(2024,9,30)),Sales_Deals!J1903,""),"")</f>
        <v/>
      </c>
    </row>
    <row r="1913" spans="1:3" x14ac:dyDescent="0.35">
      <c r="A1913">
        <v>1903</v>
      </c>
      <c r="B1913" t="str">
        <f>IF(Sales_Deals!I1904&lt;&gt;"",IF(AND(Sales_Deals!I1904&gt;DATE(2024,9,30),Sales_Deals!I1904&lt;=DATE(2025,3,31)),Sales_Deals!J1904,""),"")</f>
        <v/>
      </c>
      <c r="C1913" t="str">
        <f>IF(Sales_Deals!I1904&lt;&gt;"",IF(AND(Sales_Deals!I1904&gt;DATE(2024,3,31),Sales_Deals!I1904&lt;=DATE(2024,9,30)),Sales_Deals!J1904,""),"")</f>
        <v/>
      </c>
    </row>
    <row r="1914" spans="1:3" x14ac:dyDescent="0.35">
      <c r="A1914">
        <v>1904</v>
      </c>
      <c r="B1914">
        <f>IF(Sales_Deals!I1905&lt;&gt;"",IF(AND(Sales_Deals!I1905&gt;DATE(2024,9,30),Sales_Deals!I1905&lt;=DATE(2025,3,31)),Sales_Deals!J1905,""),"")</f>
        <v>21</v>
      </c>
      <c r="C1914" t="str">
        <f>IF(Sales_Deals!I1905&lt;&gt;"",IF(AND(Sales_Deals!I1905&gt;DATE(2024,3,31),Sales_Deals!I1905&lt;=DATE(2024,9,30)),Sales_Deals!J1905,""),"")</f>
        <v/>
      </c>
    </row>
    <row r="1915" spans="1:3" x14ac:dyDescent="0.35">
      <c r="A1915">
        <v>1905</v>
      </c>
      <c r="B1915" t="str">
        <f>IF(Sales_Deals!I1906&lt;&gt;"",IF(AND(Sales_Deals!I1906&gt;DATE(2024,9,30),Sales_Deals!I1906&lt;=DATE(2025,3,31)),Sales_Deals!J1906,""),"")</f>
        <v/>
      </c>
      <c r="C1915" t="str">
        <f>IF(Sales_Deals!I1906&lt;&gt;"",IF(AND(Sales_Deals!I1906&gt;DATE(2024,3,31),Sales_Deals!I1906&lt;=DATE(2024,9,30)),Sales_Deals!J1906,""),"")</f>
        <v/>
      </c>
    </row>
    <row r="1916" spans="1:3" x14ac:dyDescent="0.35">
      <c r="A1916">
        <v>1906</v>
      </c>
      <c r="B1916" t="str">
        <f>IF(Sales_Deals!I1907&lt;&gt;"",IF(AND(Sales_Deals!I1907&gt;DATE(2024,9,30),Sales_Deals!I1907&lt;=DATE(2025,3,31)),Sales_Deals!J1907,""),"")</f>
        <v/>
      </c>
      <c r="C1916" t="str">
        <f>IF(Sales_Deals!I1907&lt;&gt;"",IF(AND(Sales_Deals!I1907&gt;DATE(2024,3,31),Sales_Deals!I1907&lt;=DATE(2024,9,30)),Sales_Deals!J1907,""),"")</f>
        <v/>
      </c>
    </row>
    <row r="1917" spans="1:3" x14ac:dyDescent="0.35">
      <c r="A1917">
        <v>1907</v>
      </c>
      <c r="B1917" t="str">
        <f>IF(Sales_Deals!I1908&lt;&gt;"",IF(AND(Sales_Deals!I1908&gt;DATE(2024,9,30),Sales_Deals!I1908&lt;=DATE(2025,3,31)),Sales_Deals!J1908,""),"")</f>
        <v/>
      </c>
      <c r="C1917" t="str">
        <f>IF(Sales_Deals!I1908&lt;&gt;"",IF(AND(Sales_Deals!I1908&gt;DATE(2024,3,31),Sales_Deals!I1908&lt;=DATE(2024,9,30)),Sales_Deals!J1908,""),"")</f>
        <v/>
      </c>
    </row>
    <row r="1918" spans="1:3" x14ac:dyDescent="0.35">
      <c r="A1918">
        <v>1908</v>
      </c>
      <c r="B1918" t="str">
        <f>IF(Sales_Deals!I1909&lt;&gt;"",IF(AND(Sales_Deals!I1909&gt;DATE(2024,9,30),Sales_Deals!I1909&lt;=DATE(2025,3,31)),Sales_Deals!J1909,""),"")</f>
        <v/>
      </c>
      <c r="C1918" t="str">
        <f>IF(Sales_Deals!I1909&lt;&gt;"",IF(AND(Sales_Deals!I1909&gt;DATE(2024,3,31),Sales_Deals!I1909&lt;=DATE(2024,9,30)),Sales_Deals!J1909,""),"")</f>
        <v/>
      </c>
    </row>
    <row r="1919" spans="1:3" x14ac:dyDescent="0.35">
      <c r="A1919">
        <v>1909</v>
      </c>
      <c r="B1919" t="str">
        <f>IF(Sales_Deals!I1910&lt;&gt;"",IF(AND(Sales_Deals!I1910&gt;DATE(2024,9,30),Sales_Deals!I1910&lt;=DATE(2025,3,31)),Sales_Deals!J1910,""),"")</f>
        <v/>
      </c>
      <c r="C1919" t="str">
        <f>IF(Sales_Deals!I1910&lt;&gt;"",IF(AND(Sales_Deals!I1910&gt;DATE(2024,3,31),Sales_Deals!I1910&lt;=DATE(2024,9,30)),Sales_Deals!J1910,""),"")</f>
        <v/>
      </c>
    </row>
    <row r="1920" spans="1:3" x14ac:dyDescent="0.35">
      <c r="A1920">
        <v>1910</v>
      </c>
      <c r="B1920" t="str">
        <f>IF(Sales_Deals!I1911&lt;&gt;"",IF(AND(Sales_Deals!I1911&gt;DATE(2024,9,30),Sales_Deals!I1911&lt;=DATE(2025,3,31)),Sales_Deals!J1911,""),"")</f>
        <v/>
      </c>
      <c r="C1920" t="str">
        <f>IF(Sales_Deals!I1911&lt;&gt;"",IF(AND(Sales_Deals!I1911&gt;DATE(2024,3,31),Sales_Deals!I1911&lt;=DATE(2024,9,30)),Sales_Deals!J1911,""),"")</f>
        <v/>
      </c>
    </row>
    <row r="1921" spans="1:3" x14ac:dyDescent="0.35">
      <c r="A1921">
        <v>1911</v>
      </c>
      <c r="B1921" t="str">
        <f>IF(Sales_Deals!I1912&lt;&gt;"",IF(AND(Sales_Deals!I1912&gt;DATE(2024,9,30),Sales_Deals!I1912&lt;=DATE(2025,3,31)),Sales_Deals!J1912,""),"")</f>
        <v/>
      </c>
      <c r="C1921" t="str">
        <f>IF(Sales_Deals!I1912&lt;&gt;"",IF(AND(Sales_Deals!I1912&gt;DATE(2024,3,31),Sales_Deals!I1912&lt;=DATE(2024,9,30)),Sales_Deals!J1912,""),"")</f>
        <v/>
      </c>
    </row>
    <row r="1922" spans="1:3" x14ac:dyDescent="0.35">
      <c r="A1922">
        <v>1912</v>
      </c>
      <c r="B1922" t="str">
        <f>IF(Sales_Deals!I1913&lt;&gt;"",IF(AND(Sales_Deals!I1913&gt;DATE(2024,9,30),Sales_Deals!I1913&lt;=DATE(2025,3,31)),Sales_Deals!J1913,""),"")</f>
        <v/>
      </c>
      <c r="C1922" t="str">
        <f>IF(Sales_Deals!I1913&lt;&gt;"",IF(AND(Sales_Deals!I1913&gt;DATE(2024,3,31),Sales_Deals!I1913&lt;=DATE(2024,9,30)),Sales_Deals!J1913,""),"")</f>
        <v/>
      </c>
    </row>
    <row r="1923" spans="1:3" x14ac:dyDescent="0.35">
      <c r="A1923">
        <v>1913</v>
      </c>
      <c r="B1923">
        <f>IF(Sales_Deals!I1914&lt;&gt;"",IF(AND(Sales_Deals!I1914&gt;DATE(2024,9,30),Sales_Deals!I1914&lt;=DATE(2025,3,31)),Sales_Deals!J1914,""),"")</f>
        <v>31</v>
      </c>
      <c r="C1923" t="str">
        <f>IF(Sales_Deals!I1914&lt;&gt;"",IF(AND(Sales_Deals!I1914&gt;DATE(2024,3,31),Sales_Deals!I1914&lt;=DATE(2024,9,30)),Sales_Deals!J1914,""),"")</f>
        <v/>
      </c>
    </row>
    <row r="1924" spans="1:3" x14ac:dyDescent="0.35">
      <c r="A1924">
        <v>1914</v>
      </c>
      <c r="B1924" t="str">
        <f>IF(Sales_Deals!I1915&lt;&gt;"",IF(AND(Sales_Deals!I1915&gt;DATE(2024,9,30),Sales_Deals!I1915&lt;=DATE(2025,3,31)),Sales_Deals!J1915,""),"")</f>
        <v/>
      </c>
      <c r="C1924" t="str">
        <f>IF(Sales_Deals!I1915&lt;&gt;"",IF(AND(Sales_Deals!I1915&gt;DATE(2024,3,31),Sales_Deals!I1915&lt;=DATE(2024,9,30)),Sales_Deals!J1915,""),"")</f>
        <v/>
      </c>
    </row>
    <row r="1925" spans="1:3" x14ac:dyDescent="0.35">
      <c r="A1925">
        <v>1915</v>
      </c>
      <c r="B1925" t="str">
        <f>IF(Sales_Deals!I1916&lt;&gt;"",IF(AND(Sales_Deals!I1916&gt;DATE(2024,9,30),Sales_Deals!I1916&lt;=DATE(2025,3,31)),Sales_Deals!J1916,""),"")</f>
        <v/>
      </c>
      <c r="C1925" t="str">
        <f>IF(Sales_Deals!I1916&lt;&gt;"",IF(AND(Sales_Deals!I1916&gt;DATE(2024,3,31),Sales_Deals!I1916&lt;=DATE(2024,9,30)),Sales_Deals!J1916,""),"")</f>
        <v/>
      </c>
    </row>
    <row r="1926" spans="1:3" x14ac:dyDescent="0.35">
      <c r="A1926">
        <v>1916</v>
      </c>
      <c r="B1926" t="str">
        <f>IF(Sales_Deals!I1917&lt;&gt;"",IF(AND(Sales_Deals!I1917&gt;DATE(2024,9,30),Sales_Deals!I1917&lt;=DATE(2025,3,31)),Sales_Deals!J1917,""),"")</f>
        <v/>
      </c>
      <c r="C1926">
        <f>IF(Sales_Deals!I1917&lt;&gt;"",IF(AND(Sales_Deals!I1917&gt;DATE(2024,3,31),Sales_Deals!I1917&lt;=DATE(2024,9,30)),Sales_Deals!J1917,""),"")</f>
        <v>178</v>
      </c>
    </row>
    <row r="1927" spans="1:3" x14ac:dyDescent="0.35">
      <c r="A1927">
        <v>1917</v>
      </c>
      <c r="B1927" t="str">
        <f>IF(Sales_Deals!I1918&lt;&gt;"",IF(AND(Sales_Deals!I1918&gt;DATE(2024,9,30),Sales_Deals!I1918&lt;=DATE(2025,3,31)),Sales_Deals!J1918,""),"")</f>
        <v/>
      </c>
      <c r="C1927" t="str">
        <f>IF(Sales_Deals!I1918&lt;&gt;"",IF(AND(Sales_Deals!I1918&gt;DATE(2024,3,31),Sales_Deals!I1918&lt;=DATE(2024,9,30)),Sales_Deals!J1918,""),"")</f>
        <v/>
      </c>
    </row>
    <row r="1928" spans="1:3" x14ac:dyDescent="0.35">
      <c r="A1928">
        <v>1918</v>
      </c>
      <c r="B1928">
        <f>IF(Sales_Deals!I1919&lt;&gt;"",IF(AND(Sales_Deals!I1919&gt;DATE(2024,9,30),Sales_Deals!I1919&lt;=DATE(2025,3,31)),Sales_Deals!J1919,""),"")</f>
        <v>176</v>
      </c>
      <c r="C1928" t="str">
        <f>IF(Sales_Deals!I1919&lt;&gt;"",IF(AND(Sales_Deals!I1919&gt;DATE(2024,3,31),Sales_Deals!I1919&lt;=DATE(2024,9,30)),Sales_Deals!J1919,""),"")</f>
        <v/>
      </c>
    </row>
    <row r="1929" spans="1:3" x14ac:dyDescent="0.35">
      <c r="A1929">
        <v>1919</v>
      </c>
      <c r="B1929" t="str">
        <f>IF(Sales_Deals!I1920&lt;&gt;"",IF(AND(Sales_Deals!I1920&gt;DATE(2024,9,30),Sales_Deals!I1920&lt;=DATE(2025,3,31)),Sales_Deals!J1920,""),"")</f>
        <v/>
      </c>
      <c r="C1929" t="str">
        <f>IF(Sales_Deals!I1920&lt;&gt;"",IF(AND(Sales_Deals!I1920&gt;DATE(2024,3,31),Sales_Deals!I1920&lt;=DATE(2024,9,30)),Sales_Deals!J1920,""),"")</f>
        <v/>
      </c>
    </row>
    <row r="1930" spans="1:3" x14ac:dyDescent="0.35">
      <c r="A1930">
        <v>1920</v>
      </c>
      <c r="B1930" t="str">
        <f>IF(Sales_Deals!I1921&lt;&gt;"",IF(AND(Sales_Deals!I1921&gt;DATE(2024,9,30),Sales_Deals!I1921&lt;=DATE(2025,3,31)),Sales_Deals!J1921,""),"")</f>
        <v/>
      </c>
      <c r="C1930" t="str">
        <f>IF(Sales_Deals!I1921&lt;&gt;"",IF(AND(Sales_Deals!I1921&gt;DATE(2024,3,31),Sales_Deals!I1921&lt;=DATE(2024,9,30)),Sales_Deals!J1921,""),"")</f>
        <v/>
      </c>
    </row>
    <row r="1931" spans="1:3" x14ac:dyDescent="0.35">
      <c r="A1931">
        <v>1921</v>
      </c>
      <c r="B1931" t="str">
        <f>IF(Sales_Deals!I1922&lt;&gt;"",IF(AND(Sales_Deals!I1922&gt;DATE(2024,9,30),Sales_Deals!I1922&lt;=DATE(2025,3,31)),Sales_Deals!J1922,""),"")</f>
        <v/>
      </c>
      <c r="C1931">
        <f>IF(Sales_Deals!I1922&lt;&gt;"",IF(AND(Sales_Deals!I1922&gt;DATE(2024,3,31),Sales_Deals!I1922&lt;=DATE(2024,9,30)),Sales_Deals!J1922,""),"")</f>
        <v>55</v>
      </c>
    </row>
    <row r="1932" spans="1:3" x14ac:dyDescent="0.35">
      <c r="A1932">
        <v>1922</v>
      </c>
      <c r="B1932">
        <f>IF(Sales_Deals!I1923&lt;&gt;"",IF(AND(Sales_Deals!I1923&gt;DATE(2024,9,30),Sales_Deals!I1923&lt;=DATE(2025,3,31)),Sales_Deals!J1923,""),"")</f>
        <v>139</v>
      </c>
      <c r="C1932" t="str">
        <f>IF(Sales_Deals!I1923&lt;&gt;"",IF(AND(Sales_Deals!I1923&gt;DATE(2024,3,31),Sales_Deals!I1923&lt;=DATE(2024,9,30)),Sales_Deals!J1923,""),"")</f>
        <v/>
      </c>
    </row>
    <row r="1933" spans="1:3" x14ac:dyDescent="0.35">
      <c r="A1933">
        <v>1923</v>
      </c>
      <c r="B1933">
        <f>IF(Sales_Deals!I1924&lt;&gt;"",IF(AND(Sales_Deals!I1924&gt;DATE(2024,9,30),Sales_Deals!I1924&lt;=DATE(2025,3,31)),Sales_Deals!J1924,""),"")</f>
        <v>151</v>
      </c>
      <c r="C1933" t="str">
        <f>IF(Sales_Deals!I1924&lt;&gt;"",IF(AND(Sales_Deals!I1924&gt;DATE(2024,3,31),Sales_Deals!I1924&lt;=DATE(2024,9,30)),Sales_Deals!J1924,""),"")</f>
        <v/>
      </c>
    </row>
    <row r="1934" spans="1:3" x14ac:dyDescent="0.35">
      <c r="A1934">
        <v>1924</v>
      </c>
      <c r="B1934" t="str">
        <f>IF(Sales_Deals!I1925&lt;&gt;"",IF(AND(Sales_Deals!I1925&gt;DATE(2024,9,30),Sales_Deals!I1925&lt;=DATE(2025,3,31)),Sales_Deals!J1925,""),"")</f>
        <v/>
      </c>
      <c r="C1934" t="str">
        <f>IF(Sales_Deals!I1925&lt;&gt;"",IF(AND(Sales_Deals!I1925&gt;DATE(2024,3,31),Sales_Deals!I1925&lt;=DATE(2024,9,30)),Sales_Deals!J1925,""),"")</f>
        <v/>
      </c>
    </row>
    <row r="1935" spans="1:3" x14ac:dyDescent="0.35">
      <c r="A1935">
        <v>1925</v>
      </c>
      <c r="B1935" t="str">
        <f>IF(Sales_Deals!I1926&lt;&gt;"",IF(AND(Sales_Deals!I1926&gt;DATE(2024,9,30),Sales_Deals!I1926&lt;=DATE(2025,3,31)),Sales_Deals!J1926,""),"")</f>
        <v/>
      </c>
      <c r="C1935" t="str">
        <f>IF(Sales_Deals!I1926&lt;&gt;"",IF(AND(Sales_Deals!I1926&gt;DATE(2024,3,31),Sales_Deals!I1926&lt;=DATE(2024,9,30)),Sales_Deals!J1926,""),"")</f>
        <v/>
      </c>
    </row>
    <row r="1936" spans="1:3" x14ac:dyDescent="0.35">
      <c r="A1936">
        <v>1926</v>
      </c>
      <c r="B1936" t="str">
        <f>IF(Sales_Deals!I1927&lt;&gt;"",IF(AND(Sales_Deals!I1927&gt;DATE(2024,9,30),Sales_Deals!I1927&lt;=DATE(2025,3,31)),Sales_Deals!J1927,""),"")</f>
        <v/>
      </c>
      <c r="C1936" t="str">
        <f>IF(Sales_Deals!I1927&lt;&gt;"",IF(AND(Sales_Deals!I1927&gt;DATE(2024,3,31),Sales_Deals!I1927&lt;=DATE(2024,9,30)),Sales_Deals!J1927,""),"")</f>
        <v/>
      </c>
    </row>
    <row r="1937" spans="1:3" x14ac:dyDescent="0.35">
      <c r="A1937">
        <v>1927</v>
      </c>
      <c r="B1937" t="str">
        <f>IF(Sales_Deals!I1928&lt;&gt;"",IF(AND(Sales_Deals!I1928&gt;DATE(2024,9,30),Sales_Deals!I1928&lt;=DATE(2025,3,31)),Sales_Deals!J1928,""),"")</f>
        <v/>
      </c>
      <c r="C1937" t="str">
        <f>IF(Sales_Deals!I1928&lt;&gt;"",IF(AND(Sales_Deals!I1928&gt;DATE(2024,3,31),Sales_Deals!I1928&lt;=DATE(2024,9,30)),Sales_Deals!J1928,""),"")</f>
        <v/>
      </c>
    </row>
    <row r="1938" spans="1:3" x14ac:dyDescent="0.35">
      <c r="A1938">
        <v>1928</v>
      </c>
      <c r="B1938" t="str">
        <f>IF(Sales_Deals!I1929&lt;&gt;"",IF(AND(Sales_Deals!I1929&gt;DATE(2024,9,30),Sales_Deals!I1929&lt;=DATE(2025,3,31)),Sales_Deals!J1929,""),"")</f>
        <v/>
      </c>
      <c r="C1938" t="str">
        <f>IF(Sales_Deals!I1929&lt;&gt;"",IF(AND(Sales_Deals!I1929&gt;DATE(2024,3,31),Sales_Deals!I1929&lt;=DATE(2024,9,30)),Sales_Deals!J1929,""),"")</f>
        <v/>
      </c>
    </row>
    <row r="1939" spans="1:3" x14ac:dyDescent="0.35">
      <c r="A1939">
        <v>1929</v>
      </c>
      <c r="B1939" t="str">
        <f>IF(Sales_Deals!I1930&lt;&gt;"",IF(AND(Sales_Deals!I1930&gt;DATE(2024,9,30),Sales_Deals!I1930&lt;=DATE(2025,3,31)),Sales_Deals!J1930,""),"")</f>
        <v/>
      </c>
      <c r="C1939" t="str">
        <f>IF(Sales_Deals!I1930&lt;&gt;"",IF(AND(Sales_Deals!I1930&gt;DATE(2024,3,31),Sales_Deals!I1930&lt;=DATE(2024,9,30)),Sales_Deals!J1930,""),"")</f>
        <v/>
      </c>
    </row>
    <row r="1940" spans="1:3" x14ac:dyDescent="0.35">
      <c r="A1940">
        <v>1930</v>
      </c>
      <c r="B1940" t="str">
        <f>IF(Sales_Deals!I1931&lt;&gt;"",IF(AND(Sales_Deals!I1931&gt;DATE(2024,9,30),Sales_Deals!I1931&lt;=DATE(2025,3,31)),Sales_Deals!J1931,""),"")</f>
        <v/>
      </c>
      <c r="C1940" t="str">
        <f>IF(Sales_Deals!I1931&lt;&gt;"",IF(AND(Sales_Deals!I1931&gt;DATE(2024,3,31),Sales_Deals!I1931&lt;=DATE(2024,9,30)),Sales_Deals!J1931,""),"")</f>
        <v/>
      </c>
    </row>
    <row r="1941" spans="1:3" x14ac:dyDescent="0.35">
      <c r="A1941">
        <v>1931</v>
      </c>
      <c r="B1941" t="str">
        <f>IF(Sales_Deals!I1932&lt;&gt;"",IF(AND(Sales_Deals!I1932&gt;DATE(2024,9,30),Sales_Deals!I1932&lt;=DATE(2025,3,31)),Sales_Deals!J1932,""),"")</f>
        <v/>
      </c>
      <c r="C1941" t="str">
        <f>IF(Sales_Deals!I1932&lt;&gt;"",IF(AND(Sales_Deals!I1932&gt;DATE(2024,3,31),Sales_Deals!I1932&lt;=DATE(2024,9,30)),Sales_Deals!J1932,""),"")</f>
        <v/>
      </c>
    </row>
    <row r="1942" spans="1:3" x14ac:dyDescent="0.35">
      <c r="A1942">
        <v>1932</v>
      </c>
      <c r="B1942" t="str">
        <f>IF(Sales_Deals!I1933&lt;&gt;"",IF(AND(Sales_Deals!I1933&gt;DATE(2024,9,30),Sales_Deals!I1933&lt;=DATE(2025,3,31)),Sales_Deals!J1933,""),"")</f>
        <v/>
      </c>
      <c r="C1942" t="str">
        <f>IF(Sales_Deals!I1933&lt;&gt;"",IF(AND(Sales_Deals!I1933&gt;DATE(2024,3,31),Sales_Deals!I1933&lt;=DATE(2024,9,30)),Sales_Deals!J1933,""),"")</f>
        <v/>
      </c>
    </row>
    <row r="1943" spans="1:3" x14ac:dyDescent="0.35">
      <c r="A1943">
        <v>1933</v>
      </c>
      <c r="B1943" t="str">
        <f>IF(Sales_Deals!I1934&lt;&gt;"",IF(AND(Sales_Deals!I1934&gt;DATE(2024,9,30),Sales_Deals!I1934&lt;=DATE(2025,3,31)),Sales_Deals!J1934,""),"")</f>
        <v/>
      </c>
      <c r="C1943" t="str">
        <f>IF(Sales_Deals!I1934&lt;&gt;"",IF(AND(Sales_Deals!I1934&gt;DATE(2024,3,31),Sales_Deals!I1934&lt;=DATE(2024,9,30)),Sales_Deals!J1934,""),"")</f>
        <v/>
      </c>
    </row>
    <row r="1944" spans="1:3" x14ac:dyDescent="0.35">
      <c r="A1944">
        <v>1934</v>
      </c>
      <c r="B1944" t="str">
        <f>IF(Sales_Deals!I1935&lt;&gt;"",IF(AND(Sales_Deals!I1935&gt;DATE(2024,9,30),Sales_Deals!I1935&lt;=DATE(2025,3,31)),Sales_Deals!J1935,""),"")</f>
        <v/>
      </c>
      <c r="C1944" t="str">
        <f>IF(Sales_Deals!I1935&lt;&gt;"",IF(AND(Sales_Deals!I1935&gt;DATE(2024,3,31),Sales_Deals!I1935&lt;=DATE(2024,9,30)),Sales_Deals!J1935,""),"")</f>
        <v/>
      </c>
    </row>
    <row r="1945" spans="1:3" x14ac:dyDescent="0.35">
      <c r="A1945">
        <v>1935</v>
      </c>
      <c r="B1945" t="str">
        <f>IF(Sales_Deals!I1936&lt;&gt;"",IF(AND(Sales_Deals!I1936&gt;DATE(2024,9,30),Sales_Deals!I1936&lt;=DATE(2025,3,31)),Sales_Deals!J1936,""),"")</f>
        <v/>
      </c>
      <c r="C1945" t="str">
        <f>IF(Sales_Deals!I1936&lt;&gt;"",IF(AND(Sales_Deals!I1936&gt;DATE(2024,3,31),Sales_Deals!I1936&lt;=DATE(2024,9,30)),Sales_Deals!J1936,""),"")</f>
        <v/>
      </c>
    </row>
    <row r="1946" spans="1:3" x14ac:dyDescent="0.35">
      <c r="A1946">
        <v>1936</v>
      </c>
      <c r="B1946" t="str">
        <f>IF(Sales_Deals!I1937&lt;&gt;"",IF(AND(Sales_Deals!I1937&gt;DATE(2024,9,30),Sales_Deals!I1937&lt;=DATE(2025,3,31)),Sales_Deals!J1937,""),"")</f>
        <v/>
      </c>
      <c r="C1946" t="str">
        <f>IF(Sales_Deals!I1937&lt;&gt;"",IF(AND(Sales_Deals!I1937&gt;DATE(2024,3,31),Sales_Deals!I1937&lt;=DATE(2024,9,30)),Sales_Deals!J1937,""),"")</f>
        <v/>
      </c>
    </row>
    <row r="1947" spans="1:3" x14ac:dyDescent="0.35">
      <c r="A1947">
        <v>1937</v>
      </c>
      <c r="B1947" t="str">
        <f>IF(Sales_Deals!I1938&lt;&gt;"",IF(AND(Sales_Deals!I1938&gt;DATE(2024,9,30),Sales_Deals!I1938&lt;=DATE(2025,3,31)),Sales_Deals!J1938,""),"")</f>
        <v/>
      </c>
      <c r="C1947" t="str">
        <f>IF(Sales_Deals!I1938&lt;&gt;"",IF(AND(Sales_Deals!I1938&gt;DATE(2024,3,31),Sales_Deals!I1938&lt;=DATE(2024,9,30)),Sales_Deals!J1938,""),"")</f>
        <v/>
      </c>
    </row>
    <row r="1948" spans="1:3" x14ac:dyDescent="0.35">
      <c r="A1948">
        <v>1938</v>
      </c>
      <c r="B1948" t="str">
        <f>IF(Sales_Deals!I1939&lt;&gt;"",IF(AND(Sales_Deals!I1939&gt;DATE(2024,9,30),Sales_Deals!I1939&lt;=DATE(2025,3,31)),Sales_Deals!J1939,""),"")</f>
        <v/>
      </c>
      <c r="C1948" t="str">
        <f>IF(Sales_Deals!I1939&lt;&gt;"",IF(AND(Sales_Deals!I1939&gt;DATE(2024,3,31),Sales_Deals!I1939&lt;=DATE(2024,9,30)),Sales_Deals!J1939,""),"")</f>
        <v/>
      </c>
    </row>
    <row r="1949" spans="1:3" x14ac:dyDescent="0.35">
      <c r="A1949">
        <v>1939</v>
      </c>
      <c r="B1949" t="str">
        <f>IF(Sales_Deals!I1940&lt;&gt;"",IF(AND(Sales_Deals!I1940&gt;DATE(2024,9,30),Sales_Deals!I1940&lt;=DATE(2025,3,31)),Sales_Deals!J1940,""),"")</f>
        <v/>
      </c>
      <c r="C1949" t="str">
        <f>IF(Sales_Deals!I1940&lt;&gt;"",IF(AND(Sales_Deals!I1940&gt;DATE(2024,3,31),Sales_Deals!I1940&lt;=DATE(2024,9,30)),Sales_Deals!J1940,""),"")</f>
        <v/>
      </c>
    </row>
    <row r="1950" spans="1:3" x14ac:dyDescent="0.35">
      <c r="A1950">
        <v>1940</v>
      </c>
      <c r="B1950">
        <f>IF(Sales_Deals!I1941&lt;&gt;"",IF(AND(Sales_Deals!I1941&gt;DATE(2024,9,30),Sales_Deals!I1941&lt;=DATE(2025,3,31)),Sales_Deals!J1941,""),"")</f>
        <v>44</v>
      </c>
      <c r="C1950" t="str">
        <f>IF(Sales_Deals!I1941&lt;&gt;"",IF(AND(Sales_Deals!I1941&gt;DATE(2024,3,31),Sales_Deals!I1941&lt;=DATE(2024,9,30)),Sales_Deals!J1941,""),"")</f>
        <v/>
      </c>
    </row>
    <row r="1951" spans="1:3" x14ac:dyDescent="0.35">
      <c r="A1951">
        <v>1941</v>
      </c>
      <c r="B1951" t="str">
        <f>IF(Sales_Deals!I1942&lt;&gt;"",IF(AND(Sales_Deals!I1942&gt;DATE(2024,9,30),Sales_Deals!I1942&lt;=DATE(2025,3,31)),Sales_Deals!J1942,""),"")</f>
        <v/>
      </c>
      <c r="C1951" t="str">
        <f>IF(Sales_Deals!I1942&lt;&gt;"",IF(AND(Sales_Deals!I1942&gt;DATE(2024,3,31),Sales_Deals!I1942&lt;=DATE(2024,9,30)),Sales_Deals!J1942,""),"")</f>
        <v/>
      </c>
    </row>
    <row r="1952" spans="1:3" x14ac:dyDescent="0.35">
      <c r="A1952">
        <v>1942</v>
      </c>
      <c r="B1952" t="str">
        <f>IF(Sales_Deals!I1943&lt;&gt;"",IF(AND(Sales_Deals!I1943&gt;DATE(2024,9,30),Sales_Deals!I1943&lt;=DATE(2025,3,31)),Sales_Deals!J1943,""),"")</f>
        <v/>
      </c>
      <c r="C1952" t="str">
        <f>IF(Sales_Deals!I1943&lt;&gt;"",IF(AND(Sales_Deals!I1943&gt;DATE(2024,3,31),Sales_Deals!I1943&lt;=DATE(2024,9,30)),Sales_Deals!J1943,""),"")</f>
        <v/>
      </c>
    </row>
    <row r="1953" spans="1:3" x14ac:dyDescent="0.35">
      <c r="A1953">
        <v>1943</v>
      </c>
      <c r="B1953" t="str">
        <f>IF(Sales_Deals!I1944&lt;&gt;"",IF(AND(Sales_Deals!I1944&gt;DATE(2024,9,30),Sales_Deals!I1944&lt;=DATE(2025,3,31)),Sales_Deals!J1944,""),"")</f>
        <v/>
      </c>
      <c r="C1953">
        <f>IF(Sales_Deals!I1944&lt;&gt;"",IF(AND(Sales_Deals!I1944&gt;DATE(2024,3,31),Sales_Deals!I1944&lt;=DATE(2024,9,30)),Sales_Deals!J1944,""),"")</f>
        <v>98</v>
      </c>
    </row>
    <row r="1954" spans="1:3" x14ac:dyDescent="0.35">
      <c r="A1954">
        <v>1944</v>
      </c>
      <c r="B1954" t="str">
        <f>IF(Sales_Deals!I1945&lt;&gt;"",IF(AND(Sales_Deals!I1945&gt;DATE(2024,9,30),Sales_Deals!I1945&lt;=DATE(2025,3,31)),Sales_Deals!J1945,""),"")</f>
        <v/>
      </c>
      <c r="C1954" t="str">
        <f>IF(Sales_Deals!I1945&lt;&gt;"",IF(AND(Sales_Deals!I1945&gt;DATE(2024,3,31),Sales_Deals!I1945&lt;=DATE(2024,9,30)),Sales_Deals!J1945,""),"")</f>
        <v/>
      </c>
    </row>
    <row r="1955" spans="1:3" x14ac:dyDescent="0.35">
      <c r="A1955">
        <v>1945</v>
      </c>
      <c r="B1955" t="str">
        <f>IF(Sales_Deals!I1946&lt;&gt;"",IF(AND(Sales_Deals!I1946&gt;DATE(2024,9,30),Sales_Deals!I1946&lt;=DATE(2025,3,31)),Sales_Deals!J1946,""),"")</f>
        <v/>
      </c>
      <c r="C1955" t="str">
        <f>IF(Sales_Deals!I1946&lt;&gt;"",IF(AND(Sales_Deals!I1946&gt;DATE(2024,3,31),Sales_Deals!I1946&lt;=DATE(2024,9,30)),Sales_Deals!J1946,""),"")</f>
        <v/>
      </c>
    </row>
    <row r="1956" spans="1:3" x14ac:dyDescent="0.35">
      <c r="A1956">
        <v>1946</v>
      </c>
      <c r="B1956" t="str">
        <f>IF(Sales_Deals!I1947&lt;&gt;"",IF(AND(Sales_Deals!I1947&gt;DATE(2024,9,30),Sales_Deals!I1947&lt;=DATE(2025,3,31)),Sales_Deals!J1947,""),"")</f>
        <v/>
      </c>
      <c r="C1956" t="str">
        <f>IF(Sales_Deals!I1947&lt;&gt;"",IF(AND(Sales_Deals!I1947&gt;DATE(2024,3,31),Sales_Deals!I1947&lt;=DATE(2024,9,30)),Sales_Deals!J1947,""),"")</f>
        <v/>
      </c>
    </row>
    <row r="1957" spans="1:3" x14ac:dyDescent="0.35">
      <c r="A1957">
        <v>1947</v>
      </c>
      <c r="B1957" t="str">
        <f>IF(Sales_Deals!I1948&lt;&gt;"",IF(AND(Sales_Deals!I1948&gt;DATE(2024,9,30),Sales_Deals!I1948&lt;=DATE(2025,3,31)),Sales_Deals!J1948,""),"")</f>
        <v/>
      </c>
      <c r="C1957">
        <f>IF(Sales_Deals!I1948&lt;&gt;"",IF(AND(Sales_Deals!I1948&gt;DATE(2024,3,31),Sales_Deals!I1948&lt;=DATE(2024,9,30)),Sales_Deals!J1948,""),"")</f>
        <v>179</v>
      </c>
    </row>
    <row r="1958" spans="1:3" x14ac:dyDescent="0.35">
      <c r="A1958">
        <v>1948</v>
      </c>
      <c r="B1958" t="str">
        <f>IF(Sales_Deals!I1949&lt;&gt;"",IF(AND(Sales_Deals!I1949&gt;DATE(2024,9,30),Sales_Deals!I1949&lt;=DATE(2025,3,31)),Sales_Deals!J1949,""),"")</f>
        <v/>
      </c>
      <c r="C1958" t="str">
        <f>IF(Sales_Deals!I1949&lt;&gt;"",IF(AND(Sales_Deals!I1949&gt;DATE(2024,3,31),Sales_Deals!I1949&lt;=DATE(2024,9,30)),Sales_Deals!J1949,""),"")</f>
        <v/>
      </c>
    </row>
    <row r="1959" spans="1:3" x14ac:dyDescent="0.35">
      <c r="A1959">
        <v>1949</v>
      </c>
      <c r="B1959" t="str">
        <f>IF(Sales_Deals!I1950&lt;&gt;"",IF(AND(Sales_Deals!I1950&gt;DATE(2024,9,30),Sales_Deals!I1950&lt;=DATE(2025,3,31)),Sales_Deals!J1950,""),"")</f>
        <v/>
      </c>
      <c r="C1959" t="str">
        <f>IF(Sales_Deals!I1950&lt;&gt;"",IF(AND(Sales_Deals!I1950&gt;DATE(2024,3,31),Sales_Deals!I1950&lt;=DATE(2024,9,30)),Sales_Deals!J1950,""),"")</f>
        <v/>
      </c>
    </row>
    <row r="1960" spans="1:3" x14ac:dyDescent="0.35">
      <c r="A1960">
        <v>1950</v>
      </c>
      <c r="B1960" t="str">
        <f>IF(Sales_Deals!I1951&lt;&gt;"",IF(AND(Sales_Deals!I1951&gt;DATE(2024,9,30),Sales_Deals!I1951&lt;=DATE(2025,3,31)),Sales_Deals!J1951,""),"")</f>
        <v/>
      </c>
      <c r="C1960" t="str">
        <f>IF(Sales_Deals!I1951&lt;&gt;"",IF(AND(Sales_Deals!I1951&gt;DATE(2024,3,31),Sales_Deals!I1951&lt;=DATE(2024,9,30)),Sales_Deals!J1951,""),"")</f>
        <v/>
      </c>
    </row>
    <row r="1961" spans="1:3" x14ac:dyDescent="0.35">
      <c r="A1961">
        <v>1951</v>
      </c>
      <c r="B1961" t="str">
        <f>IF(Sales_Deals!I1952&lt;&gt;"",IF(AND(Sales_Deals!I1952&gt;DATE(2024,9,30),Sales_Deals!I1952&lt;=DATE(2025,3,31)),Sales_Deals!J1952,""),"")</f>
        <v/>
      </c>
      <c r="C1961">
        <f>IF(Sales_Deals!I1952&lt;&gt;"",IF(AND(Sales_Deals!I1952&gt;DATE(2024,3,31),Sales_Deals!I1952&lt;=DATE(2024,9,30)),Sales_Deals!J1952,""),"")</f>
        <v>60</v>
      </c>
    </row>
    <row r="1962" spans="1:3" x14ac:dyDescent="0.35">
      <c r="A1962">
        <v>1952</v>
      </c>
      <c r="B1962" t="str">
        <f>IF(Sales_Deals!I1953&lt;&gt;"",IF(AND(Sales_Deals!I1953&gt;DATE(2024,9,30),Sales_Deals!I1953&lt;=DATE(2025,3,31)),Sales_Deals!J1953,""),"")</f>
        <v/>
      </c>
      <c r="C1962" t="str">
        <f>IF(Sales_Deals!I1953&lt;&gt;"",IF(AND(Sales_Deals!I1953&gt;DATE(2024,3,31),Sales_Deals!I1953&lt;=DATE(2024,9,30)),Sales_Deals!J1953,""),"")</f>
        <v/>
      </c>
    </row>
    <row r="1963" spans="1:3" x14ac:dyDescent="0.35">
      <c r="A1963">
        <v>1953</v>
      </c>
      <c r="B1963" t="str">
        <f>IF(Sales_Deals!I1954&lt;&gt;"",IF(AND(Sales_Deals!I1954&gt;DATE(2024,9,30),Sales_Deals!I1954&lt;=DATE(2025,3,31)),Sales_Deals!J1954,""),"")</f>
        <v/>
      </c>
      <c r="C1963" t="str">
        <f>IF(Sales_Deals!I1954&lt;&gt;"",IF(AND(Sales_Deals!I1954&gt;DATE(2024,3,31),Sales_Deals!I1954&lt;=DATE(2024,9,30)),Sales_Deals!J1954,""),"")</f>
        <v/>
      </c>
    </row>
    <row r="1964" spans="1:3" x14ac:dyDescent="0.35">
      <c r="A1964">
        <v>1954</v>
      </c>
      <c r="B1964" t="str">
        <f>IF(Sales_Deals!I1955&lt;&gt;"",IF(AND(Sales_Deals!I1955&gt;DATE(2024,9,30),Sales_Deals!I1955&lt;=DATE(2025,3,31)),Sales_Deals!J1955,""),"")</f>
        <v/>
      </c>
      <c r="C1964" t="str">
        <f>IF(Sales_Deals!I1955&lt;&gt;"",IF(AND(Sales_Deals!I1955&gt;DATE(2024,3,31),Sales_Deals!I1955&lt;=DATE(2024,9,30)),Sales_Deals!J1955,""),"")</f>
        <v/>
      </c>
    </row>
    <row r="1965" spans="1:3" x14ac:dyDescent="0.35">
      <c r="A1965">
        <v>1955</v>
      </c>
      <c r="B1965" t="str">
        <f>IF(Sales_Deals!I1956&lt;&gt;"",IF(AND(Sales_Deals!I1956&gt;DATE(2024,9,30),Sales_Deals!I1956&lt;=DATE(2025,3,31)),Sales_Deals!J1956,""),"")</f>
        <v/>
      </c>
      <c r="C1965" t="str">
        <f>IF(Sales_Deals!I1956&lt;&gt;"",IF(AND(Sales_Deals!I1956&gt;DATE(2024,3,31),Sales_Deals!I1956&lt;=DATE(2024,9,30)),Sales_Deals!J1956,""),"")</f>
        <v/>
      </c>
    </row>
    <row r="1966" spans="1:3" x14ac:dyDescent="0.35">
      <c r="A1966">
        <v>1956</v>
      </c>
      <c r="B1966" t="str">
        <f>IF(Sales_Deals!I1957&lt;&gt;"",IF(AND(Sales_Deals!I1957&gt;DATE(2024,9,30),Sales_Deals!I1957&lt;=DATE(2025,3,31)),Sales_Deals!J1957,""),"")</f>
        <v/>
      </c>
      <c r="C1966" t="str">
        <f>IF(Sales_Deals!I1957&lt;&gt;"",IF(AND(Sales_Deals!I1957&gt;DATE(2024,3,31),Sales_Deals!I1957&lt;=DATE(2024,9,30)),Sales_Deals!J1957,""),"")</f>
        <v/>
      </c>
    </row>
    <row r="1967" spans="1:3" x14ac:dyDescent="0.35">
      <c r="A1967">
        <v>1957</v>
      </c>
      <c r="B1967" t="str">
        <f>IF(Sales_Deals!I1958&lt;&gt;"",IF(AND(Sales_Deals!I1958&gt;DATE(2024,9,30),Sales_Deals!I1958&lt;=DATE(2025,3,31)),Sales_Deals!J1958,""),"")</f>
        <v/>
      </c>
      <c r="C1967" t="str">
        <f>IF(Sales_Deals!I1958&lt;&gt;"",IF(AND(Sales_Deals!I1958&gt;DATE(2024,3,31),Sales_Deals!I1958&lt;=DATE(2024,9,30)),Sales_Deals!J1958,""),"")</f>
        <v/>
      </c>
    </row>
    <row r="1968" spans="1:3" x14ac:dyDescent="0.35">
      <c r="A1968">
        <v>1958</v>
      </c>
      <c r="B1968" t="str">
        <f>IF(Sales_Deals!I1959&lt;&gt;"",IF(AND(Sales_Deals!I1959&gt;DATE(2024,9,30),Sales_Deals!I1959&lt;=DATE(2025,3,31)),Sales_Deals!J1959,""),"")</f>
        <v/>
      </c>
      <c r="C1968" t="str">
        <f>IF(Sales_Deals!I1959&lt;&gt;"",IF(AND(Sales_Deals!I1959&gt;DATE(2024,3,31),Sales_Deals!I1959&lt;=DATE(2024,9,30)),Sales_Deals!J1959,""),"")</f>
        <v/>
      </c>
    </row>
    <row r="1969" spans="1:3" x14ac:dyDescent="0.35">
      <c r="A1969">
        <v>1959</v>
      </c>
      <c r="B1969" t="str">
        <f>IF(Sales_Deals!I1960&lt;&gt;"",IF(AND(Sales_Deals!I1960&gt;DATE(2024,9,30),Sales_Deals!I1960&lt;=DATE(2025,3,31)),Sales_Deals!J1960,""),"")</f>
        <v/>
      </c>
      <c r="C1969" t="str">
        <f>IF(Sales_Deals!I1960&lt;&gt;"",IF(AND(Sales_Deals!I1960&gt;DATE(2024,3,31),Sales_Deals!I1960&lt;=DATE(2024,9,30)),Sales_Deals!J1960,""),"")</f>
        <v/>
      </c>
    </row>
    <row r="1970" spans="1:3" x14ac:dyDescent="0.35">
      <c r="A1970">
        <v>1960</v>
      </c>
      <c r="B1970" t="str">
        <f>IF(Sales_Deals!I1961&lt;&gt;"",IF(AND(Sales_Deals!I1961&gt;DATE(2024,9,30),Sales_Deals!I1961&lt;=DATE(2025,3,31)),Sales_Deals!J1961,""),"")</f>
        <v/>
      </c>
      <c r="C1970" t="str">
        <f>IF(Sales_Deals!I1961&lt;&gt;"",IF(AND(Sales_Deals!I1961&gt;DATE(2024,3,31),Sales_Deals!I1961&lt;=DATE(2024,9,30)),Sales_Deals!J1961,""),"")</f>
        <v/>
      </c>
    </row>
    <row r="1971" spans="1:3" x14ac:dyDescent="0.35">
      <c r="A1971">
        <v>1961</v>
      </c>
      <c r="B1971" t="str">
        <f>IF(Sales_Deals!I1962&lt;&gt;"",IF(AND(Sales_Deals!I1962&gt;DATE(2024,9,30),Sales_Deals!I1962&lt;=DATE(2025,3,31)),Sales_Deals!J1962,""),"")</f>
        <v/>
      </c>
      <c r="C1971">
        <f>IF(Sales_Deals!I1962&lt;&gt;"",IF(AND(Sales_Deals!I1962&gt;DATE(2024,3,31),Sales_Deals!I1962&lt;=DATE(2024,9,30)),Sales_Deals!J1962,""),"")</f>
        <v>173</v>
      </c>
    </row>
    <row r="1972" spans="1:3" x14ac:dyDescent="0.35">
      <c r="A1972">
        <v>1962</v>
      </c>
      <c r="B1972" t="str">
        <f>IF(Sales_Deals!I1963&lt;&gt;"",IF(AND(Sales_Deals!I1963&gt;DATE(2024,9,30),Sales_Deals!I1963&lt;=DATE(2025,3,31)),Sales_Deals!J1963,""),"")</f>
        <v/>
      </c>
      <c r="C1972" t="str">
        <f>IF(Sales_Deals!I1963&lt;&gt;"",IF(AND(Sales_Deals!I1963&gt;DATE(2024,3,31),Sales_Deals!I1963&lt;=DATE(2024,9,30)),Sales_Deals!J1963,""),"")</f>
        <v/>
      </c>
    </row>
    <row r="1973" spans="1:3" x14ac:dyDescent="0.35">
      <c r="A1973">
        <v>1963</v>
      </c>
      <c r="B1973" t="str">
        <f>IF(Sales_Deals!I1964&lt;&gt;"",IF(AND(Sales_Deals!I1964&gt;DATE(2024,9,30),Sales_Deals!I1964&lt;=DATE(2025,3,31)),Sales_Deals!J1964,""),"")</f>
        <v/>
      </c>
      <c r="C1973" t="str">
        <f>IF(Sales_Deals!I1964&lt;&gt;"",IF(AND(Sales_Deals!I1964&gt;DATE(2024,3,31),Sales_Deals!I1964&lt;=DATE(2024,9,30)),Sales_Deals!J1964,""),"")</f>
        <v/>
      </c>
    </row>
    <row r="1974" spans="1:3" x14ac:dyDescent="0.35">
      <c r="A1974">
        <v>1964</v>
      </c>
      <c r="B1974" t="str">
        <f>IF(Sales_Deals!I1965&lt;&gt;"",IF(AND(Sales_Deals!I1965&gt;DATE(2024,9,30),Sales_Deals!I1965&lt;=DATE(2025,3,31)),Sales_Deals!J1965,""),"")</f>
        <v/>
      </c>
      <c r="C1974" t="str">
        <f>IF(Sales_Deals!I1965&lt;&gt;"",IF(AND(Sales_Deals!I1965&gt;DATE(2024,3,31),Sales_Deals!I1965&lt;=DATE(2024,9,30)),Sales_Deals!J1965,""),"")</f>
        <v/>
      </c>
    </row>
    <row r="1975" spans="1:3" x14ac:dyDescent="0.35">
      <c r="A1975">
        <v>1965</v>
      </c>
      <c r="B1975" t="str">
        <f>IF(Sales_Deals!I1966&lt;&gt;"",IF(AND(Sales_Deals!I1966&gt;DATE(2024,9,30),Sales_Deals!I1966&lt;=DATE(2025,3,31)),Sales_Deals!J1966,""),"")</f>
        <v/>
      </c>
      <c r="C1975" t="str">
        <f>IF(Sales_Deals!I1966&lt;&gt;"",IF(AND(Sales_Deals!I1966&gt;DATE(2024,3,31),Sales_Deals!I1966&lt;=DATE(2024,9,30)),Sales_Deals!J1966,""),"")</f>
        <v/>
      </c>
    </row>
    <row r="1976" spans="1:3" x14ac:dyDescent="0.35">
      <c r="A1976">
        <v>1966</v>
      </c>
      <c r="B1976" t="str">
        <f>IF(Sales_Deals!I1967&lt;&gt;"",IF(AND(Sales_Deals!I1967&gt;DATE(2024,9,30),Sales_Deals!I1967&lt;=DATE(2025,3,31)),Sales_Deals!J1967,""),"")</f>
        <v/>
      </c>
      <c r="C1976" t="str">
        <f>IF(Sales_Deals!I1967&lt;&gt;"",IF(AND(Sales_Deals!I1967&gt;DATE(2024,3,31),Sales_Deals!I1967&lt;=DATE(2024,9,30)),Sales_Deals!J1967,""),"")</f>
        <v/>
      </c>
    </row>
    <row r="1977" spans="1:3" x14ac:dyDescent="0.35">
      <c r="A1977">
        <v>1967</v>
      </c>
      <c r="B1977" t="str">
        <f>IF(Sales_Deals!I1968&lt;&gt;"",IF(AND(Sales_Deals!I1968&gt;DATE(2024,9,30),Sales_Deals!I1968&lt;=DATE(2025,3,31)),Sales_Deals!J1968,""),"")</f>
        <v/>
      </c>
      <c r="C1977" t="str">
        <f>IF(Sales_Deals!I1968&lt;&gt;"",IF(AND(Sales_Deals!I1968&gt;DATE(2024,3,31),Sales_Deals!I1968&lt;=DATE(2024,9,30)),Sales_Deals!J1968,""),"")</f>
        <v/>
      </c>
    </row>
    <row r="1978" spans="1:3" x14ac:dyDescent="0.35">
      <c r="A1978">
        <v>1968</v>
      </c>
      <c r="B1978" t="str">
        <f>IF(Sales_Deals!I1969&lt;&gt;"",IF(AND(Sales_Deals!I1969&gt;DATE(2024,9,30),Sales_Deals!I1969&lt;=DATE(2025,3,31)),Sales_Deals!J1969,""),"")</f>
        <v/>
      </c>
      <c r="C1978" t="str">
        <f>IF(Sales_Deals!I1969&lt;&gt;"",IF(AND(Sales_Deals!I1969&gt;DATE(2024,3,31),Sales_Deals!I1969&lt;=DATE(2024,9,30)),Sales_Deals!J1969,""),"")</f>
        <v/>
      </c>
    </row>
    <row r="1979" spans="1:3" x14ac:dyDescent="0.35">
      <c r="A1979">
        <v>1969</v>
      </c>
      <c r="B1979" t="str">
        <f>IF(Sales_Deals!I1970&lt;&gt;"",IF(AND(Sales_Deals!I1970&gt;DATE(2024,9,30),Sales_Deals!I1970&lt;=DATE(2025,3,31)),Sales_Deals!J1970,""),"")</f>
        <v/>
      </c>
      <c r="C1979" t="str">
        <f>IF(Sales_Deals!I1970&lt;&gt;"",IF(AND(Sales_Deals!I1970&gt;DATE(2024,3,31),Sales_Deals!I1970&lt;=DATE(2024,9,30)),Sales_Deals!J1970,""),"")</f>
        <v/>
      </c>
    </row>
    <row r="1980" spans="1:3" x14ac:dyDescent="0.35">
      <c r="A1980">
        <v>1970</v>
      </c>
      <c r="B1980" t="str">
        <f>IF(Sales_Deals!I1971&lt;&gt;"",IF(AND(Sales_Deals!I1971&gt;DATE(2024,9,30),Sales_Deals!I1971&lt;=DATE(2025,3,31)),Sales_Deals!J1971,""),"")</f>
        <v/>
      </c>
      <c r="C1980">
        <f>IF(Sales_Deals!I1971&lt;&gt;"",IF(AND(Sales_Deals!I1971&gt;DATE(2024,3,31),Sales_Deals!I1971&lt;=DATE(2024,9,30)),Sales_Deals!J1971,""),"")</f>
        <v>137</v>
      </c>
    </row>
    <row r="1981" spans="1:3" x14ac:dyDescent="0.35">
      <c r="A1981">
        <v>1971</v>
      </c>
      <c r="B1981" t="str">
        <f>IF(Sales_Deals!I1972&lt;&gt;"",IF(AND(Sales_Deals!I1972&gt;DATE(2024,9,30),Sales_Deals!I1972&lt;=DATE(2025,3,31)),Sales_Deals!J1972,""),"")</f>
        <v/>
      </c>
      <c r="C1981">
        <f>IF(Sales_Deals!I1972&lt;&gt;"",IF(AND(Sales_Deals!I1972&gt;DATE(2024,3,31),Sales_Deals!I1972&lt;=DATE(2024,9,30)),Sales_Deals!J1972,""),"")</f>
        <v>143</v>
      </c>
    </row>
    <row r="1982" spans="1:3" x14ac:dyDescent="0.35">
      <c r="A1982">
        <v>1972</v>
      </c>
      <c r="B1982" t="str">
        <f>IF(Sales_Deals!I1973&lt;&gt;"",IF(AND(Sales_Deals!I1973&gt;DATE(2024,9,30),Sales_Deals!I1973&lt;=DATE(2025,3,31)),Sales_Deals!J1973,""),"")</f>
        <v/>
      </c>
      <c r="C1982">
        <f>IF(Sales_Deals!I1973&lt;&gt;"",IF(AND(Sales_Deals!I1973&gt;DATE(2024,3,31),Sales_Deals!I1973&lt;=DATE(2024,9,30)),Sales_Deals!J1973,""),"")</f>
        <v>90</v>
      </c>
    </row>
    <row r="1983" spans="1:3" x14ac:dyDescent="0.35">
      <c r="A1983">
        <v>1973</v>
      </c>
      <c r="B1983" t="str">
        <f>IF(Sales_Deals!I1974&lt;&gt;"",IF(AND(Sales_Deals!I1974&gt;DATE(2024,9,30),Sales_Deals!I1974&lt;=DATE(2025,3,31)),Sales_Deals!J1974,""),"")</f>
        <v/>
      </c>
      <c r="C1983" t="str">
        <f>IF(Sales_Deals!I1974&lt;&gt;"",IF(AND(Sales_Deals!I1974&gt;DATE(2024,3,31),Sales_Deals!I1974&lt;=DATE(2024,9,30)),Sales_Deals!J1974,""),"")</f>
        <v/>
      </c>
    </row>
    <row r="1984" spans="1:3" x14ac:dyDescent="0.35">
      <c r="A1984">
        <v>1974</v>
      </c>
      <c r="B1984" t="str">
        <f>IF(Sales_Deals!I1975&lt;&gt;"",IF(AND(Sales_Deals!I1975&gt;DATE(2024,9,30),Sales_Deals!I1975&lt;=DATE(2025,3,31)),Sales_Deals!J1975,""),"")</f>
        <v/>
      </c>
      <c r="C1984" t="str">
        <f>IF(Sales_Deals!I1975&lt;&gt;"",IF(AND(Sales_Deals!I1975&gt;DATE(2024,3,31),Sales_Deals!I1975&lt;=DATE(2024,9,30)),Sales_Deals!J1975,""),"")</f>
        <v/>
      </c>
    </row>
    <row r="1985" spans="1:3" x14ac:dyDescent="0.35">
      <c r="A1985">
        <v>1975</v>
      </c>
      <c r="B1985" t="str">
        <f>IF(Sales_Deals!I1976&lt;&gt;"",IF(AND(Sales_Deals!I1976&gt;DATE(2024,9,30),Sales_Deals!I1976&lt;=DATE(2025,3,31)),Sales_Deals!J1976,""),"")</f>
        <v/>
      </c>
      <c r="C1985">
        <f>IF(Sales_Deals!I1976&lt;&gt;"",IF(AND(Sales_Deals!I1976&gt;DATE(2024,3,31),Sales_Deals!I1976&lt;=DATE(2024,9,30)),Sales_Deals!J1976,""),"")</f>
        <v>178</v>
      </c>
    </row>
    <row r="1986" spans="1:3" x14ac:dyDescent="0.35">
      <c r="A1986">
        <v>1976</v>
      </c>
      <c r="B1986" t="str">
        <f>IF(Sales_Deals!I1977&lt;&gt;"",IF(AND(Sales_Deals!I1977&gt;DATE(2024,9,30),Sales_Deals!I1977&lt;=DATE(2025,3,31)),Sales_Deals!J1977,""),"")</f>
        <v/>
      </c>
      <c r="C1986" t="str">
        <f>IF(Sales_Deals!I1977&lt;&gt;"",IF(AND(Sales_Deals!I1977&gt;DATE(2024,3,31),Sales_Deals!I1977&lt;=DATE(2024,9,30)),Sales_Deals!J1977,""),"")</f>
        <v/>
      </c>
    </row>
    <row r="1987" spans="1:3" x14ac:dyDescent="0.35">
      <c r="A1987">
        <v>1977</v>
      </c>
      <c r="B1987" t="str">
        <f>IF(Sales_Deals!I1978&lt;&gt;"",IF(AND(Sales_Deals!I1978&gt;DATE(2024,9,30),Sales_Deals!I1978&lt;=DATE(2025,3,31)),Sales_Deals!J1978,""),"")</f>
        <v/>
      </c>
      <c r="C1987" t="str">
        <f>IF(Sales_Deals!I1978&lt;&gt;"",IF(AND(Sales_Deals!I1978&gt;DATE(2024,3,31),Sales_Deals!I1978&lt;=DATE(2024,9,30)),Sales_Deals!J1978,""),"")</f>
        <v/>
      </c>
    </row>
    <row r="1988" spans="1:3" x14ac:dyDescent="0.35">
      <c r="A1988">
        <v>1978</v>
      </c>
      <c r="B1988" t="str">
        <f>IF(Sales_Deals!I1979&lt;&gt;"",IF(AND(Sales_Deals!I1979&gt;DATE(2024,9,30),Sales_Deals!I1979&lt;=DATE(2025,3,31)),Sales_Deals!J1979,""),"")</f>
        <v/>
      </c>
      <c r="C1988" t="str">
        <f>IF(Sales_Deals!I1979&lt;&gt;"",IF(AND(Sales_Deals!I1979&gt;DATE(2024,3,31),Sales_Deals!I1979&lt;=DATE(2024,9,30)),Sales_Deals!J1979,""),"")</f>
        <v/>
      </c>
    </row>
    <row r="1989" spans="1:3" x14ac:dyDescent="0.35">
      <c r="A1989">
        <v>1979</v>
      </c>
      <c r="B1989" t="str">
        <f>IF(Sales_Deals!I1980&lt;&gt;"",IF(AND(Sales_Deals!I1980&gt;DATE(2024,9,30),Sales_Deals!I1980&lt;=DATE(2025,3,31)),Sales_Deals!J1980,""),"")</f>
        <v/>
      </c>
      <c r="C1989" t="str">
        <f>IF(Sales_Deals!I1980&lt;&gt;"",IF(AND(Sales_Deals!I1980&gt;DATE(2024,3,31),Sales_Deals!I1980&lt;=DATE(2024,9,30)),Sales_Deals!J1980,""),"")</f>
        <v/>
      </c>
    </row>
    <row r="1990" spans="1:3" x14ac:dyDescent="0.35">
      <c r="A1990">
        <v>1980</v>
      </c>
      <c r="B1990" t="str">
        <f>IF(Sales_Deals!I1981&lt;&gt;"",IF(AND(Sales_Deals!I1981&gt;DATE(2024,9,30),Sales_Deals!I1981&lt;=DATE(2025,3,31)),Sales_Deals!J1981,""),"")</f>
        <v/>
      </c>
      <c r="C1990" t="str">
        <f>IF(Sales_Deals!I1981&lt;&gt;"",IF(AND(Sales_Deals!I1981&gt;DATE(2024,3,31),Sales_Deals!I1981&lt;=DATE(2024,9,30)),Sales_Deals!J1981,""),"")</f>
        <v/>
      </c>
    </row>
    <row r="1991" spans="1:3" x14ac:dyDescent="0.35">
      <c r="A1991">
        <v>1981</v>
      </c>
      <c r="B1991" t="str">
        <f>IF(Sales_Deals!I1982&lt;&gt;"",IF(AND(Sales_Deals!I1982&gt;DATE(2024,9,30),Sales_Deals!I1982&lt;=DATE(2025,3,31)),Sales_Deals!J1982,""),"")</f>
        <v/>
      </c>
      <c r="C1991" t="str">
        <f>IF(Sales_Deals!I1982&lt;&gt;"",IF(AND(Sales_Deals!I1982&gt;DATE(2024,3,31),Sales_Deals!I1982&lt;=DATE(2024,9,30)),Sales_Deals!J1982,""),"")</f>
        <v/>
      </c>
    </row>
    <row r="1992" spans="1:3" x14ac:dyDescent="0.35">
      <c r="A1992">
        <v>1982</v>
      </c>
      <c r="B1992" t="str">
        <f>IF(Sales_Deals!I1983&lt;&gt;"",IF(AND(Sales_Deals!I1983&gt;DATE(2024,9,30),Sales_Deals!I1983&lt;=DATE(2025,3,31)),Sales_Deals!J1983,""),"")</f>
        <v/>
      </c>
      <c r="C1992">
        <f>IF(Sales_Deals!I1983&lt;&gt;"",IF(AND(Sales_Deals!I1983&gt;DATE(2024,3,31),Sales_Deals!I1983&lt;=DATE(2024,9,30)),Sales_Deals!J1983,""),"")</f>
        <v>68</v>
      </c>
    </row>
    <row r="1993" spans="1:3" x14ac:dyDescent="0.35">
      <c r="A1993">
        <v>1983</v>
      </c>
      <c r="B1993" t="str">
        <f>IF(Sales_Deals!I1984&lt;&gt;"",IF(AND(Sales_Deals!I1984&gt;DATE(2024,9,30),Sales_Deals!I1984&lt;=DATE(2025,3,31)),Sales_Deals!J1984,""),"")</f>
        <v/>
      </c>
      <c r="C1993" t="str">
        <f>IF(Sales_Deals!I1984&lt;&gt;"",IF(AND(Sales_Deals!I1984&gt;DATE(2024,3,31),Sales_Deals!I1984&lt;=DATE(2024,9,30)),Sales_Deals!J1984,""),"")</f>
        <v/>
      </c>
    </row>
    <row r="1994" spans="1:3" x14ac:dyDescent="0.35">
      <c r="A1994">
        <v>1984</v>
      </c>
      <c r="B1994" t="str">
        <f>IF(Sales_Deals!I1985&lt;&gt;"",IF(AND(Sales_Deals!I1985&gt;DATE(2024,9,30),Sales_Deals!I1985&lt;=DATE(2025,3,31)),Sales_Deals!J1985,""),"")</f>
        <v/>
      </c>
      <c r="C1994">
        <f>IF(Sales_Deals!I1985&lt;&gt;"",IF(AND(Sales_Deals!I1985&gt;DATE(2024,3,31),Sales_Deals!I1985&lt;=DATE(2024,9,30)),Sales_Deals!J1985,""),"")</f>
        <v>69</v>
      </c>
    </row>
    <row r="1995" spans="1:3" x14ac:dyDescent="0.35">
      <c r="A1995">
        <v>1985</v>
      </c>
      <c r="B1995" t="str">
        <f>IF(Sales_Deals!I1986&lt;&gt;"",IF(AND(Sales_Deals!I1986&gt;DATE(2024,9,30),Sales_Deals!I1986&lt;=DATE(2025,3,31)),Sales_Deals!J1986,""),"")</f>
        <v/>
      </c>
      <c r="C1995">
        <f>IF(Sales_Deals!I1986&lt;&gt;"",IF(AND(Sales_Deals!I1986&gt;DATE(2024,3,31),Sales_Deals!I1986&lt;=DATE(2024,9,30)),Sales_Deals!J1986,""),"")</f>
        <v>153</v>
      </c>
    </row>
    <row r="1996" spans="1:3" x14ac:dyDescent="0.35">
      <c r="A1996">
        <v>1986</v>
      </c>
      <c r="B1996" t="str">
        <f>IF(Sales_Deals!I1987&lt;&gt;"",IF(AND(Sales_Deals!I1987&gt;DATE(2024,9,30),Sales_Deals!I1987&lt;=DATE(2025,3,31)),Sales_Deals!J1987,""),"")</f>
        <v/>
      </c>
      <c r="C1996" t="str">
        <f>IF(Sales_Deals!I1987&lt;&gt;"",IF(AND(Sales_Deals!I1987&gt;DATE(2024,3,31),Sales_Deals!I1987&lt;=DATE(2024,9,30)),Sales_Deals!J1987,""),"")</f>
        <v/>
      </c>
    </row>
    <row r="1997" spans="1:3" x14ac:dyDescent="0.35">
      <c r="A1997">
        <v>1987</v>
      </c>
      <c r="B1997" t="str">
        <f>IF(Sales_Deals!I1988&lt;&gt;"",IF(AND(Sales_Deals!I1988&gt;DATE(2024,9,30),Sales_Deals!I1988&lt;=DATE(2025,3,31)),Sales_Deals!J1988,""),"")</f>
        <v/>
      </c>
      <c r="C1997" t="str">
        <f>IF(Sales_Deals!I1988&lt;&gt;"",IF(AND(Sales_Deals!I1988&gt;DATE(2024,3,31),Sales_Deals!I1988&lt;=DATE(2024,9,30)),Sales_Deals!J1988,""),"")</f>
        <v/>
      </c>
    </row>
    <row r="1998" spans="1:3" x14ac:dyDescent="0.35">
      <c r="A1998">
        <v>1988</v>
      </c>
      <c r="B1998" t="str">
        <f>IF(Sales_Deals!I1989&lt;&gt;"",IF(AND(Sales_Deals!I1989&gt;DATE(2024,9,30),Sales_Deals!I1989&lt;=DATE(2025,3,31)),Sales_Deals!J1989,""),"")</f>
        <v/>
      </c>
      <c r="C1998" t="str">
        <f>IF(Sales_Deals!I1989&lt;&gt;"",IF(AND(Sales_Deals!I1989&gt;DATE(2024,3,31),Sales_Deals!I1989&lt;=DATE(2024,9,30)),Sales_Deals!J1989,""),"")</f>
        <v/>
      </c>
    </row>
    <row r="1999" spans="1:3" x14ac:dyDescent="0.35">
      <c r="A1999">
        <v>1989</v>
      </c>
      <c r="B1999" t="str">
        <f>IF(Sales_Deals!I1990&lt;&gt;"",IF(AND(Sales_Deals!I1990&gt;DATE(2024,9,30),Sales_Deals!I1990&lt;=DATE(2025,3,31)),Sales_Deals!J1990,""),"")</f>
        <v/>
      </c>
      <c r="C1999" t="str">
        <f>IF(Sales_Deals!I1990&lt;&gt;"",IF(AND(Sales_Deals!I1990&gt;DATE(2024,3,31),Sales_Deals!I1990&lt;=DATE(2024,9,30)),Sales_Deals!J1990,""),"")</f>
        <v/>
      </c>
    </row>
    <row r="2000" spans="1:3" x14ac:dyDescent="0.35">
      <c r="A2000">
        <v>1990</v>
      </c>
      <c r="B2000">
        <f>IF(Sales_Deals!I1991&lt;&gt;"",IF(AND(Sales_Deals!I1991&gt;DATE(2024,9,30),Sales_Deals!I1991&lt;=DATE(2025,3,31)),Sales_Deals!J1991,""),"")</f>
        <v>63</v>
      </c>
      <c r="C2000" t="str">
        <f>IF(Sales_Deals!I1991&lt;&gt;"",IF(AND(Sales_Deals!I1991&gt;DATE(2024,3,31),Sales_Deals!I1991&lt;=DATE(2024,9,30)),Sales_Deals!J1991,""),"")</f>
        <v/>
      </c>
    </row>
    <row r="2001" spans="1:3" x14ac:dyDescent="0.35">
      <c r="A2001">
        <v>1991</v>
      </c>
      <c r="B2001" t="str">
        <f>IF(Sales_Deals!I1992&lt;&gt;"",IF(AND(Sales_Deals!I1992&gt;DATE(2024,9,30),Sales_Deals!I1992&lt;=DATE(2025,3,31)),Sales_Deals!J1992,""),"")</f>
        <v/>
      </c>
      <c r="C2001" t="str">
        <f>IF(Sales_Deals!I1992&lt;&gt;"",IF(AND(Sales_Deals!I1992&gt;DATE(2024,3,31),Sales_Deals!I1992&lt;=DATE(2024,9,30)),Sales_Deals!J1992,""),"")</f>
        <v/>
      </c>
    </row>
    <row r="2002" spans="1:3" x14ac:dyDescent="0.35">
      <c r="A2002">
        <v>1992</v>
      </c>
      <c r="B2002" t="str">
        <f>IF(Sales_Deals!I1993&lt;&gt;"",IF(AND(Sales_Deals!I1993&gt;DATE(2024,9,30),Sales_Deals!I1993&lt;=DATE(2025,3,31)),Sales_Deals!J1993,""),"")</f>
        <v/>
      </c>
      <c r="C2002" t="str">
        <f>IF(Sales_Deals!I1993&lt;&gt;"",IF(AND(Sales_Deals!I1993&gt;DATE(2024,3,31),Sales_Deals!I1993&lt;=DATE(2024,9,30)),Sales_Deals!J1993,""),"")</f>
        <v/>
      </c>
    </row>
    <row r="2003" spans="1:3" x14ac:dyDescent="0.35">
      <c r="A2003">
        <v>1993</v>
      </c>
      <c r="B2003" t="str">
        <f>IF(Sales_Deals!I1994&lt;&gt;"",IF(AND(Sales_Deals!I1994&gt;DATE(2024,9,30),Sales_Deals!I1994&lt;=DATE(2025,3,31)),Sales_Deals!J1994,""),"")</f>
        <v/>
      </c>
      <c r="C2003" t="str">
        <f>IF(Sales_Deals!I1994&lt;&gt;"",IF(AND(Sales_Deals!I1994&gt;DATE(2024,3,31),Sales_Deals!I1994&lt;=DATE(2024,9,30)),Sales_Deals!J1994,""),"")</f>
        <v/>
      </c>
    </row>
    <row r="2004" spans="1:3" x14ac:dyDescent="0.35">
      <c r="A2004">
        <v>1994</v>
      </c>
      <c r="B2004" t="str">
        <f>IF(Sales_Deals!I1995&lt;&gt;"",IF(AND(Sales_Deals!I1995&gt;DATE(2024,9,30),Sales_Deals!I1995&lt;=DATE(2025,3,31)),Sales_Deals!J1995,""),"")</f>
        <v/>
      </c>
      <c r="C2004" t="str">
        <f>IF(Sales_Deals!I1995&lt;&gt;"",IF(AND(Sales_Deals!I1995&gt;DATE(2024,3,31),Sales_Deals!I1995&lt;=DATE(2024,9,30)),Sales_Deals!J1995,""),"")</f>
        <v/>
      </c>
    </row>
    <row r="2005" spans="1:3" x14ac:dyDescent="0.35">
      <c r="A2005">
        <v>1995</v>
      </c>
      <c r="B2005">
        <f>IF(Sales_Deals!I1996&lt;&gt;"",IF(AND(Sales_Deals!I1996&gt;DATE(2024,9,30),Sales_Deals!I1996&lt;=DATE(2025,3,31)),Sales_Deals!J1996,""),"")</f>
        <v>66</v>
      </c>
      <c r="C2005" t="str">
        <f>IF(Sales_Deals!I1996&lt;&gt;"",IF(AND(Sales_Deals!I1996&gt;DATE(2024,3,31),Sales_Deals!I1996&lt;=DATE(2024,9,30)),Sales_Deals!J1996,""),"")</f>
        <v/>
      </c>
    </row>
    <row r="2006" spans="1:3" x14ac:dyDescent="0.35">
      <c r="A2006">
        <v>1996</v>
      </c>
      <c r="B2006" t="str">
        <f>IF(Sales_Deals!I1997&lt;&gt;"",IF(AND(Sales_Deals!I1997&gt;DATE(2024,9,30),Sales_Deals!I1997&lt;=DATE(2025,3,31)),Sales_Deals!J1997,""),"")</f>
        <v/>
      </c>
      <c r="C2006" t="str">
        <f>IF(Sales_Deals!I1997&lt;&gt;"",IF(AND(Sales_Deals!I1997&gt;DATE(2024,3,31),Sales_Deals!I1997&lt;=DATE(2024,9,30)),Sales_Deals!J1997,""),"")</f>
        <v/>
      </c>
    </row>
    <row r="2007" spans="1:3" x14ac:dyDescent="0.35">
      <c r="A2007">
        <v>1997</v>
      </c>
      <c r="B2007" t="str">
        <f>IF(Sales_Deals!I1998&lt;&gt;"",IF(AND(Sales_Deals!I1998&gt;DATE(2024,9,30),Sales_Deals!I1998&lt;=DATE(2025,3,31)),Sales_Deals!J1998,""),"")</f>
        <v/>
      </c>
      <c r="C2007" t="str">
        <f>IF(Sales_Deals!I1998&lt;&gt;"",IF(AND(Sales_Deals!I1998&gt;DATE(2024,3,31),Sales_Deals!I1998&lt;=DATE(2024,9,30)),Sales_Deals!J1998,""),"")</f>
        <v/>
      </c>
    </row>
    <row r="2008" spans="1:3" x14ac:dyDescent="0.35">
      <c r="A2008">
        <v>1998</v>
      </c>
      <c r="B2008" t="str">
        <f>IF(Sales_Deals!I1999&lt;&gt;"",IF(AND(Sales_Deals!I1999&gt;DATE(2024,9,30),Sales_Deals!I1999&lt;=DATE(2025,3,31)),Sales_Deals!J1999,""),"")</f>
        <v/>
      </c>
      <c r="C2008" t="str">
        <f>IF(Sales_Deals!I1999&lt;&gt;"",IF(AND(Sales_Deals!I1999&gt;DATE(2024,3,31),Sales_Deals!I1999&lt;=DATE(2024,9,30)),Sales_Deals!J1999,""),"")</f>
        <v/>
      </c>
    </row>
    <row r="2009" spans="1:3" x14ac:dyDescent="0.35">
      <c r="A2009">
        <v>1999</v>
      </c>
      <c r="B2009" t="str">
        <f>IF(Sales_Deals!I2000&lt;&gt;"",IF(AND(Sales_Deals!I2000&gt;DATE(2024,9,30),Sales_Deals!I2000&lt;=DATE(2025,3,31)),Sales_Deals!J2000,""),"")</f>
        <v/>
      </c>
      <c r="C2009" t="str">
        <f>IF(Sales_Deals!I2000&lt;&gt;"",IF(AND(Sales_Deals!I2000&gt;DATE(2024,3,31),Sales_Deals!I2000&lt;=DATE(2024,9,30)),Sales_Deals!J2000,""),"")</f>
        <v/>
      </c>
    </row>
    <row r="2010" spans="1:3" x14ac:dyDescent="0.35">
      <c r="A2010">
        <v>2000</v>
      </c>
      <c r="B2010" t="str">
        <f>IF(Sales_Deals!I2001&lt;&gt;"",IF(AND(Sales_Deals!I2001&gt;DATE(2024,9,30),Sales_Deals!I2001&lt;=DATE(2025,3,31)),Sales_Deals!J2001,""),"")</f>
        <v/>
      </c>
      <c r="C2010" t="str">
        <f>IF(Sales_Deals!I2001&lt;&gt;"",IF(AND(Sales_Deals!I2001&gt;DATE(2024,3,31),Sales_Deals!I2001&lt;=DATE(2024,9,30)),Sales_Deals!J2001,""),"")</f>
        <v/>
      </c>
    </row>
    <row r="2011" spans="1:3" x14ac:dyDescent="0.35">
      <c r="A2011">
        <v>2001</v>
      </c>
      <c r="B2011" t="str">
        <f>IF(Sales_Deals!I2002&lt;&gt;"",IF(AND(Sales_Deals!I2002&gt;DATE(2024,9,30),Sales_Deals!I2002&lt;=DATE(2025,3,31)),Sales_Deals!J2002,""),"")</f>
        <v/>
      </c>
      <c r="C2011" t="str">
        <f>IF(Sales_Deals!I2002&lt;&gt;"",IF(AND(Sales_Deals!I2002&gt;DATE(2024,3,31),Sales_Deals!I2002&lt;=DATE(2024,9,30)),Sales_Deals!J2002,""),"")</f>
        <v/>
      </c>
    </row>
    <row r="2012" spans="1:3" x14ac:dyDescent="0.35">
      <c r="A2012">
        <v>2002</v>
      </c>
      <c r="B2012" t="str">
        <f>IF(Sales_Deals!I2003&lt;&gt;"",IF(AND(Sales_Deals!I2003&gt;DATE(2024,9,30),Sales_Deals!I2003&lt;=DATE(2025,3,31)),Sales_Deals!J2003,""),"")</f>
        <v/>
      </c>
      <c r="C2012" t="str">
        <f>IF(Sales_Deals!I2003&lt;&gt;"",IF(AND(Sales_Deals!I2003&gt;DATE(2024,3,31),Sales_Deals!I2003&lt;=DATE(2024,9,30)),Sales_Deals!J2003,""),"")</f>
        <v/>
      </c>
    </row>
    <row r="2013" spans="1:3" x14ac:dyDescent="0.35">
      <c r="A2013">
        <v>2003</v>
      </c>
      <c r="B2013" t="str">
        <f>IF(Sales_Deals!I2004&lt;&gt;"",IF(AND(Sales_Deals!I2004&gt;DATE(2024,9,30),Sales_Deals!I2004&lt;=DATE(2025,3,31)),Sales_Deals!J2004,""),"")</f>
        <v/>
      </c>
      <c r="C2013" t="str">
        <f>IF(Sales_Deals!I2004&lt;&gt;"",IF(AND(Sales_Deals!I2004&gt;DATE(2024,3,31),Sales_Deals!I2004&lt;=DATE(2024,9,30)),Sales_Deals!J2004,""),"")</f>
        <v/>
      </c>
    </row>
    <row r="2014" spans="1:3" x14ac:dyDescent="0.35">
      <c r="A2014">
        <v>2004</v>
      </c>
      <c r="B2014" t="str">
        <f>IF(Sales_Deals!I2005&lt;&gt;"",IF(AND(Sales_Deals!I2005&gt;DATE(2024,9,30),Sales_Deals!I2005&lt;=DATE(2025,3,31)),Sales_Deals!J2005,""),"")</f>
        <v/>
      </c>
      <c r="C2014" t="str">
        <f>IF(Sales_Deals!I2005&lt;&gt;"",IF(AND(Sales_Deals!I2005&gt;DATE(2024,3,31),Sales_Deals!I2005&lt;=DATE(2024,9,30)),Sales_Deals!J2005,""),"")</f>
        <v/>
      </c>
    </row>
    <row r="2015" spans="1:3" x14ac:dyDescent="0.35">
      <c r="A2015">
        <v>2005</v>
      </c>
      <c r="B2015" t="str">
        <f>IF(Sales_Deals!I2006&lt;&gt;"",IF(AND(Sales_Deals!I2006&gt;DATE(2024,9,30),Sales_Deals!I2006&lt;=DATE(2025,3,31)),Sales_Deals!J2006,""),"")</f>
        <v/>
      </c>
      <c r="C2015" t="str">
        <f>IF(Sales_Deals!I2006&lt;&gt;"",IF(AND(Sales_Deals!I2006&gt;DATE(2024,3,31),Sales_Deals!I2006&lt;=DATE(2024,9,30)),Sales_Deals!J2006,""),"")</f>
        <v/>
      </c>
    </row>
    <row r="2016" spans="1:3" x14ac:dyDescent="0.35">
      <c r="A2016">
        <v>2006</v>
      </c>
      <c r="B2016" t="str">
        <f>IF(Sales_Deals!I2007&lt;&gt;"",IF(AND(Sales_Deals!I2007&gt;DATE(2024,9,30),Sales_Deals!I2007&lt;=DATE(2025,3,31)),Sales_Deals!J2007,""),"")</f>
        <v/>
      </c>
      <c r="C2016" t="str">
        <f>IF(Sales_Deals!I2007&lt;&gt;"",IF(AND(Sales_Deals!I2007&gt;DATE(2024,3,31),Sales_Deals!I2007&lt;=DATE(2024,9,30)),Sales_Deals!J2007,""),"")</f>
        <v/>
      </c>
    </row>
    <row r="2017" spans="1:3" x14ac:dyDescent="0.35">
      <c r="A2017">
        <v>2007</v>
      </c>
      <c r="B2017" t="str">
        <f>IF(Sales_Deals!I2008&lt;&gt;"",IF(AND(Sales_Deals!I2008&gt;DATE(2024,9,30),Sales_Deals!I2008&lt;=DATE(2025,3,31)),Sales_Deals!J2008,""),"")</f>
        <v/>
      </c>
      <c r="C2017" t="str">
        <f>IF(Sales_Deals!I2008&lt;&gt;"",IF(AND(Sales_Deals!I2008&gt;DATE(2024,3,31),Sales_Deals!I2008&lt;=DATE(2024,9,30)),Sales_Deals!J2008,""),"")</f>
        <v/>
      </c>
    </row>
    <row r="2018" spans="1:3" x14ac:dyDescent="0.35">
      <c r="A2018">
        <v>2008</v>
      </c>
      <c r="B2018" t="str">
        <f>IF(Sales_Deals!I2009&lt;&gt;"",IF(AND(Sales_Deals!I2009&gt;DATE(2024,9,30),Sales_Deals!I2009&lt;=DATE(2025,3,31)),Sales_Deals!J2009,""),"")</f>
        <v/>
      </c>
      <c r="C2018" t="str">
        <f>IF(Sales_Deals!I2009&lt;&gt;"",IF(AND(Sales_Deals!I2009&gt;DATE(2024,3,31),Sales_Deals!I2009&lt;=DATE(2024,9,30)),Sales_Deals!J2009,""),"")</f>
        <v/>
      </c>
    </row>
    <row r="2019" spans="1:3" x14ac:dyDescent="0.35">
      <c r="A2019">
        <v>2009</v>
      </c>
      <c r="B2019" t="str">
        <f>IF(Sales_Deals!I2010&lt;&gt;"",IF(AND(Sales_Deals!I2010&gt;DATE(2024,9,30),Sales_Deals!I2010&lt;=DATE(2025,3,31)),Sales_Deals!J2010,""),"")</f>
        <v/>
      </c>
      <c r="C2019">
        <f>IF(Sales_Deals!I2010&lt;&gt;"",IF(AND(Sales_Deals!I2010&gt;DATE(2024,3,31),Sales_Deals!I2010&lt;=DATE(2024,9,30)),Sales_Deals!J2010,""),"")</f>
        <v>60</v>
      </c>
    </row>
    <row r="2020" spans="1:3" x14ac:dyDescent="0.35">
      <c r="A2020">
        <v>2010</v>
      </c>
      <c r="B2020" t="str">
        <f>IF(Sales_Deals!I2011&lt;&gt;"",IF(AND(Sales_Deals!I2011&gt;DATE(2024,9,30),Sales_Deals!I2011&lt;=DATE(2025,3,31)),Sales_Deals!J2011,""),"")</f>
        <v/>
      </c>
      <c r="C2020" t="str">
        <f>IF(Sales_Deals!I2011&lt;&gt;"",IF(AND(Sales_Deals!I2011&gt;DATE(2024,3,31),Sales_Deals!I2011&lt;=DATE(2024,9,30)),Sales_Deals!J2011,""),"")</f>
        <v/>
      </c>
    </row>
    <row r="2021" spans="1:3" x14ac:dyDescent="0.35">
      <c r="A2021">
        <v>2011</v>
      </c>
      <c r="B2021" t="str">
        <f>IF(Sales_Deals!I2012&lt;&gt;"",IF(AND(Sales_Deals!I2012&gt;DATE(2024,9,30),Sales_Deals!I2012&lt;=DATE(2025,3,31)),Sales_Deals!J2012,""),"")</f>
        <v/>
      </c>
      <c r="C2021" t="str">
        <f>IF(Sales_Deals!I2012&lt;&gt;"",IF(AND(Sales_Deals!I2012&gt;DATE(2024,3,31),Sales_Deals!I2012&lt;=DATE(2024,9,30)),Sales_Deals!J2012,""),"")</f>
        <v/>
      </c>
    </row>
    <row r="2022" spans="1:3" x14ac:dyDescent="0.35">
      <c r="A2022">
        <v>2012</v>
      </c>
      <c r="B2022" t="str">
        <f>IF(Sales_Deals!I2013&lt;&gt;"",IF(AND(Sales_Deals!I2013&gt;DATE(2024,9,30),Sales_Deals!I2013&lt;=DATE(2025,3,31)),Sales_Deals!J2013,""),"")</f>
        <v/>
      </c>
      <c r="C2022" t="str">
        <f>IF(Sales_Deals!I2013&lt;&gt;"",IF(AND(Sales_Deals!I2013&gt;DATE(2024,3,31),Sales_Deals!I2013&lt;=DATE(2024,9,30)),Sales_Deals!J2013,""),"")</f>
        <v/>
      </c>
    </row>
    <row r="2023" spans="1:3" x14ac:dyDescent="0.35">
      <c r="A2023">
        <v>2013</v>
      </c>
      <c r="B2023" t="str">
        <f>IF(Sales_Deals!I2014&lt;&gt;"",IF(AND(Sales_Deals!I2014&gt;DATE(2024,9,30),Sales_Deals!I2014&lt;=DATE(2025,3,31)),Sales_Deals!J2014,""),"")</f>
        <v/>
      </c>
      <c r="C2023" t="str">
        <f>IF(Sales_Deals!I2014&lt;&gt;"",IF(AND(Sales_Deals!I2014&gt;DATE(2024,3,31),Sales_Deals!I2014&lt;=DATE(2024,9,30)),Sales_Deals!J2014,""),"")</f>
        <v/>
      </c>
    </row>
    <row r="2024" spans="1:3" x14ac:dyDescent="0.35">
      <c r="A2024">
        <v>2014</v>
      </c>
      <c r="B2024" t="str">
        <f>IF(Sales_Deals!I2015&lt;&gt;"",IF(AND(Sales_Deals!I2015&gt;DATE(2024,9,30),Sales_Deals!I2015&lt;=DATE(2025,3,31)),Sales_Deals!J2015,""),"")</f>
        <v/>
      </c>
      <c r="C2024" t="str">
        <f>IF(Sales_Deals!I2015&lt;&gt;"",IF(AND(Sales_Deals!I2015&gt;DATE(2024,3,31),Sales_Deals!I2015&lt;=DATE(2024,9,30)),Sales_Deals!J2015,""),"")</f>
        <v/>
      </c>
    </row>
    <row r="2025" spans="1:3" x14ac:dyDescent="0.35">
      <c r="A2025">
        <v>2015</v>
      </c>
      <c r="B2025" t="str">
        <f>IF(Sales_Deals!I2016&lt;&gt;"",IF(AND(Sales_Deals!I2016&gt;DATE(2024,9,30),Sales_Deals!I2016&lt;=DATE(2025,3,31)),Sales_Deals!J2016,""),"")</f>
        <v/>
      </c>
      <c r="C2025" t="str">
        <f>IF(Sales_Deals!I2016&lt;&gt;"",IF(AND(Sales_Deals!I2016&gt;DATE(2024,3,31),Sales_Deals!I2016&lt;=DATE(2024,9,30)),Sales_Deals!J2016,""),"")</f>
        <v/>
      </c>
    </row>
    <row r="2026" spans="1:3" x14ac:dyDescent="0.35">
      <c r="A2026">
        <v>2016</v>
      </c>
      <c r="B2026" t="str">
        <f>IF(Sales_Deals!I2017&lt;&gt;"",IF(AND(Sales_Deals!I2017&gt;DATE(2024,9,30),Sales_Deals!I2017&lt;=DATE(2025,3,31)),Sales_Deals!J2017,""),"")</f>
        <v/>
      </c>
      <c r="C2026" t="str">
        <f>IF(Sales_Deals!I2017&lt;&gt;"",IF(AND(Sales_Deals!I2017&gt;DATE(2024,3,31),Sales_Deals!I2017&lt;=DATE(2024,9,30)),Sales_Deals!J2017,""),"")</f>
        <v/>
      </c>
    </row>
    <row r="2027" spans="1:3" x14ac:dyDescent="0.35">
      <c r="A2027">
        <v>2017</v>
      </c>
      <c r="B2027" t="str">
        <f>IF(Sales_Deals!I2018&lt;&gt;"",IF(AND(Sales_Deals!I2018&gt;DATE(2024,9,30),Sales_Deals!I2018&lt;=DATE(2025,3,31)),Sales_Deals!J2018,""),"")</f>
        <v/>
      </c>
      <c r="C2027" t="str">
        <f>IF(Sales_Deals!I2018&lt;&gt;"",IF(AND(Sales_Deals!I2018&gt;DATE(2024,3,31),Sales_Deals!I2018&lt;=DATE(2024,9,30)),Sales_Deals!J2018,""),"")</f>
        <v/>
      </c>
    </row>
    <row r="2028" spans="1:3" x14ac:dyDescent="0.35">
      <c r="A2028">
        <v>2018</v>
      </c>
      <c r="B2028" t="str">
        <f>IF(Sales_Deals!I2019&lt;&gt;"",IF(AND(Sales_Deals!I2019&gt;DATE(2024,9,30),Sales_Deals!I2019&lt;=DATE(2025,3,31)),Sales_Deals!J2019,""),"")</f>
        <v/>
      </c>
      <c r="C2028" t="str">
        <f>IF(Sales_Deals!I2019&lt;&gt;"",IF(AND(Sales_Deals!I2019&gt;DATE(2024,3,31),Sales_Deals!I2019&lt;=DATE(2024,9,30)),Sales_Deals!J2019,""),"")</f>
        <v/>
      </c>
    </row>
    <row r="2029" spans="1:3" x14ac:dyDescent="0.35">
      <c r="A2029">
        <v>2019</v>
      </c>
      <c r="B2029" t="str">
        <f>IF(Sales_Deals!I2020&lt;&gt;"",IF(AND(Sales_Deals!I2020&gt;DATE(2024,9,30),Sales_Deals!I2020&lt;=DATE(2025,3,31)),Sales_Deals!J2020,""),"")</f>
        <v/>
      </c>
      <c r="C2029" t="str">
        <f>IF(Sales_Deals!I2020&lt;&gt;"",IF(AND(Sales_Deals!I2020&gt;DATE(2024,3,31),Sales_Deals!I2020&lt;=DATE(2024,9,30)),Sales_Deals!J2020,""),"")</f>
        <v/>
      </c>
    </row>
    <row r="2030" spans="1:3" x14ac:dyDescent="0.35">
      <c r="A2030">
        <v>2020</v>
      </c>
      <c r="B2030" t="str">
        <f>IF(Sales_Deals!I2021&lt;&gt;"",IF(AND(Sales_Deals!I2021&gt;DATE(2024,9,30),Sales_Deals!I2021&lt;=DATE(2025,3,31)),Sales_Deals!J2021,""),"")</f>
        <v/>
      </c>
      <c r="C2030" t="str">
        <f>IF(Sales_Deals!I2021&lt;&gt;"",IF(AND(Sales_Deals!I2021&gt;DATE(2024,3,31),Sales_Deals!I2021&lt;=DATE(2024,9,30)),Sales_Deals!J2021,""),"")</f>
        <v/>
      </c>
    </row>
    <row r="2031" spans="1:3" x14ac:dyDescent="0.35">
      <c r="A2031">
        <v>2021</v>
      </c>
      <c r="B2031" t="str">
        <f>IF(Sales_Deals!I2022&lt;&gt;"",IF(AND(Sales_Deals!I2022&gt;DATE(2024,9,30),Sales_Deals!I2022&lt;=DATE(2025,3,31)),Sales_Deals!J2022,""),"")</f>
        <v/>
      </c>
      <c r="C2031" t="str">
        <f>IF(Sales_Deals!I2022&lt;&gt;"",IF(AND(Sales_Deals!I2022&gt;DATE(2024,3,31),Sales_Deals!I2022&lt;=DATE(2024,9,30)),Sales_Deals!J2022,""),"")</f>
        <v/>
      </c>
    </row>
    <row r="2032" spans="1:3" x14ac:dyDescent="0.35">
      <c r="A2032">
        <v>2022</v>
      </c>
      <c r="B2032" t="str">
        <f>IF(Sales_Deals!I2023&lt;&gt;"",IF(AND(Sales_Deals!I2023&gt;DATE(2024,9,30),Sales_Deals!I2023&lt;=DATE(2025,3,31)),Sales_Deals!J2023,""),"")</f>
        <v/>
      </c>
      <c r="C2032" t="str">
        <f>IF(Sales_Deals!I2023&lt;&gt;"",IF(AND(Sales_Deals!I2023&gt;DATE(2024,3,31),Sales_Deals!I2023&lt;=DATE(2024,9,30)),Sales_Deals!J2023,""),"")</f>
        <v/>
      </c>
    </row>
    <row r="2033" spans="1:3" x14ac:dyDescent="0.35">
      <c r="A2033">
        <v>2023</v>
      </c>
      <c r="B2033">
        <f>IF(Sales_Deals!I2024&lt;&gt;"",IF(AND(Sales_Deals!I2024&gt;DATE(2024,9,30),Sales_Deals!I2024&lt;=DATE(2025,3,31)),Sales_Deals!J2024,""),"")</f>
        <v>156</v>
      </c>
      <c r="C2033" t="str">
        <f>IF(Sales_Deals!I2024&lt;&gt;"",IF(AND(Sales_Deals!I2024&gt;DATE(2024,3,31),Sales_Deals!I2024&lt;=DATE(2024,9,30)),Sales_Deals!J2024,""),"")</f>
        <v/>
      </c>
    </row>
    <row r="2034" spans="1:3" x14ac:dyDescent="0.35">
      <c r="A2034">
        <v>2024</v>
      </c>
      <c r="B2034" t="str">
        <f>IF(Sales_Deals!I2025&lt;&gt;"",IF(AND(Sales_Deals!I2025&gt;DATE(2024,9,30),Sales_Deals!I2025&lt;=DATE(2025,3,31)),Sales_Deals!J2025,""),"")</f>
        <v/>
      </c>
      <c r="C2034" t="str">
        <f>IF(Sales_Deals!I2025&lt;&gt;"",IF(AND(Sales_Deals!I2025&gt;DATE(2024,3,31),Sales_Deals!I2025&lt;=DATE(2024,9,30)),Sales_Deals!J2025,""),"")</f>
        <v/>
      </c>
    </row>
    <row r="2035" spans="1:3" x14ac:dyDescent="0.35">
      <c r="A2035">
        <v>2025</v>
      </c>
      <c r="B2035" t="str">
        <f>IF(Sales_Deals!I2026&lt;&gt;"",IF(AND(Sales_Deals!I2026&gt;DATE(2024,9,30),Sales_Deals!I2026&lt;=DATE(2025,3,31)),Sales_Deals!J2026,""),"")</f>
        <v/>
      </c>
      <c r="C2035" t="str">
        <f>IF(Sales_Deals!I2026&lt;&gt;"",IF(AND(Sales_Deals!I2026&gt;DATE(2024,3,31),Sales_Deals!I2026&lt;=DATE(2024,9,30)),Sales_Deals!J2026,""),"")</f>
        <v/>
      </c>
    </row>
    <row r="2036" spans="1:3" x14ac:dyDescent="0.35">
      <c r="A2036">
        <v>2026</v>
      </c>
      <c r="B2036" t="str">
        <f>IF(Sales_Deals!I2027&lt;&gt;"",IF(AND(Sales_Deals!I2027&gt;DATE(2024,9,30),Sales_Deals!I2027&lt;=DATE(2025,3,31)),Sales_Deals!J2027,""),"")</f>
        <v/>
      </c>
      <c r="C2036" t="str">
        <f>IF(Sales_Deals!I2027&lt;&gt;"",IF(AND(Sales_Deals!I2027&gt;DATE(2024,3,31),Sales_Deals!I2027&lt;=DATE(2024,9,30)),Sales_Deals!J2027,""),"")</f>
        <v/>
      </c>
    </row>
    <row r="2037" spans="1:3" x14ac:dyDescent="0.35">
      <c r="A2037">
        <v>2027</v>
      </c>
      <c r="B2037">
        <f>IF(Sales_Deals!I2028&lt;&gt;"",IF(AND(Sales_Deals!I2028&gt;DATE(2024,9,30),Sales_Deals!I2028&lt;=DATE(2025,3,31)),Sales_Deals!J2028,""),"")</f>
        <v>93</v>
      </c>
      <c r="C2037" t="str">
        <f>IF(Sales_Deals!I2028&lt;&gt;"",IF(AND(Sales_Deals!I2028&gt;DATE(2024,3,31),Sales_Deals!I2028&lt;=DATE(2024,9,30)),Sales_Deals!J2028,""),"")</f>
        <v/>
      </c>
    </row>
    <row r="2038" spans="1:3" x14ac:dyDescent="0.35">
      <c r="A2038">
        <v>2028</v>
      </c>
      <c r="B2038" t="str">
        <f>IF(Sales_Deals!I2029&lt;&gt;"",IF(AND(Sales_Deals!I2029&gt;DATE(2024,9,30),Sales_Deals!I2029&lt;=DATE(2025,3,31)),Sales_Deals!J2029,""),"")</f>
        <v/>
      </c>
      <c r="C2038" t="str">
        <f>IF(Sales_Deals!I2029&lt;&gt;"",IF(AND(Sales_Deals!I2029&gt;DATE(2024,3,31),Sales_Deals!I2029&lt;=DATE(2024,9,30)),Sales_Deals!J2029,""),"")</f>
        <v/>
      </c>
    </row>
    <row r="2039" spans="1:3" x14ac:dyDescent="0.35">
      <c r="A2039">
        <v>2029</v>
      </c>
      <c r="B2039" t="str">
        <f>IF(Sales_Deals!I2030&lt;&gt;"",IF(AND(Sales_Deals!I2030&gt;DATE(2024,9,30),Sales_Deals!I2030&lt;=DATE(2025,3,31)),Sales_Deals!J2030,""),"")</f>
        <v/>
      </c>
      <c r="C2039">
        <f>IF(Sales_Deals!I2030&lt;&gt;"",IF(AND(Sales_Deals!I2030&gt;DATE(2024,3,31),Sales_Deals!I2030&lt;=DATE(2024,9,30)),Sales_Deals!J2030,""),"")</f>
        <v>124</v>
      </c>
    </row>
    <row r="2040" spans="1:3" x14ac:dyDescent="0.35">
      <c r="A2040">
        <v>2030</v>
      </c>
      <c r="B2040" t="str">
        <f>IF(Sales_Deals!I2031&lt;&gt;"",IF(AND(Sales_Deals!I2031&gt;DATE(2024,9,30),Sales_Deals!I2031&lt;=DATE(2025,3,31)),Sales_Deals!J2031,""),"")</f>
        <v/>
      </c>
      <c r="C2040" t="str">
        <f>IF(Sales_Deals!I2031&lt;&gt;"",IF(AND(Sales_Deals!I2031&gt;DATE(2024,3,31),Sales_Deals!I2031&lt;=DATE(2024,9,30)),Sales_Deals!J2031,""),"")</f>
        <v/>
      </c>
    </row>
    <row r="2041" spans="1:3" x14ac:dyDescent="0.35">
      <c r="A2041">
        <v>2031</v>
      </c>
      <c r="B2041" t="str">
        <f>IF(Sales_Deals!I2032&lt;&gt;"",IF(AND(Sales_Deals!I2032&gt;DATE(2024,9,30),Sales_Deals!I2032&lt;=DATE(2025,3,31)),Sales_Deals!J2032,""),"")</f>
        <v/>
      </c>
      <c r="C2041" t="str">
        <f>IF(Sales_Deals!I2032&lt;&gt;"",IF(AND(Sales_Deals!I2032&gt;DATE(2024,3,31),Sales_Deals!I2032&lt;=DATE(2024,9,30)),Sales_Deals!J2032,""),"")</f>
        <v/>
      </c>
    </row>
    <row r="2042" spans="1:3" x14ac:dyDescent="0.35">
      <c r="A2042">
        <v>2032</v>
      </c>
      <c r="B2042" t="str">
        <f>IF(Sales_Deals!I2033&lt;&gt;"",IF(AND(Sales_Deals!I2033&gt;DATE(2024,9,30),Sales_Deals!I2033&lt;=DATE(2025,3,31)),Sales_Deals!J2033,""),"")</f>
        <v/>
      </c>
      <c r="C2042" t="str">
        <f>IF(Sales_Deals!I2033&lt;&gt;"",IF(AND(Sales_Deals!I2033&gt;DATE(2024,3,31),Sales_Deals!I2033&lt;=DATE(2024,9,30)),Sales_Deals!J2033,""),"")</f>
        <v/>
      </c>
    </row>
    <row r="2043" spans="1:3" x14ac:dyDescent="0.35">
      <c r="A2043">
        <v>2033</v>
      </c>
      <c r="B2043" t="str">
        <f>IF(Sales_Deals!I2034&lt;&gt;"",IF(AND(Sales_Deals!I2034&gt;DATE(2024,9,30),Sales_Deals!I2034&lt;=DATE(2025,3,31)),Sales_Deals!J2034,""),"")</f>
        <v/>
      </c>
      <c r="C2043" t="str">
        <f>IF(Sales_Deals!I2034&lt;&gt;"",IF(AND(Sales_Deals!I2034&gt;DATE(2024,3,31),Sales_Deals!I2034&lt;=DATE(2024,9,30)),Sales_Deals!J2034,""),"")</f>
        <v/>
      </c>
    </row>
    <row r="2044" spans="1:3" x14ac:dyDescent="0.35">
      <c r="A2044">
        <v>2034</v>
      </c>
      <c r="B2044" t="str">
        <f>IF(Sales_Deals!I2035&lt;&gt;"",IF(AND(Sales_Deals!I2035&gt;DATE(2024,9,30),Sales_Deals!I2035&lt;=DATE(2025,3,31)),Sales_Deals!J2035,""),"")</f>
        <v/>
      </c>
      <c r="C2044" t="str">
        <f>IF(Sales_Deals!I2035&lt;&gt;"",IF(AND(Sales_Deals!I2035&gt;DATE(2024,3,31),Sales_Deals!I2035&lt;=DATE(2024,9,30)),Sales_Deals!J2035,""),"")</f>
        <v/>
      </c>
    </row>
    <row r="2045" spans="1:3" x14ac:dyDescent="0.35">
      <c r="A2045">
        <v>2035</v>
      </c>
      <c r="B2045" t="str">
        <f>IF(Sales_Deals!I2036&lt;&gt;"",IF(AND(Sales_Deals!I2036&gt;DATE(2024,9,30),Sales_Deals!I2036&lt;=DATE(2025,3,31)),Sales_Deals!J2036,""),"")</f>
        <v/>
      </c>
      <c r="C2045" t="str">
        <f>IF(Sales_Deals!I2036&lt;&gt;"",IF(AND(Sales_Deals!I2036&gt;DATE(2024,3,31),Sales_Deals!I2036&lt;=DATE(2024,9,30)),Sales_Deals!J2036,""),"")</f>
        <v/>
      </c>
    </row>
    <row r="2046" spans="1:3" x14ac:dyDescent="0.35">
      <c r="A2046">
        <v>2036</v>
      </c>
      <c r="B2046" t="str">
        <f>IF(Sales_Deals!I2037&lt;&gt;"",IF(AND(Sales_Deals!I2037&gt;DATE(2024,9,30),Sales_Deals!I2037&lt;=DATE(2025,3,31)),Sales_Deals!J2037,""),"")</f>
        <v/>
      </c>
      <c r="C2046">
        <f>IF(Sales_Deals!I2037&lt;&gt;"",IF(AND(Sales_Deals!I2037&gt;DATE(2024,3,31),Sales_Deals!I2037&lt;=DATE(2024,9,30)),Sales_Deals!J2037,""),"")</f>
        <v>71</v>
      </c>
    </row>
    <row r="2047" spans="1:3" x14ac:dyDescent="0.35">
      <c r="A2047">
        <v>2037</v>
      </c>
      <c r="B2047" t="str">
        <f>IF(Sales_Deals!I2038&lt;&gt;"",IF(AND(Sales_Deals!I2038&gt;DATE(2024,9,30),Sales_Deals!I2038&lt;=DATE(2025,3,31)),Sales_Deals!J2038,""),"")</f>
        <v/>
      </c>
      <c r="C2047" t="str">
        <f>IF(Sales_Deals!I2038&lt;&gt;"",IF(AND(Sales_Deals!I2038&gt;DATE(2024,3,31),Sales_Deals!I2038&lt;=DATE(2024,9,30)),Sales_Deals!J2038,""),"")</f>
        <v/>
      </c>
    </row>
    <row r="2048" spans="1:3" x14ac:dyDescent="0.35">
      <c r="A2048">
        <v>2038</v>
      </c>
      <c r="B2048" t="str">
        <f>IF(Sales_Deals!I2039&lt;&gt;"",IF(AND(Sales_Deals!I2039&gt;DATE(2024,9,30),Sales_Deals!I2039&lt;=DATE(2025,3,31)),Sales_Deals!J2039,""),"")</f>
        <v/>
      </c>
      <c r="C2048" t="str">
        <f>IF(Sales_Deals!I2039&lt;&gt;"",IF(AND(Sales_Deals!I2039&gt;DATE(2024,3,31),Sales_Deals!I2039&lt;=DATE(2024,9,30)),Sales_Deals!J2039,""),"")</f>
        <v/>
      </c>
    </row>
    <row r="2049" spans="1:3" x14ac:dyDescent="0.35">
      <c r="A2049">
        <v>2039</v>
      </c>
      <c r="B2049" t="str">
        <f>IF(Sales_Deals!I2040&lt;&gt;"",IF(AND(Sales_Deals!I2040&gt;DATE(2024,9,30),Sales_Deals!I2040&lt;=DATE(2025,3,31)),Sales_Deals!J2040,""),"")</f>
        <v/>
      </c>
      <c r="C2049" t="str">
        <f>IF(Sales_Deals!I2040&lt;&gt;"",IF(AND(Sales_Deals!I2040&gt;DATE(2024,3,31),Sales_Deals!I2040&lt;=DATE(2024,9,30)),Sales_Deals!J2040,""),"")</f>
        <v/>
      </c>
    </row>
    <row r="2050" spans="1:3" x14ac:dyDescent="0.35">
      <c r="A2050">
        <v>2040</v>
      </c>
      <c r="B2050" t="str">
        <f>IF(Sales_Deals!I2041&lt;&gt;"",IF(AND(Sales_Deals!I2041&gt;DATE(2024,9,30),Sales_Deals!I2041&lt;=DATE(2025,3,31)),Sales_Deals!J2041,""),"")</f>
        <v/>
      </c>
      <c r="C2050" t="str">
        <f>IF(Sales_Deals!I2041&lt;&gt;"",IF(AND(Sales_Deals!I2041&gt;DATE(2024,3,31),Sales_Deals!I2041&lt;=DATE(2024,9,30)),Sales_Deals!J2041,""),"")</f>
        <v/>
      </c>
    </row>
    <row r="2051" spans="1:3" x14ac:dyDescent="0.35">
      <c r="A2051">
        <v>2041</v>
      </c>
      <c r="B2051" t="str">
        <f>IF(Sales_Deals!I2042&lt;&gt;"",IF(AND(Sales_Deals!I2042&gt;DATE(2024,9,30),Sales_Deals!I2042&lt;=DATE(2025,3,31)),Sales_Deals!J2042,""),"")</f>
        <v/>
      </c>
      <c r="C2051" t="str">
        <f>IF(Sales_Deals!I2042&lt;&gt;"",IF(AND(Sales_Deals!I2042&gt;DATE(2024,3,31),Sales_Deals!I2042&lt;=DATE(2024,9,30)),Sales_Deals!J2042,""),"")</f>
        <v/>
      </c>
    </row>
    <row r="2052" spans="1:3" x14ac:dyDescent="0.35">
      <c r="A2052">
        <v>2042</v>
      </c>
      <c r="B2052" t="str">
        <f>IF(Sales_Deals!I2043&lt;&gt;"",IF(AND(Sales_Deals!I2043&gt;DATE(2024,9,30),Sales_Deals!I2043&lt;=DATE(2025,3,31)),Sales_Deals!J2043,""),"")</f>
        <v/>
      </c>
      <c r="C2052" t="str">
        <f>IF(Sales_Deals!I2043&lt;&gt;"",IF(AND(Sales_Deals!I2043&gt;DATE(2024,3,31),Sales_Deals!I2043&lt;=DATE(2024,9,30)),Sales_Deals!J2043,""),"")</f>
        <v/>
      </c>
    </row>
    <row r="2053" spans="1:3" x14ac:dyDescent="0.35">
      <c r="A2053">
        <v>2043</v>
      </c>
      <c r="B2053" t="str">
        <f>IF(Sales_Deals!I2044&lt;&gt;"",IF(AND(Sales_Deals!I2044&gt;DATE(2024,9,30),Sales_Deals!I2044&lt;=DATE(2025,3,31)),Sales_Deals!J2044,""),"")</f>
        <v/>
      </c>
      <c r="C2053" t="str">
        <f>IF(Sales_Deals!I2044&lt;&gt;"",IF(AND(Sales_Deals!I2044&gt;DATE(2024,3,31),Sales_Deals!I2044&lt;=DATE(2024,9,30)),Sales_Deals!J2044,""),"")</f>
        <v/>
      </c>
    </row>
    <row r="2054" spans="1:3" x14ac:dyDescent="0.35">
      <c r="A2054">
        <v>2044</v>
      </c>
      <c r="B2054" t="str">
        <f>IF(Sales_Deals!I2045&lt;&gt;"",IF(AND(Sales_Deals!I2045&gt;DATE(2024,9,30),Sales_Deals!I2045&lt;=DATE(2025,3,31)),Sales_Deals!J2045,""),"")</f>
        <v/>
      </c>
      <c r="C2054" t="str">
        <f>IF(Sales_Deals!I2045&lt;&gt;"",IF(AND(Sales_Deals!I2045&gt;DATE(2024,3,31),Sales_Deals!I2045&lt;=DATE(2024,9,30)),Sales_Deals!J2045,""),"")</f>
        <v/>
      </c>
    </row>
    <row r="2055" spans="1:3" x14ac:dyDescent="0.35">
      <c r="A2055">
        <v>2045</v>
      </c>
      <c r="B2055" t="str">
        <f>IF(Sales_Deals!I2046&lt;&gt;"",IF(AND(Sales_Deals!I2046&gt;DATE(2024,9,30),Sales_Deals!I2046&lt;=DATE(2025,3,31)),Sales_Deals!J2046,""),"")</f>
        <v/>
      </c>
      <c r="C2055" t="str">
        <f>IF(Sales_Deals!I2046&lt;&gt;"",IF(AND(Sales_Deals!I2046&gt;DATE(2024,3,31),Sales_Deals!I2046&lt;=DATE(2024,9,30)),Sales_Deals!J2046,""),"")</f>
        <v/>
      </c>
    </row>
    <row r="2056" spans="1:3" x14ac:dyDescent="0.35">
      <c r="A2056">
        <v>2046</v>
      </c>
      <c r="B2056" t="str">
        <f>IF(Sales_Deals!I2047&lt;&gt;"",IF(AND(Sales_Deals!I2047&gt;DATE(2024,9,30),Sales_Deals!I2047&lt;=DATE(2025,3,31)),Sales_Deals!J2047,""),"")</f>
        <v/>
      </c>
      <c r="C2056" t="str">
        <f>IF(Sales_Deals!I2047&lt;&gt;"",IF(AND(Sales_Deals!I2047&gt;DATE(2024,3,31),Sales_Deals!I2047&lt;=DATE(2024,9,30)),Sales_Deals!J2047,""),"")</f>
        <v/>
      </c>
    </row>
    <row r="2057" spans="1:3" x14ac:dyDescent="0.35">
      <c r="A2057">
        <v>2047</v>
      </c>
      <c r="B2057" t="str">
        <f>IF(Sales_Deals!I2048&lt;&gt;"",IF(AND(Sales_Deals!I2048&gt;DATE(2024,9,30),Sales_Deals!I2048&lt;=DATE(2025,3,31)),Sales_Deals!J2048,""),"")</f>
        <v/>
      </c>
      <c r="C2057" t="str">
        <f>IF(Sales_Deals!I2048&lt;&gt;"",IF(AND(Sales_Deals!I2048&gt;DATE(2024,3,31),Sales_Deals!I2048&lt;=DATE(2024,9,30)),Sales_Deals!J2048,""),"")</f>
        <v/>
      </c>
    </row>
    <row r="2058" spans="1:3" x14ac:dyDescent="0.35">
      <c r="A2058">
        <v>2048</v>
      </c>
      <c r="B2058" t="str">
        <f>IF(Sales_Deals!I2049&lt;&gt;"",IF(AND(Sales_Deals!I2049&gt;DATE(2024,9,30),Sales_Deals!I2049&lt;=DATE(2025,3,31)),Sales_Deals!J2049,""),"")</f>
        <v/>
      </c>
      <c r="C2058" t="str">
        <f>IF(Sales_Deals!I2049&lt;&gt;"",IF(AND(Sales_Deals!I2049&gt;DATE(2024,3,31),Sales_Deals!I2049&lt;=DATE(2024,9,30)),Sales_Deals!J2049,""),"")</f>
        <v/>
      </c>
    </row>
    <row r="2059" spans="1:3" x14ac:dyDescent="0.35">
      <c r="A2059">
        <v>2049</v>
      </c>
      <c r="B2059" t="str">
        <f>IF(Sales_Deals!I2050&lt;&gt;"",IF(AND(Sales_Deals!I2050&gt;DATE(2024,9,30),Sales_Deals!I2050&lt;=DATE(2025,3,31)),Sales_Deals!J2050,""),"")</f>
        <v/>
      </c>
      <c r="C2059" t="str">
        <f>IF(Sales_Deals!I2050&lt;&gt;"",IF(AND(Sales_Deals!I2050&gt;DATE(2024,3,31),Sales_Deals!I2050&lt;=DATE(2024,9,30)),Sales_Deals!J2050,""),"")</f>
        <v/>
      </c>
    </row>
    <row r="2060" spans="1:3" x14ac:dyDescent="0.35">
      <c r="A2060">
        <v>2050</v>
      </c>
      <c r="B2060" t="str">
        <f>IF(Sales_Deals!I2051&lt;&gt;"",IF(AND(Sales_Deals!I2051&gt;DATE(2024,9,30),Sales_Deals!I2051&lt;=DATE(2025,3,31)),Sales_Deals!J2051,""),"")</f>
        <v/>
      </c>
      <c r="C2060">
        <f>IF(Sales_Deals!I2051&lt;&gt;"",IF(AND(Sales_Deals!I2051&gt;DATE(2024,3,31),Sales_Deals!I2051&lt;=DATE(2024,9,30)),Sales_Deals!J2051,""),"")</f>
        <v>156</v>
      </c>
    </row>
    <row r="2061" spans="1:3" x14ac:dyDescent="0.35">
      <c r="A2061">
        <v>2051</v>
      </c>
      <c r="B2061" t="str">
        <f>IF(Sales_Deals!I2052&lt;&gt;"",IF(AND(Sales_Deals!I2052&gt;DATE(2024,9,30),Sales_Deals!I2052&lt;=DATE(2025,3,31)),Sales_Deals!J2052,""),"")</f>
        <v/>
      </c>
      <c r="C2061" t="str">
        <f>IF(Sales_Deals!I2052&lt;&gt;"",IF(AND(Sales_Deals!I2052&gt;DATE(2024,3,31),Sales_Deals!I2052&lt;=DATE(2024,9,30)),Sales_Deals!J2052,""),"")</f>
        <v/>
      </c>
    </row>
    <row r="2062" spans="1:3" x14ac:dyDescent="0.35">
      <c r="A2062">
        <v>2052</v>
      </c>
      <c r="B2062" t="str">
        <f>IF(Sales_Deals!I2053&lt;&gt;"",IF(AND(Sales_Deals!I2053&gt;DATE(2024,9,30),Sales_Deals!I2053&lt;=DATE(2025,3,31)),Sales_Deals!J2053,""),"")</f>
        <v/>
      </c>
      <c r="C2062" t="str">
        <f>IF(Sales_Deals!I2053&lt;&gt;"",IF(AND(Sales_Deals!I2053&gt;DATE(2024,3,31),Sales_Deals!I2053&lt;=DATE(2024,9,30)),Sales_Deals!J2053,""),"")</f>
        <v/>
      </c>
    </row>
    <row r="2063" spans="1:3" x14ac:dyDescent="0.35">
      <c r="A2063">
        <v>2053</v>
      </c>
      <c r="B2063" t="str">
        <f>IF(Sales_Deals!I2054&lt;&gt;"",IF(AND(Sales_Deals!I2054&gt;DATE(2024,9,30),Sales_Deals!I2054&lt;=DATE(2025,3,31)),Sales_Deals!J2054,""),"")</f>
        <v/>
      </c>
      <c r="C2063" t="str">
        <f>IF(Sales_Deals!I2054&lt;&gt;"",IF(AND(Sales_Deals!I2054&gt;DATE(2024,3,31),Sales_Deals!I2054&lt;=DATE(2024,9,30)),Sales_Deals!J2054,""),"")</f>
        <v/>
      </c>
    </row>
    <row r="2064" spans="1:3" x14ac:dyDescent="0.35">
      <c r="A2064">
        <v>2054</v>
      </c>
      <c r="B2064" t="str">
        <f>IF(Sales_Deals!I2055&lt;&gt;"",IF(AND(Sales_Deals!I2055&gt;DATE(2024,9,30),Sales_Deals!I2055&lt;=DATE(2025,3,31)),Sales_Deals!J2055,""),"")</f>
        <v/>
      </c>
      <c r="C2064" t="str">
        <f>IF(Sales_Deals!I2055&lt;&gt;"",IF(AND(Sales_Deals!I2055&gt;DATE(2024,3,31),Sales_Deals!I2055&lt;=DATE(2024,9,30)),Sales_Deals!J2055,""),"")</f>
        <v/>
      </c>
    </row>
    <row r="2065" spans="1:3" x14ac:dyDescent="0.35">
      <c r="A2065">
        <v>2055</v>
      </c>
      <c r="B2065" t="str">
        <f>IF(Sales_Deals!I2056&lt;&gt;"",IF(AND(Sales_Deals!I2056&gt;DATE(2024,9,30),Sales_Deals!I2056&lt;=DATE(2025,3,31)),Sales_Deals!J2056,""),"")</f>
        <v/>
      </c>
      <c r="C2065" t="str">
        <f>IF(Sales_Deals!I2056&lt;&gt;"",IF(AND(Sales_Deals!I2056&gt;DATE(2024,3,31),Sales_Deals!I2056&lt;=DATE(2024,9,30)),Sales_Deals!J2056,""),"")</f>
        <v/>
      </c>
    </row>
    <row r="2066" spans="1:3" x14ac:dyDescent="0.35">
      <c r="A2066">
        <v>2056</v>
      </c>
      <c r="B2066" t="str">
        <f>IF(Sales_Deals!I2057&lt;&gt;"",IF(AND(Sales_Deals!I2057&gt;DATE(2024,9,30),Sales_Deals!I2057&lt;=DATE(2025,3,31)),Sales_Deals!J2057,""),"")</f>
        <v/>
      </c>
      <c r="C2066" t="str">
        <f>IF(Sales_Deals!I2057&lt;&gt;"",IF(AND(Sales_Deals!I2057&gt;DATE(2024,3,31),Sales_Deals!I2057&lt;=DATE(2024,9,30)),Sales_Deals!J2057,""),"")</f>
        <v/>
      </c>
    </row>
    <row r="2067" spans="1:3" x14ac:dyDescent="0.35">
      <c r="A2067">
        <v>2057</v>
      </c>
      <c r="B2067" t="str">
        <f>IF(Sales_Deals!I2058&lt;&gt;"",IF(AND(Sales_Deals!I2058&gt;DATE(2024,9,30),Sales_Deals!I2058&lt;=DATE(2025,3,31)),Sales_Deals!J2058,""),"")</f>
        <v/>
      </c>
      <c r="C2067" t="str">
        <f>IF(Sales_Deals!I2058&lt;&gt;"",IF(AND(Sales_Deals!I2058&gt;DATE(2024,3,31),Sales_Deals!I2058&lt;=DATE(2024,9,30)),Sales_Deals!J2058,""),"")</f>
        <v/>
      </c>
    </row>
    <row r="2068" spans="1:3" x14ac:dyDescent="0.35">
      <c r="A2068">
        <v>2058</v>
      </c>
      <c r="B2068" t="str">
        <f>IF(Sales_Deals!I2059&lt;&gt;"",IF(AND(Sales_Deals!I2059&gt;DATE(2024,9,30),Sales_Deals!I2059&lt;=DATE(2025,3,31)),Sales_Deals!J2059,""),"")</f>
        <v/>
      </c>
      <c r="C2068" t="str">
        <f>IF(Sales_Deals!I2059&lt;&gt;"",IF(AND(Sales_Deals!I2059&gt;DATE(2024,3,31),Sales_Deals!I2059&lt;=DATE(2024,9,30)),Sales_Deals!J2059,""),"")</f>
        <v/>
      </c>
    </row>
    <row r="2069" spans="1:3" x14ac:dyDescent="0.35">
      <c r="A2069">
        <v>2059</v>
      </c>
      <c r="B2069" t="str">
        <f>IF(Sales_Deals!I2060&lt;&gt;"",IF(AND(Sales_Deals!I2060&gt;DATE(2024,9,30),Sales_Deals!I2060&lt;=DATE(2025,3,31)),Sales_Deals!J2060,""),"")</f>
        <v/>
      </c>
      <c r="C2069">
        <f>IF(Sales_Deals!I2060&lt;&gt;"",IF(AND(Sales_Deals!I2060&gt;DATE(2024,3,31),Sales_Deals!I2060&lt;=DATE(2024,9,30)),Sales_Deals!J2060,""),"")</f>
        <v>38</v>
      </c>
    </row>
    <row r="2070" spans="1:3" x14ac:dyDescent="0.35">
      <c r="A2070">
        <v>2060</v>
      </c>
      <c r="B2070" t="str">
        <f>IF(Sales_Deals!I2061&lt;&gt;"",IF(AND(Sales_Deals!I2061&gt;DATE(2024,9,30),Sales_Deals!I2061&lt;=DATE(2025,3,31)),Sales_Deals!J2061,""),"")</f>
        <v/>
      </c>
      <c r="C2070" t="str">
        <f>IF(Sales_Deals!I2061&lt;&gt;"",IF(AND(Sales_Deals!I2061&gt;DATE(2024,3,31),Sales_Deals!I2061&lt;=DATE(2024,9,30)),Sales_Deals!J2061,""),"")</f>
        <v/>
      </c>
    </row>
    <row r="2071" spans="1:3" x14ac:dyDescent="0.35">
      <c r="A2071">
        <v>2061</v>
      </c>
      <c r="B2071">
        <f>IF(Sales_Deals!I2062&lt;&gt;"",IF(AND(Sales_Deals!I2062&gt;DATE(2024,9,30),Sales_Deals!I2062&lt;=DATE(2025,3,31)),Sales_Deals!J2062,""),"")</f>
        <v>119</v>
      </c>
      <c r="C2071" t="str">
        <f>IF(Sales_Deals!I2062&lt;&gt;"",IF(AND(Sales_Deals!I2062&gt;DATE(2024,3,31),Sales_Deals!I2062&lt;=DATE(2024,9,30)),Sales_Deals!J2062,""),"")</f>
        <v/>
      </c>
    </row>
    <row r="2072" spans="1:3" x14ac:dyDescent="0.35">
      <c r="A2072">
        <v>2062</v>
      </c>
      <c r="B2072" t="str">
        <f>IF(Sales_Deals!I2063&lt;&gt;"",IF(AND(Sales_Deals!I2063&gt;DATE(2024,9,30),Sales_Deals!I2063&lt;=DATE(2025,3,31)),Sales_Deals!J2063,""),"")</f>
        <v/>
      </c>
      <c r="C2072" t="str">
        <f>IF(Sales_Deals!I2063&lt;&gt;"",IF(AND(Sales_Deals!I2063&gt;DATE(2024,3,31),Sales_Deals!I2063&lt;=DATE(2024,9,30)),Sales_Deals!J2063,""),"")</f>
        <v/>
      </c>
    </row>
    <row r="2073" spans="1:3" x14ac:dyDescent="0.35">
      <c r="A2073">
        <v>2063</v>
      </c>
      <c r="B2073" t="str">
        <f>IF(Sales_Deals!I2064&lt;&gt;"",IF(AND(Sales_Deals!I2064&gt;DATE(2024,9,30),Sales_Deals!I2064&lt;=DATE(2025,3,31)),Sales_Deals!J2064,""),"")</f>
        <v/>
      </c>
      <c r="C2073" t="str">
        <f>IF(Sales_Deals!I2064&lt;&gt;"",IF(AND(Sales_Deals!I2064&gt;DATE(2024,3,31),Sales_Deals!I2064&lt;=DATE(2024,9,30)),Sales_Deals!J2064,""),"")</f>
        <v/>
      </c>
    </row>
    <row r="2074" spans="1:3" x14ac:dyDescent="0.35">
      <c r="A2074">
        <v>2064</v>
      </c>
      <c r="B2074">
        <f>IF(Sales_Deals!I2065&lt;&gt;"",IF(AND(Sales_Deals!I2065&gt;DATE(2024,9,30),Sales_Deals!I2065&lt;=DATE(2025,3,31)),Sales_Deals!J2065,""),"")</f>
        <v>137</v>
      </c>
      <c r="C2074" t="str">
        <f>IF(Sales_Deals!I2065&lt;&gt;"",IF(AND(Sales_Deals!I2065&gt;DATE(2024,3,31),Sales_Deals!I2065&lt;=DATE(2024,9,30)),Sales_Deals!J2065,""),"")</f>
        <v/>
      </c>
    </row>
    <row r="2075" spans="1:3" x14ac:dyDescent="0.35">
      <c r="A2075">
        <v>2065</v>
      </c>
      <c r="B2075" t="str">
        <f>IF(Sales_Deals!I2066&lt;&gt;"",IF(AND(Sales_Deals!I2066&gt;DATE(2024,9,30),Sales_Deals!I2066&lt;=DATE(2025,3,31)),Sales_Deals!J2066,""),"")</f>
        <v/>
      </c>
      <c r="C2075" t="str">
        <f>IF(Sales_Deals!I2066&lt;&gt;"",IF(AND(Sales_Deals!I2066&gt;DATE(2024,3,31),Sales_Deals!I2066&lt;=DATE(2024,9,30)),Sales_Deals!J2066,""),"")</f>
        <v/>
      </c>
    </row>
    <row r="2076" spans="1:3" x14ac:dyDescent="0.35">
      <c r="A2076">
        <v>2066</v>
      </c>
      <c r="B2076" t="str">
        <f>IF(Sales_Deals!I2067&lt;&gt;"",IF(AND(Sales_Deals!I2067&gt;DATE(2024,9,30),Sales_Deals!I2067&lt;=DATE(2025,3,31)),Sales_Deals!J2067,""),"")</f>
        <v/>
      </c>
      <c r="C2076" t="str">
        <f>IF(Sales_Deals!I2067&lt;&gt;"",IF(AND(Sales_Deals!I2067&gt;DATE(2024,3,31),Sales_Deals!I2067&lt;=DATE(2024,9,30)),Sales_Deals!J2067,""),"")</f>
        <v/>
      </c>
    </row>
    <row r="2077" spans="1:3" x14ac:dyDescent="0.35">
      <c r="A2077">
        <v>2067</v>
      </c>
      <c r="B2077" t="str">
        <f>IF(Sales_Deals!I2068&lt;&gt;"",IF(AND(Sales_Deals!I2068&gt;DATE(2024,9,30),Sales_Deals!I2068&lt;=DATE(2025,3,31)),Sales_Deals!J2068,""),"")</f>
        <v/>
      </c>
      <c r="C2077" t="str">
        <f>IF(Sales_Deals!I2068&lt;&gt;"",IF(AND(Sales_Deals!I2068&gt;DATE(2024,3,31),Sales_Deals!I2068&lt;=DATE(2024,9,30)),Sales_Deals!J2068,""),"")</f>
        <v/>
      </c>
    </row>
    <row r="2078" spans="1:3" x14ac:dyDescent="0.35">
      <c r="A2078">
        <v>2068</v>
      </c>
      <c r="B2078" t="str">
        <f>IF(Sales_Deals!I2069&lt;&gt;"",IF(AND(Sales_Deals!I2069&gt;DATE(2024,9,30),Sales_Deals!I2069&lt;=DATE(2025,3,31)),Sales_Deals!J2069,""),"")</f>
        <v/>
      </c>
      <c r="C2078" t="str">
        <f>IF(Sales_Deals!I2069&lt;&gt;"",IF(AND(Sales_Deals!I2069&gt;DATE(2024,3,31),Sales_Deals!I2069&lt;=DATE(2024,9,30)),Sales_Deals!J2069,""),"")</f>
        <v/>
      </c>
    </row>
    <row r="2079" spans="1:3" x14ac:dyDescent="0.35">
      <c r="A2079">
        <v>2069</v>
      </c>
      <c r="B2079" t="str">
        <f>IF(Sales_Deals!I2070&lt;&gt;"",IF(AND(Sales_Deals!I2070&gt;DATE(2024,9,30),Sales_Deals!I2070&lt;=DATE(2025,3,31)),Sales_Deals!J2070,""),"")</f>
        <v/>
      </c>
      <c r="C2079" t="str">
        <f>IF(Sales_Deals!I2070&lt;&gt;"",IF(AND(Sales_Deals!I2070&gt;DATE(2024,3,31),Sales_Deals!I2070&lt;=DATE(2024,9,30)),Sales_Deals!J2070,""),"")</f>
        <v/>
      </c>
    </row>
    <row r="2080" spans="1:3" x14ac:dyDescent="0.35">
      <c r="A2080">
        <v>2070</v>
      </c>
      <c r="B2080" t="str">
        <f>IF(Sales_Deals!I2071&lt;&gt;"",IF(AND(Sales_Deals!I2071&gt;DATE(2024,9,30),Sales_Deals!I2071&lt;=DATE(2025,3,31)),Sales_Deals!J2071,""),"")</f>
        <v/>
      </c>
      <c r="C2080" t="str">
        <f>IF(Sales_Deals!I2071&lt;&gt;"",IF(AND(Sales_Deals!I2071&gt;DATE(2024,3,31),Sales_Deals!I2071&lt;=DATE(2024,9,30)),Sales_Deals!J2071,""),"")</f>
        <v/>
      </c>
    </row>
    <row r="2081" spans="1:3" x14ac:dyDescent="0.35">
      <c r="A2081">
        <v>2071</v>
      </c>
      <c r="B2081">
        <f>IF(Sales_Deals!I2072&lt;&gt;"",IF(AND(Sales_Deals!I2072&gt;DATE(2024,9,30),Sales_Deals!I2072&lt;=DATE(2025,3,31)),Sales_Deals!J2072,""),"")</f>
        <v>37</v>
      </c>
      <c r="C2081" t="str">
        <f>IF(Sales_Deals!I2072&lt;&gt;"",IF(AND(Sales_Deals!I2072&gt;DATE(2024,3,31),Sales_Deals!I2072&lt;=DATE(2024,9,30)),Sales_Deals!J2072,""),"")</f>
        <v/>
      </c>
    </row>
    <row r="2082" spans="1:3" x14ac:dyDescent="0.35">
      <c r="A2082">
        <v>2072</v>
      </c>
      <c r="B2082" t="str">
        <f>IF(Sales_Deals!I2073&lt;&gt;"",IF(AND(Sales_Deals!I2073&gt;DATE(2024,9,30),Sales_Deals!I2073&lt;=DATE(2025,3,31)),Sales_Deals!J2073,""),"")</f>
        <v/>
      </c>
      <c r="C2082" t="str">
        <f>IF(Sales_Deals!I2073&lt;&gt;"",IF(AND(Sales_Deals!I2073&gt;DATE(2024,3,31),Sales_Deals!I2073&lt;=DATE(2024,9,30)),Sales_Deals!J2073,""),"")</f>
        <v/>
      </c>
    </row>
    <row r="2083" spans="1:3" x14ac:dyDescent="0.35">
      <c r="A2083">
        <v>2073</v>
      </c>
      <c r="B2083" t="str">
        <f>IF(Sales_Deals!I2074&lt;&gt;"",IF(AND(Sales_Deals!I2074&gt;DATE(2024,9,30),Sales_Deals!I2074&lt;=DATE(2025,3,31)),Sales_Deals!J2074,""),"")</f>
        <v/>
      </c>
      <c r="C2083" t="str">
        <f>IF(Sales_Deals!I2074&lt;&gt;"",IF(AND(Sales_Deals!I2074&gt;DATE(2024,3,31),Sales_Deals!I2074&lt;=DATE(2024,9,30)),Sales_Deals!J2074,""),"")</f>
        <v/>
      </c>
    </row>
    <row r="2084" spans="1:3" x14ac:dyDescent="0.35">
      <c r="A2084">
        <v>2074</v>
      </c>
      <c r="B2084" t="str">
        <f>IF(Sales_Deals!I2075&lt;&gt;"",IF(AND(Sales_Deals!I2075&gt;DATE(2024,9,30),Sales_Deals!I2075&lt;=DATE(2025,3,31)),Sales_Deals!J2075,""),"")</f>
        <v/>
      </c>
      <c r="C2084" t="str">
        <f>IF(Sales_Deals!I2075&lt;&gt;"",IF(AND(Sales_Deals!I2075&gt;DATE(2024,3,31),Sales_Deals!I2075&lt;=DATE(2024,9,30)),Sales_Deals!J2075,""),"")</f>
        <v/>
      </c>
    </row>
    <row r="2085" spans="1:3" x14ac:dyDescent="0.35">
      <c r="A2085">
        <v>2075</v>
      </c>
      <c r="B2085" t="str">
        <f>IF(Sales_Deals!I2076&lt;&gt;"",IF(AND(Sales_Deals!I2076&gt;DATE(2024,9,30),Sales_Deals!I2076&lt;=DATE(2025,3,31)),Sales_Deals!J2076,""),"")</f>
        <v/>
      </c>
      <c r="C2085" t="str">
        <f>IF(Sales_Deals!I2076&lt;&gt;"",IF(AND(Sales_Deals!I2076&gt;DATE(2024,3,31),Sales_Deals!I2076&lt;=DATE(2024,9,30)),Sales_Deals!J2076,""),"")</f>
        <v/>
      </c>
    </row>
    <row r="2086" spans="1:3" x14ac:dyDescent="0.35">
      <c r="A2086">
        <v>2076</v>
      </c>
      <c r="B2086" t="str">
        <f>IF(Sales_Deals!I2077&lt;&gt;"",IF(AND(Sales_Deals!I2077&gt;DATE(2024,9,30),Sales_Deals!I2077&lt;=DATE(2025,3,31)),Sales_Deals!J2077,""),"")</f>
        <v/>
      </c>
      <c r="C2086" t="str">
        <f>IF(Sales_Deals!I2077&lt;&gt;"",IF(AND(Sales_Deals!I2077&gt;DATE(2024,3,31),Sales_Deals!I2077&lt;=DATE(2024,9,30)),Sales_Deals!J2077,""),"")</f>
        <v/>
      </c>
    </row>
    <row r="2087" spans="1:3" x14ac:dyDescent="0.35">
      <c r="A2087">
        <v>2077</v>
      </c>
      <c r="B2087" t="str">
        <f>IF(Sales_Deals!I2078&lt;&gt;"",IF(AND(Sales_Deals!I2078&gt;DATE(2024,9,30),Sales_Deals!I2078&lt;=DATE(2025,3,31)),Sales_Deals!J2078,""),"")</f>
        <v/>
      </c>
      <c r="C2087" t="str">
        <f>IF(Sales_Deals!I2078&lt;&gt;"",IF(AND(Sales_Deals!I2078&gt;DATE(2024,3,31),Sales_Deals!I2078&lt;=DATE(2024,9,30)),Sales_Deals!J2078,""),"")</f>
        <v/>
      </c>
    </row>
    <row r="2088" spans="1:3" x14ac:dyDescent="0.35">
      <c r="A2088">
        <v>2078</v>
      </c>
      <c r="B2088" t="str">
        <f>IF(Sales_Deals!I2079&lt;&gt;"",IF(AND(Sales_Deals!I2079&gt;DATE(2024,9,30),Sales_Deals!I2079&lt;=DATE(2025,3,31)),Sales_Deals!J2079,""),"")</f>
        <v/>
      </c>
      <c r="C2088" t="str">
        <f>IF(Sales_Deals!I2079&lt;&gt;"",IF(AND(Sales_Deals!I2079&gt;DATE(2024,3,31),Sales_Deals!I2079&lt;=DATE(2024,9,30)),Sales_Deals!J2079,""),"")</f>
        <v/>
      </c>
    </row>
    <row r="2089" spans="1:3" x14ac:dyDescent="0.35">
      <c r="A2089">
        <v>2079</v>
      </c>
      <c r="B2089" t="str">
        <f>IF(Sales_Deals!I2080&lt;&gt;"",IF(AND(Sales_Deals!I2080&gt;DATE(2024,9,30),Sales_Deals!I2080&lt;=DATE(2025,3,31)),Sales_Deals!J2080,""),"")</f>
        <v/>
      </c>
      <c r="C2089" t="str">
        <f>IF(Sales_Deals!I2080&lt;&gt;"",IF(AND(Sales_Deals!I2080&gt;DATE(2024,3,31),Sales_Deals!I2080&lt;=DATE(2024,9,30)),Sales_Deals!J2080,""),"")</f>
        <v/>
      </c>
    </row>
    <row r="2090" spans="1:3" x14ac:dyDescent="0.35">
      <c r="A2090">
        <v>2080</v>
      </c>
      <c r="B2090">
        <f>IF(Sales_Deals!I2081&lt;&gt;"",IF(AND(Sales_Deals!I2081&gt;DATE(2024,9,30),Sales_Deals!I2081&lt;=DATE(2025,3,31)),Sales_Deals!J2081,""),"")</f>
        <v>82</v>
      </c>
      <c r="C2090" t="str">
        <f>IF(Sales_Deals!I2081&lt;&gt;"",IF(AND(Sales_Deals!I2081&gt;DATE(2024,3,31),Sales_Deals!I2081&lt;=DATE(2024,9,30)),Sales_Deals!J2081,""),"")</f>
        <v/>
      </c>
    </row>
    <row r="2091" spans="1:3" x14ac:dyDescent="0.35">
      <c r="A2091">
        <v>2081</v>
      </c>
      <c r="B2091" t="str">
        <f>IF(Sales_Deals!I2082&lt;&gt;"",IF(AND(Sales_Deals!I2082&gt;DATE(2024,9,30),Sales_Deals!I2082&lt;=DATE(2025,3,31)),Sales_Deals!J2082,""),"")</f>
        <v/>
      </c>
      <c r="C2091" t="str">
        <f>IF(Sales_Deals!I2082&lt;&gt;"",IF(AND(Sales_Deals!I2082&gt;DATE(2024,3,31),Sales_Deals!I2082&lt;=DATE(2024,9,30)),Sales_Deals!J2082,""),"")</f>
        <v/>
      </c>
    </row>
    <row r="2092" spans="1:3" x14ac:dyDescent="0.35">
      <c r="A2092">
        <v>2082</v>
      </c>
      <c r="B2092" t="str">
        <f>IF(Sales_Deals!I2083&lt;&gt;"",IF(AND(Sales_Deals!I2083&gt;DATE(2024,9,30),Sales_Deals!I2083&lt;=DATE(2025,3,31)),Sales_Deals!J2083,""),"")</f>
        <v/>
      </c>
      <c r="C2092" t="str">
        <f>IF(Sales_Deals!I2083&lt;&gt;"",IF(AND(Sales_Deals!I2083&gt;DATE(2024,3,31),Sales_Deals!I2083&lt;=DATE(2024,9,30)),Sales_Deals!J2083,""),"")</f>
        <v/>
      </c>
    </row>
    <row r="2093" spans="1:3" x14ac:dyDescent="0.35">
      <c r="A2093">
        <v>2083</v>
      </c>
      <c r="B2093" t="str">
        <f>IF(Sales_Deals!I2084&lt;&gt;"",IF(AND(Sales_Deals!I2084&gt;DATE(2024,9,30),Sales_Deals!I2084&lt;=DATE(2025,3,31)),Sales_Deals!J2084,""),"")</f>
        <v/>
      </c>
      <c r="C2093" t="str">
        <f>IF(Sales_Deals!I2084&lt;&gt;"",IF(AND(Sales_Deals!I2084&gt;DATE(2024,3,31),Sales_Deals!I2084&lt;=DATE(2024,9,30)),Sales_Deals!J2084,""),"")</f>
        <v/>
      </c>
    </row>
    <row r="2094" spans="1:3" x14ac:dyDescent="0.35">
      <c r="A2094">
        <v>2084</v>
      </c>
      <c r="B2094" t="str">
        <f>IF(Sales_Deals!I2085&lt;&gt;"",IF(AND(Sales_Deals!I2085&gt;DATE(2024,9,30),Sales_Deals!I2085&lt;=DATE(2025,3,31)),Sales_Deals!J2085,""),"")</f>
        <v/>
      </c>
      <c r="C2094">
        <f>IF(Sales_Deals!I2085&lt;&gt;"",IF(AND(Sales_Deals!I2085&gt;DATE(2024,3,31),Sales_Deals!I2085&lt;=DATE(2024,9,30)),Sales_Deals!J2085,""),"")</f>
        <v>35</v>
      </c>
    </row>
    <row r="2095" spans="1:3" x14ac:dyDescent="0.35">
      <c r="A2095">
        <v>2085</v>
      </c>
      <c r="B2095" t="str">
        <f>IF(Sales_Deals!I2086&lt;&gt;"",IF(AND(Sales_Deals!I2086&gt;DATE(2024,9,30),Sales_Deals!I2086&lt;=DATE(2025,3,31)),Sales_Deals!J2086,""),"")</f>
        <v/>
      </c>
      <c r="C2095" t="str">
        <f>IF(Sales_Deals!I2086&lt;&gt;"",IF(AND(Sales_Deals!I2086&gt;DATE(2024,3,31),Sales_Deals!I2086&lt;=DATE(2024,9,30)),Sales_Deals!J2086,""),"")</f>
        <v/>
      </c>
    </row>
    <row r="2096" spans="1:3" x14ac:dyDescent="0.35">
      <c r="A2096">
        <v>2086</v>
      </c>
      <c r="B2096" t="str">
        <f>IF(Sales_Deals!I2087&lt;&gt;"",IF(AND(Sales_Deals!I2087&gt;DATE(2024,9,30),Sales_Deals!I2087&lt;=DATE(2025,3,31)),Sales_Deals!J2087,""),"")</f>
        <v/>
      </c>
      <c r="C2096">
        <f>IF(Sales_Deals!I2087&lt;&gt;"",IF(AND(Sales_Deals!I2087&gt;DATE(2024,3,31),Sales_Deals!I2087&lt;=DATE(2024,9,30)),Sales_Deals!J2087,""),"")</f>
        <v>165</v>
      </c>
    </row>
    <row r="2097" spans="1:3" x14ac:dyDescent="0.35">
      <c r="A2097">
        <v>2087</v>
      </c>
      <c r="B2097" t="str">
        <f>IF(Sales_Deals!I2088&lt;&gt;"",IF(AND(Sales_Deals!I2088&gt;DATE(2024,9,30),Sales_Deals!I2088&lt;=DATE(2025,3,31)),Sales_Deals!J2088,""),"")</f>
        <v/>
      </c>
      <c r="C2097" t="str">
        <f>IF(Sales_Deals!I2088&lt;&gt;"",IF(AND(Sales_Deals!I2088&gt;DATE(2024,3,31),Sales_Deals!I2088&lt;=DATE(2024,9,30)),Sales_Deals!J2088,""),"")</f>
        <v/>
      </c>
    </row>
    <row r="2098" spans="1:3" x14ac:dyDescent="0.35">
      <c r="A2098">
        <v>2088</v>
      </c>
      <c r="B2098" t="str">
        <f>IF(Sales_Deals!I2089&lt;&gt;"",IF(AND(Sales_Deals!I2089&gt;DATE(2024,9,30),Sales_Deals!I2089&lt;=DATE(2025,3,31)),Sales_Deals!J2089,""),"")</f>
        <v/>
      </c>
      <c r="C2098" t="str">
        <f>IF(Sales_Deals!I2089&lt;&gt;"",IF(AND(Sales_Deals!I2089&gt;DATE(2024,3,31),Sales_Deals!I2089&lt;=DATE(2024,9,30)),Sales_Deals!J2089,""),"")</f>
        <v/>
      </c>
    </row>
    <row r="2099" spans="1:3" x14ac:dyDescent="0.35">
      <c r="A2099">
        <v>2089</v>
      </c>
      <c r="B2099" t="str">
        <f>IF(Sales_Deals!I2090&lt;&gt;"",IF(AND(Sales_Deals!I2090&gt;DATE(2024,9,30),Sales_Deals!I2090&lt;=DATE(2025,3,31)),Sales_Deals!J2090,""),"")</f>
        <v/>
      </c>
      <c r="C2099" t="str">
        <f>IF(Sales_Deals!I2090&lt;&gt;"",IF(AND(Sales_Deals!I2090&gt;DATE(2024,3,31),Sales_Deals!I2090&lt;=DATE(2024,9,30)),Sales_Deals!J2090,""),"")</f>
        <v/>
      </c>
    </row>
    <row r="2100" spans="1:3" x14ac:dyDescent="0.35">
      <c r="A2100">
        <v>2090</v>
      </c>
      <c r="B2100" t="str">
        <f>IF(Sales_Deals!I2091&lt;&gt;"",IF(AND(Sales_Deals!I2091&gt;DATE(2024,9,30),Sales_Deals!I2091&lt;=DATE(2025,3,31)),Sales_Deals!J2091,""),"")</f>
        <v/>
      </c>
      <c r="C2100" t="str">
        <f>IF(Sales_Deals!I2091&lt;&gt;"",IF(AND(Sales_Deals!I2091&gt;DATE(2024,3,31),Sales_Deals!I2091&lt;=DATE(2024,9,30)),Sales_Deals!J2091,""),"")</f>
        <v/>
      </c>
    </row>
    <row r="2101" spans="1:3" x14ac:dyDescent="0.35">
      <c r="A2101">
        <v>2091</v>
      </c>
      <c r="B2101" t="str">
        <f>IF(Sales_Deals!I2092&lt;&gt;"",IF(AND(Sales_Deals!I2092&gt;DATE(2024,9,30),Sales_Deals!I2092&lt;=DATE(2025,3,31)),Sales_Deals!J2092,""),"")</f>
        <v/>
      </c>
      <c r="C2101" t="str">
        <f>IF(Sales_Deals!I2092&lt;&gt;"",IF(AND(Sales_Deals!I2092&gt;DATE(2024,3,31),Sales_Deals!I2092&lt;=DATE(2024,9,30)),Sales_Deals!J2092,""),"")</f>
        <v/>
      </c>
    </row>
    <row r="2102" spans="1:3" x14ac:dyDescent="0.35">
      <c r="A2102">
        <v>2092</v>
      </c>
      <c r="B2102" t="str">
        <f>IF(Sales_Deals!I2093&lt;&gt;"",IF(AND(Sales_Deals!I2093&gt;DATE(2024,9,30),Sales_Deals!I2093&lt;=DATE(2025,3,31)),Sales_Deals!J2093,""),"")</f>
        <v/>
      </c>
      <c r="C2102" t="str">
        <f>IF(Sales_Deals!I2093&lt;&gt;"",IF(AND(Sales_Deals!I2093&gt;DATE(2024,3,31),Sales_Deals!I2093&lt;=DATE(2024,9,30)),Sales_Deals!J2093,""),"")</f>
        <v/>
      </c>
    </row>
    <row r="2103" spans="1:3" x14ac:dyDescent="0.35">
      <c r="A2103">
        <v>2093</v>
      </c>
      <c r="B2103" t="str">
        <f>IF(Sales_Deals!I2094&lt;&gt;"",IF(AND(Sales_Deals!I2094&gt;DATE(2024,9,30),Sales_Deals!I2094&lt;=DATE(2025,3,31)),Sales_Deals!J2094,""),"")</f>
        <v/>
      </c>
      <c r="C2103" t="str">
        <f>IF(Sales_Deals!I2094&lt;&gt;"",IF(AND(Sales_Deals!I2094&gt;DATE(2024,3,31),Sales_Deals!I2094&lt;=DATE(2024,9,30)),Sales_Deals!J2094,""),"")</f>
        <v/>
      </c>
    </row>
    <row r="2104" spans="1:3" x14ac:dyDescent="0.35">
      <c r="A2104">
        <v>2094</v>
      </c>
      <c r="B2104" t="str">
        <f>IF(Sales_Deals!I2095&lt;&gt;"",IF(AND(Sales_Deals!I2095&gt;DATE(2024,9,30),Sales_Deals!I2095&lt;=DATE(2025,3,31)),Sales_Deals!J2095,""),"")</f>
        <v/>
      </c>
      <c r="C2104" t="str">
        <f>IF(Sales_Deals!I2095&lt;&gt;"",IF(AND(Sales_Deals!I2095&gt;DATE(2024,3,31),Sales_Deals!I2095&lt;=DATE(2024,9,30)),Sales_Deals!J2095,""),"")</f>
        <v/>
      </c>
    </row>
    <row r="2105" spans="1:3" x14ac:dyDescent="0.35">
      <c r="A2105">
        <v>2095</v>
      </c>
      <c r="B2105" t="str">
        <f>IF(Sales_Deals!I2096&lt;&gt;"",IF(AND(Sales_Deals!I2096&gt;DATE(2024,9,30),Sales_Deals!I2096&lt;=DATE(2025,3,31)),Sales_Deals!J2096,""),"")</f>
        <v/>
      </c>
      <c r="C2105" t="str">
        <f>IF(Sales_Deals!I2096&lt;&gt;"",IF(AND(Sales_Deals!I2096&gt;DATE(2024,3,31),Sales_Deals!I2096&lt;=DATE(2024,9,30)),Sales_Deals!J2096,""),"")</f>
        <v/>
      </c>
    </row>
    <row r="2106" spans="1:3" x14ac:dyDescent="0.35">
      <c r="A2106">
        <v>2096</v>
      </c>
      <c r="B2106" t="str">
        <f>IF(Sales_Deals!I2097&lt;&gt;"",IF(AND(Sales_Deals!I2097&gt;DATE(2024,9,30),Sales_Deals!I2097&lt;=DATE(2025,3,31)),Sales_Deals!J2097,""),"")</f>
        <v/>
      </c>
      <c r="C2106" t="str">
        <f>IF(Sales_Deals!I2097&lt;&gt;"",IF(AND(Sales_Deals!I2097&gt;DATE(2024,3,31),Sales_Deals!I2097&lt;=DATE(2024,9,30)),Sales_Deals!J2097,""),"")</f>
        <v/>
      </c>
    </row>
    <row r="2107" spans="1:3" x14ac:dyDescent="0.35">
      <c r="A2107">
        <v>2097</v>
      </c>
      <c r="B2107" t="str">
        <f>IF(Sales_Deals!I2098&lt;&gt;"",IF(AND(Sales_Deals!I2098&gt;DATE(2024,9,30),Sales_Deals!I2098&lt;=DATE(2025,3,31)),Sales_Deals!J2098,""),"")</f>
        <v/>
      </c>
      <c r="C2107" t="str">
        <f>IF(Sales_Deals!I2098&lt;&gt;"",IF(AND(Sales_Deals!I2098&gt;DATE(2024,3,31),Sales_Deals!I2098&lt;=DATE(2024,9,30)),Sales_Deals!J2098,""),"")</f>
        <v/>
      </c>
    </row>
    <row r="2108" spans="1:3" x14ac:dyDescent="0.35">
      <c r="A2108">
        <v>2098</v>
      </c>
      <c r="B2108" t="str">
        <f>IF(Sales_Deals!I2099&lt;&gt;"",IF(AND(Sales_Deals!I2099&gt;DATE(2024,9,30),Sales_Deals!I2099&lt;=DATE(2025,3,31)),Sales_Deals!J2099,""),"")</f>
        <v/>
      </c>
      <c r="C2108" t="str">
        <f>IF(Sales_Deals!I2099&lt;&gt;"",IF(AND(Sales_Deals!I2099&gt;DATE(2024,3,31),Sales_Deals!I2099&lt;=DATE(2024,9,30)),Sales_Deals!J2099,""),"")</f>
        <v/>
      </c>
    </row>
    <row r="2109" spans="1:3" x14ac:dyDescent="0.35">
      <c r="A2109">
        <v>2099</v>
      </c>
      <c r="B2109" t="str">
        <f>IF(Sales_Deals!I2100&lt;&gt;"",IF(AND(Sales_Deals!I2100&gt;DATE(2024,9,30),Sales_Deals!I2100&lt;=DATE(2025,3,31)),Sales_Deals!J2100,""),"")</f>
        <v/>
      </c>
      <c r="C2109" t="str">
        <f>IF(Sales_Deals!I2100&lt;&gt;"",IF(AND(Sales_Deals!I2100&gt;DATE(2024,3,31),Sales_Deals!I2100&lt;=DATE(2024,9,30)),Sales_Deals!J2100,""),"")</f>
        <v/>
      </c>
    </row>
    <row r="2110" spans="1:3" x14ac:dyDescent="0.35">
      <c r="A2110">
        <v>2100</v>
      </c>
      <c r="B2110" t="str">
        <f>IF(Sales_Deals!I2101&lt;&gt;"",IF(AND(Sales_Deals!I2101&gt;DATE(2024,9,30),Sales_Deals!I2101&lt;=DATE(2025,3,31)),Sales_Deals!J2101,""),"")</f>
        <v/>
      </c>
      <c r="C2110" t="str">
        <f>IF(Sales_Deals!I2101&lt;&gt;"",IF(AND(Sales_Deals!I2101&gt;DATE(2024,3,31),Sales_Deals!I2101&lt;=DATE(2024,9,30)),Sales_Deals!J2101,""),"")</f>
        <v/>
      </c>
    </row>
    <row r="2111" spans="1:3" x14ac:dyDescent="0.35">
      <c r="A2111">
        <v>2101</v>
      </c>
      <c r="B2111" t="str">
        <f>IF(Sales_Deals!I2102&lt;&gt;"",IF(AND(Sales_Deals!I2102&gt;DATE(2024,9,30),Sales_Deals!I2102&lt;=DATE(2025,3,31)),Sales_Deals!J2102,""),"")</f>
        <v/>
      </c>
      <c r="C2111" t="str">
        <f>IF(Sales_Deals!I2102&lt;&gt;"",IF(AND(Sales_Deals!I2102&gt;DATE(2024,3,31),Sales_Deals!I2102&lt;=DATE(2024,9,30)),Sales_Deals!J2102,""),"")</f>
        <v/>
      </c>
    </row>
    <row r="2112" spans="1:3" x14ac:dyDescent="0.35">
      <c r="A2112">
        <v>2102</v>
      </c>
      <c r="B2112" t="str">
        <f>IF(Sales_Deals!I2103&lt;&gt;"",IF(AND(Sales_Deals!I2103&gt;DATE(2024,9,30),Sales_Deals!I2103&lt;=DATE(2025,3,31)),Sales_Deals!J2103,""),"")</f>
        <v/>
      </c>
      <c r="C2112" t="str">
        <f>IF(Sales_Deals!I2103&lt;&gt;"",IF(AND(Sales_Deals!I2103&gt;DATE(2024,3,31),Sales_Deals!I2103&lt;=DATE(2024,9,30)),Sales_Deals!J2103,""),"")</f>
        <v/>
      </c>
    </row>
    <row r="2113" spans="1:3" x14ac:dyDescent="0.35">
      <c r="A2113">
        <v>2103</v>
      </c>
      <c r="B2113" t="str">
        <f>IF(Sales_Deals!I2104&lt;&gt;"",IF(AND(Sales_Deals!I2104&gt;DATE(2024,9,30),Sales_Deals!I2104&lt;=DATE(2025,3,31)),Sales_Deals!J2104,""),"")</f>
        <v/>
      </c>
      <c r="C2113" t="str">
        <f>IF(Sales_Deals!I2104&lt;&gt;"",IF(AND(Sales_Deals!I2104&gt;DATE(2024,3,31),Sales_Deals!I2104&lt;=DATE(2024,9,30)),Sales_Deals!J2104,""),"")</f>
        <v/>
      </c>
    </row>
    <row r="2114" spans="1:3" x14ac:dyDescent="0.35">
      <c r="A2114">
        <v>2104</v>
      </c>
      <c r="B2114">
        <f>IF(Sales_Deals!I2105&lt;&gt;"",IF(AND(Sales_Deals!I2105&gt;DATE(2024,9,30),Sales_Deals!I2105&lt;=DATE(2025,3,31)),Sales_Deals!J2105,""),"")</f>
        <v>90</v>
      </c>
      <c r="C2114" t="str">
        <f>IF(Sales_Deals!I2105&lt;&gt;"",IF(AND(Sales_Deals!I2105&gt;DATE(2024,3,31),Sales_Deals!I2105&lt;=DATE(2024,9,30)),Sales_Deals!J2105,""),"")</f>
        <v/>
      </c>
    </row>
    <row r="2115" spans="1:3" x14ac:dyDescent="0.35">
      <c r="A2115">
        <v>2105</v>
      </c>
      <c r="B2115" t="str">
        <f>IF(Sales_Deals!I2106&lt;&gt;"",IF(AND(Sales_Deals!I2106&gt;DATE(2024,9,30),Sales_Deals!I2106&lt;=DATE(2025,3,31)),Sales_Deals!J2106,""),"")</f>
        <v/>
      </c>
      <c r="C2115" t="str">
        <f>IF(Sales_Deals!I2106&lt;&gt;"",IF(AND(Sales_Deals!I2106&gt;DATE(2024,3,31),Sales_Deals!I2106&lt;=DATE(2024,9,30)),Sales_Deals!J2106,""),"")</f>
        <v/>
      </c>
    </row>
    <row r="2116" spans="1:3" x14ac:dyDescent="0.35">
      <c r="A2116">
        <v>2106</v>
      </c>
      <c r="B2116" t="str">
        <f>IF(Sales_Deals!I2107&lt;&gt;"",IF(AND(Sales_Deals!I2107&gt;DATE(2024,9,30),Sales_Deals!I2107&lt;=DATE(2025,3,31)),Sales_Deals!J2107,""),"")</f>
        <v/>
      </c>
      <c r="C2116" t="str">
        <f>IF(Sales_Deals!I2107&lt;&gt;"",IF(AND(Sales_Deals!I2107&gt;DATE(2024,3,31),Sales_Deals!I2107&lt;=DATE(2024,9,30)),Sales_Deals!J2107,""),"")</f>
        <v/>
      </c>
    </row>
    <row r="2117" spans="1:3" x14ac:dyDescent="0.35">
      <c r="A2117">
        <v>2107</v>
      </c>
      <c r="B2117">
        <f>IF(Sales_Deals!I2108&lt;&gt;"",IF(AND(Sales_Deals!I2108&gt;DATE(2024,9,30),Sales_Deals!I2108&lt;=DATE(2025,3,31)),Sales_Deals!J2108,""),"")</f>
        <v>52</v>
      </c>
      <c r="C2117" t="str">
        <f>IF(Sales_Deals!I2108&lt;&gt;"",IF(AND(Sales_Deals!I2108&gt;DATE(2024,3,31),Sales_Deals!I2108&lt;=DATE(2024,9,30)),Sales_Deals!J2108,""),"")</f>
        <v/>
      </c>
    </row>
    <row r="2118" spans="1:3" x14ac:dyDescent="0.35">
      <c r="A2118">
        <v>2108</v>
      </c>
      <c r="B2118" t="str">
        <f>IF(Sales_Deals!I2109&lt;&gt;"",IF(AND(Sales_Deals!I2109&gt;DATE(2024,9,30),Sales_Deals!I2109&lt;=DATE(2025,3,31)),Sales_Deals!J2109,""),"")</f>
        <v/>
      </c>
      <c r="C2118" t="str">
        <f>IF(Sales_Deals!I2109&lt;&gt;"",IF(AND(Sales_Deals!I2109&gt;DATE(2024,3,31),Sales_Deals!I2109&lt;=DATE(2024,9,30)),Sales_Deals!J2109,""),"")</f>
        <v/>
      </c>
    </row>
    <row r="2119" spans="1:3" x14ac:dyDescent="0.35">
      <c r="A2119">
        <v>2109</v>
      </c>
      <c r="B2119" t="str">
        <f>IF(Sales_Deals!I2110&lt;&gt;"",IF(AND(Sales_Deals!I2110&gt;DATE(2024,9,30),Sales_Deals!I2110&lt;=DATE(2025,3,31)),Sales_Deals!J2110,""),"")</f>
        <v/>
      </c>
      <c r="C2119" t="str">
        <f>IF(Sales_Deals!I2110&lt;&gt;"",IF(AND(Sales_Deals!I2110&gt;DATE(2024,3,31),Sales_Deals!I2110&lt;=DATE(2024,9,30)),Sales_Deals!J2110,""),"")</f>
        <v/>
      </c>
    </row>
    <row r="2120" spans="1:3" x14ac:dyDescent="0.35">
      <c r="A2120">
        <v>2110</v>
      </c>
      <c r="B2120" t="str">
        <f>IF(Sales_Deals!I2111&lt;&gt;"",IF(AND(Sales_Deals!I2111&gt;DATE(2024,9,30),Sales_Deals!I2111&lt;=DATE(2025,3,31)),Sales_Deals!J2111,""),"")</f>
        <v/>
      </c>
      <c r="C2120" t="str">
        <f>IF(Sales_Deals!I2111&lt;&gt;"",IF(AND(Sales_Deals!I2111&gt;DATE(2024,3,31),Sales_Deals!I2111&lt;=DATE(2024,9,30)),Sales_Deals!J2111,""),"")</f>
        <v/>
      </c>
    </row>
    <row r="2121" spans="1:3" x14ac:dyDescent="0.35">
      <c r="A2121">
        <v>2111</v>
      </c>
      <c r="B2121" t="str">
        <f>IF(Sales_Deals!I2112&lt;&gt;"",IF(AND(Sales_Deals!I2112&gt;DATE(2024,9,30),Sales_Deals!I2112&lt;=DATE(2025,3,31)),Sales_Deals!J2112,""),"")</f>
        <v/>
      </c>
      <c r="C2121">
        <f>IF(Sales_Deals!I2112&lt;&gt;"",IF(AND(Sales_Deals!I2112&gt;DATE(2024,3,31),Sales_Deals!I2112&lt;=DATE(2024,9,30)),Sales_Deals!J2112,""),"")</f>
        <v>90</v>
      </c>
    </row>
    <row r="2122" spans="1:3" x14ac:dyDescent="0.35">
      <c r="A2122">
        <v>2112</v>
      </c>
      <c r="B2122" t="str">
        <f>IF(Sales_Deals!I2113&lt;&gt;"",IF(AND(Sales_Deals!I2113&gt;DATE(2024,9,30),Sales_Deals!I2113&lt;=DATE(2025,3,31)),Sales_Deals!J2113,""),"")</f>
        <v/>
      </c>
      <c r="C2122" t="str">
        <f>IF(Sales_Deals!I2113&lt;&gt;"",IF(AND(Sales_Deals!I2113&gt;DATE(2024,3,31),Sales_Deals!I2113&lt;=DATE(2024,9,30)),Sales_Deals!J2113,""),"")</f>
        <v/>
      </c>
    </row>
    <row r="2123" spans="1:3" x14ac:dyDescent="0.35">
      <c r="A2123">
        <v>2113</v>
      </c>
      <c r="B2123" t="str">
        <f>IF(Sales_Deals!I2114&lt;&gt;"",IF(AND(Sales_Deals!I2114&gt;DATE(2024,9,30),Sales_Deals!I2114&lt;=DATE(2025,3,31)),Sales_Deals!J2114,""),"")</f>
        <v/>
      </c>
      <c r="C2123">
        <f>IF(Sales_Deals!I2114&lt;&gt;"",IF(AND(Sales_Deals!I2114&gt;DATE(2024,3,31),Sales_Deals!I2114&lt;=DATE(2024,9,30)),Sales_Deals!J2114,""),"")</f>
        <v>164</v>
      </c>
    </row>
    <row r="2124" spans="1:3" x14ac:dyDescent="0.35">
      <c r="A2124">
        <v>2114</v>
      </c>
      <c r="B2124" t="str">
        <f>IF(Sales_Deals!I2115&lt;&gt;"",IF(AND(Sales_Deals!I2115&gt;DATE(2024,9,30),Sales_Deals!I2115&lt;=DATE(2025,3,31)),Sales_Deals!J2115,""),"")</f>
        <v/>
      </c>
      <c r="C2124" t="str">
        <f>IF(Sales_Deals!I2115&lt;&gt;"",IF(AND(Sales_Deals!I2115&gt;DATE(2024,3,31),Sales_Deals!I2115&lt;=DATE(2024,9,30)),Sales_Deals!J2115,""),"")</f>
        <v/>
      </c>
    </row>
    <row r="2125" spans="1:3" x14ac:dyDescent="0.35">
      <c r="A2125">
        <v>2115</v>
      </c>
      <c r="B2125" t="str">
        <f>IF(Sales_Deals!I2116&lt;&gt;"",IF(AND(Sales_Deals!I2116&gt;DATE(2024,9,30),Sales_Deals!I2116&lt;=DATE(2025,3,31)),Sales_Deals!J2116,""),"")</f>
        <v/>
      </c>
      <c r="C2125" t="str">
        <f>IF(Sales_Deals!I2116&lt;&gt;"",IF(AND(Sales_Deals!I2116&gt;DATE(2024,3,31),Sales_Deals!I2116&lt;=DATE(2024,9,30)),Sales_Deals!J2116,""),"")</f>
        <v/>
      </c>
    </row>
    <row r="2126" spans="1:3" x14ac:dyDescent="0.35">
      <c r="A2126">
        <v>2116</v>
      </c>
      <c r="B2126" t="str">
        <f>IF(Sales_Deals!I2117&lt;&gt;"",IF(AND(Sales_Deals!I2117&gt;DATE(2024,9,30),Sales_Deals!I2117&lt;=DATE(2025,3,31)),Sales_Deals!J2117,""),"")</f>
        <v/>
      </c>
      <c r="C2126" t="str">
        <f>IF(Sales_Deals!I2117&lt;&gt;"",IF(AND(Sales_Deals!I2117&gt;DATE(2024,3,31),Sales_Deals!I2117&lt;=DATE(2024,9,30)),Sales_Deals!J2117,""),"")</f>
        <v/>
      </c>
    </row>
    <row r="2127" spans="1:3" x14ac:dyDescent="0.35">
      <c r="A2127">
        <v>2117</v>
      </c>
      <c r="B2127" t="str">
        <f>IF(Sales_Deals!I2118&lt;&gt;"",IF(AND(Sales_Deals!I2118&gt;DATE(2024,9,30),Sales_Deals!I2118&lt;=DATE(2025,3,31)),Sales_Deals!J2118,""),"")</f>
        <v/>
      </c>
      <c r="C2127" t="str">
        <f>IF(Sales_Deals!I2118&lt;&gt;"",IF(AND(Sales_Deals!I2118&gt;DATE(2024,3,31),Sales_Deals!I2118&lt;=DATE(2024,9,30)),Sales_Deals!J2118,""),"")</f>
        <v/>
      </c>
    </row>
    <row r="2128" spans="1:3" x14ac:dyDescent="0.35">
      <c r="A2128">
        <v>2118</v>
      </c>
      <c r="B2128" t="str">
        <f>IF(Sales_Deals!I2119&lt;&gt;"",IF(AND(Sales_Deals!I2119&gt;DATE(2024,9,30),Sales_Deals!I2119&lt;=DATE(2025,3,31)),Sales_Deals!J2119,""),"")</f>
        <v/>
      </c>
      <c r="C2128" t="str">
        <f>IF(Sales_Deals!I2119&lt;&gt;"",IF(AND(Sales_Deals!I2119&gt;DATE(2024,3,31),Sales_Deals!I2119&lt;=DATE(2024,9,30)),Sales_Deals!J2119,""),"")</f>
        <v/>
      </c>
    </row>
    <row r="2129" spans="1:3" x14ac:dyDescent="0.35">
      <c r="A2129">
        <v>2119</v>
      </c>
      <c r="B2129" t="str">
        <f>IF(Sales_Deals!I2120&lt;&gt;"",IF(AND(Sales_Deals!I2120&gt;DATE(2024,9,30),Sales_Deals!I2120&lt;=DATE(2025,3,31)),Sales_Deals!J2120,""),"")</f>
        <v/>
      </c>
      <c r="C2129" t="str">
        <f>IF(Sales_Deals!I2120&lt;&gt;"",IF(AND(Sales_Deals!I2120&gt;DATE(2024,3,31),Sales_Deals!I2120&lt;=DATE(2024,9,30)),Sales_Deals!J2120,""),"")</f>
        <v/>
      </c>
    </row>
    <row r="2130" spans="1:3" x14ac:dyDescent="0.35">
      <c r="A2130">
        <v>2120</v>
      </c>
      <c r="B2130" t="str">
        <f>IF(Sales_Deals!I2121&lt;&gt;"",IF(AND(Sales_Deals!I2121&gt;DATE(2024,9,30),Sales_Deals!I2121&lt;=DATE(2025,3,31)),Sales_Deals!J2121,""),"")</f>
        <v/>
      </c>
      <c r="C2130" t="str">
        <f>IF(Sales_Deals!I2121&lt;&gt;"",IF(AND(Sales_Deals!I2121&gt;DATE(2024,3,31),Sales_Deals!I2121&lt;=DATE(2024,9,30)),Sales_Deals!J2121,""),"")</f>
        <v/>
      </c>
    </row>
    <row r="2131" spans="1:3" x14ac:dyDescent="0.35">
      <c r="A2131">
        <v>2121</v>
      </c>
      <c r="B2131" t="str">
        <f>IF(Sales_Deals!I2122&lt;&gt;"",IF(AND(Sales_Deals!I2122&gt;DATE(2024,9,30),Sales_Deals!I2122&lt;=DATE(2025,3,31)),Sales_Deals!J2122,""),"")</f>
        <v/>
      </c>
      <c r="C2131">
        <f>IF(Sales_Deals!I2122&lt;&gt;"",IF(AND(Sales_Deals!I2122&gt;DATE(2024,3,31),Sales_Deals!I2122&lt;=DATE(2024,9,30)),Sales_Deals!J2122,""),"")</f>
        <v>38</v>
      </c>
    </row>
    <row r="2132" spans="1:3" x14ac:dyDescent="0.35">
      <c r="A2132">
        <v>2122</v>
      </c>
      <c r="B2132" t="str">
        <f>IF(Sales_Deals!I2123&lt;&gt;"",IF(AND(Sales_Deals!I2123&gt;DATE(2024,9,30),Sales_Deals!I2123&lt;=DATE(2025,3,31)),Sales_Deals!J2123,""),"")</f>
        <v/>
      </c>
      <c r="C2132" t="str">
        <f>IF(Sales_Deals!I2123&lt;&gt;"",IF(AND(Sales_Deals!I2123&gt;DATE(2024,3,31),Sales_Deals!I2123&lt;=DATE(2024,9,30)),Sales_Deals!J2123,""),"")</f>
        <v/>
      </c>
    </row>
    <row r="2133" spans="1:3" x14ac:dyDescent="0.35">
      <c r="A2133">
        <v>2123</v>
      </c>
      <c r="B2133" t="str">
        <f>IF(Sales_Deals!I2124&lt;&gt;"",IF(AND(Sales_Deals!I2124&gt;DATE(2024,9,30),Sales_Deals!I2124&lt;=DATE(2025,3,31)),Sales_Deals!J2124,""),"")</f>
        <v/>
      </c>
      <c r="C2133" t="str">
        <f>IF(Sales_Deals!I2124&lt;&gt;"",IF(AND(Sales_Deals!I2124&gt;DATE(2024,3,31),Sales_Deals!I2124&lt;=DATE(2024,9,30)),Sales_Deals!J2124,""),"")</f>
        <v/>
      </c>
    </row>
    <row r="2134" spans="1:3" x14ac:dyDescent="0.35">
      <c r="A2134">
        <v>2124</v>
      </c>
      <c r="B2134">
        <f>IF(Sales_Deals!I2125&lt;&gt;"",IF(AND(Sales_Deals!I2125&gt;DATE(2024,9,30),Sales_Deals!I2125&lt;=DATE(2025,3,31)),Sales_Deals!J2125,""),"")</f>
        <v>136</v>
      </c>
      <c r="C2134" t="str">
        <f>IF(Sales_Deals!I2125&lt;&gt;"",IF(AND(Sales_Deals!I2125&gt;DATE(2024,3,31),Sales_Deals!I2125&lt;=DATE(2024,9,30)),Sales_Deals!J2125,""),"")</f>
        <v/>
      </c>
    </row>
    <row r="2135" spans="1:3" x14ac:dyDescent="0.35">
      <c r="A2135">
        <v>2125</v>
      </c>
      <c r="B2135" t="str">
        <f>IF(Sales_Deals!I2126&lt;&gt;"",IF(AND(Sales_Deals!I2126&gt;DATE(2024,9,30),Sales_Deals!I2126&lt;=DATE(2025,3,31)),Sales_Deals!J2126,""),"")</f>
        <v/>
      </c>
      <c r="C2135" t="str">
        <f>IF(Sales_Deals!I2126&lt;&gt;"",IF(AND(Sales_Deals!I2126&gt;DATE(2024,3,31),Sales_Deals!I2126&lt;=DATE(2024,9,30)),Sales_Deals!J2126,""),"")</f>
        <v/>
      </c>
    </row>
    <row r="2136" spans="1:3" x14ac:dyDescent="0.35">
      <c r="A2136">
        <v>2126</v>
      </c>
      <c r="B2136" t="str">
        <f>IF(Sales_Deals!I2127&lt;&gt;"",IF(AND(Sales_Deals!I2127&gt;DATE(2024,9,30),Sales_Deals!I2127&lt;=DATE(2025,3,31)),Sales_Deals!J2127,""),"")</f>
        <v/>
      </c>
      <c r="C2136">
        <f>IF(Sales_Deals!I2127&lt;&gt;"",IF(AND(Sales_Deals!I2127&gt;DATE(2024,3,31),Sales_Deals!I2127&lt;=DATE(2024,9,30)),Sales_Deals!J2127,""),"")</f>
        <v>101</v>
      </c>
    </row>
    <row r="2137" spans="1:3" x14ac:dyDescent="0.35">
      <c r="A2137">
        <v>2127</v>
      </c>
      <c r="B2137" t="str">
        <f>IF(Sales_Deals!I2128&lt;&gt;"",IF(AND(Sales_Deals!I2128&gt;DATE(2024,9,30),Sales_Deals!I2128&lt;=DATE(2025,3,31)),Sales_Deals!J2128,""),"")</f>
        <v/>
      </c>
      <c r="C2137" t="str">
        <f>IF(Sales_Deals!I2128&lt;&gt;"",IF(AND(Sales_Deals!I2128&gt;DATE(2024,3,31),Sales_Deals!I2128&lt;=DATE(2024,9,30)),Sales_Deals!J2128,""),"")</f>
        <v/>
      </c>
    </row>
    <row r="2138" spans="1:3" x14ac:dyDescent="0.35">
      <c r="A2138">
        <v>2128</v>
      </c>
      <c r="B2138" t="str">
        <f>IF(Sales_Deals!I2129&lt;&gt;"",IF(AND(Sales_Deals!I2129&gt;DATE(2024,9,30),Sales_Deals!I2129&lt;=DATE(2025,3,31)),Sales_Deals!J2129,""),"")</f>
        <v/>
      </c>
      <c r="C2138" t="str">
        <f>IF(Sales_Deals!I2129&lt;&gt;"",IF(AND(Sales_Deals!I2129&gt;DATE(2024,3,31),Sales_Deals!I2129&lt;=DATE(2024,9,30)),Sales_Deals!J2129,""),"")</f>
        <v/>
      </c>
    </row>
    <row r="2139" spans="1:3" x14ac:dyDescent="0.35">
      <c r="A2139">
        <v>2129</v>
      </c>
      <c r="B2139" t="str">
        <f>IF(Sales_Deals!I2130&lt;&gt;"",IF(AND(Sales_Deals!I2130&gt;DATE(2024,9,30),Sales_Deals!I2130&lt;=DATE(2025,3,31)),Sales_Deals!J2130,""),"")</f>
        <v/>
      </c>
      <c r="C2139" t="str">
        <f>IF(Sales_Deals!I2130&lt;&gt;"",IF(AND(Sales_Deals!I2130&gt;DATE(2024,3,31),Sales_Deals!I2130&lt;=DATE(2024,9,30)),Sales_Deals!J2130,""),"")</f>
        <v/>
      </c>
    </row>
    <row r="2140" spans="1:3" x14ac:dyDescent="0.35">
      <c r="A2140">
        <v>2130</v>
      </c>
      <c r="B2140" t="str">
        <f>IF(Sales_Deals!I2131&lt;&gt;"",IF(AND(Sales_Deals!I2131&gt;DATE(2024,9,30),Sales_Deals!I2131&lt;=DATE(2025,3,31)),Sales_Deals!J2131,""),"")</f>
        <v/>
      </c>
      <c r="C2140" t="str">
        <f>IF(Sales_Deals!I2131&lt;&gt;"",IF(AND(Sales_Deals!I2131&gt;DATE(2024,3,31),Sales_Deals!I2131&lt;=DATE(2024,9,30)),Sales_Deals!J2131,""),"")</f>
        <v/>
      </c>
    </row>
    <row r="2141" spans="1:3" x14ac:dyDescent="0.35">
      <c r="A2141">
        <v>2131</v>
      </c>
      <c r="B2141" t="str">
        <f>IF(Sales_Deals!I2132&lt;&gt;"",IF(AND(Sales_Deals!I2132&gt;DATE(2024,9,30),Sales_Deals!I2132&lt;=DATE(2025,3,31)),Sales_Deals!J2132,""),"")</f>
        <v/>
      </c>
      <c r="C2141" t="str">
        <f>IF(Sales_Deals!I2132&lt;&gt;"",IF(AND(Sales_Deals!I2132&gt;DATE(2024,3,31),Sales_Deals!I2132&lt;=DATE(2024,9,30)),Sales_Deals!J2132,""),"")</f>
        <v/>
      </c>
    </row>
    <row r="2142" spans="1:3" x14ac:dyDescent="0.35">
      <c r="A2142">
        <v>2132</v>
      </c>
      <c r="B2142" t="str">
        <f>IF(Sales_Deals!I2133&lt;&gt;"",IF(AND(Sales_Deals!I2133&gt;DATE(2024,9,30),Sales_Deals!I2133&lt;=DATE(2025,3,31)),Sales_Deals!J2133,""),"")</f>
        <v/>
      </c>
      <c r="C2142" t="str">
        <f>IF(Sales_Deals!I2133&lt;&gt;"",IF(AND(Sales_Deals!I2133&gt;DATE(2024,3,31),Sales_Deals!I2133&lt;=DATE(2024,9,30)),Sales_Deals!J2133,""),"")</f>
        <v/>
      </c>
    </row>
    <row r="2143" spans="1:3" x14ac:dyDescent="0.35">
      <c r="A2143">
        <v>2133</v>
      </c>
      <c r="B2143" t="str">
        <f>IF(Sales_Deals!I2134&lt;&gt;"",IF(AND(Sales_Deals!I2134&gt;DATE(2024,9,30),Sales_Deals!I2134&lt;=DATE(2025,3,31)),Sales_Deals!J2134,""),"")</f>
        <v/>
      </c>
      <c r="C2143" t="str">
        <f>IF(Sales_Deals!I2134&lt;&gt;"",IF(AND(Sales_Deals!I2134&gt;DATE(2024,3,31),Sales_Deals!I2134&lt;=DATE(2024,9,30)),Sales_Deals!J2134,""),"")</f>
        <v/>
      </c>
    </row>
    <row r="2144" spans="1:3" x14ac:dyDescent="0.35">
      <c r="A2144">
        <v>2134</v>
      </c>
      <c r="B2144" t="str">
        <f>IF(Sales_Deals!I2135&lt;&gt;"",IF(AND(Sales_Deals!I2135&gt;DATE(2024,9,30),Sales_Deals!I2135&lt;=DATE(2025,3,31)),Sales_Deals!J2135,""),"")</f>
        <v/>
      </c>
      <c r="C2144" t="str">
        <f>IF(Sales_Deals!I2135&lt;&gt;"",IF(AND(Sales_Deals!I2135&gt;DATE(2024,3,31),Sales_Deals!I2135&lt;=DATE(2024,9,30)),Sales_Deals!J2135,""),"")</f>
        <v/>
      </c>
    </row>
    <row r="2145" spans="1:3" x14ac:dyDescent="0.35">
      <c r="A2145">
        <v>2135</v>
      </c>
      <c r="B2145" t="str">
        <f>IF(Sales_Deals!I2136&lt;&gt;"",IF(AND(Sales_Deals!I2136&gt;DATE(2024,9,30),Sales_Deals!I2136&lt;=DATE(2025,3,31)),Sales_Deals!J2136,""),"")</f>
        <v/>
      </c>
      <c r="C2145" t="str">
        <f>IF(Sales_Deals!I2136&lt;&gt;"",IF(AND(Sales_Deals!I2136&gt;DATE(2024,3,31),Sales_Deals!I2136&lt;=DATE(2024,9,30)),Sales_Deals!J2136,""),"")</f>
        <v/>
      </c>
    </row>
    <row r="2146" spans="1:3" x14ac:dyDescent="0.35">
      <c r="A2146">
        <v>2136</v>
      </c>
      <c r="B2146" t="str">
        <f>IF(Sales_Deals!I2137&lt;&gt;"",IF(AND(Sales_Deals!I2137&gt;DATE(2024,9,30),Sales_Deals!I2137&lt;=DATE(2025,3,31)),Sales_Deals!J2137,""),"")</f>
        <v/>
      </c>
      <c r="C2146" t="str">
        <f>IF(Sales_Deals!I2137&lt;&gt;"",IF(AND(Sales_Deals!I2137&gt;DATE(2024,3,31),Sales_Deals!I2137&lt;=DATE(2024,9,30)),Sales_Deals!J2137,""),"")</f>
        <v/>
      </c>
    </row>
    <row r="2147" spans="1:3" x14ac:dyDescent="0.35">
      <c r="A2147">
        <v>2137</v>
      </c>
      <c r="B2147" t="str">
        <f>IF(Sales_Deals!I2138&lt;&gt;"",IF(AND(Sales_Deals!I2138&gt;DATE(2024,9,30),Sales_Deals!I2138&lt;=DATE(2025,3,31)),Sales_Deals!J2138,""),"")</f>
        <v/>
      </c>
      <c r="C2147" t="str">
        <f>IF(Sales_Deals!I2138&lt;&gt;"",IF(AND(Sales_Deals!I2138&gt;DATE(2024,3,31),Sales_Deals!I2138&lt;=DATE(2024,9,30)),Sales_Deals!J2138,""),"")</f>
        <v/>
      </c>
    </row>
    <row r="2148" spans="1:3" x14ac:dyDescent="0.35">
      <c r="A2148">
        <v>2138</v>
      </c>
      <c r="B2148" t="str">
        <f>IF(Sales_Deals!I2139&lt;&gt;"",IF(AND(Sales_Deals!I2139&gt;DATE(2024,9,30),Sales_Deals!I2139&lt;=DATE(2025,3,31)),Sales_Deals!J2139,""),"")</f>
        <v/>
      </c>
      <c r="C2148" t="str">
        <f>IF(Sales_Deals!I2139&lt;&gt;"",IF(AND(Sales_Deals!I2139&gt;DATE(2024,3,31),Sales_Deals!I2139&lt;=DATE(2024,9,30)),Sales_Deals!J2139,""),"")</f>
        <v/>
      </c>
    </row>
    <row r="2149" spans="1:3" x14ac:dyDescent="0.35">
      <c r="A2149">
        <v>2139</v>
      </c>
      <c r="B2149" t="str">
        <f>IF(Sales_Deals!I2140&lt;&gt;"",IF(AND(Sales_Deals!I2140&gt;DATE(2024,9,30),Sales_Deals!I2140&lt;=DATE(2025,3,31)),Sales_Deals!J2140,""),"")</f>
        <v/>
      </c>
      <c r="C2149" t="str">
        <f>IF(Sales_Deals!I2140&lt;&gt;"",IF(AND(Sales_Deals!I2140&gt;DATE(2024,3,31),Sales_Deals!I2140&lt;=DATE(2024,9,30)),Sales_Deals!J2140,""),"")</f>
        <v/>
      </c>
    </row>
    <row r="2150" spans="1:3" x14ac:dyDescent="0.35">
      <c r="A2150">
        <v>2140</v>
      </c>
      <c r="B2150" t="str">
        <f>IF(Sales_Deals!I2141&lt;&gt;"",IF(AND(Sales_Deals!I2141&gt;DATE(2024,9,30),Sales_Deals!I2141&lt;=DATE(2025,3,31)),Sales_Deals!J2141,""),"")</f>
        <v/>
      </c>
      <c r="C2150" t="str">
        <f>IF(Sales_Deals!I2141&lt;&gt;"",IF(AND(Sales_Deals!I2141&gt;DATE(2024,3,31),Sales_Deals!I2141&lt;=DATE(2024,9,30)),Sales_Deals!J2141,""),"")</f>
        <v/>
      </c>
    </row>
    <row r="2151" spans="1:3" x14ac:dyDescent="0.35">
      <c r="A2151">
        <v>2141</v>
      </c>
      <c r="B2151" t="str">
        <f>IF(Sales_Deals!I2142&lt;&gt;"",IF(AND(Sales_Deals!I2142&gt;DATE(2024,9,30),Sales_Deals!I2142&lt;=DATE(2025,3,31)),Sales_Deals!J2142,""),"")</f>
        <v/>
      </c>
      <c r="C2151" t="str">
        <f>IF(Sales_Deals!I2142&lt;&gt;"",IF(AND(Sales_Deals!I2142&gt;DATE(2024,3,31),Sales_Deals!I2142&lt;=DATE(2024,9,30)),Sales_Deals!J2142,""),"")</f>
        <v/>
      </c>
    </row>
    <row r="2152" spans="1:3" x14ac:dyDescent="0.35">
      <c r="A2152">
        <v>2142</v>
      </c>
      <c r="B2152" t="str">
        <f>IF(Sales_Deals!I2143&lt;&gt;"",IF(AND(Sales_Deals!I2143&gt;DATE(2024,9,30),Sales_Deals!I2143&lt;=DATE(2025,3,31)),Sales_Deals!J2143,""),"")</f>
        <v/>
      </c>
      <c r="C2152" t="str">
        <f>IF(Sales_Deals!I2143&lt;&gt;"",IF(AND(Sales_Deals!I2143&gt;DATE(2024,3,31),Sales_Deals!I2143&lt;=DATE(2024,9,30)),Sales_Deals!J2143,""),"")</f>
        <v/>
      </c>
    </row>
    <row r="2153" spans="1:3" x14ac:dyDescent="0.35">
      <c r="A2153">
        <v>2143</v>
      </c>
      <c r="B2153" t="str">
        <f>IF(Sales_Deals!I2144&lt;&gt;"",IF(AND(Sales_Deals!I2144&gt;DATE(2024,9,30),Sales_Deals!I2144&lt;=DATE(2025,3,31)),Sales_Deals!J2144,""),"")</f>
        <v/>
      </c>
      <c r="C2153" t="str">
        <f>IF(Sales_Deals!I2144&lt;&gt;"",IF(AND(Sales_Deals!I2144&gt;DATE(2024,3,31),Sales_Deals!I2144&lt;=DATE(2024,9,30)),Sales_Deals!J2144,""),"")</f>
        <v/>
      </c>
    </row>
    <row r="2154" spans="1:3" x14ac:dyDescent="0.35">
      <c r="A2154">
        <v>2144</v>
      </c>
      <c r="B2154" t="str">
        <f>IF(Sales_Deals!I2145&lt;&gt;"",IF(AND(Sales_Deals!I2145&gt;DATE(2024,9,30),Sales_Deals!I2145&lt;=DATE(2025,3,31)),Sales_Deals!J2145,""),"")</f>
        <v/>
      </c>
      <c r="C2154" t="str">
        <f>IF(Sales_Deals!I2145&lt;&gt;"",IF(AND(Sales_Deals!I2145&gt;DATE(2024,3,31),Sales_Deals!I2145&lt;=DATE(2024,9,30)),Sales_Deals!J2145,""),"")</f>
        <v/>
      </c>
    </row>
    <row r="2155" spans="1:3" x14ac:dyDescent="0.35">
      <c r="A2155">
        <v>2145</v>
      </c>
      <c r="B2155">
        <f>IF(Sales_Deals!I2146&lt;&gt;"",IF(AND(Sales_Deals!I2146&gt;DATE(2024,9,30),Sales_Deals!I2146&lt;=DATE(2025,3,31)),Sales_Deals!J2146,""),"")</f>
        <v>28</v>
      </c>
      <c r="C2155" t="str">
        <f>IF(Sales_Deals!I2146&lt;&gt;"",IF(AND(Sales_Deals!I2146&gt;DATE(2024,3,31),Sales_Deals!I2146&lt;=DATE(2024,9,30)),Sales_Deals!J2146,""),"")</f>
        <v/>
      </c>
    </row>
    <row r="2156" spans="1:3" x14ac:dyDescent="0.35">
      <c r="A2156">
        <v>2146</v>
      </c>
      <c r="B2156">
        <f>IF(Sales_Deals!I2147&lt;&gt;"",IF(AND(Sales_Deals!I2147&gt;DATE(2024,9,30),Sales_Deals!I2147&lt;=DATE(2025,3,31)),Sales_Deals!J2147,""),"")</f>
        <v>99</v>
      </c>
      <c r="C2156" t="str">
        <f>IF(Sales_Deals!I2147&lt;&gt;"",IF(AND(Sales_Deals!I2147&gt;DATE(2024,3,31),Sales_Deals!I2147&lt;=DATE(2024,9,30)),Sales_Deals!J2147,""),"")</f>
        <v/>
      </c>
    </row>
    <row r="2157" spans="1:3" x14ac:dyDescent="0.35">
      <c r="A2157">
        <v>2147</v>
      </c>
      <c r="B2157" t="str">
        <f>IF(Sales_Deals!I2148&lt;&gt;"",IF(AND(Sales_Deals!I2148&gt;DATE(2024,9,30),Sales_Deals!I2148&lt;=DATE(2025,3,31)),Sales_Deals!J2148,""),"")</f>
        <v/>
      </c>
      <c r="C2157" t="str">
        <f>IF(Sales_Deals!I2148&lt;&gt;"",IF(AND(Sales_Deals!I2148&gt;DATE(2024,3,31),Sales_Deals!I2148&lt;=DATE(2024,9,30)),Sales_Deals!J2148,""),"")</f>
        <v/>
      </c>
    </row>
    <row r="2158" spans="1:3" x14ac:dyDescent="0.35">
      <c r="A2158">
        <v>2148</v>
      </c>
      <c r="B2158" t="str">
        <f>IF(Sales_Deals!I2149&lt;&gt;"",IF(AND(Sales_Deals!I2149&gt;DATE(2024,9,30),Sales_Deals!I2149&lt;=DATE(2025,3,31)),Sales_Deals!J2149,""),"")</f>
        <v/>
      </c>
      <c r="C2158" t="str">
        <f>IF(Sales_Deals!I2149&lt;&gt;"",IF(AND(Sales_Deals!I2149&gt;DATE(2024,3,31),Sales_Deals!I2149&lt;=DATE(2024,9,30)),Sales_Deals!J2149,""),"")</f>
        <v/>
      </c>
    </row>
    <row r="2159" spans="1:3" x14ac:dyDescent="0.35">
      <c r="A2159">
        <v>2149</v>
      </c>
      <c r="B2159" t="str">
        <f>IF(Sales_Deals!I2150&lt;&gt;"",IF(AND(Sales_Deals!I2150&gt;DATE(2024,9,30),Sales_Deals!I2150&lt;=DATE(2025,3,31)),Sales_Deals!J2150,""),"")</f>
        <v/>
      </c>
      <c r="C2159" t="str">
        <f>IF(Sales_Deals!I2150&lt;&gt;"",IF(AND(Sales_Deals!I2150&gt;DATE(2024,3,31),Sales_Deals!I2150&lt;=DATE(2024,9,30)),Sales_Deals!J2150,""),"")</f>
        <v/>
      </c>
    </row>
    <row r="2160" spans="1:3" x14ac:dyDescent="0.35">
      <c r="A2160">
        <v>2150</v>
      </c>
      <c r="B2160" t="str">
        <f>IF(Sales_Deals!I2151&lt;&gt;"",IF(AND(Sales_Deals!I2151&gt;DATE(2024,9,30),Sales_Deals!I2151&lt;=DATE(2025,3,31)),Sales_Deals!J2151,""),"")</f>
        <v/>
      </c>
      <c r="C2160" t="str">
        <f>IF(Sales_Deals!I2151&lt;&gt;"",IF(AND(Sales_Deals!I2151&gt;DATE(2024,3,31),Sales_Deals!I2151&lt;=DATE(2024,9,30)),Sales_Deals!J2151,""),"")</f>
        <v/>
      </c>
    </row>
    <row r="2161" spans="1:3" x14ac:dyDescent="0.35">
      <c r="A2161">
        <v>2151</v>
      </c>
      <c r="B2161" t="str">
        <f>IF(Sales_Deals!I2152&lt;&gt;"",IF(AND(Sales_Deals!I2152&gt;DATE(2024,9,30),Sales_Deals!I2152&lt;=DATE(2025,3,31)),Sales_Deals!J2152,""),"")</f>
        <v/>
      </c>
      <c r="C2161" t="str">
        <f>IF(Sales_Deals!I2152&lt;&gt;"",IF(AND(Sales_Deals!I2152&gt;DATE(2024,3,31),Sales_Deals!I2152&lt;=DATE(2024,9,30)),Sales_Deals!J2152,""),"")</f>
        <v/>
      </c>
    </row>
    <row r="2162" spans="1:3" x14ac:dyDescent="0.35">
      <c r="A2162">
        <v>2152</v>
      </c>
      <c r="B2162" t="str">
        <f>IF(Sales_Deals!I2153&lt;&gt;"",IF(AND(Sales_Deals!I2153&gt;DATE(2024,9,30),Sales_Deals!I2153&lt;=DATE(2025,3,31)),Sales_Deals!J2153,""),"")</f>
        <v/>
      </c>
      <c r="C2162" t="str">
        <f>IF(Sales_Deals!I2153&lt;&gt;"",IF(AND(Sales_Deals!I2153&gt;DATE(2024,3,31),Sales_Deals!I2153&lt;=DATE(2024,9,30)),Sales_Deals!J2153,""),"")</f>
        <v/>
      </c>
    </row>
    <row r="2163" spans="1:3" x14ac:dyDescent="0.35">
      <c r="A2163">
        <v>2153</v>
      </c>
      <c r="B2163" t="str">
        <f>IF(Sales_Deals!I2154&lt;&gt;"",IF(AND(Sales_Deals!I2154&gt;DATE(2024,9,30),Sales_Deals!I2154&lt;=DATE(2025,3,31)),Sales_Deals!J2154,""),"")</f>
        <v/>
      </c>
      <c r="C2163" t="str">
        <f>IF(Sales_Deals!I2154&lt;&gt;"",IF(AND(Sales_Deals!I2154&gt;DATE(2024,3,31),Sales_Deals!I2154&lt;=DATE(2024,9,30)),Sales_Deals!J2154,""),"")</f>
        <v/>
      </c>
    </row>
    <row r="2164" spans="1:3" x14ac:dyDescent="0.35">
      <c r="A2164">
        <v>2154</v>
      </c>
      <c r="B2164" t="str">
        <f>IF(Sales_Deals!I2155&lt;&gt;"",IF(AND(Sales_Deals!I2155&gt;DATE(2024,9,30),Sales_Deals!I2155&lt;=DATE(2025,3,31)),Sales_Deals!J2155,""),"")</f>
        <v/>
      </c>
      <c r="C2164">
        <f>IF(Sales_Deals!I2155&lt;&gt;"",IF(AND(Sales_Deals!I2155&gt;DATE(2024,3,31),Sales_Deals!I2155&lt;=DATE(2024,9,30)),Sales_Deals!J2155,""),"")</f>
        <v>156</v>
      </c>
    </row>
    <row r="2165" spans="1:3" x14ac:dyDescent="0.35">
      <c r="A2165">
        <v>2155</v>
      </c>
      <c r="B2165" t="str">
        <f>IF(Sales_Deals!I2156&lt;&gt;"",IF(AND(Sales_Deals!I2156&gt;DATE(2024,9,30),Sales_Deals!I2156&lt;=DATE(2025,3,31)),Sales_Deals!J2156,""),"")</f>
        <v/>
      </c>
      <c r="C2165">
        <f>IF(Sales_Deals!I2156&lt;&gt;"",IF(AND(Sales_Deals!I2156&gt;DATE(2024,3,31),Sales_Deals!I2156&lt;=DATE(2024,9,30)),Sales_Deals!J2156,""),"")</f>
        <v>101</v>
      </c>
    </row>
    <row r="2166" spans="1:3" x14ac:dyDescent="0.35">
      <c r="A2166">
        <v>2156</v>
      </c>
      <c r="B2166" t="str">
        <f>IF(Sales_Deals!I2157&lt;&gt;"",IF(AND(Sales_Deals!I2157&gt;DATE(2024,9,30),Sales_Deals!I2157&lt;=DATE(2025,3,31)),Sales_Deals!J2157,""),"")</f>
        <v/>
      </c>
      <c r="C2166" t="str">
        <f>IF(Sales_Deals!I2157&lt;&gt;"",IF(AND(Sales_Deals!I2157&gt;DATE(2024,3,31),Sales_Deals!I2157&lt;=DATE(2024,9,30)),Sales_Deals!J2157,""),"")</f>
        <v/>
      </c>
    </row>
    <row r="2167" spans="1:3" x14ac:dyDescent="0.35">
      <c r="A2167">
        <v>2157</v>
      </c>
      <c r="B2167" t="str">
        <f>IF(Sales_Deals!I2158&lt;&gt;"",IF(AND(Sales_Deals!I2158&gt;DATE(2024,9,30),Sales_Deals!I2158&lt;=DATE(2025,3,31)),Sales_Deals!J2158,""),"")</f>
        <v/>
      </c>
      <c r="C2167" t="str">
        <f>IF(Sales_Deals!I2158&lt;&gt;"",IF(AND(Sales_Deals!I2158&gt;DATE(2024,3,31),Sales_Deals!I2158&lt;=DATE(2024,9,30)),Sales_Deals!J2158,""),"")</f>
        <v/>
      </c>
    </row>
    <row r="2168" spans="1:3" x14ac:dyDescent="0.35">
      <c r="A2168">
        <v>2158</v>
      </c>
      <c r="B2168" t="str">
        <f>IF(Sales_Deals!I2159&lt;&gt;"",IF(AND(Sales_Deals!I2159&gt;DATE(2024,9,30),Sales_Deals!I2159&lt;=DATE(2025,3,31)),Sales_Deals!J2159,""),"")</f>
        <v/>
      </c>
      <c r="C2168" t="str">
        <f>IF(Sales_Deals!I2159&lt;&gt;"",IF(AND(Sales_Deals!I2159&gt;DATE(2024,3,31),Sales_Deals!I2159&lt;=DATE(2024,9,30)),Sales_Deals!J2159,""),"")</f>
        <v/>
      </c>
    </row>
    <row r="2169" spans="1:3" x14ac:dyDescent="0.35">
      <c r="A2169">
        <v>2159</v>
      </c>
      <c r="B2169">
        <f>IF(Sales_Deals!I2160&lt;&gt;"",IF(AND(Sales_Deals!I2160&gt;DATE(2024,9,30),Sales_Deals!I2160&lt;=DATE(2025,3,31)),Sales_Deals!J2160,""),"")</f>
        <v>179</v>
      </c>
      <c r="C2169" t="str">
        <f>IF(Sales_Deals!I2160&lt;&gt;"",IF(AND(Sales_Deals!I2160&gt;DATE(2024,3,31),Sales_Deals!I2160&lt;=DATE(2024,9,30)),Sales_Deals!J2160,""),"")</f>
        <v/>
      </c>
    </row>
    <row r="2170" spans="1:3" x14ac:dyDescent="0.35">
      <c r="A2170">
        <v>2160</v>
      </c>
      <c r="B2170" t="str">
        <f>IF(Sales_Deals!I2161&lt;&gt;"",IF(AND(Sales_Deals!I2161&gt;DATE(2024,9,30),Sales_Deals!I2161&lt;=DATE(2025,3,31)),Sales_Deals!J2161,""),"")</f>
        <v/>
      </c>
      <c r="C2170" t="str">
        <f>IF(Sales_Deals!I2161&lt;&gt;"",IF(AND(Sales_Deals!I2161&gt;DATE(2024,3,31),Sales_Deals!I2161&lt;=DATE(2024,9,30)),Sales_Deals!J2161,""),"")</f>
        <v/>
      </c>
    </row>
    <row r="2171" spans="1:3" x14ac:dyDescent="0.35">
      <c r="A2171">
        <v>2161</v>
      </c>
      <c r="B2171" t="str">
        <f>IF(Sales_Deals!I2162&lt;&gt;"",IF(AND(Sales_Deals!I2162&gt;DATE(2024,9,30),Sales_Deals!I2162&lt;=DATE(2025,3,31)),Sales_Deals!J2162,""),"")</f>
        <v/>
      </c>
      <c r="C2171" t="str">
        <f>IF(Sales_Deals!I2162&lt;&gt;"",IF(AND(Sales_Deals!I2162&gt;DATE(2024,3,31),Sales_Deals!I2162&lt;=DATE(2024,9,30)),Sales_Deals!J2162,""),"")</f>
        <v/>
      </c>
    </row>
    <row r="2172" spans="1:3" x14ac:dyDescent="0.35">
      <c r="A2172">
        <v>2162</v>
      </c>
      <c r="B2172" t="str">
        <f>IF(Sales_Deals!I2163&lt;&gt;"",IF(AND(Sales_Deals!I2163&gt;DATE(2024,9,30),Sales_Deals!I2163&lt;=DATE(2025,3,31)),Sales_Deals!J2163,""),"")</f>
        <v/>
      </c>
      <c r="C2172">
        <f>IF(Sales_Deals!I2163&lt;&gt;"",IF(AND(Sales_Deals!I2163&gt;DATE(2024,3,31),Sales_Deals!I2163&lt;=DATE(2024,9,30)),Sales_Deals!J2163,""),"")</f>
        <v>165</v>
      </c>
    </row>
    <row r="2173" spans="1:3" x14ac:dyDescent="0.35">
      <c r="A2173">
        <v>2163</v>
      </c>
      <c r="B2173" t="str">
        <f>IF(Sales_Deals!I2164&lt;&gt;"",IF(AND(Sales_Deals!I2164&gt;DATE(2024,9,30),Sales_Deals!I2164&lt;=DATE(2025,3,31)),Sales_Deals!J2164,""),"")</f>
        <v/>
      </c>
      <c r="C2173" t="str">
        <f>IF(Sales_Deals!I2164&lt;&gt;"",IF(AND(Sales_Deals!I2164&gt;DATE(2024,3,31),Sales_Deals!I2164&lt;=DATE(2024,9,30)),Sales_Deals!J2164,""),"")</f>
        <v/>
      </c>
    </row>
    <row r="2174" spans="1:3" x14ac:dyDescent="0.35">
      <c r="A2174">
        <v>2164</v>
      </c>
      <c r="B2174" t="str">
        <f>IF(Sales_Deals!I2165&lt;&gt;"",IF(AND(Sales_Deals!I2165&gt;DATE(2024,9,30),Sales_Deals!I2165&lt;=DATE(2025,3,31)),Sales_Deals!J2165,""),"")</f>
        <v/>
      </c>
      <c r="C2174" t="str">
        <f>IF(Sales_Deals!I2165&lt;&gt;"",IF(AND(Sales_Deals!I2165&gt;DATE(2024,3,31),Sales_Deals!I2165&lt;=DATE(2024,9,30)),Sales_Deals!J2165,""),"")</f>
        <v/>
      </c>
    </row>
    <row r="2175" spans="1:3" x14ac:dyDescent="0.35">
      <c r="A2175">
        <v>2165</v>
      </c>
      <c r="B2175" t="str">
        <f>IF(Sales_Deals!I2166&lt;&gt;"",IF(AND(Sales_Deals!I2166&gt;DATE(2024,9,30),Sales_Deals!I2166&lt;=DATE(2025,3,31)),Sales_Deals!J2166,""),"")</f>
        <v/>
      </c>
      <c r="C2175">
        <f>IF(Sales_Deals!I2166&lt;&gt;"",IF(AND(Sales_Deals!I2166&gt;DATE(2024,3,31),Sales_Deals!I2166&lt;=DATE(2024,9,30)),Sales_Deals!J2166,""),"")</f>
        <v>24</v>
      </c>
    </row>
    <row r="2176" spans="1:3" x14ac:dyDescent="0.35">
      <c r="A2176">
        <v>2166</v>
      </c>
      <c r="B2176" t="str">
        <f>IF(Sales_Deals!I2167&lt;&gt;"",IF(AND(Sales_Deals!I2167&gt;DATE(2024,9,30),Sales_Deals!I2167&lt;=DATE(2025,3,31)),Sales_Deals!J2167,""),"")</f>
        <v/>
      </c>
      <c r="C2176" t="str">
        <f>IF(Sales_Deals!I2167&lt;&gt;"",IF(AND(Sales_Deals!I2167&gt;DATE(2024,3,31),Sales_Deals!I2167&lt;=DATE(2024,9,30)),Sales_Deals!J2167,""),"")</f>
        <v/>
      </c>
    </row>
    <row r="2177" spans="1:3" x14ac:dyDescent="0.35">
      <c r="A2177">
        <v>2167</v>
      </c>
      <c r="B2177" t="str">
        <f>IF(Sales_Deals!I2168&lt;&gt;"",IF(AND(Sales_Deals!I2168&gt;DATE(2024,9,30),Sales_Deals!I2168&lt;=DATE(2025,3,31)),Sales_Deals!J2168,""),"")</f>
        <v/>
      </c>
      <c r="C2177" t="str">
        <f>IF(Sales_Deals!I2168&lt;&gt;"",IF(AND(Sales_Deals!I2168&gt;DATE(2024,3,31),Sales_Deals!I2168&lt;=DATE(2024,9,30)),Sales_Deals!J2168,""),"")</f>
        <v/>
      </c>
    </row>
    <row r="2178" spans="1:3" x14ac:dyDescent="0.35">
      <c r="A2178">
        <v>2168</v>
      </c>
      <c r="B2178" t="str">
        <f>IF(Sales_Deals!I2169&lt;&gt;"",IF(AND(Sales_Deals!I2169&gt;DATE(2024,9,30),Sales_Deals!I2169&lt;=DATE(2025,3,31)),Sales_Deals!J2169,""),"")</f>
        <v/>
      </c>
      <c r="C2178" t="str">
        <f>IF(Sales_Deals!I2169&lt;&gt;"",IF(AND(Sales_Deals!I2169&gt;DATE(2024,3,31),Sales_Deals!I2169&lt;=DATE(2024,9,30)),Sales_Deals!J2169,""),"")</f>
        <v/>
      </c>
    </row>
    <row r="2179" spans="1:3" x14ac:dyDescent="0.35">
      <c r="A2179">
        <v>2169</v>
      </c>
      <c r="B2179" t="str">
        <f>IF(Sales_Deals!I2170&lt;&gt;"",IF(AND(Sales_Deals!I2170&gt;DATE(2024,9,30),Sales_Deals!I2170&lt;=DATE(2025,3,31)),Sales_Deals!J2170,""),"")</f>
        <v/>
      </c>
      <c r="C2179" t="str">
        <f>IF(Sales_Deals!I2170&lt;&gt;"",IF(AND(Sales_Deals!I2170&gt;DATE(2024,3,31),Sales_Deals!I2170&lt;=DATE(2024,9,30)),Sales_Deals!J2170,""),"")</f>
        <v/>
      </c>
    </row>
    <row r="2180" spans="1:3" x14ac:dyDescent="0.35">
      <c r="A2180">
        <v>2170</v>
      </c>
      <c r="B2180" t="str">
        <f>IF(Sales_Deals!I2171&lt;&gt;"",IF(AND(Sales_Deals!I2171&gt;DATE(2024,9,30),Sales_Deals!I2171&lt;=DATE(2025,3,31)),Sales_Deals!J2171,""),"")</f>
        <v/>
      </c>
      <c r="C2180" t="str">
        <f>IF(Sales_Deals!I2171&lt;&gt;"",IF(AND(Sales_Deals!I2171&gt;DATE(2024,3,31),Sales_Deals!I2171&lt;=DATE(2024,9,30)),Sales_Deals!J2171,""),"")</f>
        <v/>
      </c>
    </row>
    <row r="2181" spans="1:3" x14ac:dyDescent="0.35">
      <c r="A2181">
        <v>2171</v>
      </c>
      <c r="B2181" t="str">
        <f>IF(Sales_Deals!I2172&lt;&gt;"",IF(AND(Sales_Deals!I2172&gt;DATE(2024,9,30),Sales_Deals!I2172&lt;=DATE(2025,3,31)),Sales_Deals!J2172,""),"")</f>
        <v/>
      </c>
      <c r="C2181" t="str">
        <f>IF(Sales_Deals!I2172&lt;&gt;"",IF(AND(Sales_Deals!I2172&gt;DATE(2024,3,31),Sales_Deals!I2172&lt;=DATE(2024,9,30)),Sales_Deals!J2172,""),"")</f>
        <v/>
      </c>
    </row>
    <row r="2182" spans="1:3" x14ac:dyDescent="0.35">
      <c r="A2182">
        <v>2172</v>
      </c>
      <c r="B2182" t="str">
        <f>IF(Sales_Deals!I2173&lt;&gt;"",IF(AND(Sales_Deals!I2173&gt;DATE(2024,9,30),Sales_Deals!I2173&lt;=DATE(2025,3,31)),Sales_Deals!J2173,""),"")</f>
        <v/>
      </c>
      <c r="C2182" t="str">
        <f>IF(Sales_Deals!I2173&lt;&gt;"",IF(AND(Sales_Deals!I2173&gt;DATE(2024,3,31),Sales_Deals!I2173&lt;=DATE(2024,9,30)),Sales_Deals!J2173,""),"")</f>
        <v/>
      </c>
    </row>
    <row r="2183" spans="1:3" x14ac:dyDescent="0.35">
      <c r="A2183">
        <v>2173</v>
      </c>
      <c r="B2183" t="str">
        <f>IF(Sales_Deals!I2174&lt;&gt;"",IF(AND(Sales_Deals!I2174&gt;DATE(2024,9,30),Sales_Deals!I2174&lt;=DATE(2025,3,31)),Sales_Deals!J2174,""),"")</f>
        <v/>
      </c>
      <c r="C2183" t="str">
        <f>IF(Sales_Deals!I2174&lt;&gt;"",IF(AND(Sales_Deals!I2174&gt;DATE(2024,3,31),Sales_Deals!I2174&lt;=DATE(2024,9,30)),Sales_Deals!J2174,""),"")</f>
        <v/>
      </c>
    </row>
    <row r="2184" spans="1:3" x14ac:dyDescent="0.35">
      <c r="A2184">
        <v>2174</v>
      </c>
      <c r="B2184" t="str">
        <f>IF(Sales_Deals!I2175&lt;&gt;"",IF(AND(Sales_Deals!I2175&gt;DATE(2024,9,30),Sales_Deals!I2175&lt;=DATE(2025,3,31)),Sales_Deals!J2175,""),"")</f>
        <v/>
      </c>
      <c r="C2184">
        <f>IF(Sales_Deals!I2175&lt;&gt;"",IF(AND(Sales_Deals!I2175&gt;DATE(2024,3,31),Sales_Deals!I2175&lt;=DATE(2024,9,30)),Sales_Deals!J2175,""),"")</f>
        <v>159</v>
      </c>
    </row>
    <row r="2185" spans="1:3" x14ac:dyDescent="0.35">
      <c r="A2185">
        <v>2175</v>
      </c>
      <c r="B2185" t="str">
        <f>IF(Sales_Deals!I2176&lt;&gt;"",IF(AND(Sales_Deals!I2176&gt;DATE(2024,9,30),Sales_Deals!I2176&lt;=DATE(2025,3,31)),Sales_Deals!J2176,""),"")</f>
        <v/>
      </c>
      <c r="C2185" t="str">
        <f>IF(Sales_Deals!I2176&lt;&gt;"",IF(AND(Sales_Deals!I2176&gt;DATE(2024,3,31),Sales_Deals!I2176&lt;=DATE(2024,9,30)),Sales_Deals!J2176,""),"")</f>
        <v/>
      </c>
    </row>
    <row r="2186" spans="1:3" x14ac:dyDescent="0.35">
      <c r="A2186">
        <v>2176</v>
      </c>
      <c r="B2186" t="str">
        <f>IF(Sales_Deals!I2177&lt;&gt;"",IF(AND(Sales_Deals!I2177&gt;DATE(2024,9,30),Sales_Deals!I2177&lt;=DATE(2025,3,31)),Sales_Deals!J2177,""),"")</f>
        <v/>
      </c>
      <c r="C2186" t="str">
        <f>IF(Sales_Deals!I2177&lt;&gt;"",IF(AND(Sales_Deals!I2177&gt;DATE(2024,3,31),Sales_Deals!I2177&lt;=DATE(2024,9,30)),Sales_Deals!J2177,""),"")</f>
        <v/>
      </c>
    </row>
    <row r="2187" spans="1:3" x14ac:dyDescent="0.35">
      <c r="A2187">
        <v>2177</v>
      </c>
      <c r="B2187">
        <f>IF(Sales_Deals!I2178&lt;&gt;"",IF(AND(Sales_Deals!I2178&gt;DATE(2024,9,30),Sales_Deals!I2178&lt;=DATE(2025,3,31)),Sales_Deals!J2178,""),"")</f>
        <v>71</v>
      </c>
      <c r="C2187" t="str">
        <f>IF(Sales_Deals!I2178&lt;&gt;"",IF(AND(Sales_Deals!I2178&gt;DATE(2024,3,31),Sales_Deals!I2178&lt;=DATE(2024,9,30)),Sales_Deals!J2178,""),"")</f>
        <v/>
      </c>
    </row>
    <row r="2188" spans="1:3" x14ac:dyDescent="0.35">
      <c r="A2188">
        <v>2178</v>
      </c>
      <c r="B2188" t="str">
        <f>IF(Sales_Deals!I2179&lt;&gt;"",IF(AND(Sales_Deals!I2179&gt;DATE(2024,9,30),Sales_Deals!I2179&lt;=DATE(2025,3,31)),Sales_Deals!J2179,""),"")</f>
        <v/>
      </c>
      <c r="C2188" t="str">
        <f>IF(Sales_Deals!I2179&lt;&gt;"",IF(AND(Sales_Deals!I2179&gt;DATE(2024,3,31),Sales_Deals!I2179&lt;=DATE(2024,9,30)),Sales_Deals!J2179,""),"")</f>
        <v/>
      </c>
    </row>
    <row r="2189" spans="1:3" x14ac:dyDescent="0.35">
      <c r="A2189">
        <v>2179</v>
      </c>
      <c r="B2189" t="str">
        <f>IF(Sales_Deals!I2180&lt;&gt;"",IF(AND(Sales_Deals!I2180&gt;DATE(2024,9,30),Sales_Deals!I2180&lt;=DATE(2025,3,31)),Sales_Deals!J2180,""),"")</f>
        <v/>
      </c>
      <c r="C2189" t="str">
        <f>IF(Sales_Deals!I2180&lt;&gt;"",IF(AND(Sales_Deals!I2180&gt;DATE(2024,3,31),Sales_Deals!I2180&lt;=DATE(2024,9,30)),Sales_Deals!J2180,""),"")</f>
        <v/>
      </c>
    </row>
    <row r="2190" spans="1:3" x14ac:dyDescent="0.35">
      <c r="A2190">
        <v>2180</v>
      </c>
      <c r="B2190" t="str">
        <f>IF(Sales_Deals!I2181&lt;&gt;"",IF(AND(Sales_Deals!I2181&gt;DATE(2024,9,30),Sales_Deals!I2181&lt;=DATE(2025,3,31)),Sales_Deals!J2181,""),"")</f>
        <v/>
      </c>
      <c r="C2190" t="str">
        <f>IF(Sales_Deals!I2181&lt;&gt;"",IF(AND(Sales_Deals!I2181&gt;DATE(2024,3,31),Sales_Deals!I2181&lt;=DATE(2024,9,30)),Sales_Deals!J2181,""),"")</f>
        <v/>
      </c>
    </row>
    <row r="2191" spans="1:3" x14ac:dyDescent="0.35">
      <c r="A2191">
        <v>2181</v>
      </c>
      <c r="B2191" t="str">
        <f>IF(Sales_Deals!I2182&lt;&gt;"",IF(AND(Sales_Deals!I2182&gt;DATE(2024,9,30),Sales_Deals!I2182&lt;=DATE(2025,3,31)),Sales_Deals!J2182,""),"")</f>
        <v/>
      </c>
      <c r="C2191" t="str">
        <f>IF(Sales_Deals!I2182&lt;&gt;"",IF(AND(Sales_Deals!I2182&gt;DATE(2024,3,31),Sales_Deals!I2182&lt;=DATE(2024,9,30)),Sales_Deals!J2182,""),"")</f>
        <v/>
      </c>
    </row>
    <row r="2192" spans="1:3" x14ac:dyDescent="0.35">
      <c r="A2192">
        <v>2182</v>
      </c>
      <c r="B2192" t="str">
        <f>IF(Sales_Deals!I2183&lt;&gt;"",IF(AND(Sales_Deals!I2183&gt;DATE(2024,9,30),Sales_Deals!I2183&lt;=DATE(2025,3,31)),Sales_Deals!J2183,""),"")</f>
        <v/>
      </c>
      <c r="C2192" t="str">
        <f>IF(Sales_Deals!I2183&lt;&gt;"",IF(AND(Sales_Deals!I2183&gt;DATE(2024,3,31),Sales_Deals!I2183&lt;=DATE(2024,9,30)),Sales_Deals!J2183,""),"")</f>
        <v/>
      </c>
    </row>
    <row r="2193" spans="1:3" x14ac:dyDescent="0.35">
      <c r="A2193">
        <v>2183</v>
      </c>
      <c r="B2193" t="str">
        <f>IF(Sales_Deals!I2184&lt;&gt;"",IF(AND(Sales_Deals!I2184&gt;DATE(2024,9,30),Sales_Deals!I2184&lt;=DATE(2025,3,31)),Sales_Deals!J2184,""),"")</f>
        <v/>
      </c>
      <c r="C2193" t="str">
        <f>IF(Sales_Deals!I2184&lt;&gt;"",IF(AND(Sales_Deals!I2184&gt;DATE(2024,3,31),Sales_Deals!I2184&lt;=DATE(2024,9,30)),Sales_Deals!J2184,""),"")</f>
        <v/>
      </c>
    </row>
    <row r="2194" spans="1:3" x14ac:dyDescent="0.35">
      <c r="A2194">
        <v>2184</v>
      </c>
      <c r="B2194" t="str">
        <f>IF(Sales_Deals!I2185&lt;&gt;"",IF(AND(Sales_Deals!I2185&gt;DATE(2024,9,30),Sales_Deals!I2185&lt;=DATE(2025,3,31)),Sales_Deals!J2185,""),"")</f>
        <v/>
      </c>
      <c r="C2194" t="str">
        <f>IF(Sales_Deals!I2185&lt;&gt;"",IF(AND(Sales_Deals!I2185&gt;DATE(2024,3,31),Sales_Deals!I2185&lt;=DATE(2024,9,30)),Sales_Deals!J2185,""),"")</f>
        <v/>
      </c>
    </row>
    <row r="2195" spans="1:3" x14ac:dyDescent="0.35">
      <c r="A2195">
        <v>2185</v>
      </c>
      <c r="B2195" t="str">
        <f>IF(Sales_Deals!I2186&lt;&gt;"",IF(AND(Sales_Deals!I2186&gt;DATE(2024,9,30),Sales_Deals!I2186&lt;=DATE(2025,3,31)),Sales_Deals!J2186,""),"")</f>
        <v/>
      </c>
      <c r="C2195" t="str">
        <f>IF(Sales_Deals!I2186&lt;&gt;"",IF(AND(Sales_Deals!I2186&gt;DATE(2024,3,31),Sales_Deals!I2186&lt;=DATE(2024,9,30)),Sales_Deals!J2186,""),"")</f>
        <v/>
      </c>
    </row>
    <row r="2196" spans="1:3" x14ac:dyDescent="0.35">
      <c r="A2196">
        <v>2186</v>
      </c>
      <c r="B2196" t="str">
        <f>IF(Sales_Deals!I2187&lt;&gt;"",IF(AND(Sales_Deals!I2187&gt;DATE(2024,9,30),Sales_Deals!I2187&lt;=DATE(2025,3,31)),Sales_Deals!J2187,""),"")</f>
        <v/>
      </c>
      <c r="C2196" t="str">
        <f>IF(Sales_Deals!I2187&lt;&gt;"",IF(AND(Sales_Deals!I2187&gt;DATE(2024,3,31),Sales_Deals!I2187&lt;=DATE(2024,9,30)),Sales_Deals!J2187,""),"")</f>
        <v/>
      </c>
    </row>
    <row r="2197" spans="1:3" x14ac:dyDescent="0.35">
      <c r="A2197">
        <v>2187</v>
      </c>
      <c r="B2197" t="str">
        <f>IF(Sales_Deals!I2188&lt;&gt;"",IF(AND(Sales_Deals!I2188&gt;DATE(2024,9,30),Sales_Deals!I2188&lt;=DATE(2025,3,31)),Sales_Deals!J2188,""),"")</f>
        <v/>
      </c>
      <c r="C2197" t="str">
        <f>IF(Sales_Deals!I2188&lt;&gt;"",IF(AND(Sales_Deals!I2188&gt;DATE(2024,3,31),Sales_Deals!I2188&lt;=DATE(2024,9,30)),Sales_Deals!J2188,""),"")</f>
        <v/>
      </c>
    </row>
    <row r="2198" spans="1:3" x14ac:dyDescent="0.35">
      <c r="A2198">
        <v>2188</v>
      </c>
      <c r="B2198" t="str">
        <f>IF(Sales_Deals!I2189&lt;&gt;"",IF(AND(Sales_Deals!I2189&gt;DATE(2024,9,30),Sales_Deals!I2189&lt;=DATE(2025,3,31)),Sales_Deals!J2189,""),"")</f>
        <v/>
      </c>
      <c r="C2198" t="str">
        <f>IF(Sales_Deals!I2189&lt;&gt;"",IF(AND(Sales_Deals!I2189&gt;DATE(2024,3,31),Sales_Deals!I2189&lt;=DATE(2024,9,30)),Sales_Deals!J2189,""),"")</f>
        <v/>
      </c>
    </row>
    <row r="2199" spans="1:3" x14ac:dyDescent="0.35">
      <c r="A2199">
        <v>2189</v>
      </c>
      <c r="B2199" t="str">
        <f>IF(Sales_Deals!I2190&lt;&gt;"",IF(AND(Sales_Deals!I2190&gt;DATE(2024,9,30),Sales_Deals!I2190&lt;=DATE(2025,3,31)),Sales_Deals!J2190,""),"")</f>
        <v/>
      </c>
      <c r="C2199" t="str">
        <f>IF(Sales_Deals!I2190&lt;&gt;"",IF(AND(Sales_Deals!I2190&gt;DATE(2024,3,31),Sales_Deals!I2190&lt;=DATE(2024,9,30)),Sales_Deals!J2190,""),"")</f>
        <v/>
      </c>
    </row>
    <row r="2200" spans="1:3" x14ac:dyDescent="0.35">
      <c r="A2200">
        <v>2190</v>
      </c>
      <c r="B2200" t="str">
        <f>IF(Sales_Deals!I2191&lt;&gt;"",IF(AND(Sales_Deals!I2191&gt;DATE(2024,9,30),Sales_Deals!I2191&lt;=DATE(2025,3,31)),Sales_Deals!J2191,""),"")</f>
        <v/>
      </c>
      <c r="C2200" t="str">
        <f>IF(Sales_Deals!I2191&lt;&gt;"",IF(AND(Sales_Deals!I2191&gt;DATE(2024,3,31),Sales_Deals!I2191&lt;=DATE(2024,9,30)),Sales_Deals!J2191,""),"")</f>
        <v/>
      </c>
    </row>
    <row r="2201" spans="1:3" x14ac:dyDescent="0.35">
      <c r="A2201">
        <v>2191</v>
      </c>
      <c r="B2201" t="str">
        <f>IF(Sales_Deals!I2192&lt;&gt;"",IF(AND(Sales_Deals!I2192&gt;DATE(2024,9,30),Sales_Deals!I2192&lt;=DATE(2025,3,31)),Sales_Deals!J2192,""),"")</f>
        <v/>
      </c>
      <c r="C2201" t="str">
        <f>IF(Sales_Deals!I2192&lt;&gt;"",IF(AND(Sales_Deals!I2192&gt;DATE(2024,3,31),Sales_Deals!I2192&lt;=DATE(2024,9,30)),Sales_Deals!J2192,""),"")</f>
        <v/>
      </c>
    </row>
    <row r="2202" spans="1:3" x14ac:dyDescent="0.35">
      <c r="A2202">
        <v>2192</v>
      </c>
      <c r="B2202" t="str">
        <f>IF(Sales_Deals!I2193&lt;&gt;"",IF(AND(Sales_Deals!I2193&gt;DATE(2024,9,30),Sales_Deals!I2193&lt;=DATE(2025,3,31)),Sales_Deals!J2193,""),"")</f>
        <v/>
      </c>
      <c r="C2202">
        <f>IF(Sales_Deals!I2193&lt;&gt;"",IF(AND(Sales_Deals!I2193&gt;DATE(2024,3,31),Sales_Deals!I2193&lt;=DATE(2024,9,30)),Sales_Deals!J2193,""),"")</f>
        <v>27</v>
      </c>
    </row>
    <row r="2203" spans="1:3" x14ac:dyDescent="0.35">
      <c r="A2203">
        <v>2193</v>
      </c>
      <c r="B2203" t="str">
        <f>IF(Sales_Deals!I2194&lt;&gt;"",IF(AND(Sales_Deals!I2194&gt;DATE(2024,9,30),Sales_Deals!I2194&lt;=DATE(2025,3,31)),Sales_Deals!J2194,""),"")</f>
        <v/>
      </c>
      <c r="C2203" t="str">
        <f>IF(Sales_Deals!I2194&lt;&gt;"",IF(AND(Sales_Deals!I2194&gt;DATE(2024,3,31),Sales_Deals!I2194&lt;=DATE(2024,9,30)),Sales_Deals!J2194,""),"")</f>
        <v/>
      </c>
    </row>
    <row r="2204" spans="1:3" x14ac:dyDescent="0.35">
      <c r="A2204">
        <v>2194</v>
      </c>
      <c r="B2204" t="str">
        <f>IF(Sales_Deals!I2195&lt;&gt;"",IF(AND(Sales_Deals!I2195&gt;DATE(2024,9,30),Sales_Deals!I2195&lt;=DATE(2025,3,31)),Sales_Deals!J2195,""),"")</f>
        <v/>
      </c>
      <c r="C2204" t="str">
        <f>IF(Sales_Deals!I2195&lt;&gt;"",IF(AND(Sales_Deals!I2195&gt;DATE(2024,3,31),Sales_Deals!I2195&lt;=DATE(2024,9,30)),Sales_Deals!J2195,""),"")</f>
        <v/>
      </c>
    </row>
    <row r="2205" spans="1:3" x14ac:dyDescent="0.35">
      <c r="A2205">
        <v>2195</v>
      </c>
      <c r="B2205" t="str">
        <f>IF(Sales_Deals!I2196&lt;&gt;"",IF(AND(Sales_Deals!I2196&gt;DATE(2024,9,30),Sales_Deals!I2196&lt;=DATE(2025,3,31)),Sales_Deals!J2196,""),"")</f>
        <v/>
      </c>
      <c r="C2205" t="str">
        <f>IF(Sales_Deals!I2196&lt;&gt;"",IF(AND(Sales_Deals!I2196&gt;DATE(2024,3,31),Sales_Deals!I2196&lt;=DATE(2024,9,30)),Sales_Deals!J2196,""),"")</f>
        <v/>
      </c>
    </row>
    <row r="2206" spans="1:3" x14ac:dyDescent="0.35">
      <c r="A2206">
        <v>2196</v>
      </c>
      <c r="B2206" t="str">
        <f>IF(Sales_Deals!I2197&lt;&gt;"",IF(AND(Sales_Deals!I2197&gt;DATE(2024,9,30),Sales_Deals!I2197&lt;=DATE(2025,3,31)),Sales_Deals!J2197,""),"")</f>
        <v/>
      </c>
      <c r="C2206" t="str">
        <f>IF(Sales_Deals!I2197&lt;&gt;"",IF(AND(Sales_Deals!I2197&gt;DATE(2024,3,31),Sales_Deals!I2197&lt;=DATE(2024,9,30)),Sales_Deals!J2197,""),"")</f>
        <v/>
      </c>
    </row>
    <row r="2207" spans="1:3" x14ac:dyDescent="0.35">
      <c r="A2207">
        <v>2197</v>
      </c>
      <c r="B2207" t="str">
        <f>IF(Sales_Deals!I2198&lt;&gt;"",IF(AND(Sales_Deals!I2198&gt;DATE(2024,9,30),Sales_Deals!I2198&lt;=DATE(2025,3,31)),Sales_Deals!J2198,""),"")</f>
        <v/>
      </c>
      <c r="C2207" t="str">
        <f>IF(Sales_Deals!I2198&lt;&gt;"",IF(AND(Sales_Deals!I2198&gt;DATE(2024,3,31),Sales_Deals!I2198&lt;=DATE(2024,9,30)),Sales_Deals!J2198,""),"")</f>
        <v/>
      </c>
    </row>
    <row r="2208" spans="1:3" x14ac:dyDescent="0.35">
      <c r="A2208">
        <v>2198</v>
      </c>
      <c r="B2208" t="str">
        <f>IF(Sales_Deals!I2199&lt;&gt;"",IF(AND(Sales_Deals!I2199&gt;DATE(2024,9,30),Sales_Deals!I2199&lt;=DATE(2025,3,31)),Sales_Deals!J2199,""),"")</f>
        <v/>
      </c>
      <c r="C2208" t="str">
        <f>IF(Sales_Deals!I2199&lt;&gt;"",IF(AND(Sales_Deals!I2199&gt;DATE(2024,3,31),Sales_Deals!I2199&lt;=DATE(2024,9,30)),Sales_Deals!J2199,""),"")</f>
        <v/>
      </c>
    </row>
    <row r="2209" spans="1:3" x14ac:dyDescent="0.35">
      <c r="A2209">
        <v>2199</v>
      </c>
      <c r="B2209">
        <f>IF(Sales_Deals!I2200&lt;&gt;"",IF(AND(Sales_Deals!I2200&gt;DATE(2024,9,30),Sales_Deals!I2200&lt;=DATE(2025,3,31)),Sales_Deals!J2200,""),"")</f>
        <v>68</v>
      </c>
      <c r="C2209" t="str">
        <f>IF(Sales_Deals!I2200&lt;&gt;"",IF(AND(Sales_Deals!I2200&gt;DATE(2024,3,31),Sales_Deals!I2200&lt;=DATE(2024,9,30)),Sales_Deals!J2200,""),"")</f>
        <v/>
      </c>
    </row>
    <row r="2210" spans="1:3" x14ac:dyDescent="0.35">
      <c r="A2210">
        <v>2200</v>
      </c>
      <c r="B2210">
        <f>IF(Sales_Deals!I2201&lt;&gt;"",IF(AND(Sales_Deals!I2201&gt;DATE(2024,9,30),Sales_Deals!I2201&lt;=DATE(2025,3,31)),Sales_Deals!J2201,""),"")</f>
        <v>108</v>
      </c>
      <c r="C2210" t="str">
        <f>IF(Sales_Deals!I2201&lt;&gt;"",IF(AND(Sales_Deals!I2201&gt;DATE(2024,3,31),Sales_Deals!I2201&lt;=DATE(2024,9,30)),Sales_Deals!J2201,""),"")</f>
        <v/>
      </c>
    </row>
    <row r="2211" spans="1:3" x14ac:dyDescent="0.35">
      <c r="A2211">
        <v>2201</v>
      </c>
      <c r="B2211" t="str">
        <f>IF(Sales_Deals!I2202&lt;&gt;"",IF(AND(Sales_Deals!I2202&gt;DATE(2024,9,30),Sales_Deals!I2202&lt;=DATE(2025,3,31)),Sales_Deals!J2202,""),"")</f>
        <v/>
      </c>
      <c r="C2211" t="str">
        <f>IF(Sales_Deals!I2202&lt;&gt;"",IF(AND(Sales_Deals!I2202&gt;DATE(2024,3,31),Sales_Deals!I2202&lt;=DATE(2024,9,30)),Sales_Deals!J2202,""),"")</f>
        <v/>
      </c>
    </row>
    <row r="2212" spans="1:3" x14ac:dyDescent="0.35">
      <c r="A2212">
        <v>2202</v>
      </c>
      <c r="B2212" t="str">
        <f>IF(Sales_Deals!I2203&lt;&gt;"",IF(AND(Sales_Deals!I2203&gt;DATE(2024,9,30),Sales_Deals!I2203&lt;=DATE(2025,3,31)),Sales_Deals!J2203,""),"")</f>
        <v/>
      </c>
      <c r="C2212" t="str">
        <f>IF(Sales_Deals!I2203&lt;&gt;"",IF(AND(Sales_Deals!I2203&gt;DATE(2024,3,31),Sales_Deals!I2203&lt;=DATE(2024,9,30)),Sales_Deals!J2203,""),"")</f>
        <v/>
      </c>
    </row>
    <row r="2213" spans="1:3" x14ac:dyDescent="0.35">
      <c r="A2213">
        <v>2203</v>
      </c>
      <c r="B2213" t="str">
        <f>IF(Sales_Deals!I2204&lt;&gt;"",IF(AND(Sales_Deals!I2204&gt;DATE(2024,9,30),Sales_Deals!I2204&lt;=DATE(2025,3,31)),Sales_Deals!J2204,""),"")</f>
        <v/>
      </c>
      <c r="C2213" t="str">
        <f>IF(Sales_Deals!I2204&lt;&gt;"",IF(AND(Sales_Deals!I2204&gt;DATE(2024,3,31),Sales_Deals!I2204&lt;=DATE(2024,9,30)),Sales_Deals!J2204,""),"")</f>
        <v/>
      </c>
    </row>
    <row r="2214" spans="1:3" x14ac:dyDescent="0.35">
      <c r="A2214">
        <v>2204</v>
      </c>
      <c r="B2214" t="str">
        <f>IF(Sales_Deals!I2205&lt;&gt;"",IF(AND(Sales_Deals!I2205&gt;DATE(2024,9,30),Sales_Deals!I2205&lt;=DATE(2025,3,31)),Sales_Deals!J2205,""),"")</f>
        <v/>
      </c>
      <c r="C2214" t="str">
        <f>IF(Sales_Deals!I2205&lt;&gt;"",IF(AND(Sales_Deals!I2205&gt;DATE(2024,3,31),Sales_Deals!I2205&lt;=DATE(2024,9,30)),Sales_Deals!J2205,""),"")</f>
        <v/>
      </c>
    </row>
    <row r="2215" spans="1:3" x14ac:dyDescent="0.35">
      <c r="A2215">
        <v>2205</v>
      </c>
      <c r="B2215" t="str">
        <f>IF(Sales_Deals!I2206&lt;&gt;"",IF(AND(Sales_Deals!I2206&gt;DATE(2024,9,30),Sales_Deals!I2206&lt;=DATE(2025,3,31)),Sales_Deals!J2206,""),"")</f>
        <v/>
      </c>
      <c r="C2215" t="str">
        <f>IF(Sales_Deals!I2206&lt;&gt;"",IF(AND(Sales_Deals!I2206&gt;DATE(2024,3,31),Sales_Deals!I2206&lt;=DATE(2024,9,30)),Sales_Deals!J2206,""),"")</f>
        <v/>
      </c>
    </row>
    <row r="2216" spans="1:3" x14ac:dyDescent="0.35">
      <c r="A2216">
        <v>2206</v>
      </c>
      <c r="B2216" t="str">
        <f>IF(Sales_Deals!I2207&lt;&gt;"",IF(AND(Sales_Deals!I2207&gt;DATE(2024,9,30),Sales_Deals!I2207&lt;=DATE(2025,3,31)),Sales_Deals!J2207,""),"")</f>
        <v/>
      </c>
      <c r="C2216" t="str">
        <f>IF(Sales_Deals!I2207&lt;&gt;"",IF(AND(Sales_Deals!I2207&gt;DATE(2024,3,31),Sales_Deals!I2207&lt;=DATE(2024,9,30)),Sales_Deals!J2207,""),"")</f>
        <v/>
      </c>
    </row>
    <row r="2217" spans="1:3" x14ac:dyDescent="0.35">
      <c r="A2217">
        <v>2207</v>
      </c>
      <c r="B2217">
        <f>IF(Sales_Deals!I2208&lt;&gt;"",IF(AND(Sales_Deals!I2208&gt;DATE(2024,9,30),Sales_Deals!I2208&lt;=DATE(2025,3,31)),Sales_Deals!J2208,""),"")</f>
        <v>61</v>
      </c>
      <c r="C2217" t="str">
        <f>IF(Sales_Deals!I2208&lt;&gt;"",IF(AND(Sales_Deals!I2208&gt;DATE(2024,3,31),Sales_Deals!I2208&lt;=DATE(2024,9,30)),Sales_Deals!J2208,""),"")</f>
        <v/>
      </c>
    </row>
    <row r="2218" spans="1:3" x14ac:dyDescent="0.35">
      <c r="A2218">
        <v>2208</v>
      </c>
      <c r="B2218" t="str">
        <f>IF(Sales_Deals!I2209&lt;&gt;"",IF(AND(Sales_Deals!I2209&gt;DATE(2024,9,30),Sales_Deals!I2209&lt;=DATE(2025,3,31)),Sales_Deals!J2209,""),"")</f>
        <v/>
      </c>
      <c r="C2218" t="str">
        <f>IF(Sales_Deals!I2209&lt;&gt;"",IF(AND(Sales_Deals!I2209&gt;DATE(2024,3,31),Sales_Deals!I2209&lt;=DATE(2024,9,30)),Sales_Deals!J2209,""),"")</f>
        <v/>
      </c>
    </row>
    <row r="2219" spans="1:3" x14ac:dyDescent="0.35">
      <c r="A2219">
        <v>2209</v>
      </c>
      <c r="B2219" t="str">
        <f>IF(Sales_Deals!I2210&lt;&gt;"",IF(AND(Sales_Deals!I2210&gt;DATE(2024,9,30),Sales_Deals!I2210&lt;=DATE(2025,3,31)),Sales_Deals!J2210,""),"")</f>
        <v/>
      </c>
      <c r="C2219" t="str">
        <f>IF(Sales_Deals!I2210&lt;&gt;"",IF(AND(Sales_Deals!I2210&gt;DATE(2024,3,31),Sales_Deals!I2210&lt;=DATE(2024,9,30)),Sales_Deals!J2210,""),"")</f>
        <v/>
      </c>
    </row>
    <row r="2220" spans="1:3" x14ac:dyDescent="0.35">
      <c r="A2220">
        <v>2210</v>
      </c>
      <c r="B2220" t="str">
        <f>IF(Sales_Deals!I2211&lt;&gt;"",IF(AND(Sales_Deals!I2211&gt;DATE(2024,9,30),Sales_Deals!I2211&lt;=DATE(2025,3,31)),Sales_Deals!J2211,""),"")</f>
        <v/>
      </c>
      <c r="C2220" t="str">
        <f>IF(Sales_Deals!I2211&lt;&gt;"",IF(AND(Sales_Deals!I2211&gt;DATE(2024,3,31),Sales_Deals!I2211&lt;=DATE(2024,9,30)),Sales_Deals!J2211,""),"")</f>
        <v/>
      </c>
    </row>
    <row r="2221" spans="1:3" x14ac:dyDescent="0.35">
      <c r="A2221">
        <v>2211</v>
      </c>
      <c r="B2221" t="str">
        <f>IF(Sales_Deals!I2212&lt;&gt;"",IF(AND(Sales_Deals!I2212&gt;DATE(2024,9,30),Sales_Deals!I2212&lt;=DATE(2025,3,31)),Sales_Deals!J2212,""),"")</f>
        <v/>
      </c>
      <c r="C2221">
        <f>IF(Sales_Deals!I2212&lt;&gt;"",IF(AND(Sales_Deals!I2212&gt;DATE(2024,3,31),Sales_Deals!I2212&lt;=DATE(2024,9,30)),Sales_Deals!J2212,""),"")</f>
        <v>69</v>
      </c>
    </row>
    <row r="2222" spans="1:3" x14ac:dyDescent="0.35">
      <c r="A2222">
        <v>2212</v>
      </c>
      <c r="B2222">
        <f>IF(Sales_Deals!I2213&lt;&gt;"",IF(AND(Sales_Deals!I2213&gt;DATE(2024,9,30),Sales_Deals!I2213&lt;=DATE(2025,3,31)),Sales_Deals!J2213,""),"")</f>
        <v>174</v>
      </c>
      <c r="C2222" t="str">
        <f>IF(Sales_Deals!I2213&lt;&gt;"",IF(AND(Sales_Deals!I2213&gt;DATE(2024,3,31),Sales_Deals!I2213&lt;=DATE(2024,9,30)),Sales_Deals!J2213,""),"")</f>
        <v/>
      </c>
    </row>
    <row r="2223" spans="1:3" x14ac:dyDescent="0.35">
      <c r="A2223">
        <v>2213</v>
      </c>
      <c r="B2223" t="str">
        <f>IF(Sales_Deals!I2214&lt;&gt;"",IF(AND(Sales_Deals!I2214&gt;DATE(2024,9,30),Sales_Deals!I2214&lt;=DATE(2025,3,31)),Sales_Deals!J2214,""),"")</f>
        <v/>
      </c>
      <c r="C2223" t="str">
        <f>IF(Sales_Deals!I2214&lt;&gt;"",IF(AND(Sales_Deals!I2214&gt;DATE(2024,3,31),Sales_Deals!I2214&lt;=DATE(2024,9,30)),Sales_Deals!J2214,""),"")</f>
        <v/>
      </c>
    </row>
    <row r="2224" spans="1:3" x14ac:dyDescent="0.35">
      <c r="A2224">
        <v>2214</v>
      </c>
      <c r="B2224" t="str">
        <f>IF(Sales_Deals!I2215&lt;&gt;"",IF(AND(Sales_Deals!I2215&gt;DATE(2024,9,30),Sales_Deals!I2215&lt;=DATE(2025,3,31)),Sales_Deals!J2215,""),"")</f>
        <v/>
      </c>
      <c r="C2224" t="str">
        <f>IF(Sales_Deals!I2215&lt;&gt;"",IF(AND(Sales_Deals!I2215&gt;DATE(2024,3,31),Sales_Deals!I2215&lt;=DATE(2024,9,30)),Sales_Deals!J2215,""),"")</f>
        <v/>
      </c>
    </row>
    <row r="2225" spans="1:3" x14ac:dyDescent="0.35">
      <c r="A2225">
        <v>2215</v>
      </c>
      <c r="B2225" t="str">
        <f>IF(Sales_Deals!I2216&lt;&gt;"",IF(AND(Sales_Deals!I2216&gt;DATE(2024,9,30),Sales_Deals!I2216&lt;=DATE(2025,3,31)),Sales_Deals!J2216,""),"")</f>
        <v/>
      </c>
      <c r="C2225" t="str">
        <f>IF(Sales_Deals!I2216&lt;&gt;"",IF(AND(Sales_Deals!I2216&gt;DATE(2024,3,31),Sales_Deals!I2216&lt;=DATE(2024,9,30)),Sales_Deals!J2216,""),"")</f>
        <v/>
      </c>
    </row>
    <row r="2226" spans="1:3" x14ac:dyDescent="0.35">
      <c r="A2226">
        <v>2216</v>
      </c>
      <c r="B2226" t="str">
        <f>IF(Sales_Deals!I2217&lt;&gt;"",IF(AND(Sales_Deals!I2217&gt;DATE(2024,9,30),Sales_Deals!I2217&lt;=DATE(2025,3,31)),Sales_Deals!J2217,""),"")</f>
        <v/>
      </c>
      <c r="C2226" t="str">
        <f>IF(Sales_Deals!I2217&lt;&gt;"",IF(AND(Sales_Deals!I2217&gt;DATE(2024,3,31),Sales_Deals!I2217&lt;=DATE(2024,9,30)),Sales_Deals!J2217,""),"")</f>
        <v/>
      </c>
    </row>
    <row r="2227" spans="1:3" x14ac:dyDescent="0.35">
      <c r="A2227">
        <v>2217</v>
      </c>
      <c r="B2227" t="str">
        <f>IF(Sales_Deals!I2218&lt;&gt;"",IF(AND(Sales_Deals!I2218&gt;DATE(2024,9,30),Sales_Deals!I2218&lt;=DATE(2025,3,31)),Sales_Deals!J2218,""),"")</f>
        <v/>
      </c>
      <c r="C2227" t="str">
        <f>IF(Sales_Deals!I2218&lt;&gt;"",IF(AND(Sales_Deals!I2218&gt;DATE(2024,3,31),Sales_Deals!I2218&lt;=DATE(2024,9,30)),Sales_Deals!J2218,""),"")</f>
        <v/>
      </c>
    </row>
    <row r="2228" spans="1:3" x14ac:dyDescent="0.35">
      <c r="A2228">
        <v>2218</v>
      </c>
      <c r="B2228" t="str">
        <f>IF(Sales_Deals!I2219&lt;&gt;"",IF(AND(Sales_Deals!I2219&gt;DATE(2024,9,30),Sales_Deals!I2219&lt;=DATE(2025,3,31)),Sales_Deals!J2219,""),"")</f>
        <v/>
      </c>
      <c r="C2228" t="str">
        <f>IF(Sales_Deals!I2219&lt;&gt;"",IF(AND(Sales_Deals!I2219&gt;DATE(2024,3,31),Sales_Deals!I2219&lt;=DATE(2024,9,30)),Sales_Deals!J2219,""),"")</f>
        <v/>
      </c>
    </row>
    <row r="2229" spans="1:3" x14ac:dyDescent="0.35">
      <c r="A2229">
        <v>2219</v>
      </c>
      <c r="B2229" t="str">
        <f>IF(Sales_Deals!I2220&lt;&gt;"",IF(AND(Sales_Deals!I2220&gt;DATE(2024,9,30),Sales_Deals!I2220&lt;=DATE(2025,3,31)),Sales_Deals!J2220,""),"")</f>
        <v/>
      </c>
      <c r="C2229" t="str">
        <f>IF(Sales_Deals!I2220&lt;&gt;"",IF(AND(Sales_Deals!I2220&gt;DATE(2024,3,31),Sales_Deals!I2220&lt;=DATE(2024,9,30)),Sales_Deals!J2220,""),"")</f>
        <v/>
      </c>
    </row>
    <row r="2230" spans="1:3" x14ac:dyDescent="0.35">
      <c r="A2230">
        <v>2220</v>
      </c>
      <c r="B2230" t="str">
        <f>IF(Sales_Deals!I2221&lt;&gt;"",IF(AND(Sales_Deals!I2221&gt;DATE(2024,9,30),Sales_Deals!I2221&lt;=DATE(2025,3,31)),Sales_Deals!J2221,""),"")</f>
        <v/>
      </c>
      <c r="C2230" t="str">
        <f>IF(Sales_Deals!I2221&lt;&gt;"",IF(AND(Sales_Deals!I2221&gt;DATE(2024,3,31),Sales_Deals!I2221&lt;=DATE(2024,9,30)),Sales_Deals!J2221,""),"")</f>
        <v/>
      </c>
    </row>
    <row r="2231" spans="1:3" x14ac:dyDescent="0.35">
      <c r="A2231">
        <v>2221</v>
      </c>
      <c r="B2231" t="str">
        <f>IF(Sales_Deals!I2222&lt;&gt;"",IF(AND(Sales_Deals!I2222&gt;DATE(2024,9,30),Sales_Deals!I2222&lt;=DATE(2025,3,31)),Sales_Deals!J2222,""),"")</f>
        <v/>
      </c>
      <c r="C2231" t="str">
        <f>IF(Sales_Deals!I2222&lt;&gt;"",IF(AND(Sales_Deals!I2222&gt;DATE(2024,3,31),Sales_Deals!I2222&lt;=DATE(2024,9,30)),Sales_Deals!J2222,""),"")</f>
        <v/>
      </c>
    </row>
    <row r="2232" spans="1:3" x14ac:dyDescent="0.35">
      <c r="A2232">
        <v>2222</v>
      </c>
      <c r="B2232" t="str">
        <f>IF(Sales_Deals!I2223&lt;&gt;"",IF(AND(Sales_Deals!I2223&gt;DATE(2024,9,30),Sales_Deals!I2223&lt;=DATE(2025,3,31)),Sales_Deals!J2223,""),"")</f>
        <v/>
      </c>
      <c r="C2232" t="str">
        <f>IF(Sales_Deals!I2223&lt;&gt;"",IF(AND(Sales_Deals!I2223&gt;DATE(2024,3,31),Sales_Deals!I2223&lt;=DATE(2024,9,30)),Sales_Deals!J2223,""),"")</f>
        <v/>
      </c>
    </row>
    <row r="2233" spans="1:3" x14ac:dyDescent="0.35">
      <c r="A2233">
        <v>2223</v>
      </c>
      <c r="B2233" t="str">
        <f>IF(Sales_Deals!I2224&lt;&gt;"",IF(AND(Sales_Deals!I2224&gt;DATE(2024,9,30),Sales_Deals!I2224&lt;=DATE(2025,3,31)),Sales_Deals!J2224,""),"")</f>
        <v/>
      </c>
      <c r="C2233">
        <f>IF(Sales_Deals!I2224&lt;&gt;"",IF(AND(Sales_Deals!I2224&gt;DATE(2024,3,31),Sales_Deals!I2224&lt;=DATE(2024,9,30)),Sales_Deals!J2224,""),"")</f>
        <v>89</v>
      </c>
    </row>
    <row r="2234" spans="1:3" x14ac:dyDescent="0.35">
      <c r="A2234">
        <v>2224</v>
      </c>
      <c r="B2234">
        <f>IF(Sales_Deals!I2225&lt;&gt;"",IF(AND(Sales_Deals!I2225&gt;DATE(2024,9,30),Sales_Deals!I2225&lt;=DATE(2025,3,31)),Sales_Deals!J2225,""),"")</f>
        <v>90</v>
      </c>
      <c r="C2234" t="str">
        <f>IF(Sales_Deals!I2225&lt;&gt;"",IF(AND(Sales_Deals!I2225&gt;DATE(2024,3,31),Sales_Deals!I2225&lt;=DATE(2024,9,30)),Sales_Deals!J2225,""),"")</f>
        <v/>
      </c>
    </row>
    <row r="2235" spans="1:3" x14ac:dyDescent="0.35">
      <c r="A2235">
        <v>2225</v>
      </c>
      <c r="B2235" t="str">
        <f>IF(Sales_Deals!I2226&lt;&gt;"",IF(AND(Sales_Deals!I2226&gt;DATE(2024,9,30),Sales_Deals!I2226&lt;=DATE(2025,3,31)),Sales_Deals!J2226,""),"")</f>
        <v/>
      </c>
      <c r="C2235">
        <f>IF(Sales_Deals!I2226&lt;&gt;"",IF(AND(Sales_Deals!I2226&gt;DATE(2024,3,31),Sales_Deals!I2226&lt;=DATE(2024,9,30)),Sales_Deals!J2226,""),"")</f>
        <v>36</v>
      </c>
    </row>
    <row r="2236" spans="1:3" x14ac:dyDescent="0.35">
      <c r="A2236">
        <v>2226</v>
      </c>
      <c r="B2236" t="str">
        <f>IF(Sales_Deals!I2227&lt;&gt;"",IF(AND(Sales_Deals!I2227&gt;DATE(2024,9,30),Sales_Deals!I2227&lt;=DATE(2025,3,31)),Sales_Deals!J2227,""),"")</f>
        <v/>
      </c>
      <c r="C2236" t="str">
        <f>IF(Sales_Deals!I2227&lt;&gt;"",IF(AND(Sales_Deals!I2227&gt;DATE(2024,3,31),Sales_Deals!I2227&lt;=DATE(2024,9,30)),Sales_Deals!J2227,""),"")</f>
        <v/>
      </c>
    </row>
    <row r="2237" spans="1:3" x14ac:dyDescent="0.35">
      <c r="A2237">
        <v>2227</v>
      </c>
      <c r="B2237" t="str">
        <f>IF(Sales_Deals!I2228&lt;&gt;"",IF(AND(Sales_Deals!I2228&gt;DATE(2024,9,30),Sales_Deals!I2228&lt;=DATE(2025,3,31)),Sales_Deals!J2228,""),"")</f>
        <v/>
      </c>
      <c r="C2237" t="str">
        <f>IF(Sales_Deals!I2228&lt;&gt;"",IF(AND(Sales_Deals!I2228&gt;DATE(2024,3,31),Sales_Deals!I2228&lt;=DATE(2024,9,30)),Sales_Deals!J2228,""),"")</f>
        <v/>
      </c>
    </row>
    <row r="2238" spans="1:3" x14ac:dyDescent="0.35">
      <c r="A2238">
        <v>2228</v>
      </c>
      <c r="B2238" t="str">
        <f>IF(Sales_Deals!I2229&lt;&gt;"",IF(AND(Sales_Deals!I2229&gt;DATE(2024,9,30),Sales_Deals!I2229&lt;=DATE(2025,3,31)),Sales_Deals!J2229,""),"")</f>
        <v/>
      </c>
      <c r="C2238" t="str">
        <f>IF(Sales_Deals!I2229&lt;&gt;"",IF(AND(Sales_Deals!I2229&gt;DATE(2024,3,31),Sales_Deals!I2229&lt;=DATE(2024,9,30)),Sales_Deals!J2229,""),"")</f>
        <v/>
      </c>
    </row>
    <row r="2239" spans="1:3" x14ac:dyDescent="0.35">
      <c r="A2239">
        <v>2229</v>
      </c>
      <c r="B2239" t="str">
        <f>IF(Sales_Deals!I2230&lt;&gt;"",IF(AND(Sales_Deals!I2230&gt;DATE(2024,9,30),Sales_Deals!I2230&lt;=DATE(2025,3,31)),Sales_Deals!J2230,""),"")</f>
        <v/>
      </c>
      <c r="C2239" t="str">
        <f>IF(Sales_Deals!I2230&lt;&gt;"",IF(AND(Sales_Deals!I2230&gt;DATE(2024,3,31),Sales_Deals!I2230&lt;=DATE(2024,9,30)),Sales_Deals!J2230,""),"")</f>
        <v/>
      </c>
    </row>
    <row r="2240" spans="1:3" x14ac:dyDescent="0.35">
      <c r="A2240">
        <v>2230</v>
      </c>
      <c r="B2240" t="str">
        <f>IF(Sales_Deals!I2231&lt;&gt;"",IF(AND(Sales_Deals!I2231&gt;DATE(2024,9,30),Sales_Deals!I2231&lt;=DATE(2025,3,31)),Sales_Deals!J2231,""),"")</f>
        <v/>
      </c>
      <c r="C2240" t="str">
        <f>IF(Sales_Deals!I2231&lt;&gt;"",IF(AND(Sales_Deals!I2231&gt;DATE(2024,3,31),Sales_Deals!I2231&lt;=DATE(2024,9,30)),Sales_Deals!J2231,""),"")</f>
        <v/>
      </c>
    </row>
    <row r="2241" spans="1:3" x14ac:dyDescent="0.35">
      <c r="A2241">
        <v>2231</v>
      </c>
      <c r="B2241" t="str">
        <f>IF(Sales_Deals!I2232&lt;&gt;"",IF(AND(Sales_Deals!I2232&gt;DATE(2024,9,30),Sales_Deals!I2232&lt;=DATE(2025,3,31)),Sales_Deals!J2232,""),"")</f>
        <v/>
      </c>
      <c r="C2241" t="str">
        <f>IF(Sales_Deals!I2232&lt;&gt;"",IF(AND(Sales_Deals!I2232&gt;DATE(2024,3,31),Sales_Deals!I2232&lt;=DATE(2024,9,30)),Sales_Deals!J2232,""),"")</f>
        <v/>
      </c>
    </row>
    <row r="2242" spans="1:3" x14ac:dyDescent="0.35">
      <c r="A2242">
        <v>2232</v>
      </c>
      <c r="B2242" t="str">
        <f>IF(Sales_Deals!I2233&lt;&gt;"",IF(AND(Sales_Deals!I2233&gt;DATE(2024,9,30),Sales_Deals!I2233&lt;=DATE(2025,3,31)),Sales_Deals!J2233,""),"")</f>
        <v/>
      </c>
      <c r="C2242" t="str">
        <f>IF(Sales_Deals!I2233&lt;&gt;"",IF(AND(Sales_Deals!I2233&gt;DATE(2024,3,31),Sales_Deals!I2233&lt;=DATE(2024,9,30)),Sales_Deals!J2233,""),"")</f>
        <v/>
      </c>
    </row>
    <row r="2243" spans="1:3" x14ac:dyDescent="0.35">
      <c r="A2243">
        <v>2233</v>
      </c>
      <c r="B2243" t="str">
        <f>IF(Sales_Deals!I2234&lt;&gt;"",IF(AND(Sales_Deals!I2234&gt;DATE(2024,9,30),Sales_Deals!I2234&lt;=DATE(2025,3,31)),Sales_Deals!J2234,""),"")</f>
        <v/>
      </c>
      <c r="C2243" t="str">
        <f>IF(Sales_Deals!I2234&lt;&gt;"",IF(AND(Sales_Deals!I2234&gt;DATE(2024,3,31),Sales_Deals!I2234&lt;=DATE(2024,9,30)),Sales_Deals!J2234,""),"")</f>
        <v/>
      </c>
    </row>
    <row r="2244" spans="1:3" x14ac:dyDescent="0.35">
      <c r="A2244">
        <v>2234</v>
      </c>
      <c r="B2244" t="str">
        <f>IF(Sales_Deals!I2235&lt;&gt;"",IF(AND(Sales_Deals!I2235&gt;DATE(2024,9,30),Sales_Deals!I2235&lt;=DATE(2025,3,31)),Sales_Deals!J2235,""),"")</f>
        <v/>
      </c>
      <c r="C2244">
        <f>IF(Sales_Deals!I2235&lt;&gt;"",IF(AND(Sales_Deals!I2235&gt;DATE(2024,3,31),Sales_Deals!I2235&lt;=DATE(2024,9,30)),Sales_Deals!J2235,""),"")</f>
        <v>34</v>
      </c>
    </row>
    <row r="2245" spans="1:3" x14ac:dyDescent="0.35">
      <c r="A2245">
        <v>2235</v>
      </c>
      <c r="B2245" t="str">
        <f>IF(Sales_Deals!I2236&lt;&gt;"",IF(AND(Sales_Deals!I2236&gt;DATE(2024,9,30),Sales_Deals!I2236&lt;=DATE(2025,3,31)),Sales_Deals!J2236,""),"")</f>
        <v/>
      </c>
      <c r="C2245" t="str">
        <f>IF(Sales_Deals!I2236&lt;&gt;"",IF(AND(Sales_Deals!I2236&gt;DATE(2024,3,31),Sales_Deals!I2236&lt;=DATE(2024,9,30)),Sales_Deals!J2236,""),"")</f>
        <v/>
      </c>
    </row>
    <row r="2246" spans="1:3" x14ac:dyDescent="0.35">
      <c r="A2246">
        <v>2236</v>
      </c>
      <c r="B2246" t="str">
        <f>IF(Sales_Deals!I2237&lt;&gt;"",IF(AND(Sales_Deals!I2237&gt;DATE(2024,9,30),Sales_Deals!I2237&lt;=DATE(2025,3,31)),Sales_Deals!J2237,""),"")</f>
        <v/>
      </c>
      <c r="C2246" t="str">
        <f>IF(Sales_Deals!I2237&lt;&gt;"",IF(AND(Sales_Deals!I2237&gt;DATE(2024,3,31),Sales_Deals!I2237&lt;=DATE(2024,9,30)),Sales_Deals!J2237,""),"")</f>
        <v/>
      </c>
    </row>
    <row r="2247" spans="1:3" x14ac:dyDescent="0.35">
      <c r="A2247">
        <v>2237</v>
      </c>
      <c r="B2247" t="str">
        <f>IF(Sales_Deals!I2238&lt;&gt;"",IF(AND(Sales_Deals!I2238&gt;DATE(2024,9,30),Sales_Deals!I2238&lt;=DATE(2025,3,31)),Sales_Deals!J2238,""),"")</f>
        <v/>
      </c>
      <c r="C2247" t="str">
        <f>IF(Sales_Deals!I2238&lt;&gt;"",IF(AND(Sales_Deals!I2238&gt;DATE(2024,3,31),Sales_Deals!I2238&lt;=DATE(2024,9,30)),Sales_Deals!J2238,""),"")</f>
        <v/>
      </c>
    </row>
    <row r="2248" spans="1:3" x14ac:dyDescent="0.35">
      <c r="A2248">
        <v>2238</v>
      </c>
      <c r="B2248" t="str">
        <f>IF(Sales_Deals!I2239&lt;&gt;"",IF(AND(Sales_Deals!I2239&gt;DATE(2024,9,30),Sales_Deals!I2239&lt;=DATE(2025,3,31)),Sales_Deals!J2239,""),"")</f>
        <v/>
      </c>
      <c r="C2248" t="str">
        <f>IF(Sales_Deals!I2239&lt;&gt;"",IF(AND(Sales_Deals!I2239&gt;DATE(2024,3,31),Sales_Deals!I2239&lt;=DATE(2024,9,30)),Sales_Deals!J2239,""),"")</f>
        <v/>
      </c>
    </row>
    <row r="2249" spans="1:3" x14ac:dyDescent="0.35">
      <c r="A2249">
        <v>2239</v>
      </c>
      <c r="B2249" t="str">
        <f>IF(Sales_Deals!I2240&lt;&gt;"",IF(AND(Sales_Deals!I2240&gt;DATE(2024,9,30),Sales_Deals!I2240&lt;=DATE(2025,3,31)),Sales_Deals!J2240,""),"")</f>
        <v/>
      </c>
      <c r="C2249" t="str">
        <f>IF(Sales_Deals!I2240&lt;&gt;"",IF(AND(Sales_Deals!I2240&gt;DATE(2024,3,31),Sales_Deals!I2240&lt;=DATE(2024,9,30)),Sales_Deals!J2240,""),"")</f>
        <v/>
      </c>
    </row>
    <row r="2250" spans="1:3" x14ac:dyDescent="0.35">
      <c r="A2250">
        <v>2240</v>
      </c>
      <c r="B2250" t="str">
        <f>IF(Sales_Deals!I2241&lt;&gt;"",IF(AND(Sales_Deals!I2241&gt;DATE(2024,9,30),Sales_Deals!I2241&lt;=DATE(2025,3,31)),Sales_Deals!J2241,""),"")</f>
        <v/>
      </c>
      <c r="C2250" t="str">
        <f>IF(Sales_Deals!I2241&lt;&gt;"",IF(AND(Sales_Deals!I2241&gt;DATE(2024,3,31),Sales_Deals!I2241&lt;=DATE(2024,9,30)),Sales_Deals!J2241,""),"")</f>
        <v/>
      </c>
    </row>
    <row r="2251" spans="1:3" x14ac:dyDescent="0.35">
      <c r="A2251">
        <v>2241</v>
      </c>
      <c r="B2251" t="str">
        <f>IF(Sales_Deals!I2242&lt;&gt;"",IF(AND(Sales_Deals!I2242&gt;DATE(2024,9,30),Sales_Deals!I2242&lt;=DATE(2025,3,31)),Sales_Deals!J2242,""),"")</f>
        <v/>
      </c>
      <c r="C2251" t="str">
        <f>IF(Sales_Deals!I2242&lt;&gt;"",IF(AND(Sales_Deals!I2242&gt;DATE(2024,3,31),Sales_Deals!I2242&lt;=DATE(2024,9,30)),Sales_Deals!J2242,""),"")</f>
        <v/>
      </c>
    </row>
    <row r="2252" spans="1:3" x14ac:dyDescent="0.35">
      <c r="A2252">
        <v>2242</v>
      </c>
      <c r="B2252" t="str">
        <f>IF(Sales_Deals!I2243&lt;&gt;"",IF(AND(Sales_Deals!I2243&gt;DATE(2024,9,30),Sales_Deals!I2243&lt;=DATE(2025,3,31)),Sales_Deals!J2243,""),"")</f>
        <v/>
      </c>
      <c r="C2252" t="str">
        <f>IF(Sales_Deals!I2243&lt;&gt;"",IF(AND(Sales_Deals!I2243&gt;DATE(2024,3,31),Sales_Deals!I2243&lt;=DATE(2024,9,30)),Sales_Deals!J2243,""),"")</f>
        <v/>
      </c>
    </row>
    <row r="2253" spans="1:3" x14ac:dyDescent="0.35">
      <c r="A2253">
        <v>2243</v>
      </c>
      <c r="B2253" t="str">
        <f>IF(Sales_Deals!I2244&lt;&gt;"",IF(AND(Sales_Deals!I2244&gt;DATE(2024,9,30),Sales_Deals!I2244&lt;=DATE(2025,3,31)),Sales_Deals!J2244,""),"")</f>
        <v/>
      </c>
      <c r="C2253" t="str">
        <f>IF(Sales_Deals!I2244&lt;&gt;"",IF(AND(Sales_Deals!I2244&gt;DATE(2024,3,31),Sales_Deals!I2244&lt;=DATE(2024,9,30)),Sales_Deals!J2244,""),"")</f>
        <v/>
      </c>
    </row>
    <row r="2254" spans="1:3" x14ac:dyDescent="0.35">
      <c r="A2254">
        <v>2244</v>
      </c>
      <c r="B2254" t="str">
        <f>IF(Sales_Deals!I2245&lt;&gt;"",IF(AND(Sales_Deals!I2245&gt;DATE(2024,9,30),Sales_Deals!I2245&lt;=DATE(2025,3,31)),Sales_Deals!J2245,""),"")</f>
        <v/>
      </c>
      <c r="C2254" t="str">
        <f>IF(Sales_Deals!I2245&lt;&gt;"",IF(AND(Sales_Deals!I2245&gt;DATE(2024,3,31),Sales_Deals!I2245&lt;=DATE(2024,9,30)),Sales_Deals!J2245,""),"")</f>
        <v/>
      </c>
    </row>
    <row r="2255" spans="1:3" x14ac:dyDescent="0.35">
      <c r="A2255">
        <v>2245</v>
      </c>
      <c r="B2255" t="str">
        <f>IF(Sales_Deals!I2246&lt;&gt;"",IF(AND(Sales_Deals!I2246&gt;DATE(2024,9,30),Sales_Deals!I2246&lt;=DATE(2025,3,31)),Sales_Deals!J2246,""),"")</f>
        <v/>
      </c>
      <c r="C2255">
        <f>IF(Sales_Deals!I2246&lt;&gt;"",IF(AND(Sales_Deals!I2246&gt;DATE(2024,3,31),Sales_Deals!I2246&lt;=DATE(2024,9,30)),Sales_Deals!J2246,""),"")</f>
        <v>31</v>
      </c>
    </row>
    <row r="2256" spans="1:3" x14ac:dyDescent="0.35">
      <c r="A2256">
        <v>2246</v>
      </c>
      <c r="B2256" t="str">
        <f>IF(Sales_Deals!I2247&lt;&gt;"",IF(AND(Sales_Deals!I2247&gt;DATE(2024,9,30),Sales_Deals!I2247&lt;=DATE(2025,3,31)),Sales_Deals!J2247,""),"")</f>
        <v/>
      </c>
      <c r="C2256" t="str">
        <f>IF(Sales_Deals!I2247&lt;&gt;"",IF(AND(Sales_Deals!I2247&gt;DATE(2024,3,31),Sales_Deals!I2247&lt;=DATE(2024,9,30)),Sales_Deals!J2247,""),"")</f>
        <v/>
      </c>
    </row>
    <row r="2257" spans="1:3" x14ac:dyDescent="0.35">
      <c r="A2257">
        <v>2247</v>
      </c>
      <c r="B2257" t="str">
        <f>IF(Sales_Deals!I2248&lt;&gt;"",IF(AND(Sales_Deals!I2248&gt;DATE(2024,9,30),Sales_Deals!I2248&lt;=DATE(2025,3,31)),Sales_Deals!J2248,""),"")</f>
        <v/>
      </c>
      <c r="C2257" t="str">
        <f>IF(Sales_Deals!I2248&lt;&gt;"",IF(AND(Sales_Deals!I2248&gt;DATE(2024,3,31),Sales_Deals!I2248&lt;=DATE(2024,9,30)),Sales_Deals!J2248,""),"")</f>
        <v/>
      </c>
    </row>
    <row r="2258" spans="1:3" x14ac:dyDescent="0.35">
      <c r="A2258">
        <v>2248</v>
      </c>
      <c r="B2258" t="str">
        <f>IF(Sales_Deals!I2249&lt;&gt;"",IF(AND(Sales_Deals!I2249&gt;DATE(2024,9,30),Sales_Deals!I2249&lt;=DATE(2025,3,31)),Sales_Deals!J2249,""),"")</f>
        <v/>
      </c>
      <c r="C2258" t="str">
        <f>IF(Sales_Deals!I2249&lt;&gt;"",IF(AND(Sales_Deals!I2249&gt;DATE(2024,3,31),Sales_Deals!I2249&lt;=DATE(2024,9,30)),Sales_Deals!J2249,""),"")</f>
        <v/>
      </c>
    </row>
    <row r="2259" spans="1:3" x14ac:dyDescent="0.35">
      <c r="A2259">
        <v>2249</v>
      </c>
      <c r="B2259" t="str">
        <f>IF(Sales_Deals!I2250&lt;&gt;"",IF(AND(Sales_Deals!I2250&gt;DATE(2024,9,30),Sales_Deals!I2250&lt;=DATE(2025,3,31)),Sales_Deals!J2250,""),"")</f>
        <v/>
      </c>
      <c r="C2259" t="str">
        <f>IF(Sales_Deals!I2250&lt;&gt;"",IF(AND(Sales_Deals!I2250&gt;DATE(2024,3,31),Sales_Deals!I2250&lt;=DATE(2024,9,30)),Sales_Deals!J2250,""),"")</f>
        <v/>
      </c>
    </row>
    <row r="2260" spans="1:3" x14ac:dyDescent="0.35">
      <c r="A2260">
        <v>2250</v>
      </c>
      <c r="B2260" t="str">
        <f>IF(Sales_Deals!I2251&lt;&gt;"",IF(AND(Sales_Deals!I2251&gt;DATE(2024,9,30),Sales_Deals!I2251&lt;=DATE(2025,3,31)),Sales_Deals!J2251,""),"")</f>
        <v/>
      </c>
      <c r="C2260" t="str">
        <f>IF(Sales_Deals!I2251&lt;&gt;"",IF(AND(Sales_Deals!I2251&gt;DATE(2024,3,31),Sales_Deals!I2251&lt;=DATE(2024,9,30)),Sales_Deals!J2251,""),"")</f>
        <v/>
      </c>
    </row>
    <row r="2261" spans="1:3" x14ac:dyDescent="0.35">
      <c r="A2261">
        <v>2251</v>
      </c>
      <c r="B2261" t="str">
        <f>IF(Sales_Deals!I2252&lt;&gt;"",IF(AND(Sales_Deals!I2252&gt;DATE(2024,9,30),Sales_Deals!I2252&lt;=DATE(2025,3,31)),Sales_Deals!J2252,""),"")</f>
        <v/>
      </c>
      <c r="C2261" t="str">
        <f>IF(Sales_Deals!I2252&lt;&gt;"",IF(AND(Sales_Deals!I2252&gt;DATE(2024,3,31),Sales_Deals!I2252&lt;=DATE(2024,9,30)),Sales_Deals!J2252,""),"")</f>
        <v/>
      </c>
    </row>
    <row r="2262" spans="1:3" x14ac:dyDescent="0.35">
      <c r="A2262">
        <v>2252</v>
      </c>
      <c r="B2262" t="str">
        <f>IF(Sales_Deals!I2253&lt;&gt;"",IF(AND(Sales_Deals!I2253&gt;DATE(2024,9,30),Sales_Deals!I2253&lt;=DATE(2025,3,31)),Sales_Deals!J2253,""),"")</f>
        <v/>
      </c>
      <c r="C2262" t="str">
        <f>IF(Sales_Deals!I2253&lt;&gt;"",IF(AND(Sales_Deals!I2253&gt;DATE(2024,3,31),Sales_Deals!I2253&lt;=DATE(2024,9,30)),Sales_Deals!J2253,""),"")</f>
        <v/>
      </c>
    </row>
    <row r="2263" spans="1:3" x14ac:dyDescent="0.35">
      <c r="A2263">
        <v>2253</v>
      </c>
      <c r="B2263" t="str">
        <f>IF(Sales_Deals!I2254&lt;&gt;"",IF(AND(Sales_Deals!I2254&gt;DATE(2024,9,30),Sales_Deals!I2254&lt;=DATE(2025,3,31)),Sales_Deals!J2254,""),"")</f>
        <v/>
      </c>
      <c r="C2263" t="str">
        <f>IF(Sales_Deals!I2254&lt;&gt;"",IF(AND(Sales_Deals!I2254&gt;DATE(2024,3,31),Sales_Deals!I2254&lt;=DATE(2024,9,30)),Sales_Deals!J2254,""),"")</f>
        <v/>
      </c>
    </row>
    <row r="2264" spans="1:3" x14ac:dyDescent="0.35">
      <c r="A2264">
        <v>2254</v>
      </c>
      <c r="B2264" t="str">
        <f>IF(Sales_Deals!I2255&lt;&gt;"",IF(AND(Sales_Deals!I2255&gt;DATE(2024,9,30),Sales_Deals!I2255&lt;=DATE(2025,3,31)),Sales_Deals!J2255,""),"")</f>
        <v/>
      </c>
      <c r="C2264" t="str">
        <f>IF(Sales_Deals!I2255&lt;&gt;"",IF(AND(Sales_Deals!I2255&gt;DATE(2024,3,31),Sales_Deals!I2255&lt;=DATE(2024,9,30)),Sales_Deals!J2255,""),"")</f>
        <v/>
      </c>
    </row>
    <row r="2265" spans="1:3" x14ac:dyDescent="0.35">
      <c r="A2265">
        <v>2255</v>
      </c>
      <c r="B2265" t="str">
        <f>IF(Sales_Deals!I2256&lt;&gt;"",IF(AND(Sales_Deals!I2256&gt;DATE(2024,9,30),Sales_Deals!I2256&lt;=DATE(2025,3,31)),Sales_Deals!J2256,""),"")</f>
        <v/>
      </c>
      <c r="C2265" t="str">
        <f>IF(Sales_Deals!I2256&lt;&gt;"",IF(AND(Sales_Deals!I2256&gt;DATE(2024,3,31),Sales_Deals!I2256&lt;=DATE(2024,9,30)),Sales_Deals!J2256,""),"")</f>
        <v/>
      </c>
    </row>
    <row r="2266" spans="1:3" x14ac:dyDescent="0.35">
      <c r="A2266">
        <v>2256</v>
      </c>
      <c r="B2266">
        <f>IF(Sales_Deals!I2257&lt;&gt;"",IF(AND(Sales_Deals!I2257&gt;DATE(2024,9,30),Sales_Deals!I2257&lt;=DATE(2025,3,31)),Sales_Deals!J2257,""),"")</f>
        <v>148</v>
      </c>
      <c r="C2266" t="str">
        <f>IF(Sales_Deals!I2257&lt;&gt;"",IF(AND(Sales_Deals!I2257&gt;DATE(2024,3,31),Sales_Deals!I2257&lt;=DATE(2024,9,30)),Sales_Deals!J2257,""),"")</f>
        <v/>
      </c>
    </row>
    <row r="2267" spans="1:3" x14ac:dyDescent="0.35">
      <c r="A2267">
        <v>2257</v>
      </c>
      <c r="B2267" t="str">
        <f>IF(Sales_Deals!I2258&lt;&gt;"",IF(AND(Sales_Deals!I2258&gt;DATE(2024,9,30),Sales_Deals!I2258&lt;=DATE(2025,3,31)),Sales_Deals!J2258,""),"")</f>
        <v/>
      </c>
      <c r="C2267" t="str">
        <f>IF(Sales_Deals!I2258&lt;&gt;"",IF(AND(Sales_Deals!I2258&gt;DATE(2024,3,31),Sales_Deals!I2258&lt;=DATE(2024,9,30)),Sales_Deals!J2258,""),"")</f>
        <v/>
      </c>
    </row>
    <row r="2268" spans="1:3" x14ac:dyDescent="0.35">
      <c r="A2268">
        <v>2258</v>
      </c>
      <c r="B2268" t="str">
        <f>IF(Sales_Deals!I2259&lt;&gt;"",IF(AND(Sales_Deals!I2259&gt;DATE(2024,9,30),Sales_Deals!I2259&lt;=DATE(2025,3,31)),Sales_Deals!J2259,""),"")</f>
        <v/>
      </c>
      <c r="C2268" t="str">
        <f>IF(Sales_Deals!I2259&lt;&gt;"",IF(AND(Sales_Deals!I2259&gt;DATE(2024,3,31),Sales_Deals!I2259&lt;=DATE(2024,9,30)),Sales_Deals!J2259,""),"")</f>
        <v/>
      </c>
    </row>
    <row r="2269" spans="1:3" x14ac:dyDescent="0.35">
      <c r="A2269">
        <v>2259</v>
      </c>
      <c r="B2269" t="str">
        <f>IF(Sales_Deals!I2260&lt;&gt;"",IF(AND(Sales_Deals!I2260&gt;DATE(2024,9,30),Sales_Deals!I2260&lt;=DATE(2025,3,31)),Sales_Deals!J2260,""),"")</f>
        <v/>
      </c>
      <c r="C2269">
        <f>IF(Sales_Deals!I2260&lt;&gt;"",IF(AND(Sales_Deals!I2260&gt;DATE(2024,3,31),Sales_Deals!I2260&lt;=DATE(2024,9,30)),Sales_Deals!J2260,""),"")</f>
        <v>142</v>
      </c>
    </row>
    <row r="2270" spans="1:3" x14ac:dyDescent="0.35">
      <c r="A2270">
        <v>2260</v>
      </c>
      <c r="B2270" t="str">
        <f>IF(Sales_Deals!I2261&lt;&gt;"",IF(AND(Sales_Deals!I2261&gt;DATE(2024,9,30),Sales_Deals!I2261&lt;=DATE(2025,3,31)),Sales_Deals!J2261,""),"")</f>
        <v/>
      </c>
      <c r="C2270" t="str">
        <f>IF(Sales_Deals!I2261&lt;&gt;"",IF(AND(Sales_Deals!I2261&gt;DATE(2024,3,31),Sales_Deals!I2261&lt;=DATE(2024,9,30)),Sales_Deals!J2261,""),"")</f>
        <v/>
      </c>
    </row>
    <row r="2271" spans="1:3" x14ac:dyDescent="0.35">
      <c r="A2271">
        <v>2261</v>
      </c>
      <c r="B2271" t="str">
        <f>IF(Sales_Deals!I2262&lt;&gt;"",IF(AND(Sales_Deals!I2262&gt;DATE(2024,9,30),Sales_Deals!I2262&lt;=DATE(2025,3,31)),Sales_Deals!J2262,""),"")</f>
        <v/>
      </c>
      <c r="C2271" t="str">
        <f>IF(Sales_Deals!I2262&lt;&gt;"",IF(AND(Sales_Deals!I2262&gt;DATE(2024,3,31),Sales_Deals!I2262&lt;=DATE(2024,9,30)),Sales_Deals!J2262,""),"")</f>
        <v/>
      </c>
    </row>
    <row r="2272" spans="1:3" x14ac:dyDescent="0.35">
      <c r="A2272">
        <v>2262</v>
      </c>
      <c r="B2272" t="str">
        <f>IF(Sales_Deals!I2263&lt;&gt;"",IF(AND(Sales_Deals!I2263&gt;DATE(2024,9,30),Sales_Deals!I2263&lt;=DATE(2025,3,31)),Sales_Deals!J2263,""),"")</f>
        <v/>
      </c>
      <c r="C2272">
        <f>IF(Sales_Deals!I2263&lt;&gt;"",IF(AND(Sales_Deals!I2263&gt;DATE(2024,3,31),Sales_Deals!I2263&lt;=DATE(2024,9,30)),Sales_Deals!J2263,""),"")</f>
        <v>81</v>
      </c>
    </row>
    <row r="2273" spans="1:3" x14ac:dyDescent="0.35">
      <c r="A2273">
        <v>2263</v>
      </c>
      <c r="B2273" t="str">
        <f>IF(Sales_Deals!I2264&lt;&gt;"",IF(AND(Sales_Deals!I2264&gt;DATE(2024,9,30),Sales_Deals!I2264&lt;=DATE(2025,3,31)),Sales_Deals!J2264,""),"")</f>
        <v/>
      </c>
      <c r="C2273" t="str">
        <f>IF(Sales_Deals!I2264&lt;&gt;"",IF(AND(Sales_Deals!I2264&gt;DATE(2024,3,31),Sales_Deals!I2264&lt;=DATE(2024,9,30)),Sales_Deals!J2264,""),"")</f>
        <v/>
      </c>
    </row>
    <row r="2274" spans="1:3" x14ac:dyDescent="0.35">
      <c r="A2274">
        <v>2264</v>
      </c>
      <c r="B2274" t="str">
        <f>IF(Sales_Deals!I2265&lt;&gt;"",IF(AND(Sales_Deals!I2265&gt;DATE(2024,9,30),Sales_Deals!I2265&lt;=DATE(2025,3,31)),Sales_Deals!J2265,""),"")</f>
        <v/>
      </c>
      <c r="C2274" t="str">
        <f>IF(Sales_Deals!I2265&lt;&gt;"",IF(AND(Sales_Deals!I2265&gt;DATE(2024,3,31),Sales_Deals!I2265&lt;=DATE(2024,9,30)),Sales_Deals!J2265,""),"")</f>
        <v/>
      </c>
    </row>
    <row r="2275" spans="1:3" x14ac:dyDescent="0.35">
      <c r="A2275">
        <v>2265</v>
      </c>
      <c r="B2275" t="str">
        <f>IF(Sales_Deals!I2266&lt;&gt;"",IF(AND(Sales_Deals!I2266&gt;DATE(2024,9,30),Sales_Deals!I2266&lt;=DATE(2025,3,31)),Sales_Deals!J2266,""),"")</f>
        <v/>
      </c>
      <c r="C2275" t="str">
        <f>IF(Sales_Deals!I2266&lt;&gt;"",IF(AND(Sales_Deals!I2266&gt;DATE(2024,3,31),Sales_Deals!I2266&lt;=DATE(2024,9,30)),Sales_Deals!J2266,""),"")</f>
        <v/>
      </c>
    </row>
    <row r="2276" spans="1:3" x14ac:dyDescent="0.35">
      <c r="A2276">
        <v>2266</v>
      </c>
      <c r="B2276" t="str">
        <f>IF(Sales_Deals!I2267&lt;&gt;"",IF(AND(Sales_Deals!I2267&gt;DATE(2024,9,30),Sales_Deals!I2267&lt;=DATE(2025,3,31)),Sales_Deals!J2267,""),"")</f>
        <v/>
      </c>
      <c r="C2276" t="str">
        <f>IF(Sales_Deals!I2267&lt;&gt;"",IF(AND(Sales_Deals!I2267&gt;DATE(2024,3,31),Sales_Deals!I2267&lt;=DATE(2024,9,30)),Sales_Deals!J2267,""),"")</f>
        <v/>
      </c>
    </row>
    <row r="2277" spans="1:3" x14ac:dyDescent="0.35">
      <c r="A2277">
        <v>2267</v>
      </c>
      <c r="B2277" t="str">
        <f>IF(Sales_Deals!I2268&lt;&gt;"",IF(AND(Sales_Deals!I2268&gt;DATE(2024,9,30),Sales_Deals!I2268&lt;=DATE(2025,3,31)),Sales_Deals!J2268,""),"")</f>
        <v/>
      </c>
      <c r="C2277" t="str">
        <f>IF(Sales_Deals!I2268&lt;&gt;"",IF(AND(Sales_Deals!I2268&gt;DATE(2024,3,31),Sales_Deals!I2268&lt;=DATE(2024,9,30)),Sales_Deals!J2268,""),"")</f>
        <v/>
      </c>
    </row>
    <row r="2278" spans="1:3" x14ac:dyDescent="0.35">
      <c r="A2278">
        <v>2268</v>
      </c>
      <c r="B2278" t="str">
        <f>IF(Sales_Deals!I2269&lt;&gt;"",IF(AND(Sales_Deals!I2269&gt;DATE(2024,9,30),Sales_Deals!I2269&lt;=DATE(2025,3,31)),Sales_Deals!J2269,""),"")</f>
        <v/>
      </c>
      <c r="C2278" t="str">
        <f>IF(Sales_Deals!I2269&lt;&gt;"",IF(AND(Sales_Deals!I2269&gt;DATE(2024,3,31),Sales_Deals!I2269&lt;=DATE(2024,9,30)),Sales_Deals!J2269,""),"")</f>
        <v/>
      </c>
    </row>
    <row r="2279" spans="1:3" x14ac:dyDescent="0.35">
      <c r="A2279">
        <v>2269</v>
      </c>
      <c r="B2279" t="str">
        <f>IF(Sales_Deals!I2270&lt;&gt;"",IF(AND(Sales_Deals!I2270&gt;DATE(2024,9,30),Sales_Deals!I2270&lt;=DATE(2025,3,31)),Sales_Deals!J2270,""),"")</f>
        <v/>
      </c>
      <c r="C2279" t="str">
        <f>IF(Sales_Deals!I2270&lt;&gt;"",IF(AND(Sales_Deals!I2270&gt;DATE(2024,3,31),Sales_Deals!I2270&lt;=DATE(2024,9,30)),Sales_Deals!J2270,""),"")</f>
        <v/>
      </c>
    </row>
    <row r="2280" spans="1:3" x14ac:dyDescent="0.35">
      <c r="A2280">
        <v>2270</v>
      </c>
      <c r="B2280" t="str">
        <f>IF(Sales_Deals!I2271&lt;&gt;"",IF(AND(Sales_Deals!I2271&gt;DATE(2024,9,30),Sales_Deals!I2271&lt;=DATE(2025,3,31)),Sales_Deals!J2271,""),"")</f>
        <v/>
      </c>
      <c r="C2280" t="str">
        <f>IF(Sales_Deals!I2271&lt;&gt;"",IF(AND(Sales_Deals!I2271&gt;DATE(2024,3,31),Sales_Deals!I2271&lt;=DATE(2024,9,30)),Sales_Deals!J2271,""),"")</f>
        <v/>
      </c>
    </row>
    <row r="2281" spans="1:3" x14ac:dyDescent="0.35">
      <c r="A2281">
        <v>2271</v>
      </c>
      <c r="B2281" t="str">
        <f>IF(Sales_Deals!I2272&lt;&gt;"",IF(AND(Sales_Deals!I2272&gt;DATE(2024,9,30),Sales_Deals!I2272&lt;=DATE(2025,3,31)),Sales_Deals!J2272,""),"")</f>
        <v/>
      </c>
      <c r="C2281" t="str">
        <f>IF(Sales_Deals!I2272&lt;&gt;"",IF(AND(Sales_Deals!I2272&gt;DATE(2024,3,31),Sales_Deals!I2272&lt;=DATE(2024,9,30)),Sales_Deals!J2272,""),"")</f>
        <v/>
      </c>
    </row>
    <row r="2282" spans="1:3" x14ac:dyDescent="0.35">
      <c r="A2282">
        <v>2272</v>
      </c>
      <c r="B2282">
        <f>IF(Sales_Deals!I2273&lt;&gt;"",IF(AND(Sales_Deals!I2273&gt;DATE(2024,9,30),Sales_Deals!I2273&lt;=DATE(2025,3,31)),Sales_Deals!J2273,""),"")</f>
        <v>33</v>
      </c>
      <c r="C2282" t="str">
        <f>IF(Sales_Deals!I2273&lt;&gt;"",IF(AND(Sales_Deals!I2273&gt;DATE(2024,3,31),Sales_Deals!I2273&lt;=DATE(2024,9,30)),Sales_Deals!J2273,""),"")</f>
        <v/>
      </c>
    </row>
    <row r="2283" spans="1:3" x14ac:dyDescent="0.35">
      <c r="A2283">
        <v>2273</v>
      </c>
      <c r="B2283" t="str">
        <f>IF(Sales_Deals!I2274&lt;&gt;"",IF(AND(Sales_Deals!I2274&gt;DATE(2024,9,30),Sales_Deals!I2274&lt;=DATE(2025,3,31)),Sales_Deals!J2274,""),"")</f>
        <v/>
      </c>
      <c r="C2283" t="str">
        <f>IF(Sales_Deals!I2274&lt;&gt;"",IF(AND(Sales_Deals!I2274&gt;DATE(2024,3,31),Sales_Deals!I2274&lt;=DATE(2024,9,30)),Sales_Deals!J2274,""),"")</f>
        <v/>
      </c>
    </row>
    <row r="2284" spans="1:3" x14ac:dyDescent="0.35">
      <c r="A2284">
        <v>2274</v>
      </c>
      <c r="B2284" t="str">
        <f>IF(Sales_Deals!I2275&lt;&gt;"",IF(AND(Sales_Deals!I2275&gt;DATE(2024,9,30),Sales_Deals!I2275&lt;=DATE(2025,3,31)),Sales_Deals!J2275,""),"")</f>
        <v/>
      </c>
      <c r="C2284">
        <f>IF(Sales_Deals!I2275&lt;&gt;"",IF(AND(Sales_Deals!I2275&gt;DATE(2024,3,31),Sales_Deals!I2275&lt;=DATE(2024,9,30)),Sales_Deals!J2275,""),"")</f>
        <v>127</v>
      </c>
    </row>
    <row r="2285" spans="1:3" x14ac:dyDescent="0.35">
      <c r="A2285">
        <v>2275</v>
      </c>
      <c r="B2285" t="str">
        <f>IF(Sales_Deals!I2276&lt;&gt;"",IF(AND(Sales_Deals!I2276&gt;DATE(2024,9,30),Sales_Deals!I2276&lt;=DATE(2025,3,31)),Sales_Deals!J2276,""),"")</f>
        <v/>
      </c>
      <c r="C2285" t="str">
        <f>IF(Sales_Deals!I2276&lt;&gt;"",IF(AND(Sales_Deals!I2276&gt;DATE(2024,3,31),Sales_Deals!I2276&lt;=DATE(2024,9,30)),Sales_Deals!J2276,""),"")</f>
        <v/>
      </c>
    </row>
    <row r="2286" spans="1:3" x14ac:dyDescent="0.35">
      <c r="A2286">
        <v>2276</v>
      </c>
      <c r="B2286" t="str">
        <f>IF(Sales_Deals!I2277&lt;&gt;"",IF(AND(Sales_Deals!I2277&gt;DATE(2024,9,30),Sales_Deals!I2277&lt;=DATE(2025,3,31)),Sales_Deals!J2277,""),"")</f>
        <v/>
      </c>
      <c r="C2286" t="str">
        <f>IF(Sales_Deals!I2277&lt;&gt;"",IF(AND(Sales_Deals!I2277&gt;DATE(2024,3,31),Sales_Deals!I2277&lt;=DATE(2024,9,30)),Sales_Deals!J2277,""),"")</f>
        <v/>
      </c>
    </row>
    <row r="2287" spans="1:3" x14ac:dyDescent="0.35">
      <c r="A2287">
        <v>2277</v>
      </c>
      <c r="B2287" t="str">
        <f>IF(Sales_Deals!I2278&lt;&gt;"",IF(AND(Sales_Deals!I2278&gt;DATE(2024,9,30),Sales_Deals!I2278&lt;=DATE(2025,3,31)),Sales_Deals!J2278,""),"")</f>
        <v/>
      </c>
      <c r="C2287" t="str">
        <f>IF(Sales_Deals!I2278&lt;&gt;"",IF(AND(Sales_Deals!I2278&gt;DATE(2024,3,31),Sales_Deals!I2278&lt;=DATE(2024,9,30)),Sales_Deals!J2278,""),"")</f>
        <v/>
      </c>
    </row>
    <row r="2288" spans="1:3" x14ac:dyDescent="0.35">
      <c r="A2288">
        <v>2278</v>
      </c>
      <c r="B2288" t="str">
        <f>IF(Sales_Deals!I2279&lt;&gt;"",IF(AND(Sales_Deals!I2279&gt;DATE(2024,9,30),Sales_Deals!I2279&lt;=DATE(2025,3,31)),Sales_Deals!J2279,""),"")</f>
        <v/>
      </c>
      <c r="C2288" t="str">
        <f>IF(Sales_Deals!I2279&lt;&gt;"",IF(AND(Sales_Deals!I2279&gt;DATE(2024,3,31),Sales_Deals!I2279&lt;=DATE(2024,9,30)),Sales_Deals!J2279,""),"")</f>
        <v/>
      </c>
    </row>
    <row r="2289" spans="1:3" x14ac:dyDescent="0.35">
      <c r="A2289">
        <v>2279</v>
      </c>
      <c r="B2289" t="str">
        <f>IF(Sales_Deals!I2280&lt;&gt;"",IF(AND(Sales_Deals!I2280&gt;DATE(2024,9,30),Sales_Deals!I2280&lt;=DATE(2025,3,31)),Sales_Deals!J2280,""),"")</f>
        <v/>
      </c>
      <c r="C2289" t="str">
        <f>IF(Sales_Deals!I2280&lt;&gt;"",IF(AND(Sales_Deals!I2280&gt;DATE(2024,3,31),Sales_Deals!I2280&lt;=DATE(2024,9,30)),Sales_Deals!J2280,""),"")</f>
        <v/>
      </c>
    </row>
    <row r="2290" spans="1:3" x14ac:dyDescent="0.35">
      <c r="A2290">
        <v>2280</v>
      </c>
      <c r="B2290" t="str">
        <f>IF(Sales_Deals!I2281&lt;&gt;"",IF(AND(Sales_Deals!I2281&gt;DATE(2024,9,30),Sales_Deals!I2281&lt;=DATE(2025,3,31)),Sales_Deals!J2281,""),"")</f>
        <v/>
      </c>
      <c r="C2290" t="str">
        <f>IF(Sales_Deals!I2281&lt;&gt;"",IF(AND(Sales_Deals!I2281&gt;DATE(2024,3,31),Sales_Deals!I2281&lt;=DATE(2024,9,30)),Sales_Deals!J2281,""),"")</f>
        <v/>
      </c>
    </row>
    <row r="2291" spans="1:3" x14ac:dyDescent="0.35">
      <c r="A2291">
        <v>2281</v>
      </c>
      <c r="B2291" t="str">
        <f>IF(Sales_Deals!I2282&lt;&gt;"",IF(AND(Sales_Deals!I2282&gt;DATE(2024,9,30),Sales_Deals!I2282&lt;=DATE(2025,3,31)),Sales_Deals!J2282,""),"")</f>
        <v/>
      </c>
      <c r="C2291" t="str">
        <f>IF(Sales_Deals!I2282&lt;&gt;"",IF(AND(Sales_Deals!I2282&gt;DATE(2024,3,31),Sales_Deals!I2282&lt;=DATE(2024,9,30)),Sales_Deals!J2282,""),"")</f>
        <v/>
      </c>
    </row>
    <row r="2292" spans="1:3" x14ac:dyDescent="0.35">
      <c r="A2292">
        <v>2282</v>
      </c>
      <c r="B2292" t="str">
        <f>IF(Sales_Deals!I2283&lt;&gt;"",IF(AND(Sales_Deals!I2283&gt;DATE(2024,9,30),Sales_Deals!I2283&lt;=DATE(2025,3,31)),Sales_Deals!J2283,""),"")</f>
        <v/>
      </c>
      <c r="C2292" t="str">
        <f>IF(Sales_Deals!I2283&lt;&gt;"",IF(AND(Sales_Deals!I2283&gt;DATE(2024,3,31),Sales_Deals!I2283&lt;=DATE(2024,9,30)),Sales_Deals!J2283,""),"")</f>
        <v/>
      </c>
    </row>
    <row r="2293" spans="1:3" x14ac:dyDescent="0.35">
      <c r="A2293">
        <v>2283</v>
      </c>
      <c r="B2293">
        <f>IF(Sales_Deals!I2284&lt;&gt;"",IF(AND(Sales_Deals!I2284&gt;DATE(2024,9,30),Sales_Deals!I2284&lt;=DATE(2025,3,31)),Sales_Deals!J2284,""),"")</f>
        <v>178</v>
      </c>
      <c r="C2293" t="str">
        <f>IF(Sales_Deals!I2284&lt;&gt;"",IF(AND(Sales_Deals!I2284&gt;DATE(2024,3,31),Sales_Deals!I2284&lt;=DATE(2024,9,30)),Sales_Deals!J2284,""),"")</f>
        <v/>
      </c>
    </row>
    <row r="2294" spans="1:3" x14ac:dyDescent="0.35">
      <c r="A2294">
        <v>2284</v>
      </c>
      <c r="B2294" t="str">
        <f>IF(Sales_Deals!I2285&lt;&gt;"",IF(AND(Sales_Deals!I2285&gt;DATE(2024,9,30),Sales_Deals!I2285&lt;=DATE(2025,3,31)),Sales_Deals!J2285,""),"")</f>
        <v/>
      </c>
      <c r="C2294" t="str">
        <f>IF(Sales_Deals!I2285&lt;&gt;"",IF(AND(Sales_Deals!I2285&gt;DATE(2024,3,31),Sales_Deals!I2285&lt;=DATE(2024,9,30)),Sales_Deals!J2285,""),"")</f>
        <v/>
      </c>
    </row>
    <row r="2295" spans="1:3" x14ac:dyDescent="0.35">
      <c r="A2295">
        <v>2285</v>
      </c>
      <c r="B2295" t="str">
        <f>IF(Sales_Deals!I2286&lt;&gt;"",IF(AND(Sales_Deals!I2286&gt;DATE(2024,9,30),Sales_Deals!I2286&lt;=DATE(2025,3,31)),Sales_Deals!J2286,""),"")</f>
        <v/>
      </c>
      <c r="C2295" t="str">
        <f>IF(Sales_Deals!I2286&lt;&gt;"",IF(AND(Sales_Deals!I2286&gt;DATE(2024,3,31),Sales_Deals!I2286&lt;=DATE(2024,9,30)),Sales_Deals!J2286,""),"")</f>
        <v/>
      </c>
    </row>
    <row r="2296" spans="1:3" x14ac:dyDescent="0.35">
      <c r="A2296">
        <v>2286</v>
      </c>
      <c r="B2296">
        <f>IF(Sales_Deals!I2287&lt;&gt;"",IF(AND(Sales_Deals!I2287&gt;DATE(2024,9,30),Sales_Deals!I2287&lt;=DATE(2025,3,31)),Sales_Deals!J2287,""),"")</f>
        <v>160</v>
      </c>
      <c r="C2296" t="str">
        <f>IF(Sales_Deals!I2287&lt;&gt;"",IF(AND(Sales_Deals!I2287&gt;DATE(2024,3,31),Sales_Deals!I2287&lt;=DATE(2024,9,30)),Sales_Deals!J2287,""),"")</f>
        <v/>
      </c>
    </row>
    <row r="2297" spans="1:3" x14ac:dyDescent="0.35">
      <c r="A2297">
        <v>2287</v>
      </c>
      <c r="B2297" t="str">
        <f>IF(Sales_Deals!I2288&lt;&gt;"",IF(AND(Sales_Deals!I2288&gt;DATE(2024,9,30),Sales_Deals!I2288&lt;=DATE(2025,3,31)),Sales_Deals!J2288,""),"")</f>
        <v/>
      </c>
      <c r="C2297" t="str">
        <f>IF(Sales_Deals!I2288&lt;&gt;"",IF(AND(Sales_Deals!I2288&gt;DATE(2024,3,31),Sales_Deals!I2288&lt;=DATE(2024,9,30)),Sales_Deals!J2288,""),"")</f>
        <v/>
      </c>
    </row>
    <row r="2298" spans="1:3" x14ac:dyDescent="0.35">
      <c r="A2298">
        <v>2288</v>
      </c>
      <c r="B2298" t="str">
        <f>IF(Sales_Deals!I2289&lt;&gt;"",IF(AND(Sales_Deals!I2289&gt;DATE(2024,9,30),Sales_Deals!I2289&lt;=DATE(2025,3,31)),Sales_Deals!J2289,""),"")</f>
        <v/>
      </c>
      <c r="C2298" t="str">
        <f>IF(Sales_Deals!I2289&lt;&gt;"",IF(AND(Sales_Deals!I2289&gt;DATE(2024,3,31),Sales_Deals!I2289&lt;=DATE(2024,9,30)),Sales_Deals!J2289,""),"")</f>
        <v/>
      </c>
    </row>
    <row r="2299" spans="1:3" x14ac:dyDescent="0.35">
      <c r="A2299">
        <v>2289</v>
      </c>
      <c r="B2299" t="str">
        <f>IF(Sales_Deals!I2290&lt;&gt;"",IF(AND(Sales_Deals!I2290&gt;DATE(2024,9,30),Sales_Deals!I2290&lt;=DATE(2025,3,31)),Sales_Deals!J2290,""),"")</f>
        <v/>
      </c>
      <c r="C2299" t="str">
        <f>IF(Sales_Deals!I2290&lt;&gt;"",IF(AND(Sales_Deals!I2290&gt;DATE(2024,3,31),Sales_Deals!I2290&lt;=DATE(2024,9,30)),Sales_Deals!J2290,""),"")</f>
        <v/>
      </c>
    </row>
    <row r="2300" spans="1:3" x14ac:dyDescent="0.35">
      <c r="A2300">
        <v>2290</v>
      </c>
      <c r="B2300" t="str">
        <f>IF(Sales_Deals!I2291&lt;&gt;"",IF(AND(Sales_Deals!I2291&gt;DATE(2024,9,30),Sales_Deals!I2291&lt;=DATE(2025,3,31)),Sales_Deals!J2291,""),"")</f>
        <v/>
      </c>
      <c r="C2300">
        <f>IF(Sales_Deals!I2291&lt;&gt;"",IF(AND(Sales_Deals!I2291&gt;DATE(2024,3,31),Sales_Deals!I2291&lt;=DATE(2024,9,30)),Sales_Deals!J2291,""),"")</f>
        <v>58</v>
      </c>
    </row>
    <row r="2301" spans="1:3" x14ac:dyDescent="0.35">
      <c r="A2301">
        <v>2291</v>
      </c>
      <c r="B2301" t="str">
        <f>IF(Sales_Deals!I2292&lt;&gt;"",IF(AND(Sales_Deals!I2292&gt;DATE(2024,9,30),Sales_Deals!I2292&lt;=DATE(2025,3,31)),Sales_Deals!J2292,""),"")</f>
        <v/>
      </c>
      <c r="C2301" t="str">
        <f>IF(Sales_Deals!I2292&lt;&gt;"",IF(AND(Sales_Deals!I2292&gt;DATE(2024,3,31),Sales_Deals!I2292&lt;=DATE(2024,9,30)),Sales_Deals!J2292,""),"")</f>
        <v/>
      </c>
    </row>
    <row r="2302" spans="1:3" x14ac:dyDescent="0.35">
      <c r="A2302">
        <v>2292</v>
      </c>
      <c r="B2302" t="str">
        <f>IF(Sales_Deals!I2293&lt;&gt;"",IF(AND(Sales_Deals!I2293&gt;DATE(2024,9,30),Sales_Deals!I2293&lt;=DATE(2025,3,31)),Sales_Deals!J2293,""),"")</f>
        <v/>
      </c>
      <c r="C2302" t="str">
        <f>IF(Sales_Deals!I2293&lt;&gt;"",IF(AND(Sales_Deals!I2293&gt;DATE(2024,3,31),Sales_Deals!I2293&lt;=DATE(2024,9,30)),Sales_Deals!J2293,""),"")</f>
        <v/>
      </c>
    </row>
    <row r="2303" spans="1:3" x14ac:dyDescent="0.35">
      <c r="A2303">
        <v>2293</v>
      </c>
      <c r="B2303" t="str">
        <f>IF(Sales_Deals!I2294&lt;&gt;"",IF(AND(Sales_Deals!I2294&gt;DATE(2024,9,30),Sales_Deals!I2294&lt;=DATE(2025,3,31)),Sales_Deals!J2294,""),"")</f>
        <v/>
      </c>
      <c r="C2303" t="str">
        <f>IF(Sales_Deals!I2294&lt;&gt;"",IF(AND(Sales_Deals!I2294&gt;DATE(2024,3,31),Sales_Deals!I2294&lt;=DATE(2024,9,30)),Sales_Deals!J2294,""),"")</f>
        <v/>
      </c>
    </row>
    <row r="2304" spans="1:3" x14ac:dyDescent="0.35">
      <c r="A2304">
        <v>2294</v>
      </c>
      <c r="B2304" t="str">
        <f>IF(Sales_Deals!I2295&lt;&gt;"",IF(AND(Sales_Deals!I2295&gt;DATE(2024,9,30),Sales_Deals!I2295&lt;=DATE(2025,3,31)),Sales_Deals!J2295,""),"")</f>
        <v/>
      </c>
      <c r="C2304" t="str">
        <f>IF(Sales_Deals!I2295&lt;&gt;"",IF(AND(Sales_Deals!I2295&gt;DATE(2024,3,31),Sales_Deals!I2295&lt;=DATE(2024,9,30)),Sales_Deals!J2295,""),"")</f>
        <v/>
      </c>
    </row>
    <row r="2305" spans="1:3" x14ac:dyDescent="0.35">
      <c r="A2305">
        <v>2295</v>
      </c>
      <c r="B2305" t="str">
        <f>IF(Sales_Deals!I2296&lt;&gt;"",IF(AND(Sales_Deals!I2296&gt;DATE(2024,9,30),Sales_Deals!I2296&lt;=DATE(2025,3,31)),Sales_Deals!J2296,""),"")</f>
        <v/>
      </c>
      <c r="C2305" t="str">
        <f>IF(Sales_Deals!I2296&lt;&gt;"",IF(AND(Sales_Deals!I2296&gt;DATE(2024,3,31),Sales_Deals!I2296&lt;=DATE(2024,9,30)),Sales_Deals!J2296,""),"")</f>
        <v/>
      </c>
    </row>
    <row r="2306" spans="1:3" x14ac:dyDescent="0.35">
      <c r="A2306">
        <v>2296</v>
      </c>
      <c r="B2306" t="str">
        <f>IF(Sales_Deals!I2297&lt;&gt;"",IF(AND(Sales_Deals!I2297&gt;DATE(2024,9,30),Sales_Deals!I2297&lt;=DATE(2025,3,31)),Sales_Deals!J2297,""),"")</f>
        <v/>
      </c>
      <c r="C2306" t="str">
        <f>IF(Sales_Deals!I2297&lt;&gt;"",IF(AND(Sales_Deals!I2297&gt;DATE(2024,3,31),Sales_Deals!I2297&lt;=DATE(2024,9,30)),Sales_Deals!J2297,""),"")</f>
        <v/>
      </c>
    </row>
    <row r="2307" spans="1:3" x14ac:dyDescent="0.35">
      <c r="A2307">
        <v>2297</v>
      </c>
      <c r="B2307">
        <f>IF(Sales_Deals!I2298&lt;&gt;"",IF(AND(Sales_Deals!I2298&gt;DATE(2024,9,30),Sales_Deals!I2298&lt;=DATE(2025,3,31)),Sales_Deals!J2298,""),"")</f>
        <v>50</v>
      </c>
      <c r="C2307" t="str">
        <f>IF(Sales_Deals!I2298&lt;&gt;"",IF(AND(Sales_Deals!I2298&gt;DATE(2024,3,31),Sales_Deals!I2298&lt;=DATE(2024,9,30)),Sales_Deals!J2298,""),"")</f>
        <v/>
      </c>
    </row>
    <row r="2308" spans="1:3" x14ac:dyDescent="0.35">
      <c r="A2308">
        <v>2298</v>
      </c>
      <c r="B2308" t="str">
        <f>IF(Sales_Deals!I2299&lt;&gt;"",IF(AND(Sales_Deals!I2299&gt;DATE(2024,9,30),Sales_Deals!I2299&lt;=DATE(2025,3,31)),Sales_Deals!J2299,""),"")</f>
        <v/>
      </c>
      <c r="C2308">
        <f>IF(Sales_Deals!I2299&lt;&gt;"",IF(AND(Sales_Deals!I2299&gt;DATE(2024,3,31),Sales_Deals!I2299&lt;=DATE(2024,9,30)),Sales_Deals!J2299,""),"")</f>
        <v>123</v>
      </c>
    </row>
    <row r="2309" spans="1:3" x14ac:dyDescent="0.35">
      <c r="A2309">
        <v>2299</v>
      </c>
      <c r="B2309" t="str">
        <f>IF(Sales_Deals!I2300&lt;&gt;"",IF(AND(Sales_Deals!I2300&gt;DATE(2024,9,30),Sales_Deals!I2300&lt;=DATE(2025,3,31)),Sales_Deals!J2300,""),"")</f>
        <v/>
      </c>
      <c r="C2309" t="str">
        <f>IF(Sales_Deals!I2300&lt;&gt;"",IF(AND(Sales_Deals!I2300&gt;DATE(2024,3,31),Sales_Deals!I2300&lt;=DATE(2024,9,30)),Sales_Deals!J2300,""),"")</f>
        <v/>
      </c>
    </row>
    <row r="2310" spans="1:3" x14ac:dyDescent="0.35">
      <c r="A2310">
        <v>2300</v>
      </c>
      <c r="B2310" t="str">
        <f>IF(Sales_Deals!I2301&lt;&gt;"",IF(AND(Sales_Deals!I2301&gt;DATE(2024,9,30),Sales_Deals!I2301&lt;=DATE(2025,3,31)),Sales_Deals!J2301,""),"")</f>
        <v/>
      </c>
      <c r="C2310">
        <f>IF(Sales_Deals!I2301&lt;&gt;"",IF(AND(Sales_Deals!I2301&gt;DATE(2024,3,31),Sales_Deals!I2301&lt;=DATE(2024,9,30)),Sales_Deals!J2301,""),"")</f>
        <v>154</v>
      </c>
    </row>
    <row r="2311" spans="1:3" x14ac:dyDescent="0.35">
      <c r="A2311">
        <v>2301</v>
      </c>
      <c r="B2311" t="str">
        <f>IF(Sales_Deals!I2302&lt;&gt;"",IF(AND(Sales_Deals!I2302&gt;DATE(2024,9,30),Sales_Deals!I2302&lt;=DATE(2025,3,31)),Sales_Deals!J2302,""),"")</f>
        <v/>
      </c>
      <c r="C2311" t="str">
        <f>IF(Sales_Deals!I2302&lt;&gt;"",IF(AND(Sales_Deals!I2302&gt;DATE(2024,3,31),Sales_Deals!I2302&lt;=DATE(2024,9,30)),Sales_Deals!J2302,""),"")</f>
        <v/>
      </c>
    </row>
    <row r="2312" spans="1:3" x14ac:dyDescent="0.35">
      <c r="A2312">
        <v>2302</v>
      </c>
      <c r="B2312" t="str">
        <f>IF(Sales_Deals!I2303&lt;&gt;"",IF(AND(Sales_Deals!I2303&gt;DATE(2024,9,30),Sales_Deals!I2303&lt;=DATE(2025,3,31)),Sales_Deals!J2303,""),"")</f>
        <v/>
      </c>
      <c r="C2312" t="str">
        <f>IF(Sales_Deals!I2303&lt;&gt;"",IF(AND(Sales_Deals!I2303&gt;DATE(2024,3,31),Sales_Deals!I2303&lt;=DATE(2024,9,30)),Sales_Deals!J2303,""),"")</f>
        <v/>
      </c>
    </row>
    <row r="2313" spans="1:3" x14ac:dyDescent="0.35">
      <c r="A2313">
        <v>2303</v>
      </c>
      <c r="B2313" t="str">
        <f>IF(Sales_Deals!I2304&lt;&gt;"",IF(AND(Sales_Deals!I2304&gt;DATE(2024,9,30),Sales_Deals!I2304&lt;=DATE(2025,3,31)),Sales_Deals!J2304,""),"")</f>
        <v/>
      </c>
      <c r="C2313" t="str">
        <f>IF(Sales_Deals!I2304&lt;&gt;"",IF(AND(Sales_Deals!I2304&gt;DATE(2024,3,31),Sales_Deals!I2304&lt;=DATE(2024,9,30)),Sales_Deals!J2304,""),"")</f>
        <v/>
      </c>
    </row>
    <row r="2314" spans="1:3" x14ac:dyDescent="0.35">
      <c r="A2314">
        <v>2304</v>
      </c>
      <c r="B2314" t="str">
        <f>IF(Sales_Deals!I2305&lt;&gt;"",IF(AND(Sales_Deals!I2305&gt;DATE(2024,9,30),Sales_Deals!I2305&lt;=DATE(2025,3,31)),Sales_Deals!J2305,""),"")</f>
        <v/>
      </c>
      <c r="C2314" t="str">
        <f>IF(Sales_Deals!I2305&lt;&gt;"",IF(AND(Sales_Deals!I2305&gt;DATE(2024,3,31),Sales_Deals!I2305&lt;=DATE(2024,9,30)),Sales_Deals!J2305,""),"")</f>
        <v/>
      </c>
    </row>
    <row r="2315" spans="1:3" x14ac:dyDescent="0.35">
      <c r="A2315">
        <v>2305</v>
      </c>
      <c r="B2315">
        <f>IF(Sales_Deals!I2306&lt;&gt;"",IF(AND(Sales_Deals!I2306&gt;DATE(2024,9,30),Sales_Deals!I2306&lt;=DATE(2025,3,31)),Sales_Deals!J2306,""),"")</f>
        <v>179</v>
      </c>
      <c r="C2315" t="str">
        <f>IF(Sales_Deals!I2306&lt;&gt;"",IF(AND(Sales_Deals!I2306&gt;DATE(2024,3,31),Sales_Deals!I2306&lt;=DATE(2024,9,30)),Sales_Deals!J2306,""),"")</f>
        <v/>
      </c>
    </row>
    <row r="2316" spans="1:3" x14ac:dyDescent="0.35">
      <c r="A2316">
        <v>2306</v>
      </c>
      <c r="B2316" t="str">
        <f>IF(Sales_Deals!I2307&lt;&gt;"",IF(AND(Sales_Deals!I2307&gt;DATE(2024,9,30),Sales_Deals!I2307&lt;=DATE(2025,3,31)),Sales_Deals!J2307,""),"")</f>
        <v/>
      </c>
      <c r="C2316" t="str">
        <f>IF(Sales_Deals!I2307&lt;&gt;"",IF(AND(Sales_Deals!I2307&gt;DATE(2024,3,31),Sales_Deals!I2307&lt;=DATE(2024,9,30)),Sales_Deals!J2307,""),"")</f>
        <v/>
      </c>
    </row>
    <row r="2317" spans="1:3" x14ac:dyDescent="0.35">
      <c r="A2317">
        <v>2307</v>
      </c>
      <c r="B2317" t="str">
        <f>IF(Sales_Deals!I2308&lt;&gt;"",IF(AND(Sales_Deals!I2308&gt;DATE(2024,9,30),Sales_Deals!I2308&lt;=DATE(2025,3,31)),Sales_Deals!J2308,""),"")</f>
        <v/>
      </c>
      <c r="C2317">
        <f>IF(Sales_Deals!I2308&lt;&gt;"",IF(AND(Sales_Deals!I2308&gt;DATE(2024,3,31),Sales_Deals!I2308&lt;=DATE(2024,9,30)),Sales_Deals!J2308,""),"")</f>
        <v>22</v>
      </c>
    </row>
    <row r="2318" spans="1:3" x14ac:dyDescent="0.35">
      <c r="A2318">
        <v>2308</v>
      </c>
      <c r="B2318" t="str">
        <f>IF(Sales_Deals!I2309&lt;&gt;"",IF(AND(Sales_Deals!I2309&gt;DATE(2024,9,30),Sales_Deals!I2309&lt;=DATE(2025,3,31)),Sales_Deals!J2309,""),"")</f>
        <v/>
      </c>
      <c r="C2318" t="str">
        <f>IF(Sales_Deals!I2309&lt;&gt;"",IF(AND(Sales_Deals!I2309&gt;DATE(2024,3,31),Sales_Deals!I2309&lt;=DATE(2024,9,30)),Sales_Deals!J2309,""),"")</f>
        <v/>
      </c>
    </row>
    <row r="2319" spans="1:3" x14ac:dyDescent="0.35">
      <c r="A2319">
        <v>2309</v>
      </c>
      <c r="B2319" t="str">
        <f>IF(Sales_Deals!I2310&lt;&gt;"",IF(AND(Sales_Deals!I2310&gt;DATE(2024,9,30),Sales_Deals!I2310&lt;=DATE(2025,3,31)),Sales_Deals!J2310,""),"")</f>
        <v/>
      </c>
      <c r="C2319" t="str">
        <f>IF(Sales_Deals!I2310&lt;&gt;"",IF(AND(Sales_Deals!I2310&gt;DATE(2024,3,31),Sales_Deals!I2310&lt;=DATE(2024,9,30)),Sales_Deals!J2310,""),"")</f>
        <v/>
      </c>
    </row>
    <row r="2320" spans="1:3" x14ac:dyDescent="0.35">
      <c r="A2320">
        <v>2310</v>
      </c>
      <c r="B2320" t="str">
        <f>IF(Sales_Deals!I2311&lt;&gt;"",IF(AND(Sales_Deals!I2311&gt;DATE(2024,9,30),Sales_Deals!I2311&lt;=DATE(2025,3,31)),Sales_Deals!J2311,""),"")</f>
        <v/>
      </c>
      <c r="C2320" t="str">
        <f>IF(Sales_Deals!I2311&lt;&gt;"",IF(AND(Sales_Deals!I2311&gt;DATE(2024,3,31),Sales_Deals!I2311&lt;=DATE(2024,9,30)),Sales_Deals!J2311,""),"")</f>
        <v/>
      </c>
    </row>
    <row r="2321" spans="1:3" x14ac:dyDescent="0.35">
      <c r="A2321">
        <v>2311</v>
      </c>
      <c r="B2321" t="str">
        <f>IF(Sales_Deals!I2312&lt;&gt;"",IF(AND(Sales_Deals!I2312&gt;DATE(2024,9,30),Sales_Deals!I2312&lt;=DATE(2025,3,31)),Sales_Deals!J2312,""),"")</f>
        <v/>
      </c>
      <c r="C2321" t="str">
        <f>IF(Sales_Deals!I2312&lt;&gt;"",IF(AND(Sales_Deals!I2312&gt;DATE(2024,3,31),Sales_Deals!I2312&lt;=DATE(2024,9,30)),Sales_Deals!J2312,""),"")</f>
        <v/>
      </c>
    </row>
    <row r="2322" spans="1:3" x14ac:dyDescent="0.35">
      <c r="A2322">
        <v>2312</v>
      </c>
      <c r="B2322" t="str">
        <f>IF(Sales_Deals!I2313&lt;&gt;"",IF(AND(Sales_Deals!I2313&gt;DATE(2024,9,30),Sales_Deals!I2313&lt;=DATE(2025,3,31)),Sales_Deals!J2313,""),"")</f>
        <v/>
      </c>
      <c r="C2322">
        <f>IF(Sales_Deals!I2313&lt;&gt;"",IF(AND(Sales_Deals!I2313&gt;DATE(2024,3,31),Sales_Deals!I2313&lt;=DATE(2024,9,30)),Sales_Deals!J2313,""),"")</f>
        <v>95</v>
      </c>
    </row>
    <row r="2323" spans="1:3" x14ac:dyDescent="0.35">
      <c r="A2323">
        <v>2313</v>
      </c>
      <c r="B2323" t="str">
        <f>IF(Sales_Deals!I2314&lt;&gt;"",IF(AND(Sales_Deals!I2314&gt;DATE(2024,9,30),Sales_Deals!I2314&lt;=DATE(2025,3,31)),Sales_Deals!J2314,""),"")</f>
        <v/>
      </c>
      <c r="C2323" t="str">
        <f>IF(Sales_Deals!I2314&lt;&gt;"",IF(AND(Sales_Deals!I2314&gt;DATE(2024,3,31),Sales_Deals!I2314&lt;=DATE(2024,9,30)),Sales_Deals!J2314,""),"")</f>
        <v/>
      </c>
    </row>
    <row r="2324" spans="1:3" x14ac:dyDescent="0.35">
      <c r="A2324">
        <v>2314</v>
      </c>
      <c r="B2324" t="str">
        <f>IF(Sales_Deals!I2315&lt;&gt;"",IF(AND(Sales_Deals!I2315&gt;DATE(2024,9,30),Sales_Deals!I2315&lt;=DATE(2025,3,31)),Sales_Deals!J2315,""),"")</f>
        <v/>
      </c>
      <c r="C2324" t="str">
        <f>IF(Sales_Deals!I2315&lt;&gt;"",IF(AND(Sales_Deals!I2315&gt;DATE(2024,3,31),Sales_Deals!I2315&lt;=DATE(2024,9,30)),Sales_Deals!J2315,""),"")</f>
        <v/>
      </c>
    </row>
    <row r="2325" spans="1:3" x14ac:dyDescent="0.35">
      <c r="A2325">
        <v>2315</v>
      </c>
      <c r="B2325" t="str">
        <f>IF(Sales_Deals!I2316&lt;&gt;"",IF(AND(Sales_Deals!I2316&gt;DATE(2024,9,30),Sales_Deals!I2316&lt;=DATE(2025,3,31)),Sales_Deals!J2316,""),"")</f>
        <v/>
      </c>
      <c r="C2325" t="str">
        <f>IF(Sales_Deals!I2316&lt;&gt;"",IF(AND(Sales_Deals!I2316&gt;DATE(2024,3,31),Sales_Deals!I2316&lt;=DATE(2024,9,30)),Sales_Deals!J2316,""),"")</f>
        <v/>
      </c>
    </row>
    <row r="2326" spans="1:3" x14ac:dyDescent="0.35">
      <c r="A2326">
        <v>2316</v>
      </c>
      <c r="B2326" t="str">
        <f>IF(Sales_Deals!I2317&lt;&gt;"",IF(AND(Sales_Deals!I2317&gt;DATE(2024,9,30),Sales_Deals!I2317&lt;=DATE(2025,3,31)),Sales_Deals!J2317,""),"")</f>
        <v/>
      </c>
      <c r="C2326" t="str">
        <f>IF(Sales_Deals!I2317&lt;&gt;"",IF(AND(Sales_Deals!I2317&gt;DATE(2024,3,31),Sales_Deals!I2317&lt;=DATE(2024,9,30)),Sales_Deals!J2317,""),"")</f>
        <v/>
      </c>
    </row>
    <row r="2327" spans="1:3" x14ac:dyDescent="0.35">
      <c r="A2327">
        <v>2317</v>
      </c>
      <c r="B2327" t="str">
        <f>IF(Sales_Deals!I2318&lt;&gt;"",IF(AND(Sales_Deals!I2318&gt;DATE(2024,9,30),Sales_Deals!I2318&lt;=DATE(2025,3,31)),Sales_Deals!J2318,""),"")</f>
        <v/>
      </c>
      <c r="C2327" t="str">
        <f>IF(Sales_Deals!I2318&lt;&gt;"",IF(AND(Sales_Deals!I2318&gt;DATE(2024,3,31),Sales_Deals!I2318&lt;=DATE(2024,9,30)),Sales_Deals!J2318,""),"")</f>
        <v/>
      </c>
    </row>
    <row r="2328" spans="1:3" x14ac:dyDescent="0.35">
      <c r="A2328">
        <v>2318</v>
      </c>
      <c r="B2328" t="str">
        <f>IF(Sales_Deals!I2319&lt;&gt;"",IF(AND(Sales_Deals!I2319&gt;DATE(2024,9,30),Sales_Deals!I2319&lt;=DATE(2025,3,31)),Sales_Deals!J2319,""),"")</f>
        <v/>
      </c>
      <c r="C2328" t="str">
        <f>IF(Sales_Deals!I2319&lt;&gt;"",IF(AND(Sales_Deals!I2319&gt;DATE(2024,3,31),Sales_Deals!I2319&lt;=DATE(2024,9,30)),Sales_Deals!J2319,""),"")</f>
        <v/>
      </c>
    </row>
    <row r="2329" spans="1:3" x14ac:dyDescent="0.35">
      <c r="A2329">
        <v>2319</v>
      </c>
      <c r="B2329" t="str">
        <f>IF(Sales_Deals!I2320&lt;&gt;"",IF(AND(Sales_Deals!I2320&gt;DATE(2024,9,30),Sales_Deals!I2320&lt;=DATE(2025,3,31)),Sales_Deals!J2320,""),"")</f>
        <v/>
      </c>
      <c r="C2329" t="str">
        <f>IF(Sales_Deals!I2320&lt;&gt;"",IF(AND(Sales_Deals!I2320&gt;DATE(2024,3,31),Sales_Deals!I2320&lt;=DATE(2024,9,30)),Sales_Deals!J2320,""),"")</f>
        <v/>
      </c>
    </row>
    <row r="2330" spans="1:3" x14ac:dyDescent="0.35">
      <c r="A2330">
        <v>2320</v>
      </c>
      <c r="B2330" t="str">
        <f>IF(Sales_Deals!I2321&lt;&gt;"",IF(AND(Sales_Deals!I2321&gt;DATE(2024,9,30),Sales_Deals!I2321&lt;=DATE(2025,3,31)),Sales_Deals!J2321,""),"")</f>
        <v/>
      </c>
      <c r="C2330">
        <f>IF(Sales_Deals!I2321&lt;&gt;"",IF(AND(Sales_Deals!I2321&gt;DATE(2024,3,31),Sales_Deals!I2321&lt;=DATE(2024,9,30)),Sales_Deals!J2321,""),"")</f>
        <v>30</v>
      </c>
    </row>
    <row r="2331" spans="1:3" x14ac:dyDescent="0.35">
      <c r="A2331">
        <v>2321</v>
      </c>
      <c r="B2331" t="str">
        <f>IF(Sales_Deals!I2322&lt;&gt;"",IF(AND(Sales_Deals!I2322&gt;DATE(2024,9,30),Sales_Deals!I2322&lt;=DATE(2025,3,31)),Sales_Deals!J2322,""),"")</f>
        <v/>
      </c>
      <c r="C2331" t="str">
        <f>IF(Sales_Deals!I2322&lt;&gt;"",IF(AND(Sales_Deals!I2322&gt;DATE(2024,3,31),Sales_Deals!I2322&lt;=DATE(2024,9,30)),Sales_Deals!J2322,""),"")</f>
        <v/>
      </c>
    </row>
    <row r="2332" spans="1:3" x14ac:dyDescent="0.35">
      <c r="A2332">
        <v>2322</v>
      </c>
      <c r="B2332" t="str">
        <f>IF(Sales_Deals!I2323&lt;&gt;"",IF(AND(Sales_Deals!I2323&gt;DATE(2024,9,30),Sales_Deals!I2323&lt;=DATE(2025,3,31)),Sales_Deals!J2323,""),"")</f>
        <v/>
      </c>
      <c r="C2332" t="str">
        <f>IF(Sales_Deals!I2323&lt;&gt;"",IF(AND(Sales_Deals!I2323&gt;DATE(2024,3,31),Sales_Deals!I2323&lt;=DATE(2024,9,30)),Sales_Deals!J2323,""),"")</f>
        <v/>
      </c>
    </row>
    <row r="2333" spans="1:3" x14ac:dyDescent="0.35">
      <c r="A2333">
        <v>2323</v>
      </c>
      <c r="B2333" t="str">
        <f>IF(Sales_Deals!I2324&lt;&gt;"",IF(AND(Sales_Deals!I2324&gt;DATE(2024,9,30),Sales_Deals!I2324&lt;=DATE(2025,3,31)),Sales_Deals!J2324,""),"")</f>
        <v/>
      </c>
      <c r="C2333" t="str">
        <f>IF(Sales_Deals!I2324&lt;&gt;"",IF(AND(Sales_Deals!I2324&gt;DATE(2024,3,31),Sales_Deals!I2324&lt;=DATE(2024,9,30)),Sales_Deals!J2324,""),"")</f>
        <v/>
      </c>
    </row>
    <row r="2334" spans="1:3" x14ac:dyDescent="0.35">
      <c r="A2334">
        <v>2324</v>
      </c>
      <c r="B2334" t="str">
        <f>IF(Sales_Deals!I2325&lt;&gt;"",IF(AND(Sales_Deals!I2325&gt;DATE(2024,9,30),Sales_Deals!I2325&lt;=DATE(2025,3,31)),Sales_Deals!J2325,""),"")</f>
        <v/>
      </c>
      <c r="C2334" t="str">
        <f>IF(Sales_Deals!I2325&lt;&gt;"",IF(AND(Sales_Deals!I2325&gt;DATE(2024,3,31),Sales_Deals!I2325&lt;=DATE(2024,9,30)),Sales_Deals!J2325,""),"")</f>
        <v/>
      </c>
    </row>
    <row r="2335" spans="1:3" x14ac:dyDescent="0.35">
      <c r="A2335">
        <v>2325</v>
      </c>
      <c r="B2335" t="str">
        <f>IF(Sales_Deals!I2326&lt;&gt;"",IF(AND(Sales_Deals!I2326&gt;DATE(2024,9,30),Sales_Deals!I2326&lt;=DATE(2025,3,31)),Sales_Deals!J2326,""),"")</f>
        <v/>
      </c>
      <c r="C2335" t="str">
        <f>IF(Sales_Deals!I2326&lt;&gt;"",IF(AND(Sales_Deals!I2326&gt;DATE(2024,3,31),Sales_Deals!I2326&lt;=DATE(2024,9,30)),Sales_Deals!J2326,""),"")</f>
        <v/>
      </c>
    </row>
    <row r="2336" spans="1:3" x14ac:dyDescent="0.35">
      <c r="A2336">
        <v>2326</v>
      </c>
      <c r="B2336" t="str">
        <f>IF(Sales_Deals!I2327&lt;&gt;"",IF(AND(Sales_Deals!I2327&gt;DATE(2024,9,30),Sales_Deals!I2327&lt;=DATE(2025,3,31)),Sales_Deals!J2327,""),"")</f>
        <v/>
      </c>
      <c r="C2336" t="str">
        <f>IF(Sales_Deals!I2327&lt;&gt;"",IF(AND(Sales_Deals!I2327&gt;DATE(2024,3,31),Sales_Deals!I2327&lt;=DATE(2024,9,30)),Sales_Deals!J2327,""),"")</f>
        <v/>
      </c>
    </row>
    <row r="2337" spans="1:3" x14ac:dyDescent="0.35">
      <c r="A2337">
        <v>2327</v>
      </c>
      <c r="B2337" t="str">
        <f>IF(Sales_Deals!I2328&lt;&gt;"",IF(AND(Sales_Deals!I2328&gt;DATE(2024,9,30),Sales_Deals!I2328&lt;=DATE(2025,3,31)),Sales_Deals!J2328,""),"")</f>
        <v/>
      </c>
      <c r="C2337">
        <f>IF(Sales_Deals!I2328&lt;&gt;"",IF(AND(Sales_Deals!I2328&gt;DATE(2024,3,31),Sales_Deals!I2328&lt;=DATE(2024,9,30)),Sales_Deals!J2328,""),"")</f>
        <v>37</v>
      </c>
    </row>
    <row r="2338" spans="1:3" x14ac:dyDescent="0.35">
      <c r="A2338">
        <v>2328</v>
      </c>
      <c r="B2338" t="str">
        <f>IF(Sales_Deals!I2329&lt;&gt;"",IF(AND(Sales_Deals!I2329&gt;DATE(2024,9,30),Sales_Deals!I2329&lt;=DATE(2025,3,31)),Sales_Deals!J2329,""),"")</f>
        <v/>
      </c>
      <c r="C2338" t="str">
        <f>IF(Sales_Deals!I2329&lt;&gt;"",IF(AND(Sales_Deals!I2329&gt;DATE(2024,3,31),Sales_Deals!I2329&lt;=DATE(2024,9,30)),Sales_Deals!J2329,""),"")</f>
        <v/>
      </c>
    </row>
    <row r="2339" spans="1:3" x14ac:dyDescent="0.35">
      <c r="A2339">
        <v>2329</v>
      </c>
      <c r="B2339" t="str">
        <f>IF(Sales_Deals!I2330&lt;&gt;"",IF(AND(Sales_Deals!I2330&gt;DATE(2024,9,30),Sales_Deals!I2330&lt;=DATE(2025,3,31)),Sales_Deals!J2330,""),"")</f>
        <v/>
      </c>
      <c r="C2339" t="str">
        <f>IF(Sales_Deals!I2330&lt;&gt;"",IF(AND(Sales_Deals!I2330&gt;DATE(2024,3,31),Sales_Deals!I2330&lt;=DATE(2024,9,30)),Sales_Deals!J2330,""),"")</f>
        <v/>
      </c>
    </row>
    <row r="2340" spans="1:3" x14ac:dyDescent="0.35">
      <c r="A2340">
        <v>2330</v>
      </c>
      <c r="B2340" t="str">
        <f>IF(Sales_Deals!I2331&lt;&gt;"",IF(AND(Sales_Deals!I2331&gt;DATE(2024,9,30),Sales_Deals!I2331&lt;=DATE(2025,3,31)),Sales_Deals!J2331,""),"")</f>
        <v/>
      </c>
      <c r="C2340" t="str">
        <f>IF(Sales_Deals!I2331&lt;&gt;"",IF(AND(Sales_Deals!I2331&gt;DATE(2024,3,31),Sales_Deals!I2331&lt;=DATE(2024,9,30)),Sales_Deals!J2331,""),"")</f>
        <v/>
      </c>
    </row>
    <row r="2341" spans="1:3" x14ac:dyDescent="0.35">
      <c r="A2341">
        <v>2331</v>
      </c>
      <c r="B2341" t="str">
        <f>IF(Sales_Deals!I2332&lt;&gt;"",IF(AND(Sales_Deals!I2332&gt;DATE(2024,9,30),Sales_Deals!I2332&lt;=DATE(2025,3,31)),Sales_Deals!J2332,""),"")</f>
        <v/>
      </c>
      <c r="C2341" t="str">
        <f>IF(Sales_Deals!I2332&lt;&gt;"",IF(AND(Sales_Deals!I2332&gt;DATE(2024,3,31),Sales_Deals!I2332&lt;=DATE(2024,9,30)),Sales_Deals!J2332,""),"")</f>
        <v/>
      </c>
    </row>
    <row r="2342" spans="1:3" x14ac:dyDescent="0.35">
      <c r="A2342">
        <v>2332</v>
      </c>
      <c r="B2342" t="str">
        <f>IF(Sales_Deals!I2333&lt;&gt;"",IF(AND(Sales_Deals!I2333&gt;DATE(2024,9,30),Sales_Deals!I2333&lt;=DATE(2025,3,31)),Sales_Deals!J2333,""),"")</f>
        <v/>
      </c>
      <c r="C2342" t="str">
        <f>IF(Sales_Deals!I2333&lt;&gt;"",IF(AND(Sales_Deals!I2333&gt;DATE(2024,3,31),Sales_Deals!I2333&lt;=DATE(2024,9,30)),Sales_Deals!J2333,""),"")</f>
        <v/>
      </c>
    </row>
    <row r="2343" spans="1:3" x14ac:dyDescent="0.35">
      <c r="A2343">
        <v>2333</v>
      </c>
      <c r="B2343" t="str">
        <f>IF(Sales_Deals!I2334&lt;&gt;"",IF(AND(Sales_Deals!I2334&gt;DATE(2024,9,30),Sales_Deals!I2334&lt;=DATE(2025,3,31)),Sales_Deals!J2334,""),"")</f>
        <v/>
      </c>
      <c r="C2343" t="str">
        <f>IF(Sales_Deals!I2334&lt;&gt;"",IF(AND(Sales_Deals!I2334&gt;DATE(2024,3,31),Sales_Deals!I2334&lt;=DATE(2024,9,30)),Sales_Deals!J2334,""),"")</f>
        <v/>
      </c>
    </row>
    <row r="2344" spans="1:3" x14ac:dyDescent="0.35">
      <c r="A2344">
        <v>2334</v>
      </c>
      <c r="B2344" t="str">
        <f>IF(Sales_Deals!I2335&lt;&gt;"",IF(AND(Sales_Deals!I2335&gt;DATE(2024,9,30),Sales_Deals!I2335&lt;=DATE(2025,3,31)),Sales_Deals!J2335,""),"")</f>
        <v/>
      </c>
      <c r="C2344" t="str">
        <f>IF(Sales_Deals!I2335&lt;&gt;"",IF(AND(Sales_Deals!I2335&gt;DATE(2024,3,31),Sales_Deals!I2335&lt;=DATE(2024,9,30)),Sales_Deals!J2335,""),"")</f>
        <v/>
      </c>
    </row>
    <row r="2345" spans="1:3" x14ac:dyDescent="0.35">
      <c r="A2345">
        <v>2335</v>
      </c>
      <c r="B2345" t="str">
        <f>IF(Sales_Deals!I2336&lt;&gt;"",IF(AND(Sales_Deals!I2336&gt;DATE(2024,9,30),Sales_Deals!I2336&lt;=DATE(2025,3,31)),Sales_Deals!J2336,""),"")</f>
        <v/>
      </c>
      <c r="C2345" t="str">
        <f>IF(Sales_Deals!I2336&lt;&gt;"",IF(AND(Sales_Deals!I2336&gt;DATE(2024,3,31),Sales_Deals!I2336&lt;=DATE(2024,9,30)),Sales_Deals!J2336,""),"")</f>
        <v/>
      </c>
    </row>
    <row r="2346" spans="1:3" x14ac:dyDescent="0.35">
      <c r="A2346">
        <v>2336</v>
      </c>
      <c r="B2346" t="str">
        <f>IF(Sales_Deals!I2337&lt;&gt;"",IF(AND(Sales_Deals!I2337&gt;DATE(2024,9,30),Sales_Deals!I2337&lt;=DATE(2025,3,31)),Sales_Deals!J2337,""),"")</f>
        <v/>
      </c>
      <c r="C2346" t="str">
        <f>IF(Sales_Deals!I2337&lt;&gt;"",IF(AND(Sales_Deals!I2337&gt;DATE(2024,3,31),Sales_Deals!I2337&lt;=DATE(2024,9,30)),Sales_Deals!J2337,""),"")</f>
        <v/>
      </c>
    </row>
    <row r="2347" spans="1:3" x14ac:dyDescent="0.35">
      <c r="A2347">
        <v>2337</v>
      </c>
      <c r="B2347" t="str">
        <f>IF(Sales_Deals!I2338&lt;&gt;"",IF(AND(Sales_Deals!I2338&gt;DATE(2024,9,30),Sales_Deals!I2338&lt;=DATE(2025,3,31)),Sales_Deals!J2338,""),"")</f>
        <v/>
      </c>
      <c r="C2347" t="str">
        <f>IF(Sales_Deals!I2338&lt;&gt;"",IF(AND(Sales_Deals!I2338&gt;DATE(2024,3,31),Sales_Deals!I2338&lt;=DATE(2024,9,30)),Sales_Deals!J2338,""),"")</f>
        <v/>
      </c>
    </row>
    <row r="2348" spans="1:3" x14ac:dyDescent="0.35">
      <c r="A2348">
        <v>2338</v>
      </c>
      <c r="B2348" t="str">
        <f>IF(Sales_Deals!I2339&lt;&gt;"",IF(AND(Sales_Deals!I2339&gt;DATE(2024,9,30),Sales_Deals!I2339&lt;=DATE(2025,3,31)),Sales_Deals!J2339,""),"")</f>
        <v/>
      </c>
      <c r="C2348" t="str">
        <f>IF(Sales_Deals!I2339&lt;&gt;"",IF(AND(Sales_Deals!I2339&gt;DATE(2024,3,31),Sales_Deals!I2339&lt;=DATE(2024,9,30)),Sales_Deals!J2339,""),"")</f>
        <v/>
      </c>
    </row>
    <row r="2349" spans="1:3" x14ac:dyDescent="0.35">
      <c r="A2349">
        <v>2339</v>
      </c>
      <c r="B2349">
        <f>IF(Sales_Deals!I2340&lt;&gt;"",IF(AND(Sales_Deals!I2340&gt;DATE(2024,9,30),Sales_Deals!I2340&lt;=DATE(2025,3,31)),Sales_Deals!J2340,""),"")</f>
        <v>26</v>
      </c>
      <c r="C2349" t="str">
        <f>IF(Sales_Deals!I2340&lt;&gt;"",IF(AND(Sales_Deals!I2340&gt;DATE(2024,3,31),Sales_Deals!I2340&lt;=DATE(2024,9,30)),Sales_Deals!J2340,""),"")</f>
        <v/>
      </c>
    </row>
    <row r="2350" spans="1:3" x14ac:dyDescent="0.35">
      <c r="A2350">
        <v>2340</v>
      </c>
      <c r="B2350" t="str">
        <f>IF(Sales_Deals!I2341&lt;&gt;"",IF(AND(Sales_Deals!I2341&gt;DATE(2024,9,30),Sales_Deals!I2341&lt;=DATE(2025,3,31)),Sales_Deals!J2341,""),"")</f>
        <v/>
      </c>
      <c r="C2350" t="str">
        <f>IF(Sales_Deals!I2341&lt;&gt;"",IF(AND(Sales_Deals!I2341&gt;DATE(2024,3,31),Sales_Deals!I2341&lt;=DATE(2024,9,30)),Sales_Deals!J2341,""),"")</f>
        <v/>
      </c>
    </row>
    <row r="2351" spans="1:3" x14ac:dyDescent="0.35">
      <c r="A2351">
        <v>2341</v>
      </c>
      <c r="B2351" t="str">
        <f>IF(Sales_Deals!I2342&lt;&gt;"",IF(AND(Sales_Deals!I2342&gt;DATE(2024,9,30),Sales_Deals!I2342&lt;=DATE(2025,3,31)),Sales_Deals!J2342,""),"")</f>
        <v/>
      </c>
      <c r="C2351" t="str">
        <f>IF(Sales_Deals!I2342&lt;&gt;"",IF(AND(Sales_Deals!I2342&gt;DATE(2024,3,31),Sales_Deals!I2342&lt;=DATE(2024,9,30)),Sales_Deals!J2342,""),"")</f>
        <v/>
      </c>
    </row>
    <row r="2352" spans="1:3" x14ac:dyDescent="0.35">
      <c r="A2352">
        <v>2342</v>
      </c>
      <c r="B2352" t="str">
        <f>IF(Sales_Deals!I2343&lt;&gt;"",IF(AND(Sales_Deals!I2343&gt;DATE(2024,9,30),Sales_Deals!I2343&lt;=DATE(2025,3,31)),Sales_Deals!J2343,""),"")</f>
        <v/>
      </c>
      <c r="C2352" t="str">
        <f>IF(Sales_Deals!I2343&lt;&gt;"",IF(AND(Sales_Deals!I2343&gt;DATE(2024,3,31),Sales_Deals!I2343&lt;=DATE(2024,9,30)),Sales_Deals!J2343,""),"")</f>
        <v/>
      </c>
    </row>
    <row r="2353" spans="1:3" x14ac:dyDescent="0.35">
      <c r="A2353">
        <v>2343</v>
      </c>
      <c r="B2353" t="str">
        <f>IF(Sales_Deals!I2344&lt;&gt;"",IF(AND(Sales_Deals!I2344&gt;DATE(2024,9,30),Sales_Deals!I2344&lt;=DATE(2025,3,31)),Sales_Deals!J2344,""),"")</f>
        <v/>
      </c>
      <c r="C2353" t="str">
        <f>IF(Sales_Deals!I2344&lt;&gt;"",IF(AND(Sales_Deals!I2344&gt;DATE(2024,3,31),Sales_Deals!I2344&lt;=DATE(2024,9,30)),Sales_Deals!J2344,""),"")</f>
        <v/>
      </c>
    </row>
    <row r="2354" spans="1:3" x14ac:dyDescent="0.35">
      <c r="A2354">
        <v>2344</v>
      </c>
      <c r="B2354" t="str">
        <f>IF(Sales_Deals!I2345&lt;&gt;"",IF(AND(Sales_Deals!I2345&gt;DATE(2024,9,30),Sales_Deals!I2345&lt;=DATE(2025,3,31)),Sales_Deals!J2345,""),"")</f>
        <v/>
      </c>
      <c r="C2354" t="str">
        <f>IF(Sales_Deals!I2345&lt;&gt;"",IF(AND(Sales_Deals!I2345&gt;DATE(2024,3,31),Sales_Deals!I2345&lt;=DATE(2024,9,30)),Sales_Deals!J2345,""),"")</f>
        <v/>
      </c>
    </row>
    <row r="2355" spans="1:3" x14ac:dyDescent="0.35">
      <c r="A2355">
        <v>2345</v>
      </c>
      <c r="B2355" t="str">
        <f>IF(Sales_Deals!I2346&lt;&gt;"",IF(AND(Sales_Deals!I2346&gt;DATE(2024,9,30),Sales_Deals!I2346&lt;=DATE(2025,3,31)),Sales_Deals!J2346,""),"")</f>
        <v/>
      </c>
      <c r="C2355" t="str">
        <f>IF(Sales_Deals!I2346&lt;&gt;"",IF(AND(Sales_Deals!I2346&gt;DATE(2024,3,31),Sales_Deals!I2346&lt;=DATE(2024,9,30)),Sales_Deals!J2346,""),"")</f>
        <v/>
      </c>
    </row>
    <row r="2356" spans="1:3" x14ac:dyDescent="0.35">
      <c r="A2356">
        <v>2346</v>
      </c>
      <c r="B2356" t="str">
        <f>IF(Sales_Deals!I2347&lt;&gt;"",IF(AND(Sales_Deals!I2347&gt;DATE(2024,9,30),Sales_Deals!I2347&lt;=DATE(2025,3,31)),Sales_Deals!J2347,""),"")</f>
        <v/>
      </c>
      <c r="C2356" t="str">
        <f>IF(Sales_Deals!I2347&lt;&gt;"",IF(AND(Sales_Deals!I2347&gt;DATE(2024,3,31),Sales_Deals!I2347&lt;=DATE(2024,9,30)),Sales_Deals!J2347,""),"")</f>
        <v/>
      </c>
    </row>
    <row r="2357" spans="1:3" x14ac:dyDescent="0.35">
      <c r="A2357">
        <v>2347</v>
      </c>
      <c r="B2357" t="str">
        <f>IF(Sales_Deals!I2348&lt;&gt;"",IF(AND(Sales_Deals!I2348&gt;DATE(2024,9,30),Sales_Deals!I2348&lt;=DATE(2025,3,31)),Sales_Deals!J2348,""),"")</f>
        <v/>
      </c>
      <c r="C2357" t="str">
        <f>IF(Sales_Deals!I2348&lt;&gt;"",IF(AND(Sales_Deals!I2348&gt;DATE(2024,3,31),Sales_Deals!I2348&lt;=DATE(2024,9,30)),Sales_Deals!J2348,""),"")</f>
        <v/>
      </c>
    </row>
    <row r="2358" spans="1:3" x14ac:dyDescent="0.35">
      <c r="A2358">
        <v>2348</v>
      </c>
      <c r="B2358" t="str">
        <f>IF(Sales_Deals!I2349&lt;&gt;"",IF(AND(Sales_Deals!I2349&gt;DATE(2024,9,30),Sales_Deals!I2349&lt;=DATE(2025,3,31)),Sales_Deals!J2349,""),"")</f>
        <v/>
      </c>
      <c r="C2358" t="str">
        <f>IF(Sales_Deals!I2349&lt;&gt;"",IF(AND(Sales_Deals!I2349&gt;DATE(2024,3,31),Sales_Deals!I2349&lt;=DATE(2024,9,30)),Sales_Deals!J2349,""),"")</f>
        <v/>
      </c>
    </row>
    <row r="2359" spans="1:3" x14ac:dyDescent="0.35">
      <c r="A2359">
        <v>2349</v>
      </c>
      <c r="B2359">
        <f>IF(Sales_Deals!I2350&lt;&gt;"",IF(AND(Sales_Deals!I2350&gt;DATE(2024,9,30),Sales_Deals!I2350&lt;=DATE(2025,3,31)),Sales_Deals!J2350,""),"")</f>
        <v>144</v>
      </c>
      <c r="C2359" t="str">
        <f>IF(Sales_Deals!I2350&lt;&gt;"",IF(AND(Sales_Deals!I2350&gt;DATE(2024,3,31),Sales_Deals!I2350&lt;=DATE(2024,9,30)),Sales_Deals!J2350,""),"")</f>
        <v/>
      </c>
    </row>
    <row r="2360" spans="1:3" x14ac:dyDescent="0.35">
      <c r="A2360">
        <v>2350</v>
      </c>
      <c r="B2360" t="str">
        <f>IF(Sales_Deals!I2351&lt;&gt;"",IF(AND(Sales_Deals!I2351&gt;DATE(2024,9,30),Sales_Deals!I2351&lt;=DATE(2025,3,31)),Sales_Deals!J2351,""),"")</f>
        <v/>
      </c>
      <c r="C2360" t="str">
        <f>IF(Sales_Deals!I2351&lt;&gt;"",IF(AND(Sales_Deals!I2351&gt;DATE(2024,3,31),Sales_Deals!I2351&lt;=DATE(2024,9,30)),Sales_Deals!J2351,""),"")</f>
        <v/>
      </c>
    </row>
    <row r="2361" spans="1:3" x14ac:dyDescent="0.35">
      <c r="A2361">
        <v>2351</v>
      </c>
      <c r="B2361" t="str">
        <f>IF(Sales_Deals!I2352&lt;&gt;"",IF(AND(Sales_Deals!I2352&gt;DATE(2024,9,30),Sales_Deals!I2352&lt;=DATE(2025,3,31)),Sales_Deals!J2352,""),"")</f>
        <v/>
      </c>
      <c r="C2361" t="str">
        <f>IF(Sales_Deals!I2352&lt;&gt;"",IF(AND(Sales_Deals!I2352&gt;DATE(2024,3,31),Sales_Deals!I2352&lt;=DATE(2024,9,30)),Sales_Deals!J2352,""),"")</f>
        <v/>
      </c>
    </row>
    <row r="2362" spans="1:3" x14ac:dyDescent="0.35">
      <c r="A2362">
        <v>2352</v>
      </c>
      <c r="B2362" t="str">
        <f>IF(Sales_Deals!I2353&lt;&gt;"",IF(AND(Sales_Deals!I2353&gt;DATE(2024,9,30),Sales_Deals!I2353&lt;=DATE(2025,3,31)),Sales_Deals!J2353,""),"")</f>
        <v/>
      </c>
      <c r="C2362" t="str">
        <f>IF(Sales_Deals!I2353&lt;&gt;"",IF(AND(Sales_Deals!I2353&gt;DATE(2024,3,31),Sales_Deals!I2353&lt;=DATE(2024,9,30)),Sales_Deals!J2353,""),"")</f>
        <v/>
      </c>
    </row>
    <row r="2363" spans="1:3" x14ac:dyDescent="0.35">
      <c r="A2363">
        <v>2353</v>
      </c>
      <c r="B2363" t="str">
        <f>IF(Sales_Deals!I2354&lt;&gt;"",IF(AND(Sales_Deals!I2354&gt;DATE(2024,9,30),Sales_Deals!I2354&lt;=DATE(2025,3,31)),Sales_Deals!J2354,""),"")</f>
        <v/>
      </c>
      <c r="C2363" t="str">
        <f>IF(Sales_Deals!I2354&lt;&gt;"",IF(AND(Sales_Deals!I2354&gt;DATE(2024,3,31),Sales_Deals!I2354&lt;=DATE(2024,9,30)),Sales_Deals!J2354,""),"")</f>
        <v/>
      </c>
    </row>
    <row r="2364" spans="1:3" x14ac:dyDescent="0.35">
      <c r="A2364">
        <v>2354</v>
      </c>
      <c r="B2364" t="str">
        <f>IF(Sales_Deals!I2355&lt;&gt;"",IF(AND(Sales_Deals!I2355&gt;DATE(2024,9,30),Sales_Deals!I2355&lt;=DATE(2025,3,31)),Sales_Deals!J2355,""),"")</f>
        <v/>
      </c>
      <c r="C2364" t="str">
        <f>IF(Sales_Deals!I2355&lt;&gt;"",IF(AND(Sales_Deals!I2355&gt;DATE(2024,3,31),Sales_Deals!I2355&lt;=DATE(2024,9,30)),Sales_Deals!J2355,""),"")</f>
        <v/>
      </c>
    </row>
    <row r="2365" spans="1:3" x14ac:dyDescent="0.35">
      <c r="A2365">
        <v>2355</v>
      </c>
      <c r="B2365" t="str">
        <f>IF(Sales_Deals!I2356&lt;&gt;"",IF(AND(Sales_Deals!I2356&gt;DATE(2024,9,30),Sales_Deals!I2356&lt;=DATE(2025,3,31)),Sales_Deals!J2356,""),"")</f>
        <v/>
      </c>
      <c r="C2365" t="str">
        <f>IF(Sales_Deals!I2356&lt;&gt;"",IF(AND(Sales_Deals!I2356&gt;DATE(2024,3,31),Sales_Deals!I2356&lt;=DATE(2024,9,30)),Sales_Deals!J2356,""),"")</f>
        <v/>
      </c>
    </row>
    <row r="2366" spans="1:3" x14ac:dyDescent="0.35">
      <c r="A2366">
        <v>2356</v>
      </c>
      <c r="B2366" t="str">
        <f>IF(Sales_Deals!I2357&lt;&gt;"",IF(AND(Sales_Deals!I2357&gt;DATE(2024,9,30),Sales_Deals!I2357&lt;=DATE(2025,3,31)),Sales_Deals!J2357,""),"")</f>
        <v/>
      </c>
      <c r="C2366" t="str">
        <f>IF(Sales_Deals!I2357&lt;&gt;"",IF(AND(Sales_Deals!I2357&gt;DATE(2024,3,31),Sales_Deals!I2357&lt;=DATE(2024,9,30)),Sales_Deals!J2357,""),"")</f>
        <v/>
      </c>
    </row>
    <row r="2367" spans="1:3" x14ac:dyDescent="0.35">
      <c r="A2367">
        <v>2357</v>
      </c>
      <c r="B2367" t="str">
        <f>IF(Sales_Deals!I2358&lt;&gt;"",IF(AND(Sales_Deals!I2358&gt;DATE(2024,9,30),Sales_Deals!I2358&lt;=DATE(2025,3,31)),Sales_Deals!J2358,""),"")</f>
        <v/>
      </c>
      <c r="C2367" t="str">
        <f>IF(Sales_Deals!I2358&lt;&gt;"",IF(AND(Sales_Deals!I2358&gt;DATE(2024,3,31),Sales_Deals!I2358&lt;=DATE(2024,9,30)),Sales_Deals!J2358,""),"")</f>
        <v/>
      </c>
    </row>
    <row r="2368" spans="1:3" x14ac:dyDescent="0.35">
      <c r="A2368">
        <v>2358</v>
      </c>
      <c r="B2368" t="str">
        <f>IF(Sales_Deals!I2359&lt;&gt;"",IF(AND(Sales_Deals!I2359&gt;DATE(2024,9,30),Sales_Deals!I2359&lt;=DATE(2025,3,31)),Sales_Deals!J2359,""),"")</f>
        <v/>
      </c>
      <c r="C2368" t="str">
        <f>IF(Sales_Deals!I2359&lt;&gt;"",IF(AND(Sales_Deals!I2359&gt;DATE(2024,3,31),Sales_Deals!I2359&lt;=DATE(2024,9,30)),Sales_Deals!J2359,""),"")</f>
        <v/>
      </c>
    </row>
    <row r="2369" spans="1:3" x14ac:dyDescent="0.35">
      <c r="A2369">
        <v>2359</v>
      </c>
      <c r="B2369">
        <f>IF(Sales_Deals!I2360&lt;&gt;"",IF(AND(Sales_Deals!I2360&gt;DATE(2024,9,30),Sales_Deals!I2360&lt;=DATE(2025,3,31)),Sales_Deals!J2360,""),"")</f>
        <v>108</v>
      </c>
      <c r="C2369" t="str">
        <f>IF(Sales_Deals!I2360&lt;&gt;"",IF(AND(Sales_Deals!I2360&gt;DATE(2024,3,31),Sales_Deals!I2360&lt;=DATE(2024,9,30)),Sales_Deals!J2360,""),"")</f>
        <v/>
      </c>
    </row>
    <row r="2370" spans="1:3" x14ac:dyDescent="0.35">
      <c r="A2370">
        <v>2360</v>
      </c>
      <c r="B2370" t="str">
        <f>IF(Sales_Deals!I2361&lt;&gt;"",IF(AND(Sales_Deals!I2361&gt;DATE(2024,9,30),Sales_Deals!I2361&lt;=DATE(2025,3,31)),Sales_Deals!J2361,""),"")</f>
        <v/>
      </c>
      <c r="C2370" t="str">
        <f>IF(Sales_Deals!I2361&lt;&gt;"",IF(AND(Sales_Deals!I2361&gt;DATE(2024,3,31),Sales_Deals!I2361&lt;=DATE(2024,9,30)),Sales_Deals!J2361,""),"")</f>
        <v/>
      </c>
    </row>
    <row r="2371" spans="1:3" x14ac:dyDescent="0.35">
      <c r="A2371">
        <v>2361</v>
      </c>
      <c r="B2371" t="str">
        <f>IF(Sales_Deals!I2362&lt;&gt;"",IF(AND(Sales_Deals!I2362&gt;DATE(2024,9,30),Sales_Deals!I2362&lt;=DATE(2025,3,31)),Sales_Deals!J2362,""),"")</f>
        <v/>
      </c>
      <c r="C2371" t="str">
        <f>IF(Sales_Deals!I2362&lt;&gt;"",IF(AND(Sales_Deals!I2362&gt;DATE(2024,3,31),Sales_Deals!I2362&lt;=DATE(2024,9,30)),Sales_Deals!J2362,""),"")</f>
        <v/>
      </c>
    </row>
    <row r="2372" spans="1:3" x14ac:dyDescent="0.35">
      <c r="A2372">
        <v>2362</v>
      </c>
      <c r="B2372" t="str">
        <f>IF(Sales_Deals!I2363&lt;&gt;"",IF(AND(Sales_Deals!I2363&gt;DATE(2024,9,30),Sales_Deals!I2363&lt;=DATE(2025,3,31)),Sales_Deals!J2363,""),"")</f>
        <v/>
      </c>
      <c r="C2372" t="str">
        <f>IF(Sales_Deals!I2363&lt;&gt;"",IF(AND(Sales_Deals!I2363&gt;DATE(2024,3,31),Sales_Deals!I2363&lt;=DATE(2024,9,30)),Sales_Deals!J2363,""),"")</f>
        <v/>
      </c>
    </row>
    <row r="2373" spans="1:3" x14ac:dyDescent="0.35">
      <c r="A2373">
        <v>2363</v>
      </c>
      <c r="B2373" t="str">
        <f>IF(Sales_Deals!I2364&lt;&gt;"",IF(AND(Sales_Deals!I2364&gt;DATE(2024,9,30),Sales_Deals!I2364&lt;=DATE(2025,3,31)),Sales_Deals!J2364,""),"")</f>
        <v/>
      </c>
      <c r="C2373" t="str">
        <f>IF(Sales_Deals!I2364&lt;&gt;"",IF(AND(Sales_Deals!I2364&gt;DATE(2024,3,31),Sales_Deals!I2364&lt;=DATE(2024,9,30)),Sales_Deals!J2364,""),"")</f>
        <v/>
      </c>
    </row>
    <row r="2374" spans="1:3" x14ac:dyDescent="0.35">
      <c r="A2374">
        <v>2364</v>
      </c>
      <c r="B2374" t="str">
        <f>IF(Sales_Deals!I2365&lt;&gt;"",IF(AND(Sales_Deals!I2365&gt;DATE(2024,9,30),Sales_Deals!I2365&lt;=DATE(2025,3,31)),Sales_Deals!J2365,""),"")</f>
        <v/>
      </c>
      <c r="C2374" t="str">
        <f>IF(Sales_Deals!I2365&lt;&gt;"",IF(AND(Sales_Deals!I2365&gt;DATE(2024,3,31),Sales_Deals!I2365&lt;=DATE(2024,9,30)),Sales_Deals!J2365,""),"")</f>
        <v/>
      </c>
    </row>
    <row r="2375" spans="1:3" x14ac:dyDescent="0.35">
      <c r="A2375">
        <v>2365</v>
      </c>
      <c r="B2375" t="str">
        <f>IF(Sales_Deals!I2366&lt;&gt;"",IF(AND(Sales_Deals!I2366&gt;DATE(2024,9,30),Sales_Deals!I2366&lt;=DATE(2025,3,31)),Sales_Deals!J2366,""),"")</f>
        <v/>
      </c>
      <c r="C2375" t="str">
        <f>IF(Sales_Deals!I2366&lt;&gt;"",IF(AND(Sales_Deals!I2366&gt;DATE(2024,3,31),Sales_Deals!I2366&lt;=DATE(2024,9,30)),Sales_Deals!J2366,""),"")</f>
        <v/>
      </c>
    </row>
    <row r="2376" spans="1:3" x14ac:dyDescent="0.35">
      <c r="A2376">
        <v>2366</v>
      </c>
      <c r="B2376" t="str">
        <f>IF(Sales_Deals!I2367&lt;&gt;"",IF(AND(Sales_Deals!I2367&gt;DATE(2024,9,30),Sales_Deals!I2367&lt;=DATE(2025,3,31)),Sales_Deals!J2367,""),"")</f>
        <v/>
      </c>
      <c r="C2376" t="str">
        <f>IF(Sales_Deals!I2367&lt;&gt;"",IF(AND(Sales_Deals!I2367&gt;DATE(2024,3,31),Sales_Deals!I2367&lt;=DATE(2024,9,30)),Sales_Deals!J2367,""),"")</f>
        <v/>
      </c>
    </row>
    <row r="2377" spans="1:3" x14ac:dyDescent="0.35">
      <c r="A2377">
        <v>2367</v>
      </c>
      <c r="B2377" t="str">
        <f>IF(Sales_Deals!I2368&lt;&gt;"",IF(AND(Sales_Deals!I2368&gt;DATE(2024,9,30),Sales_Deals!I2368&lt;=DATE(2025,3,31)),Sales_Deals!J2368,""),"")</f>
        <v/>
      </c>
      <c r="C2377" t="str">
        <f>IF(Sales_Deals!I2368&lt;&gt;"",IF(AND(Sales_Deals!I2368&gt;DATE(2024,3,31),Sales_Deals!I2368&lt;=DATE(2024,9,30)),Sales_Deals!J2368,""),"")</f>
        <v/>
      </c>
    </row>
    <row r="2378" spans="1:3" x14ac:dyDescent="0.35">
      <c r="A2378">
        <v>2368</v>
      </c>
      <c r="B2378" t="str">
        <f>IF(Sales_Deals!I2369&lt;&gt;"",IF(AND(Sales_Deals!I2369&gt;DATE(2024,9,30),Sales_Deals!I2369&lt;=DATE(2025,3,31)),Sales_Deals!J2369,""),"")</f>
        <v/>
      </c>
      <c r="C2378" t="str">
        <f>IF(Sales_Deals!I2369&lt;&gt;"",IF(AND(Sales_Deals!I2369&gt;DATE(2024,3,31),Sales_Deals!I2369&lt;=DATE(2024,9,30)),Sales_Deals!J2369,""),"")</f>
        <v/>
      </c>
    </row>
    <row r="2379" spans="1:3" x14ac:dyDescent="0.35">
      <c r="A2379">
        <v>2369</v>
      </c>
      <c r="B2379" t="str">
        <f>IF(Sales_Deals!I2370&lt;&gt;"",IF(AND(Sales_Deals!I2370&gt;DATE(2024,9,30),Sales_Deals!I2370&lt;=DATE(2025,3,31)),Sales_Deals!J2370,""),"")</f>
        <v/>
      </c>
      <c r="C2379" t="str">
        <f>IF(Sales_Deals!I2370&lt;&gt;"",IF(AND(Sales_Deals!I2370&gt;DATE(2024,3,31),Sales_Deals!I2370&lt;=DATE(2024,9,30)),Sales_Deals!J2370,""),"")</f>
        <v/>
      </c>
    </row>
    <row r="2380" spans="1:3" x14ac:dyDescent="0.35">
      <c r="A2380">
        <v>2370</v>
      </c>
      <c r="B2380" t="str">
        <f>IF(Sales_Deals!I2371&lt;&gt;"",IF(AND(Sales_Deals!I2371&gt;DATE(2024,9,30),Sales_Deals!I2371&lt;=DATE(2025,3,31)),Sales_Deals!J2371,""),"")</f>
        <v/>
      </c>
      <c r="C2380" t="str">
        <f>IF(Sales_Deals!I2371&lt;&gt;"",IF(AND(Sales_Deals!I2371&gt;DATE(2024,3,31),Sales_Deals!I2371&lt;=DATE(2024,9,30)),Sales_Deals!J2371,""),"")</f>
        <v/>
      </c>
    </row>
    <row r="2381" spans="1:3" x14ac:dyDescent="0.35">
      <c r="A2381">
        <v>2371</v>
      </c>
      <c r="B2381" t="str">
        <f>IF(Sales_Deals!I2372&lt;&gt;"",IF(AND(Sales_Deals!I2372&gt;DATE(2024,9,30),Sales_Deals!I2372&lt;=DATE(2025,3,31)),Sales_Deals!J2372,""),"")</f>
        <v/>
      </c>
      <c r="C2381" t="str">
        <f>IF(Sales_Deals!I2372&lt;&gt;"",IF(AND(Sales_Deals!I2372&gt;DATE(2024,3,31),Sales_Deals!I2372&lt;=DATE(2024,9,30)),Sales_Deals!J2372,""),"")</f>
        <v/>
      </c>
    </row>
    <row r="2382" spans="1:3" x14ac:dyDescent="0.35">
      <c r="A2382">
        <v>2372</v>
      </c>
      <c r="B2382" t="str">
        <f>IF(Sales_Deals!I2373&lt;&gt;"",IF(AND(Sales_Deals!I2373&gt;DATE(2024,9,30),Sales_Deals!I2373&lt;=DATE(2025,3,31)),Sales_Deals!J2373,""),"")</f>
        <v/>
      </c>
      <c r="C2382" t="str">
        <f>IF(Sales_Deals!I2373&lt;&gt;"",IF(AND(Sales_Deals!I2373&gt;DATE(2024,3,31),Sales_Deals!I2373&lt;=DATE(2024,9,30)),Sales_Deals!J2373,""),"")</f>
        <v/>
      </c>
    </row>
    <row r="2383" spans="1:3" x14ac:dyDescent="0.35">
      <c r="A2383">
        <v>2373</v>
      </c>
      <c r="B2383" t="str">
        <f>IF(Sales_Deals!I2374&lt;&gt;"",IF(AND(Sales_Deals!I2374&gt;DATE(2024,9,30),Sales_Deals!I2374&lt;=DATE(2025,3,31)),Sales_Deals!J2374,""),"")</f>
        <v/>
      </c>
      <c r="C2383" t="str">
        <f>IF(Sales_Deals!I2374&lt;&gt;"",IF(AND(Sales_Deals!I2374&gt;DATE(2024,3,31),Sales_Deals!I2374&lt;=DATE(2024,9,30)),Sales_Deals!J2374,""),"")</f>
        <v/>
      </c>
    </row>
    <row r="2384" spans="1:3" x14ac:dyDescent="0.35">
      <c r="A2384">
        <v>2374</v>
      </c>
      <c r="B2384" t="str">
        <f>IF(Sales_Deals!I2375&lt;&gt;"",IF(AND(Sales_Deals!I2375&gt;DATE(2024,9,30),Sales_Deals!I2375&lt;=DATE(2025,3,31)),Sales_Deals!J2375,""),"")</f>
        <v/>
      </c>
      <c r="C2384" t="str">
        <f>IF(Sales_Deals!I2375&lt;&gt;"",IF(AND(Sales_Deals!I2375&gt;DATE(2024,3,31),Sales_Deals!I2375&lt;=DATE(2024,9,30)),Sales_Deals!J2375,""),"")</f>
        <v/>
      </c>
    </row>
    <row r="2385" spans="1:3" x14ac:dyDescent="0.35">
      <c r="A2385">
        <v>2375</v>
      </c>
      <c r="B2385" t="str">
        <f>IF(Sales_Deals!I2376&lt;&gt;"",IF(AND(Sales_Deals!I2376&gt;DATE(2024,9,30),Sales_Deals!I2376&lt;=DATE(2025,3,31)),Sales_Deals!J2376,""),"")</f>
        <v/>
      </c>
      <c r="C2385" t="str">
        <f>IF(Sales_Deals!I2376&lt;&gt;"",IF(AND(Sales_Deals!I2376&gt;DATE(2024,3,31),Sales_Deals!I2376&lt;=DATE(2024,9,30)),Sales_Deals!J2376,""),"")</f>
        <v/>
      </c>
    </row>
    <row r="2386" spans="1:3" x14ac:dyDescent="0.35">
      <c r="A2386">
        <v>2376</v>
      </c>
      <c r="B2386">
        <f>IF(Sales_Deals!I2377&lt;&gt;"",IF(AND(Sales_Deals!I2377&gt;DATE(2024,9,30),Sales_Deals!I2377&lt;=DATE(2025,3,31)),Sales_Deals!J2377,""),"")</f>
        <v>154</v>
      </c>
      <c r="C2386" t="str">
        <f>IF(Sales_Deals!I2377&lt;&gt;"",IF(AND(Sales_Deals!I2377&gt;DATE(2024,3,31),Sales_Deals!I2377&lt;=DATE(2024,9,30)),Sales_Deals!J2377,""),"")</f>
        <v/>
      </c>
    </row>
    <row r="2387" spans="1:3" x14ac:dyDescent="0.35">
      <c r="A2387">
        <v>2377</v>
      </c>
      <c r="B2387" t="str">
        <f>IF(Sales_Deals!I2378&lt;&gt;"",IF(AND(Sales_Deals!I2378&gt;DATE(2024,9,30),Sales_Deals!I2378&lt;=DATE(2025,3,31)),Sales_Deals!J2378,""),"")</f>
        <v/>
      </c>
      <c r="C2387" t="str">
        <f>IF(Sales_Deals!I2378&lt;&gt;"",IF(AND(Sales_Deals!I2378&gt;DATE(2024,3,31),Sales_Deals!I2378&lt;=DATE(2024,9,30)),Sales_Deals!J2378,""),"")</f>
        <v/>
      </c>
    </row>
    <row r="2388" spans="1:3" x14ac:dyDescent="0.35">
      <c r="A2388">
        <v>2378</v>
      </c>
      <c r="B2388" t="str">
        <f>IF(Sales_Deals!I2379&lt;&gt;"",IF(AND(Sales_Deals!I2379&gt;DATE(2024,9,30),Sales_Deals!I2379&lt;=DATE(2025,3,31)),Sales_Deals!J2379,""),"")</f>
        <v/>
      </c>
      <c r="C2388" t="str">
        <f>IF(Sales_Deals!I2379&lt;&gt;"",IF(AND(Sales_Deals!I2379&gt;DATE(2024,3,31),Sales_Deals!I2379&lt;=DATE(2024,9,30)),Sales_Deals!J2379,""),"")</f>
        <v/>
      </c>
    </row>
    <row r="2389" spans="1:3" x14ac:dyDescent="0.35">
      <c r="A2389">
        <v>2379</v>
      </c>
      <c r="B2389">
        <f>IF(Sales_Deals!I2380&lt;&gt;"",IF(AND(Sales_Deals!I2380&gt;DATE(2024,9,30),Sales_Deals!I2380&lt;=DATE(2025,3,31)),Sales_Deals!J2380,""),"")</f>
        <v>126</v>
      </c>
      <c r="C2389" t="str">
        <f>IF(Sales_Deals!I2380&lt;&gt;"",IF(AND(Sales_Deals!I2380&gt;DATE(2024,3,31),Sales_Deals!I2380&lt;=DATE(2024,9,30)),Sales_Deals!J2380,""),"")</f>
        <v/>
      </c>
    </row>
    <row r="2390" spans="1:3" x14ac:dyDescent="0.35">
      <c r="A2390">
        <v>2380</v>
      </c>
      <c r="B2390" t="str">
        <f>IF(Sales_Deals!I2381&lt;&gt;"",IF(AND(Sales_Deals!I2381&gt;DATE(2024,9,30),Sales_Deals!I2381&lt;=DATE(2025,3,31)),Sales_Deals!J2381,""),"")</f>
        <v/>
      </c>
      <c r="C2390" t="str">
        <f>IF(Sales_Deals!I2381&lt;&gt;"",IF(AND(Sales_Deals!I2381&gt;DATE(2024,3,31),Sales_Deals!I2381&lt;=DATE(2024,9,30)),Sales_Deals!J2381,""),"")</f>
        <v/>
      </c>
    </row>
    <row r="2391" spans="1:3" x14ac:dyDescent="0.35">
      <c r="A2391">
        <v>2381</v>
      </c>
      <c r="B2391" t="str">
        <f>IF(Sales_Deals!I2382&lt;&gt;"",IF(AND(Sales_Deals!I2382&gt;DATE(2024,9,30),Sales_Deals!I2382&lt;=DATE(2025,3,31)),Sales_Deals!J2382,""),"")</f>
        <v/>
      </c>
      <c r="C2391">
        <f>IF(Sales_Deals!I2382&lt;&gt;"",IF(AND(Sales_Deals!I2382&gt;DATE(2024,3,31),Sales_Deals!I2382&lt;=DATE(2024,9,30)),Sales_Deals!J2382,""),"")</f>
        <v>131</v>
      </c>
    </row>
    <row r="2392" spans="1:3" x14ac:dyDescent="0.35">
      <c r="A2392">
        <v>2382</v>
      </c>
      <c r="B2392">
        <f>IF(Sales_Deals!I2383&lt;&gt;"",IF(AND(Sales_Deals!I2383&gt;DATE(2024,9,30),Sales_Deals!I2383&lt;=DATE(2025,3,31)),Sales_Deals!J2383,""),"")</f>
        <v>38</v>
      </c>
      <c r="C2392" t="str">
        <f>IF(Sales_Deals!I2383&lt;&gt;"",IF(AND(Sales_Deals!I2383&gt;DATE(2024,3,31),Sales_Deals!I2383&lt;=DATE(2024,9,30)),Sales_Deals!J2383,""),"")</f>
        <v/>
      </c>
    </row>
    <row r="2393" spans="1:3" x14ac:dyDescent="0.35">
      <c r="A2393">
        <v>2383</v>
      </c>
      <c r="B2393" t="str">
        <f>IF(Sales_Deals!I2384&lt;&gt;"",IF(AND(Sales_Deals!I2384&gt;DATE(2024,9,30),Sales_Deals!I2384&lt;=DATE(2025,3,31)),Sales_Deals!J2384,""),"")</f>
        <v/>
      </c>
      <c r="C2393" t="str">
        <f>IF(Sales_Deals!I2384&lt;&gt;"",IF(AND(Sales_Deals!I2384&gt;DATE(2024,3,31),Sales_Deals!I2384&lt;=DATE(2024,9,30)),Sales_Deals!J2384,""),"")</f>
        <v/>
      </c>
    </row>
    <row r="2394" spans="1:3" x14ac:dyDescent="0.35">
      <c r="A2394">
        <v>2384</v>
      </c>
      <c r="B2394" t="str">
        <f>IF(Sales_Deals!I2385&lt;&gt;"",IF(AND(Sales_Deals!I2385&gt;DATE(2024,9,30),Sales_Deals!I2385&lt;=DATE(2025,3,31)),Sales_Deals!J2385,""),"")</f>
        <v/>
      </c>
      <c r="C2394" t="str">
        <f>IF(Sales_Deals!I2385&lt;&gt;"",IF(AND(Sales_Deals!I2385&gt;DATE(2024,3,31),Sales_Deals!I2385&lt;=DATE(2024,9,30)),Sales_Deals!J2385,""),"")</f>
        <v/>
      </c>
    </row>
    <row r="2395" spans="1:3" x14ac:dyDescent="0.35">
      <c r="A2395">
        <v>2385</v>
      </c>
      <c r="B2395" t="str">
        <f>IF(Sales_Deals!I2386&lt;&gt;"",IF(AND(Sales_Deals!I2386&gt;DATE(2024,9,30),Sales_Deals!I2386&lt;=DATE(2025,3,31)),Sales_Deals!J2386,""),"")</f>
        <v/>
      </c>
      <c r="C2395">
        <f>IF(Sales_Deals!I2386&lt;&gt;"",IF(AND(Sales_Deals!I2386&gt;DATE(2024,3,31),Sales_Deals!I2386&lt;=DATE(2024,9,30)),Sales_Deals!J2386,""),"")</f>
        <v>81</v>
      </c>
    </row>
    <row r="2396" spans="1:3" x14ac:dyDescent="0.35">
      <c r="A2396">
        <v>2386</v>
      </c>
      <c r="B2396" t="str">
        <f>IF(Sales_Deals!I2387&lt;&gt;"",IF(AND(Sales_Deals!I2387&gt;DATE(2024,9,30),Sales_Deals!I2387&lt;=DATE(2025,3,31)),Sales_Deals!J2387,""),"")</f>
        <v/>
      </c>
      <c r="C2396" t="str">
        <f>IF(Sales_Deals!I2387&lt;&gt;"",IF(AND(Sales_Deals!I2387&gt;DATE(2024,3,31),Sales_Deals!I2387&lt;=DATE(2024,9,30)),Sales_Deals!J2387,""),"")</f>
        <v/>
      </c>
    </row>
    <row r="2397" spans="1:3" x14ac:dyDescent="0.35">
      <c r="A2397">
        <v>2387</v>
      </c>
      <c r="B2397" t="str">
        <f>IF(Sales_Deals!I2388&lt;&gt;"",IF(AND(Sales_Deals!I2388&gt;DATE(2024,9,30),Sales_Deals!I2388&lt;=DATE(2025,3,31)),Sales_Deals!J2388,""),"")</f>
        <v/>
      </c>
      <c r="C2397" t="str">
        <f>IF(Sales_Deals!I2388&lt;&gt;"",IF(AND(Sales_Deals!I2388&gt;DATE(2024,3,31),Sales_Deals!I2388&lt;=DATE(2024,9,30)),Sales_Deals!J2388,""),"")</f>
        <v/>
      </c>
    </row>
    <row r="2398" spans="1:3" x14ac:dyDescent="0.35">
      <c r="A2398">
        <v>2388</v>
      </c>
      <c r="B2398" t="str">
        <f>IF(Sales_Deals!I2389&lt;&gt;"",IF(AND(Sales_Deals!I2389&gt;DATE(2024,9,30),Sales_Deals!I2389&lt;=DATE(2025,3,31)),Sales_Deals!J2389,""),"")</f>
        <v/>
      </c>
      <c r="C2398" t="str">
        <f>IF(Sales_Deals!I2389&lt;&gt;"",IF(AND(Sales_Deals!I2389&gt;DATE(2024,3,31),Sales_Deals!I2389&lt;=DATE(2024,9,30)),Sales_Deals!J2389,""),"")</f>
        <v/>
      </c>
    </row>
    <row r="2399" spans="1:3" x14ac:dyDescent="0.35">
      <c r="A2399">
        <v>2389</v>
      </c>
      <c r="B2399" t="str">
        <f>IF(Sales_Deals!I2390&lt;&gt;"",IF(AND(Sales_Deals!I2390&gt;DATE(2024,9,30),Sales_Deals!I2390&lt;=DATE(2025,3,31)),Sales_Deals!J2390,""),"")</f>
        <v/>
      </c>
      <c r="C2399" t="str">
        <f>IF(Sales_Deals!I2390&lt;&gt;"",IF(AND(Sales_Deals!I2390&gt;DATE(2024,3,31),Sales_Deals!I2390&lt;=DATE(2024,9,30)),Sales_Deals!J2390,""),"")</f>
        <v/>
      </c>
    </row>
    <row r="2400" spans="1:3" x14ac:dyDescent="0.35">
      <c r="A2400">
        <v>2390</v>
      </c>
      <c r="B2400" t="str">
        <f>IF(Sales_Deals!I2391&lt;&gt;"",IF(AND(Sales_Deals!I2391&gt;DATE(2024,9,30),Sales_Deals!I2391&lt;=DATE(2025,3,31)),Sales_Deals!J2391,""),"")</f>
        <v/>
      </c>
      <c r="C2400" t="str">
        <f>IF(Sales_Deals!I2391&lt;&gt;"",IF(AND(Sales_Deals!I2391&gt;DATE(2024,3,31),Sales_Deals!I2391&lt;=DATE(2024,9,30)),Sales_Deals!J2391,""),"")</f>
        <v/>
      </c>
    </row>
    <row r="2401" spans="1:3" x14ac:dyDescent="0.35">
      <c r="A2401">
        <v>2391</v>
      </c>
      <c r="B2401" t="str">
        <f>IF(Sales_Deals!I2392&lt;&gt;"",IF(AND(Sales_Deals!I2392&gt;DATE(2024,9,30),Sales_Deals!I2392&lt;=DATE(2025,3,31)),Sales_Deals!J2392,""),"")</f>
        <v/>
      </c>
      <c r="C2401" t="str">
        <f>IF(Sales_Deals!I2392&lt;&gt;"",IF(AND(Sales_Deals!I2392&gt;DATE(2024,3,31),Sales_Deals!I2392&lt;=DATE(2024,9,30)),Sales_Deals!J2392,""),"")</f>
        <v/>
      </c>
    </row>
    <row r="2402" spans="1:3" x14ac:dyDescent="0.35">
      <c r="A2402">
        <v>2392</v>
      </c>
      <c r="B2402" t="str">
        <f>IF(Sales_Deals!I2393&lt;&gt;"",IF(AND(Sales_Deals!I2393&gt;DATE(2024,9,30),Sales_Deals!I2393&lt;=DATE(2025,3,31)),Sales_Deals!J2393,""),"")</f>
        <v/>
      </c>
      <c r="C2402" t="str">
        <f>IF(Sales_Deals!I2393&lt;&gt;"",IF(AND(Sales_Deals!I2393&gt;DATE(2024,3,31),Sales_Deals!I2393&lt;=DATE(2024,9,30)),Sales_Deals!J2393,""),"")</f>
        <v/>
      </c>
    </row>
    <row r="2403" spans="1:3" x14ac:dyDescent="0.35">
      <c r="A2403">
        <v>2393</v>
      </c>
      <c r="B2403" t="str">
        <f>IF(Sales_Deals!I2394&lt;&gt;"",IF(AND(Sales_Deals!I2394&gt;DATE(2024,9,30),Sales_Deals!I2394&lt;=DATE(2025,3,31)),Sales_Deals!J2394,""),"")</f>
        <v/>
      </c>
      <c r="C2403" t="str">
        <f>IF(Sales_Deals!I2394&lt;&gt;"",IF(AND(Sales_Deals!I2394&gt;DATE(2024,3,31),Sales_Deals!I2394&lt;=DATE(2024,9,30)),Sales_Deals!J2394,""),"")</f>
        <v/>
      </c>
    </row>
    <row r="2404" spans="1:3" x14ac:dyDescent="0.35">
      <c r="A2404">
        <v>2394</v>
      </c>
      <c r="B2404" t="str">
        <f>IF(Sales_Deals!I2395&lt;&gt;"",IF(AND(Sales_Deals!I2395&gt;DATE(2024,9,30),Sales_Deals!I2395&lt;=DATE(2025,3,31)),Sales_Deals!J2395,""),"")</f>
        <v/>
      </c>
      <c r="C2404" t="str">
        <f>IF(Sales_Deals!I2395&lt;&gt;"",IF(AND(Sales_Deals!I2395&gt;DATE(2024,3,31),Sales_Deals!I2395&lt;=DATE(2024,9,30)),Sales_Deals!J2395,""),"")</f>
        <v/>
      </c>
    </row>
    <row r="2405" spans="1:3" x14ac:dyDescent="0.35">
      <c r="A2405">
        <v>2395</v>
      </c>
      <c r="B2405">
        <f>IF(Sales_Deals!I2396&lt;&gt;"",IF(AND(Sales_Deals!I2396&gt;DATE(2024,9,30),Sales_Deals!I2396&lt;=DATE(2025,3,31)),Sales_Deals!J2396,""),"")</f>
        <v>55</v>
      </c>
      <c r="C2405" t="str">
        <f>IF(Sales_Deals!I2396&lt;&gt;"",IF(AND(Sales_Deals!I2396&gt;DATE(2024,3,31),Sales_Deals!I2396&lt;=DATE(2024,9,30)),Sales_Deals!J2396,""),"")</f>
        <v/>
      </c>
    </row>
    <row r="2406" spans="1:3" x14ac:dyDescent="0.35">
      <c r="A2406">
        <v>2396</v>
      </c>
      <c r="B2406" t="str">
        <f>IF(Sales_Deals!I2397&lt;&gt;"",IF(AND(Sales_Deals!I2397&gt;DATE(2024,9,30),Sales_Deals!I2397&lt;=DATE(2025,3,31)),Sales_Deals!J2397,""),"")</f>
        <v/>
      </c>
      <c r="C2406" t="str">
        <f>IF(Sales_Deals!I2397&lt;&gt;"",IF(AND(Sales_Deals!I2397&gt;DATE(2024,3,31),Sales_Deals!I2397&lt;=DATE(2024,9,30)),Sales_Deals!J2397,""),"")</f>
        <v/>
      </c>
    </row>
    <row r="2407" spans="1:3" x14ac:dyDescent="0.35">
      <c r="A2407">
        <v>2397</v>
      </c>
      <c r="B2407" t="str">
        <f>IF(Sales_Deals!I2398&lt;&gt;"",IF(AND(Sales_Deals!I2398&gt;DATE(2024,9,30),Sales_Deals!I2398&lt;=DATE(2025,3,31)),Sales_Deals!J2398,""),"")</f>
        <v/>
      </c>
      <c r="C2407" t="str">
        <f>IF(Sales_Deals!I2398&lt;&gt;"",IF(AND(Sales_Deals!I2398&gt;DATE(2024,3,31),Sales_Deals!I2398&lt;=DATE(2024,9,30)),Sales_Deals!J2398,""),"")</f>
        <v/>
      </c>
    </row>
    <row r="2408" spans="1:3" x14ac:dyDescent="0.35">
      <c r="A2408">
        <v>2398</v>
      </c>
      <c r="B2408" t="str">
        <f>IF(Sales_Deals!I2399&lt;&gt;"",IF(AND(Sales_Deals!I2399&gt;DATE(2024,9,30),Sales_Deals!I2399&lt;=DATE(2025,3,31)),Sales_Deals!J2399,""),"")</f>
        <v/>
      </c>
      <c r="C2408" t="str">
        <f>IF(Sales_Deals!I2399&lt;&gt;"",IF(AND(Sales_Deals!I2399&gt;DATE(2024,3,31),Sales_Deals!I2399&lt;=DATE(2024,9,30)),Sales_Deals!J2399,""),"")</f>
        <v/>
      </c>
    </row>
    <row r="2409" spans="1:3" x14ac:dyDescent="0.35">
      <c r="A2409">
        <v>2399</v>
      </c>
      <c r="B2409" t="str">
        <f>IF(Sales_Deals!I2400&lt;&gt;"",IF(AND(Sales_Deals!I2400&gt;DATE(2024,9,30),Sales_Deals!I2400&lt;=DATE(2025,3,31)),Sales_Deals!J2400,""),"")</f>
        <v/>
      </c>
      <c r="C2409">
        <f>IF(Sales_Deals!I2400&lt;&gt;"",IF(AND(Sales_Deals!I2400&gt;DATE(2024,3,31),Sales_Deals!I2400&lt;=DATE(2024,9,30)),Sales_Deals!J2400,""),"")</f>
        <v>142</v>
      </c>
    </row>
    <row r="2410" spans="1:3" x14ac:dyDescent="0.35">
      <c r="A2410">
        <v>2400</v>
      </c>
      <c r="B2410" t="str">
        <f>IF(Sales_Deals!I2401&lt;&gt;"",IF(AND(Sales_Deals!I2401&gt;DATE(2024,9,30),Sales_Deals!I2401&lt;=DATE(2025,3,31)),Sales_Deals!J2401,""),"")</f>
        <v/>
      </c>
      <c r="C2410" t="str">
        <f>IF(Sales_Deals!I2401&lt;&gt;"",IF(AND(Sales_Deals!I2401&gt;DATE(2024,3,31),Sales_Deals!I2401&lt;=DATE(2024,9,30)),Sales_Deals!J2401,""),"")</f>
        <v/>
      </c>
    </row>
    <row r="2411" spans="1:3" x14ac:dyDescent="0.35">
      <c r="A2411">
        <v>2401</v>
      </c>
      <c r="B2411" t="str">
        <f>IF(Sales_Deals!I2402&lt;&gt;"",IF(AND(Sales_Deals!I2402&gt;DATE(2024,9,30),Sales_Deals!I2402&lt;=DATE(2025,3,31)),Sales_Deals!J2402,""),"")</f>
        <v/>
      </c>
      <c r="C2411" t="str">
        <f>IF(Sales_Deals!I2402&lt;&gt;"",IF(AND(Sales_Deals!I2402&gt;DATE(2024,3,31),Sales_Deals!I2402&lt;=DATE(2024,9,30)),Sales_Deals!J2402,""),"")</f>
        <v/>
      </c>
    </row>
    <row r="2412" spans="1:3" x14ac:dyDescent="0.35">
      <c r="A2412">
        <v>2402</v>
      </c>
      <c r="B2412">
        <f>IF(Sales_Deals!I2403&lt;&gt;"",IF(AND(Sales_Deals!I2403&gt;DATE(2024,9,30),Sales_Deals!I2403&lt;=DATE(2025,3,31)),Sales_Deals!J2403,""),"")</f>
        <v>41</v>
      </c>
      <c r="C2412" t="str">
        <f>IF(Sales_Deals!I2403&lt;&gt;"",IF(AND(Sales_Deals!I2403&gt;DATE(2024,3,31),Sales_Deals!I2403&lt;=DATE(2024,9,30)),Sales_Deals!J2403,""),"")</f>
        <v/>
      </c>
    </row>
    <row r="2413" spans="1:3" x14ac:dyDescent="0.35">
      <c r="A2413">
        <v>2403</v>
      </c>
      <c r="B2413" t="str">
        <f>IF(Sales_Deals!I2404&lt;&gt;"",IF(AND(Sales_Deals!I2404&gt;DATE(2024,9,30),Sales_Deals!I2404&lt;=DATE(2025,3,31)),Sales_Deals!J2404,""),"")</f>
        <v/>
      </c>
      <c r="C2413">
        <f>IF(Sales_Deals!I2404&lt;&gt;"",IF(AND(Sales_Deals!I2404&gt;DATE(2024,3,31),Sales_Deals!I2404&lt;=DATE(2024,9,30)),Sales_Deals!J2404,""),"")</f>
        <v>53</v>
      </c>
    </row>
    <row r="2414" spans="1:3" x14ac:dyDescent="0.35">
      <c r="A2414">
        <v>2404</v>
      </c>
      <c r="B2414" t="str">
        <f>IF(Sales_Deals!I2405&lt;&gt;"",IF(AND(Sales_Deals!I2405&gt;DATE(2024,9,30),Sales_Deals!I2405&lt;=DATE(2025,3,31)),Sales_Deals!J2405,""),"")</f>
        <v/>
      </c>
      <c r="C2414" t="str">
        <f>IF(Sales_Deals!I2405&lt;&gt;"",IF(AND(Sales_Deals!I2405&gt;DATE(2024,3,31),Sales_Deals!I2405&lt;=DATE(2024,9,30)),Sales_Deals!J2405,""),"")</f>
        <v/>
      </c>
    </row>
    <row r="2415" spans="1:3" x14ac:dyDescent="0.35">
      <c r="A2415">
        <v>2405</v>
      </c>
      <c r="B2415" t="str">
        <f>IF(Sales_Deals!I2406&lt;&gt;"",IF(AND(Sales_Deals!I2406&gt;DATE(2024,9,30),Sales_Deals!I2406&lt;=DATE(2025,3,31)),Sales_Deals!J2406,""),"")</f>
        <v/>
      </c>
      <c r="C2415" t="str">
        <f>IF(Sales_Deals!I2406&lt;&gt;"",IF(AND(Sales_Deals!I2406&gt;DATE(2024,3,31),Sales_Deals!I2406&lt;=DATE(2024,9,30)),Sales_Deals!J2406,""),"")</f>
        <v/>
      </c>
    </row>
    <row r="2416" spans="1:3" x14ac:dyDescent="0.35">
      <c r="A2416">
        <v>2406</v>
      </c>
      <c r="B2416" t="str">
        <f>IF(Sales_Deals!I2407&lt;&gt;"",IF(AND(Sales_Deals!I2407&gt;DATE(2024,9,30),Sales_Deals!I2407&lt;=DATE(2025,3,31)),Sales_Deals!J2407,""),"")</f>
        <v/>
      </c>
      <c r="C2416" t="str">
        <f>IF(Sales_Deals!I2407&lt;&gt;"",IF(AND(Sales_Deals!I2407&gt;DATE(2024,3,31),Sales_Deals!I2407&lt;=DATE(2024,9,30)),Sales_Deals!J2407,""),"")</f>
        <v/>
      </c>
    </row>
    <row r="2417" spans="1:3" x14ac:dyDescent="0.35">
      <c r="A2417">
        <v>2407</v>
      </c>
      <c r="B2417" t="str">
        <f>IF(Sales_Deals!I2408&lt;&gt;"",IF(AND(Sales_Deals!I2408&gt;DATE(2024,9,30),Sales_Deals!I2408&lt;=DATE(2025,3,31)),Sales_Deals!J2408,""),"")</f>
        <v/>
      </c>
      <c r="C2417" t="str">
        <f>IF(Sales_Deals!I2408&lt;&gt;"",IF(AND(Sales_Deals!I2408&gt;DATE(2024,3,31),Sales_Deals!I2408&lt;=DATE(2024,9,30)),Sales_Deals!J2408,""),"")</f>
        <v/>
      </c>
    </row>
    <row r="2418" spans="1:3" x14ac:dyDescent="0.35">
      <c r="A2418">
        <v>2408</v>
      </c>
      <c r="B2418">
        <f>IF(Sales_Deals!I2409&lt;&gt;"",IF(AND(Sales_Deals!I2409&gt;DATE(2024,9,30),Sales_Deals!I2409&lt;=DATE(2025,3,31)),Sales_Deals!J2409,""),"")</f>
        <v>19</v>
      </c>
      <c r="C2418" t="str">
        <f>IF(Sales_Deals!I2409&lt;&gt;"",IF(AND(Sales_Deals!I2409&gt;DATE(2024,3,31),Sales_Deals!I2409&lt;=DATE(2024,9,30)),Sales_Deals!J2409,""),"")</f>
        <v/>
      </c>
    </row>
    <row r="2419" spans="1:3" x14ac:dyDescent="0.35">
      <c r="A2419">
        <v>2409</v>
      </c>
      <c r="B2419" t="str">
        <f>IF(Sales_Deals!I2410&lt;&gt;"",IF(AND(Sales_Deals!I2410&gt;DATE(2024,9,30),Sales_Deals!I2410&lt;=DATE(2025,3,31)),Sales_Deals!J2410,""),"")</f>
        <v/>
      </c>
      <c r="C2419" t="str">
        <f>IF(Sales_Deals!I2410&lt;&gt;"",IF(AND(Sales_Deals!I2410&gt;DATE(2024,3,31),Sales_Deals!I2410&lt;=DATE(2024,9,30)),Sales_Deals!J2410,""),"")</f>
        <v/>
      </c>
    </row>
    <row r="2420" spans="1:3" x14ac:dyDescent="0.35">
      <c r="A2420">
        <v>2410</v>
      </c>
      <c r="B2420" t="str">
        <f>IF(Sales_Deals!I2411&lt;&gt;"",IF(AND(Sales_Deals!I2411&gt;DATE(2024,9,30),Sales_Deals!I2411&lt;=DATE(2025,3,31)),Sales_Deals!J2411,""),"")</f>
        <v/>
      </c>
      <c r="C2420" t="str">
        <f>IF(Sales_Deals!I2411&lt;&gt;"",IF(AND(Sales_Deals!I2411&gt;DATE(2024,3,31),Sales_Deals!I2411&lt;=DATE(2024,9,30)),Sales_Deals!J2411,""),"")</f>
        <v/>
      </c>
    </row>
    <row r="2421" spans="1:3" x14ac:dyDescent="0.35">
      <c r="A2421">
        <v>2411</v>
      </c>
      <c r="B2421" t="str">
        <f>IF(Sales_Deals!I2412&lt;&gt;"",IF(AND(Sales_Deals!I2412&gt;DATE(2024,9,30),Sales_Deals!I2412&lt;=DATE(2025,3,31)),Sales_Deals!J2412,""),"")</f>
        <v/>
      </c>
      <c r="C2421">
        <f>IF(Sales_Deals!I2412&lt;&gt;"",IF(AND(Sales_Deals!I2412&gt;DATE(2024,3,31),Sales_Deals!I2412&lt;=DATE(2024,9,30)),Sales_Deals!J2412,""),"")</f>
        <v>127</v>
      </c>
    </row>
    <row r="2422" spans="1:3" x14ac:dyDescent="0.35">
      <c r="A2422">
        <v>2412</v>
      </c>
      <c r="B2422" t="str">
        <f>IF(Sales_Deals!I2413&lt;&gt;"",IF(AND(Sales_Deals!I2413&gt;DATE(2024,9,30),Sales_Deals!I2413&lt;=DATE(2025,3,31)),Sales_Deals!J2413,""),"")</f>
        <v/>
      </c>
      <c r="C2422" t="str">
        <f>IF(Sales_Deals!I2413&lt;&gt;"",IF(AND(Sales_Deals!I2413&gt;DATE(2024,3,31),Sales_Deals!I2413&lt;=DATE(2024,9,30)),Sales_Deals!J2413,""),"")</f>
        <v/>
      </c>
    </row>
    <row r="2423" spans="1:3" x14ac:dyDescent="0.35">
      <c r="A2423">
        <v>2413</v>
      </c>
      <c r="B2423" t="str">
        <f>IF(Sales_Deals!I2414&lt;&gt;"",IF(AND(Sales_Deals!I2414&gt;DATE(2024,9,30),Sales_Deals!I2414&lt;=DATE(2025,3,31)),Sales_Deals!J2414,""),"")</f>
        <v/>
      </c>
      <c r="C2423" t="str">
        <f>IF(Sales_Deals!I2414&lt;&gt;"",IF(AND(Sales_Deals!I2414&gt;DATE(2024,3,31),Sales_Deals!I2414&lt;=DATE(2024,9,30)),Sales_Deals!J2414,""),"")</f>
        <v/>
      </c>
    </row>
    <row r="2424" spans="1:3" x14ac:dyDescent="0.35">
      <c r="A2424">
        <v>2414</v>
      </c>
      <c r="B2424" t="str">
        <f>IF(Sales_Deals!I2415&lt;&gt;"",IF(AND(Sales_Deals!I2415&gt;DATE(2024,9,30),Sales_Deals!I2415&lt;=DATE(2025,3,31)),Sales_Deals!J2415,""),"")</f>
        <v/>
      </c>
      <c r="C2424" t="str">
        <f>IF(Sales_Deals!I2415&lt;&gt;"",IF(AND(Sales_Deals!I2415&gt;DATE(2024,3,31),Sales_Deals!I2415&lt;=DATE(2024,9,30)),Sales_Deals!J2415,""),"")</f>
        <v/>
      </c>
    </row>
    <row r="2425" spans="1:3" x14ac:dyDescent="0.35">
      <c r="A2425">
        <v>2415</v>
      </c>
      <c r="B2425" t="str">
        <f>IF(Sales_Deals!I2416&lt;&gt;"",IF(AND(Sales_Deals!I2416&gt;DATE(2024,9,30),Sales_Deals!I2416&lt;=DATE(2025,3,31)),Sales_Deals!J2416,""),"")</f>
        <v/>
      </c>
      <c r="C2425" t="str">
        <f>IF(Sales_Deals!I2416&lt;&gt;"",IF(AND(Sales_Deals!I2416&gt;DATE(2024,3,31),Sales_Deals!I2416&lt;=DATE(2024,9,30)),Sales_Deals!J2416,""),"")</f>
        <v/>
      </c>
    </row>
    <row r="2426" spans="1:3" x14ac:dyDescent="0.35">
      <c r="A2426">
        <v>2416</v>
      </c>
      <c r="B2426" t="str">
        <f>IF(Sales_Deals!I2417&lt;&gt;"",IF(AND(Sales_Deals!I2417&gt;DATE(2024,9,30),Sales_Deals!I2417&lt;=DATE(2025,3,31)),Sales_Deals!J2417,""),"")</f>
        <v/>
      </c>
      <c r="C2426" t="str">
        <f>IF(Sales_Deals!I2417&lt;&gt;"",IF(AND(Sales_Deals!I2417&gt;DATE(2024,3,31),Sales_Deals!I2417&lt;=DATE(2024,9,30)),Sales_Deals!J2417,""),"")</f>
        <v/>
      </c>
    </row>
    <row r="2427" spans="1:3" x14ac:dyDescent="0.35">
      <c r="A2427">
        <v>2417</v>
      </c>
      <c r="B2427" t="str">
        <f>IF(Sales_Deals!I2418&lt;&gt;"",IF(AND(Sales_Deals!I2418&gt;DATE(2024,9,30),Sales_Deals!I2418&lt;=DATE(2025,3,31)),Sales_Deals!J2418,""),"")</f>
        <v/>
      </c>
      <c r="C2427" t="str">
        <f>IF(Sales_Deals!I2418&lt;&gt;"",IF(AND(Sales_Deals!I2418&gt;DATE(2024,3,31),Sales_Deals!I2418&lt;=DATE(2024,9,30)),Sales_Deals!J2418,""),"")</f>
        <v/>
      </c>
    </row>
    <row r="2428" spans="1:3" x14ac:dyDescent="0.35">
      <c r="A2428">
        <v>2418</v>
      </c>
      <c r="B2428" t="str">
        <f>IF(Sales_Deals!I2419&lt;&gt;"",IF(AND(Sales_Deals!I2419&gt;DATE(2024,9,30),Sales_Deals!I2419&lt;=DATE(2025,3,31)),Sales_Deals!J2419,""),"")</f>
        <v/>
      </c>
      <c r="C2428" t="str">
        <f>IF(Sales_Deals!I2419&lt;&gt;"",IF(AND(Sales_Deals!I2419&gt;DATE(2024,3,31),Sales_Deals!I2419&lt;=DATE(2024,9,30)),Sales_Deals!J2419,""),"")</f>
        <v/>
      </c>
    </row>
    <row r="2429" spans="1:3" x14ac:dyDescent="0.35">
      <c r="A2429">
        <v>2419</v>
      </c>
      <c r="B2429" t="str">
        <f>IF(Sales_Deals!I2420&lt;&gt;"",IF(AND(Sales_Deals!I2420&gt;DATE(2024,9,30),Sales_Deals!I2420&lt;=DATE(2025,3,31)),Sales_Deals!J2420,""),"")</f>
        <v/>
      </c>
      <c r="C2429" t="str">
        <f>IF(Sales_Deals!I2420&lt;&gt;"",IF(AND(Sales_Deals!I2420&gt;DATE(2024,3,31),Sales_Deals!I2420&lt;=DATE(2024,9,30)),Sales_Deals!J2420,""),"")</f>
        <v/>
      </c>
    </row>
    <row r="2430" spans="1:3" x14ac:dyDescent="0.35">
      <c r="A2430">
        <v>2420</v>
      </c>
      <c r="B2430" t="str">
        <f>IF(Sales_Deals!I2421&lt;&gt;"",IF(AND(Sales_Deals!I2421&gt;DATE(2024,9,30),Sales_Deals!I2421&lt;=DATE(2025,3,31)),Sales_Deals!J2421,""),"")</f>
        <v/>
      </c>
      <c r="C2430" t="str">
        <f>IF(Sales_Deals!I2421&lt;&gt;"",IF(AND(Sales_Deals!I2421&gt;DATE(2024,3,31),Sales_Deals!I2421&lt;=DATE(2024,9,30)),Sales_Deals!J2421,""),"")</f>
        <v/>
      </c>
    </row>
    <row r="2431" spans="1:3" x14ac:dyDescent="0.35">
      <c r="A2431">
        <v>2421</v>
      </c>
      <c r="B2431" t="str">
        <f>IF(Sales_Deals!I2422&lt;&gt;"",IF(AND(Sales_Deals!I2422&gt;DATE(2024,9,30),Sales_Deals!I2422&lt;=DATE(2025,3,31)),Sales_Deals!J2422,""),"")</f>
        <v/>
      </c>
      <c r="C2431" t="str">
        <f>IF(Sales_Deals!I2422&lt;&gt;"",IF(AND(Sales_Deals!I2422&gt;DATE(2024,3,31),Sales_Deals!I2422&lt;=DATE(2024,9,30)),Sales_Deals!J2422,""),"")</f>
        <v/>
      </c>
    </row>
    <row r="2432" spans="1:3" x14ac:dyDescent="0.35">
      <c r="A2432">
        <v>2422</v>
      </c>
      <c r="B2432" t="str">
        <f>IF(Sales_Deals!I2423&lt;&gt;"",IF(AND(Sales_Deals!I2423&gt;DATE(2024,9,30),Sales_Deals!I2423&lt;=DATE(2025,3,31)),Sales_Deals!J2423,""),"")</f>
        <v/>
      </c>
      <c r="C2432" t="str">
        <f>IF(Sales_Deals!I2423&lt;&gt;"",IF(AND(Sales_Deals!I2423&gt;DATE(2024,3,31),Sales_Deals!I2423&lt;=DATE(2024,9,30)),Sales_Deals!J2423,""),"")</f>
        <v/>
      </c>
    </row>
    <row r="2433" spans="1:3" x14ac:dyDescent="0.35">
      <c r="A2433">
        <v>2423</v>
      </c>
      <c r="B2433" t="str">
        <f>IF(Sales_Deals!I2424&lt;&gt;"",IF(AND(Sales_Deals!I2424&gt;DATE(2024,9,30),Sales_Deals!I2424&lt;=DATE(2025,3,31)),Sales_Deals!J2424,""),"")</f>
        <v/>
      </c>
      <c r="C2433">
        <f>IF(Sales_Deals!I2424&lt;&gt;"",IF(AND(Sales_Deals!I2424&gt;DATE(2024,3,31),Sales_Deals!I2424&lt;=DATE(2024,9,30)),Sales_Deals!J2424,""),"")</f>
        <v>34</v>
      </c>
    </row>
    <row r="2434" spans="1:3" x14ac:dyDescent="0.35">
      <c r="A2434">
        <v>2424</v>
      </c>
      <c r="B2434" t="str">
        <f>IF(Sales_Deals!I2425&lt;&gt;"",IF(AND(Sales_Deals!I2425&gt;DATE(2024,9,30),Sales_Deals!I2425&lt;=DATE(2025,3,31)),Sales_Deals!J2425,""),"")</f>
        <v/>
      </c>
      <c r="C2434">
        <f>IF(Sales_Deals!I2425&lt;&gt;"",IF(AND(Sales_Deals!I2425&gt;DATE(2024,3,31),Sales_Deals!I2425&lt;=DATE(2024,9,30)),Sales_Deals!J2425,""),"")</f>
        <v>107</v>
      </c>
    </row>
    <row r="2435" spans="1:3" x14ac:dyDescent="0.35">
      <c r="A2435">
        <v>2425</v>
      </c>
      <c r="B2435" t="str">
        <f>IF(Sales_Deals!I2426&lt;&gt;"",IF(AND(Sales_Deals!I2426&gt;DATE(2024,9,30),Sales_Deals!I2426&lt;=DATE(2025,3,31)),Sales_Deals!J2426,""),"")</f>
        <v/>
      </c>
      <c r="C2435" t="str">
        <f>IF(Sales_Deals!I2426&lt;&gt;"",IF(AND(Sales_Deals!I2426&gt;DATE(2024,3,31),Sales_Deals!I2426&lt;=DATE(2024,9,30)),Sales_Deals!J2426,""),"")</f>
        <v/>
      </c>
    </row>
    <row r="2436" spans="1:3" x14ac:dyDescent="0.35">
      <c r="A2436">
        <v>2426</v>
      </c>
      <c r="B2436" t="str">
        <f>IF(Sales_Deals!I2427&lt;&gt;"",IF(AND(Sales_Deals!I2427&gt;DATE(2024,9,30),Sales_Deals!I2427&lt;=DATE(2025,3,31)),Sales_Deals!J2427,""),"")</f>
        <v/>
      </c>
      <c r="C2436" t="str">
        <f>IF(Sales_Deals!I2427&lt;&gt;"",IF(AND(Sales_Deals!I2427&gt;DATE(2024,3,31),Sales_Deals!I2427&lt;=DATE(2024,9,30)),Sales_Deals!J2427,""),"")</f>
        <v/>
      </c>
    </row>
    <row r="2437" spans="1:3" x14ac:dyDescent="0.35">
      <c r="A2437">
        <v>2427</v>
      </c>
      <c r="B2437" t="str">
        <f>IF(Sales_Deals!I2428&lt;&gt;"",IF(AND(Sales_Deals!I2428&gt;DATE(2024,9,30),Sales_Deals!I2428&lt;=DATE(2025,3,31)),Sales_Deals!J2428,""),"")</f>
        <v/>
      </c>
      <c r="C2437" t="str">
        <f>IF(Sales_Deals!I2428&lt;&gt;"",IF(AND(Sales_Deals!I2428&gt;DATE(2024,3,31),Sales_Deals!I2428&lt;=DATE(2024,9,30)),Sales_Deals!J2428,""),"")</f>
        <v/>
      </c>
    </row>
    <row r="2438" spans="1:3" x14ac:dyDescent="0.35">
      <c r="A2438">
        <v>2428</v>
      </c>
      <c r="B2438">
        <f>IF(Sales_Deals!I2429&lt;&gt;"",IF(AND(Sales_Deals!I2429&gt;DATE(2024,9,30),Sales_Deals!I2429&lt;=DATE(2025,3,31)),Sales_Deals!J2429,""),"")</f>
        <v>127</v>
      </c>
      <c r="C2438" t="str">
        <f>IF(Sales_Deals!I2429&lt;&gt;"",IF(AND(Sales_Deals!I2429&gt;DATE(2024,3,31),Sales_Deals!I2429&lt;=DATE(2024,9,30)),Sales_Deals!J2429,""),"")</f>
        <v/>
      </c>
    </row>
    <row r="2439" spans="1:3" x14ac:dyDescent="0.35">
      <c r="A2439">
        <v>2429</v>
      </c>
      <c r="B2439" t="str">
        <f>IF(Sales_Deals!I2430&lt;&gt;"",IF(AND(Sales_Deals!I2430&gt;DATE(2024,9,30),Sales_Deals!I2430&lt;=DATE(2025,3,31)),Sales_Deals!J2430,""),"")</f>
        <v/>
      </c>
      <c r="C2439">
        <f>IF(Sales_Deals!I2430&lt;&gt;"",IF(AND(Sales_Deals!I2430&gt;DATE(2024,3,31),Sales_Deals!I2430&lt;=DATE(2024,9,30)),Sales_Deals!J2430,""),"")</f>
        <v>152</v>
      </c>
    </row>
    <row r="2440" spans="1:3" x14ac:dyDescent="0.35">
      <c r="A2440">
        <v>2430</v>
      </c>
      <c r="B2440" t="str">
        <f>IF(Sales_Deals!I2431&lt;&gt;"",IF(AND(Sales_Deals!I2431&gt;DATE(2024,9,30),Sales_Deals!I2431&lt;=DATE(2025,3,31)),Sales_Deals!J2431,""),"")</f>
        <v/>
      </c>
      <c r="C2440" t="str">
        <f>IF(Sales_Deals!I2431&lt;&gt;"",IF(AND(Sales_Deals!I2431&gt;DATE(2024,3,31),Sales_Deals!I2431&lt;=DATE(2024,9,30)),Sales_Deals!J2431,""),"")</f>
        <v/>
      </c>
    </row>
    <row r="2441" spans="1:3" x14ac:dyDescent="0.35">
      <c r="A2441">
        <v>2431</v>
      </c>
      <c r="B2441" t="str">
        <f>IF(Sales_Deals!I2432&lt;&gt;"",IF(AND(Sales_Deals!I2432&gt;DATE(2024,9,30),Sales_Deals!I2432&lt;=DATE(2025,3,31)),Sales_Deals!J2432,""),"")</f>
        <v/>
      </c>
      <c r="C2441" t="str">
        <f>IF(Sales_Deals!I2432&lt;&gt;"",IF(AND(Sales_Deals!I2432&gt;DATE(2024,3,31),Sales_Deals!I2432&lt;=DATE(2024,9,30)),Sales_Deals!J2432,""),"")</f>
        <v/>
      </c>
    </row>
    <row r="2442" spans="1:3" x14ac:dyDescent="0.35">
      <c r="A2442">
        <v>2432</v>
      </c>
      <c r="B2442" t="str">
        <f>IF(Sales_Deals!I2433&lt;&gt;"",IF(AND(Sales_Deals!I2433&gt;DATE(2024,9,30),Sales_Deals!I2433&lt;=DATE(2025,3,31)),Sales_Deals!J2433,""),"")</f>
        <v/>
      </c>
      <c r="C2442" t="str">
        <f>IF(Sales_Deals!I2433&lt;&gt;"",IF(AND(Sales_Deals!I2433&gt;DATE(2024,3,31),Sales_Deals!I2433&lt;=DATE(2024,9,30)),Sales_Deals!J2433,""),"")</f>
        <v/>
      </c>
    </row>
    <row r="2443" spans="1:3" x14ac:dyDescent="0.35">
      <c r="A2443">
        <v>2433</v>
      </c>
      <c r="B2443" t="str">
        <f>IF(Sales_Deals!I2434&lt;&gt;"",IF(AND(Sales_Deals!I2434&gt;DATE(2024,9,30),Sales_Deals!I2434&lt;=DATE(2025,3,31)),Sales_Deals!J2434,""),"")</f>
        <v/>
      </c>
      <c r="C2443" t="str">
        <f>IF(Sales_Deals!I2434&lt;&gt;"",IF(AND(Sales_Deals!I2434&gt;DATE(2024,3,31),Sales_Deals!I2434&lt;=DATE(2024,9,30)),Sales_Deals!J2434,""),"")</f>
        <v/>
      </c>
    </row>
    <row r="2444" spans="1:3" x14ac:dyDescent="0.35">
      <c r="A2444">
        <v>2434</v>
      </c>
      <c r="B2444" t="str">
        <f>IF(Sales_Deals!I2435&lt;&gt;"",IF(AND(Sales_Deals!I2435&gt;DATE(2024,9,30),Sales_Deals!I2435&lt;=DATE(2025,3,31)),Sales_Deals!J2435,""),"")</f>
        <v/>
      </c>
      <c r="C2444" t="str">
        <f>IF(Sales_Deals!I2435&lt;&gt;"",IF(AND(Sales_Deals!I2435&gt;DATE(2024,3,31),Sales_Deals!I2435&lt;=DATE(2024,9,30)),Sales_Deals!J2435,""),"")</f>
        <v/>
      </c>
    </row>
    <row r="2445" spans="1:3" x14ac:dyDescent="0.35">
      <c r="A2445">
        <v>2435</v>
      </c>
      <c r="B2445" t="str">
        <f>IF(Sales_Deals!I2436&lt;&gt;"",IF(AND(Sales_Deals!I2436&gt;DATE(2024,9,30),Sales_Deals!I2436&lt;=DATE(2025,3,31)),Sales_Deals!J2436,""),"")</f>
        <v/>
      </c>
      <c r="C2445" t="str">
        <f>IF(Sales_Deals!I2436&lt;&gt;"",IF(AND(Sales_Deals!I2436&gt;DATE(2024,3,31),Sales_Deals!I2436&lt;=DATE(2024,9,30)),Sales_Deals!J2436,""),"")</f>
        <v/>
      </c>
    </row>
    <row r="2446" spans="1:3" x14ac:dyDescent="0.35">
      <c r="A2446">
        <v>2436</v>
      </c>
      <c r="B2446" t="str">
        <f>IF(Sales_Deals!I2437&lt;&gt;"",IF(AND(Sales_Deals!I2437&gt;DATE(2024,9,30),Sales_Deals!I2437&lt;=DATE(2025,3,31)),Sales_Deals!J2437,""),"")</f>
        <v/>
      </c>
      <c r="C2446" t="str">
        <f>IF(Sales_Deals!I2437&lt;&gt;"",IF(AND(Sales_Deals!I2437&gt;DATE(2024,3,31),Sales_Deals!I2437&lt;=DATE(2024,9,30)),Sales_Deals!J2437,""),"")</f>
        <v/>
      </c>
    </row>
    <row r="2447" spans="1:3" x14ac:dyDescent="0.35">
      <c r="A2447">
        <v>2437</v>
      </c>
      <c r="B2447" t="str">
        <f>IF(Sales_Deals!I2438&lt;&gt;"",IF(AND(Sales_Deals!I2438&gt;DATE(2024,9,30),Sales_Deals!I2438&lt;=DATE(2025,3,31)),Sales_Deals!J2438,""),"")</f>
        <v/>
      </c>
      <c r="C2447" t="str">
        <f>IF(Sales_Deals!I2438&lt;&gt;"",IF(AND(Sales_Deals!I2438&gt;DATE(2024,3,31),Sales_Deals!I2438&lt;=DATE(2024,9,30)),Sales_Deals!J2438,""),"")</f>
        <v/>
      </c>
    </row>
    <row r="2448" spans="1:3" x14ac:dyDescent="0.35">
      <c r="A2448">
        <v>2438</v>
      </c>
      <c r="B2448">
        <f>IF(Sales_Deals!I2439&lt;&gt;"",IF(AND(Sales_Deals!I2439&gt;DATE(2024,9,30),Sales_Deals!I2439&lt;=DATE(2025,3,31)),Sales_Deals!J2439,""),"")</f>
        <v>23</v>
      </c>
      <c r="C2448" t="str">
        <f>IF(Sales_Deals!I2439&lt;&gt;"",IF(AND(Sales_Deals!I2439&gt;DATE(2024,3,31),Sales_Deals!I2439&lt;=DATE(2024,9,30)),Sales_Deals!J2439,""),"")</f>
        <v/>
      </c>
    </row>
    <row r="2449" spans="1:3" x14ac:dyDescent="0.35">
      <c r="A2449">
        <v>2439</v>
      </c>
      <c r="B2449" t="str">
        <f>IF(Sales_Deals!I2440&lt;&gt;"",IF(AND(Sales_Deals!I2440&gt;DATE(2024,9,30),Sales_Deals!I2440&lt;=DATE(2025,3,31)),Sales_Deals!J2440,""),"")</f>
        <v/>
      </c>
      <c r="C2449">
        <f>IF(Sales_Deals!I2440&lt;&gt;"",IF(AND(Sales_Deals!I2440&gt;DATE(2024,3,31),Sales_Deals!I2440&lt;=DATE(2024,9,30)),Sales_Deals!J2440,""),"")</f>
        <v>50</v>
      </c>
    </row>
    <row r="2450" spans="1:3" x14ac:dyDescent="0.35">
      <c r="A2450">
        <v>2440</v>
      </c>
      <c r="B2450" t="str">
        <f>IF(Sales_Deals!I2441&lt;&gt;"",IF(AND(Sales_Deals!I2441&gt;DATE(2024,9,30),Sales_Deals!I2441&lt;=DATE(2025,3,31)),Sales_Deals!J2441,""),"")</f>
        <v/>
      </c>
      <c r="C2450" t="str">
        <f>IF(Sales_Deals!I2441&lt;&gt;"",IF(AND(Sales_Deals!I2441&gt;DATE(2024,3,31),Sales_Deals!I2441&lt;=DATE(2024,9,30)),Sales_Deals!J2441,""),"")</f>
        <v/>
      </c>
    </row>
    <row r="2451" spans="1:3" x14ac:dyDescent="0.35">
      <c r="A2451">
        <v>2441</v>
      </c>
      <c r="B2451" t="str">
        <f>IF(Sales_Deals!I2442&lt;&gt;"",IF(AND(Sales_Deals!I2442&gt;DATE(2024,9,30),Sales_Deals!I2442&lt;=DATE(2025,3,31)),Sales_Deals!J2442,""),"")</f>
        <v/>
      </c>
      <c r="C2451">
        <f>IF(Sales_Deals!I2442&lt;&gt;"",IF(AND(Sales_Deals!I2442&gt;DATE(2024,3,31),Sales_Deals!I2442&lt;=DATE(2024,9,30)),Sales_Deals!J2442,""),"")</f>
        <v>36</v>
      </c>
    </row>
    <row r="2452" spans="1:3" x14ac:dyDescent="0.35">
      <c r="A2452">
        <v>2442</v>
      </c>
      <c r="B2452" t="str">
        <f>IF(Sales_Deals!I2443&lt;&gt;"",IF(AND(Sales_Deals!I2443&gt;DATE(2024,9,30),Sales_Deals!I2443&lt;=DATE(2025,3,31)),Sales_Deals!J2443,""),"")</f>
        <v/>
      </c>
      <c r="C2452" t="str">
        <f>IF(Sales_Deals!I2443&lt;&gt;"",IF(AND(Sales_Deals!I2443&gt;DATE(2024,3,31),Sales_Deals!I2443&lt;=DATE(2024,9,30)),Sales_Deals!J2443,""),"")</f>
        <v/>
      </c>
    </row>
    <row r="2453" spans="1:3" x14ac:dyDescent="0.35">
      <c r="A2453">
        <v>2443</v>
      </c>
      <c r="B2453" t="str">
        <f>IF(Sales_Deals!I2444&lt;&gt;"",IF(AND(Sales_Deals!I2444&gt;DATE(2024,9,30),Sales_Deals!I2444&lt;=DATE(2025,3,31)),Sales_Deals!J2444,""),"")</f>
        <v/>
      </c>
      <c r="C2453" t="str">
        <f>IF(Sales_Deals!I2444&lt;&gt;"",IF(AND(Sales_Deals!I2444&gt;DATE(2024,3,31),Sales_Deals!I2444&lt;=DATE(2024,9,30)),Sales_Deals!J2444,""),"")</f>
        <v/>
      </c>
    </row>
    <row r="2454" spans="1:3" x14ac:dyDescent="0.35">
      <c r="A2454">
        <v>2444</v>
      </c>
      <c r="B2454" t="str">
        <f>IF(Sales_Deals!I2445&lt;&gt;"",IF(AND(Sales_Deals!I2445&gt;DATE(2024,9,30),Sales_Deals!I2445&lt;=DATE(2025,3,31)),Sales_Deals!J2445,""),"")</f>
        <v/>
      </c>
      <c r="C2454">
        <f>IF(Sales_Deals!I2445&lt;&gt;"",IF(AND(Sales_Deals!I2445&gt;DATE(2024,3,31),Sales_Deals!I2445&lt;=DATE(2024,9,30)),Sales_Deals!J2445,""),"")</f>
        <v>90</v>
      </c>
    </row>
    <row r="2455" spans="1:3" x14ac:dyDescent="0.35">
      <c r="A2455">
        <v>2445</v>
      </c>
      <c r="B2455" t="str">
        <f>IF(Sales_Deals!I2446&lt;&gt;"",IF(AND(Sales_Deals!I2446&gt;DATE(2024,9,30),Sales_Deals!I2446&lt;=DATE(2025,3,31)),Sales_Deals!J2446,""),"")</f>
        <v/>
      </c>
      <c r="C2455" t="str">
        <f>IF(Sales_Deals!I2446&lt;&gt;"",IF(AND(Sales_Deals!I2446&gt;DATE(2024,3,31),Sales_Deals!I2446&lt;=DATE(2024,9,30)),Sales_Deals!J2446,""),"")</f>
        <v/>
      </c>
    </row>
    <row r="2456" spans="1:3" x14ac:dyDescent="0.35">
      <c r="A2456">
        <v>2446</v>
      </c>
      <c r="B2456" t="str">
        <f>IF(Sales_Deals!I2447&lt;&gt;"",IF(AND(Sales_Deals!I2447&gt;DATE(2024,9,30),Sales_Deals!I2447&lt;=DATE(2025,3,31)),Sales_Deals!J2447,""),"")</f>
        <v/>
      </c>
      <c r="C2456" t="str">
        <f>IF(Sales_Deals!I2447&lt;&gt;"",IF(AND(Sales_Deals!I2447&gt;DATE(2024,3,31),Sales_Deals!I2447&lt;=DATE(2024,9,30)),Sales_Deals!J2447,""),"")</f>
        <v/>
      </c>
    </row>
    <row r="2457" spans="1:3" x14ac:dyDescent="0.35">
      <c r="A2457">
        <v>2447</v>
      </c>
      <c r="B2457" t="str">
        <f>IF(Sales_Deals!I2448&lt;&gt;"",IF(AND(Sales_Deals!I2448&gt;DATE(2024,9,30),Sales_Deals!I2448&lt;=DATE(2025,3,31)),Sales_Deals!J2448,""),"")</f>
        <v/>
      </c>
      <c r="C2457" t="str">
        <f>IF(Sales_Deals!I2448&lt;&gt;"",IF(AND(Sales_Deals!I2448&gt;DATE(2024,3,31),Sales_Deals!I2448&lt;=DATE(2024,9,30)),Sales_Deals!J2448,""),"")</f>
        <v/>
      </c>
    </row>
    <row r="2458" spans="1:3" x14ac:dyDescent="0.35">
      <c r="A2458">
        <v>2448</v>
      </c>
      <c r="B2458" t="str">
        <f>IF(Sales_Deals!I2449&lt;&gt;"",IF(AND(Sales_Deals!I2449&gt;DATE(2024,9,30),Sales_Deals!I2449&lt;=DATE(2025,3,31)),Sales_Deals!J2449,""),"")</f>
        <v/>
      </c>
      <c r="C2458" t="str">
        <f>IF(Sales_Deals!I2449&lt;&gt;"",IF(AND(Sales_Deals!I2449&gt;DATE(2024,3,31),Sales_Deals!I2449&lt;=DATE(2024,9,30)),Sales_Deals!J2449,""),"")</f>
        <v/>
      </c>
    </row>
    <row r="2459" spans="1:3" x14ac:dyDescent="0.35">
      <c r="A2459">
        <v>2449</v>
      </c>
      <c r="B2459" t="str">
        <f>IF(Sales_Deals!I2450&lt;&gt;"",IF(AND(Sales_Deals!I2450&gt;DATE(2024,9,30),Sales_Deals!I2450&lt;=DATE(2025,3,31)),Sales_Deals!J2450,""),"")</f>
        <v/>
      </c>
      <c r="C2459" t="str">
        <f>IF(Sales_Deals!I2450&lt;&gt;"",IF(AND(Sales_Deals!I2450&gt;DATE(2024,3,31),Sales_Deals!I2450&lt;=DATE(2024,9,30)),Sales_Deals!J2450,""),"")</f>
        <v/>
      </c>
    </row>
    <row r="2460" spans="1:3" x14ac:dyDescent="0.35">
      <c r="A2460">
        <v>2450</v>
      </c>
      <c r="B2460" t="str">
        <f>IF(Sales_Deals!I2451&lt;&gt;"",IF(AND(Sales_Deals!I2451&gt;DATE(2024,9,30),Sales_Deals!I2451&lt;=DATE(2025,3,31)),Sales_Deals!J2451,""),"")</f>
        <v/>
      </c>
      <c r="C2460" t="str">
        <f>IF(Sales_Deals!I2451&lt;&gt;"",IF(AND(Sales_Deals!I2451&gt;DATE(2024,3,31),Sales_Deals!I2451&lt;=DATE(2024,9,30)),Sales_Deals!J2451,""),"")</f>
        <v/>
      </c>
    </row>
    <row r="2461" spans="1:3" x14ac:dyDescent="0.35">
      <c r="A2461">
        <v>2451</v>
      </c>
      <c r="B2461" t="str">
        <f>IF(Sales_Deals!I2452&lt;&gt;"",IF(AND(Sales_Deals!I2452&gt;DATE(2024,9,30),Sales_Deals!I2452&lt;=DATE(2025,3,31)),Sales_Deals!J2452,""),"")</f>
        <v/>
      </c>
      <c r="C2461" t="str">
        <f>IF(Sales_Deals!I2452&lt;&gt;"",IF(AND(Sales_Deals!I2452&gt;DATE(2024,3,31),Sales_Deals!I2452&lt;=DATE(2024,9,30)),Sales_Deals!J2452,""),"")</f>
        <v/>
      </c>
    </row>
    <row r="2462" spans="1:3" x14ac:dyDescent="0.35">
      <c r="A2462">
        <v>2452</v>
      </c>
      <c r="B2462" t="str">
        <f>IF(Sales_Deals!I2453&lt;&gt;"",IF(AND(Sales_Deals!I2453&gt;DATE(2024,9,30),Sales_Deals!I2453&lt;=DATE(2025,3,31)),Sales_Deals!J2453,""),"")</f>
        <v/>
      </c>
      <c r="C2462" t="str">
        <f>IF(Sales_Deals!I2453&lt;&gt;"",IF(AND(Sales_Deals!I2453&gt;DATE(2024,3,31),Sales_Deals!I2453&lt;=DATE(2024,9,30)),Sales_Deals!J2453,""),"")</f>
        <v/>
      </c>
    </row>
    <row r="2463" spans="1:3" x14ac:dyDescent="0.35">
      <c r="A2463">
        <v>2453</v>
      </c>
      <c r="B2463" t="str">
        <f>IF(Sales_Deals!I2454&lt;&gt;"",IF(AND(Sales_Deals!I2454&gt;DATE(2024,9,30),Sales_Deals!I2454&lt;=DATE(2025,3,31)),Sales_Deals!J2454,""),"")</f>
        <v/>
      </c>
      <c r="C2463" t="str">
        <f>IF(Sales_Deals!I2454&lt;&gt;"",IF(AND(Sales_Deals!I2454&gt;DATE(2024,3,31),Sales_Deals!I2454&lt;=DATE(2024,9,30)),Sales_Deals!J2454,""),"")</f>
        <v/>
      </c>
    </row>
    <row r="2464" spans="1:3" x14ac:dyDescent="0.35">
      <c r="A2464">
        <v>2454</v>
      </c>
      <c r="B2464" t="str">
        <f>IF(Sales_Deals!I2455&lt;&gt;"",IF(AND(Sales_Deals!I2455&gt;DATE(2024,9,30),Sales_Deals!I2455&lt;=DATE(2025,3,31)),Sales_Deals!J2455,""),"")</f>
        <v/>
      </c>
      <c r="C2464" t="str">
        <f>IF(Sales_Deals!I2455&lt;&gt;"",IF(AND(Sales_Deals!I2455&gt;DATE(2024,3,31),Sales_Deals!I2455&lt;=DATE(2024,9,30)),Sales_Deals!J2455,""),"")</f>
        <v/>
      </c>
    </row>
    <row r="2465" spans="1:3" x14ac:dyDescent="0.35">
      <c r="A2465">
        <v>2455</v>
      </c>
      <c r="B2465" t="str">
        <f>IF(Sales_Deals!I2456&lt;&gt;"",IF(AND(Sales_Deals!I2456&gt;DATE(2024,9,30),Sales_Deals!I2456&lt;=DATE(2025,3,31)),Sales_Deals!J2456,""),"")</f>
        <v/>
      </c>
      <c r="C2465" t="str">
        <f>IF(Sales_Deals!I2456&lt;&gt;"",IF(AND(Sales_Deals!I2456&gt;DATE(2024,3,31),Sales_Deals!I2456&lt;=DATE(2024,9,30)),Sales_Deals!J2456,""),"")</f>
        <v/>
      </c>
    </row>
    <row r="2466" spans="1:3" x14ac:dyDescent="0.35">
      <c r="A2466">
        <v>2456</v>
      </c>
      <c r="B2466" t="str">
        <f>IF(Sales_Deals!I2457&lt;&gt;"",IF(AND(Sales_Deals!I2457&gt;DATE(2024,9,30),Sales_Deals!I2457&lt;=DATE(2025,3,31)),Sales_Deals!J2457,""),"")</f>
        <v/>
      </c>
      <c r="C2466" t="str">
        <f>IF(Sales_Deals!I2457&lt;&gt;"",IF(AND(Sales_Deals!I2457&gt;DATE(2024,3,31),Sales_Deals!I2457&lt;=DATE(2024,9,30)),Sales_Deals!J2457,""),"")</f>
        <v/>
      </c>
    </row>
    <row r="2467" spans="1:3" x14ac:dyDescent="0.35">
      <c r="A2467">
        <v>2457</v>
      </c>
      <c r="B2467">
        <f>IF(Sales_Deals!I2458&lt;&gt;"",IF(AND(Sales_Deals!I2458&gt;DATE(2024,9,30),Sales_Deals!I2458&lt;=DATE(2025,3,31)),Sales_Deals!J2458,""),"")</f>
        <v>19</v>
      </c>
      <c r="C2467" t="str">
        <f>IF(Sales_Deals!I2458&lt;&gt;"",IF(AND(Sales_Deals!I2458&gt;DATE(2024,3,31),Sales_Deals!I2458&lt;=DATE(2024,9,30)),Sales_Deals!J2458,""),"")</f>
        <v/>
      </c>
    </row>
    <row r="2468" spans="1:3" x14ac:dyDescent="0.35">
      <c r="A2468">
        <v>2458</v>
      </c>
      <c r="B2468" t="str">
        <f>IF(Sales_Deals!I2459&lt;&gt;"",IF(AND(Sales_Deals!I2459&gt;DATE(2024,9,30),Sales_Deals!I2459&lt;=DATE(2025,3,31)),Sales_Deals!J2459,""),"")</f>
        <v/>
      </c>
      <c r="C2468" t="str">
        <f>IF(Sales_Deals!I2459&lt;&gt;"",IF(AND(Sales_Deals!I2459&gt;DATE(2024,3,31),Sales_Deals!I2459&lt;=DATE(2024,9,30)),Sales_Deals!J2459,""),"")</f>
        <v/>
      </c>
    </row>
    <row r="2469" spans="1:3" x14ac:dyDescent="0.35">
      <c r="A2469">
        <v>2459</v>
      </c>
      <c r="B2469" t="str">
        <f>IF(Sales_Deals!I2460&lt;&gt;"",IF(AND(Sales_Deals!I2460&gt;DATE(2024,9,30),Sales_Deals!I2460&lt;=DATE(2025,3,31)),Sales_Deals!J2460,""),"")</f>
        <v/>
      </c>
      <c r="C2469" t="str">
        <f>IF(Sales_Deals!I2460&lt;&gt;"",IF(AND(Sales_Deals!I2460&gt;DATE(2024,3,31),Sales_Deals!I2460&lt;=DATE(2024,9,30)),Sales_Deals!J2460,""),"")</f>
        <v/>
      </c>
    </row>
    <row r="2470" spans="1:3" x14ac:dyDescent="0.35">
      <c r="A2470">
        <v>2460</v>
      </c>
      <c r="B2470" t="str">
        <f>IF(Sales_Deals!I2461&lt;&gt;"",IF(AND(Sales_Deals!I2461&gt;DATE(2024,9,30),Sales_Deals!I2461&lt;=DATE(2025,3,31)),Sales_Deals!J2461,""),"")</f>
        <v/>
      </c>
      <c r="C2470" t="str">
        <f>IF(Sales_Deals!I2461&lt;&gt;"",IF(AND(Sales_Deals!I2461&gt;DATE(2024,3,31),Sales_Deals!I2461&lt;=DATE(2024,9,30)),Sales_Deals!J2461,""),"")</f>
        <v/>
      </c>
    </row>
    <row r="2471" spans="1:3" x14ac:dyDescent="0.35">
      <c r="A2471">
        <v>2461</v>
      </c>
      <c r="B2471" t="str">
        <f>IF(Sales_Deals!I2462&lt;&gt;"",IF(AND(Sales_Deals!I2462&gt;DATE(2024,9,30),Sales_Deals!I2462&lt;=DATE(2025,3,31)),Sales_Deals!J2462,""),"")</f>
        <v/>
      </c>
      <c r="C2471" t="str">
        <f>IF(Sales_Deals!I2462&lt;&gt;"",IF(AND(Sales_Deals!I2462&gt;DATE(2024,3,31),Sales_Deals!I2462&lt;=DATE(2024,9,30)),Sales_Deals!J2462,""),"")</f>
        <v/>
      </c>
    </row>
    <row r="2472" spans="1:3" x14ac:dyDescent="0.35">
      <c r="A2472">
        <v>2462</v>
      </c>
      <c r="B2472" t="str">
        <f>IF(Sales_Deals!I2463&lt;&gt;"",IF(AND(Sales_Deals!I2463&gt;DATE(2024,9,30),Sales_Deals!I2463&lt;=DATE(2025,3,31)),Sales_Deals!J2463,""),"")</f>
        <v/>
      </c>
      <c r="C2472" t="str">
        <f>IF(Sales_Deals!I2463&lt;&gt;"",IF(AND(Sales_Deals!I2463&gt;DATE(2024,3,31),Sales_Deals!I2463&lt;=DATE(2024,9,30)),Sales_Deals!J2463,""),"")</f>
        <v/>
      </c>
    </row>
    <row r="2473" spans="1:3" x14ac:dyDescent="0.35">
      <c r="A2473">
        <v>2463</v>
      </c>
      <c r="B2473" t="str">
        <f>IF(Sales_Deals!I2464&lt;&gt;"",IF(AND(Sales_Deals!I2464&gt;DATE(2024,9,30),Sales_Deals!I2464&lt;=DATE(2025,3,31)),Sales_Deals!J2464,""),"")</f>
        <v/>
      </c>
      <c r="C2473" t="str">
        <f>IF(Sales_Deals!I2464&lt;&gt;"",IF(AND(Sales_Deals!I2464&gt;DATE(2024,3,31),Sales_Deals!I2464&lt;=DATE(2024,9,30)),Sales_Deals!J2464,""),"")</f>
        <v/>
      </c>
    </row>
    <row r="2474" spans="1:3" x14ac:dyDescent="0.35">
      <c r="A2474">
        <v>2464</v>
      </c>
      <c r="B2474" t="str">
        <f>IF(Sales_Deals!I2465&lt;&gt;"",IF(AND(Sales_Deals!I2465&gt;DATE(2024,9,30),Sales_Deals!I2465&lt;=DATE(2025,3,31)),Sales_Deals!J2465,""),"")</f>
        <v/>
      </c>
      <c r="C2474">
        <f>IF(Sales_Deals!I2465&lt;&gt;"",IF(AND(Sales_Deals!I2465&gt;DATE(2024,3,31),Sales_Deals!I2465&lt;=DATE(2024,9,30)),Sales_Deals!J2465,""),"")</f>
        <v>129</v>
      </c>
    </row>
    <row r="2475" spans="1:3" x14ac:dyDescent="0.35">
      <c r="A2475">
        <v>2465</v>
      </c>
      <c r="B2475">
        <f>IF(Sales_Deals!I2466&lt;&gt;"",IF(AND(Sales_Deals!I2466&gt;DATE(2024,9,30),Sales_Deals!I2466&lt;=DATE(2025,3,31)),Sales_Deals!J2466,""),"")</f>
        <v>23</v>
      </c>
      <c r="C2475" t="str">
        <f>IF(Sales_Deals!I2466&lt;&gt;"",IF(AND(Sales_Deals!I2466&gt;DATE(2024,3,31),Sales_Deals!I2466&lt;=DATE(2024,9,30)),Sales_Deals!J2466,""),"")</f>
        <v/>
      </c>
    </row>
    <row r="2476" spans="1:3" x14ac:dyDescent="0.35">
      <c r="A2476">
        <v>2466</v>
      </c>
      <c r="B2476" t="str">
        <f>IF(Sales_Deals!I2467&lt;&gt;"",IF(AND(Sales_Deals!I2467&gt;DATE(2024,9,30),Sales_Deals!I2467&lt;=DATE(2025,3,31)),Sales_Deals!J2467,""),"")</f>
        <v/>
      </c>
      <c r="C2476" t="str">
        <f>IF(Sales_Deals!I2467&lt;&gt;"",IF(AND(Sales_Deals!I2467&gt;DATE(2024,3,31),Sales_Deals!I2467&lt;=DATE(2024,9,30)),Sales_Deals!J2467,""),"")</f>
        <v/>
      </c>
    </row>
    <row r="2477" spans="1:3" x14ac:dyDescent="0.35">
      <c r="A2477">
        <v>2467</v>
      </c>
      <c r="B2477" t="str">
        <f>IF(Sales_Deals!I2468&lt;&gt;"",IF(AND(Sales_Deals!I2468&gt;DATE(2024,9,30),Sales_Deals!I2468&lt;=DATE(2025,3,31)),Sales_Deals!J2468,""),"")</f>
        <v/>
      </c>
      <c r="C2477" t="str">
        <f>IF(Sales_Deals!I2468&lt;&gt;"",IF(AND(Sales_Deals!I2468&gt;DATE(2024,3,31),Sales_Deals!I2468&lt;=DATE(2024,9,30)),Sales_Deals!J2468,""),"")</f>
        <v/>
      </c>
    </row>
    <row r="2478" spans="1:3" x14ac:dyDescent="0.35">
      <c r="A2478">
        <v>2468</v>
      </c>
      <c r="B2478" t="str">
        <f>IF(Sales_Deals!I2469&lt;&gt;"",IF(AND(Sales_Deals!I2469&gt;DATE(2024,9,30),Sales_Deals!I2469&lt;=DATE(2025,3,31)),Sales_Deals!J2469,""),"")</f>
        <v/>
      </c>
      <c r="C2478" t="str">
        <f>IF(Sales_Deals!I2469&lt;&gt;"",IF(AND(Sales_Deals!I2469&gt;DATE(2024,3,31),Sales_Deals!I2469&lt;=DATE(2024,9,30)),Sales_Deals!J2469,""),"")</f>
        <v/>
      </c>
    </row>
    <row r="2479" spans="1:3" x14ac:dyDescent="0.35">
      <c r="A2479">
        <v>2469</v>
      </c>
      <c r="B2479">
        <f>IF(Sales_Deals!I2470&lt;&gt;"",IF(AND(Sales_Deals!I2470&gt;DATE(2024,9,30),Sales_Deals!I2470&lt;=DATE(2025,3,31)),Sales_Deals!J2470,""),"")</f>
        <v>162</v>
      </c>
      <c r="C2479" t="str">
        <f>IF(Sales_Deals!I2470&lt;&gt;"",IF(AND(Sales_Deals!I2470&gt;DATE(2024,3,31),Sales_Deals!I2470&lt;=DATE(2024,9,30)),Sales_Deals!J2470,""),"")</f>
        <v/>
      </c>
    </row>
    <row r="2480" spans="1:3" x14ac:dyDescent="0.35">
      <c r="A2480">
        <v>2470</v>
      </c>
      <c r="B2480" t="str">
        <f>IF(Sales_Deals!I2471&lt;&gt;"",IF(AND(Sales_Deals!I2471&gt;DATE(2024,9,30),Sales_Deals!I2471&lt;=DATE(2025,3,31)),Sales_Deals!J2471,""),"")</f>
        <v/>
      </c>
      <c r="C2480" t="str">
        <f>IF(Sales_Deals!I2471&lt;&gt;"",IF(AND(Sales_Deals!I2471&gt;DATE(2024,3,31),Sales_Deals!I2471&lt;=DATE(2024,9,30)),Sales_Deals!J2471,""),"")</f>
        <v/>
      </c>
    </row>
    <row r="2481" spans="1:3" x14ac:dyDescent="0.35">
      <c r="A2481">
        <v>2471</v>
      </c>
      <c r="B2481" t="str">
        <f>IF(Sales_Deals!I2472&lt;&gt;"",IF(AND(Sales_Deals!I2472&gt;DATE(2024,9,30),Sales_Deals!I2472&lt;=DATE(2025,3,31)),Sales_Deals!J2472,""),"")</f>
        <v/>
      </c>
      <c r="C2481" t="str">
        <f>IF(Sales_Deals!I2472&lt;&gt;"",IF(AND(Sales_Deals!I2472&gt;DATE(2024,3,31),Sales_Deals!I2472&lt;=DATE(2024,9,30)),Sales_Deals!J2472,""),"")</f>
        <v/>
      </c>
    </row>
    <row r="2482" spans="1:3" x14ac:dyDescent="0.35">
      <c r="A2482">
        <v>2472</v>
      </c>
      <c r="B2482" t="str">
        <f>IF(Sales_Deals!I2473&lt;&gt;"",IF(AND(Sales_Deals!I2473&gt;DATE(2024,9,30),Sales_Deals!I2473&lt;=DATE(2025,3,31)),Sales_Deals!J2473,""),"")</f>
        <v/>
      </c>
      <c r="C2482" t="str">
        <f>IF(Sales_Deals!I2473&lt;&gt;"",IF(AND(Sales_Deals!I2473&gt;DATE(2024,3,31),Sales_Deals!I2473&lt;=DATE(2024,9,30)),Sales_Deals!J2473,""),"")</f>
        <v/>
      </c>
    </row>
    <row r="2483" spans="1:3" x14ac:dyDescent="0.35">
      <c r="A2483">
        <v>2473</v>
      </c>
      <c r="B2483" t="str">
        <f>IF(Sales_Deals!I2474&lt;&gt;"",IF(AND(Sales_Deals!I2474&gt;DATE(2024,9,30),Sales_Deals!I2474&lt;=DATE(2025,3,31)),Sales_Deals!J2474,""),"")</f>
        <v/>
      </c>
      <c r="C2483" t="str">
        <f>IF(Sales_Deals!I2474&lt;&gt;"",IF(AND(Sales_Deals!I2474&gt;DATE(2024,3,31),Sales_Deals!I2474&lt;=DATE(2024,9,30)),Sales_Deals!J2474,""),"")</f>
        <v/>
      </c>
    </row>
    <row r="2484" spans="1:3" x14ac:dyDescent="0.35">
      <c r="A2484">
        <v>2474</v>
      </c>
      <c r="B2484">
        <f>IF(Sales_Deals!I2475&lt;&gt;"",IF(AND(Sales_Deals!I2475&gt;DATE(2024,9,30),Sales_Deals!I2475&lt;=DATE(2025,3,31)),Sales_Deals!J2475,""),"")</f>
        <v>122</v>
      </c>
      <c r="C2484" t="str">
        <f>IF(Sales_Deals!I2475&lt;&gt;"",IF(AND(Sales_Deals!I2475&gt;DATE(2024,3,31),Sales_Deals!I2475&lt;=DATE(2024,9,30)),Sales_Deals!J2475,""),"")</f>
        <v/>
      </c>
    </row>
    <row r="2485" spans="1:3" x14ac:dyDescent="0.35">
      <c r="A2485">
        <v>2475</v>
      </c>
      <c r="B2485" t="str">
        <f>IF(Sales_Deals!I2476&lt;&gt;"",IF(AND(Sales_Deals!I2476&gt;DATE(2024,9,30),Sales_Deals!I2476&lt;=DATE(2025,3,31)),Sales_Deals!J2476,""),"")</f>
        <v/>
      </c>
      <c r="C2485" t="str">
        <f>IF(Sales_Deals!I2476&lt;&gt;"",IF(AND(Sales_Deals!I2476&gt;DATE(2024,3,31),Sales_Deals!I2476&lt;=DATE(2024,9,30)),Sales_Deals!J2476,""),"")</f>
        <v/>
      </c>
    </row>
    <row r="2486" spans="1:3" x14ac:dyDescent="0.35">
      <c r="A2486">
        <v>2476</v>
      </c>
      <c r="B2486" t="str">
        <f>IF(Sales_Deals!I2477&lt;&gt;"",IF(AND(Sales_Deals!I2477&gt;DATE(2024,9,30),Sales_Deals!I2477&lt;=DATE(2025,3,31)),Sales_Deals!J2477,""),"")</f>
        <v/>
      </c>
      <c r="C2486" t="str">
        <f>IF(Sales_Deals!I2477&lt;&gt;"",IF(AND(Sales_Deals!I2477&gt;DATE(2024,3,31),Sales_Deals!I2477&lt;=DATE(2024,9,30)),Sales_Deals!J2477,""),"")</f>
        <v/>
      </c>
    </row>
    <row r="2487" spans="1:3" x14ac:dyDescent="0.35">
      <c r="A2487">
        <v>2477</v>
      </c>
      <c r="B2487" t="str">
        <f>IF(Sales_Deals!I2478&lt;&gt;"",IF(AND(Sales_Deals!I2478&gt;DATE(2024,9,30),Sales_Deals!I2478&lt;=DATE(2025,3,31)),Sales_Deals!J2478,""),"")</f>
        <v/>
      </c>
      <c r="C2487" t="str">
        <f>IF(Sales_Deals!I2478&lt;&gt;"",IF(AND(Sales_Deals!I2478&gt;DATE(2024,3,31),Sales_Deals!I2478&lt;=DATE(2024,9,30)),Sales_Deals!J2478,""),"")</f>
        <v/>
      </c>
    </row>
    <row r="2488" spans="1:3" x14ac:dyDescent="0.35">
      <c r="A2488">
        <v>2478</v>
      </c>
      <c r="B2488" t="str">
        <f>IF(Sales_Deals!I2479&lt;&gt;"",IF(AND(Sales_Deals!I2479&gt;DATE(2024,9,30),Sales_Deals!I2479&lt;=DATE(2025,3,31)),Sales_Deals!J2479,""),"")</f>
        <v/>
      </c>
      <c r="C2488" t="str">
        <f>IF(Sales_Deals!I2479&lt;&gt;"",IF(AND(Sales_Deals!I2479&gt;DATE(2024,3,31),Sales_Deals!I2479&lt;=DATE(2024,9,30)),Sales_Deals!J2479,""),"")</f>
        <v/>
      </c>
    </row>
    <row r="2489" spans="1:3" x14ac:dyDescent="0.35">
      <c r="A2489">
        <v>2479</v>
      </c>
      <c r="B2489" t="str">
        <f>IF(Sales_Deals!I2480&lt;&gt;"",IF(AND(Sales_Deals!I2480&gt;DATE(2024,9,30),Sales_Deals!I2480&lt;=DATE(2025,3,31)),Sales_Deals!J2480,""),"")</f>
        <v/>
      </c>
      <c r="C2489" t="str">
        <f>IF(Sales_Deals!I2480&lt;&gt;"",IF(AND(Sales_Deals!I2480&gt;DATE(2024,3,31),Sales_Deals!I2480&lt;=DATE(2024,9,30)),Sales_Deals!J2480,""),"")</f>
        <v/>
      </c>
    </row>
    <row r="2490" spans="1:3" x14ac:dyDescent="0.35">
      <c r="A2490">
        <v>2480</v>
      </c>
      <c r="B2490" t="str">
        <f>IF(Sales_Deals!I2481&lt;&gt;"",IF(AND(Sales_Deals!I2481&gt;DATE(2024,9,30),Sales_Deals!I2481&lt;=DATE(2025,3,31)),Sales_Deals!J2481,""),"")</f>
        <v/>
      </c>
      <c r="C2490" t="str">
        <f>IF(Sales_Deals!I2481&lt;&gt;"",IF(AND(Sales_Deals!I2481&gt;DATE(2024,3,31),Sales_Deals!I2481&lt;=DATE(2024,9,30)),Sales_Deals!J2481,""),"")</f>
        <v/>
      </c>
    </row>
    <row r="2491" spans="1:3" x14ac:dyDescent="0.35">
      <c r="A2491">
        <v>2481</v>
      </c>
      <c r="B2491" t="str">
        <f>IF(Sales_Deals!I2482&lt;&gt;"",IF(AND(Sales_Deals!I2482&gt;DATE(2024,9,30),Sales_Deals!I2482&lt;=DATE(2025,3,31)),Sales_Deals!J2482,""),"")</f>
        <v/>
      </c>
      <c r="C2491">
        <f>IF(Sales_Deals!I2482&lt;&gt;"",IF(AND(Sales_Deals!I2482&gt;DATE(2024,3,31),Sales_Deals!I2482&lt;=DATE(2024,9,30)),Sales_Deals!J2482,""),"")</f>
        <v>95</v>
      </c>
    </row>
    <row r="2492" spans="1:3" x14ac:dyDescent="0.35">
      <c r="A2492">
        <v>2482</v>
      </c>
      <c r="B2492" t="str">
        <f>IF(Sales_Deals!I2483&lt;&gt;"",IF(AND(Sales_Deals!I2483&gt;DATE(2024,9,30),Sales_Deals!I2483&lt;=DATE(2025,3,31)),Sales_Deals!J2483,""),"")</f>
        <v/>
      </c>
      <c r="C2492" t="str">
        <f>IF(Sales_Deals!I2483&lt;&gt;"",IF(AND(Sales_Deals!I2483&gt;DATE(2024,3,31),Sales_Deals!I2483&lt;=DATE(2024,9,30)),Sales_Deals!J2483,""),"")</f>
        <v/>
      </c>
    </row>
    <row r="2493" spans="1:3" x14ac:dyDescent="0.35">
      <c r="A2493">
        <v>2483</v>
      </c>
      <c r="B2493" t="str">
        <f>IF(Sales_Deals!I2484&lt;&gt;"",IF(AND(Sales_Deals!I2484&gt;DATE(2024,9,30),Sales_Deals!I2484&lt;=DATE(2025,3,31)),Sales_Deals!J2484,""),"")</f>
        <v/>
      </c>
      <c r="C2493" t="str">
        <f>IF(Sales_Deals!I2484&lt;&gt;"",IF(AND(Sales_Deals!I2484&gt;DATE(2024,3,31),Sales_Deals!I2484&lt;=DATE(2024,9,30)),Sales_Deals!J2484,""),"")</f>
        <v/>
      </c>
    </row>
    <row r="2494" spans="1:3" x14ac:dyDescent="0.35">
      <c r="A2494">
        <v>2484</v>
      </c>
      <c r="B2494">
        <f>IF(Sales_Deals!I2485&lt;&gt;"",IF(AND(Sales_Deals!I2485&gt;DATE(2024,9,30),Sales_Deals!I2485&lt;=DATE(2025,3,31)),Sales_Deals!J2485,""),"")</f>
        <v>121</v>
      </c>
      <c r="C2494" t="str">
        <f>IF(Sales_Deals!I2485&lt;&gt;"",IF(AND(Sales_Deals!I2485&gt;DATE(2024,3,31),Sales_Deals!I2485&lt;=DATE(2024,9,30)),Sales_Deals!J2485,""),"")</f>
        <v/>
      </c>
    </row>
    <row r="2495" spans="1:3" x14ac:dyDescent="0.35">
      <c r="A2495">
        <v>2485</v>
      </c>
      <c r="B2495" t="str">
        <f>IF(Sales_Deals!I2486&lt;&gt;"",IF(AND(Sales_Deals!I2486&gt;DATE(2024,9,30),Sales_Deals!I2486&lt;=DATE(2025,3,31)),Sales_Deals!J2486,""),"")</f>
        <v/>
      </c>
      <c r="C2495" t="str">
        <f>IF(Sales_Deals!I2486&lt;&gt;"",IF(AND(Sales_Deals!I2486&gt;DATE(2024,3,31),Sales_Deals!I2486&lt;=DATE(2024,9,30)),Sales_Deals!J2486,""),"")</f>
        <v/>
      </c>
    </row>
    <row r="2496" spans="1:3" x14ac:dyDescent="0.35">
      <c r="A2496">
        <v>2486</v>
      </c>
      <c r="B2496" t="str">
        <f>IF(Sales_Deals!I2487&lt;&gt;"",IF(AND(Sales_Deals!I2487&gt;DATE(2024,9,30),Sales_Deals!I2487&lt;=DATE(2025,3,31)),Sales_Deals!J2487,""),"")</f>
        <v/>
      </c>
      <c r="C2496" t="str">
        <f>IF(Sales_Deals!I2487&lt;&gt;"",IF(AND(Sales_Deals!I2487&gt;DATE(2024,3,31),Sales_Deals!I2487&lt;=DATE(2024,9,30)),Sales_Deals!J2487,""),"")</f>
        <v/>
      </c>
    </row>
    <row r="2497" spans="1:3" x14ac:dyDescent="0.35">
      <c r="A2497">
        <v>2487</v>
      </c>
      <c r="B2497" t="str">
        <f>IF(Sales_Deals!I2488&lt;&gt;"",IF(AND(Sales_Deals!I2488&gt;DATE(2024,9,30),Sales_Deals!I2488&lt;=DATE(2025,3,31)),Sales_Deals!J2488,""),"")</f>
        <v/>
      </c>
      <c r="C2497">
        <f>IF(Sales_Deals!I2488&lt;&gt;"",IF(AND(Sales_Deals!I2488&gt;DATE(2024,3,31),Sales_Deals!I2488&lt;=DATE(2024,9,30)),Sales_Deals!J2488,""),"")</f>
        <v>109</v>
      </c>
    </row>
    <row r="2498" spans="1:3" x14ac:dyDescent="0.35">
      <c r="A2498">
        <v>2488</v>
      </c>
      <c r="B2498" t="str">
        <f>IF(Sales_Deals!I2489&lt;&gt;"",IF(AND(Sales_Deals!I2489&gt;DATE(2024,9,30),Sales_Deals!I2489&lt;=DATE(2025,3,31)),Sales_Deals!J2489,""),"")</f>
        <v/>
      </c>
      <c r="C2498" t="str">
        <f>IF(Sales_Deals!I2489&lt;&gt;"",IF(AND(Sales_Deals!I2489&gt;DATE(2024,3,31),Sales_Deals!I2489&lt;=DATE(2024,9,30)),Sales_Deals!J2489,""),"")</f>
        <v/>
      </c>
    </row>
    <row r="2499" spans="1:3" x14ac:dyDescent="0.35">
      <c r="A2499">
        <v>2489</v>
      </c>
      <c r="B2499">
        <f>IF(Sales_Deals!I2490&lt;&gt;"",IF(AND(Sales_Deals!I2490&gt;DATE(2024,9,30),Sales_Deals!I2490&lt;=DATE(2025,3,31)),Sales_Deals!J2490,""),"")</f>
        <v>29</v>
      </c>
      <c r="C2499" t="str">
        <f>IF(Sales_Deals!I2490&lt;&gt;"",IF(AND(Sales_Deals!I2490&gt;DATE(2024,3,31),Sales_Deals!I2490&lt;=DATE(2024,9,30)),Sales_Deals!J2490,""),"")</f>
        <v/>
      </c>
    </row>
    <row r="2500" spans="1:3" x14ac:dyDescent="0.35">
      <c r="A2500">
        <v>2490</v>
      </c>
      <c r="B2500" t="str">
        <f>IF(Sales_Deals!I2491&lt;&gt;"",IF(AND(Sales_Deals!I2491&gt;DATE(2024,9,30),Sales_Deals!I2491&lt;=DATE(2025,3,31)),Sales_Deals!J2491,""),"")</f>
        <v/>
      </c>
      <c r="C2500" t="str">
        <f>IF(Sales_Deals!I2491&lt;&gt;"",IF(AND(Sales_Deals!I2491&gt;DATE(2024,3,31),Sales_Deals!I2491&lt;=DATE(2024,9,30)),Sales_Deals!J2491,""),"")</f>
        <v/>
      </c>
    </row>
    <row r="2501" spans="1:3" x14ac:dyDescent="0.35">
      <c r="A2501">
        <v>2491</v>
      </c>
      <c r="B2501" t="str">
        <f>IF(Sales_Deals!I2492&lt;&gt;"",IF(AND(Sales_Deals!I2492&gt;DATE(2024,9,30),Sales_Deals!I2492&lt;=DATE(2025,3,31)),Sales_Deals!J2492,""),"")</f>
        <v/>
      </c>
      <c r="C2501">
        <f>IF(Sales_Deals!I2492&lt;&gt;"",IF(AND(Sales_Deals!I2492&gt;DATE(2024,3,31),Sales_Deals!I2492&lt;=DATE(2024,9,30)),Sales_Deals!J2492,""),"")</f>
        <v>71</v>
      </c>
    </row>
    <row r="2502" spans="1:3" x14ac:dyDescent="0.35">
      <c r="A2502">
        <v>2492</v>
      </c>
      <c r="B2502" t="str">
        <f>IF(Sales_Deals!I2493&lt;&gt;"",IF(AND(Sales_Deals!I2493&gt;DATE(2024,9,30),Sales_Deals!I2493&lt;=DATE(2025,3,31)),Sales_Deals!J2493,""),"")</f>
        <v/>
      </c>
      <c r="C2502" t="str">
        <f>IF(Sales_Deals!I2493&lt;&gt;"",IF(AND(Sales_Deals!I2493&gt;DATE(2024,3,31),Sales_Deals!I2493&lt;=DATE(2024,9,30)),Sales_Deals!J2493,""),"")</f>
        <v/>
      </c>
    </row>
    <row r="2503" spans="1:3" x14ac:dyDescent="0.35">
      <c r="A2503">
        <v>2493</v>
      </c>
      <c r="B2503" t="str">
        <f>IF(Sales_Deals!I2494&lt;&gt;"",IF(AND(Sales_Deals!I2494&gt;DATE(2024,9,30),Sales_Deals!I2494&lt;=DATE(2025,3,31)),Sales_Deals!J2494,""),"")</f>
        <v/>
      </c>
      <c r="C2503" t="str">
        <f>IF(Sales_Deals!I2494&lt;&gt;"",IF(AND(Sales_Deals!I2494&gt;DATE(2024,3,31),Sales_Deals!I2494&lt;=DATE(2024,9,30)),Sales_Deals!J2494,""),"")</f>
        <v/>
      </c>
    </row>
    <row r="2504" spans="1:3" x14ac:dyDescent="0.35">
      <c r="A2504">
        <v>2494</v>
      </c>
      <c r="B2504">
        <f>IF(Sales_Deals!I2495&lt;&gt;"",IF(AND(Sales_Deals!I2495&gt;DATE(2024,9,30),Sales_Deals!I2495&lt;=DATE(2025,3,31)),Sales_Deals!J2495,""),"")</f>
        <v>83</v>
      </c>
      <c r="C2504" t="str">
        <f>IF(Sales_Deals!I2495&lt;&gt;"",IF(AND(Sales_Deals!I2495&gt;DATE(2024,3,31),Sales_Deals!I2495&lt;=DATE(2024,9,30)),Sales_Deals!J2495,""),"")</f>
        <v/>
      </c>
    </row>
    <row r="2505" spans="1:3" x14ac:dyDescent="0.35">
      <c r="A2505">
        <v>2495</v>
      </c>
      <c r="B2505" t="str">
        <f>IF(Sales_Deals!I2496&lt;&gt;"",IF(AND(Sales_Deals!I2496&gt;DATE(2024,9,30),Sales_Deals!I2496&lt;=DATE(2025,3,31)),Sales_Deals!J2496,""),"")</f>
        <v/>
      </c>
      <c r="C2505" t="str">
        <f>IF(Sales_Deals!I2496&lt;&gt;"",IF(AND(Sales_Deals!I2496&gt;DATE(2024,3,31),Sales_Deals!I2496&lt;=DATE(2024,9,30)),Sales_Deals!J2496,""),"")</f>
        <v/>
      </c>
    </row>
    <row r="2506" spans="1:3" x14ac:dyDescent="0.35">
      <c r="A2506">
        <v>2496</v>
      </c>
      <c r="B2506" t="str">
        <f>IF(Sales_Deals!I2497&lt;&gt;"",IF(AND(Sales_Deals!I2497&gt;DATE(2024,9,30),Sales_Deals!I2497&lt;=DATE(2025,3,31)),Sales_Deals!J2497,""),"")</f>
        <v/>
      </c>
      <c r="C2506">
        <f>IF(Sales_Deals!I2497&lt;&gt;"",IF(AND(Sales_Deals!I2497&gt;DATE(2024,3,31),Sales_Deals!I2497&lt;=DATE(2024,9,30)),Sales_Deals!J2497,""),"")</f>
        <v>48</v>
      </c>
    </row>
    <row r="2507" spans="1:3" x14ac:dyDescent="0.35">
      <c r="A2507">
        <v>2497</v>
      </c>
      <c r="B2507" t="str">
        <f>IF(Sales_Deals!I2498&lt;&gt;"",IF(AND(Sales_Deals!I2498&gt;DATE(2024,9,30),Sales_Deals!I2498&lt;=DATE(2025,3,31)),Sales_Deals!J2498,""),"")</f>
        <v/>
      </c>
      <c r="C2507" t="str">
        <f>IF(Sales_Deals!I2498&lt;&gt;"",IF(AND(Sales_Deals!I2498&gt;DATE(2024,3,31),Sales_Deals!I2498&lt;=DATE(2024,9,30)),Sales_Deals!J2498,""),"")</f>
        <v/>
      </c>
    </row>
    <row r="2508" spans="1:3" x14ac:dyDescent="0.35">
      <c r="A2508">
        <v>2498</v>
      </c>
      <c r="B2508">
        <f>IF(Sales_Deals!I2499&lt;&gt;"",IF(AND(Sales_Deals!I2499&gt;DATE(2024,9,30),Sales_Deals!I2499&lt;=DATE(2025,3,31)),Sales_Deals!J2499,""),"")</f>
        <v>168</v>
      </c>
      <c r="C2508" t="str">
        <f>IF(Sales_Deals!I2499&lt;&gt;"",IF(AND(Sales_Deals!I2499&gt;DATE(2024,3,31),Sales_Deals!I2499&lt;=DATE(2024,9,30)),Sales_Deals!J2499,""),"")</f>
        <v/>
      </c>
    </row>
    <row r="2509" spans="1:3" x14ac:dyDescent="0.35">
      <c r="A2509">
        <v>2499</v>
      </c>
      <c r="B2509" t="str">
        <f>IF(Sales_Deals!I2500&lt;&gt;"",IF(AND(Sales_Deals!I2500&gt;DATE(2024,9,30),Sales_Deals!I2500&lt;=DATE(2025,3,31)),Sales_Deals!J2500,""),"")</f>
        <v/>
      </c>
      <c r="C2509" t="str">
        <f>IF(Sales_Deals!I2500&lt;&gt;"",IF(AND(Sales_Deals!I2500&gt;DATE(2024,3,31),Sales_Deals!I2500&lt;=DATE(2024,9,30)),Sales_Deals!J2500,""),"")</f>
        <v/>
      </c>
    </row>
    <row r="2510" spans="1:3" x14ac:dyDescent="0.35">
      <c r="A2510">
        <v>2500</v>
      </c>
      <c r="B2510" t="str">
        <f>IF(Sales_Deals!I2501&lt;&gt;"",IF(AND(Sales_Deals!I2501&gt;DATE(2024,9,30),Sales_Deals!I2501&lt;=DATE(2025,3,31)),Sales_Deals!J2501,""),"")</f>
        <v/>
      </c>
      <c r="C2510" t="str">
        <f>IF(Sales_Deals!I2501&lt;&gt;"",IF(AND(Sales_Deals!I2501&gt;DATE(2024,3,31),Sales_Deals!I2501&lt;=DATE(2024,9,30)),Sales_Deals!J2501,""),"")</f>
        <v/>
      </c>
    </row>
  </sheetData>
  <mergeCells count="3">
    <mergeCell ref="A7:G7"/>
    <mergeCell ref="I10:N10"/>
    <mergeCell ref="J20:L20"/>
  </mergeCells>
  <pageMargins left="0.7" right="0.7" top="0.75" bottom="0.75" header="0.3" footer="0.3"/>
  <ignoredErrors>
    <ignoredError sqref="J12:L12" calculatedColumn="1"/>
  </ignoredErrors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4691-0DF8-45A4-BDDD-514E4B0713D8}">
  <dimension ref="A1:N309"/>
  <sheetViews>
    <sheetView workbookViewId="0">
      <selection activeCell="L7" sqref="L7"/>
    </sheetView>
  </sheetViews>
  <sheetFormatPr defaultRowHeight="14.5" x14ac:dyDescent="0.35"/>
  <cols>
    <col min="1" max="1" width="13.54296875" customWidth="1"/>
    <col min="2" max="2" width="18.08984375" customWidth="1"/>
    <col min="3" max="3" width="18.54296875" customWidth="1"/>
    <col min="7" max="7" width="24.36328125" customWidth="1"/>
    <col min="8" max="8" width="13.26953125" bestFit="1" customWidth="1"/>
  </cols>
  <sheetData>
    <row r="1" spans="1:14" ht="31" x14ac:dyDescent="0.7">
      <c r="A1" s="87" t="s">
        <v>8537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3" spans="1:14" x14ac:dyDescent="0.35">
      <c r="A3" s="26" t="s">
        <v>8538</v>
      </c>
    </row>
    <row r="4" spans="1:14" x14ac:dyDescent="0.35">
      <c r="A4" s="26" t="s">
        <v>8539</v>
      </c>
    </row>
    <row r="6" spans="1:14" x14ac:dyDescent="0.35">
      <c r="A6" s="82" t="s">
        <v>8593</v>
      </c>
    </row>
    <row r="8" spans="1:14" ht="18.5" x14ac:dyDescent="0.45">
      <c r="A8" s="31" t="s">
        <v>0</v>
      </c>
      <c r="B8" s="31" t="s">
        <v>7</v>
      </c>
      <c r="C8" s="31" t="s">
        <v>8540</v>
      </c>
      <c r="G8" s="5" t="s">
        <v>8493</v>
      </c>
    </row>
    <row r="9" spans="1:14" x14ac:dyDescent="0.35">
      <c r="A9" s="27" t="str">
        <f>Clients!A2</f>
        <v>CLI-0113</v>
      </c>
      <c r="B9">
        <f>IF(Clients!H2="","",Clients!H2)</f>
        <v>3.2</v>
      </c>
      <c r="C9" s="25">
        <f>COUNTIFS(Support_Tickets!$B$2:$B$4001,A9,Support_Tickets!$J$2:$J$4001,"No")</f>
        <v>10</v>
      </c>
      <c r="G9" s="32" t="s">
        <v>8594</v>
      </c>
      <c r="H9" s="33">
        <f>COUNT(B9:B308)</f>
        <v>286</v>
      </c>
      <c r="I9" s="21"/>
      <c r="J9" s="21"/>
      <c r="K9" s="21"/>
    </row>
    <row r="10" spans="1:14" x14ac:dyDescent="0.35">
      <c r="A10" s="27" t="str">
        <f>Clients!A3</f>
        <v>CLI-0047</v>
      </c>
      <c r="B10">
        <f>IF(Clients!H3="","",Clients!H3)</f>
        <v>3.1</v>
      </c>
      <c r="C10" s="25">
        <f>COUNTIFS(Support_Tickets!$B$2:$B$4001,A10,Support_Tickets!$J$2:$J$4001,"No")</f>
        <v>10</v>
      </c>
      <c r="G10" s="32" t="s">
        <v>8541</v>
      </c>
      <c r="H10" s="34">
        <f>PEARSON(B9:B308,C9:C308)</f>
        <v>4.6973468353177283E-2</v>
      </c>
      <c r="I10" s="21"/>
      <c r="J10" s="21"/>
      <c r="K10" s="21"/>
    </row>
    <row r="11" spans="1:14" x14ac:dyDescent="0.35">
      <c r="A11" s="27" t="str">
        <f>Clients!A4</f>
        <v>CLI-0083</v>
      </c>
      <c r="B11">
        <f>IF(Clients!H4="","",Clients!H4)</f>
        <v>4.4000000000000004</v>
      </c>
      <c r="C11" s="25">
        <f>COUNTIFS(Support_Tickets!$B$2:$B$4001,A11,Support_Tickets!$J$2:$J$4001,"No")</f>
        <v>4</v>
      </c>
      <c r="G11" s="32" t="s">
        <v>8534</v>
      </c>
      <c r="H11" s="35">
        <f>H10*SQRT(H9-2)/SQRT(1-H10^2)</f>
        <v>0.7924857548212112</v>
      </c>
      <c r="I11" s="21"/>
      <c r="J11" s="21"/>
      <c r="K11" s="21"/>
    </row>
    <row r="12" spans="1:14" x14ac:dyDescent="0.35">
      <c r="A12" s="27" t="str">
        <f>Clients!A5</f>
        <v>CLI-0111</v>
      </c>
      <c r="B12">
        <f>IF(Clients!H5="","",Clients!H5)</f>
        <v>4.9000000000000004</v>
      </c>
      <c r="C12" s="25">
        <f>COUNTIFS(Support_Tickets!$B$2:$B$4001,A12,Support_Tickets!$J$2:$J$4001,"No")</f>
        <v>9</v>
      </c>
      <c r="G12" s="32" t="s">
        <v>8542</v>
      </c>
      <c r="H12" s="33">
        <f>H9-2</f>
        <v>284</v>
      </c>
      <c r="I12" s="21"/>
      <c r="J12" s="21"/>
      <c r="K12" s="21"/>
    </row>
    <row r="13" spans="1:14" x14ac:dyDescent="0.35">
      <c r="A13" s="27" t="str">
        <f>Clients!A6</f>
        <v>CLI-0199</v>
      </c>
      <c r="B13">
        <f>IF(Clients!H6="","",Clients!H6)</f>
        <v>4.3</v>
      </c>
      <c r="C13" s="25">
        <f>COUNTIFS(Support_Tickets!$B$2:$B$4001,A13,Support_Tickets!$J$2:$J$4001,"No")</f>
        <v>6</v>
      </c>
      <c r="G13" s="32" t="s">
        <v>8543</v>
      </c>
      <c r="H13" s="34">
        <f>TDIST(ABS(H11),H12,2)</f>
        <v>0.42873898113124664</v>
      </c>
      <c r="I13" s="21"/>
      <c r="J13" s="21"/>
      <c r="K13" s="21"/>
    </row>
    <row r="14" spans="1:14" x14ac:dyDescent="0.35">
      <c r="A14" s="27" t="str">
        <f>Clients!A7</f>
        <v>CLI-0213</v>
      </c>
      <c r="B14">
        <f>IF(Clients!H7="","",Clients!H7)</f>
        <v>3.8</v>
      </c>
      <c r="C14" s="25">
        <f>COUNTIFS(Support_Tickets!$B$2:$B$4001,A14,Support_Tickets!$J$2:$J$4001,"No")</f>
        <v>8</v>
      </c>
    </row>
    <row r="15" spans="1:14" x14ac:dyDescent="0.35">
      <c r="A15" s="27" t="str">
        <f>Clients!A8</f>
        <v>CLI-0042</v>
      </c>
      <c r="B15">
        <f>IF(Clients!H8="","",Clients!H8)</f>
        <v>3.4</v>
      </c>
      <c r="C15" s="25">
        <f>COUNTIFS(Support_Tickets!$B$2:$B$4001,A15,Support_Tickets!$J$2:$J$4001,"No")</f>
        <v>7</v>
      </c>
      <c r="G15" s="32" t="s">
        <v>8536</v>
      </c>
      <c r="H15" s="83" t="str">
        <f>IF(H13&lt;0.05,"Reject H0 - significant correlation found","Fail to reject H0 - no significant correlation")</f>
        <v>Fail to reject H0 - no significant correlation</v>
      </c>
      <c r="I15" s="83"/>
      <c r="J15" s="83"/>
      <c r="K15" s="83"/>
    </row>
    <row r="16" spans="1:14" x14ac:dyDescent="0.35">
      <c r="A16" s="27" t="str">
        <f>Clients!A9</f>
        <v>CLI-0217</v>
      </c>
      <c r="B16">
        <f>IF(Clients!H9="","",Clients!H9)</f>
        <v>4.3</v>
      </c>
      <c r="C16" s="25">
        <f>COUNTIFS(Support_Tickets!$B$2:$B$4001,A16,Support_Tickets!$J$2:$J$4001,"No")</f>
        <v>7</v>
      </c>
    </row>
    <row r="17" spans="1:3" x14ac:dyDescent="0.35">
      <c r="A17" s="27" t="str">
        <f>Clients!A10</f>
        <v>CLI-0070</v>
      </c>
      <c r="B17">
        <f>IF(Clients!H10="","",Clients!H10)</f>
        <v>2.8</v>
      </c>
      <c r="C17" s="25">
        <f>COUNTIFS(Support_Tickets!$B$2:$B$4001,A17,Support_Tickets!$J$2:$J$4001,"No")</f>
        <v>5</v>
      </c>
    </row>
    <row r="18" spans="1:3" x14ac:dyDescent="0.35">
      <c r="A18" s="27" t="str">
        <f>Clients!A11</f>
        <v>CLI-0115</v>
      </c>
      <c r="B18">
        <f>IF(Clients!H11="","",Clients!H11)</f>
        <v>4.3</v>
      </c>
      <c r="C18" s="25">
        <f>COUNTIFS(Support_Tickets!$B$2:$B$4001,A18,Support_Tickets!$J$2:$J$4001,"No")</f>
        <v>8</v>
      </c>
    </row>
    <row r="19" spans="1:3" x14ac:dyDescent="0.35">
      <c r="A19" s="27" t="str">
        <f>Clients!A12</f>
        <v>CLI-0264</v>
      </c>
      <c r="B19">
        <f>IF(Clients!H12="","",Clients!H12)</f>
        <v>2.6</v>
      </c>
      <c r="C19" s="25">
        <f>COUNTIFS(Support_Tickets!$B$2:$B$4001,A19,Support_Tickets!$J$2:$J$4001,"No")</f>
        <v>6</v>
      </c>
    </row>
    <row r="20" spans="1:3" x14ac:dyDescent="0.35">
      <c r="A20" s="27" t="str">
        <f>Clients!A13</f>
        <v>CLI-0219</v>
      </c>
      <c r="B20">
        <f>IF(Clients!H13="","",Clients!H13)</f>
        <v>3.2</v>
      </c>
      <c r="C20" s="25">
        <f>COUNTIFS(Support_Tickets!$B$2:$B$4001,A20,Support_Tickets!$J$2:$J$4001,"No")</f>
        <v>8</v>
      </c>
    </row>
    <row r="21" spans="1:3" x14ac:dyDescent="0.35">
      <c r="A21" s="27" t="str">
        <f>Clients!A14</f>
        <v>CLI-0269</v>
      </c>
      <c r="B21">
        <f>IF(Clients!H14="","",Clients!H14)</f>
        <v>4.8</v>
      </c>
      <c r="C21" s="25">
        <f>COUNTIFS(Support_Tickets!$B$2:$B$4001,A21,Support_Tickets!$J$2:$J$4001,"No")</f>
        <v>4</v>
      </c>
    </row>
    <row r="22" spans="1:3" x14ac:dyDescent="0.35">
      <c r="A22" s="27" t="str">
        <f>Clients!A15</f>
        <v>CLI-0152</v>
      </c>
      <c r="B22">
        <f>IF(Clients!H15="","",Clients!H15)</f>
        <v>4</v>
      </c>
      <c r="C22" s="25">
        <f>COUNTIFS(Support_Tickets!$B$2:$B$4001,A22,Support_Tickets!$J$2:$J$4001,"No")</f>
        <v>4</v>
      </c>
    </row>
    <row r="23" spans="1:3" x14ac:dyDescent="0.35">
      <c r="A23" s="27" t="str">
        <f>Clients!A16</f>
        <v>CLI-0150</v>
      </c>
      <c r="B23">
        <f>IF(Clients!H16="","",Clients!H16)</f>
        <v>4.9000000000000004</v>
      </c>
      <c r="C23" s="25">
        <f>COUNTIFS(Support_Tickets!$B$2:$B$4001,A23,Support_Tickets!$J$2:$J$4001,"No")</f>
        <v>9</v>
      </c>
    </row>
    <row r="24" spans="1:3" x14ac:dyDescent="0.35">
      <c r="A24" s="27" t="str">
        <f>Clients!A17</f>
        <v>CLI-0078</v>
      </c>
      <c r="B24">
        <f>IF(Clients!H17="","",Clients!H17)</f>
        <v>2.7</v>
      </c>
      <c r="C24" s="25">
        <f>COUNTIFS(Support_Tickets!$B$2:$B$4001,A24,Support_Tickets!$J$2:$J$4001,"No")</f>
        <v>9</v>
      </c>
    </row>
    <row r="25" spans="1:3" x14ac:dyDescent="0.35">
      <c r="A25" s="27" t="str">
        <f>Clients!A18</f>
        <v>CLI-0297</v>
      </c>
      <c r="B25">
        <f>IF(Clients!H18="","",Clients!H18)</f>
        <v>3.9</v>
      </c>
      <c r="C25" s="25">
        <f>COUNTIFS(Support_Tickets!$B$2:$B$4001,A25,Support_Tickets!$J$2:$J$4001,"No")</f>
        <v>14</v>
      </c>
    </row>
    <row r="26" spans="1:3" x14ac:dyDescent="0.35">
      <c r="A26" s="27" t="str">
        <f>Clients!A19</f>
        <v>CLI-0107</v>
      </c>
      <c r="B26">
        <f>IF(Clients!H19="","",Clients!H19)</f>
        <v>3.7</v>
      </c>
      <c r="C26" s="25">
        <f>COUNTIFS(Support_Tickets!$B$2:$B$4001,A26,Support_Tickets!$J$2:$J$4001,"No")</f>
        <v>9</v>
      </c>
    </row>
    <row r="27" spans="1:3" x14ac:dyDescent="0.35">
      <c r="A27" s="27" t="str">
        <f>Clients!A20</f>
        <v>CLI-0195</v>
      </c>
      <c r="B27">
        <f>IF(Clients!H20="","",Clients!H20)</f>
        <v>2.9</v>
      </c>
      <c r="C27" s="25">
        <f>COUNTIFS(Support_Tickets!$B$2:$B$4001,A27,Support_Tickets!$J$2:$J$4001,"No")</f>
        <v>7</v>
      </c>
    </row>
    <row r="28" spans="1:3" x14ac:dyDescent="0.35">
      <c r="A28" s="27" t="str">
        <f>Clients!A21</f>
        <v>CLI-0168</v>
      </c>
      <c r="B28">
        <f>IF(Clients!H21="","",Clients!H21)</f>
        <v>2.5</v>
      </c>
      <c r="C28" s="25">
        <f>COUNTIFS(Support_Tickets!$B$2:$B$4001,A28,Support_Tickets!$J$2:$J$4001,"No")</f>
        <v>7</v>
      </c>
    </row>
    <row r="29" spans="1:3" x14ac:dyDescent="0.35">
      <c r="A29" s="27" t="str">
        <f>Clients!A22</f>
        <v>CLI-0097</v>
      </c>
      <c r="B29">
        <f>IF(Clients!H22="","",Clients!H22)</f>
        <v>4.5999999999999996</v>
      </c>
      <c r="C29" s="25">
        <f>COUNTIFS(Support_Tickets!$B$2:$B$4001,A29,Support_Tickets!$J$2:$J$4001,"No")</f>
        <v>15</v>
      </c>
    </row>
    <row r="30" spans="1:3" x14ac:dyDescent="0.35">
      <c r="A30" s="27" t="str">
        <f>Clients!A23</f>
        <v>CLI-0183</v>
      </c>
      <c r="B30">
        <f>IF(Clients!H23="","",Clients!H23)</f>
        <v>4.5</v>
      </c>
      <c r="C30" s="25">
        <f>COUNTIFS(Support_Tickets!$B$2:$B$4001,A30,Support_Tickets!$J$2:$J$4001,"No")</f>
        <v>11</v>
      </c>
    </row>
    <row r="31" spans="1:3" x14ac:dyDescent="0.35">
      <c r="A31" s="27" t="str">
        <f>Clients!A24</f>
        <v>CLI-0242</v>
      </c>
      <c r="B31">
        <f>IF(Clients!H24="","",Clients!H24)</f>
        <v>4.4000000000000004</v>
      </c>
      <c r="C31" s="25">
        <f>COUNTIFS(Support_Tickets!$B$2:$B$4001,A31,Support_Tickets!$J$2:$J$4001,"No")</f>
        <v>12</v>
      </c>
    </row>
    <row r="32" spans="1:3" x14ac:dyDescent="0.35">
      <c r="A32" s="27" t="str">
        <f>Clients!A25</f>
        <v>CLI-0176</v>
      </c>
      <c r="B32">
        <f>IF(Clients!H25="","",Clients!H25)</f>
        <v>4.0999999999999996</v>
      </c>
      <c r="C32" s="25">
        <f>COUNTIFS(Support_Tickets!$B$2:$B$4001,A32,Support_Tickets!$J$2:$J$4001,"No")</f>
        <v>8</v>
      </c>
    </row>
    <row r="33" spans="1:3" x14ac:dyDescent="0.35">
      <c r="A33" s="27" t="str">
        <f>Clients!A26</f>
        <v>CLI-0012</v>
      </c>
      <c r="B33">
        <f>IF(Clients!H26="","",Clients!H26)</f>
        <v>4.0999999999999996</v>
      </c>
      <c r="C33" s="25">
        <f>COUNTIFS(Support_Tickets!$B$2:$B$4001,A33,Support_Tickets!$J$2:$J$4001,"No")</f>
        <v>8</v>
      </c>
    </row>
    <row r="34" spans="1:3" x14ac:dyDescent="0.35">
      <c r="A34" s="27" t="str">
        <f>Clients!A27</f>
        <v>CLI-0160</v>
      </c>
      <c r="B34">
        <f>IF(Clients!H27="","",Clients!H27)</f>
        <v>3.7</v>
      </c>
      <c r="C34" s="25">
        <f>COUNTIFS(Support_Tickets!$B$2:$B$4001,A34,Support_Tickets!$J$2:$J$4001,"No")</f>
        <v>6</v>
      </c>
    </row>
    <row r="35" spans="1:3" x14ac:dyDescent="0.35">
      <c r="A35" s="27" t="str">
        <f>Clients!A28</f>
        <v>CLI-0286</v>
      </c>
      <c r="B35">
        <f>IF(Clients!H28="","",Clients!H28)</f>
        <v>3.4</v>
      </c>
      <c r="C35" s="25">
        <f>COUNTIFS(Support_Tickets!$B$2:$B$4001,A35,Support_Tickets!$J$2:$J$4001,"No")</f>
        <v>12</v>
      </c>
    </row>
    <row r="36" spans="1:3" x14ac:dyDescent="0.35">
      <c r="A36" s="27" t="str">
        <f>Clients!A29</f>
        <v>CLI-0244</v>
      </c>
      <c r="B36">
        <f>IF(Clients!H29="","",Clients!H29)</f>
        <v>2.9</v>
      </c>
      <c r="C36" s="25">
        <f>COUNTIFS(Support_Tickets!$B$2:$B$4001,A36,Support_Tickets!$J$2:$J$4001,"No")</f>
        <v>9</v>
      </c>
    </row>
    <row r="37" spans="1:3" x14ac:dyDescent="0.35">
      <c r="A37" s="27" t="str">
        <f>Clients!A30</f>
        <v>CLI-0080</v>
      </c>
      <c r="B37">
        <f>IF(Clients!H30="","",Clients!H30)</f>
        <v>3.4</v>
      </c>
      <c r="C37" s="25">
        <f>COUNTIFS(Support_Tickets!$B$2:$B$4001,A37,Support_Tickets!$J$2:$J$4001,"No")</f>
        <v>9</v>
      </c>
    </row>
    <row r="38" spans="1:3" x14ac:dyDescent="0.35">
      <c r="A38" s="27" t="str">
        <f>Clients!A31</f>
        <v>CLI-0077</v>
      </c>
      <c r="B38">
        <f>IF(Clients!H31="","",Clients!H31)</f>
        <v>4.3</v>
      </c>
      <c r="C38" s="25">
        <f>COUNTIFS(Support_Tickets!$B$2:$B$4001,A38,Support_Tickets!$J$2:$J$4001,"No")</f>
        <v>6</v>
      </c>
    </row>
    <row r="39" spans="1:3" x14ac:dyDescent="0.35">
      <c r="A39" s="27" t="str">
        <f>Clients!A32</f>
        <v>CLI-0236</v>
      </c>
      <c r="B39">
        <f>IF(Clients!H32="","",Clients!H32)</f>
        <v>3.6</v>
      </c>
      <c r="C39" s="25">
        <f>COUNTIFS(Support_Tickets!$B$2:$B$4001,A39,Support_Tickets!$J$2:$J$4001,"No")</f>
        <v>9</v>
      </c>
    </row>
    <row r="40" spans="1:3" x14ac:dyDescent="0.35">
      <c r="A40" s="27" t="str">
        <f>Clients!A33</f>
        <v>CLI-0099</v>
      </c>
      <c r="B40">
        <f>IF(Clients!H33="","",Clients!H33)</f>
        <v>3.7</v>
      </c>
      <c r="C40" s="25">
        <f>COUNTIFS(Support_Tickets!$B$2:$B$4001,A40,Support_Tickets!$J$2:$J$4001,"No")</f>
        <v>10</v>
      </c>
    </row>
    <row r="41" spans="1:3" x14ac:dyDescent="0.35">
      <c r="A41" s="27" t="str">
        <f>Clients!A34</f>
        <v>CLI-0198</v>
      </c>
      <c r="B41">
        <f>IF(Clients!H34="","",Clients!H34)</f>
        <v>3.4</v>
      </c>
      <c r="C41" s="25">
        <f>COUNTIFS(Support_Tickets!$B$2:$B$4001,A41,Support_Tickets!$J$2:$J$4001,"No")</f>
        <v>9</v>
      </c>
    </row>
    <row r="42" spans="1:3" x14ac:dyDescent="0.35">
      <c r="A42" s="27" t="str">
        <f>Clients!A35</f>
        <v>CLI-0117</v>
      </c>
      <c r="B42">
        <f>IF(Clients!H35="","",Clients!H35)</f>
        <v>3.8</v>
      </c>
      <c r="C42" s="25">
        <f>COUNTIFS(Support_Tickets!$B$2:$B$4001,A42,Support_Tickets!$J$2:$J$4001,"No")</f>
        <v>9</v>
      </c>
    </row>
    <row r="43" spans="1:3" x14ac:dyDescent="0.35">
      <c r="A43" s="27" t="str">
        <f>Clients!A36</f>
        <v>CLI-0243</v>
      </c>
      <c r="B43">
        <f>IF(Clients!H36="","",Clients!H36)</f>
        <v>3.7</v>
      </c>
      <c r="C43" s="25">
        <f>COUNTIFS(Support_Tickets!$B$2:$B$4001,A43,Support_Tickets!$J$2:$J$4001,"No")</f>
        <v>7</v>
      </c>
    </row>
    <row r="44" spans="1:3" x14ac:dyDescent="0.35">
      <c r="A44" s="27" t="str">
        <f>Clients!A37</f>
        <v>CLI-0015</v>
      </c>
      <c r="B44">
        <f>IF(Clients!H37="","",Clients!H37)</f>
        <v>3.6</v>
      </c>
      <c r="C44" s="25">
        <f>COUNTIFS(Support_Tickets!$B$2:$B$4001,A44,Support_Tickets!$J$2:$J$4001,"No")</f>
        <v>9</v>
      </c>
    </row>
    <row r="45" spans="1:3" x14ac:dyDescent="0.35">
      <c r="A45" s="27" t="str">
        <f>Clients!A38</f>
        <v>CLI-0218</v>
      </c>
      <c r="B45">
        <f>IF(Clients!H38="","",Clients!H38)</f>
        <v>4.3</v>
      </c>
      <c r="C45" s="25">
        <f>COUNTIFS(Support_Tickets!$B$2:$B$4001,A45,Support_Tickets!$J$2:$J$4001,"No")</f>
        <v>11</v>
      </c>
    </row>
    <row r="46" spans="1:3" x14ac:dyDescent="0.35">
      <c r="A46" s="27" t="str">
        <f>Clients!A39</f>
        <v>CLI-0171</v>
      </c>
      <c r="B46">
        <f>IF(Clients!H39="","",Clients!H39)</f>
        <v>4.3</v>
      </c>
      <c r="C46" s="25">
        <f>COUNTIFS(Support_Tickets!$B$2:$B$4001,A46,Support_Tickets!$J$2:$J$4001,"No")</f>
        <v>9</v>
      </c>
    </row>
    <row r="47" spans="1:3" x14ac:dyDescent="0.35">
      <c r="A47" s="27" t="str">
        <f>Clients!A40</f>
        <v>CLI-0270</v>
      </c>
      <c r="B47">
        <f>IF(Clients!H40="","",Clients!H40)</f>
        <v>4.3</v>
      </c>
      <c r="C47" s="25">
        <f>COUNTIFS(Support_Tickets!$B$2:$B$4001,A47,Support_Tickets!$J$2:$J$4001,"No")</f>
        <v>5</v>
      </c>
    </row>
    <row r="48" spans="1:3" x14ac:dyDescent="0.35">
      <c r="A48" s="27" t="str">
        <f>Clients!A41</f>
        <v>CLI-0005</v>
      </c>
      <c r="B48">
        <f>IF(Clients!H41="","",Clients!H41)</f>
        <v>3.8</v>
      </c>
      <c r="C48" s="25">
        <f>COUNTIFS(Support_Tickets!$B$2:$B$4001,A48,Support_Tickets!$J$2:$J$4001,"No")</f>
        <v>8</v>
      </c>
    </row>
    <row r="49" spans="1:3" x14ac:dyDescent="0.35">
      <c r="A49" s="27" t="str">
        <f>Clients!A42</f>
        <v>CLI-0066</v>
      </c>
      <c r="B49">
        <f>IF(Clients!H42="","",Clients!H42)</f>
        <v>4.5999999999999996</v>
      </c>
      <c r="C49" s="25">
        <f>COUNTIFS(Support_Tickets!$B$2:$B$4001,A49,Support_Tickets!$J$2:$J$4001,"No")</f>
        <v>7</v>
      </c>
    </row>
    <row r="50" spans="1:3" x14ac:dyDescent="0.35">
      <c r="A50" s="27" t="str">
        <f>Clients!A43</f>
        <v>CLI-0278</v>
      </c>
      <c r="B50">
        <f>IF(Clients!H43="","",Clients!H43)</f>
        <v>3.4</v>
      </c>
      <c r="C50" s="25">
        <f>COUNTIFS(Support_Tickets!$B$2:$B$4001,A50,Support_Tickets!$J$2:$J$4001,"No")</f>
        <v>6</v>
      </c>
    </row>
    <row r="51" spans="1:3" x14ac:dyDescent="0.35">
      <c r="A51" s="27" t="str">
        <f>Clients!A44</f>
        <v>CLI-0190</v>
      </c>
      <c r="B51">
        <f>IF(Clients!H44="","",Clients!H44)</f>
        <v>4.3</v>
      </c>
      <c r="C51" s="25">
        <f>COUNTIFS(Support_Tickets!$B$2:$B$4001,A51,Support_Tickets!$J$2:$J$4001,"No")</f>
        <v>11</v>
      </c>
    </row>
    <row r="52" spans="1:3" x14ac:dyDescent="0.35">
      <c r="A52" s="27" t="str">
        <f>Clients!A45</f>
        <v>CLI-0075</v>
      </c>
      <c r="B52">
        <f>IF(Clients!H45="","",Clients!H45)</f>
        <v>4.8</v>
      </c>
      <c r="C52" s="25">
        <f>COUNTIFS(Support_Tickets!$B$2:$B$4001,A52,Support_Tickets!$J$2:$J$4001,"No")</f>
        <v>20</v>
      </c>
    </row>
    <row r="53" spans="1:3" x14ac:dyDescent="0.35">
      <c r="A53" s="27" t="str">
        <f>Clients!A46</f>
        <v>CLI-0027</v>
      </c>
      <c r="B53">
        <f>IF(Clients!H46="","",Clients!H46)</f>
        <v>3.4</v>
      </c>
      <c r="C53" s="25">
        <f>COUNTIFS(Support_Tickets!$B$2:$B$4001,A53,Support_Tickets!$J$2:$J$4001,"No")</f>
        <v>6</v>
      </c>
    </row>
    <row r="54" spans="1:3" x14ac:dyDescent="0.35">
      <c r="A54" s="27" t="str">
        <f>Clients!A47</f>
        <v>CLI-0022</v>
      </c>
      <c r="B54">
        <f>IF(Clients!H47="","",Clients!H47)</f>
        <v>3.2</v>
      </c>
      <c r="C54" s="25">
        <f>COUNTIFS(Support_Tickets!$B$2:$B$4001,A54,Support_Tickets!$J$2:$J$4001,"No")</f>
        <v>6</v>
      </c>
    </row>
    <row r="55" spans="1:3" x14ac:dyDescent="0.35">
      <c r="A55" s="27" t="str">
        <f>Clients!A48</f>
        <v>CLI-0079</v>
      </c>
      <c r="B55">
        <f>IF(Clients!H48="","",Clients!H48)</f>
        <v>4.5999999999999996</v>
      </c>
      <c r="C55" s="25">
        <f>COUNTIFS(Support_Tickets!$B$2:$B$4001,A55,Support_Tickets!$J$2:$J$4001,"No")</f>
        <v>6</v>
      </c>
    </row>
    <row r="56" spans="1:3" x14ac:dyDescent="0.35">
      <c r="A56" s="27" t="str">
        <f>Clients!A49</f>
        <v>CLI-0184</v>
      </c>
      <c r="B56">
        <f>IF(Clients!H49="","",Clients!H49)</f>
        <v>2.6</v>
      </c>
      <c r="C56" s="25">
        <f>COUNTIFS(Support_Tickets!$B$2:$B$4001,A56,Support_Tickets!$J$2:$J$4001,"No")</f>
        <v>8</v>
      </c>
    </row>
    <row r="57" spans="1:3" x14ac:dyDescent="0.35">
      <c r="A57" s="27" t="str">
        <f>Clients!A50</f>
        <v>CLI-0010</v>
      </c>
      <c r="B57">
        <f>IF(Clients!H50="","",Clients!H50)</f>
        <v>4.8</v>
      </c>
      <c r="C57" s="25">
        <f>COUNTIFS(Support_Tickets!$B$2:$B$4001,A57,Support_Tickets!$J$2:$J$4001,"No")</f>
        <v>7</v>
      </c>
    </row>
    <row r="58" spans="1:3" x14ac:dyDescent="0.35">
      <c r="A58" s="27" t="str">
        <f>Clients!A51</f>
        <v>CLI-0130</v>
      </c>
      <c r="B58">
        <f>IF(Clients!H51="","",Clients!H51)</f>
        <v>3.8</v>
      </c>
      <c r="C58" s="25">
        <f>COUNTIFS(Support_Tickets!$B$2:$B$4001,A58,Support_Tickets!$J$2:$J$4001,"No")</f>
        <v>10</v>
      </c>
    </row>
    <row r="59" spans="1:3" x14ac:dyDescent="0.35">
      <c r="A59" s="27" t="str">
        <f>Clients!A52</f>
        <v>CLI-0164</v>
      </c>
      <c r="B59">
        <f>IF(Clients!H52="","",Clients!H52)</f>
        <v>3.5</v>
      </c>
      <c r="C59" s="25">
        <f>COUNTIFS(Support_Tickets!$B$2:$B$4001,A59,Support_Tickets!$J$2:$J$4001,"No")</f>
        <v>9</v>
      </c>
    </row>
    <row r="60" spans="1:3" x14ac:dyDescent="0.35">
      <c r="A60" s="27" t="str">
        <f>Clients!A53</f>
        <v>CLI-0274</v>
      </c>
      <c r="B60" t="str">
        <f>IF(Clients!H53="","",Clients!H53)</f>
        <v/>
      </c>
      <c r="C60" s="25">
        <f>COUNTIFS(Support_Tickets!$B$2:$B$4001,A60,Support_Tickets!$J$2:$J$4001,"No")</f>
        <v>10</v>
      </c>
    </row>
    <row r="61" spans="1:3" x14ac:dyDescent="0.35">
      <c r="A61" s="27" t="str">
        <f>Clients!A54</f>
        <v>CLI-0271</v>
      </c>
      <c r="B61">
        <f>IF(Clients!H54="","",Clients!H54)</f>
        <v>3.2</v>
      </c>
      <c r="C61" s="25">
        <f>COUNTIFS(Support_Tickets!$B$2:$B$4001,A61,Support_Tickets!$J$2:$J$4001,"No")</f>
        <v>13</v>
      </c>
    </row>
    <row r="62" spans="1:3" x14ac:dyDescent="0.35">
      <c r="A62" s="27" t="str">
        <f>Clients!A55</f>
        <v>CLI-0025</v>
      </c>
      <c r="B62">
        <f>IF(Clients!H55="","",Clients!H55)</f>
        <v>4.3</v>
      </c>
      <c r="C62" s="25">
        <f>COUNTIFS(Support_Tickets!$B$2:$B$4001,A62,Support_Tickets!$J$2:$J$4001,"No")</f>
        <v>12</v>
      </c>
    </row>
    <row r="63" spans="1:3" x14ac:dyDescent="0.35">
      <c r="A63" s="27" t="str">
        <f>Clients!A56</f>
        <v>CLI-0041</v>
      </c>
      <c r="B63">
        <f>IF(Clients!H56="","",Clients!H56)</f>
        <v>3.3</v>
      </c>
      <c r="C63" s="25">
        <f>COUNTIFS(Support_Tickets!$B$2:$B$4001,A63,Support_Tickets!$J$2:$J$4001,"No")</f>
        <v>23</v>
      </c>
    </row>
    <row r="64" spans="1:3" x14ac:dyDescent="0.35">
      <c r="A64" s="27" t="str">
        <f>Clients!A57</f>
        <v>CLI-0029</v>
      </c>
      <c r="B64">
        <f>IF(Clients!H57="","",Clients!H57)</f>
        <v>3.4</v>
      </c>
      <c r="C64" s="25">
        <f>COUNTIFS(Support_Tickets!$B$2:$B$4001,A64,Support_Tickets!$J$2:$J$4001,"No")</f>
        <v>4</v>
      </c>
    </row>
    <row r="65" spans="1:3" x14ac:dyDescent="0.35">
      <c r="A65" s="27" t="str">
        <f>Clients!A58</f>
        <v>CLI-0136</v>
      </c>
      <c r="B65">
        <f>IF(Clients!H58="","",Clients!H58)</f>
        <v>4.5999999999999996</v>
      </c>
      <c r="C65" s="25">
        <f>COUNTIFS(Support_Tickets!$B$2:$B$4001,A65,Support_Tickets!$J$2:$J$4001,"No")</f>
        <v>12</v>
      </c>
    </row>
    <row r="66" spans="1:3" x14ac:dyDescent="0.35">
      <c r="A66" s="27" t="str">
        <f>Clients!A59</f>
        <v>CLI-0050</v>
      </c>
      <c r="B66">
        <f>IF(Clients!H59="","",Clients!H59)</f>
        <v>4.0999999999999996</v>
      </c>
      <c r="C66" s="25">
        <f>COUNTIFS(Support_Tickets!$B$2:$B$4001,A66,Support_Tickets!$J$2:$J$4001,"No")</f>
        <v>7</v>
      </c>
    </row>
    <row r="67" spans="1:3" x14ac:dyDescent="0.35">
      <c r="A67" s="27" t="str">
        <f>Clients!A60</f>
        <v>CLI-0032</v>
      </c>
      <c r="B67">
        <f>IF(Clients!H60="","",Clients!H60)</f>
        <v>4.9000000000000004</v>
      </c>
      <c r="C67" s="25">
        <f>COUNTIFS(Support_Tickets!$B$2:$B$4001,A67,Support_Tickets!$J$2:$J$4001,"No")</f>
        <v>8</v>
      </c>
    </row>
    <row r="68" spans="1:3" x14ac:dyDescent="0.35">
      <c r="A68" s="27" t="str">
        <f>Clients!A61</f>
        <v>CLI-0161</v>
      </c>
      <c r="B68" t="str">
        <f>IF(Clients!H61="","",Clients!H61)</f>
        <v/>
      </c>
      <c r="C68" s="25">
        <f>COUNTIFS(Support_Tickets!$B$2:$B$4001,A68,Support_Tickets!$J$2:$J$4001,"No")</f>
        <v>7</v>
      </c>
    </row>
    <row r="69" spans="1:3" x14ac:dyDescent="0.35">
      <c r="A69" s="27" t="str">
        <f>Clients!A62</f>
        <v>CLI-0044</v>
      </c>
      <c r="B69">
        <f>IF(Clients!H62="","",Clients!H62)</f>
        <v>3.4</v>
      </c>
      <c r="C69" s="25">
        <f>COUNTIFS(Support_Tickets!$B$2:$B$4001,A69,Support_Tickets!$J$2:$J$4001,"No")</f>
        <v>8</v>
      </c>
    </row>
    <row r="70" spans="1:3" x14ac:dyDescent="0.35">
      <c r="A70" s="27" t="str">
        <f>Clients!A63</f>
        <v>CLI-0085</v>
      </c>
      <c r="B70">
        <f>IF(Clients!H63="","",Clients!H63)</f>
        <v>3.5</v>
      </c>
      <c r="C70" s="25">
        <f>COUNTIFS(Support_Tickets!$B$2:$B$4001,A70,Support_Tickets!$J$2:$J$4001,"No")</f>
        <v>8</v>
      </c>
    </row>
    <row r="71" spans="1:3" x14ac:dyDescent="0.35">
      <c r="A71" s="27" t="str">
        <f>Clients!A64</f>
        <v>CLI-0065</v>
      </c>
      <c r="B71" t="str">
        <f>IF(Clients!H64="","",Clients!H64)</f>
        <v/>
      </c>
      <c r="C71" s="25">
        <f>COUNTIFS(Support_Tickets!$B$2:$B$4001,A71,Support_Tickets!$J$2:$J$4001,"No")</f>
        <v>12</v>
      </c>
    </row>
    <row r="72" spans="1:3" x14ac:dyDescent="0.35">
      <c r="A72" s="27" t="str">
        <f>Clients!A65</f>
        <v>CLI-0037</v>
      </c>
      <c r="B72">
        <f>IF(Clients!H65="","",Clients!H65)</f>
        <v>3.5</v>
      </c>
      <c r="C72" s="25">
        <f>COUNTIFS(Support_Tickets!$B$2:$B$4001,A72,Support_Tickets!$J$2:$J$4001,"No")</f>
        <v>3</v>
      </c>
    </row>
    <row r="73" spans="1:3" x14ac:dyDescent="0.35">
      <c r="A73" s="27" t="str">
        <f>Clients!A66</f>
        <v>CLI-0172</v>
      </c>
      <c r="B73">
        <f>IF(Clients!H66="","",Clients!H66)</f>
        <v>4.2</v>
      </c>
      <c r="C73" s="25">
        <f>COUNTIFS(Support_Tickets!$B$2:$B$4001,A73,Support_Tickets!$J$2:$J$4001,"No")</f>
        <v>7</v>
      </c>
    </row>
    <row r="74" spans="1:3" x14ac:dyDescent="0.35">
      <c r="A74" s="27" t="str">
        <f>Clients!A67</f>
        <v>CLI-0112</v>
      </c>
      <c r="B74">
        <f>IF(Clients!H67="","",Clients!H67)</f>
        <v>4.0999999999999996</v>
      </c>
      <c r="C74" s="25">
        <f>COUNTIFS(Support_Tickets!$B$2:$B$4001,A74,Support_Tickets!$J$2:$J$4001,"No")</f>
        <v>8</v>
      </c>
    </row>
    <row r="75" spans="1:3" x14ac:dyDescent="0.35">
      <c r="A75" s="27" t="str">
        <f>Clients!A68</f>
        <v>CLI-0177</v>
      </c>
      <c r="B75">
        <f>IF(Clients!H68="","",Clients!H68)</f>
        <v>4.5</v>
      </c>
      <c r="C75" s="25">
        <f>COUNTIFS(Support_Tickets!$B$2:$B$4001,A75,Support_Tickets!$J$2:$J$4001,"No")</f>
        <v>4</v>
      </c>
    </row>
    <row r="76" spans="1:3" x14ac:dyDescent="0.35">
      <c r="A76" s="27" t="str">
        <f>Clients!A69</f>
        <v>CLI-0016</v>
      </c>
      <c r="B76">
        <f>IF(Clients!H69="","",Clients!H69)</f>
        <v>3.1</v>
      </c>
      <c r="C76" s="25">
        <f>COUNTIFS(Support_Tickets!$B$2:$B$4001,A76,Support_Tickets!$J$2:$J$4001,"No")</f>
        <v>12</v>
      </c>
    </row>
    <row r="77" spans="1:3" x14ac:dyDescent="0.35">
      <c r="A77" s="27" t="str">
        <f>Clients!A70</f>
        <v>CLI-0200</v>
      </c>
      <c r="B77">
        <f>IF(Clients!H70="","",Clients!H70)</f>
        <v>2.6</v>
      </c>
      <c r="C77" s="25">
        <f>COUNTIFS(Support_Tickets!$B$2:$B$4001,A77,Support_Tickets!$J$2:$J$4001,"No")</f>
        <v>11</v>
      </c>
    </row>
    <row r="78" spans="1:3" x14ac:dyDescent="0.35">
      <c r="A78" s="27" t="str">
        <f>Clients!A71</f>
        <v>CLI-0153</v>
      </c>
      <c r="B78">
        <f>IF(Clients!H71="","",Clients!H71)</f>
        <v>4.4000000000000004</v>
      </c>
      <c r="C78" s="25">
        <f>COUNTIFS(Support_Tickets!$B$2:$B$4001,A78,Support_Tickets!$J$2:$J$4001,"No")</f>
        <v>8</v>
      </c>
    </row>
    <row r="79" spans="1:3" x14ac:dyDescent="0.35">
      <c r="A79" s="27" t="str">
        <f>Clients!A72</f>
        <v>CLI-0292</v>
      </c>
      <c r="B79">
        <f>IF(Clients!H72="","",Clients!H72)</f>
        <v>4.7</v>
      </c>
      <c r="C79" s="25">
        <f>COUNTIFS(Support_Tickets!$B$2:$B$4001,A79,Support_Tickets!$J$2:$J$4001,"No")</f>
        <v>8</v>
      </c>
    </row>
    <row r="80" spans="1:3" x14ac:dyDescent="0.35">
      <c r="A80" s="27" t="str">
        <f>Clients!A73</f>
        <v>CLI-0082</v>
      </c>
      <c r="B80">
        <f>IF(Clients!H73="","",Clients!H73)</f>
        <v>4.5999999999999996</v>
      </c>
      <c r="C80" s="25">
        <f>COUNTIFS(Support_Tickets!$B$2:$B$4001,A80,Support_Tickets!$J$2:$J$4001,"No")</f>
        <v>15</v>
      </c>
    </row>
    <row r="81" spans="1:3" x14ac:dyDescent="0.35">
      <c r="A81" s="27" t="str">
        <f>Clients!A74</f>
        <v>CLI-0165</v>
      </c>
      <c r="B81">
        <f>IF(Clients!H74="","",Clients!H74)</f>
        <v>3.6</v>
      </c>
      <c r="C81" s="25">
        <f>COUNTIFS(Support_Tickets!$B$2:$B$4001,A81,Support_Tickets!$J$2:$J$4001,"No")</f>
        <v>6</v>
      </c>
    </row>
    <row r="82" spans="1:3" x14ac:dyDescent="0.35">
      <c r="A82" s="27" t="str">
        <f>Clients!A75</f>
        <v>CLI-0273</v>
      </c>
      <c r="B82">
        <f>IF(Clients!H75="","",Clients!H75)</f>
        <v>3.3</v>
      </c>
      <c r="C82" s="25">
        <f>COUNTIFS(Support_Tickets!$B$2:$B$4001,A82,Support_Tickets!$J$2:$J$4001,"No")</f>
        <v>8</v>
      </c>
    </row>
    <row r="83" spans="1:3" x14ac:dyDescent="0.35">
      <c r="A83" s="27" t="str">
        <f>Clients!A76</f>
        <v>CLI-0076</v>
      </c>
      <c r="B83">
        <f>IF(Clients!H76="","",Clients!H76)</f>
        <v>2.9</v>
      </c>
      <c r="C83" s="25">
        <f>COUNTIFS(Support_Tickets!$B$2:$B$4001,A83,Support_Tickets!$J$2:$J$4001,"No")</f>
        <v>6</v>
      </c>
    </row>
    <row r="84" spans="1:3" x14ac:dyDescent="0.35">
      <c r="A84" s="27" t="str">
        <f>Clients!A77</f>
        <v>CLI-0272</v>
      </c>
      <c r="B84">
        <f>IF(Clients!H77="","",Clients!H77)</f>
        <v>3.4</v>
      </c>
      <c r="C84" s="25">
        <f>COUNTIFS(Support_Tickets!$B$2:$B$4001,A84,Support_Tickets!$J$2:$J$4001,"No")</f>
        <v>8</v>
      </c>
    </row>
    <row r="85" spans="1:3" x14ac:dyDescent="0.35">
      <c r="A85" s="27" t="str">
        <f>Clients!A78</f>
        <v>CLI-0034</v>
      </c>
      <c r="B85">
        <f>IF(Clients!H78="","",Clients!H78)</f>
        <v>4.3</v>
      </c>
      <c r="C85" s="25">
        <f>COUNTIFS(Support_Tickets!$B$2:$B$4001,A85,Support_Tickets!$J$2:$J$4001,"No")</f>
        <v>6</v>
      </c>
    </row>
    <row r="86" spans="1:3" x14ac:dyDescent="0.35">
      <c r="A86" s="27" t="str">
        <f>Clients!A79</f>
        <v>CLI-0043</v>
      </c>
      <c r="B86">
        <f>IF(Clients!H79="","",Clients!H79)</f>
        <v>4.8</v>
      </c>
      <c r="C86" s="25">
        <f>COUNTIFS(Support_Tickets!$B$2:$B$4001,A86,Support_Tickets!$J$2:$J$4001,"No")</f>
        <v>8</v>
      </c>
    </row>
    <row r="87" spans="1:3" x14ac:dyDescent="0.35">
      <c r="A87" s="27" t="str">
        <f>Clients!A80</f>
        <v>CLI-0284</v>
      </c>
      <c r="B87">
        <f>IF(Clients!H80="","",Clients!H80)</f>
        <v>4.7</v>
      </c>
      <c r="C87" s="25">
        <f>COUNTIFS(Support_Tickets!$B$2:$B$4001,A87,Support_Tickets!$J$2:$J$4001,"No")</f>
        <v>9</v>
      </c>
    </row>
    <row r="88" spans="1:3" x14ac:dyDescent="0.35">
      <c r="A88" s="27" t="str">
        <f>Clients!A81</f>
        <v>CLI-0086</v>
      </c>
      <c r="B88" t="str">
        <f>IF(Clients!H81="","",Clients!H81)</f>
        <v/>
      </c>
      <c r="C88" s="25">
        <f>COUNTIFS(Support_Tickets!$B$2:$B$4001,A88,Support_Tickets!$J$2:$J$4001,"No")</f>
        <v>10</v>
      </c>
    </row>
    <row r="89" spans="1:3" x14ac:dyDescent="0.35">
      <c r="A89" s="27" t="str">
        <f>Clients!A82</f>
        <v>CLI-0120</v>
      </c>
      <c r="B89">
        <f>IF(Clients!H82="","",Clients!H82)</f>
        <v>3.9</v>
      </c>
      <c r="C89" s="25">
        <f>COUNTIFS(Support_Tickets!$B$2:$B$4001,A89,Support_Tickets!$J$2:$J$4001,"No")</f>
        <v>7</v>
      </c>
    </row>
    <row r="90" spans="1:3" x14ac:dyDescent="0.35">
      <c r="A90" s="27" t="str">
        <f>Clients!A83</f>
        <v>CLI-0215</v>
      </c>
      <c r="B90">
        <f>IF(Clients!H83="","",Clients!H83)</f>
        <v>4.5</v>
      </c>
      <c r="C90" s="25">
        <f>COUNTIFS(Support_Tickets!$B$2:$B$4001,A90,Support_Tickets!$J$2:$J$4001,"No")</f>
        <v>11</v>
      </c>
    </row>
    <row r="91" spans="1:3" x14ac:dyDescent="0.35">
      <c r="A91" s="27" t="str">
        <f>Clients!A84</f>
        <v>CLI-0193</v>
      </c>
      <c r="B91">
        <f>IF(Clients!H84="","",Clients!H84)</f>
        <v>3.1</v>
      </c>
      <c r="C91" s="25">
        <f>COUNTIFS(Support_Tickets!$B$2:$B$4001,A91,Support_Tickets!$J$2:$J$4001,"No")</f>
        <v>10</v>
      </c>
    </row>
    <row r="92" spans="1:3" x14ac:dyDescent="0.35">
      <c r="A92" s="27" t="str">
        <f>Clients!A85</f>
        <v>CLI-0250</v>
      </c>
      <c r="B92">
        <f>IF(Clients!H85="","",Clients!H85)</f>
        <v>3.9</v>
      </c>
      <c r="C92" s="25">
        <f>COUNTIFS(Support_Tickets!$B$2:$B$4001,A92,Support_Tickets!$J$2:$J$4001,"No")</f>
        <v>8</v>
      </c>
    </row>
    <row r="93" spans="1:3" x14ac:dyDescent="0.35">
      <c r="A93" s="27" t="str">
        <f>Clients!A86</f>
        <v>CLI-0191</v>
      </c>
      <c r="B93">
        <f>IF(Clients!H86="","",Clients!H86)</f>
        <v>2.7</v>
      </c>
      <c r="C93" s="25">
        <f>COUNTIFS(Support_Tickets!$B$2:$B$4001,A93,Support_Tickets!$J$2:$J$4001,"No")</f>
        <v>4</v>
      </c>
    </row>
    <row r="94" spans="1:3" x14ac:dyDescent="0.35">
      <c r="A94" s="27" t="str">
        <f>Clients!A87</f>
        <v>CLI-0051</v>
      </c>
      <c r="B94">
        <f>IF(Clients!H87="","",Clients!H87)</f>
        <v>4.3</v>
      </c>
      <c r="C94" s="25">
        <f>COUNTIFS(Support_Tickets!$B$2:$B$4001,A94,Support_Tickets!$J$2:$J$4001,"No")</f>
        <v>7</v>
      </c>
    </row>
    <row r="95" spans="1:3" x14ac:dyDescent="0.35">
      <c r="A95" s="27" t="str">
        <f>Clients!A88</f>
        <v>CLI-0007</v>
      </c>
      <c r="B95">
        <f>IF(Clients!H88="","",Clients!H88)</f>
        <v>3.4</v>
      </c>
      <c r="C95" s="25">
        <f>COUNTIFS(Support_Tickets!$B$2:$B$4001,A95,Support_Tickets!$J$2:$J$4001,"No")</f>
        <v>5</v>
      </c>
    </row>
    <row r="96" spans="1:3" x14ac:dyDescent="0.35">
      <c r="A96" s="27" t="str">
        <f>Clients!A89</f>
        <v>CLI-0073</v>
      </c>
      <c r="B96">
        <f>IF(Clients!H89="","",Clients!H89)</f>
        <v>4.9000000000000004</v>
      </c>
      <c r="C96" s="25">
        <f>COUNTIFS(Support_Tickets!$B$2:$B$4001,A96,Support_Tickets!$J$2:$J$4001,"No")</f>
        <v>7</v>
      </c>
    </row>
    <row r="97" spans="1:3" x14ac:dyDescent="0.35">
      <c r="A97" s="27" t="str">
        <f>Clients!A90</f>
        <v>CLI-0114</v>
      </c>
      <c r="B97">
        <f>IF(Clients!H90="","",Clients!H90)</f>
        <v>4.5999999999999996</v>
      </c>
      <c r="C97" s="25">
        <f>COUNTIFS(Support_Tickets!$B$2:$B$4001,A97,Support_Tickets!$J$2:$J$4001,"No")</f>
        <v>12</v>
      </c>
    </row>
    <row r="98" spans="1:3" x14ac:dyDescent="0.35">
      <c r="A98" s="27" t="str">
        <f>Clients!A91</f>
        <v>CLI-0169</v>
      </c>
      <c r="B98">
        <f>IF(Clients!H91="","",Clients!H91)</f>
        <v>3.5</v>
      </c>
      <c r="C98" s="25">
        <f>COUNTIFS(Support_Tickets!$B$2:$B$4001,A98,Support_Tickets!$J$2:$J$4001,"No")</f>
        <v>5</v>
      </c>
    </row>
    <row r="99" spans="1:3" x14ac:dyDescent="0.35">
      <c r="A99" s="27" t="str">
        <f>Clients!A92</f>
        <v>CLI-0039</v>
      </c>
      <c r="B99">
        <f>IF(Clients!H92="","",Clients!H92)</f>
        <v>4.0999999999999996</v>
      </c>
      <c r="C99" s="25">
        <f>COUNTIFS(Support_Tickets!$B$2:$B$4001,A99,Support_Tickets!$J$2:$J$4001,"No")</f>
        <v>5</v>
      </c>
    </row>
    <row r="100" spans="1:3" x14ac:dyDescent="0.35">
      <c r="A100" s="27" t="str">
        <f>Clients!A93</f>
        <v>CLI-0063</v>
      </c>
      <c r="B100">
        <f>IF(Clients!H93="","",Clients!H93)</f>
        <v>4.7</v>
      </c>
      <c r="C100" s="25">
        <f>COUNTIFS(Support_Tickets!$B$2:$B$4001,A100,Support_Tickets!$J$2:$J$4001,"No")</f>
        <v>9</v>
      </c>
    </row>
    <row r="101" spans="1:3" x14ac:dyDescent="0.35">
      <c r="A101" s="27" t="str">
        <f>Clients!A94</f>
        <v>CLI-0155</v>
      </c>
      <c r="B101">
        <f>IF(Clients!H94="","",Clients!H94)</f>
        <v>4.8</v>
      </c>
      <c r="C101" s="25">
        <f>COUNTIFS(Support_Tickets!$B$2:$B$4001,A101,Support_Tickets!$J$2:$J$4001,"No")</f>
        <v>11</v>
      </c>
    </row>
    <row r="102" spans="1:3" x14ac:dyDescent="0.35">
      <c r="A102" s="27" t="str">
        <f>Clients!A95</f>
        <v>CLI-0140</v>
      </c>
      <c r="B102">
        <f>IF(Clients!H95="","",Clients!H95)</f>
        <v>3.1</v>
      </c>
      <c r="C102" s="25">
        <f>COUNTIFS(Support_Tickets!$B$2:$B$4001,A102,Support_Tickets!$J$2:$J$4001,"No")</f>
        <v>6</v>
      </c>
    </row>
    <row r="103" spans="1:3" x14ac:dyDescent="0.35">
      <c r="A103" s="27" t="str">
        <f>Clients!A96</f>
        <v>CLI-0145</v>
      </c>
      <c r="B103">
        <f>IF(Clients!H96="","",Clients!H96)</f>
        <v>4.7</v>
      </c>
      <c r="C103" s="25">
        <f>COUNTIFS(Support_Tickets!$B$2:$B$4001,A103,Support_Tickets!$J$2:$J$4001,"No")</f>
        <v>2</v>
      </c>
    </row>
    <row r="104" spans="1:3" x14ac:dyDescent="0.35">
      <c r="A104" s="27" t="str">
        <f>Clients!A97</f>
        <v>CLI-0154</v>
      </c>
      <c r="B104">
        <f>IF(Clients!H97="","",Clients!H97)</f>
        <v>4.7</v>
      </c>
      <c r="C104" s="25">
        <f>COUNTIFS(Support_Tickets!$B$2:$B$4001,A104,Support_Tickets!$J$2:$J$4001,"No")</f>
        <v>5</v>
      </c>
    </row>
    <row r="105" spans="1:3" x14ac:dyDescent="0.35">
      <c r="A105" s="27" t="str">
        <f>Clients!A98</f>
        <v>CLI-0246</v>
      </c>
      <c r="B105">
        <f>IF(Clients!H98="","",Clients!H98)</f>
        <v>3.5</v>
      </c>
      <c r="C105" s="25">
        <f>COUNTIFS(Support_Tickets!$B$2:$B$4001,A105,Support_Tickets!$J$2:$J$4001,"No")</f>
        <v>5</v>
      </c>
    </row>
    <row r="106" spans="1:3" x14ac:dyDescent="0.35">
      <c r="A106" s="27" t="str">
        <f>Clients!A99</f>
        <v>CLI-0197</v>
      </c>
      <c r="B106">
        <f>IF(Clients!H99="","",Clients!H99)</f>
        <v>4.9000000000000004</v>
      </c>
      <c r="C106" s="25">
        <f>COUNTIFS(Support_Tickets!$B$2:$B$4001,A106,Support_Tickets!$J$2:$J$4001,"No")</f>
        <v>12</v>
      </c>
    </row>
    <row r="107" spans="1:3" x14ac:dyDescent="0.35">
      <c r="A107" s="27" t="str">
        <f>Clients!A100</f>
        <v>CLI-0156</v>
      </c>
      <c r="B107">
        <f>IF(Clients!H100="","",Clients!H100)</f>
        <v>3.4</v>
      </c>
      <c r="C107" s="25">
        <f>COUNTIFS(Support_Tickets!$B$2:$B$4001,A107,Support_Tickets!$J$2:$J$4001,"No")</f>
        <v>4</v>
      </c>
    </row>
    <row r="108" spans="1:3" x14ac:dyDescent="0.35">
      <c r="A108" s="27" t="str">
        <f>Clients!A101</f>
        <v>CLI-0023</v>
      </c>
      <c r="B108" t="str">
        <f>IF(Clients!H101="","",Clients!H101)</f>
        <v/>
      </c>
      <c r="C108" s="25">
        <f>COUNTIFS(Support_Tickets!$B$2:$B$4001,A108,Support_Tickets!$J$2:$J$4001,"No")</f>
        <v>11</v>
      </c>
    </row>
    <row r="109" spans="1:3" x14ac:dyDescent="0.35">
      <c r="A109" s="27" t="str">
        <f>Clients!A102</f>
        <v>CLI-0186</v>
      </c>
      <c r="B109">
        <f>IF(Clients!H102="","",Clients!H102)</f>
        <v>4.0999999999999996</v>
      </c>
      <c r="C109" s="25">
        <f>COUNTIFS(Support_Tickets!$B$2:$B$4001,A109,Support_Tickets!$J$2:$J$4001,"No")</f>
        <v>9</v>
      </c>
    </row>
    <row r="110" spans="1:3" x14ac:dyDescent="0.35">
      <c r="A110" s="27" t="str">
        <f>Clients!A103</f>
        <v>CLI-0143</v>
      </c>
      <c r="B110">
        <f>IF(Clients!H103="","",Clients!H103)</f>
        <v>4.5</v>
      </c>
      <c r="C110" s="25">
        <f>COUNTIFS(Support_Tickets!$B$2:$B$4001,A110,Support_Tickets!$J$2:$J$4001,"No")</f>
        <v>11</v>
      </c>
    </row>
    <row r="111" spans="1:3" x14ac:dyDescent="0.35">
      <c r="A111" s="27" t="str">
        <f>Clients!A104</f>
        <v>CLI-0220</v>
      </c>
      <c r="B111">
        <f>IF(Clients!H104="","",Clients!H104)</f>
        <v>4.8</v>
      </c>
      <c r="C111" s="25">
        <f>COUNTIFS(Support_Tickets!$B$2:$B$4001,A111,Support_Tickets!$J$2:$J$4001,"No")</f>
        <v>8</v>
      </c>
    </row>
    <row r="112" spans="1:3" x14ac:dyDescent="0.35">
      <c r="A112" s="27" t="str">
        <f>Clients!A105</f>
        <v>CLI-0095</v>
      </c>
      <c r="B112">
        <f>IF(Clients!H105="","",Clients!H105)</f>
        <v>2.9</v>
      </c>
      <c r="C112" s="25">
        <f>COUNTIFS(Support_Tickets!$B$2:$B$4001,A112,Support_Tickets!$J$2:$J$4001,"No")</f>
        <v>2</v>
      </c>
    </row>
    <row r="113" spans="1:3" x14ac:dyDescent="0.35">
      <c r="A113" s="27" t="str">
        <f>Clients!A106</f>
        <v>CLI-0279</v>
      </c>
      <c r="B113">
        <f>IF(Clients!H106="","",Clients!H106)</f>
        <v>4.4000000000000004</v>
      </c>
      <c r="C113" s="25">
        <f>COUNTIFS(Support_Tickets!$B$2:$B$4001,A113,Support_Tickets!$J$2:$J$4001,"No")</f>
        <v>12</v>
      </c>
    </row>
    <row r="114" spans="1:3" x14ac:dyDescent="0.35">
      <c r="A114" s="27" t="str">
        <f>Clients!A107</f>
        <v>CLI-0300</v>
      </c>
      <c r="B114">
        <f>IF(Clients!H107="","",Clients!H107)</f>
        <v>3.3</v>
      </c>
      <c r="C114" s="25">
        <f>COUNTIFS(Support_Tickets!$B$2:$B$4001,A114,Support_Tickets!$J$2:$J$4001,"No")</f>
        <v>11</v>
      </c>
    </row>
    <row r="115" spans="1:3" x14ac:dyDescent="0.35">
      <c r="A115" s="27" t="str">
        <f>Clients!A108</f>
        <v>CLI-0291</v>
      </c>
      <c r="B115">
        <f>IF(Clients!H108="","",Clients!H108)</f>
        <v>4.3</v>
      </c>
      <c r="C115" s="25">
        <f>COUNTIFS(Support_Tickets!$B$2:$B$4001,A115,Support_Tickets!$J$2:$J$4001,"No")</f>
        <v>5</v>
      </c>
    </row>
    <row r="116" spans="1:3" x14ac:dyDescent="0.35">
      <c r="A116" s="27" t="str">
        <f>Clients!A109</f>
        <v>CLI-0290</v>
      </c>
      <c r="B116">
        <f>IF(Clients!H109="","",Clients!H109)</f>
        <v>4</v>
      </c>
      <c r="C116" s="25">
        <f>COUNTIFS(Support_Tickets!$B$2:$B$4001,A116,Support_Tickets!$J$2:$J$4001,"No")</f>
        <v>7</v>
      </c>
    </row>
    <row r="117" spans="1:3" x14ac:dyDescent="0.35">
      <c r="A117" s="27" t="str">
        <f>Clients!A110</f>
        <v>CLI-0110</v>
      </c>
      <c r="B117">
        <f>IF(Clients!H110="","",Clients!H110)</f>
        <v>2.8</v>
      </c>
      <c r="C117" s="25">
        <f>COUNTIFS(Support_Tickets!$B$2:$B$4001,A117,Support_Tickets!$J$2:$J$4001,"No")</f>
        <v>3</v>
      </c>
    </row>
    <row r="118" spans="1:3" x14ac:dyDescent="0.35">
      <c r="A118" s="27" t="str">
        <f>Clients!A111</f>
        <v>CLI-0253</v>
      </c>
      <c r="B118">
        <f>IF(Clients!H111="","",Clients!H111)</f>
        <v>3.1</v>
      </c>
      <c r="C118" s="25">
        <f>COUNTIFS(Support_Tickets!$B$2:$B$4001,A118,Support_Tickets!$J$2:$J$4001,"No")</f>
        <v>8</v>
      </c>
    </row>
    <row r="119" spans="1:3" x14ac:dyDescent="0.35">
      <c r="A119" s="27" t="str">
        <f>Clients!A112</f>
        <v>CLI-0167</v>
      </c>
      <c r="B119">
        <f>IF(Clients!H112="","",Clients!H112)</f>
        <v>2.9</v>
      </c>
      <c r="C119" s="25">
        <f>COUNTIFS(Support_Tickets!$B$2:$B$4001,A119,Support_Tickets!$J$2:$J$4001,"No")</f>
        <v>4</v>
      </c>
    </row>
    <row r="120" spans="1:3" x14ac:dyDescent="0.35">
      <c r="A120" s="27" t="str">
        <f>Clients!A113</f>
        <v>CLI-0157</v>
      </c>
      <c r="B120">
        <f>IF(Clients!H113="","",Clients!H113)</f>
        <v>4.0999999999999996</v>
      </c>
      <c r="C120" s="25">
        <f>COUNTIFS(Support_Tickets!$B$2:$B$4001,A120,Support_Tickets!$J$2:$J$4001,"No")</f>
        <v>0</v>
      </c>
    </row>
    <row r="121" spans="1:3" x14ac:dyDescent="0.35">
      <c r="A121" s="27" t="str">
        <f>Clients!A114</f>
        <v>CLI-0162</v>
      </c>
      <c r="B121">
        <f>IF(Clients!H114="","",Clients!H114)</f>
        <v>2.9</v>
      </c>
      <c r="C121" s="25">
        <f>COUNTIFS(Support_Tickets!$B$2:$B$4001,A121,Support_Tickets!$J$2:$J$4001,"No")</f>
        <v>11</v>
      </c>
    </row>
    <row r="122" spans="1:3" x14ac:dyDescent="0.35">
      <c r="A122" s="27" t="str">
        <f>Clients!A115</f>
        <v>CLI-0035</v>
      </c>
      <c r="B122">
        <f>IF(Clients!H115="","",Clients!H115)</f>
        <v>2.7</v>
      </c>
      <c r="C122" s="25">
        <f>COUNTIFS(Support_Tickets!$B$2:$B$4001,A122,Support_Tickets!$J$2:$J$4001,"No")</f>
        <v>3</v>
      </c>
    </row>
    <row r="123" spans="1:3" x14ac:dyDescent="0.35">
      <c r="A123" s="27" t="str">
        <f>Clients!A116</f>
        <v>CLI-0283</v>
      </c>
      <c r="B123">
        <f>IF(Clients!H116="","",Clients!H116)</f>
        <v>4.2</v>
      </c>
      <c r="C123" s="25">
        <f>COUNTIFS(Support_Tickets!$B$2:$B$4001,A123,Support_Tickets!$J$2:$J$4001,"No")</f>
        <v>5</v>
      </c>
    </row>
    <row r="124" spans="1:3" x14ac:dyDescent="0.35">
      <c r="A124" s="27" t="str">
        <f>Clients!A117</f>
        <v>CLI-0013</v>
      </c>
      <c r="B124">
        <f>IF(Clients!H117="","",Clients!H117)</f>
        <v>3.1</v>
      </c>
      <c r="C124" s="25">
        <f>COUNTIFS(Support_Tickets!$B$2:$B$4001,A124,Support_Tickets!$J$2:$J$4001,"No")</f>
        <v>11</v>
      </c>
    </row>
    <row r="125" spans="1:3" x14ac:dyDescent="0.35">
      <c r="A125" s="27" t="str">
        <f>Clients!A118</f>
        <v>CLI-0105</v>
      </c>
      <c r="B125">
        <f>IF(Clients!H118="","",Clients!H118)</f>
        <v>3.8</v>
      </c>
      <c r="C125" s="25">
        <f>COUNTIFS(Support_Tickets!$B$2:$B$4001,A125,Support_Tickets!$J$2:$J$4001,"No")</f>
        <v>6</v>
      </c>
    </row>
    <row r="126" spans="1:3" x14ac:dyDescent="0.35">
      <c r="A126" s="27" t="str">
        <f>Clients!A119</f>
        <v>CLI-0259</v>
      </c>
      <c r="B126">
        <f>IF(Clients!H119="","",Clients!H119)</f>
        <v>3.1</v>
      </c>
      <c r="C126" s="25">
        <f>COUNTIFS(Support_Tickets!$B$2:$B$4001,A126,Support_Tickets!$J$2:$J$4001,"No")</f>
        <v>8</v>
      </c>
    </row>
    <row r="127" spans="1:3" x14ac:dyDescent="0.35">
      <c r="A127" s="27" t="str">
        <f>Clients!A120</f>
        <v>CLI-0277</v>
      </c>
      <c r="B127">
        <f>IF(Clients!H120="","",Clients!H120)</f>
        <v>2.7</v>
      </c>
      <c r="C127" s="25">
        <f>COUNTIFS(Support_Tickets!$B$2:$B$4001,A127,Support_Tickets!$J$2:$J$4001,"No")</f>
        <v>9</v>
      </c>
    </row>
    <row r="128" spans="1:3" x14ac:dyDescent="0.35">
      <c r="A128" s="27" t="str">
        <f>Clients!A121</f>
        <v>CLI-0268</v>
      </c>
      <c r="B128">
        <f>IF(Clients!H121="","",Clients!H121)</f>
        <v>4.5999999999999996</v>
      </c>
      <c r="C128" s="25">
        <f>COUNTIFS(Support_Tickets!$B$2:$B$4001,A128,Support_Tickets!$J$2:$J$4001,"No")</f>
        <v>3</v>
      </c>
    </row>
    <row r="129" spans="1:3" x14ac:dyDescent="0.35">
      <c r="A129" s="27" t="str">
        <f>Clients!A122</f>
        <v>CLI-0017</v>
      </c>
      <c r="B129">
        <f>IF(Clients!H122="","",Clients!H122)</f>
        <v>3</v>
      </c>
      <c r="C129" s="25">
        <f>COUNTIFS(Support_Tickets!$B$2:$B$4001,A129,Support_Tickets!$J$2:$J$4001,"No")</f>
        <v>17</v>
      </c>
    </row>
    <row r="130" spans="1:3" x14ac:dyDescent="0.35">
      <c r="A130" s="27" t="str">
        <f>Clients!A123</f>
        <v>CLI-0261</v>
      </c>
      <c r="B130">
        <f>IF(Clients!H123="","",Clients!H123)</f>
        <v>4.5999999999999996</v>
      </c>
      <c r="C130" s="25">
        <f>COUNTIFS(Support_Tickets!$B$2:$B$4001,A130,Support_Tickets!$J$2:$J$4001,"No")</f>
        <v>8</v>
      </c>
    </row>
    <row r="131" spans="1:3" x14ac:dyDescent="0.35">
      <c r="A131" s="27" t="str">
        <f>Clients!A124</f>
        <v>CLI-0226</v>
      </c>
      <c r="B131">
        <f>IF(Clients!H124="","",Clients!H124)</f>
        <v>4.2</v>
      </c>
      <c r="C131" s="25">
        <f>COUNTIFS(Support_Tickets!$B$2:$B$4001,A131,Support_Tickets!$J$2:$J$4001,"No")</f>
        <v>6</v>
      </c>
    </row>
    <row r="132" spans="1:3" x14ac:dyDescent="0.35">
      <c r="A132" s="27" t="str">
        <f>Clients!A125</f>
        <v>CLI-0058</v>
      </c>
      <c r="B132">
        <f>IF(Clients!H125="","",Clients!H125)</f>
        <v>3.7</v>
      </c>
      <c r="C132" s="25">
        <f>COUNTIFS(Support_Tickets!$B$2:$B$4001,A132,Support_Tickets!$J$2:$J$4001,"No")</f>
        <v>6</v>
      </c>
    </row>
    <row r="133" spans="1:3" x14ac:dyDescent="0.35">
      <c r="A133" s="27" t="str">
        <f>Clients!A126</f>
        <v>CLI-0224</v>
      </c>
      <c r="B133">
        <f>IF(Clients!H126="","",Clients!H126)</f>
        <v>3</v>
      </c>
      <c r="C133" s="25">
        <f>COUNTIFS(Support_Tickets!$B$2:$B$4001,A133,Support_Tickets!$J$2:$J$4001,"No")</f>
        <v>9</v>
      </c>
    </row>
    <row r="134" spans="1:3" x14ac:dyDescent="0.35">
      <c r="A134" s="27" t="str">
        <f>Clients!A127</f>
        <v>CLI-0020</v>
      </c>
      <c r="B134">
        <f>IF(Clients!H127="","",Clients!H127)</f>
        <v>3.2</v>
      </c>
      <c r="C134" s="25">
        <f>COUNTIFS(Support_Tickets!$B$2:$B$4001,A134,Support_Tickets!$J$2:$J$4001,"No")</f>
        <v>12</v>
      </c>
    </row>
    <row r="135" spans="1:3" x14ac:dyDescent="0.35">
      <c r="A135" s="27" t="str">
        <f>Clients!A128</f>
        <v>CLI-0137</v>
      </c>
      <c r="B135">
        <f>IF(Clients!H128="","",Clients!H128)</f>
        <v>2.8</v>
      </c>
      <c r="C135" s="25">
        <f>COUNTIFS(Support_Tickets!$B$2:$B$4001,A135,Support_Tickets!$J$2:$J$4001,"No")</f>
        <v>8</v>
      </c>
    </row>
    <row r="136" spans="1:3" x14ac:dyDescent="0.35">
      <c r="A136" s="27" t="str">
        <f>Clients!A129</f>
        <v>CLI-0182</v>
      </c>
      <c r="B136">
        <f>IF(Clients!H129="","",Clients!H129)</f>
        <v>4.4000000000000004</v>
      </c>
      <c r="C136" s="25">
        <f>COUNTIFS(Support_Tickets!$B$2:$B$4001,A136,Support_Tickets!$J$2:$J$4001,"No")</f>
        <v>9</v>
      </c>
    </row>
    <row r="137" spans="1:3" x14ac:dyDescent="0.35">
      <c r="A137" s="27" t="str">
        <f>Clients!A130</f>
        <v>CLI-0108</v>
      </c>
      <c r="B137">
        <f>IF(Clients!H130="","",Clients!H130)</f>
        <v>3.5</v>
      </c>
      <c r="C137" s="25">
        <f>COUNTIFS(Support_Tickets!$B$2:$B$4001,A137,Support_Tickets!$J$2:$J$4001,"No")</f>
        <v>13</v>
      </c>
    </row>
    <row r="138" spans="1:3" x14ac:dyDescent="0.35">
      <c r="A138" s="27" t="str">
        <f>Clients!A131</f>
        <v>CLI-0252</v>
      </c>
      <c r="B138">
        <f>IF(Clients!H131="","",Clients!H131)</f>
        <v>4.8</v>
      </c>
      <c r="C138" s="25">
        <f>COUNTIFS(Support_Tickets!$B$2:$B$4001,A138,Support_Tickets!$J$2:$J$4001,"No")</f>
        <v>0</v>
      </c>
    </row>
    <row r="139" spans="1:3" x14ac:dyDescent="0.35">
      <c r="A139" s="27" t="str">
        <f>Clients!A132</f>
        <v>CLI-0166</v>
      </c>
      <c r="B139">
        <f>IF(Clients!H132="","",Clients!H132)</f>
        <v>3.2</v>
      </c>
      <c r="C139" s="25">
        <f>COUNTIFS(Support_Tickets!$B$2:$B$4001,A139,Support_Tickets!$J$2:$J$4001,"No")</f>
        <v>11</v>
      </c>
    </row>
    <row r="140" spans="1:3" x14ac:dyDescent="0.35">
      <c r="A140" s="27" t="str">
        <f>Clients!A133</f>
        <v>CLI-0276</v>
      </c>
      <c r="B140">
        <f>IF(Clients!H133="","",Clients!H133)</f>
        <v>4.3</v>
      </c>
      <c r="C140" s="25">
        <f>COUNTIFS(Support_Tickets!$B$2:$B$4001,A140,Support_Tickets!$J$2:$J$4001,"No")</f>
        <v>6</v>
      </c>
    </row>
    <row r="141" spans="1:3" x14ac:dyDescent="0.35">
      <c r="A141" s="27" t="str">
        <f>Clients!A134</f>
        <v>CLI-0144</v>
      </c>
      <c r="B141">
        <f>IF(Clients!H134="","",Clients!H134)</f>
        <v>3.6</v>
      </c>
      <c r="C141" s="25">
        <f>COUNTIFS(Support_Tickets!$B$2:$B$4001,A141,Support_Tickets!$J$2:$J$4001,"No")</f>
        <v>9</v>
      </c>
    </row>
    <row r="142" spans="1:3" x14ac:dyDescent="0.35">
      <c r="A142" s="27" t="str">
        <f>Clients!A135</f>
        <v>CLI-0094</v>
      </c>
      <c r="B142">
        <f>IF(Clients!H135="","",Clients!H135)</f>
        <v>3.5</v>
      </c>
      <c r="C142" s="25">
        <f>COUNTIFS(Support_Tickets!$B$2:$B$4001,A142,Support_Tickets!$J$2:$J$4001,"No")</f>
        <v>6</v>
      </c>
    </row>
    <row r="143" spans="1:3" x14ac:dyDescent="0.35">
      <c r="A143" s="27" t="str">
        <f>Clients!A136</f>
        <v>CLI-0251</v>
      </c>
      <c r="B143">
        <f>IF(Clients!H136="","",Clients!H136)</f>
        <v>3.8</v>
      </c>
      <c r="C143" s="25">
        <f>COUNTIFS(Support_Tickets!$B$2:$B$4001,A143,Support_Tickets!$J$2:$J$4001,"No")</f>
        <v>7</v>
      </c>
    </row>
    <row r="144" spans="1:3" x14ac:dyDescent="0.35">
      <c r="A144" s="27" t="str">
        <f>Clients!A137</f>
        <v>CLI-0121</v>
      </c>
      <c r="B144">
        <f>IF(Clients!H137="","",Clients!H137)</f>
        <v>2.9</v>
      </c>
      <c r="C144" s="25">
        <f>COUNTIFS(Support_Tickets!$B$2:$B$4001,A144,Support_Tickets!$J$2:$J$4001,"No")</f>
        <v>8</v>
      </c>
    </row>
    <row r="145" spans="1:3" x14ac:dyDescent="0.35">
      <c r="A145" s="27" t="str">
        <f>Clients!A138</f>
        <v>CLI-0212</v>
      </c>
      <c r="B145">
        <f>IF(Clients!H138="","",Clients!H138)</f>
        <v>2.7</v>
      </c>
      <c r="C145" s="25">
        <f>COUNTIFS(Support_Tickets!$B$2:$B$4001,A145,Support_Tickets!$J$2:$J$4001,"No")</f>
        <v>7</v>
      </c>
    </row>
    <row r="146" spans="1:3" x14ac:dyDescent="0.35">
      <c r="A146" s="27" t="str">
        <f>Clients!A139</f>
        <v>CLI-0204</v>
      </c>
      <c r="B146">
        <f>IF(Clients!H139="","",Clients!H139)</f>
        <v>3.1</v>
      </c>
      <c r="C146" s="25">
        <f>COUNTIFS(Support_Tickets!$B$2:$B$4001,A146,Support_Tickets!$J$2:$J$4001,"No")</f>
        <v>10</v>
      </c>
    </row>
    <row r="147" spans="1:3" x14ac:dyDescent="0.35">
      <c r="A147" s="27" t="str">
        <f>Clients!A140</f>
        <v>CLI-0201</v>
      </c>
      <c r="B147">
        <f>IF(Clients!H140="","",Clients!H140)</f>
        <v>3.3</v>
      </c>
      <c r="C147" s="25">
        <f>COUNTIFS(Support_Tickets!$B$2:$B$4001,A147,Support_Tickets!$J$2:$J$4001,"No")</f>
        <v>12</v>
      </c>
    </row>
    <row r="148" spans="1:3" x14ac:dyDescent="0.35">
      <c r="A148" s="27" t="str">
        <f>Clients!A141</f>
        <v>CLI-0141</v>
      </c>
      <c r="B148">
        <f>IF(Clients!H141="","",Clients!H141)</f>
        <v>2.9</v>
      </c>
      <c r="C148" s="25">
        <f>COUNTIFS(Support_Tickets!$B$2:$B$4001,A148,Support_Tickets!$J$2:$J$4001,"No")</f>
        <v>8</v>
      </c>
    </row>
    <row r="149" spans="1:3" x14ac:dyDescent="0.35">
      <c r="A149" s="27" t="str">
        <f>Clients!A142</f>
        <v>CLI-0048</v>
      </c>
      <c r="B149">
        <f>IF(Clients!H142="","",Clients!H142)</f>
        <v>3.4</v>
      </c>
      <c r="C149" s="25">
        <f>COUNTIFS(Support_Tickets!$B$2:$B$4001,A149,Support_Tickets!$J$2:$J$4001,"No")</f>
        <v>4</v>
      </c>
    </row>
    <row r="150" spans="1:3" x14ac:dyDescent="0.35">
      <c r="A150" s="27" t="str">
        <f>Clients!A143</f>
        <v>CLI-0247</v>
      </c>
      <c r="B150">
        <f>IF(Clients!H143="","",Clients!H143)</f>
        <v>3.3</v>
      </c>
      <c r="C150" s="25">
        <f>COUNTIFS(Support_Tickets!$B$2:$B$4001,A150,Support_Tickets!$J$2:$J$4001,"No")</f>
        <v>8</v>
      </c>
    </row>
    <row r="151" spans="1:3" x14ac:dyDescent="0.35">
      <c r="A151" s="27" t="str">
        <f>Clients!A144</f>
        <v>CLI-0093</v>
      </c>
      <c r="B151">
        <f>IF(Clients!H144="","",Clients!H144)</f>
        <v>4.7</v>
      </c>
      <c r="C151" s="25">
        <f>COUNTIFS(Support_Tickets!$B$2:$B$4001,A151,Support_Tickets!$J$2:$J$4001,"No")</f>
        <v>5</v>
      </c>
    </row>
    <row r="152" spans="1:3" x14ac:dyDescent="0.35">
      <c r="A152" s="27" t="str">
        <f>Clients!A145</f>
        <v>CLI-0084</v>
      </c>
      <c r="B152">
        <f>IF(Clients!H145="","",Clients!H145)</f>
        <v>3.4</v>
      </c>
      <c r="C152" s="25">
        <f>COUNTIFS(Support_Tickets!$B$2:$B$4001,A152,Support_Tickets!$J$2:$J$4001,"No")</f>
        <v>10</v>
      </c>
    </row>
    <row r="153" spans="1:3" x14ac:dyDescent="0.35">
      <c r="A153" s="27" t="str">
        <f>Clients!A146</f>
        <v>CLI-0026</v>
      </c>
      <c r="B153">
        <f>IF(Clients!H146="","",Clients!H146)</f>
        <v>2.7</v>
      </c>
      <c r="C153" s="25">
        <f>COUNTIFS(Support_Tickets!$B$2:$B$4001,A153,Support_Tickets!$J$2:$J$4001,"No")</f>
        <v>13</v>
      </c>
    </row>
    <row r="154" spans="1:3" x14ac:dyDescent="0.35">
      <c r="A154" s="27" t="str">
        <f>Clients!A147</f>
        <v>CLI-0149</v>
      </c>
      <c r="B154">
        <f>IF(Clients!H147="","",Clients!H147)</f>
        <v>4.2</v>
      </c>
      <c r="C154" s="25">
        <f>COUNTIFS(Support_Tickets!$B$2:$B$4001,A154,Support_Tickets!$J$2:$J$4001,"No")</f>
        <v>5</v>
      </c>
    </row>
    <row r="155" spans="1:3" x14ac:dyDescent="0.35">
      <c r="A155" s="27" t="str">
        <f>Clients!A148</f>
        <v>CLI-0245</v>
      </c>
      <c r="B155" t="str">
        <f>IF(Clients!H148="","",Clients!H148)</f>
        <v/>
      </c>
      <c r="C155" s="25">
        <f>COUNTIFS(Support_Tickets!$B$2:$B$4001,A155,Support_Tickets!$J$2:$J$4001,"No")</f>
        <v>4</v>
      </c>
    </row>
    <row r="156" spans="1:3" x14ac:dyDescent="0.35">
      <c r="A156" s="27" t="str">
        <f>Clients!A149</f>
        <v>CLI-0054</v>
      </c>
      <c r="B156">
        <f>IF(Clients!H149="","",Clients!H149)</f>
        <v>3.6</v>
      </c>
      <c r="C156" s="25">
        <f>COUNTIFS(Support_Tickets!$B$2:$B$4001,A156,Support_Tickets!$J$2:$J$4001,"No")</f>
        <v>8</v>
      </c>
    </row>
    <row r="157" spans="1:3" x14ac:dyDescent="0.35">
      <c r="A157" s="27" t="str">
        <f>Clients!A150</f>
        <v>CLI-0004</v>
      </c>
      <c r="B157">
        <f>IF(Clients!H150="","",Clients!H150)</f>
        <v>3.2</v>
      </c>
      <c r="C157" s="25">
        <f>COUNTIFS(Support_Tickets!$B$2:$B$4001,A157,Support_Tickets!$J$2:$J$4001,"No")</f>
        <v>8</v>
      </c>
    </row>
    <row r="158" spans="1:3" x14ac:dyDescent="0.35">
      <c r="A158" s="27" t="str">
        <f>Clients!A151</f>
        <v>CLI-0232</v>
      </c>
      <c r="B158">
        <f>IF(Clients!H151="","",Clients!H151)</f>
        <v>4</v>
      </c>
      <c r="C158" s="25">
        <f>COUNTIFS(Support_Tickets!$B$2:$B$4001,A158,Support_Tickets!$J$2:$J$4001,"No")</f>
        <v>7</v>
      </c>
    </row>
    <row r="159" spans="1:3" x14ac:dyDescent="0.35">
      <c r="A159" s="27" t="str">
        <f>Clients!A152</f>
        <v>CLI-0231</v>
      </c>
      <c r="B159">
        <f>IF(Clients!H152="","",Clients!H152)</f>
        <v>4.4000000000000004</v>
      </c>
      <c r="C159" s="25">
        <f>COUNTIFS(Support_Tickets!$B$2:$B$4001,A159,Support_Tickets!$J$2:$J$4001,"No")</f>
        <v>6</v>
      </c>
    </row>
    <row r="160" spans="1:3" x14ac:dyDescent="0.35">
      <c r="A160" s="27" t="str">
        <f>Clients!A153</f>
        <v>CLI-0187</v>
      </c>
      <c r="B160">
        <f>IF(Clients!H153="","",Clients!H153)</f>
        <v>3.4</v>
      </c>
      <c r="C160" s="25">
        <f>COUNTIFS(Support_Tickets!$B$2:$B$4001,A160,Support_Tickets!$J$2:$J$4001,"No")</f>
        <v>11</v>
      </c>
    </row>
    <row r="161" spans="1:3" x14ac:dyDescent="0.35">
      <c r="A161" s="27" t="str">
        <f>Clients!A154</f>
        <v>CLI-0234</v>
      </c>
      <c r="B161">
        <f>IF(Clients!H154="","",Clients!H154)</f>
        <v>4.5999999999999996</v>
      </c>
      <c r="C161" s="25">
        <f>COUNTIFS(Support_Tickets!$B$2:$B$4001,A161,Support_Tickets!$J$2:$J$4001,"No")</f>
        <v>12</v>
      </c>
    </row>
    <row r="162" spans="1:3" x14ac:dyDescent="0.35">
      <c r="A162" s="27" t="str">
        <f>Clients!A155</f>
        <v>CLI-0210</v>
      </c>
      <c r="B162">
        <f>IF(Clients!H155="","",Clients!H155)</f>
        <v>3.6</v>
      </c>
      <c r="C162" s="25">
        <f>COUNTIFS(Support_Tickets!$B$2:$B$4001,A162,Support_Tickets!$J$2:$J$4001,"No")</f>
        <v>6</v>
      </c>
    </row>
    <row r="163" spans="1:3" x14ac:dyDescent="0.35">
      <c r="A163" s="27" t="str">
        <f>Clients!A156</f>
        <v>CLI-0295</v>
      </c>
      <c r="B163">
        <f>IF(Clients!H156="","",Clients!H156)</f>
        <v>3.8</v>
      </c>
      <c r="C163" s="25">
        <f>COUNTIFS(Support_Tickets!$B$2:$B$4001,A163,Support_Tickets!$J$2:$J$4001,"No")</f>
        <v>5</v>
      </c>
    </row>
    <row r="164" spans="1:3" x14ac:dyDescent="0.35">
      <c r="A164" s="27" t="str">
        <f>Clients!A157</f>
        <v>CLI-0101</v>
      </c>
      <c r="B164">
        <f>IF(Clients!H157="","",Clients!H157)</f>
        <v>4.5999999999999996</v>
      </c>
      <c r="C164" s="25">
        <f>COUNTIFS(Support_Tickets!$B$2:$B$4001,A164,Support_Tickets!$J$2:$J$4001,"No")</f>
        <v>8</v>
      </c>
    </row>
    <row r="165" spans="1:3" x14ac:dyDescent="0.35">
      <c r="A165" s="27" t="str">
        <f>Clients!A158</f>
        <v>CLI-0089</v>
      </c>
      <c r="B165">
        <f>IF(Clients!H158="","",Clients!H158)</f>
        <v>4.4000000000000004</v>
      </c>
      <c r="C165" s="25">
        <f>COUNTIFS(Support_Tickets!$B$2:$B$4001,A165,Support_Tickets!$J$2:$J$4001,"No")</f>
        <v>8</v>
      </c>
    </row>
    <row r="166" spans="1:3" x14ac:dyDescent="0.35">
      <c r="A166" s="27" t="str">
        <f>Clients!A159</f>
        <v>CLI-0223</v>
      </c>
      <c r="B166">
        <f>IF(Clients!H159="","",Clients!H159)</f>
        <v>4.9000000000000004</v>
      </c>
      <c r="C166" s="25">
        <f>COUNTIFS(Support_Tickets!$B$2:$B$4001,A166,Support_Tickets!$J$2:$J$4001,"No")</f>
        <v>17</v>
      </c>
    </row>
    <row r="167" spans="1:3" x14ac:dyDescent="0.35">
      <c r="A167" s="27" t="str">
        <f>Clients!A160</f>
        <v>CLI-0009</v>
      </c>
      <c r="B167">
        <f>IF(Clients!H160="","",Clients!H160)</f>
        <v>4.7</v>
      </c>
      <c r="C167" s="25">
        <f>COUNTIFS(Support_Tickets!$B$2:$B$4001,A167,Support_Tickets!$J$2:$J$4001,"No")</f>
        <v>9</v>
      </c>
    </row>
    <row r="168" spans="1:3" x14ac:dyDescent="0.35">
      <c r="A168" s="27" t="str">
        <f>Clients!A161</f>
        <v>CLI-0299</v>
      </c>
      <c r="B168">
        <f>IF(Clients!H161="","",Clients!H161)</f>
        <v>3.7</v>
      </c>
      <c r="C168" s="25">
        <f>COUNTIFS(Support_Tickets!$B$2:$B$4001,A168,Support_Tickets!$J$2:$J$4001,"No")</f>
        <v>11</v>
      </c>
    </row>
    <row r="169" spans="1:3" x14ac:dyDescent="0.35">
      <c r="A169" s="27" t="str">
        <f>Clients!A162</f>
        <v>CLI-0298</v>
      </c>
      <c r="B169">
        <f>IF(Clients!H162="","",Clients!H162)</f>
        <v>4.0999999999999996</v>
      </c>
      <c r="C169" s="25">
        <f>COUNTIFS(Support_Tickets!$B$2:$B$4001,A169,Support_Tickets!$J$2:$J$4001,"No")</f>
        <v>9</v>
      </c>
    </row>
    <row r="170" spans="1:3" x14ac:dyDescent="0.35">
      <c r="A170" s="27" t="str">
        <f>Clients!A163</f>
        <v>CLI-0109</v>
      </c>
      <c r="B170">
        <f>IF(Clients!H163="","",Clients!H163)</f>
        <v>3.6</v>
      </c>
      <c r="C170" s="25">
        <f>COUNTIFS(Support_Tickets!$B$2:$B$4001,A170,Support_Tickets!$J$2:$J$4001,"No")</f>
        <v>4</v>
      </c>
    </row>
    <row r="171" spans="1:3" x14ac:dyDescent="0.35">
      <c r="A171" s="27" t="str">
        <f>Clients!A164</f>
        <v>CLI-0135</v>
      </c>
      <c r="B171">
        <f>IF(Clients!H164="","",Clients!H164)</f>
        <v>4.8</v>
      </c>
      <c r="C171" s="25">
        <f>COUNTIFS(Support_Tickets!$B$2:$B$4001,A171,Support_Tickets!$J$2:$J$4001,"No")</f>
        <v>11</v>
      </c>
    </row>
    <row r="172" spans="1:3" x14ac:dyDescent="0.35">
      <c r="A172" s="27" t="str">
        <f>Clients!A165</f>
        <v>CLI-0014</v>
      </c>
      <c r="B172">
        <f>IF(Clients!H165="","",Clients!H165)</f>
        <v>2.7</v>
      </c>
      <c r="C172" s="25">
        <f>COUNTIFS(Support_Tickets!$B$2:$B$4001,A172,Support_Tickets!$J$2:$J$4001,"No")</f>
        <v>5</v>
      </c>
    </row>
    <row r="173" spans="1:3" x14ac:dyDescent="0.35">
      <c r="A173" s="27" t="str">
        <f>Clients!A166</f>
        <v>CLI-0033</v>
      </c>
      <c r="B173">
        <f>IF(Clients!H166="","",Clients!H166)</f>
        <v>4.7</v>
      </c>
      <c r="C173" s="25">
        <f>COUNTIFS(Support_Tickets!$B$2:$B$4001,A173,Support_Tickets!$J$2:$J$4001,"No")</f>
        <v>16</v>
      </c>
    </row>
    <row r="174" spans="1:3" x14ac:dyDescent="0.35">
      <c r="A174" s="27" t="str">
        <f>Clients!A167</f>
        <v>CLI-0281</v>
      </c>
      <c r="B174">
        <f>IF(Clients!H167="","",Clients!H167)</f>
        <v>4.5999999999999996</v>
      </c>
      <c r="C174" s="25">
        <f>COUNTIFS(Support_Tickets!$B$2:$B$4001,A174,Support_Tickets!$J$2:$J$4001,"No")</f>
        <v>4</v>
      </c>
    </row>
    <row r="175" spans="1:3" x14ac:dyDescent="0.35">
      <c r="A175" s="27" t="str">
        <f>Clients!A168</f>
        <v>CLI-0102</v>
      </c>
      <c r="B175">
        <f>IF(Clients!H168="","",Clients!H168)</f>
        <v>2.6</v>
      </c>
      <c r="C175" s="25">
        <f>COUNTIFS(Support_Tickets!$B$2:$B$4001,A175,Support_Tickets!$J$2:$J$4001,"No")</f>
        <v>9</v>
      </c>
    </row>
    <row r="176" spans="1:3" x14ac:dyDescent="0.35">
      <c r="A176" s="27" t="str">
        <f>Clients!A169</f>
        <v>CLI-0072</v>
      </c>
      <c r="B176">
        <f>IF(Clients!H169="","",Clients!H169)</f>
        <v>4.9000000000000004</v>
      </c>
      <c r="C176" s="25">
        <f>COUNTIFS(Support_Tickets!$B$2:$B$4001,A176,Support_Tickets!$J$2:$J$4001,"No")</f>
        <v>6</v>
      </c>
    </row>
    <row r="177" spans="1:3" x14ac:dyDescent="0.35">
      <c r="A177" s="27" t="str">
        <f>Clients!A170</f>
        <v>CLI-0131</v>
      </c>
      <c r="B177">
        <f>IF(Clients!H170="","",Clients!H170)</f>
        <v>3.4</v>
      </c>
      <c r="C177" s="25">
        <f>COUNTIFS(Support_Tickets!$B$2:$B$4001,A177,Support_Tickets!$J$2:$J$4001,"No")</f>
        <v>7</v>
      </c>
    </row>
    <row r="178" spans="1:3" x14ac:dyDescent="0.35">
      <c r="A178" s="27" t="str">
        <f>Clients!A171</f>
        <v>CLI-0222</v>
      </c>
      <c r="B178">
        <f>IF(Clients!H171="","",Clients!H171)</f>
        <v>4.7</v>
      </c>
      <c r="C178" s="25">
        <f>COUNTIFS(Support_Tickets!$B$2:$B$4001,A178,Support_Tickets!$J$2:$J$4001,"No")</f>
        <v>9</v>
      </c>
    </row>
    <row r="179" spans="1:3" x14ac:dyDescent="0.35">
      <c r="A179" s="27" t="str">
        <f>Clients!A172</f>
        <v>CLI-0126</v>
      </c>
      <c r="B179">
        <f>IF(Clients!H172="","",Clients!H172)</f>
        <v>3.9</v>
      </c>
      <c r="C179" s="25">
        <f>COUNTIFS(Support_Tickets!$B$2:$B$4001,A179,Support_Tickets!$J$2:$J$4001,"No")</f>
        <v>4</v>
      </c>
    </row>
    <row r="180" spans="1:3" x14ac:dyDescent="0.35">
      <c r="A180" s="27" t="str">
        <f>Clients!A173</f>
        <v>CLI-0071</v>
      </c>
      <c r="B180">
        <f>IF(Clients!H173="","",Clients!H173)</f>
        <v>4.5999999999999996</v>
      </c>
      <c r="C180" s="25">
        <f>COUNTIFS(Support_Tickets!$B$2:$B$4001,A180,Support_Tickets!$J$2:$J$4001,"No")</f>
        <v>3</v>
      </c>
    </row>
    <row r="181" spans="1:3" x14ac:dyDescent="0.35">
      <c r="A181" s="27" t="str">
        <f>Clients!A174</f>
        <v>CLI-0148</v>
      </c>
      <c r="B181">
        <f>IF(Clients!H174="","",Clients!H174)</f>
        <v>4.7</v>
      </c>
      <c r="C181" s="25">
        <f>COUNTIFS(Support_Tickets!$B$2:$B$4001,A181,Support_Tickets!$J$2:$J$4001,"No")</f>
        <v>5</v>
      </c>
    </row>
    <row r="182" spans="1:3" x14ac:dyDescent="0.35">
      <c r="A182" s="27" t="str">
        <f>Clients!A175</f>
        <v>CLI-0188</v>
      </c>
      <c r="B182">
        <f>IF(Clients!H175="","",Clients!H175)</f>
        <v>4.2</v>
      </c>
      <c r="C182" s="25">
        <f>COUNTIFS(Support_Tickets!$B$2:$B$4001,A182,Support_Tickets!$J$2:$J$4001,"No")</f>
        <v>5</v>
      </c>
    </row>
    <row r="183" spans="1:3" x14ac:dyDescent="0.35">
      <c r="A183" s="27" t="str">
        <f>Clients!A176</f>
        <v>CLI-0216</v>
      </c>
      <c r="B183" t="str">
        <f>IF(Clients!H176="","",Clients!H176)</f>
        <v/>
      </c>
      <c r="C183" s="25">
        <f>COUNTIFS(Support_Tickets!$B$2:$B$4001,A183,Support_Tickets!$J$2:$J$4001,"No")</f>
        <v>6</v>
      </c>
    </row>
    <row r="184" spans="1:3" x14ac:dyDescent="0.35">
      <c r="A184" s="27" t="str">
        <f>Clients!A177</f>
        <v>CLI-0196</v>
      </c>
      <c r="B184">
        <f>IF(Clients!H177="","",Clients!H177)</f>
        <v>2.7</v>
      </c>
      <c r="C184" s="25">
        <f>COUNTIFS(Support_Tickets!$B$2:$B$4001,A184,Support_Tickets!$J$2:$J$4001,"No")</f>
        <v>4</v>
      </c>
    </row>
    <row r="185" spans="1:3" x14ac:dyDescent="0.35">
      <c r="A185" s="27" t="str">
        <f>Clients!A178</f>
        <v>CLI-0096</v>
      </c>
      <c r="B185">
        <f>IF(Clients!H178="","",Clients!H178)</f>
        <v>4.9000000000000004</v>
      </c>
      <c r="C185" s="25">
        <f>COUNTIFS(Support_Tickets!$B$2:$B$4001,A185,Support_Tickets!$J$2:$J$4001,"No")</f>
        <v>3</v>
      </c>
    </row>
    <row r="186" spans="1:3" x14ac:dyDescent="0.35">
      <c r="A186" s="27" t="str">
        <f>Clients!A179</f>
        <v>CLI-0249</v>
      </c>
      <c r="B186">
        <f>IF(Clients!H179="","",Clients!H179)</f>
        <v>4.0999999999999996</v>
      </c>
      <c r="C186" s="25">
        <f>COUNTIFS(Support_Tickets!$B$2:$B$4001,A186,Support_Tickets!$J$2:$J$4001,"No")</f>
        <v>2</v>
      </c>
    </row>
    <row r="187" spans="1:3" x14ac:dyDescent="0.35">
      <c r="A187" s="27" t="str">
        <f>Clients!A180</f>
        <v>CLI-0011</v>
      </c>
      <c r="B187">
        <f>IF(Clients!H180="","",Clients!H180)</f>
        <v>2.7</v>
      </c>
      <c r="C187" s="25">
        <f>COUNTIFS(Support_Tickets!$B$2:$B$4001,A187,Support_Tickets!$J$2:$J$4001,"No")</f>
        <v>6</v>
      </c>
    </row>
    <row r="188" spans="1:3" x14ac:dyDescent="0.35">
      <c r="A188" s="27" t="str">
        <f>Clients!A181</f>
        <v>CLI-0139</v>
      </c>
      <c r="B188">
        <f>IF(Clients!H181="","",Clients!H181)</f>
        <v>3</v>
      </c>
      <c r="C188" s="25">
        <f>COUNTIFS(Support_Tickets!$B$2:$B$4001,A188,Support_Tickets!$J$2:$J$4001,"No")</f>
        <v>5</v>
      </c>
    </row>
    <row r="189" spans="1:3" x14ac:dyDescent="0.35">
      <c r="A189" s="27" t="str">
        <f>Clients!A182</f>
        <v>CLI-0002</v>
      </c>
      <c r="B189">
        <f>IF(Clients!H182="","",Clients!H182)</f>
        <v>4.5</v>
      </c>
      <c r="C189" s="25">
        <f>COUNTIFS(Support_Tickets!$B$2:$B$4001,A189,Support_Tickets!$J$2:$J$4001,"No")</f>
        <v>9</v>
      </c>
    </row>
    <row r="190" spans="1:3" x14ac:dyDescent="0.35">
      <c r="A190" s="27" t="str">
        <f>Clients!A183</f>
        <v>CLI-0158</v>
      </c>
      <c r="B190" t="str">
        <f>IF(Clients!H183="","",Clients!H183)</f>
        <v/>
      </c>
      <c r="C190" s="25">
        <f>COUNTIFS(Support_Tickets!$B$2:$B$4001,A190,Support_Tickets!$J$2:$J$4001,"No")</f>
        <v>7</v>
      </c>
    </row>
    <row r="191" spans="1:3" x14ac:dyDescent="0.35">
      <c r="A191" s="27" t="str">
        <f>Clients!A184</f>
        <v>CLI-0127</v>
      </c>
      <c r="B191">
        <f>IF(Clients!H184="","",Clients!H184)</f>
        <v>2.8</v>
      </c>
      <c r="C191" s="25">
        <f>COUNTIFS(Support_Tickets!$B$2:$B$4001,A191,Support_Tickets!$J$2:$J$4001,"No")</f>
        <v>13</v>
      </c>
    </row>
    <row r="192" spans="1:3" x14ac:dyDescent="0.35">
      <c r="A192" s="27" t="str">
        <f>Clients!A185</f>
        <v>CLI-0170</v>
      </c>
      <c r="B192">
        <f>IF(Clients!H185="","",Clients!H185)</f>
        <v>2.9</v>
      </c>
      <c r="C192" s="25">
        <f>COUNTIFS(Support_Tickets!$B$2:$B$4001,A192,Support_Tickets!$J$2:$J$4001,"No")</f>
        <v>10</v>
      </c>
    </row>
    <row r="193" spans="1:3" x14ac:dyDescent="0.35">
      <c r="A193" s="27" t="str">
        <f>Clients!A186</f>
        <v>CLI-0241</v>
      </c>
      <c r="B193">
        <f>IF(Clients!H186="","",Clients!H186)</f>
        <v>4</v>
      </c>
      <c r="C193" s="25">
        <f>COUNTIFS(Support_Tickets!$B$2:$B$4001,A193,Support_Tickets!$J$2:$J$4001,"No")</f>
        <v>5</v>
      </c>
    </row>
    <row r="194" spans="1:3" x14ac:dyDescent="0.35">
      <c r="A194" s="27" t="str">
        <f>Clients!A187</f>
        <v>CLI-0021</v>
      </c>
      <c r="B194">
        <f>IF(Clients!H187="","",Clients!H187)</f>
        <v>3.2</v>
      </c>
      <c r="C194" s="25">
        <f>COUNTIFS(Support_Tickets!$B$2:$B$4001,A194,Support_Tickets!$J$2:$J$4001,"No")</f>
        <v>5</v>
      </c>
    </row>
    <row r="195" spans="1:3" x14ac:dyDescent="0.35">
      <c r="A195" s="27" t="str">
        <f>Clients!A188</f>
        <v>CLI-0031</v>
      </c>
      <c r="B195">
        <f>IF(Clients!H188="","",Clients!H188)</f>
        <v>3.7</v>
      </c>
      <c r="C195" s="25">
        <f>COUNTIFS(Support_Tickets!$B$2:$B$4001,A195,Support_Tickets!$J$2:$J$4001,"No")</f>
        <v>8</v>
      </c>
    </row>
    <row r="196" spans="1:3" x14ac:dyDescent="0.35">
      <c r="A196" s="27" t="str">
        <f>Clients!A189</f>
        <v>CLI-0028</v>
      </c>
      <c r="B196">
        <f>IF(Clients!H189="","",Clients!H189)</f>
        <v>4.2</v>
      </c>
      <c r="C196" s="25">
        <f>COUNTIFS(Support_Tickets!$B$2:$B$4001,A196,Support_Tickets!$J$2:$J$4001,"No")</f>
        <v>6</v>
      </c>
    </row>
    <row r="197" spans="1:3" x14ac:dyDescent="0.35">
      <c r="A197" s="27" t="str">
        <f>Clients!A190</f>
        <v>CLI-0040</v>
      </c>
      <c r="B197">
        <f>IF(Clients!H190="","",Clients!H190)</f>
        <v>3.4</v>
      </c>
      <c r="C197" s="25">
        <f>COUNTIFS(Support_Tickets!$B$2:$B$4001,A197,Support_Tickets!$J$2:$J$4001,"No")</f>
        <v>7</v>
      </c>
    </row>
    <row r="198" spans="1:3" x14ac:dyDescent="0.35">
      <c r="A198" s="27" t="str">
        <f>Clients!A191</f>
        <v>CLI-0092</v>
      </c>
      <c r="B198">
        <f>IF(Clients!H191="","",Clients!H191)</f>
        <v>3.5</v>
      </c>
      <c r="C198" s="25">
        <f>COUNTIFS(Support_Tickets!$B$2:$B$4001,A198,Support_Tickets!$J$2:$J$4001,"No")</f>
        <v>6</v>
      </c>
    </row>
    <row r="199" spans="1:3" x14ac:dyDescent="0.35">
      <c r="A199" s="27" t="str">
        <f>Clients!A192</f>
        <v>CLI-0159</v>
      </c>
      <c r="B199">
        <f>IF(Clients!H192="","",Clients!H192)</f>
        <v>3.1</v>
      </c>
      <c r="C199" s="25">
        <f>COUNTIFS(Support_Tickets!$B$2:$B$4001,A199,Support_Tickets!$J$2:$J$4001,"No")</f>
        <v>6</v>
      </c>
    </row>
    <row r="200" spans="1:3" x14ac:dyDescent="0.35">
      <c r="A200" s="27" t="str">
        <f>Clients!A193</f>
        <v>CLI-0228</v>
      </c>
      <c r="B200">
        <f>IF(Clients!H193="","",Clients!H193)</f>
        <v>3.7</v>
      </c>
      <c r="C200" s="25">
        <f>COUNTIFS(Support_Tickets!$B$2:$B$4001,A200,Support_Tickets!$J$2:$J$4001,"No")</f>
        <v>6</v>
      </c>
    </row>
    <row r="201" spans="1:3" x14ac:dyDescent="0.35">
      <c r="A201" s="27" t="str">
        <f>Clients!A194</f>
        <v>CLI-0238</v>
      </c>
      <c r="B201">
        <f>IF(Clients!H194="","",Clients!H194)</f>
        <v>4.9000000000000004</v>
      </c>
      <c r="C201" s="25">
        <f>COUNTIFS(Support_Tickets!$B$2:$B$4001,A201,Support_Tickets!$J$2:$J$4001,"No")</f>
        <v>7</v>
      </c>
    </row>
    <row r="202" spans="1:3" x14ac:dyDescent="0.35">
      <c r="A202" s="27" t="str">
        <f>Clients!A195</f>
        <v>CLI-0239</v>
      </c>
      <c r="B202">
        <f>IF(Clients!H195="","",Clients!H195)</f>
        <v>4.9000000000000004</v>
      </c>
      <c r="C202" s="25">
        <f>COUNTIFS(Support_Tickets!$B$2:$B$4001,A202,Support_Tickets!$J$2:$J$4001,"No")</f>
        <v>5</v>
      </c>
    </row>
    <row r="203" spans="1:3" x14ac:dyDescent="0.35">
      <c r="A203" s="27" t="str">
        <f>Clients!A196</f>
        <v>CLI-0053</v>
      </c>
      <c r="B203">
        <f>IF(Clients!H196="","",Clients!H196)</f>
        <v>2.6</v>
      </c>
      <c r="C203" s="25">
        <f>COUNTIFS(Support_Tickets!$B$2:$B$4001,A203,Support_Tickets!$J$2:$J$4001,"No")</f>
        <v>8</v>
      </c>
    </row>
    <row r="204" spans="1:3" x14ac:dyDescent="0.35">
      <c r="A204" s="27" t="str">
        <f>Clients!A197</f>
        <v>CLI-0229</v>
      </c>
      <c r="B204">
        <f>IF(Clients!H197="","",Clients!H197)</f>
        <v>4.9000000000000004</v>
      </c>
      <c r="C204" s="25">
        <f>COUNTIFS(Support_Tickets!$B$2:$B$4001,A204,Support_Tickets!$J$2:$J$4001,"No")</f>
        <v>8</v>
      </c>
    </row>
    <row r="205" spans="1:3" x14ac:dyDescent="0.35">
      <c r="A205" s="27" t="str">
        <f>Clients!A198</f>
        <v>CLI-0062</v>
      </c>
      <c r="B205">
        <f>IF(Clients!H198="","",Clients!H198)</f>
        <v>3.8</v>
      </c>
      <c r="C205" s="25">
        <f>COUNTIFS(Support_Tickets!$B$2:$B$4001,A205,Support_Tickets!$J$2:$J$4001,"No")</f>
        <v>6</v>
      </c>
    </row>
    <row r="206" spans="1:3" x14ac:dyDescent="0.35">
      <c r="A206" s="27" t="str">
        <f>Clients!A199</f>
        <v>CLI-0206</v>
      </c>
      <c r="B206">
        <f>IF(Clients!H199="","",Clients!H199)</f>
        <v>4.9000000000000004</v>
      </c>
      <c r="C206" s="25">
        <f>COUNTIFS(Support_Tickets!$B$2:$B$4001,A206,Support_Tickets!$J$2:$J$4001,"No")</f>
        <v>17</v>
      </c>
    </row>
    <row r="207" spans="1:3" x14ac:dyDescent="0.35">
      <c r="A207" s="27" t="str">
        <f>Clients!A200</f>
        <v>CLI-0061</v>
      </c>
      <c r="B207">
        <f>IF(Clients!H200="","",Clients!H200)</f>
        <v>2.7</v>
      </c>
      <c r="C207" s="25">
        <f>COUNTIFS(Support_Tickets!$B$2:$B$4001,A207,Support_Tickets!$J$2:$J$4001,"No")</f>
        <v>5</v>
      </c>
    </row>
    <row r="208" spans="1:3" x14ac:dyDescent="0.35">
      <c r="A208" s="27" t="str">
        <f>Clients!A201</f>
        <v>CLI-0052</v>
      </c>
      <c r="B208">
        <f>IF(Clients!H201="","",Clients!H201)</f>
        <v>2.9</v>
      </c>
      <c r="C208" s="25">
        <f>COUNTIFS(Support_Tickets!$B$2:$B$4001,A208,Support_Tickets!$J$2:$J$4001,"No")</f>
        <v>4</v>
      </c>
    </row>
    <row r="209" spans="1:3" x14ac:dyDescent="0.35">
      <c r="A209" s="27" t="str">
        <f>Clients!A202</f>
        <v>CLI-0189</v>
      </c>
      <c r="B209">
        <f>IF(Clients!H202="","",Clients!H202)</f>
        <v>4.7</v>
      </c>
      <c r="C209" s="25">
        <f>COUNTIFS(Support_Tickets!$B$2:$B$4001,A209,Support_Tickets!$J$2:$J$4001,"No")</f>
        <v>11</v>
      </c>
    </row>
    <row r="210" spans="1:3" x14ac:dyDescent="0.35">
      <c r="A210" s="27" t="str">
        <f>Clients!A203</f>
        <v>CLI-0128</v>
      </c>
      <c r="B210" t="str">
        <f>IF(Clients!H203="","",Clients!H203)</f>
        <v/>
      </c>
      <c r="C210" s="25">
        <f>COUNTIFS(Support_Tickets!$B$2:$B$4001,A210,Support_Tickets!$J$2:$J$4001,"No")</f>
        <v>8</v>
      </c>
    </row>
    <row r="211" spans="1:3" x14ac:dyDescent="0.35">
      <c r="A211" s="27" t="str">
        <f>Clients!A204</f>
        <v>CLI-0049</v>
      </c>
      <c r="B211">
        <f>IF(Clients!H204="","",Clients!H204)</f>
        <v>4.4000000000000004</v>
      </c>
      <c r="C211" s="25">
        <f>COUNTIFS(Support_Tickets!$B$2:$B$4001,A211,Support_Tickets!$J$2:$J$4001,"No")</f>
        <v>7</v>
      </c>
    </row>
    <row r="212" spans="1:3" x14ac:dyDescent="0.35">
      <c r="A212" s="27" t="str">
        <f>Clients!A205</f>
        <v>CLI-0255</v>
      </c>
      <c r="B212">
        <f>IF(Clients!H205="","",Clients!H205)</f>
        <v>4.5999999999999996</v>
      </c>
      <c r="C212" s="25">
        <f>COUNTIFS(Support_Tickets!$B$2:$B$4001,A212,Support_Tickets!$J$2:$J$4001,"No")</f>
        <v>9</v>
      </c>
    </row>
    <row r="213" spans="1:3" x14ac:dyDescent="0.35">
      <c r="A213" s="27" t="str">
        <f>Clients!A206</f>
        <v>CLI-0285</v>
      </c>
      <c r="B213">
        <f>IF(Clients!H206="","",Clients!H206)</f>
        <v>2.7</v>
      </c>
      <c r="C213" s="25">
        <f>COUNTIFS(Support_Tickets!$B$2:$B$4001,A213,Support_Tickets!$J$2:$J$4001,"No")</f>
        <v>7</v>
      </c>
    </row>
    <row r="214" spans="1:3" x14ac:dyDescent="0.35">
      <c r="A214" s="27" t="str">
        <f>Clients!A207</f>
        <v>CLI-0069</v>
      </c>
      <c r="B214">
        <f>IF(Clients!H207="","",Clients!H207)</f>
        <v>3.7</v>
      </c>
      <c r="C214" s="25">
        <f>COUNTIFS(Support_Tickets!$B$2:$B$4001,A214,Support_Tickets!$J$2:$J$4001,"No")</f>
        <v>8</v>
      </c>
    </row>
    <row r="215" spans="1:3" x14ac:dyDescent="0.35">
      <c r="A215" s="27" t="str">
        <f>Clients!A208</f>
        <v>CLI-0056</v>
      </c>
      <c r="B215">
        <f>IF(Clients!H208="","",Clients!H208)</f>
        <v>3.4</v>
      </c>
      <c r="C215" s="25">
        <f>COUNTIFS(Support_Tickets!$B$2:$B$4001,A215,Support_Tickets!$J$2:$J$4001,"No")</f>
        <v>7</v>
      </c>
    </row>
    <row r="216" spans="1:3" x14ac:dyDescent="0.35">
      <c r="A216" s="27" t="str">
        <f>Clients!A209</f>
        <v>CLI-0256</v>
      </c>
      <c r="B216">
        <f>IF(Clients!H209="","",Clients!H209)</f>
        <v>4.4000000000000004</v>
      </c>
      <c r="C216" s="25">
        <f>COUNTIFS(Support_Tickets!$B$2:$B$4001,A216,Support_Tickets!$J$2:$J$4001,"No")</f>
        <v>5</v>
      </c>
    </row>
    <row r="217" spans="1:3" x14ac:dyDescent="0.35">
      <c r="A217" s="27" t="str">
        <f>Clients!A210</f>
        <v>CLI-0237</v>
      </c>
      <c r="B217">
        <f>IF(Clients!H210="","",Clients!H210)</f>
        <v>4.9000000000000004</v>
      </c>
      <c r="C217" s="25">
        <f>COUNTIFS(Support_Tickets!$B$2:$B$4001,A217,Support_Tickets!$J$2:$J$4001,"No")</f>
        <v>8</v>
      </c>
    </row>
    <row r="218" spans="1:3" x14ac:dyDescent="0.35">
      <c r="A218" s="27" t="str">
        <f>Clients!A211</f>
        <v>CLI-0122</v>
      </c>
      <c r="B218">
        <f>IF(Clients!H211="","",Clients!H211)</f>
        <v>2.9</v>
      </c>
      <c r="C218" s="25">
        <f>COUNTIFS(Support_Tickets!$B$2:$B$4001,A218,Support_Tickets!$J$2:$J$4001,"No")</f>
        <v>7</v>
      </c>
    </row>
    <row r="219" spans="1:3" x14ac:dyDescent="0.35">
      <c r="A219" s="27" t="str">
        <f>Clients!A212</f>
        <v>CLI-0046</v>
      </c>
      <c r="B219">
        <f>IF(Clients!H212="","",Clients!H212)</f>
        <v>4.3</v>
      </c>
      <c r="C219" s="25">
        <f>COUNTIFS(Support_Tickets!$B$2:$B$4001,A219,Support_Tickets!$J$2:$J$4001,"No")</f>
        <v>14</v>
      </c>
    </row>
    <row r="220" spans="1:3" x14ac:dyDescent="0.35">
      <c r="A220" s="27" t="str">
        <f>Clients!A213</f>
        <v>CLI-0280</v>
      </c>
      <c r="B220" t="str">
        <f>IF(Clients!H213="","",Clients!H213)</f>
        <v/>
      </c>
      <c r="C220" s="25">
        <f>COUNTIFS(Support_Tickets!$B$2:$B$4001,A220,Support_Tickets!$J$2:$J$4001,"No")</f>
        <v>11</v>
      </c>
    </row>
    <row r="221" spans="1:3" x14ac:dyDescent="0.35">
      <c r="A221" s="27" t="str">
        <f>Clients!A214</f>
        <v>CLI-0088</v>
      </c>
      <c r="B221">
        <f>IF(Clients!H214="","",Clients!H214)</f>
        <v>2.6</v>
      </c>
      <c r="C221" s="25">
        <f>COUNTIFS(Support_Tickets!$B$2:$B$4001,A221,Support_Tickets!$J$2:$J$4001,"No")</f>
        <v>7</v>
      </c>
    </row>
    <row r="222" spans="1:3" x14ac:dyDescent="0.35">
      <c r="A222" s="27" t="str">
        <f>Clients!A215</f>
        <v>CLI-0211</v>
      </c>
      <c r="B222">
        <f>IF(Clients!H215="","",Clients!H215)</f>
        <v>3.6</v>
      </c>
      <c r="C222" s="25">
        <f>COUNTIFS(Support_Tickets!$B$2:$B$4001,A222,Support_Tickets!$J$2:$J$4001,"No")</f>
        <v>10</v>
      </c>
    </row>
    <row r="223" spans="1:3" x14ac:dyDescent="0.35">
      <c r="A223" s="27" t="str">
        <f>Clients!A216</f>
        <v>CLI-0192</v>
      </c>
      <c r="B223">
        <f>IF(Clients!H216="","",Clients!H216)</f>
        <v>3</v>
      </c>
      <c r="C223" s="25">
        <f>COUNTIFS(Support_Tickets!$B$2:$B$4001,A223,Support_Tickets!$J$2:$J$4001,"No")</f>
        <v>10</v>
      </c>
    </row>
    <row r="224" spans="1:3" x14ac:dyDescent="0.35">
      <c r="A224" s="27" t="str">
        <f>Clients!A217</f>
        <v>CLI-0173</v>
      </c>
      <c r="B224">
        <f>IF(Clients!H217="","",Clients!H217)</f>
        <v>3.8</v>
      </c>
      <c r="C224" s="25">
        <f>COUNTIFS(Support_Tickets!$B$2:$B$4001,A224,Support_Tickets!$J$2:$J$4001,"No")</f>
        <v>6</v>
      </c>
    </row>
    <row r="225" spans="1:3" x14ac:dyDescent="0.35">
      <c r="A225" s="27" t="str">
        <f>Clients!A218</f>
        <v>CLI-0289</v>
      </c>
      <c r="B225">
        <f>IF(Clients!H218="","",Clients!H218)</f>
        <v>2.9</v>
      </c>
      <c r="C225" s="25">
        <f>COUNTIFS(Support_Tickets!$B$2:$B$4001,A225,Support_Tickets!$J$2:$J$4001,"No")</f>
        <v>7</v>
      </c>
    </row>
    <row r="226" spans="1:3" x14ac:dyDescent="0.35">
      <c r="A226" s="27" t="str">
        <f>Clients!A219</f>
        <v>CLI-0024</v>
      </c>
      <c r="B226">
        <f>IF(Clients!H219="","",Clients!H219)</f>
        <v>4.7</v>
      </c>
      <c r="C226" s="25">
        <f>COUNTIFS(Support_Tickets!$B$2:$B$4001,A226,Support_Tickets!$J$2:$J$4001,"No")</f>
        <v>9</v>
      </c>
    </row>
    <row r="227" spans="1:3" x14ac:dyDescent="0.35">
      <c r="A227" s="27" t="str">
        <f>Clients!A220</f>
        <v>CLI-0074</v>
      </c>
      <c r="B227">
        <f>IF(Clients!H220="","",Clients!H220)</f>
        <v>4.0999999999999996</v>
      </c>
      <c r="C227" s="25">
        <f>COUNTIFS(Support_Tickets!$B$2:$B$4001,A227,Support_Tickets!$J$2:$J$4001,"No")</f>
        <v>10</v>
      </c>
    </row>
    <row r="228" spans="1:3" x14ac:dyDescent="0.35">
      <c r="A228" s="27" t="str">
        <f>Clients!A221</f>
        <v>CLI-0064</v>
      </c>
      <c r="B228">
        <f>IF(Clients!H221="","",Clients!H221)</f>
        <v>3</v>
      </c>
      <c r="C228" s="25">
        <f>COUNTIFS(Support_Tickets!$B$2:$B$4001,A228,Support_Tickets!$J$2:$J$4001,"No")</f>
        <v>9</v>
      </c>
    </row>
    <row r="229" spans="1:3" x14ac:dyDescent="0.35">
      <c r="A229" s="27" t="str">
        <f>Clients!A222</f>
        <v>CLI-0068</v>
      </c>
      <c r="B229">
        <f>IF(Clients!H222="","",Clients!H222)</f>
        <v>2.8</v>
      </c>
      <c r="C229" s="25">
        <f>COUNTIFS(Support_Tickets!$B$2:$B$4001,A229,Support_Tickets!$J$2:$J$4001,"No")</f>
        <v>7</v>
      </c>
    </row>
    <row r="230" spans="1:3" x14ac:dyDescent="0.35">
      <c r="A230" s="27" t="str">
        <f>Clients!A223</f>
        <v>CLI-0214</v>
      </c>
      <c r="B230">
        <f>IF(Clients!H223="","",Clients!H223)</f>
        <v>3.1</v>
      </c>
      <c r="C230" s="25">
        <f>COUNTIFS(Support_Tickets!$B$2:$B$4001,A230,Support_Tickets!$J$2:$J$4001,"No")</f>
        <v>4</v>
      </c>
    </row>
    <row r="231" spans="1:3" x14ac:dyDescent="0.35">
      <c r="A231" s="27" t="str">
        <f>Clients!A224</f>
        <v>CLI-0240</v>
      </c>
      <c r="B231">
        <f>IF(Clients!H224="","",Clients!H224)</f>
        <v>4.4000000000000004</v>
      </c>
      <c r="C231" s="25">
        <f>COUNTIFS(Support_Tickets!$B$2:$B$4001,A231,Support_Tickets!$J$2:$J$4001,"No")</f>
        <v>8</v>
      </c>
    </row>
    <row r="232" spans="1:3" x14ac:dyDescent="0.35">
      <c r="A232" s="27" t="str">
        <f>Clients!A225</f>
        <v>CLI-0275</v>
      </c>
      <c r="B232">
        <f>IF(Clients!H225="","",Clients!H225)</f>
        <v>4.0999999999999996</v>
      </c>
      <c r="C232" s="25">
        <f>COUNTIFS(Support_Tickets!$B$2:$B$4001,A232,Support_Tickets!$J$2:$J$4001,"No")</f>
        <v>12</v>
      </c>
    </row>
    <row r="233" spans="1:3" x14ac:dyDescent="0.35">
      <c r="A233" s="27" t="str">
        <f>Clients!A226</f>
        <v>CLI-0138</v>
      </c>
      <c r="B233">
        <f>IF(Clients!H226="","",Clients!H226)</f>
        <v>4.0999999999999996</v>
      </c>
      <c r="C233" s="25">
        <f>COUNTIFS(Support_Tickets!$B$2:$B$4001,A233,Support_Tickets!$J$2:$J$4001,"No")</f>
        <v>6</v>
      </c>
    </row>
    <row r="234" spans="1:3" x14ac:dyDescent="0.35">
      <c r="A234" s="27" t="str">
        <f>Clients!A227</f>
        <v>CLI-0133</v>
      </c>
      <c r="B234">
        <f>IF(Clients!H227="","",Clients!H227)</f>
        <v>4.4000000000000004</v>
      </c>
      <c r="C234" s="25">
        <f>COUNTIFS(Support_Tickets!$B$2:$B$4001,A234,Support_Tickets!$J$2:$J$4001,"No")</f>
        <v>9</v>
      </c>
    </row>
    <row r="235" spans="1:3" x14ac:dyDescent="0.35">
      <c r="A235" s="27" t="str">
        <f>Clients!A228</f>
        <v>CLI-0091</v>
      </c>
      <c r="B235">
        <f>IF(Clients!H228="","",Clients!H228)</f>
        <v>3.6</v>
      </c>
      <c r="C235" s="25">
        <f>COUNTIFS(Support_Tickets!$B$2:$B$4001,A235,Support_Tickets!$J$2:$J$4001,"No")</f>
        <v>10</v>
      </c>
    </row>
    <row r="236" spans="1:3" x14ac:dyDescent="0.35">
      <c r="A236" s="27" t="str">
        <f>Clients!A229</f>
        <v>CLI-0106</v>
      </c>
      <c r="B236" t="str">
        <f>IF(Clients!H229="","",Clients!H229)</f>
        <v/>
      </c>
      <c r="C236" s="25">
        <f>COUNTIFS(Support_Tickets!$B$2:$B$4001,A236,Support_Tickets!$J$2:$J$4001,"No")</f>
        <v>12</v>
      </c>
    </row>
    <row r="237" spans="1:3" x14ac:dyDescent="0.35">
      <c r="A237" s="27" t="str">
        <f>Clients!A230</f>
        <v>CLI-0296</v>
      </c>
      <c r="B237">
        <f>IF(Clients!H230="","",Clients!H230)</f>
        <v>3.7</v>
      </c>
      <c r="C237" s="25">
        <f>COUNTIFS(Support_Tickets!$B$2:$B$4001,A237,Support_Tickets!$J$2:$J$4001,"No")</f>
        <v>8</v>
      </c>
    </row>
    <row r="238" spans="1:3" x14ac:dyDescent="0.35">
      <c r="A238" s="27" t="str">
        <f>Clients!A231</f>
        <v>CLI-0293</v>
      </c>
      <c r="B238">
        <f>IF(Clients!H231="","",Clients!H231)</f>
        <v>4.7</v>
      </c>
      <c r="C238" s="25">
        <f>COUNTIFS(Support_Tickets!$B$2:$B$4001,A238,Support_Tickets!$J$2:$J$4001,"No")</f>
        <v>5</v>
      </c>
    </row>
    <row r="239" spans="1:3" x14ac:dyDescent="0.35">
      <c r="A239" s="27" t="str">
        <f>Clients!A232</f>
        <v>CLI-0059</v>
      </c>
      <c r="B239">
        <f>IF(Clients!H232="","",Clients!H232)</f>
        <v>4.5999999999999996</v>
      </c>
      <c r="C239" s="25">
        <f>COUNTIFS(Support_Tickets!$B$2:$B$4001,A239,Support_Tickets!$J$2:$J$4001,"No")</f>
        <v>11</v>
      </c>
    </row>
    <row r="240" spans="1:3" x14ac:dyDescent="0.35">
      <c r="A240" s="27" t="str">
        <f>Clients!A233</f>
        <v>CLI-0180</v>
      </c>
      <c r="B240">
        <f>IF(Clients!H233="","",Clients!H233)</f>
        <v>4.5999999999999996</v>
      </c>
      <c r="C240" s="25">
        <f>COUNTIFS(Support_Tickets!$B$2:$B$4001,A240,Support_Tickets!$J$2:$J$4001,"No")</f>
        <v>11</v>
      </c>
    </row>
    <row r="241" spans="1:3" x14ac:dyDescent="0.35">
      <c r="A241" s="27" t="str">
        <f>Clients!A234</f>
        <v>CLI-0257</v>
      </c>
      <c r="B241">
        <f>IF(Clients!H234="","",Clients!H234)</f>
        <v>2.5</v>
      </c>
      <c r="C241" s="25">
        <f>COUNTIFS(Support_Tickets!$B$2:$B$4001,A241,Support_Tickets!$J$2:$J$4001,"No")</f>
        <v>14</v>
      </c>
    </row>
    <row r="242" spans="1:3" x14ac:dyDescent="0.35">
      <c r="A242" s="27" t="str">
        <f>Clients!A235</f>
        <v>CLI-0057</v>
      </c>
      <c r="B242">
        <f>IF(Clients!H235="","",Clients!H235)</f>
        <v>3.9</v>
      </c>
      <c r="C242" s="25">
        <f>COUNTIFS(Support_Tickets!$B$2:$B$4001,A242,Support_Tickets!$J$2:$J$4001,"No")</f>
        <v>10</v>
      </c>
    </row>
    <row r="243" spans="1:3" x14ac:dyDescent="0.35">
      <c r="A243" s="27" t="str">
        <f>Clients!A236</f>
        <v>CLI-0202</v>
      </c>
      <c r="B243">
        <f>IF(Clients!H236="","",Clients!H236)</f>
        <v>3.3</v>
      </c>
      <c r="C243" s="25">
        <f>COUNTIFS(Support_Tickets!$B$2:$B$4001,A243,Support_Tickets!$J$2:$J$4001,"No")</f>
        <v>5</v>
      </c>
    </row>
    <row r="244" spans="1:3" x14ac:dyDescent="0.35">
      <c r="A244" s="27" t="str">
        <f>Clients!A237</f>
        <v>CLI-0163</v>
      </c>
      <c r="B244">
        <f>IF(Clients!H237="","",Clients!H237)</f>
        <v>2.7</v>
      </c>
      <c r="C244" s="25">
        <f>COUNTIFS(Support_Tickets!$B$2:$B$4001,A244,Support_Tickets!$J$2:$J$4001,"No")</f>
        <v>14</v>
      </c>
    </row>
    <row r="245" spans="1:3" x14ac:dyDescent="0.35">
      <c r="A245" s="27" t="str">
        <f>Clients!A238</f>
        <v>CLI-0098</v>
      </c>
      <c r="B245">
        <f>IF(Clients!H238="","",Clients!H238)</f>
        <v>4.4000000000000004</v>
      </c>
      <c r="C245" s="25">
        <f>COUNTIFS(Support_Tickets!$B$2:$B$4001,A245,Support_Tickets!$J$2:$J$4001,"No")</f>
        <v>9</v>
      </c>
    </row>
    <row r="246" spans="1:3" x14ac:dyDescent="0.35">
      <c r="A246" s="27" t="str">
        <f>Clients!A239</f>
        <v>CLI-0067</v>
      </c>
      <c r="B246">
        <f>IF(Clients!H239="","",Clients!H239)</f>
        <v>3.2</v>
      </c>
      <c r="C246" s="25">
        <f>COUNTIFS(Support_Tickets!$B$2:$B$4001,A246,Support_Tickets!$J$2:$J$4001,"No")</f>
        <v>5</v>
      </c>
    </row>
    <row r="247" spans="1:3" x14ac:dyDescent="0.35">
      <c r="A247" s="27" t="str">
        <f>Clients!A240</f>
        <v>CLI-0267</v>
      </c>
      <c r="B247">
        <f>IF(Clients!H240="","",Clients!H240)</f>
        <v>4.5999999999999996</v>
      </c>
      <c r="C247" s="25">
        <f>COUNTIFS(Support_Tickets!$B$2:$B$4001,A247,Support_Tickets!$J$2:$J$4001,"No")</f>
        <v>14</v>
      </c>
    </row>
    <row r="248" spans="1:3" x14ac:dyDescent="0.35">
      <c r="A248" s="27" t="str">
        <f>Clients!A241</f>
        <v>CLI-0124</v>
      </c>
      <c r="B248">
        <f>IF(Clients!H241="","",Clients!H241)</f>
        <v>4.0999999999999996</v>
      </c>
      <c r="C248" s="25">
        <f>COUNTIFS(Support_Tickets!$B$2:$B$4001,A248,Support_Tickets!$J$2:$J$4001,"No")</f>
        <v>0</v>
      </c>
    </row>
    <row r="249" spans="1:3" x14ac:dyDescent="0.35">
      <c r="A249" s="27" t="str">
        <f>Clients!A242</f>
        <v>CLI-0287</v>
      </c>
      <c r="B249">
        <f>IF(Clients!H242="","",Clients!H242)</f>
        <v>5</v>
      </c>
      <c r="C249" s="25">
        <f>COUNTIFS(Support_Tickets!$B$2:$B$4001,A249,Support_Tickets!$J$2:$J$4001,"No")</f>
        <v>11</v>
      </c>
    </row>
    <row r="250" spans="1:3" x14ac:dyDescent="0.35">
      <c r="A250" s="27" t="str">
        <f>Clients!A243</f>
        <v>CLI-0221</v>
      </c>
      <c r="B250">
        <f>IF(Clients!H243="","",Clients!H243)</f>
        <v>3.4</v>
      </c>
      <c r="C250" s="25">
        <f>COUNTIFS(Support_Tickets!$B$2:$B$4001,A250,Support_Tickets!$J$2:$J$4001,"No")</f>
        <v>11</v>
      </c>
    </row>
    <row r="251" spans="1:3" x14ac:dyDescent="0.35">
      <c r="A251" s="27" t="str">
        <f>Clients!A244</f>
        <v>CLI-0230</v>
      </c>
      <c r="B251">
        <f>IF(Clients!H244="","",Clients!H244)</f>
        <v>3.9</v>
      </c>
      <c r="C251" s="25">
        <f>COUNTIFS(Support_Tickets!$B$2:$B$4001,A251,Support_Tickets!$J$2:$J$4001,"No")</f>
        <v>8</v>
      </c>
    </row>
    <row r="252" spans="1:3" x14ac:dyDescent="0.35">
      <c r="A252" s="27" t="str">
        <f>Clients!A245</f>
        <v>CLI-0118</v>
      </c>
      <c r="B252">
        <f>IF(Clients!H245="","",Clients!H245)</f>
        <v>4.8</v>
      </c>
      <c r="C252" s="25">
        <f>COUNTIFS(Support_Tickets!$B$2:$B$4001,A252,Support_Tickets!$J$2:$J$4001,"No")</f>
        <v>8</v>
      </c>
    </row>
    <row r="253" spans="1:3" x14ac:dyDescent="0.35">
      <c r="A253" s="27" t="str">
        <f>Clients!A246</f>
        <v>CLI-0288</v>
      </c>
      <c r="B253">
        <f>IF(Clients!H246="","",Clients!H246)</f>
        <v>3.4</v>
      </c>
      <c r="C253" s="25">
        <f>COUNTIFS(Support_Tickets!$B$2:$B$4001,A253,Support_Tickets!$J$2:$J$4001,"No")</f>
        <v>7</v>
      </c>
    </row>
    <row r="254" spans="1:3" x14ac:dyDescent="0.35">
      <c r="A254" s="27" t="str">
        <f>Clients!A247</f>
        <v>CLI-0235</v>
      </c>
      <c r="B254">
        <f>IF(Clients!H247="","",Clients!H247)</f>
        <v>3</v>
      </c>
      <c r="C254" s="25">
        <f>COUNTIFS(Support_Tickets!$B$2:$B$4001,A254,Support_Tickets!$J$2:$J$4001,"No")</f>
        <v>11</v>
      </c>
    </row>
    <row r="255" spans="1:3" x14ac:dyDescent="0.35">
      <c r="A255" s="27" t="str">
        <f>Clients!A248</f>
        <v>CLI-0174</v>
      </c>
      <c r="B255">
        <f>IF(Clients!H248="","",Clients!H248)</f>
        <v>2.8</v>
      </c>
      <c r="C255" s="25">
        <f>COUNTIFS(Support_Tickets!$B$2:$B$4001,A255,Support_Tickets!$J$2:$J$4001,"No")</f>
        <v>7</v>
      </c>
    </row>
    <row r="256" spans="1:3" x14ac:dyDescent="0.35">
      <c r="A256" s="27" t="str">
        <f>Clients!A249</f>
        <v>CLI-0125</v>
      </c>
      <c r="B256">
        <f>IF(Clients!H249="","",Clients!H249)</f>
        <v>3.4</v>
      </c>
      <c r="C256" s="25">
        <f>COUNTIFS(Support_Tickets!$B$2:$B$4001,A256,Support_Tickets!$J$2:$J$4001,"No")</f>
        <v>10</v>
      </c>
    </row>
    <row r="257" spans="1:3" x14ac:dyDescent="0.35">
      <c r="A257" s="27" t="str">
        <f>Clients!A250</f>
        <v>CLI-0248</v>
      </c>
      <c r="B257">
        <f>IF(Clients!H250="","",Clients!H250)</f>
        <v>2.8</v>
      </c>
      <c r="C257" s="25">
        <f>COUNTIFS(Support_Tickets!$B$2:$B$4001,A257,Support_Tickets!$J$2:$J$4001,"No")</f>
        <v>5</v>
      </c>
    </row>
    <row r="258" spans="1:3" x14ac:dyDescent="0.35">
      <c r="A258" s="27" t="str">
        <f>Clients!A251</f>
        <v>CLI-0194</v>
      </c>
      <c r="B258">
        <f>IF(Clients!H251="","",Clients!H251)</f>
        <v>4.5</v>
      </c>
      <c r="C258" s="25">
        <f>COUNTIFS(Support_Tickets!$B$2:$B$4001,A258,Support_Tickets!$J$2:$J$4001,"No")</f>
        <v>7</v>
      </c>
    </row>
    <row r="259" spans="1:3" x14ac:dyDescent="0.35">
      <c r="A259" s="27" t="str">
        <f>Clients!A252</f>
        <v>CLI-0227</v>
      </c>
      <c r="B259">
        <f>IF(Clients!H252="","",Clients!H252)</f>
        <v>2.7</v>
      </c>
      <c r="C259" s="25">
        <f>COUNTIFS(Support_Tickets!$B$2:$B$4001,A259,Support_Tickets!$J$2:$J$4001,"No")</f>
        <v>7</v>
      </c>
    </row>
    <row r="260" spans="1:3" x14ac:dyDescent="0.35">
      <c r="A260" s="27" t="str">
        <f>Clients!A253</f>
        <v>CLI-0129</v>
      </c>
      <c r="B260">
        <f>IF(Clients!H253="","",Clients!H253)</f>
        <v>3.8</v>
      </c>
      <c r="C260" s="25">
        <f>COUNTIFS(Support_Tickets!$B$2:$B$4001,A260,Support_Tickets!$J$2:$J$4001,"No")</f>
        <v>9</v>
      </c>
    </row>
    <row r="261" spans="1:3" x14ac:dyDescent="0.35">
      <c r="A261" s="27" t="str">
        <f>Clients!A254</f>
        <v>CLI-0132</v>
      </c>
      <c r="B261">
        <f>IF(Clients!H254="","",Clients!H254)</f>
        <v>3.2</v>
      </c>
      <c r="C261" s="25">
        <f>COUNTIFS(Support_Tickets!$B$2:$B$4001,A261,Support_Tickets!$J$2:$J$4001,"No")</f>
        <v>10</v>
      </c>
    </row>
    <row r="262" spans="1:3" x14ac:dyDescent="0.35">
      <c r="A262" s="27" t="str">
        <f>Clients!A255</f>
        <v>CLI-0263</v>
      </c>
      <c r="B262">
        <f>IF(Clients!H255="","",Clients!H255)</f>
        <v>3.5</v>
      </c>
      <c r="C262" s="25">
        <f>COUNTIFS(Support_Tickets!$B$2:$B$4001,A262,Support_Tickets!$J$2:$J$4001,"No")</f>
        <v>10</v>
      </c>
    </row>
    <row r="263" spans="1:3" x14ac:dyDescent="0.35">
      <c r="A263" s="27" t="str">
        <f>Clients!A256</f>
        <v>CLI-0060</v>
      </c>
      <c r="B263">
        <f>IF(Clients!H256="","",Clients!H256)</f>
        <v>3.5</v>
      </c>
      <c r="C263" s="25">
        <f>COUNTIFS(Support_Tickets!$B$2:$B$4001,A263,Support_Tickets!$J$2:$J$4001,"No")</f>
        <v>2</v>
      </c>
    </row>
    <row r="264" spans="1:3" x14ac:dyDescent="0.35">
      <c r="A264" s="27" t="str">
        <f>Clients!A257</f>
        <v>CLI-0175</v>
      </c>
      <c r="B264">
        <f>IF(Clients!H257="","",Clients!H257)</f>
        <v>2.8</v>
      </c>
      <c r="C264" s="25">
        <f>COUNTIFS(Support_Tickets!$B$2:$B$4001,A264,Support_Tickets!$J$2:$J$4001,"No")</f>
        <v>7</v>
      </c>
    </row>
    <row r="265" spans="1:3" x14ac:dyDescent="0.35">
      <c r="A265" s="27" t="str">
        <f>Clients!A258</f>
        <v>CLI-0151</v>
      </c>
      <c r="B265">
        <f>IF(Clients!H258="","",Clients!H258)</f>
        <v>2.6</v>
      </c>
      <c r="C265" s="25">
        <f>COUNTIFS(Support_Tickets!$B$2:$B$4001,A265,Support_Tickets!$J$2:$J$4001,"No")</f>
        <v>11</v>
      </c>
    </row>
    <row r="266" spans="1:3" x14ac:dyDescent="0.35">
      <c r="A266" s="27" t="str">
        <f>Clients!A259</f>
        <v>CLI-0258</v>
      </c>
      <c r="B266">
        <f>IF(Clients!H259="","",Clients!H259)</f>
        <v>3.7</v>
      </c>
      <c r="C266" s="25">
        <f>COUNTIFS(Support_Tickets!$B$2:$B$4001,A266,Support_Tickets!$J$2:$J$4001,"No")</f>
        <v>19</v>
      </c>
    </row>
    <row r="267" spans="1:3" x14ac:dyDescent="0.35">
      <c r="A267" s="27" t="str">
        <f>Clients!A260</f>
        <v>CLI-0038</v>
      </c>
      <c r="B267">
        <f>IF(Clients!H260="","",Clients!H260)</f>
        <v>2.6</v>
      </c>
      <c r="C267" s="25">
        <f>COUNTIFS(Support_Tickets!$B$2:$B$4001,A267,Support_Tickets!$J$2:$J$4001,"No")</f>
        <v>9</v>
      </c>
    </row>
    <row r="268" spans="1:3" x14ac:dyDescent="0.35">
      <c r="A268" s="27" t="str">
        <f>Clients!A261</f>
        <v>CLI-0055</v>
      </c>
      <c r="B268">
        <f>IF(Clients!H261="","",Clients!H261)</f>
        <v>3.7</v>
      </c>
      <c r="C268" s="25">
        <f>COUNTIFS(Support_Tickets!$B$2:$B$4001,A268,Support_Tickets!$J$2:$J$4001,"No")</f>
        <v>5</v>
      </c>
    </row>
    <row r="269" spans="1:3" x14ac:dyDescent="0.35">
      <c r="A269" s="27" t="str">
        <f>Clients!A262</f>
        <v>CLI-0260</v>
      </c>
      <c r="B269">
        <f>IF(Clients!H262="","",Clients!H262)</f>
        <v>5</v>
      </c>
      <c r="C269" s="25">
        <f>COUNTIFS(Support_Tickets!$B$2:$B$4001,A269,Support_Tickets!$J$2:$J$4001,"No")</f>
        <v>8</v>
      </c>
    </row>
    <row r="270" spans="1:3" x14ac:dyDescent="0.35">
      <c r="A270" s="27" t="str">
        <f>Clients!A263</f>
        <v>CLI-0209</v>
      </c>
      <c r="B270" t="str">
        <f>IF(Clients!H263="","",Clients!H263)</f>
        <v/>
      </c>
      <c r="C270" s="25">
        <f>COUNTIFS(Support_Tickets!$B$2:$B$4001,A270,Support_Tickets!$J$2:$J$4001,"No")</f>
        <v>7</v>
      </c>
    </row>
    <row r="271" spans="1:3" x14ac:dyDescent="0.35">
      <c r="A271" s="27" t="str">
        <f>Clients!A264</f>
        <v>CLI-0134</v>
      </c>
      <c r="B271">
        <f>IF(Clients!H264="","",Clients!H264)</f>
        <v>4.4000000000000004</v>
      </c>
      <c r="C271" s="25">
        <f>COUNTIFS(Support_Tickets!$B$2:$B$4001,A271,Support_Tickets!$J$2:$J$4001,"No")</f>
        <v>9</v>
      </c>
    </row>
    <row r="272" spans="1:3" x14ac:dyDescent="0.35">
      <c r="A272" s="27" t="str">
        <f>Clients!A265</f>
        <v>CLI-0003</v>
      </c>
      <c r="B272">
        <f>IF(Clients!H265="","",Clients!H265)</f>
        <v>3.2</v>
      </c>
      <c r="C272" s="25">
        <f>COUNTIFS(Support_Tickets!$B$2:$B$4001,A272,Support_Tickets!$J$2:$J$4001,"No")</f>
        <v>13</v>
      </c>
    </row>
    <row r="273" spans="1:3" x14ac:dyDescent="0.35">
      <c r="A273" s="27" t="str">
        <f>Clients!A266</f>
        <v>CLI-0207</v>
      </c>
      <c r="B273">
        <f>IF(Clients!H266="","",Clients!H266)</f>
        <v>4.5999999999999996</v>
      </c>
      <c r="C273" s="25">
        <f>COUNTIFS(Support_Tickets!$B$2:$B$4001,A273,Support_Tickets!$J$2:$J$4001,"No")</f>
        <v>7</v>
      </c>
    </row>
    <row r="274" spans="1:3" x14ac:dyDescent="0.35">
      <c r="A274" s="27" t="str">
        <f>Clients!A267</f>
        <v>CLI-0233</v>
      </c>
      <c r="B274">
        <f>IF(Clients!H267="","",Clients!H267)</f>
        <v>4.5999999999999996</v>
      </c>
      <c r="C274" s="25">
        <f>COUNTIFS(Support_Tickets!$B$2:$B$4001,A274,Support_Tickets!$J$2:$J$4001,"No")</f>
        <v>5</v>
      </c>
    </row>
    <row r="275" spans="1:3" x14ac:dyDescent="0.35">
      <c r="A275" s="27" t="str">
        <f>Clients!A268</f>
        <v>CLI-0147</v>
      </c>
      <c r="B275">
        <f>IF(Clients!H268="","",Clients!H268)</f>
        <v>4.3</v>
      </c>
      <c r="C275" s="25">
        <f>COUNTIFS(Support_Tickets!$B$2:$B$4001,A275,Support_Tickets!$J$2:$J$4001,"No")</f>
        <v>10</v>
      </c>
    </row>
    <row r="276" spans="1:3" x14ac:dyDescent="0.35">
      <c r="A276" s="27" t="str">
        <f>Clients!A269</f>
        <v>CLI-0116</v>
      </c>
      <c r="B276">
        <f>IF(Clients!H269="","",Clients!H269)</f>
        <v>2.8</v>
      </c>
      <c r="C276" s="25">
        <f>COUNTIFS(Support_Tickets!$B$2:$B$4001,A276,Support_Tickets!$J$2:$J$4001,"No")</f>
        <v>6</v>
      </c>
    </row>
    <row r="277" spans="1:3" x14ac:dyDescent="0.35">
      <c r="A277" s="27" t="str">
        <f>Clients!A270</f>
        <v>CLI-0294</v>
      </c>
      <c r="B277">
        <f>IF(Clients!H270="","",Clients!H270)</f>
        <v>3.1</v>
      </c>
      <c r="C277" s="25">
        <f>COUNTIFS(Support_Tickets!$B$2:$B$4001,A277,Support_Tickets!$J$2:$J$4001,"No")</f>
        <v>0</v>
      </c>
    </row>
    <row r="278" spans="1:3" x14ac:dyDescent="0.35">
      <c r="A278" s="27" t="str">
        <f>Clients!A271</f>
        <v>CLI-0178</v>
      </c>
      <c r="B278">
        <f>IF(Clients!H271="","",Clients!H271)</f>
        <v>2.8</v>
      </c>
      <c r="C278" s="25">
        <f>COUNTIFS(Support_Tickets!$B$2:$B$4001,A278,Support_Tickets!$J$2:$J$4001,"No")</f>
        <v>7</v>
      </c>
    </row>
    <row r="279" spans="1:3" x14ac:dyDescent="0.35">
      <c r="A279" s="27" t="str">
        <f>Clients!A272</f>
        <v>CLI-0179</v>
      </c>
      <c r="B279">
        <f>IF(Clients!H272="","",Clients!H272)</f>
        <v>3</v>
      </c>
      <c r="C279" s="25">
        <f>COUNTIFS(Support_Tickets!$B$2:$B$4001,A279,Support_Tickets!$J$2:$J$4001,"No")</f>
        <v>13</v>
      </c>
    </row>
    <row r="280" spans="1:3" x14ac:dyDescent="0.35">
      <c r="A280" s="27" t="str">
        <f>Clients!A273</f>
        <v>CLI-0146</v>
      </c>
      <c r="B280">
        <f>IF(Clients!H273="","",Clients!H273)</f>
        <v>4.5999999999999996</v>
      </c>
      <c r="C280" s="25">
        <f>COUNTIFS(Support_Tickets!$B$2:$B$4001,A280,Support_Tickets!$J$2:$J$4001,"No")</f>
        <v>4</v>
      </c>
    </row>
    <row r="281" spans="1:3" x14ac:dyDescent="0.35">
      <c r="A281" s="27" t="str">
        <f>Clients!A274</f>
        <v>CLI-0282</v>
      </c>
      <c r="B281">
        <f>IF(Clients!H274="","",Clients!H274)</f>
        <v>4.3</v>
      </c>
      <c r="C281" s="25">
        <f>COUNTIFS(Support_Tickets!$B$2:$B$4001,A281,Support_Tickets!$J$2:$J$4001,"No")</f>
        <v>8</v>
      </c>
    </row>
    <row r="282" spans="1:3" x14ac:dyDescent="0.35">
      <c r="A282" s="27" t="str">
        <f>Clients!A275</f>
        <v>CLI-0036</v>
      </c>
      <c r="B282">
        <f>IF(Clients!H275="","",Clients!H275)</f>
        <v>4.7</v>
      </c>
      <c r="C282" s="25">
        <f>COUNTIFS(Support_Tickets!$B$2:$B$4001,A282,Support_Tickets!$J$2:$J$4001,"No")</f>
        <v>12</v>
      </c>
    </row>
    <row r="283" spans="1:3" x14ac:dyDescent="0.35">
      <c r="A283" s="27" t="str">
        <f>Clients!A276</f>
        <v>CLI-0008</v>
      </c>
      <c r="B283">
        <f>IF(Clients!H276="","",Clients!H276)</f>
        <v>3.9</v>
      </c>
      <c r="C283" s="25">
        <f>COUNTIFS(Support_Tickets!$B$2:$B$4001,A283,Support_Tickets!$J$2:$J$4001,"No")</f>
        <v>12</v>
      </c>
    </row>
    <row r="284" spans="1:3" x14ac:dyDescent="0.35">
      <c r="A284" s="27" t="str">
        <f>Clients!A277</f>
        <v>CLI-0103</v>
      </c>
      <c r="B284">
        <f>IF(Clients!H277="","",Clients!H277)</f>
        <v>4.5999999999999996</v>
      </c>
      <c r="C284" s="25">
        <f>COUNTIFS(Support_Tickets!$B$2:$B$4001,A284,Support_Tickets!$J$2:$J$4001,"No")</f>
        <v>10</v>
      </c>
    </row>
    <row r="285" spans="1:3" x14ac:dyDescent="0.35">
      <c r="A285" s="27" t="str">
        <f>Clients!A278</f>
        <v>CLI-0208</v>
      </c>
      <c r="B285" t="str">
        <f>IF(Clients!H278="","",Clients!H278)</f>
        <v/>
      </c>
      <c r="C285" s="25">
        <f>COUNTIFS(Support_Tickets!$B$2:$B$4001,A285,Support_Tickets!$J$2:$J$4001,"No")</f>
        <v>8</v>
      </c>
    </row>
    <row r="286" spans="1:3" x14ac:dyDescent="0.35">
      <c r="A286" s="27" t="str">
        <f>Clients!A279</f>
        <v>CLI-0203</v>
      </c>
      <c r="B286">
        <f>IF(Clients!H279="","",Clients!H279)</f>
        <v>4.4000000000000004</v>
      </c>
      <c r="C286" s="25">
        <f>COUNTIFS(Support_Tickets!$B$2:$B$4001,A286,Support_Tickets!$J$2:$J$4001,"No")</f>
        <v>9</v>
      </c>
    </row>
    <row r="287" spans="1:3" x14ac:dyDescent="0.35">
      <c r="A287" s="27" t="str">
        <f>Clients!A280</f>
        <v>CLI-0181</v>
      </c>
      <c r="B287">
        <f>IF(Clients!H280="","",Clients!H280)</f>
        <v>3.7</v>
      </c>
      <c r="C287" s="25">
        <f>COUNTIFS(Support_Tickets!$B$2:$B$4001,A287,Support_Tickets!$J$2:$J$4001,"No")</f>
        <v>12</v>
      </c>
    </row>
    <row r="288" spans="1:3" x14ac:dyDescent="0.35">
      <c r="A288" s="27" t="str">
        <f>Clients!A281</f>
        <v>CLI-0205</v>
      </c>
      <c r="B288">
        <f>IF(Clients!H281="","",Clients!H281)</f>
        <v>2.8</v>
      </c>
      <c r="C288" s="25">
        <f>COUNTIFS(Support_Tickets!$B$2:$B$4001,A288,Support_Tickets!$J$2:$J$4001,"No")</f>
        <v>4</v>
      </c>
    </row>
    <row r="289" spans="1:3" x14ac:dyDescent="0.35">
      <c r="A289" s="27" t="str">
        <f>Clients!A282</f>
        <v>CLI-0142</v>
      </c>
      <c r="B289">
        <f>IF(Clients!H282="","",Clients!H282)</f>
        <v>2.8</v>
      </c>
      <c r="C289" s="25">
        <f>COUNTIFS(Support_Tickets!$B$2:$B$4001,A289,Support_Tickets!$J$2:$J$4001,"No")</f>
        <v>6</v>
      </c>
    </row>
    <row r="290" spans="1:3" x14ac:dyDescent="0.35">
      <c r="A290" s="27" t="str">
        <f>Clients!A283</f>
        <v>CLI-0045</v>
      </c>
      <c r="B290">
        <f>IF(Clients!H283="","",Clients!H283)</f>
        <v>3.5</v>
      </c>
      <c r="C290" s="25">
        <f>COUNTIFS(Support_Tickets!$B$2:$B$4001,A290,Support_Tickets!$J$2:$J$4001,"No")</f>
        <v>8</v>
      </c>
    </row>
    <row r="291" spans="1:3" x14ac:dyDescent="0.35">
      <c r="A291" s="27" t="str">
        <f>Clients!A284</f>
        <v>CLI-0081</v>
      </c>
      <c r="B291">
        <f>IF(Clients!H284="","",Clients!H284)</f>
        <v>4.2</v>
      </c>
      <c r="C291" s="25">
        <f>COUNTIFS(Support_Tickets!$B$2:$B$4001,A291,Support_Tickets!$J$2:$J$4001,"No")</f>
        <v>5</v>
      </c>
    </row>
    <row r="292" spans="1:3" x14ac:dyDescent="0.35">
      <c r="A292" s="27" t="str">
        <f>Clients!A285</f>
        <v>CLI-0001</v>
      </c>
      <c r="B292">
        <f>IF(Clients!H285="","",Clients!H285)</f>
        <v>4.4000000000000004</v>
      </c>
      <c r="C292" s="25">
        <f>COUNTIFS(Support_Tickets!$B$2:$B$4001,A292,Support_Tickets!$J$2:$J$4001,"No")</f>
        <v>11</v>
      </c>
    </row>
    <row r="293" spans="1:3" x14ac:dyDescent="0.35">
      <c r="A293" s="27" t="str">
        <f>Clients!A286</f>
        <v>CLI-0123</v>
      </c>
      <c r="B293">
        <f>IF(Clients!H286="","",Clients!H286)</f>
        <v>3.7</v>
      </c>
      <c r="C293" s="25">
        <f>COUNTIFS(Support_Tickets!$B$2:$B$4001,A293,Support_Tickets!$J$2:$J$4001,"No")</f>
        <v>5</v>
      </c>
    </row>
    <row r="294" spans="1:3" x14ac:dyDescent="0.35">
      <c r="A294" s="27" t="str">
        <f>Clients!A287</f>
        <v>CLI-0185</v>
      </c>
      <c r="B294" t="str">
        <f>IF(Clients!H287="","",Clients!H287)</f>
        <v/>
      </c>
      <c r="C294" s="25">
        <f>COUNTIFS(Support_Tickets!$B$2:$B$4001,A294,Support_Tickets!$J$2:$J$4001,"No")</f>
        <v>16</v>
      </c>
    </row>
    <row r="295" spans="1:3" x14ac:dyDescent="0.35">
      <c r="A295" s="27" t="str">
        <f>Clients!A288</f>
        <v>CLI-0019</v>
      </c>
      <c r="B295">
        <f>IF(Clients!H288="","",Clients!H288)</f>
        <v>3.3</v>
      </c>
      <c r="C295" s="25">
        <f>COUNTIFS(Support_Tickets!$B$2:$B$4001,A295,Support_Tickets!$J$2:$J$4001,"No")</f>
        <v>6</v>
      </c>
    </row>
    <row r="296" spans="1:3" x14ac:dyDescent="0.35">
      <c r="A296" s="27" t="str">
        <f>Clients!A289</f>
        <v>CLI-0087</v>
      </c>
      <c r="B296">
        <f>IF(Clients!H289="","",Clients!H289)</f>
        <v>3.8</v>
      </c>
      <c r="C296" s="25">
        <f>COUNTIFS(Support_Tickets!$B$2:$B$4001,A296,Support_Tickets!$J$2:$J$4001,"No")</f>
        <v>8</v>
      </c>
    </row>
    <row r="297" spans="1:3" x14ac:dyDescent="0.35">
      <c r="A297" s="27" t="str">
        <f>Clients!A290</f>
        <v>CLI-0119</v>
      </c>
      <c r="B297">
        <f>IF(Clients!H290="","",Clients!H290)</f>
        <v>2.9</v>
      </c>
      <c r="C297" s="25">
        <f>COUNTIFS(Support_Tickets!$B$2:$B$4001,A297,Support_Tickets!$J$2:$J$4001,"No")</f>
        <v>7</v>
      </c>
    </row>
    <row r="298" spans="1:3" x14ac:dyDescent="0.35">
      <c r="A298" s="27" t="str">
        <f>Clients!A291</f>
        <v>CLI-0265</v>
      </c>
      <c r="B298">
        <f>IF(Clients!H291="","",Clients!H291)</f>
        <v>3.5</v>
      </c>
      <c r="C298" s="25">
        <f>COUNTIFS(Support_Tickets!$B$2:$B$4001,A298,Support_Tickets!$J$2:$J$4001,"No")</f>
        <v>7</v>
      </c>
    </row>
    <row r="299" spans="1:3" x14ac:dyDescent="0.35">
      <c r="A299" s="27" t="str">
        <f>Clients!A292</f>
        <v>CLI-0262</v>
      </c>
      <c r="B299">
        <f>IF(Clients!H292="","",Clients!H292)</f>
        <v>4.0999999999999996</v>
      </c>
      <c r="C299" s="25">
        <f>COUNTIFS(Support_Tickets!$B$2:$B$4001,A299,Support_Tickets!$J$2:$J$4001,"No")</f>
        <v>9</v>
      </c>
    </row>
    <row r="300" spans="1:3" x14ac:dyDescent="0.35">
      <c r="A300" s="27" t="str">
        <f>Clients!A293</f>
        <v>CLI-0018</v>
      </c>
      <c r="B300">
        <f>IF(Clients!H293="","",Clients!H293)</f>
        <v>4.2</v>
      </c>
      <c r="C300" s="25">
        <f>COUNTIFS(Support_Tickets!$B$2:$B$4001,A300,Support_Tickets!$J$2:$J$4001,"No")</f>
        <v>7</v>
      </c>
    </row>
    <row r="301" spans="1:3" x14ac:dyDescent="0.35">
      <c r="A301" s="27" t="str">
        <f>Clients!A294</f>
        <v>CLI-0100</v>
      </c>
      <c r="B301">
        <f>IF(Clients!H294="","",Clients!H294)</f>
        <v>4.7</v>
      </c>
      <c r="C301" s="25">
        <f>COUNTIFS(Support_Tickets!$B$2:$B$4001,A301,Support_Tickets!$J$2:$J$4001,"No")</f>
        <v>4</v>
      </c>
    </row>
    <row r="302" spans="1:3" x14ac:dyDescent="0.35">
      <c r="A302" s="27" t="str">
        <f>Clients!A295</f>
        <v>CLI-0266</v>
      </c>
      <c r="B302">
        <f>IF(Clients!H295="","",Clients!H295)</f>
        <v>4.3</v>
      </c>
      <c r="C302" s="25">
        <f>COUNTIFS(Support_Tickets!$B$2:$B$4001,A302,Support_Tickets!$J$2:$J$4001,"No")</f>
        <v>12</v>
      </c>
    </row>
    <row r="303" spans="1:3" x14ac:dyDescent="0.35">
      <c r="A303" s="27" t="str">
        <f>Clients!A296</f>
        <v>CLI-0104</v>
      </c>
      <c r="B303">
        <f>IF(Clients!H296="","",Clients!H296)</f>
        <v>3.7</v>
      </c>
      <c r="C303" s="25">
        <f>COUNTIFS(Support_Tickets!$B$2:$B$4001,A303,Support_Tickets!$J$2:$J$4001,"No")</f>
        <v>14</v>
      </c>
    </row>
    <row r="304" spans="1:3" x14ac:dyDescent="0.35">
      <c r="A304" s="27" t="str">
        <f>Clients!A297</f>
        <v>CLI-0006</v>
      </c>
      <c r="B304">
        <f>IF(Clients!H297="","",Clients!H297)</f>
        <v>4.8</v>
      </c>
      <c r="C304" s="25">
        <f>COUNTIFS(Support_Tickets!$B$2:$B$4001,A304,Support_Tickets!$J$2:$J$4001,"No")</f>
        <v>4</v>
      </c>
    </row>
    <row r="305" spans="1:3" x14ac:dyDescent="0.35">
      <c r="A305" s="27" t="str">
        <f>Clients!A298</f>
        <v>CLI-0225</v>
      </c>
      <c r="B305">
        <f>IF(Clients!H298="","",Clients!H298)</f>
        <v>3.6</v>
      </c>
      <c r="C305" s="25">
        <f>COUNTIFS(Support_Tickets!$B$2:$B$4001,A305,Support_Tickets!$J$2:$J$4001,"No")</f>
        <v>8</v>
      </c>
    </row>
    <row r="306" spans="1:3" x14ac:dyDescent="0.35">
      <c r="A306" s="27" t="str">
        <f>Clients!A299</f>
        <v>CLI-0254</v>
      </c>
      <c r="B306">
        <f>IF(Clients!H299="","",Clients!H299)</f>
        <v>4.2</v>
      </c>
      <c r="C306" s="25">
        <f>COUNTIFS(Support_Tickets!$B$2:$B$4001,A306,Support_Tickets!$J$2:$J$4001,"No")</f>
        <v>4</v>
      </c>
    </row>
    <row r="307" spans="1:3" x14ac:dyDescent="0.35">
      <c r="A307" s="27" t="str">
        <f>Clients!A300</f>
        <v>CLI-0090</v>
      </c>
      <c r="B307">
        <f>IF(Clients!H300="","",Clients!H300)</f>
        <v>4</v>
      </c>
      <c r="C307" s="25">
        <f>COUNTIFS(Support_Tickets!$B$2:$B$4001,A307,Support_Tickets!$J$2:$J$4001,"No")</f>
        <v>7</v>
      </c>
    </row>
    <row r="308" spans="1:3" x14ac:dyDescent="0.35">
      <c r="A308" s="27" t="str">
        <f>Clients!A301</f>
        <v>CLI-0030</v>
      </c>
      <c r="B308">
        <f>IF(Clients!H301="","",Clients!H301)</f>
        <v>3.8</v>
      </c>
      <c r="C308" s="25">
        <f>COUNTIFS(Support_Tickets!$B$2:$B$4001,A308,Support_Tickets!$J$2:$J$4001,"No")</f>
        <v>4</v>
      </c>
    </row>
    <row r="309" spans="1:3" x14ac:dyDescent="0.35">
      <c r="A309" s="27"/>
      <c r="C309" s="25"/>
    </row>
  </sheetData>
  <mergeCells count="2">
    <mergeCell ref="A1:N1"/>
    <mergeCell ref="H15:K15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F18C-B409-4B45-B3DC-BB2379E73959}">
  <dimension ref="A1:O29"/>
  <sheetViews>
    <sheetView workbookViewId="0">
      <selection activeCell="H8" sqref="H8"/>
    </sheetView>
  </sheetViews>
  <sheetFormatPr defaultColWidth="12.6328125" defaultRowHeight="14.5" x14ac:dyDescent="0.35"/>
  <cols>
    <col min="1" max="1" width="21.6328125" customWidth="1"/>
    <col min="2" max="2" width="26.6328125" customWidth="1"/>
    <col min="3" max="3" width="19.26953125" customWidth="1"/>
    <col min="4" max="4" width="12.81640625" customWidth="1"/>
    <col min="5" max="5" width="18.26953125" customWidth="1"/>
    <col min="6" max="6" width="17" customWidth="1"/>
    <col min="8" max="8" width="18.6328125" bestFit="1" customWidth="1"/>
    <col min="9" max="9" width="15.54296875" customWidth="1"/>
  </cols>
  <sheetData>
    <row r="1" spans="1:15" ht="31" x14ac:dyDescent="0.7">
      <c r="A1" s="87" t="s">
        <v>8544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3" spans="1:15" x14ac:dyDescent="0.35">
      <c r="A3" s="26" t="s">
        <v>8545</v>
      </c>
    </row>
    <row r="4" spans="1:15" x14ac:dyDescent="0.35">
      <c r="A4" s="26" t="s">
        <v>8546</v>
      </c>
    </row>
    <row r="6" spans="1:15" x14ac:dyDescent="0.35">
      <c r="A6" s="50" t="s">
        <v>1879</v>
      </c>
      <c r="B6" s="48" t="s">
        <v>8547</v>
      </c>
      <c r="C6" s="48" t="s">
        <v>8548</v>
      </c>
      <c r="D6" s="48" t="s">
        <v>8549</v>
      </c>
      <c r="E6" s="48" t="s">
        <v>8550</v>
      </c>
      <c r="F6" s="49" t="s">
        <v>8551</v>
      </c>
    </row>
    <row r="7" spans="1:15" x14ac:dyDescent="0.35">
      <c r="A7" s="43" t="s">
        <v>8552</v>
      </c>
      <c r="B7" s="43">
        <v>1</v>
      </c>
      <c r="C7" s="43">
        <f>SUMIFS(Marketing_Campaigns!$G$2:$G$151,Marketing_Campaigns!$E$2:$E$151,"&gt;="&amp;DATE(2023,1,1),Marketing_Campaigns!$E$2:$E$151,"&lt;"&amp;DATE(2023,4,1))</f>
        <v>13751382</v>
      </c>
      <c r="D7" s="43">
        <f>SUMIFS(Marketing_Campaigns!$J$2:$J$151,Marketing_Campaigns!$E$2:$E$151,"&gt;="&amp;DATE(2023,1,1),Marketing_Campaigns!$E$2:$E$151,"&lt;"&amp;DATE(2023,4,1))</f>
        <v>36025</v>
      </c>
      <c r="E7" s="43">
        <f>SUMIFS(Marketing_Campaigns!$L$2:$L$151,Marketing_Campaigns!$E$2:$E$151,"&gt;="&amp;DATE(2023,1,1),Marketing_Campaigns!$E$2:$E$151,"&lt;"&amp;DATE(2023,4,1))</f>
        <v>3371</v>
      </c>
      <c r="F7" s="44">
        <f>E7/D7</f>
        <v>9.3573907009021517E-2</v>
      </c>
    </row>
    <row r="8" spans="1:15" x14ac:dyDescent="0.35">
      <c r="A8" s="43" t="s">
        <v>8553</v>
      </c>
      <c r="B8" s="43">
        <v>2</v>
      </c>
      <c r="C8" s="45">
        <f>SUMIFS(Marketing_Campaigns!$G$2:$G$151,Marketing_Campaigns!$E$2:$E$151,"&gt;="&amp;DATE(2023,4,1),Marketing_Campaigns!$E$2:$E$151,"&lt;"&amp;DATE(2023,7,1))</f>
        <v>8650941</v>
      </c>
      <c r="D8" s="45">
        <f>SUMIFS(Marketing_Campaigns!$J$2:$J$151,Marketing_Campaigns!$E$2:$E$151,"&gt;="&amp;DATE(2023,4,1),Marketing_Campaigns!$E$2:$E$151,"&lt;"&amp;DATE(2023,7,1))</f>
        <v>14806</v>
      </c>
      <c r="E8" s="45">
        <f>SUMIFS(Marketing_Campaigns!$L$2:$L$151,Marketing_Campaigns!$E$2:$E$151,"&gt;="&amp;DATE(2023,4,1),Marketing_Campaigns!$E$2:$E$151,"&lt;"&amp;DATE(2023,7,1))</f>
        <v>1266</v>
      </c>
      <c r="F8" s="44">
        <f t="shared" ref="F8:F15" si="0">E8/D8</f>
        <v>8.5505875996217756E-2</v>
      </c>
    </row>
    <row r="9" spans="1:15" x14ac:dyDescent="0.35">
      <c r="A9" s="43" t="s">
        <v>8554</v>
      </c>
      <c r="B9" s="43">
        <v>3</v>
      </c>
      <c r="C9" s="43">
        <f>SUMIFS(Marketing_Campaigns!$G$2:$G$151,Marketing_Campaigns!$E$2:$E$151,"&gt;="&amp;DATE(2023,7,1),Marketing_Campaigns!$E$2:$E$151,"&lt;"&amp;DATE(2023,10,1))</f>
        <v>10702434</v>
      </c>
      <c r="D9" s="43">
        <f>SUMIFS(Marketing_Campaigns!$J$2:$J$151,Marketing_Campaigns!$E$2:$E$151,"&gt;="&amp;DATE(2023,7,1),Marketing_Campaigns!$E$2:$E$151,"&lt;"&amp;DATE(2023,10,1))</f>
        <v>21615</v>
      </c>
      <c r="E9" s="43">
        <f>SUMIFS(Marketing_Campaigns!$L$2:$L$151,Marketing_Campaigns!$E$2:$E$151,"&gt;="&amp;DATE(2023,7,1),Marketing_Campaigns!$E$2:$E$151,"&lt;"&amp;DATE(2023,10,1))</f>
        <v>2255</v>
      </c>
      <c r="F9" s="44">
        <f t="shared" si="0"/>
        <v>0.10432569974554708</v>
      </c>
    </row>
    <row r="10" spans="1:15" x14ac:dyDescent="0.35">
      <c r="A10" s="43" t="s">
        <v>8555</v>
      </c>
      <c r="B10" s="43">
        <v>4</v>
      </c>
      <c r="C10" s="43">
        <f>SUMIFS(Marketing_Campaigns!$G$2:$G$151,Marketing_Campaigns!$E$2:$E$151,"&gt;="&amp;DATE(2023,10,1),Marketing_Campaigns!$E$2:$E$151,"&lt;"&amp;DATE(2024,1,1))</f>
        <v>16358958</v>
      </c>
      <c r="D10" s="43">
        <f>SUMIFS(Marketing_Campaigns!$J$2:$J$151,Marketing_Campaigns!$E$2:$E$151,"&gt;="&amp;DATE(2023,10,1),Marketing_Campaigns!$E$2:$E$151,"&lt;"&amp;DATE(2024,1,1))</f>
        <v>31737</v>
      </c>
      <c r="E10" s="43">
        <f>SUMIFS(Marketing_Campaigns!$L$2:$L$151,Marketing_Campaigns!$E$2:$E$151,"&gt;="&amp;DATE(2023,10,1),Marketing_Campaigns!$E$2:$E$151,"&lt;"&amp;DATE(2024,1,1))</f>
        <v>2752</v>
      </c>
      <c r="F10" s="44">
        <f t="shared" si="0"/>
        <v>8.6712669754545169E-2</v>
      </c>
    </row>
    <row r="11" spans="1:15" x14ac:dyDescent="0.35">
      <c r="A11" s="43" t="s">
        <v>8556</v>
      </c>
      <c r="B11" s="43">
        <v>5</v>
      </c>
      <c r="C11" s="43">
        <f>SUMIFS(Marketing_Campaigns!$G$2:$G$151,Marketing_Campaigns!$E$2:$E$151,"&gt;="&amp;DATE(2024,1,1),Marketing_Campaigns!$E$2:$E$151,"&lt;"&amp;DATE(2024,4,1))</f>
        <v>17568102</v>
      </c>
      <c r="D11" s="43">
        <f>SUMIFS(Marketing_Campaigns!$J$2:$J$151,Marketing_Campaigns!$E$2:$E$151,"&gt;="&amp;DATE(2024,1,1),Marketing_Campaigns!$E$2:$E$151,"&lt;"&amp;DATE(2024,4,1))</f>
        <v>35424</v>
      </c>
      <c r="E11" s="43">
        <f>SUMIFS(Marketing_Campaigns!$L$2:$L$151,Marketing_Campaigns!$E$2:$E$151,"&gt;="&amp;DATE(2024,1,1),Marketing_Campaigns!$E$2:$E$151,"&lt;"&amp;DATE(2024,4,1))</f>
        <v>2801</v>
      </c>
      <c r="F11" s="44">
        <f t="shared" si="0"/>
        <v>7.9070686540198734E-2</v>
      </c>
    </row>
    <row r="12" spans="1:15" x14ac:dyDescent="0.35">
      <c r="A12" s="43" t="s">
        <v>8557</v>
      </c>
      <c r="B12" s="43">
        <v>6</v>
      </c>
      <c r="C12" s="43">
        <f>SUMIFS(Marketing_Campaigns!$G$2:$G$151,Marketing_Campaigns!$E$2:$E$151,"&gt;="&amp;DATE(2024,4,1),Marketing_Campaigns!$E$2:$E$151,"&lt;"&amp;DATE(2024,7,1))</f>
        <v>12762706</v>
      </c>
      <c r="D12" s="43">
        <f>SUMIFS(Marketing_Campaigns!$J$2:$J$151,Marketing_Campaigns!$E$2:$E$151,"&gt;="&amp;DATE(2024,4,1),Marketing_Campaigns!$E$2:$E$151,"&lt;"&amp;DATE(2024,7,1))</f>
        <v>35699</v>
      </c>
      <c r="E12" s="43">
        <f>SUMIFS(Marketing_Campaigns!$L$2:$L$151,Marketing_Campaigns!$E$2:$E$151,"&gt;="&amp;DATE(2024,4,1),Marketing_Campaigns!$E$2:$E$151,"&lt;"&amp;DATE(2024,7,1))</f>
        <v>2970</v>
      </c>
      <c r="F12" s="44">
        <f t="shared" si="0"/>
        <v>8.3195607720104203E-2</v>
      </c>
    </row>
    <row r="13" spans="1:15" x14ac:dyDescent="0.35">
      <c r="A13" s="43" t="s">
        <v>8558</v>
      </c>
      <c r="B13" s="43">
        <v>7</v>
      </c>
      <c r="C13" s="43">
        <f>SUMIFS(Marketing_Campaigns!$G$2:$G$151,Marketing_Campaigns!$E$2:$E$151,"&gt;="&amp;DATE(2024,7,1),Marketing_Campaigns!$E$2:$E$151,"&lt;"&amp;DATE(2024,10,1))</f>
        <v>22057177</v>
      </c>
      <c r="D13" s="43">
        <f>SUMIFS(Marketing_Campaigns!$J$2:$J$151,Marketing_Campaigns!$E$2:$E$151,"&gt;="&amp;DATE(2024,7,1),Marketing_Campaigns!$E$2:$E$151,"&lt;"&amp;DATE(2024,10,1))</f>
        <v>33435</v>
      </c>
      <c r="E13" s="43">
        <f>SUMIFS(Marketing_Campaigns!$L$2:$L$151,Marketing_Campaigns!$E$2:$E$151,"&gt;="&amp;DATE(2024,7,1),Marketing_Campaigns!$E$2:$E$151,"&lt;"&amp;DATE(2024,10,1))</f>
        <v>2604</v>
      </c>
      <c r="F13" s="44">
        <f t="shared" si="0"/>
        <v>7.7882458501570218E-2</v>
      </c>
    </row>
    <row r="14" spans="1:15" x14ac:dyDescent="0.35">
      <c r="A14" s="43" t="s">
        <v>8559</v>
      </c>
      <c r="B14" s="43">
        <v>8</v>
      </c>
      <c r="C14" s="43">
        <f>SUMIFS(Marketing_Campaigns!$G$2:$G$151,Marketing_Campaigns!$E$2:$E$151,"&gt;="&amp;DATE(2024,10,1),Marketing_Campaigns!$E$2:$E$151,"&lt;"&amp;DATE(2025,1,1))</f>
        <v>11642560</v>
      </c>
      <c r="D14" s="43">
        <f>SUMIFS(Marketing_Campaigns!$J$2:$J$151,Marketing_Campaigns!$E$2:$E$151,"&gt;="&amp;DATE(2024,10,1),Marketing_Campaigns!$E$2:$E$151,"&lt;"&amp;DATE(2025,1,1))</f>
        <v>34862</v>
      </c>
      <c r="E14" s="43">
        <f>SUMIFS(Marketing_Campaigns!$L$2:$L$151,Marketing_Campaigns!$E$2:$E$151,"&gt;="&amp;DATE(2024,10,1),Marketing_Campaigns!$E$2:$E$151,"&lt;"&amp;DATE(2025,1,1))</f>
        <v>2896</v>
      </c>
      <c r="F14" s="44">
        <f t="shared" si="0"/>
        <v>8.3070391830646545E-2</v>
      </c>
    </row>
    <row r="15" spans="1:15" x14ac:dyDescent="0.35">
      <c r="A15" s="46" t="s">
        <v>8560</v>
      </c>
      <c r="B15" s="46">
        <v>9</v>
      </c>
      <c r="C15" s="46">
        <f>SUMIFS(Marketing_Campaigns!$G$2:$G$151,Marketing_Campaigns!$E$2:$E$151,"&gt;="&amp;DATE(2025,1,1),Marketing_Campaigns!$E$2:$E$151,"&lt;"&amp;DATE(2025,4,1))</f>
        <v>5756255</v>
      </c>
      <c r="D15" s="46">
        <f>SUMIFS(Marketing_Campaigns!$J$2:$J$151,Marketing_Campaigns!$E$2:$E$151,"&gt;="&amp;DATE(2025,1,1),Marketing_Campaigns!$E$2:$E$151,"&lt;"&amp;DATE(2025,4,1))</f>
        <v>14737</v>
      </c>
      <c r="E15" s="46">
        <f>SUMIFS(Marketing_Campaigns!$L$2:$L$151,Marketing_Campaigns!$E$2:$E$151,"&gt;="&amp;DATE(2025,1,1),Marketing_Campaigns!$E$2:$E$151,"&lt;"&amp;DATE(2025,4,1))</f>
        <v>1185</v>
      </c>
      <c r="F15" s="47">
        <f t="shared" si="0"/>
        <v>8.0409852751577665E-2</v>
      </c>
    </row>
    <row r="17" spans="1:4" ht="18.5" x14ac:dyDescent="0.45">
      <c r="A17" s="52" t="s">
        <v>8563</v>
      </c>
      <c r="B17" s="52"/>
      <c r="C17" s="42"/>
      <c r="D17" s="41"/>
    </row>
    <row r="18" spans="1:4" x14ac:dyDescent="0.35">
      <c r="A18" s="53" t="s">
        <v>8561</v>
      </c>
      <c r="B18" s="54">
        <f>SLOPE(C7:C15,B7:B15)</f>
        <v>-64873.616666666669</v>
      </c>
    </row>
    <row r="19" spans="1:4" x14ac:dyDescent="0.35">
      <c r="A19" s="53" t="s">
        <v>8562</v>
      </c>
      <c r="B19" s="55">
        <f>CORREL(B7:B15,C7:C15)</f>
        <v>-3.6194985519097701E-2</v>
      </c>
    </row>
    <row r="20" spans="1:4" x14ac:dyDescent="0.35">
      <c r="A20" s="53" t="s">
        <v>8534</v>
      </c>
      <c r="B20" s="56">
        <f>B19*SQRT(7)/SQRT(1-B19^2)</f>
        <v>-9.582572049792612E-2</v>
      </c>
    </row>
    <row r="21" spans="1:4" x14ac:dyDescent="0.35">
      <c r="A21" s="53" t="s">
        <v>8543</v>
      </c>
      <c r="B21" s="55">
        <f>TDIST(ABS(B20),7,2)</f>
        <v>0.92634463320131943</v>
      </c>
    </row>
    <row r="23" spans="1:4" ht="18.5" x14ac:dyDescent="0.45">
      <c r="A23" s="89" t="s">
        <v>8564</v>
      </c>
      <c r="B23" s="89"/>
      <c r="C23" s="42"/>
      <c r="D23" s="41"/>
    </row>
    <row r="24" spans="1:4" x14ac:dyDescent="0.35">
      <c r="A24" s="58" t="s">
        <v>8561</v>
      </c>
      <c r="B24" s="57">
        <f>SLOPE(F7:F15,B7:B15)</f>
        <v>-1.9394369008147287E-3</v>
      </c>
    </row>
    <row r="25" spans="1:4" x14ac:dyDescent="0.35">
      <c r="A25" s="58" t="s">
        <v>8562</v>
      </c>
      <c r="B25" s="60">
        <f>CORREL(B7:B15,F7:F15)</f>
        <v>-0.63736884091145329</v>
      </c>
    </row>
    <row r="26" spans="1:4" x14ac:dyDescent="0.35">
      <c r="A26" s="58" t="s">
        <v>8534</v>
      </c>
      <c r="B26" s="55">
        <f>B25*SQRT(7)/SQRT(1-B25^2)</f>
        <v>-2.1884368975004564</v>
      </c>
    </row>
    <row r="27" spans="1:4" x14ac:dyDescent="0.35">
      <c r="A27" s="58" t="s">
        <v>8543</v>
      </c>
      <c r="B27" s="55">
        <f>TDIST(ABS(B26),7,2)</f>
        <v>6.4828193978491044E-2</v>
      </c>
    </row>
    <row r="28" spans="1:4" x14ac:dyDescent="0.35">
      <c r="A28" s="58"/>
      <c r="B28" s="59"/>
    </row>
    <row r="29" spans="1:4" x14ac:dyDescent="0.35">
      <c r="A29" s="58" t="s">
        <v>8565</v>
      </c>
      <c r="B29" s="88" t="str">
        <f>IF(AND(B21&lt;0.05,B19&gt;0,B27&gt;=0.05),"Confirms H4 - spend rising, conversion rate flat","Does not confirm H4 as stated - see narrative")</f>
        <v>Does not confirm H4 as stated - see narrative</v>
      </c>
      <c r="C29" s="88"/>
    </row>
  </sheetData>
  <mergeCells count="3">
    <mergeCell ref="B29:C29"/>
    <mergeCell ref="A1:O1"/>
    <mergeCell ref="A23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7DC-1CB9-42DB-B654-BC7523C2CB68}">
  <dimension ref="A1:F8"/>
  <sheetViews>
    <sheetView workbookViewId="0">
      <selection activeCell="A8" sqref="A8"/>
    </sheetView>
  </sheetViews>
  <sheetFormatPr defaultRowHeight="14.5" x14ac:dyDescent="0.35"/>
  <cols>
    <col min="1" max="1" width="30.54296875" bestFit="1" customWidth="1"/>
    <col min="2" max="6" width="13.7265625" customWidth="1"/>
  </cols>
  <sheetData>
    <row r="1" spans="1:6" ht="31" x14ac:dyDescent="0.7">
      <c r="A1" s="87" t="s">
        <v>8569</v>
      </c>
      <c r="B1" s="87"/>
      <c r="C1" s="87"/>
      <c r="D1" s="87"/>
      <c r="E1" s="87"/>
    </row>
    <row r="3" spans="1:6" x14ac:dyDescent="0.35">
      <c r="A3" s="61" t="s">
        <v>8516</v>
      </c>
      <c r="B3" s="70" t="s">
        <v>8529</v>
      </c>
      <c r="C3" s="70" t="s">
        <v>8517</v>
      </c>
      <c r="D3" s="70" t="s">
        <v>8518</v>
      </c>
      <c r="E3" s="70" t="s">
        <v>8519</v>
      </c>
      <c r="F3" s="70" t="s">
        <v>8520</v>
      </c>
    </row>
    <row r="4" spans="1:6" x14ac:dyDescent="0.35">
      <c r="A4" s="38" t="s">
        <v>8566</v>
      </c>
      <c r="B4" s="66">
        <f>COUNT(Sales_Deals!G2:G2501)</f>
        <v>2500</v>
      </c>
      <c r="C4" s="62">
        <f>AVERAGE(Sales_Deals!G2:G2501)</f>
        <v>278456.13040000002</v>
      </c>
      <c r="D4" s="67">
        <f>MEDIAN(Sales_Deals!G2:G2501)</f>
        <v>262675.5</v>
      </c>
      <c r="E4" s="62">
        <f>STDEV(Sales_Deals!G2:G2501)</f>
        <v>211155.76575175556</v>
      </c>
      <c r="F4" s="68">
        <f>SKEW(Sales_Deals!G2:G2501)</f>
        <v>3.4053572480823475</v>
      </c>
    </row>
    <row r="5" spans="1:6" x14ac:dyDescent="0.35">
      <c r="A5" s="64" t="s">
        <v>8567</v>
      </c>
      <c r="B5" s="66">
        <f>COUNT(Support_Tickets!H2:H4001 )</f>
        <v>2393</v>
      </c>
      <c r="C5" s="65">
        <f>AVERAGE(Support_Tickets!H2:H4001 )</f>
        <v>29.237150020894337</v>
      </c>
      <c r="D5" s="69">
        <f>MEDIAN(Support_Tickets!H2:H4001 )</f>
        <v>18.3</v>
      </c>
      <c r="E5" s="65">
        <f>STDEV(Support_Tickets!H2:H4001)</f>
        <v>27.826650198545494</v>
      </c>
      <c r="F5" s="68">
        <f>SKEW(Support_Tickets!H2:H4001 )</f>
        <v>1.3106835374162213</v>
      </c>
    </row>
    <row r="6" spans="1:6" x14ac:dyDescent="0.35">
      <c r="A6" s="64" t="s">
        <v>8568</v>
      </c>
      <c r="B6" s="66">
        <f>COUNT(Marketing_Campaigns!G2:G151)</f>
        <v>150</v>
      </c>
      <c r="C6" s="62">
        <f>AVERAGE(Marketing_Campaigns!G2:G151)</f>
        <v>795003.43333333335</v>
      </c>
      <c r="D6" s="67">
        <f>MEDIAN(Marketing_Campaigns!G2:G151)</f>
        <v>833091.5</v>
      </c>
      <c r="E6" s="62">
        <f>STDEV(Marketing_Campaigns!G2:G151)</f>
        <v>411316.40464646468</v>
      </c>
      <c r="F6" s="68">
        <f>SKEW(Marketing_Campaigns!G2:G151)</f>
        <v>-8.572572681053485E-2</v>
      </c>
    </row>
    <row r="8" spans="1:6" x14ac:dyDescent="0.35">
      <c r="A8" s="82" t="s">
        <v>8592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0C12-5D4C-466B-A4FB-2B012560AE05}">
  <dimension ref="A1:Q2504"/>
  <sheetViews>
    <sheetView zoomScale="90" zoomScaleNormal="90" workbookViewId="0">
      <selection activeCell="F6" sqref="F6"/>
    </sheetView>
  </sheetViews>
  <sheetFormatPr defaultRowHeight="14.5" x14ac:dyDescent="0.35"/>
  <cols>
    <col min="1" max="1" width="27.81640625" customWidth="1"/>
    <col min="2" max="2" width="16.453125" customWidth="1"/>
    <col min="16" max="16" width="8.7265625" customWidth="1"/>
    <col min="17" max="17" width="0.7265625" style="24" customWidth="1"/>
  </cols>
  <sheetData>
    <row r="1" spans="1:17" ht="33.5" customHeight="1" x14ac:dyDescent="0.7">
      <c r="A1" s="20" t="s">
        <v>8570</v>
      </c>
      <c r="G1" t="s">
        <v>8572</v>
      </c>
      <c r="Q1" s="72" t="s">
        <v>8571</v>
      </c>
    </row>
    <row r="2" spans="1:17" x14ac:dyDescent="0.35">
      <c r="Q2" s="71">
        <f>LN(Sales_Deals!G2)</f>
        <v>11.984621411439049</v>
      </c>
    </row>
    <row r="3" spans="1:17" x14ac:dyDescent="0.35">
      <c r="Q3" s="71">
        <f>LN(Sales_Deals!G3)</f>
        <v>13.105237564242342</v>
      </c>
    </row>
    <row r="4" spans="1:17" x14ac:dyDescent="0.35">
      <c r="A4" s="73" t="s">
        <v>8574</v>
      </c>
      <c r="B4" s="51">
        <f>SKEW(Q2:Q2504)</f>
        <v>-1.0474035003848516</v>
      </c>
      <c r="Q4" s="71">
        <f>LN(Sales_Deals!G4)</f>
        <v>12.320222422220795</v>
      </c>
    </row>
    <row r="5" spans="1:17" x14ac:dyDescent="0.35">
      <c r="A5" s="39" t="s">
        <v>8573</v>
      </c>
      <c r="B5" s="74">
        <f>KURT(Q2:Q2504)</f>
        <v>1.387569243660975</v>
      </c>
      <c r="Q5" s="71">
        <f>LN(Sales_Deals!G5)</f>
        <v>12.49029248135175</v>
      </c>
    </row>
    <row r="6" spans="1:17" x14ac:dyDescent="0.35">
      <c r="Q6" s="71">
        <f>LN(Sales_Deals!G6)</f>
        <v>12.449226645681426</v>
      </c>
    </row>
    <row r="7" spans="1:17" x14ac:dyDescent="0.35">
      <c r="Q7" s="71"/>
    </row>
    <row r="8" spans="1:17" ht="18.5" x14ac:dyDescent="0.45">
      <c r="A8" s="5" t="s">
        <v>8591</v>
      </c>
      <c r="Q8" s="71"/>
    </row>
    <row r="9" spans="1:17" x14ac:dyDescent="0.35">
      <c r="A9" s="70" t="s">
        <v>8575</v>
      </c>
      <c r="B9" s="70" t="s">
        <v>8576</v>
      </c>
      <c r="Q9" s="71"/>
    </row>
    <row r="10" spans="1:17" x14ac:dyDescent="0.35">
      <c r="A10" s="75">
        <v>50000</v>
      </c>
      <c r="B10" s="38">
        <f>COUNTIFS(Sales_Deals!$G$2:$G$2501,"&gt;0",Sales_Deals!$G$2:$G$2501,"&lt;="&amp;A10)</f>
        <v>182</v>
      </c>
      <c r="Q10" s="71">
        <f>LN(Sales_Deals!G7)</f>
        <v>12.873678916297395</v>
      </c>
    </row>
    <row r="11" spans="1:17" x14ac:dyDescent="0.35">
      <c r="A11" s="75">
        <v>100000</v>
      </c>
      <c r="B11" s="38">
        <f>COUNTIFS(Sales_Deals!$G$2:$G$2501,"&gt;"&amp;A10,Sales_Deals!$G$2:$G$2501,"&lt;="&amp;A11)</f>
        <v>244</v>
      </c>
      <c r="Q11" s="71">
        <f>LN(Sales_Deals!G8)</f>
        <v>12.881687020797813</v>
      </c>
    </row>
    <row r="12" spans="1:17" x14ac:dyDescent="0.35">
      <c r="A12" s="75">
        <v>150000</v>
      </c>
      <c r="B12" s="38">
        <f>COUNTIFS(Sales_Deals!$G$2:$G$2501,"&gt;"&amp;A11,Sales_Deals!$G$2:$G$2501,"&lt;="&amp;A12)</f>
        <v>256</v>
      </c>
      <c r="Q12" s="71">
        <f>LN(Sales_Deals!G9)</f>
        <v>12.596430883994895</v>
      </c>
    </row>
    <row r="13" spans="1:17" x14ac:dyDescent="0.35">
      <c r="A13" s="75">
        <v>200000</v>
      </c>
      <c r="B13" s="38">
        <f>COUNTIFS(Sales_Deals!$G$2:$G$2501,"&gt;"&amp;A12,Sales_Deals!$G$2:$G$2501,"&lt;="&amp;A13)</f>
        <v>227</v>
      </c>
      <c r="Q13" s="71">
        <f>LN(Sales_Deals!G10)</f>
        <v>12.05826265431558</v>
      </c>
    </row>
    <row r="14" spans="1:17" x14ac:dyDescent="0.35">
      <c r="A14" s="75">
        <v>250000</v>
      </c>
      <c r="B14" s="38">
        <f>COUNTIFS(Sales_Deals!$G$2:$G$2501,"&gt;"&amp;A13,Sales_Deals!$G$2:$G$2501,"&lt;="&amp;A14)</f>
        <v>284</v>
      </c>
      <c r="Q14" s="71">
        <f>LN(Sales_Deals!G11)</f>
        <v>11.89743928632546</v>
      </c>
    </row>
    <row r="15" spans="1:17" x14ac:dyDescent="0.35">
      <c r="A15" s="75">
        <v>300000</v>
      </c>
      <c r="B15" s="38">
        <f>COUNTIFS(Sales_Deals!$G$2:$G$2501,"&gt;"&amp;A14,Sales_Deals!$G$2:$G$2501,"&lt;="&amp;A15)</f>
        <v>241</v>
      </c>
      <c r="Q15" s="71">
        <f>LN(Sales_Deals!G12)</f>
        <v>12.398592027300575</v>
      </c>
    </row>
    <row r="16" spans="1:17" x14ac:dyDescent="0.35">
      <c r="A16" s="75">
        <v>350000</v>
      </c>
      <c r="B16" s="38">
        <f>COUNTIFS(Sales_Deals!$G$2:$G$2501,"&gt;"&amp;A15,Sales_Deals!$G$2:$G$2501,"&lt;="&amp;A16)</f>
        <v>281</v>
      </c>
      <c r="Q16" s="71">
        <f>LN(Sales_Deals!G13)</f>
        <v>12.891270816257391</v>
      </c>
    </row>
    <row r="17" spans="1:17" x14ac:dyDescent="0.35">
      <c r="A17" s="75">
        <v>400000</v>
      </c>
      <c r="B17" s="38">
        <f>COUNTIFS(Sales_Deals!$G$2:$G$2501,"&gt;"&amp;A16,Sales_Deals!$G$2:$G$2501,"&lt;="&amp;A17)</f>
        <v>247</v>
      </c>
      <c r="Q17" s="71">
        <f>LN(Sales_Deals!G14)</f>
        <v>12.243310625134978</v>
      </c>
    </row>
    <row r="18" spans="1:17" x14ac:dyDescent="0.35">
      <c r="A18" s="75">
        <v>450000</v>
      </c>
      <c r="B18" s="38">
        <f>COUNTIFS(Sales_Deals!$G$2:$G$2501,"&gt;"&amp;A17,Sales_Deals!$G$2:$G$2501,"&lt;="&amp;A18)</f>
        <v>232</v>
      </c>
      <c r="Q18" s="71">
        <f>LN(Sales_Deals!G15)</f>
        <v>12.408143723635046</v>
      </c>
    </row>
    <row r="19" spans="1:17" x14ac:dyDescent="0.35">
      <c r="A19" s="75">
        <v>500000</v>
      </c>
      <c r="B19" s="38">
        <f>COUNTIFS(Sales_Deals!$G$2:$G$2501,"&gt;"&amp;A18,Sales_Deals!$G$2:$G$2501,"&lt;="&amp;A19)</f>
        <v>259</v>
      </c>
      <c r="Q19" s="71">
        <f>LN(Sales_Deals!G16)</f>
        <v>12.316360999424298</v>
      </c>
    </row>
    <row r="20" spans="1:17" x14ac:dyDescent="0.35">
      <c r="A20" s="75">
        <v>550000</v>
      </c>
      <c r="B20" s="38">
        <f>COUNTIFS(Sales_Deals!$G$2:$G$2501,"&gt;"&amp;A19,Sales_Deals!$G$2:$G$2501,"&lt;="&amp;A20)</f>
        <v>0</v>
      </c>
      <c r="Q20" s="71">
        <f>LN(Sales_Deals!G17)</f>
        <v>12.741082459979092</v>
      </c>
    </row>
    <row r="21" spans="1:17" x14ac:dyDescent="0.35">
      <c r="A21" s="75">
        <v>600000</v>
      </c>
      <c r="B21" s="38">
        <f>COUNTIFS(Sales_Deals!$G$2:$G$2501,"&gt;"&amp;A20,Sales_Deals!$G$2:$G$2501,"&lt;="&amp;A21)</f>
        <v>0</v>
      </c>
      <c r="Q21" s="71">
        <f>LN(Sales_Deals!G18)</f>
        <v>12.94052250506309</v>
      </c>
    </row>
    <row r="22" spans="1:17" x14ac:dyDescent="0.35">
      <c r="A22" s="75">
        <v>650000</v>
      </c>
      <c r="B22" s="38">
        <f>COUNTIFS(Sales_Deals!$G$2:$G$2501,"&gt;"&amp;A21,Sales_Deals!$G$2:$G$2501,"&lt;="&amp;A22)</f>
        <v>0</v>
      </c>
      <c r="Q22" s="71">
        <f>LN(Sales_Deals!G19)</f>
        <v>11.122693737502653</v>
      </c>
    </row>
    <row r="23" spans="1:17" x14ac:dyDescent="0.35">
      <c r="A23" s="75">
        <v>700000</v>
      </c>
      <c r="B23" s="38">
        <f>COUNTIFS(Sales_Deals!$G$2:$G$2501,"&gt;"&amp;A22,Sales_Deals!$G$2:$G$2501,"&lt;="&amp;A23)</f>
        <v>0</v>
      </c>
      <c r="Q23" s="71">
        <f>LN(Sales_Deals!G20)</f>
        <v>13.025837058402416</v>
      </c>
    </row>
    <row r="24" spans="1:17" x14ac:dyDescent="0.35">
      <c r="A24" s="75">
        <v>750000</v>
      </c>
      <c r="B24" s="38">
        <f>COUNTIFS(Sales_Deals!$G$2:$G$2501,"&gt;"&amp;A23,Sales_Deals!$G$2:$G$2501,"&lt;="&amp;A24)</f>
        <v>0</v>
      </c>
      <c r="Q24" s="71">
        <f>LN(Sales_Deals!G21)</f>
        <v>12.909313710995347</v>
      </c>
    </row>
    <row r="25" spans="1:17" x14ac:dyDescent="0.35">
      <c r="A25" s="75">
        <v>800000</v>
      </c>
      <c r="B25" s="38">
        <f>COUNTIFS(Sales_Deals!$G$2:$G$2501,"&gt;"&amp;A24,Sales_Deals!$G$2:$G$2501,"&lt;="&amp;A25)</f>
        <v>0</v>
      </c>
      <c r="Q25" s="71">
        <f>LN(Sales_Deals!G22)</f>
        <v>11.67821954018655</v>
      </c>
    </row>
    <row r="26" spans="1:17" x14ac:dyDescent="0.35">
      <c r="A26" s="75">
        <v>850000</v>
      </c>
      <c r="B26" s="38">
        <f>COUNTIFS(Sales_Deals!$G$2:$G$2501,"&gt;"&amp;A25,Sales_Deals!$G$2:$G$2501,"&lt;="&amp;A26)</f>
        <v>1</v>
      </c>
      <c r="Q26" s="71">
        <f>LN(Sales_Deals!G23)</f>
        <v>11.625700425571427</v>
      </c>
    </row>
    <row r="27" spans="1:17" x14ac:dyDescent="0.35">
      <c r="A27" s="75">
        <v>900000</v>
      </c>
      <c r="B27" s="38">
        <f>COUNTIFS(Sales_Deals!$G$2:$G$2501,"&gt;"&amp;A26,Sales_Deals!$G$2:$G$2501,"&lt;="&amp;A27)</f>
        <v>5</v>
      </c>
      <c r="Q27" s="71">
        <f>LN(Sales_Deals!G24)</f>
        <v>11.80115988485008</v>
      </c>
    </row>
    <row r="28" spans="1:17" x14ac:dyDescent="0.35">
      <c r="A28" s="75">
        <v>950000</v>
      </c>
      <c r="B28" s="38">
        <f>COUNTIFS(Sales_Deals!$G$2:$G$2501,"&gt;"&amp;A27,Sales_Deals!$G$2:$G$2501,"&lt;="&amp;A28)</f>
        <v>3</v>
      </c>
      <c r="Q28" s="71">
        <f>LN(Sales_Deals!G25)</f>
        <v>11.743735553145433</v>
      </c>
    </row>
    <row r="29" spans="1:17" x14ac:dyDescent="0.35">
      <c r="A29" s="75">
        <v>1000000</v>
      </c>
      <c r="B29" s="38">
        <f>COUNTIFS(Sales_Deals!$G$2:$G$2501,"&gt;"&amp;A28,Sales_Deals!$G$2:$G$2501,"&lt;="&amp;A29)</f>
        <v>3</v>
      </c>
      <c r="Q29" s="71">
        <f>LN(Sales_Deals!G26)</f>
        <v>11.170674563982798</v>
      </c>
    </row>
    <row r="30" spans="1:17" x14ac:dyDescent="0.35">
      <c r="A30" s="75">
        <v>1050000</v>
      </c>
      <c r="B30" s="38">
        <f>COUNTIFS(Sales_Deals!$G$2:$G$2501,"&gt;"&amp;A29,Sales_Deals!$G$2:$G$2501,"&lt;="&amp;A30)</f>
        <v>3</v>
      </c>
      <c r="Q30" s="71">
        <f>LN(Sales_Deals!G27)</f>
        <v>11.290756438652245</v>
      </c>
    </row>
    <row r="31" spans="1:17" x14ac:dyDescent="0.35">
      <c r="A31" s="75">
        <v>1100000</v>
      </c>
      <c r="B31" s="38">
        <f>COUNTIFS(Sales_Deals!$G$2:$G$2501,"&gt;"&amp;A30,Sales_Deals!$G$2:$G$2501,"&lt;="&amp;A31)</f>
        <v>1</v>
      </c>
      <c r="Q31" s="71">
        <f>LN(Sales_Deals!G28)</f>
        <v>11.90130545002058</v>
      </c>
    </row>
    <row r="32" spans="1:17" x14ac:dyDescent="0.35">
      <c r="A32" s="75">
        <v>1150000</v>
      </c>
      <c r="B32" s="38">
        <f>COUNTIFS(Sales_Deals!$G$2:$G$2501,"&gt;"&amp;A31,Sales_Deals!$G$2:$G$2501,"&lt;="&amp;A32)</f>
        <v>1</v>
      </c>
      <c r="Q32" s="71">
        <f>LN(Sales_Deals!G29)</f>
        <v>10.991948490147863</v>
      </c>
    </row>
    <row r="33" spans="1:17" x14ac:dyDescent="0.35">
      <c r="A33" s="75">
        <v>1200000</v>
      </c>
      <c r="B33" s="38">
        <f>COUNTIFS(Sales_Deals!$G$2:$G$2501,"&gt;"&amp;A32,Sales_Deals!$G$2:$G$2501,"&lt;="&amp;A33)</f>
        <v>1</v>
      </c>
      <c r="Q33" s="71">
        <f>LN(Sales_Deals!G30)</f>
        <v>13.103158131640265</v>
      </c>
    </row>
    <row r="34" spans="1:17" x14ac:dyDescent="0.35">
      <c r="Q34" s="71">
        <f>LN(Sales_Deals!G31)</f>
        <v>12.495438299962141</v>
      </c>
    </row>
    <row r="35" spans="1:17" x14ac:dyDescent="0.35">
      <c r="Q35" s="71">
        <f>LN(Sales_Deals!G32)</f>
        <v>12.738748798209645</v>
      </c>
    </row>
    <row r="36" spans="1:17" x14ac:dyDescent="0.35">
      <c r="Q36" s="71">
        <f>LN(Sales_Deals!G33)</f>
        <v>12.97675246309346</v>
      </c>
    </row>
    <row r="37" spans="1:17" x14ac:dyDescent="0.35">
      <c r="Q37" s="71">
        <f>LN(Sales_Deals!G34)</f>
        <v>13.016642796930947</v>
      </c>
    </row>
    <row r="38" spans="1:17" x14ac:dyDescent="0.35">
      <c r="Q38" s="71">
        <f>LN(Sales_Deals!G35)</f>
        <v>12.693959168405142</v>
      </c>
    </row>
    <row r="39" spans="1:17" x14ac:dyDescent="0.35">
      <c r="Q39" s="71">
        <f>LN(Sales_Deals!G36)</f>
        <v>12.436569097889567</v>
      </c>
    </row>
    <row r="40" spans="1:17" x14ac:dyDescent="0.35">
      <c r="Q40" s="71">
        <f>LN(Sales_Deals!G37)</f>
        <v>12.412330431367598</v>
      </c>
    </row>
    <row r="41" spans="1:17" x14ac:dyDescent="0.35">
      <c r="Q41" s="71">
        <f>LN(Sales_Deals!G38)</f>
        <v>11.762001835110784</v>
      </c>
    </row>
    <row r="42" spans="1:17" x14ac:dyDescent="0.35">
      <c r="Q42" s="71">
        <f>LN(Sales_Deals!G39)</f>
        <v>11.964586899968099</v>
      </c>
    </row>
    <row r="43" spans="1:17" x14ac:dyDescent="0.35">
      <c r="Q43" s="71">
        <f>LN(Sales_Deals!G40)</f>
        <v>12.868580189958006</v>
      </c>
    </row>
    <row r="44" spans="1:17" x14ac:dyDescent="0.35">
      <c r="Q44" s="71">
        <f>LN(Sales_Deals!G41)</f>
        <v>12.49122903111846</v>
      </c>
    </row>
    <row r="45" spans="1:17" x14ac:dyDescent="0.35">
      <c r="Q45" s="71">
        <f>LN(Sales_Deals!G42)</f>
        <v>13.738430789780368</v>
      </c>
    </row>
    <row r="46" spans="1:17" x14ac:dyDescent="0.35">
      <c r="Q46" s="71">
        <f>LN(Sales_Deals!G43)</f>
        <v>10.965988954191879</v>
      </c>
    </row>
    <row r="47" spans="1:17" x14ac:dyDescent="0.35">
      <c r="Q47" s="71">
        <f>LN(Sales_Deals!G44)</f>
        <v>10.13396415121713</v>
      </c>
    </row>
    <row r="48" spans="1:17" x14ac:dyDescent="0.35">
      <c r="Q48" s="71">
        <f>LN(Sales_Deals!G45)</f>
        <v>10.741924845205419</v>
      </c>
    </row>
    <row r="49" spans="17:17" x14ac:dyDescent="0.35">
      <c r="Q49" s="71">
        <f>LN(Sales_Deals!G46)</f>
        <v>10.44877257235369</v>
      </c>
    </row>
    <row r="50" spans="17:17" x14ac:dyDescent="0.35">
      <c r="Q50" s="71">
        <f>LN(Sales_Deals!G47)</f>
        <v>12.400376296131201</v>
      </c>
    </row>
    <row r="51" spans="17:17" x14ac:dyDescent="0.35">
      <c r="Q51" s="71">
        <f>LN(Sales_Deals!G48)</f>
        <v>12.528547372507534</v>
      </c>
    </row>
    <row r="52" spans="17:17" x14ac:dyDescent="0.35">
      <c r="Q52" s="71">
        <f>LN(Sales_Deals!G49)</f>
        <v>12.325015008906403</v>
      </c>
    </row>
    <row r="53" spans="17:17" x14ac:dyDescent="0.35">
      <c r="Q53" s="71">
        <f>LN(Sales_Deals!G50)</f>
        <v>12.681222385803689</v>
      </c>
    </row>
    <row r="54" spans="17:17" x14ac:dyDescent="0.35">
      <c r="Q54" s="71">
        <f>LN(Sales_Deals!G51)</f>
        <v>13.112725077864326</v>
      </c>
    </row>
    <row r="55" spans="17:17" x14ac:dyDescent="0.35">
      <c r="Q55" s="71">
        <f>LN(Sales_Deals!G52)</f>
        <v>11.777118824853103</v>
      </c>
    </row>
    <row r="56" spans="17:17" x14ac:dyDescent="0.35">
      <c r="Q56" s="71">
        <f>LN(Sales_Deals!G53)</f>
        <v>11.65848794296808</v>
      </c>
    </row>
    <row r="57" spans="17:17" x14ac:dyDescent="0.35">
      <c r="Q57" s="71">
        <f>LN(Sales_Deals!G54)</f>
        <v>11.947463820564099</v>
      </c>
    </row>
    <row r="58" spans="17:17" x14ac:dyDescent="0.35">
      <c r="Q58" s="71">
        <f>LN(Sales_Deals!G55)</f>
        <v>12.324739734740477</v>
      </c>
    </row>
    <row r="59" spans="17:17" x14ac:dyDescent="0.35">
      <c r="Q59" s="71">
        <f>LN(Sales_Deals!G56)</f>
        <v>13.098052242042266</v>
      </c>
    </row>
    <row r="60" spans="17:17" x14ac:dyDescent="0.35">
      <c r="Q60" s="71">
        <f>LN(Sales_Deals!G57)</f>
        <v>12.794500771318928</v>
      </c>
    </row>
    <row r="61" spans="17:17" x14ac:dyDescent="0.35">
      <c r="Q61" s="71">
        <f>LN(Sales_Deals!G58)</f>
        <v>11.76693957915092</v>
      </c>
    </row>
    <row r="62" spans="17:17" x14ac:dyDescent="0.35">
      <c r="Q62" s="71">
        <f>LN(Sales_Deals!G59)</f>
        <v>12.953419143898421</v>
      </c>
    </row>
    <row r="63" spans="17:17" x14ac:dyDescent="0.35">
      <c r="Q63" s="71">
        <f>LN(Sales_Deals!G60)</f>
        <v>10.510858956074669</v>
      </c>
    </row>
    <row r="64" spans="17:17" x14ac:dyDescent="0.35">
      <c r="Q64" s="71">
        <f>LN(Sales_Deals!G61)</f>
        <v>12.876186585979401</v>
      </c>
    </row>
    <row r="65" spans="17:17" x14ac:dyDescent="0.35">
      <c r="Q65" s="71">
        <f>LN(Sales_Deals!G62)</f>
        <v>9.4678467019179013</v>
      </c>
    </row>
    <row r="66" spans="17:17" x14ac:dyDescent="0.35">
      <c r="Q66" s="71">
        <f>LN(Sales_Deals!G63)</f>
        <v>12.690105527978432</v>
      </c>
    </row>
    <row r="67" spans="17:17" x14ac:dyDescent="0.35">
      <c r="Q67" s="71">
        <f>LN(Sales_Deals!G64)</f>
        <v>11.642865416082428</v>
      </c>
    </row>
    <row r="68" spans="17:17" x14ac:dyDescent="0.35">
      <c r="Q68" s="71">
        <f>LN(Sales_Deals!G65)</f>
        <v>13.120533704573395</v>
      </c>
    </row>
    <row r="69" spans="17:17" x14ac:dyDescent="0.35">
      <c r="Q69" s="71">
        <f>LN(Sales_Deals!G66)</f>
        <v>11.843537708176326</v>
      </c>
    </row>
    <row r="70" spans="17:17" x14ac:dyDescent="0.35">
      <c r="Q70" s="71">
        <f>LN(Sales_Deals!G67)</f>
        <v>12.406880604298559</v>
      </c>
    </row>
    <row r="71" spans="17:17" x14ac:dyDescent="0.35">
      <c r="Q71" s="71">
        <f>LN(Sales_Deals!G68)</f>
        <v>11.596816144310951</v>
      </c>
    </row>
    <row r="72" spans="17:17" x14ac:dyDescent="0.35">
      <c r="Q72" s="71">
        <f>LN(Sales_Deals!G69)</f>
        <v>12.867951012612389</v>
      </c>
    </row>
    <row r="73" spans="17:17" x14ac:dyDescent="0.35">
      <c r="Q73" s="71">
        <f>LN(Sales_Deals!G70)</f>
        <v>10.650980862836187</v>
      </c>
    </row>
    <row r="74" spans="17:17" x14ac:dyDescent="0.35">
      <c r="Q74" s="71">
        <f>LN(Sales_Deals!G71)</f>
        <v>11.859510678340104</v>
      </c>
    </row>
    <row r="75" spans="17:17" x14ac:dyDescent="0.35">
      <c r="Q75" s="71">
        <f>LN(Sales_Deals!G72)</f>
        <v>12.360997311467177</v>
      </c>
    </row>
    <row r="76" spans="17:17" x14ac:dyDescent="0.35">
      <c r="Q76" s="71">
        <f>LN(Sales_Deals!G73)</f>
        <v>12.664945810338955</v>
      </c>
    </row>
    <row r="77" spans="17:17" x14ac:dyDescent="0.35">
      <c r="Q77" s="71">
        <f>LN(Sales_Deals!G74)</f>
        <v>12.522681038695822</v>
      </c>
    </row>
    <row r="78" spans="17:17" x14ac:dyDescent="0.35">
      <c r="Q78" s="71">
        <f>LN(Sales_Deals!G75)</f>
        <v>12.139756545434839</v>
      </c>
    </row>
    <row r="79" spans="17:17" x14ac:dyDescent="0.35">
      <c r="Q79" s="71">
        <f>LN(Sales_Deals!G76)</f>
        <v>12.481125301581812</v>
      </c>
    </row>
    <row r="80" spans="17:17" x14ac:dyDescent="0.35">
      <c r="Q80" s="71">
        <f>LN(Sales_Deals!G77)</f>
        <v>12.032998202092882</v>
      </c>
    </row>
    <row r="81" spans="17:17" x14ac:dyDescent="0.35">
      <c r="Q81" s="71">
        <f>LN(Sales_Deals!G78)</f>
        <v>9.9078281186345478</v>
      </c>
    </row>
    <row r="82" spans="17:17" x14ac:dyDescent="0.35">
      <c r="Q82" s="71">
        <f>LN(Sales_Deals!G79)</f>
        <v>12.858788380295781</v>
      </c>
    </row>
    <row r="83" spans="17:17" x14ac:dyDescent="0.35">
      <c r="Q83" s="71">
        <f>LN(Sales_Deals!G80)</f>
        <v>12.777941626959919</v>
      </c>
    </row>
    <row r="84" spans="17:17" x14ac:dyDescent="0.35">
      <c r="Q84" s="71">
        <f>LN(Sales_Deals!G81)</f>
        <v>11.735788977077119</v>
      </c>
    </row>
    <row r="85" spans="17:17" x14ac:dyDescent="0.35">
      <c r="Q85" s="71">
        <f>LN(Sales_Deals!G82)</f>
        <v>12.925693777982403</v>
      </c>
    </row>
    <row r="86" spans="17:17" x14ac:dyDescent="0.35">
      <c r="Q86" s="71">
        <f>LN(Sales_Deals!G83)</f>
        <v>12.51407559331736</v>
      </c>
    </row>
    <row r="87" spans="17:17" x14ac:dyDescent="0.35">
      <c r="Q87" s="71">
        <f>LN(Sales_Deals!G84)</f>
        <v>12.901629420683918</v>
      </c>
    </row>
    <row r="88" spans="17:17" x14ac:dyDescent="0.35">
      <c r="Q88" s="71">
        <f>LN(Sales_Deals!G85)</f>
        <v>12.291883301943285</v>
      </c>
    </row>
    <row r="89" spans="17:17" x14ac:dyDescent="0.35">
      <c r="Q89" s="71">
        <f>LN(Sales_Deals!G86)</f>
        <v>13.078398950611577</v>
      </c>
    </row>
    <row r="90" spans="17:17" x14ac:dyDescent="0.35">
      <c r="Q90" s="71">
        <f>LN(Sales_Deals!G87)</f>
        <v>12.810459648111772</v>
      </c>
    </row>
    <row r="91" spans="17:17" x14ac:dyDescent="0.35">
      <c r="Q91" s="71">
        <f>LN(Sales_Deals!G88)</f>
        <v>12.259475962254063</v>
      </c>
    </row>
    <row r="92" spans="17:17" x14ac:dyDescent="0.35">
      <c r="Q92" s="71">
        <f>LN(Sales_Deals!G89)</f>
        <v>12.880852168731934</v>
      </c>
    </row>
    <row r="93" spans="17:17" x14ac:dyDescent="0.35">
      <c r="Q93" s="71">
        <f>LN(Sales_Deals!G90)</f>
        <v>12.500397605070114</v>
      </c>
    </row>
    <row r="94" spans="17:17" x14ac:dyDescent="0.35">
      <c r="Q94" s="71">
        <f>LN(Sales_Deals!G91)</f>
        <v>12.216537695377937</v>
      </c>
    </row>
    <row r="95" spans="17:17" x14ac:dyDescent="0.35">
      <c r="Q95" s="71">
        <f>LN(Sales_Deals!G92)</f>
        <v>12.813857996938982</v>
      </c>
    </row>
    <row r="96" spans="17:17" x14ac:dyDescent="0.35">
      <c r="Q96" s="71">
        <f>LN(Sales_Deals!G93)</f>
        <v>12.201065128819632</v>
      </c>
    </row>
    <row r="97" spans="17:17" x14ac:dyDescent="0.35">
      <c r="Q97" s="71">
        <f>LN(Sales_Deals!G94)</f>
        <v>12.680908331563009</v>
      </c>
    </row>
    <row r="98" spans="17:17" x14ac:dyDescent="0.35">
      <c r="Q98" s="71">
        <f>LN(Sales_Deals!G95)</f>
        <v>12.838253583427928</v>
      </c>
    </row>
    <row r="99" spans="17:17" x14ac:dyDescent="0.35">
      <c r="Q99" s="71">
        <f>LN(Sales_Deals!G96)</f>
        <v>11.689832389062683</v>
      </c>
    </row>
    <row r="100" spans="17:17" x14ac:dyDescent="0.35">
      <c r="Q100" s="71">
        <f>LN(Sales_Deals!G97)</f>
        <v>12.654303457930268</v>
      </c>
    </row>
    <row r="101" spans="17:17" x14ac:dyDescent="0.35">
      <c r="Q101" s="71">
        <f>LN(Sales_Deals!G98)</f>
        <v>12.445546134661591</v>
      </c>
    </row>
    <row r="102" spans="17:17" x14ac:dyDescent="0.35">
      <c r="Q102" s="71">
        <f>LN(Sales_Deals!G99)</f>
        <v>12.724961672505719</v>
      </c>
    </row>
    <row r="103" spans="17:17" x14ac:dyDescent="0.35">
      <c r="Q103" s="71">
        <f>LN(Sales_Deals!G100)</f>
        <v>12.751488084064455</v>
      </c>
    </row>
    <row r="104" spans="17:17" x14ac:dyDescent="0.35">
      <c r="Q104" s="71">
        <f>LN(Sales_Deals!G101)</f>
        <v>12.291323306702379</v>
      </c>
    </row>
    <row r="105" spans="17:17" x14ac:dyDescent="0.35">
      <c r="Q105" s="71">
        <f>LN(Sales_Deals!G102)</f>
        <v>12.699096758430265</v>
      </c>
    </row>
    <row r="106" spans="17:17" x14ac:dyDescent="0.35">
      <c r="Q106" s="71">
        <f>LN(Sales_Deals!G103)</f>
        <v>11.534461882500754</v>
      </c>
    </row>
    <row r="107" spans="17:17" x14ac:dyDescent="0.35">
      <c r="Q107" s="71">
        <f>LN(Sales_Deals!G104)</f>
        <v>10.510368532938665</v>
      </c>
    </row>
    <row r="108" spans="17:17" x14ac:dyDescent="0.35">
      <c r="Q108" s="71">
        <f>LN(Sales_Deals!G105)</f>
        <v>12.915720439105216</v>
      </c>
    </row>
    <row r="109" spans="17:17" x14ac:dyDescent="0.35">
      <c r="Q109" s="71">
        <f>LN(Sales_Deals!G106)</f>
        <v>12.748492861987083</v>
      </c>
    </row>
    <row r="110" spans="17:17" x14ac:dyDescent="0.35">
      <c r="Q110" s="71">
        <f>LN(Sales_Deals!G107)</f>
        <v>12.975481548685952</v>
      </c>
    </row>
    <row r="111" spans="17:17" x14ac:dyDescent="0.35">
      <c r="Q111" s="71">
        <f>LN(Sales_Deals!G108)</f>
        <v>11.788502060909854</v>
      </c>
    </row>
    <row r="112" spans="17:17" x14ac:dyDescent="0.35">
      <c r="Q112" s="71">
        <f>LN(Sales_Deals!G109)</f>
        <v>12.166135675926473</v>
      </c>
    </row>
    <row r="113" spans="17:17" x14ac:dyDescent="0.35">
      <c r="Q113" s="71">
        <f>LN(Sales_Deals!G110)</f>
        <v>13.087239699926698</v>
      </c>
    </row>
    <row r="114" spans="17:17" x14ac:dyDescent="0.35">
      <c r="Q114" s="71">
        <f>LN(Sales_Deals!G111)</f>
        <v>12.042776943834738</v>
      </c>
    </row>
    <row r="115" spans="17:17" x14ac:dyDescent="0.35">
      <c r="Q115" s="71">
        <f>LN(Sales_Deals!G112)</f>
        <v>12.860034512310273</v>
      </c>
    </row>
    <row r="116" spans="17:17" x14ac:dyDescent="0.35">
      <c r="Q116" s="71">
        <f>LN(Sales_Deals!G113)</f>
        <v>12.29901183493873</v>
      </c>
    </row>
    <row r="117" spans="17:17" x14ac:dyDescent="0.35">
      <c r="Q117" s="71">
        <f>LN(Sales_Deals!G114)</f>
        <v>11.460673816771486</v>
      </c>
    </row>
    <row r="118" spans="17:17" x14ac:dyDescent="0.35">
      <c r="Q118" s="71">
        <f>LN(Sales_Deals!G115)</f>
        <v>12.43690655012839</v>
      </c>
    </row>
    <row r="119" spans="17:17" x14ac:dyDescent="0.35">
      <c r="Q119" s="71">
        <f>LN(Sales_Deals!G116)</f>
        <v>12.057056262614008</v>
      </c>
    </row>
    <row r="120" spans="17:17" x14ac:dyDescent="0.35">
      <c r="Q120" s="71">
        <f>LN(Sales_Deals!G117)</f>
        <v>12.956448098601005</v>
      </c>
    </row>
    <row r="121" spans="17:17" x14ac:dyDescent="0.35">
      <c r="Q121" s="71">
        <f>LN(Sales_Deals!G118)</f>
        <v>12.644443698751132</v>
      </c>
    </row>
    <row r="122" spans="17:17" x14ac:dyDescent="0.35">
      <c r="Q122" s="71">
        <f>LN(Sales_Deals!G119)</f>
        <v>12.716639235749872</v>
      </c>
    </row>
    <row r="123" spans="17:17" x14ac:dyDescent="0.35">
      <c r="Q123" s="71">
        <f>LN(Sales_Deals!G120)</f>
        <v>12.790927238329221</v>
      </c>
    </row>
    <row r="124" spans="17:17" x14ac:dyDescent="0.35">
      <c r="Q124" s="71">
        <f>LN(Sales_Deals!G121)</f>
        <v>12.593197256908109</v>
      </c>
    </row>
    <row r="125" spans="17:17" x14ac:dyDescent="0.35">
      <c r="Q125" s="71">
        <f>LN(Sales_Deals!G122)</f>
        <v>13.029164167933486</v>
      </c>
    </row>
    <row r="126" spans="17:17" x14ac:dyDescent="0.35">
      <c r="Q126" s="71">
        <f>LN(Sales_Deals!G123)</f>
        <v>12.698388006537067</v>
      </c>
    </row>
    <row r="127" spans="17:17" x14ac:dyDescent="0.35">
      <c r="Q127" s="71">
        <f>LN(Sales_Deals!G124)</f>
        <v>11.468597331120685</v>
      </c>
    </row>
    <row r="128" spans="17:17" x14ac:dyDescent="0.35">
      <c r="Q128" s="71">
        <f>LN(Sales_Deals!G125)</f>
        <v>12.154853032638602</v>
      </c>
    </row>
    <row r="129" spans="17:17" x14ac:dyDescent="0.35">
      <c r="Q129" s="71">
        <f>LN(Sales_Deals!G126)</f>
        <v>12.966275489066396</v>
      </c>
    </row>
    <row r="130" spans="17:17" x14ac:dyDescent="0.35">
      <c r="Q130" s="71">
        <f>LN(Sales_Deals!G127)</f>
        <v>12.248523712391229</v>
      </c>
    </row>
    <row r="131" spans="17:17" x14ac:dyDescent="0.35">
      <c r="Q131" s="71">
        <f>LN(Sales_Deals!G128)</f>
        <v>12.966810715258978</v>
      </c>
    </row>
    <row r="132" spans="17:17" x14ac:dyDescent="0.35">
      <c r="Q132" s="71">
        <f>LN(Sales_Deals!G129)</f>
        <v>12.586076345600464</v>
      </c>
    </row>
    <row r="133" spans="17:17" x14ac:dyDescent="0.35">
      <c r="Q133" s="71">
        <f>LN(Sales_Deals!G130)</f>
        <v>11.656055641514021</v>
      </c>
    </row>
    <row r="134" spans="17:17" x14ac:dyDescent="0.35">
      <c r="Q134" s="71">
        <f>LN(Sales_Deals!G131)</f>
        <v>12.835161189789398</v>
      </c>
    </row>
    <row r="135" spans="17:17" x14ac:dyDescent="0.35">
      <c r="Q135" s="71">
        <f>LN(Sales_Deals!G132)</f>
        <v>12.897959031622696</v>
      </c>
    </row>
    <row r="136" spans="17:17" x14ac:dyDescent="0.35">
      <c r="Q136" s="71">
        <f>LN(Sales_Deals!G133)</f>
        <v>13.063920374126671</v>
      </c>
    </row>
    <row r="137" spans="17:17" x14ac:dyDescent="0.35">
      <c r="Q137" s="71">
        <f>LN(Sales_Deals!G134)</f>
        <v>12.57475965487213</v>
      </c>
    </row>
    <row r="138" spans="17:17" x14ac:dyDescent="0.35">
      <c r="Q138" s="71">
        <f>LN(Sales_Deals!G135)</f>
        <v>11.743028741116085</v>
      </c>
    </row>
    <row r="139" spans="17:17" x14ac:dyDescent="0.35">
      <c r="Q139" s="71">
        <f>LN(Sales_Deals!G136)</f>
        <v>11.457222462093977</v>
      </c>
    </row>
    <row r="140" spans="17:17" x14ac:dyDescent="0.35">
      <c r="Q140" s="71">
        <f>LN(Sales_Deals!G137)</f>
        <v>9.3502762122737</v>
      </c>
    </row>
    <row r="141" spans="17:17" x14ac:dyDescent="0.35">
      <c r="Q141" s="71">
        <f>LN(Sales_Deals!G138)</f>
        <v>10.302632731899473</v>
      </c>
    </row>
    <row r="142" spans="17:17" x14ac:dyDescent="0.35">
      <c r="Q142" s="71">
        <f>LN(Sales_Deals!G139)</f>
        <v>12.627903107724602</v>
      </c>
    </row>
    <row r="143" spans="17:17" x14ac:dyDescent="0.35">
      <c r="Q143" s="71">
        <f>LN(Sales_Deals!G140)</f>
        <v>12.675379156845658</v>
      </c>
    </row>
    <row r="144" spans="17:17" x14ac:dyDescent="0.35">
      <c r="Q144" s="71">
        <f>LN(Sales_Deals!G141)</f>
        <v>13.019275832146549</v>
      </c>
    </row>
    <row r="145" spans="17:17" x14ac:dyDescent="0.35">
      <c r="Q145" s="71">
        <f>LN(Sales_Deals!G142)</f>
        <v>12.968650268495617</v>
      </c>
    </row>
    <row r="146" spans="17:17" x14ac:dyDescent="0.35">
      <c r="Q146" s="71">
        <f>LN(Sales_Deals!G143)</f>
        <v>12.176139073071043</v>
      </c>
    </row>
    <row r="147" spans="17:17" x14ac:dyDescent="0.35">
      <c r="Q147" s="71">
        <f>LN(Sales_Deals!G144)</f>
        <v>12.894260046693709</v>
      </c>
    </row>
    <row r="148" spans="17:17" x14ac:dyDescent="0.35">
      <c r="Q148" s="71">
        <f>LN(Sales_Deals!G145)</f>
        <v>12.265081845608167</v>
      </c>
    </row>
    <row r="149" spans="17:17" x14ac:dyDescent="0.35">
      <c r="Q149" s="71">
        <f>LN(Sales_Deals!G146)</f>
        <v>12.767418364842516</v>
      </c>
    </row>
    <row r="150" spans="17:17" x14ac:dyDescent="0.35">
      <c r="Q150" s="71">
        <f>LN(Sales_Deals!G147)</f>
        <v>11.691113490482577</v>
      </c>
    </row>
    <row r="151" spans="17:17" x14ac:dyDescent="0.35">
      <c r="Q151" s="71">
        <f>LN(Sales_Deals!G148)</f>
        <v>12.374257244767014</v>
      </c>
    </row>
    <row r="152" spans="17:17" x14ac:dyDescent="0.35">
      <c r="Q152" s="71">
        <f>LN(Sales_Deals!G149)</f>
        <v>10.024155312261101</v>
      </c>
    </row>
    <row r="153" spans="17:17" x14ac:dyDescent="0.35">
      <c r="Q153" s="71">
        <f>LN(Sales_Deals!G150)</f>
        <v>11.977778351888396</v>
      </c>
    </row>
    <row r="154" spans="17:17" x14ac:dyDescent="0.35">
      <c r="Q154" s="71">
        <f>LN(Sales_Deals!G151)</f>
        <v>12.639107524050758</v>
      </c>
    </row>
    <row r="155" spans="17:17" x14ac:dyDescent="0.35">
      <c r="Q155" s="71">
        <f>LN(Sales_Deals!G152)</f>
        <v>12.921145198767277</v>
      </c>
    </row>
    <row r="156" spans="17:17" x14ac:dyDescent="0.35">
      <c r="Q156" s="71">
        <f>LN(Sales_Deals!G153)</f>
        <v>12.559142097487298</v>
      </c>
    </row>
    <row r="157" spans="17:17" x14ac:dyDescent="0.35">
      <c r="Q157" s="71">
        <f>LN(Sales_Deals!G154)</f>
        <v>12.757944238732165</v>
      </c>
    </row>
    <row r="158" spans="17:17" x14ac:dyDescent="0.35">
      <c r="Q158" s="71">
        <f>LN(Sales_Deals!G155)</f>
        <v>12.248447034462455</v>
      </c>
    </row>
    <row r="159" spans="17:17" x14ac:dyDescent="0.35">
      <c r="Q159" s="71">
        <f>LN(Sales_Deals!G156)</f>
        <v>12.731584890947788</v>
      </c>
    </row>
    <row r="160" spans="17:17" x14ac:dyDescent="0.35">
      <c r="Q160" s="71">
        <f>LN(Sales_Deals!G157)</f>
        <v>11.756255883476504</v>
      </c>
    </row>
    <row r="161" spans="17:17" x14ac:dyDescent="0.35">
      <c r="Q161" s="71">
        <f>LN(Sales_Deals!G158)</f>
        <v>13.058185324623565</v>
      </c>
    </row>
    <row r="162" spans="17:17" x14ac:dyDescent="0.35">
      <c r="Q162" s="71">
        <f>LN(Sales_Deals!G159)</f>
        <v>13.014383879649337</v>
      </c>
    </row>
    <row r="163" spans="17:17" x14ac:dyDescent="0.35">
      <c r="Q163" s="71">
        <f>LN(Sales_Deals!G160)</f>
        <v>13.01269135833687</v>
      </c>
    </row>
    <row r="164" spans="17:17" x14ac:dyDescent="0.35">
      <c r="Q164" s="71">
        <f>LN(Sales_Deals!G161)</f>
        <v>11.722732478699044</v>
      </c>
    </row>
    <row r="165" spans="17:17" x14ac:dyDescent="0.35">
      <c r="Q165" s="71">
        <f>LN(Sales_Deals!G162)</f>
        <v>13.002017811269425</v>
      </c>
    </row>
    <row r="166" spans="17:17" x14ac:dyDescent="0.35">
      <c r="Q166" s="71">
        <f>LN(Sales_Deals!G163)</f>
        <v>13.077439230550333</v>
      </c>
    </row>
    <row r="167" spans="17:17" x14ac:dyDescent="0.35">
      <c r="Q167" s="71">
        <f>LN(Sales_Deals!G164)</f>
        <v>11.620721013527604</v>
      </c>
    </row>
    <row r="168" spans="17:17" x14ac:dyDescent="0.35">
      <c r="Q168" s="71">
        <f>LN(Sales_Deals!G165)</f>
        <v>12.821455562457153</v>
      </c>
    </row>
    <row r="169" spans="17:17" x14ac:dyDescent="0.35">
      <c r="Q169" s="71">
        <f>LN(Sales_Deals!G166)</f>
        <v>12.265260942207696</v>
      </c>
    </row>
    <row r="170" spans="17:17" x14ac:dyDescent="0.35">
      <c r="Q170" s="71">
        <f>LN(Sales_Deals!G167)</f>
        <v>12.576842783841451</v>
      </c>
    </row>
    <row r="171" spans="17:17" x14ac:dyDescent="0.35">
      <c r="Q171" s="71">
        <f>LN(Sales_Deals!G168)</f>
        <v>12.108856650813754</v>
      </c>
    </row>
    <row r="172" spans="17:17" x14ac:dyDescent="0.35">
      <c r="Q172" s="71">
        <f>LN(Sales_Deals!G169)</f>
        <v>12.914706781708402</v>
      </c>
    </row>
    <row r="173" spans="17:17" x14ac:dyDescent="0.35">
      <c r="Q173" s="71">
        <f>LN(Sales_Deals!G170)</f>
        <v>12.497058006113329</v>
      </c>
    </row>
    <row r="174" spans="17:17" x14ac:dyDescent="0.35">
      <c r="Q174" s="71">
        <f>LN(Sales_Deals!G171)</f>
        <v>10.514827970391982</v>
      </c>
    </row>
    <row r="175" spans="17:17" x14ac:dyDescent="0.35">
      <c r="Q175" s="71">
        <f>LN(Sales_Deals!G172)</f>
        <v>13.046768762282815</v>
      </c>
    </row>
    <row r="176" spans="17:17" x14ac:dyDescent="0.35">
      <c r="Q176" s="71">
        <f>LN(Sales_Deals!G173)</f>
        <v>14.414882080738513</v>
      </c>
    </row>
    <row r="177" spans="17:17" x14ac:dyDescent="0.35">
      <c r="Q177" s="71">
        <f>LN(Sales_Deals!G174)</f>
        <v>12.884935793301223</v>
      </c>
    </row>
    <row r="178" spans="17:17" x14ac:dyDescent="0.35">
      <c r="Q178" s="71">
        <f>LN(Sales_Deals!G175)</f>
        <v>10.781120612719405</v>
      </c>
    </row>
    <row r="179" spans="17:17" x14ac:dyDescent="0.35">
      <c r="Q179" s="71">
        <f>LN(Sales_Deals!G176)</f>
        <v>11.316630736538652</v>
      </c>
    </row>
    <row r="180" spans="17:17" x14ac:dyDescent="0.35">
      <c r="Q180" s="71">
        <f>LN(Sales_Deals!G177)</f>
        <v>12.517926463237167</v>
      </c>
    </row>
    <row r="181" spans="17:17" x14ac:dyDescent="0.35">
      <c r="Q181" s="71">
        <f>LN(Sales_Deals!G178)</f>
        <v>10.88421680054752</v>
      </c>
    </row>
    <row r="182" spans="17:17" x14ac:dyDescent="0.35">
      <c r="Q182" s="71">
        <f>LN(Sales_Deals!G179)</f>
        <v>12.581909815673642</v>
      </c>
    </row>
    <row r="183" spans="17:17" x14ac:dyDescent="0.35">
      <c r="Q183" s="71">
        <f>LN(Sales_Deals!G180)</f>
        <v>12.096648328248884</v>
      </c>
    </row>
    <row r="184" spans="17:17" x14ac:dyDescent="0.35">
      <c r="Q184" s="71">
        <f>LN(Sales_Deals!G181)</f>
        <v>11.316959241660811</v>
      </c>
    </row>
    <row r="185" spans="17:17" x14ac:dyDescent="0.35">
      <c r="Q185" s="71">
        <f>LN(Sales_Deals!G182)</f>
        <v>10.175116459665661</v>
      </c>
    </row>
    <row r="186" spans="17:17" x14ac:dyDescent="0.35">
      <c r="Q186" s="71">
        <f>LN(Sales_Deals!G183)</f>
        <v>12.870514234760604</v>
      </c>
    </row>
    <row r="187" spans="17:17" x14ac:dyDescent="0.35">
      <c r="Q187" s="71">
        <f>LN(Sales_Deals!G184)</f>
        <v>12.991276993308892</v>
      </c>
    </row>
    <row r="188" spans="17:17" x14ac:dyDescent="0.35">
      <c r="Q188" s="71">
        <f>LN(Sales_Deals!G185)</f>
        <v>12.919012649416672</v>
      </c>
    </row>
    <row r="189" spans="17:17" x14ac:dyDescent="0.35">
      <c r="Q189" s="71">
        <f>LN(Sales_Deals!G186)</f>
        <v>12.84089396634443</v>
      </c>
    </row>
    <row r="190" spans="17:17" x14ac:dyDescent="0.35">
      <c r="Q190" s="71">
        <f>LN(Sales_Deals!G187)</f>
        <v>12.855328020350555</v>
      </c>
    </row>
    <row r="191" spans="17:17" x14ac:dyDescent="0.35">
      <c r="Q191" s="71">
        <f>LN(Sales_Deals!G188)</f>
        <v>12.240908760365631</v>
      </c>
    </row>
    <row r="192" spans="17:17" x14ac:dyDescent="0.35">
      <c r="Q192" s="71">
        <f>LN(Sales_Deals!G189)</f>
        <v>12.991308914654699</v>
      </c>
    </row>
    <row r="193" spans="17:17" x14ac:dyDescent="0.35">
      <c r="Q193" s="71">
        <f>LN(Sales_Deals!G190)</f>
        <v>12.448905092183134</v>
      </c>
    </row>
    <row r="194" spans="17:17" x14ac:dyDescent="0.35">
      <c r="Q194" s="71">
        <f>LN(Sales_Deals!G191)</f>
        <v>11.161593365441991</v>
      </c>
    </row>
    <row r="195" spans="17:17" x14ac:dyDescent="0.35">
      <c r="Q195" s="71">
        <f>LN(Sales_Deals!G192)</f>
        <v>12.303575873391203</v>
      </c>
    </row>
    <row r="196" spans="17:17" x14ac:dyDescent="0.35">
      <c r="Q196" s="71">
        <f>LN(Sales_Deals!G193)</f>
        <v>11.475223597786217</v>
      </c>
    </row>
    <row r="197" spans="17:17" x14ac:dyDescent="0.35">
      <c r="Q197" s="71">
        <f>LN(Sales_Deals!G194)</f>
        <v>12.568835520354304</v>
      </c>
    </row>
    <row r="198" spans="17:17" x14ac:dyDescent="0.35">
      <c r="Q198" s="71">
        <f>LN(Sales_Deals!G195)</f>
        <v>12.288371268251291</v>
      </c>
    </row>
    <row r="199" spans="17:17" x14ac:dyDescent="0.35">
      <c r="Q199" s="71">
        <f>LN(Sales_Deals!G196)</f>
        <v>12.953622780469411</v>
      </c>
    </row>
    <row r="200" spans="17:17" x14ac:dyDescent="0.35">
      <c r="Q200" s="71">
        <f>LN(Sales_Deals!G197)</f>
        <v>13.048538134509693</v>
      </c>
    </row>
    <row r="201" spans="17:17" x14ac:dyDescent="0.35">
      <c r="Q201" s="71">
        <f>LN(Sales_Deals!G198)</f>
        <v>13.042698764910467</v>
      </c>
    </row>
    <row r="202" spans="17:17" x14ac:dyDescent="0.35">
      <c r="Q202" s="71">
        <f>LN(Sales_Deals!G199)</f>
        <v>12.866864492196475</v>
      </c>
    </row>
    <row r="203" spans="17:17" x14ac:dyDescent="0.35">
      <c r="Q203" s="71">
        <f>LN(Sales_Deals!G200)</f>
        <v>13.082422244811269</v>
      </c>
    </row>
    <row r="204" spans="17:17" x14ac:dyDescent="0.35">
      <c r="Q204" s="71">
        <f>LN(Sales_Deals!G201)</f>
        <v>12.355281132818114</v>
      </c>
    </row>
    <row r="205" spans="17:17" x14ac:dyDescent="0.35">
      <c r="Q205" s="71">
        <f>LN(Sales_Deals!G202)</f>
        <v>13.110242211993917</v>
      </c>
    </row>
    <row r="206" spans="17:17" x14ac:dyDescent="0.35">
      <c r="Q206" s="71">
        <f>LN(Sales_Deals!G203)</f>
        <v>13.082497175968303</v>
      </c>
    </row>
    <row r="207" spans="17:17" x14ac:dyDescent="0.35">
      <c r="Q207" s="71">
        <f>LN(Sales_Deals!G204)</f>
        <v>12.9824781274271</v>
      </c>
    </row>
    <row r="208" spans="17:17" x14ac:dyDescent="0.35">
      <c r="Q208" s="71">
        <f>LN(Sales_Deals!G205)</f>
        <v>13.027170990662128</v>
      </c>
    </row>
    <row r="209" spans="17:17" x14ac:dyDescent="0.35">
      <c r="Q209" s="71">
        <f>LN(Sales_Deals!G206)</f>
        <v>12.373195958566232</v>
      </c>
    </row>
    <row r="210" spans="17:17" x14ac:dyDescent="0.35">
      <c r="Q210" s="71">
        <f>LN(Sales_Deals!G207)</f>
        <v>13.107834340255614</v>
      </c>
    </row>
    <row r="211" spans="17:17" x14ac:dyDescent="0.35">
      <c r="Q211" s="71">
        <f>LN(Sales_Deals!G208)</f>
        <v>11.213980200239737</v>
      </c>
    </row>
    <row r="212" spans="17:17" x14ac:dyDescent="0.35">
      <c r="Q212" s="71">
        <f>LN(Sales_Deals!G209)</f>
        <v>12.733799633171293</v>
      </c>
    </row>
    <row r="213" spans="17:17" x14ac:dyDescent="0.35">
      <c r="Q213" s="71">
        <f>LN(Sales_Deals!G210)</f>
        <v>12.6423126446231</v>
      </c>
    </row>
    <row r="214" spans="17:17" x14ac:dyDescent="0.35">
      <c r="Q214" s="71">
        <f>LN(Sales_Deals!G211)</f>
        <v>12.5436371425606</v>
      </c>
    </row>
    <row r="215" spans="17:17" x14ac:dyDescent="0.35">
      <c r="Q215" s="71">
        <f>LN(Sales_Deals!G212)</f>
        <v>12.962689807792712</v>
      </c>
    </row>
    <row r="216" spans="17:17" x14ac:dyDescent="0.35">
      <c r="Q216" s="71">
        <f>LN(Sales_Deals!G213)</f>
        <v>11.613033208946604</v>
      </c>
    </row>
    <row r="217" spans="17:17" x14ac:dyDescent="0.35">
      <c r="Q217" s="71">
        <f>LN(Sales_Deals!G214)</f>
        <v>12.987262754181252</v>
      </c>
    </row>
    <row r="218" spans="17:17" x14ac:dyDescent="0.35">
      <c r="Q218" s="71">
        <f>LN(Sales_Deals!G215)</f>
        <v>12.600254334617851</v>
      </c>
    </row>
    <row r="219" spans="17:17" x14ac:dyDescent="0.35">
      <c r="Q219" s="71">
        <f>LN(Sales_Deals!G216)</f>
        <v>13.055520336232433</v>
      </c>
    </row>
    <row r="220" spans="17:17" x14ac:dyDescent="0.35">
      <c r="Q220" s="71">
        <f>LN(Sales_Deals!G217)</f>
        <v>11.461432150580011</v>
      </c>
    </row>
    <row r="221" spans="17:17" x14ac:dyDescent="0.35">
      <c r="Q221" s="71">
        <f>LN(Sales_Deals!G218)</f>
        <v>12.647332733868515</v>
      </c>
    </row>
    <row r="222" spans="17:17" x14ac:dyDescent="0.35">
      <c r="Q222" s="71">
        <f>LN(Sales_Deals!G219)</f>
        <v>9.7005142080113007</v>
      </c>
    </row>
    <row r="223" spans="17:17" x14ac:dyDescent="0.35">
      <c r="Q223" s="71">
        <f>LN(Sales_Deals!G220)</f>
        <v>12.196451510486119</v>
      </c>
    </row>
    <row r="224" spans="17:17" x14ac:dyDescent="0.35">
      <c r="Q224" s="71">
        <f>LN(Sales_Deals!G221)</f>
        <v>13.023821782196473</v>
      </c>
    </row>
    <row r="225" spans="17:17" x14ac:dyDescent="0.35">
      <c r="Q225" s="71">
        <f>LN(Sales_Deals!G222)</f>
        <v>11.386364011502263</v>
      </c>
    </row>
    <row r="226" spans="17:17" x14ac:dyDescent="0.35">
      <c r="Q226" s="71">
        <f>LN(Sales_Deals!G223)</f>
        <v>11.447682695908291</v>
      </c>
    </row>
    <row r="227" spans="17:17" x14ac:dyDescent="0.35">
      <c r="Q227" s="71">
        <f>LN(Sales_Deals!G224)</f>
        <v>12.269559050887993</v>
      </c>
    </row>
    <row r="228" spans="17:17" x14ac:dyDescent="0.35">
      <c r="Q228" s="71">
        <f>LN(Sales_Deals!G225)</f>
        <v>12.055639214830295</v>
      </c>
    </row>
    <row r="229" spans="17:17" x14ac:dyDescent="0.35">
      <c r="Q229" s="71">
        <f>LN(Sales_Deals!G226)</f>
        <v>12.672962055625337</v>
      </c>
    </row>
    <row r="230" spans="17:17" x14ac:dyDescent="0.35">
      <c r="Q230" s="71">
        <f>LN(Sales_Deals!G227)</f>
        <v>12.217225223691369</v>
      </c>
    </row>
    <row r="231" spans="17:17" x14ac:dyDescent="0.35">
      <c r="Q231" s="71">
        <f>LN(Sales_Deals!G228)</f>
        <v>12.671198774085157</v>
      </c>
    </row>
    <row r="232" spans="17:17" x14ac:dyDescent="0.35">
      <c r="Q232" s="71">
        <f>LN(Sales_Deals!G229)</f>
        <v>13.67866510848611</v>
      </c>
    </row>
    <row r="233" spans="17:17" x14ac:dyDescent="0.35">
      <c r="Q233" s="71">
        <f>LN(Sales_Deals!G230)</f>
        <v>12.623492674617578</v>
      </c>
    </row>
    <row r="234" spans="17:17" x14ac:dyDescent="0.35">
      <c r="Q234" s="71">
        <f>LN(Sales_Deals!G231)</f>
        <v>12.946713912618431</v>
      </c>
    </row>
    <row r="235" spans="17:17" x14ac:dyDescent="0.35">
      <c r="Q235" s="71">
        <f>LN(Sales_Deals!G232)</f>
        <v>12.502050215006062</v>
      </c>
    </row>
    <row r="236" spans="17:17" x14ac:dyDescent="0.35">
      <c r="Q236" s="71">
        <f>LN(Sales_Deals!G233)</f>
        <v>12.203990479325849</v>
      </c>
    </row>
    <row r="237" spans="17:17" x14ac:dyDescent="0.35">
      <c r="Q237" s="71">
        <f>LN(Sales_Deals!G234)</f>
        <v>13.040580489828974</v>
      </c>
    </row>
    <row r="238" spans="17:17" x14ac:dyDescent="0.35">
      <c r="Q238" s="71">
        <f>LN(Sales_Deals!G235)</f>
        <v>12.113546087852434</v>
      </c>
    </row>
    <row r="239" spans="17:17" x14ac:dyDescent="0.35">
      <c r="Q239" s="71">
        <f>LN(Sales_Deals!G236)</f>
        <v>10.398183794372235</v>
      </c>
    </row>
    <row r="240" spans="17:17" x14ac:dyDescent="0.35">
      <c r="Q240" s="71">
        <f>LN(Sales_Deals!G237)</f>
        <v>12.591352052978925</v>
      </c>
    </row>
    <row r="241" spans="17:17" x14ac:dyDescent="0.35">
      <c r="Q241" s="71">
        <f>LN(Sales_Deals!G238)</f>
        <v>12.562449044908913</v>
      </c>
    </row>
    <row r="242" spans="17:17" x14ac:dyDescent="0.35">
      <c r="Q242" s="71">
        <f>LN(Sales_Deals!G239)</f>
        <v>12.76281860515908</v>
      </c>
    </row>
    <row r="243" spans="17:17" x14ac:dyDescent="0.35">
      <c r="Q243" s="71">
        <f>LN(Sales_Deals!G240)</f>
        <v>12.501138639610538</v>
      </c>
    </row>
    <row r="244" spans="17:17" x14ac:dyDescent="0.35">
      <c r="Q244" s="71">
        <f>LN(Sales_Deals!G241)</f>
        <v>12.348595989116452</v>
      </c>
    </row>
    <row r="245" spans="17:17" x14ac:dyDescent="0.35">
      <c r="Q245" s="71">
        <f>LN(Sales_Deals!G242)</f>
        <v>10.926028404252943</v>
      </c>
    </row>
    <row r="246" spans="17:17" x14ac:dyDescent="0.35">
      <c r="Q246" s="71">
        <f>LN(Sales_Deals!G243)</f>
        <v>10.375582742942056</v>
      </c>
    </row>
    <row r="247" spans="17:17" x14ac:dyDescent="0.35">
      <c r="Q247" s="71">
        <f>LN(Sales_Deals!G244)</f>
        <v>13.034834048118746</v>
      </c>
    </row>
    <row r="248" spans="17:17" x14ac:dyDescent="0.35">
      <c r="Q248" s="71">
        <f>LN(Sales_Deals!G245)</f>
        <v>12.486684784797591</v>
      </c>
    </row>
    <row r="249" spans="17:17" x14ac:dyDescent="0.35">
      <c r="Q249" s="71">
        <f>LN(Sales_Deals!G246)</f>
        <v>12.450496163709422</v>
      </c>
    </row>
    <row r="250" spans="17:17" x14ac:dyDescent="0.35">
      <c r="Q250" s="71">
        <f>LN(Sales_Deals!G247)</f>
        <v>12.697284164228552</v>
      </c>
    </row>
    <row r="251" spans="17:17" x14ac:dyDescent="0.35">
      <c r="Q251" s="71">
        <f>LN(Sales_Deals!G248)</f>
        <v>12.964841354313748</v>
      </c>
    </row>
    <row r="252" spans="17:17" x14ac:dyDescent="0.35">
      <c r="Q252" s="71">
        <f>LN(Sales_Deals!G249)</f>
        <v>12.520956375407099</v>
      </c>
    </row>
    <row r="253" spans="17:17" x14ac:dyDescent="0.35">
      <c r="Q253" s="71">
        <f>LN(Sales_Deals!G250)</f>
        <v>12.666477225965979</v>
      </c>
    </row>
    <row r="254" spans="17:17" x14ac:dyDescent="0.35">
      <c r="Q254" s="71">
        <f>LN(Sales_Deals!G251)</f>
        <v>13.052826786700299</v>
      </c>
    </row>
    <row r="255" spans="17:17" x14ac:dyDescent="0.35">
      <c r="Q255" s="71">
        <f>LN(Sales_Deals!G252)</f>
        <v>13.018801243687882</v>
      </c>
    </row>
    <row r="256" spans="17:17" x14ac:dyDescent="0.35">
      <c r="Q256" s="71">
        <f>LN(Sales_Deals!G253)</f>
        <v>12.720030359177679</v>
      </c>
    </row>
    <row r="257" spans="17:17" x14ac:dyDescent="0.35">
      <c r="Q257" s="71">
        <f>LN(Sales_Deals!G254)</f>
        <v>13.101856542211962</v>
      </c>
    </row>
    <row r="258" spans="17:17" x14ac:dyDescent="0.35">
      <c r="Q258" s="71">
        <f>LN(Sales_Deals!G255)</f>
        <v>13.011179270843547</v>
      </c>
    </row>
    <row r="259" spans="17:17" x14ac:dyDescent="0.35">
      <c r="Q259" s="71">
        <f>LN(Sales_Deals!G256)</f>
        <v>13.118929488350025</v>
      </c>
    </row>
    <row r="260" spans="17:17" x14ac:dyDescent="0.35">
      <c r="Q260" s="71">
        <f>LN(Sales_Deals!G257)</f>
        <v>11.905636248038631</v>
      </c>
    </row>
    <row r="261" spans="17:17" x14ac:dyDescent="0.35">
      <c r="Q261" s="71">
        <f>LN(Sales_Deals!G258)</f>
        <v>10.165005304967229</v>
      </c>
    </row>
    <row r="262" spans="17:17" x14ac:dyDescent="0.35">
      <c r="Q262" s="71">
        <f>LN(Sales_Deals!G259)</f>
        <v>12.205107179617913</v>
      </c>
    </row>
    <row r="263" spans="17:17" x14ac:dyDescent="0.35">
      <c r="Q263" s="71">
        <f>LN(Sales_Deals!G260)</f>
        <v>13.095020957172565</v>
      </c>
    </row>
    <row r="264" spans="17:17" x14ac:dyDescent="0.35">
      <c r="Q264" s="71">
        <f>LN(Sales_Deals!G261)</f>
        <v>11.449985665196355</v>
      </c>
    </row>
    <row r="265" spans="17:17" x14ac:dyDescent="0.35">
      <c r="Q265" s="71">
        <f>LN(Sales_Deals!G262)</f>
        <v>12.697911149383428</v>
      </c>
    </row>
    <row r="266" spans="17:17" x14ac:dyDescent="0.35">
      <c r="Q266" s="71">
        <f>LN(Sales_Deals!G263)</f>
        <v>11.161380198851495</v>
      </c>
    </row>
    <row r="267" spans="17:17" x14ac:dyDescent="0.35">
      <c r="Q267" s="71">
        <f>LN(Sales_Deals!G264)</f>
        <v>11.918550560279758</v>
      </c>
    </row>
    <row r="268" spans="17:17" x14ac:dyDescent="0.35">
      <c r="Q268" s="71">
        <f>LN(Sales_Deals!G265)</f>
        <v>13.027252377762318</v>
      </c>
    </row>
    <row r="269" spans="17:17" x14ac:dyDescent="0.35">
      <c r="Q269" s="71">
        <f>LN(Sales_Deals!G266)</f>
        <v>12.781674262235075</v>
      </c>
    </row>
    <row r="270" spans="17:17" x14ac:dyDescent="0.35">
      <c r="Q270" s="71">
        <f>LN(Sales_Deals!G267)</f>
        <v>13.077997611135707</v>
      </c>
    </row>
    <row r="271" spans="17:17" x14ac:dyDescent="0.35">
      <c r="Q271" s="71">
        <f>LN(Sales_Deals!G268)</f>
        <v>11.81028555397328</v>
      </c>
    </row>
    <row r="272" spans="17:17" x14ac:dyDescent="0.35">
      <c r="Q272" s="71">
        <f>LN(Sales_Deals!G269)</f>
        <v>11.702694222399233</v>
      </c>
    </row>
    <row r="273" spans="17:17" x14ac:dyDescent="0.35">
      <c r="Q273" s="71">
        <f>LN(Sales_Deals!G270)</f>
        <v>12.938618408039193</v>
      </c>
    </row>
    <row r="274" spans="17:17" x14ac:dyDescent="0.35">
      <c r="Q274" s="71">
        <f>LN(Sales_Deals!G271)</f>
        <v>12.47778538421929</v>
      </c>
    </row>
    <row r="275" spans="17:17" x14ac:dyDescent="0.35">
      <c r="Q275" s="71">
        <f>LN(Sales_Deals!G272)</f>
        <v>10.800228425165567</v>
      </c>
    </row>
    <row r="276" spans="17:17" x14ac:dyDescent="0.35">
      <c r="Q276" s="71">
        <f>LN(Sales_Deals!G273)</f>
        <v>12.780151902819075</v>
      </c>
    </row>
    <row r="277" spans="17:17" x14ac:dyDescent="0.35">
      <c r="Q277" s="71">
        <f>LN(Sales_Deals!G274)</f>
        <v>11.652095928108199</v>
      </c>
    </row>
    <row r="278" spans="17:17" x14ac:dyDescent="0.35">
      <c r="Q278" s="71">
        <f>LN(Sales_Deals!G275)</f>
        <v>10.516129418436423</v>
      </c>
    </row>
    <row r="279" spans="17:17" x14ac:dyDescent="0.35">
      <c r="Q279" s="71">
        <f>LN(Sales_Deals!G276)</f>
        <v>12.702261675043149</v>
      </c>
    </row>
    <row r="280" spans="17:17" x14ac:dyDescent="0.35">
      <c r="Q280" s="71">
        <f>LN(Sales_Deals!G277)</f>
        <v>13.039375169333876</v>
      </c>
    </row>
    <row r="281" spans="17:17" x14ac:dyDescent="0.35">
      <c r="Q281" s="71">
        <f>LN(Sales_Deals!G278)</f>
        <v>11.411457364027745</v>
      </c>
    </row>
    <row r="282" spans="17:17" x14ac:dyDescent="0.35">
      <c r="Q282" s="71">
        <f>LN(Sales_Deals!G279)</f>
        <v>11.985880983101847</v>
      </c>
    </row>
    <row r="283" spans="17:17" x14ac:dyDescent="0.35">
      <c r="Q283" s="71">
        <f>LN(Sales_Deals!G280)</f>
        <v>12.985679592637345</v>
      </c>
    </row>
    <row r="284" spans="17:17" x14ac:dyDescent="0.35">
      <c r="Q284" s="71">
        <f>LN(Sales_Deals!G281)</f>
        <v>10.83182542532095</v>
      </c>
    </row>
    <row r="285" spans="17:17" x14ac:dyDescent="0.35">
      <c r="Q285" s="71">
        <f>LN(Sales_Deals!G282)</f>
        <v>10.861668508170467</v>
      </c>
    </row>
    <row r="286" spans="17:17" x14ac:dyDescent="0.35">
      <c r="Q286" s="71">
        <f>LN(Sales_Deals!G283)</f>
        <v>13.083250338453972</v>
      </c>
    </row>
    <row r="287" spans="17:17" x14ac:dyDescent="0.35">
      <c r="Q287" s="71">
        <f>LN(Sales_Deals!G284)</f>
        <v>12.985186490891291</v>
      </c>
    </row>
    <row r="288" spans="17:17" x14ac:dyDescent="0.35">
      <c r="Q288" s="71">
        <f>LN(Sales_Deals!G285)</f>
        <v>12.73126260645058</v>
      </c>
    </row>
    <row r="289" spans="17:17" x14ac:dyDescent="0.35">
      <c r="Q289" s="71">
        <f>LN(Sales_Deals!G286)</f>
        <v>12.7058777660127</v>
      </c>
    </row>
    <row r="290" spans="17:17" x14ac:dyDescent="0.35">
      <c r="Q290" s="71">
        <f>LN(Sales_Deals!G287)</f>
        <v>12.410632586245347</v>
      </c>
    </row>
    <row r="291" spans="17:17" x14ac:dyDescent="0.35">
      <c r="Q291" s="71">
        <f>LN(Sales_Deals!G288)</f>
        <v>12.650309648138876</v>
      </c>
    </row>
    <row r="292" spans="17:17" x14ac:dyDescent="0.35">
      <c r="Q292" s="71">
        <f>LN(Sales_Deals!G289)</f>
        <v>11.542105554732554</v>
      </c>
    </row>
    <row r="293" spans="17:17" x14ac:dyDescent="0.35">
      <c r="Q293" s="71">
        <f>LN(Sales_Deals!G290)</f>
        <v>11.633690716065077</v>
      </c>
    </row>
    <row r="294" spans="17:17" x14ac:dyDescent="0.35">
      <c r="Q294" s="71">
        <f>LN(Sales_Deals!G291)</f>
        <v>11.913384731399907</v>
      </c>
    </row>
    <row r="295" spans="17:17" x14ac:dyDescent="0.35">
      <c r="Q295" s="71">
        <f>LN(Sales_Deals!G292)</f>
        <v>12.067005961406974</v>
      </c>
    </row>
    <row r="296" spans="17:17" x14ac:dyDescent="0.35">
      <c r="Q296" s="71">
        <f>LN(Sales_Deals!G293)</f>
        <v>13.019617219111986</v>
      </c>
    </row>
    <row r="297" spans="17:17" x14ac:dyDescent="0.35">
      <c r="Q297" s="71">
        <f>LN(Sales_Deals!G294)</f>
        <v>11.327763879108847</v>
      </c>
    </row>
    <row r="298" spans="17:17" x14ac:dyDescent="0.35">
      <c r="Q298" s="71">
        <f>LN(Sales_Deals!G295)</f>
        <v>12.846499197756472</v>
      </c>
    </row>
    <row r="299" spans="17:17" x14ac:dyDescent="0.35">
      <c r="Q299" s="71">
        <f>LN(Sales_Deals!G296)</f>
        <v>13.082726097499165</v>
      </c>
    </row>
    <row r="300" spans="17:17" x14ac:dyDescent="0.35">
      <c r="Q300" s="71">
        <f>LN(Sales_Deals!G297)</f>
        <v>11.525673857792395</v>
      </c>
    </row>
    <row r="301" spans="17:17" x14ac:dyDescent="0.35">
      <c r="Q301" s="71">
        <f>LN(Sales_Deals!G298)</f>
        <v>10.377140763947736</v>
      </c>
    </row>
    <row r="302" spans="17:17" x14ac:dyDescent="0.35">
      <c r="Q302" s="71">
        <f>LN(Sales_Deals!G299)</f>
        <v>12.557609411612782</v>
      </c>
    </row>
    <row r="303" spans="17:17" x14ac:dyDescent="0.35">
      <c r="Q303" s="71">
        <f>LN(Sales_Deals!G300)</f>
        <v>12.315509840228549</v>
      </c>
    </row>
    <row r="304" spans="17:17" x14ac:dyDescent="0.35">
      <c r="Q304" s="71">
        <f>LN(Sales_Deals!G301)</f>
        <v>11.14152839467816</v>
      </c>
    </row>
    <row r="305" spans="17:17" x14ac:dyDescent="0.35">
      <c r="Q305" s="71">
        <f>LN(Sales_Deals!G302)</f>
        <v>12.241024645292029</v>
      </c>
    </row>
    <row r="306" spans="17:17" x14ac:dyDescent="0.35">
      <c r="Q306" s="71">
        <f>LN(Sales_Deals!G303)</f>
        <v>10.871003576485728</v>
      </c>
    </row>
    <row r="307" spans="17:17" x14ac:dyDescent="0.35">
      <c r="Q307" s="71">
        <f>LN(Sales_Deals!G304)</f>
        <v>13.009147645717825</v>
      </c>
    </row>
    <row r="308" spans="17:17" x14ac:dyDescent="0.35">
      <c r="Q308" s="71">
        <f>LN(Sales_Deals!G305)</f>
        <v>12.394736547067707</v>
      </c>
    </row>
    <row r="309" spans="17:17" x14ac:dyDescent="0.35">
      <c r="Q309" s="71">
        <f>LN(Sales_Deals!G306)</f>
        <v>12.768666850716937</v>
      </c>
    </row>
    <row r="310" spans="17:17" x14ac:dyDescent="0.35">
      <c r="Q310" s="71">
        <f>LN(Sales_Deals!G307)</f>
        <v>11.258781322536231</v>
      </c>
    </row>
    <row r="311" spans="17:17" x14ac:dyDescent="0.35">
      <c r="Q311" s="71">
        <f>LN(Sales_Deals!G308)</f>
        <v>11.575289749166778</v>
      </c>
    </row>
    <row r="312" spans="17:17" x14ac:dyDescent="0.35">
      <c r="Q312" s="71">
        <f>LN(Sales_Deals!G309)</f>
        <v>11.440666551484149</v>
      </c>
    </row>
    <row r="313" spans="17:17" x14ac:dyDescent="0.35">
      <c r="Q313" s="71">
        <f>LN(Sales_Deals!G310)</f>
        <v>12.516886356788863</v>
      </c>
    </row>
    <row r="314" spans="17:17" x14ac:dyDescent="0.35">
      <c r="Q314" s="71">
        <f>LN(Sales_Deals!G311)</f>
        <v>12.013227913839227</v>
      </c>
    </row>
    <row r="315" spans="17:17" x14ac:dyDescent="0.35">
      <c r="Q315" s="71">
        <f>LN(Sales_Deals!G312)</f>
        <v>12.38816917700783</v>
      </c>
    </row>
    <row r="316" spans="17:17" x14ac:dyDescent="0.35">
      <c r="Q316" s="71">
        <f>LN(Sales_Deals!G313)</f>
        <v>12.751001100713719</v>
      </c>
    </row>
    <row r="317" spans="17:17" x14ac:dyDescent="0.35">
      <c r="Q317" s="71">
        <f>LN(Sales_Deals!G314)</f>
        <v>12.723627576634131</v>
      </c>
    </row>
    <row r="318" spans="17:17" x14ac:dyDescent="0.35">
      <c r="Q318" s="71">
        <f>LN(Sales_Deals!G315)</f>
        <v>13.032618084852722</v>
      </c>
    </row>
    <row r="319" spans="17:17" x14ac:dyDescent="0.35">
      <c r="Q319" s="71">
        <f>LN(Sales_Deals!G316)</f>
        <v>11.841199905580149</v>
      </c>
    </row>
    <row r="320" spans="17:17" x14ac:dyDescent="0.35">
      <c r="Q320" s="71">
        <f>LN(Sales_Deals!G317)</f>
        <v>12.998277520635797</v>
      </c>
    </row>
    <row r="321" spans="17:17" x14ac:dyDescent="0.35">
      <c r="Q321" s="71">
        <f>LN(Sales_Deals!G318)</f>
        <v>14.48093704592362</v>
      </c>
    </row>
    <row r="322" spans="17:17" x14ac:dyDescent="0.35">
      <c r="Q322" s="71">
        <f>LN(Sales_Deals!G319)</f>
        <v>10.730116124470554</v>
      </c>
    </row>
    <row r="323" spans="17:17" x14ac:dyDescent="0.35">
      <c r="Q323" s="71">
        <f>LN(Sales_Deals!G320)</f>
        <v>12.754916336483685</v>
      </c>
    </row>
    <row r="324" spans="17:17" x14ac:dyDescent="0.35">
      <c r="Q324" s="71">
        <f>LN(Sales_Deals!G321)</f>
        <v>12.884012275240938</v>
      </c>
    </row>
    <row r="325" spans="17:17" x14ac:dyDescent="0.35">
      <c r="Q325" s="71">
        <f>LN(Sales_Deals!G322)</f>
        <v>12.310099271953179</v>
      </c>
    </row>
    <row r="326" spans="17:17" x14ac:dyDescent="0.35">
      <c r="Q326" s="71">
        <f>LN(Sales_Deals!G323)</f>
        <v>12.311522157227735</v>
      </c>
    </row>
    <row r="327" spans="17:17" x14ac:dyDescent="0.35">
      <c r="Q327" s="71">
        <f>LN(Sales_Deals!G324)</f>
        <v>10.293534407915912</v>
      </c>
    </row>
    <row r="328" spans="17:17" x14ac:dyDescent="0.35">
      <c r="Q328" s="71">
        <f>LN(Sales_Deals!G325)</f>
        <v>12.980073743105907</v>
      </c>
    </row>
    <row r="329" spans="17:17" x14ac:dyDescent="0.35">
      <c r="Q329" s="71">
        <f>LN(Sales_Deals!G326)</f>
        <v>11.579677160230212</v>
      </c>
    </row>
    <row r="330" spans="17:17" x14ac:dyDescent="0.35">
      <c r="Q330" s="71">
        <f>LN(Sales_Deals!G327)</f>
        <v>13.113433625583166</v>
      </c>
    </row>
    <row r="331" spans="17:17" x14ac:dyDescent="0.35">
      <c r="Q331" s="71">
        <f>LN(Sales_Deals!G328)</f>
        <v>13.03446287798975</v>
      </c>
    </row>
    <row r="332" spans="17:17" x14ac:dyDescent="0.35">
      <c r="Q332" s="71">
        <f>LN(Sales_Deals!G329)</f>
        <v>13.120585798446566</v>
      </c>
    </row>
    <row r="333" spans="17:17" x14ac:dyDescent="0.35">
      <c r="Q333" s="71">
        <f>LN(Sales_Deals!G330)</f>
        <v>12.813593852622063</v>
      </c>
    </row>
    <row r="334" spans="17:17" x14ac:dyDescent="0.35">
      <c r="Q334" s="71">
        <f>LN(Sales_Deals!G331)</f>
        <v>12.957276447531928</v>
      </c>
    </row>
    <row r="335" spans="17:17" x14ac:dyDescent="0.35">
      <c r="Q335" s="71">
        <f>LN(Sales_Deals!G332)</f>
        <v>10.099095453655817</v>
      </c>
    </row>
    <row r="336" spans="17:17" x14ac:dyDescent="0.35">
      <c r="Q336" s="71">
        <f>LN(Sales_Deals!G333)</f>
        <v>12.878205565062157</v>
      </c>
    </row>
    <row r="337" spans="17:17" x14ac:dyDescent="0.35">
      <c r="Q337" s="71">
        <f>LN(Sales_Deals!G334)</f>
        <v>13.045486652713469</v>
      </c>
    </row>
    <row r="338" spans="17:17" x14ac:dyDescent="0.35">
      <c r="Q338" s="71">
        <f>LN(Sales_Deals!G335)</f>
        <v>12.765065382266645</v>
      </c>
    </row>
    <row r="339" spans="17:17" x14ac:dyDescent="0.35">
      <c r="Q339" s="71">
        <f>LN(Sales_Deals!G336)</f>
        <v>12.80216086806413</v>
      </c>
    </row>
    <row r="340" spans="17:17" x14ac:dyDescent="0.35">
      <c r="Q340" s="71">
        <f>LN(Sales_Deals!G337)</f>
        <v>12.249266225616928</v>
      </c>
    </row>
    <row r="341" spans="17:17" x14ac:dyDescent="0.35">
      <c r="Q341" s="71">
        <f>LN(Sales_Deals!G338)</f>
        <v>10.658646627498884</v>
      </c>
    </row>
    <row r="342" spans="17:17" x14ac:dyDescent="0.35">
      <c r="Q342" s="71">
        <f>LN(Sales_Deals!G339)</f>
        <v>10.368070265127381</v>
      </c>
    </row>
    <row r="343" spans="17:17" x14ac:dyDescent="0.35">
      <c r="Q343" s="71">
        <f>LN(Sales_Deals!G340)</f>
        <v>13.038431617159796</v>
      </c>
    </row>
    <row r="344" spans="17:17" x14ac:dyDescent="0.35">
      <c r="Q344" s="71">
        <f>LN(Sales_Deals!G341)</f>
        <v>10.639334962628102</v>
      </c>
    </row>
    <row r="345" spans="17:17" x14ac:dyDescent="0.35">
      <c r="Q345" s="71">
        <f>LN(Sales_Deals!G342)</f>
        <v>13.02309537574566</v>
      </c>
    </row>
    <row r="346" spans="17:17" x14ac:dyDescent="0.35">
      <c r="Q346" s="71">
        <f>LN(Sales_Deals!G343)</f>
        <v>12.968375017735774</v>
      </c>
    </row>
    <row r="347" spans="17:17" x14ac:dyDescent="0.35">
      <c r="Q347" s="71">
        <f>LN(Sales_Deals!G344)</f>
        <v>12.373212880328465</v>
      </c>
    </row>
    <row r="348" spans="17:17" x14ac:dyDescent="0.35">
      <c r="Q348" s="71">
        <f>LN(Sales_Deals!G345)</f>
        <v>11.459408647755401</v>
      </c>
    </row>
    <row r="349" spans="17:17" x14ac:dyDescent="0.35">
      <c r="Q349" s="71">
        <f>LN(Sales_Deals!G346)</f>
        <v>9.3244723060210948</v>
      </c>
    </row>
    <row r="350" spans="17:17" x14ac:dyDescent="0.35">
      <c r="Q350" s="71">
        <f>LN(Sales_Deals!G347)</f>
        <v>12.566338135735828</v>
      </c>
    </row>
    <row r="351" spans="17:17" x14ac:dyDescent="0.35">
      <c r="Q351" s="71">
        <f>LN(Sales_Deals!G348)</f>
        <v>12.451067704143849</v>
      </c>
    </row>
    <row r="352" spans="17:17" x14ac:dyDescent="0.35">
      <c r="Q352" s="71">
        <f>LN(Sales_Deals!G349)</f>
        <v>12.504357063949834</v>
      </c>
    </row>
    <row r="353" spans="17:17" x14ac:dyDescent="0.35">
      <c r="Q353" s="71">
        <f>LN(Sales_Deals!G350)</f>
        <v>9.3724592214526172</v>
      </c>
    </row>
    <row r="354" spans="17:17" x14ac:dyDescent="0.35">
      <c r="Q354" s="71">
        <f>LN(Sales_Deals!G351)</f>
        <v>12.666546636669137</v>
      </c>
    </row>
    <row r="355" spans="17:17" x14ac:dyDescent="0.35">
      <c r="Q355" s="71">
        <f>LN(Sales_Deals!G352)</f>
        <v>12.223180468630339</v>
      </c>
    </row>
    <row r="356" spans="17:17" x14ac:dyDescent="0.35">
      <c r="Q356" s="71">
        <f>LN(Sales_Deals!G353)</f>
        <v>12.623937228103859</v>
      </c>
    </row>
    <row r="357" spans="17:17" x14ac:dyDescent="0.35">
      <c r="Q357" s="71">
        <f>LN(Sales_Deals!G354)</f>
        <v>12.273464903384971</v>
      </c>
    </row>
    <row r="358" spans="17:17" x14ac:dyDescent="0.35">
      <c r="Q358" s="71">
        <f>LN(Sales_Deals!G355)</f>
        <v>11.555295061336738</v>
      </c>
    </row>
    <row r="359" spans="17:17" x14ac:dyDescent="0.35">
      <c r="Q359" s="71">
        <f>LN(Sales_Deals!G356)</f>
        <v>11.990643015276866</v>
      </c>
    </row>
    <row r="360" spans="17:17" x14ac:dyDescent="0.35">
      <c r="Q360" s="71">
        <f>LN(Sales_Deals!G357)</f>
        <v>12.267891847668983</v>
      </c>
    </row>
    <row r="361" spans="17:17" x14ac:dyDescent="0.35">
      <c r="Q361" s="71">
        <f>LN(Sales_Deals!G358)</f>
        <v>13.646578164929332</v>
      </c>
    </row>
    <row r="362" spans="17:17" x14ac:dyDescent="0.35">
      <c r="Q362" s="71">
        <f>LN(Sales_Deals!G359)</f>
        <v>12.825201849886641</v>
      </c>
    </row>
    <row r="363" spans="17:17" x14ac:dyDescent="0.35">
      <c r="Q363" s="71">
        <f>LN(Sales_Deals!G360)</f>
        <v>11.755173360622123</v>
      </c>
    </row>
    <row r="364" spans="17:17" x14ac:dyDescent="0.35">
      <c r="Q364" s="71">
        <f>LN(Sales_Deals!G361)</f>
        <v>12.869147141833826</v>
      </c>
    </row>
    <row r="365" spans="17:17" x14ac:dyDescent="0.35">
      <c r="Q365" s="71">
        <f>LN(Sales_Deals!G362)</f>
        <v>9.7180009923990163</v>
      </c>
    </row>
    <row r="366" spans="17:17" x14ac:dyDescent="0.35">
      <c r="Q366" s="71">
        <f>LN(Sales_Deals!G363)</f>
        <v>11.698200987840542</v>
      </c>
    </row>
    <row r="367" spans="17:17" x14ac:dyDescent="0.35">
      <c r="Q367" s="71">
        <f>LN(Sales_Deals!G364)</f>
        <v>10.942880481544266</v>
      </c>
    </row>
    <row r="368" spans="17:17" x14ac:dyDescent="0.35">
      <c r="Q368" s="71">
        <f>LN(Sales_Deals!G365)</f>
        <v>12.440895724843349</v>
      </c>
    </row>
    <row r="369" spans="17:17" x14ac:dyDescent="0.35">
      <c r="Q369" s="71">
        <f>LN(Sales_Deals!G366)</f>
        <v>12.29945369302748</v>
      </c>
    </row>
    <row r="370" spans="17:17" x14ac:dyDescent="0.35">
      <c r="Q370" s="71">
        <f>LN(Sales_Deals!G367)</f>
        <v>12.999784359388281</v>
      </c>
    </row>
    <row r="371" spans="17:17" x14ac:dyDescent="0.35">
      <c r="Q371" s="71">
        <f>LN(Sales_Deals!G368)</f>
        <v>12.667999999283506</v>
      </c>
    </row>
    <row r="372" spans="17:17" x14ac:dyDescent="0.35">
      <c r="Q372" s="71">
        <f>LN(Sales_Deals!G369)</f>
        <v>12.269685738591244</v>
      </c>
    </row>
    <row r="373" spans="17:17" x14ac:dyDescent="0.35">
      <c r="Q373" s="71">
        <f>LN(Sales_Deals!G370)</f>
        <v>12.535836718361322</v>
      </c>
    </row>
    <row r="374" spans="17:17" x14ac:dyDescent="0.35">
      <c r="Q374" s="71">
        <f>LN(Sales_Deals!G371)</f>
        <v>12.739951490037269</v>
      </c>
    </row>
    <row r="375" spans="17:17" x14ac:dyDescent="0.35">
      <c r="Q375" s="71">
        <f>LN(Sales_Deals!G372)</f>
        <v>11.160270999494303</v>
      </c>
    </row>
    <row r="376" spans="17:17" x14ac:dyDescent="0.35">
      <c r="Q376" s="71">
        <f>LN(Sales_Deals!G373)</f>
        <v>11.981815974928491</v>
      </c>
    </row>
    <row r="377" spans="17:17" x14ac:dyDescent="0.35">
      <c r="Q377" s="71">
        <f>LN(Sales_Deals!G374)</f>
        <v>12.701229147284092</v>
      </c>
    </row>
    <row r="378" spans="17:17" x14ac:dyDescent="0.35">
      <c r="Q378" s="71">
        <f>LN(Sales_Deals!G375)</f>
        <v>11.762446063077174</v>
      </c>
    </row>
    <row r="379" spans="17:17" x14ac:dyDescent="0.35">
      <c r="Q379" s="71">
        <f>LN(Sales_Deals!G376)</f>
        <v>12.211666968086483</v>
      </c>
    </row>
    <row r="380" spans="17:17" x14ac:dyDescent="0.35">
      <c r="Q380" s="71">
        <f>LN(Sales_Deals!G377)</f>
        <v>12.544460902554261</v>
      </c>
    </row>
    <row r="381" spans="17:17" x14ac:dyDescent="0.35">
      <c r="Q381" s="71">
        <f>LN(Sales_Deals!G378)</f>
        <v>13.074011017384672</v>
      </c>
    </row>
    <row r="382" spans="17:17" x14ac:dyDescent="0.35">
      <c r="Q382" s="71">
        <f>LN(Sales_Deals!G379)</f>
        <v>11.911151097866924</v>
      </c>
    </row>
    <row r="383" spans="17:17" x14ac:dyDescent="0.35">
      <c r="Q383" s="71">
        <f>LN(Sales_Deals!G380)</f>
        <v>12.122261596568867</v>
      </c>
    </row>
    <row r="384" spans="17:17" x14ac:dyDescent="0.35">
      <c r="Q384" s="71">
        <f>LN(Sales_Deals!G381)</f>
        <v>12.971798593892352</v>
      </c>
    </row>
    <row r="385" spans="17:17" x14ac:dyDescent="0.35">
      <c r="Q385" s="71">
        <f>LN(Sales_Deals!G382)</f>
        <v>12.849322924712935</v>
      </c>
    </row>
    <row r="386" spans="17:17" x14ac:dyDescent="0.35">
      <c r="Q386" s="71">
        <f>LN(Sales_Deals!G383)</f>
        <v>10.48718252453499</v>
      </c>
    </row>
    <row r="387" spans="17:17" x14ac:dyDescent="0.35">
      <c r="Q387" s="71">
        <f>LN(Sales_Deals!G384)</f>
        <v>13.087057391696842</v>
      </c>
    </row>
    <row r="388" spans="17:17" x14ac:dyDescent="0.35">
      <c r="Q388" s="71">
        <f>LN(Sales_Deals!G385)</f>
        <v>12.538188980399662</v>
      </c>
    </row>
    <row r="389" spans="17:17" x14ac:dyDescent="0.35">
      <c r="Q389" s="71">
        <f>LN(Sales_Deals!G386)</f>
        <v>12.584509081250419</v>
      </c>
    </row>
    <row r="390" spans="17:17" x14ac:dyDescent="0.35">
      <c r="Q390" s="71">
        <f>LN(Sales_Deals!G387)</f>
        <v>12.125643196415139</v>
      </c>
    </row>
    <row r="391" spans="17:17" x14ac:dyDescent="0.35">
      <c r="Q391" s="71">
        <f>LN(Sales_Deals!G388)</f>
        <v>12.927736823705708</v>
      </c>
    </row>
    <row r="392" spans="17:17" x14ac:dyDescent="0.35">
      <c r="Q392" s="71">
        <f>LN(Sales_Deals!G389)</f>
        <v>12.980721468999899</v>
      </c>
    </row>
    <row r="393" spans="17:17" x14ac:dyDescent="0.35">
      <c r="Q393" s="71">
        <f>LN(Sales_Deals!G390)</f>
        <v>12.861424496594717</v>
      </c>
    </row>
    <row r="394" spans="17:17" x14ac:dyDescent="0.35">
      <c r="Q394" s="71">
        <f>LN(Sales_Deals!G391)</f>
        <v>13.016320406704804</v>
      </c>
    </row>
    <row r="395" spans="17:17" x14ac:dyDescent="0.35">
      <c r="Q395" s="71">
        <f>LN(Sales_Deals!G392)</f>
        <v>12.416337622869019</v>
      </c>
    </row>
    <row r="396" spans="17:17" x14ac:dyDescent="0.35">
      <c r="Q396" s="71">
        <f>LN(Sales_Deals!G393)</f>
        <v>12.422618479696048</v>
      </c>
    </row>
    <row r="397" spans="17:17" x14ac:dyDescent="0.35">
      <c r="Q397" s="71">
        <f>LN(Sales_Deals!G394)</f>
        <v>12.651629881870983</v>
      </c>
    </row>
    <row r="398" spans="17:17" x14ac:dyDescent="0.35">
      <c r="Q398" s="71">
        <f>LN(Sales_Deals!G395)</f>
        <v>9.3715234095675726</v>
      </c>
    </row>
    <row r="399" spans="17:17" x14ac:dyDescent="0.35">
      <c r="Q399" s="71">
        <f>LN(Sales_Deals!G396)</f>
        <v>13.040977601551701</v>
      </c>
    </row>
    <row r="400" spans="17:17" x14ac:dyDescent="0.35">
      <c r="Q400" s="71">
        <f>LN(Sales_Deals!G397)</f>
        <v>12.749785506729037</v>
      </c>
    </row>
    <row r="401" spans="17:17" x14ac:dyDescent="0.35">
      <c r="Q401" s="71">
        <f>LN(Sales_Deals!G398)</f>
        <v>14.280159250092469</v>
      </c>
    </row>
    <row r="402" spans="17:17" x14ac:dyDescent="0.35">
      <c r="Q402" s="71">
        <f>LN(Sales_Deals!G399)</f>
        <v>11.915686921504077</v>
      </c>
    </row>
    <row r="403" spans="17:17" x14ac:dyDescent="0.35">
      <c r="Q403" s="71">
        <f>LN(Sales_Deals!G400)</f>
        <v>11.475919098341068</v>
      </c>
    </row>
    <row r="404" spans="17:17" x14ac:dyDescent="0.35">
      <c r="Q404" s="71">
        <f>LN(Sales_Deals!G401)</f>
        <v>12.535599389389892</v>
      </c>
    </row>
    <row r="405" spans="17:17" x14ac:dyDescent="0.35">
      <c r="Q405" s="71">
        <f>LN(Sales_Deals!G402)</f>
        <v>12.836181512411727</v>
      </c>
    </row>
    <row r="406" spans="17:17" x14ac:dyDescent="0.35">
      <c r="Q406" s="71">
        <f>LN(Sales_Deals!G403)</f>
        <v>12.02425096377787</v>
      </c>
    </row>
    <row r="407" spans="17:17" x14ac:dyDescent="0.35">
      <c r="Q407" s="71">
        <f>LN(Sales_Deals!G404)</f>
        <v>12.244711458643231</v>
      </c>
    </row>
    <row r="408" spans="17:17" x14ac:dyDescent="0.35">
      <c r="Q408" s="71">
        <f>LN(Sales_Deals!G405)</f>
        <v>9.618069581737414</v>
      </c>
    </row>
    <row r="409" spans="17:17" x14ac:dyDescent="0.35">
      <c r="Q409" s="71">
        <f>LN(Sales_Deals!G406)</f>
        <v>12.730019804186137</v>
      </c>
    </row>
    <row r="410" spans="17:17" x14ac:dyDescent="0.35">
      <c r="Q410" s="71">
        <f>LN(Sales_Deals!G407)</f>
        <v>12.886681549392014</v>
      </c>
    </row>
    <row r="411" spans="17:17" x14ac:dyDescent="0.35">
      <c r="Q411" s="71">
        <f>LN(Sales_Deals!G408)</f>
        <v>12.739582036238248</v>
      </c>
    </row>
    <row r="412" spans="17:17" x14ac:dyDescent="0.35">
      <c r="Q412" s="71">
        <f>LN(Sales_Deals!G409)</f>
        <v>12.424392581896651</v>
      </c>
    </row>
    <row r="413" spans="17:17" x14ac:dyDescent="0.35">
      <c r="Q413" s="71">
        <f>LN(Sales_Deals!G410)</f>
        <v>10.373616173970015</v>
      </c>
    </row>
    <row r="414" spans="17:17" x14ac:dyDescent="0.35">
      <c r="Q414" s="71">
        <f>LN(Sales_Deals!G411)</f>
        <v>12.67399285596538</v>
      </c>
    </row>
    <row r="415" spans="17:17" x14ac:dyDescent="0.35">
      <c r="Q415" s="71">
        <f>LN(Sales_Deals!G412)</f>
        <v>11.401010180341729</v>
      </c>
    </row>
    <row r="416" spans="17:17" x14ac:dyDescent="0.35">
      <c r="Q416" s="71">
        <f>LN(Sales_Deals!G413)</f>
        <v>10.472091398021472</v>
      </c>
    </row>
    <row r="417" spans="17:17" x14ac:dyDescent="0.35">
      <c r="Q417" s="71">
        <f>LN(Sales_Deals!G414)</f>
        <v>12.54128694842727</v>
      </c>
    </row>
    <row r="418" spans="17:17" x14ac:dyDescent="0.35">
      <c r="Q418" s="71">
        <f>LN(Sales_Deals!G415)</f>
        <v>12.729771058278796</v>
      </c>
    </row>
    <row r="419" spans="17:17" x14ac:dyDescent="0.35">
      <c r="Q419" s="71">
        <f>LN(Sales_Deals!G416)</f>
        <v>12.738930761535732</v>
      </c>
    </row>
    <row r="420" spans="17:17" x14ac:dyDescent="0.35">
      <c r="Q420" s="71">
        <f>LN(Sales_Deals!G417)</f>
        <v>13.100530771094238</v>
      </c>
    </row>
    <row r="421" spans="17:17" x14ac:dyDescent="0.35">
      <c r="Q421" s="71">
        <f>LN(Sales_Deals!G418)</f>
        <v>12.559250983460959</v>
      </c>
    </row>
    <row r="422" spans="17:17" x14ac:dyDescent="0.35">
      <c r="Q422" s="71">
        <f>LN(Sales_Deals!G419)</f>
        <v>11.965744786128397</v>
      </c>
    </row>
    <row r="423" spans="17:17" x14ac:dyDescent="0.35">
      <c r="Q423" s="71">
        <f>LN(Sales_Deals!G420)</f>
        <v>12.641691847914078</v>
      </c>
    </row>
    <row r="424" spans="17:17" x14ac:dyDescent="0.35">
      <c r="Q424" s="71">
        <f>LN(Sales_Deals!G421)</f>
        <v>13.053673317208267</v>
      </c>
    </row>
    <row r="425" spans="17:17" x14ac:dyDescent="0.35">
      <c r="Q425" s="71">
        <f>LN(Sales_Deals!G422)</f>
        <v>12.154142306167291</v>
      </c>
    </row>
    <row r="426" spans="17:17" x14ac:dyDescent="0.35">
      <c r="Q426" s="71">
        <f>LN(Sales_Deals!G423)</f>
        <v>12.116536265219233</v>
      </c>
    </row>
    <row r="427" spans="17:17" x14ac:dyDescent="0.35">
      <c r="Q427" s="71">
        <f>LN(Sales_Deals!G424)</f>
        <v>12.6745344617929</v>
      </c>
    </row>
    <row r="428" spans="17:17" x14ac:dyDescent="0.35">
      <c r="Q428" s="71">
        <f>LN(Sales_Deals!G425)</f>
        <v>12.091166717028816</v>
      </c>
    </row>
    <row r="429" spans="17:17" x14ac:dyDescent="0.35">
      <c r="Q429" s="71">
        <f>LN(Sales_Deals!G426)</f>
        <v>10.155684924241076</v>
      </c>
    </row>
    <row r="430" spans="17:17" x14ac:dyDescent="0.35">
      <c r="Q430" s="71">
        <f>LN(Sales_Deals!G427)</f>
        <v>12.59620751030671</v>
      </c>
    </row>
    <row r="431" spans="17:17" x14ac:dyDescent="0.35">
      <c r="Q431" s="71">
        <f>LN(Sales_Deals!G428)</f>
        <v>12.934792064724151</v>
      </c>
    </row>
    <row r="432" spans="17:17" x14ac:dyDescent="0.35">
      <c r="Q432" s="71">
        <f>LN(Sales_Deals!G429)</f>
        <v>12.263723438131802</v>
      </c>
    </row>
    <row r="433" spans="17:17" x14ac:dyDescent="0.35">
      <c r="Q433" s="71">
        <f>LN(Sales_Deals!G430)</f>
        <v>11.191493553471755</v>
      </c>
    </row>
    <row r="434" spans="17:17" x14ac:dyDescent="0.35">
      <c r="Q434" s="71">
        <f>LN(Sales_Deals!G431)</f>
        <v>12.612547243931512</v>
      </c>
    </row>
    <row r="435" spans="17:17" x14ac:dyDescent="0.35">
      <c r="Q435" s="71">
        <f>LN(Sales_Deals!G432)</f>
        <v>11.101764164317183</v>
      </c>
    </row>
    <row r="436" spans="17:17" x14ac:dyDescent="0.35">
      <c r="Q436" s="71">
        <f>LN(Sales_Deals!G433)</f>
        <v>10.464274083455889</v>
      </c>
    </row>
    <row r="437" spans="17:17" x14ac:dyDescent="0.35">
      <c r="Q437" s="71">
        <f>LN(Sales_Deals!G434)</f>
        <v>13.08524078166255</v>
      </c>
    </row>
    <row r="438" spans="17:17" x14ac:dyDescent="0.35">
      <c r="Q438" s="71">
        <f>LN(Sales_Deals!G435)</f>
        <v>10.18855370645454</v>
      </c>
    </row>
    <row r="439" spans="17:17" x14ac:dyDescent="0.35">
      <c r="Q439" s="71">
        <f>LN(Sales_Deals!G436)</f>
        <v>11.382611747215979</v>
      </c>
    </row>
    <row r="440" spans="17:17" x14ac:dyDescent="0.35">
      <c r="Q440" s="71">
        <f>LN(Sales_Deals!G437)</f>
        <v>12.543761998307783</v>
      </c>
    </row>
    <row r="441" spans="17:17" x14ac:dyDescent="0.35">
      <c r="Q441" s="71">
        <f>LN(Sales_Deals!G438)</f>
        <v>12.838758315970248</v>
      </c>
    </row>
    <row r="442" spans="17:17" x14ac:dyDescent="0.35">
      <c r="Q442" s="71">
        <f>LN(Sales_Deals!G439)</f>
        <v>12.130540582917737</v>
      </c>
    </row>
    <row r="443" spans="17:17" x14ac:dyDescent="0.35">
      <c r="Q443" s="71">
        <f>LN(Sales_Deals!G440)</f>
        <v>13.112779599362471</v>
      </c>
    </row>
    <row r="444" spans="17:17" x14ac:dyDescent="0.35">
      <c r="Q444" s="71">
        <f>LN(Sales_Deals!G441)</f>
        <v>11.577204577464286</v>
      </c>
    </row>
    <row r="445" spans="17:17" x14ac:dyDescent="0.35">
      <c r="Q445" s="71">
        <f>LN(Sales_Deals!G442)</f>
        <v>11.97378743629868</v>
      </c>
    </row>
    <row r="446" spans="17:17" x14ac:dyDescent="0.35">
      <c r="Q446" s="71">
        <f>LN(Sales_Deals!G443)</f>
        <v>12.982358505524187</v>
      </c>
    </row>
    <row r="447" spans="17:17" x14ac:dyDescent="0.35">
      <c r="Q447" s="71">
        <f>LN(Sales_Deals!G444)</f>
        <v>12.220798683233005</v>
      </c>
    </row>
    <row r="448" spans="17:17" x14ac:dyDescent="0.35">
      <c r="Q448" s="71">
        <f>LN(Sales_Deals!G445)</f>
        <v>13.021530374851523</v>
      </c>
    </row>
    <row r="449" spans="17:17" x14ac:dyDescent="0.35">
      <c r="Q449" s="71">
        <f>LN(Sales_Deals!G446)</f>
        <v>12.063367877287437</v>
      </c>
    </row>
    <row r="450" spans="17:17" x14ac:dyDescent="0.35">
      <c r="Q450" s="71">
        <f>LN(Sales_Deals!G447)</f>
        <v>12.205287337256333</v>
      </c>
    </row>
    <row r="451" spans="17:17" x14ac:dyDescent="0.35">
      <c r="Q451" s="71">
        <f>LN(Sales_Deals!G448)</f>
        <v>10.649108580356776</v>
      </c>
    </row>
    <row r="452" spans="17:17" x14ac:dyDescent="0.35">
      <c r="Q452" s="71">
        <f>LN(Sales_Deals!G449)</f>
        <v>12.900114425816431</v>
      </c>
    </row>
    <row r="453" spans="17:17" x14ac:dyDescent="0.35">
      <c r="Q453" s="71">
        <f>LN(Sales_Deals!G450)</f>
        <v>10.470759670120469</v>
      </c>
    </row>
    <row r="454" spans="17:17" x14ac:dyDescent="0.35">
      <c r="Q454" s="71">
        <f>LN(Sales_Deals!G451)</f>
        <v>12.393265650861149</v>
      </c>
    </row>
    <row r="455" spans="17:17" x14ac:dyDescent="0.35">
      <c r="Q455" s="71">
        <f>LN(Sales_Deals!G452)</f>
        <v>11.435277387878937</v>
      </c>
    </row>
    <row r="456" spans="17:17" x14ac:dyDescent="0.35">
      <c r="Q456" s="71">
        <f>LN(Sales_Deals!G453)</f>
        <v>13.100377448438675</v>
      </c>
    </row>
    <row r="457" spans="17:17" x14ac:dyDescent="0.35">
      <c r="Q457" s="71">
        <f>LN(Sales_Deals!G454)</f>
        <v>11.963249209386619</v>
      </c>
    </row>
    <row r="458" spans="17:17" x14ac:dyDescent="0.35">
      <c r="Q458" s="71">
        <f>LN(Sales_Deals!G455)</f>
        <v>13.706398569880495</v>
      </c>
    </row>
    <row r="459" spans="17:17" x14ac:dyDescent="0.35">
      <c r="Q459" s="71">
        <f>LN(Sales_Deals!G456)</f>
        <v>12.530540979877346</v>
      </c>
    </row>
    <row r="460" spans="17:17" x14ac:dyDescent="0.35">
      <c r="Q460" s="71">
        <f>LN(Sales_Deals!G457)</f>
        <v>12.754537925545115</v>
      </c>
    </row>
    <row r="461" spans="17:17" x14ac:dyDescent="0.35">
      <c r="Q461" s="71">
        <f>LN(Sales_Deals!G458)</f>
        <v>10.483074020872907</v>
      </c>
    </row>
    <row r="462" spans="17:17" x14ac:dyDescent="0.35">
      <c r="Q462" s="71">
        <f>LN(Sales_Deals!G459)</f>
        <v>12.541297676141784</v>
      </c>
    </row>
    <row r="463" spans="17:17" x14ac:dyDescent="0.35">
      <c r="Q463" s="71">
        <f>LN(Sales_Deals!G460)</f>
        <v>12.082304861942662</v>
      </c>
    </row>
    <row r="464" spans="17:17" x14ac:dyDescent="0.35">
      <c r="Q464" s="71">
        <f>LN(Sales_Deals!G461)</f>
        <v>12.778000894497834</v>
      </c>
    </row>
    <row r="465" spans="17:17" x14ac:dyDescent="0.35">
      <c r="Q465" s="71">
        <f>LN(Sales_Deals!G462)</f>
        <v>12.298027201521137</v>
      </c>
    </row>
    <row r="466" spans="17:17" x14ac:dyDescent="0.35">
      <c r="Q466" s="71">
        <f>LN(Sales_Deals!G463)</f>
        <v>12.343571158715807</v>
      </c>
    </row>
    <row r="467" spans="17:17" x14ac:dyDescent="0.35">
      <c r="Q467" s="71">
        <f>LN(Sales_Deals!G464)</f>
        <v>12.815753974472319</v>
      </c>
    </row>
    <row r="468" spans="17:17" x14ac:dyDescent="0.35">
      <c r="Q468" s="71">
        <f>LN(Sales_Deals!G465)</f>
        <v>12.540882787351064</v>
      </c>
    </row>
    <row r="469" spans="17:17" x14ac:dyDescent="0.35">
      <c r="Q469" s="71">
        <f>LN(Sales_Deals!G466)</f>
        <v>12.392020951046478</v>
      </c>
    </row>
    <row r="470" spans="17:17" x14ac:dyDescent="0.35">
      <c r="Q470" s="71">
        <f>LN(Sales_Deals!G467)</f>
        <v>13.083056900573448</v>
      </c>
    </row>
    <row r="471" spans="17:17" x14ac:dyDescent="0.35">
      <c r="Q471" s="71">
        <f>LN(Sales_Deals!G468)</f>
        <v>12.740443882871178</v>
      </c>
    </row>
    <row r="472" spans="17:17" x14ac:dyDescent="0.35">
      <c r="Q472" s="71">
        <f>LN(Sales_Deals!G469)</f>
        <v>12.588808046621025</v>
      </c>
    </row>
    <row r="473" spans="17:17" x14ac:dyDescent="0.35">
      <c r="Q473" s="71">
        <f>LN(Sales_Deals!G470)</f>
        <v>11.652956936236603</v>
      </c>
    </row>
    <row r="474" spans="17:17" x14ac:dyDescent="0.35">
      <c r="Q474" s="71">
        <f>LN(Sales_Deals!G471)</f>
        <v>13.066074467788937</v>
      </c>
    </row>
    <row r="475" spans="17:17" x14ac:dyDescent="0.35">
      <c r="Q475" s="71">
        <f>LN(Sales_Deals!G472)</f>
        <v>12.842011705132439</v>
      </c>
    </row>
    <row r="476" spans="17:17" x14ac:dyDescent="0.35">
      <c r="Q476" s="71">
        <f>LN(Sales_Deals!G473)</f>
        <v>12.379723385876497</v>
      </c>
    </row>
    <row r="477" spans="17:17" x14ac:dyDescent="0.35">
      <c r="Q477" s="71">
        <f>LN(Sales_Deals!G474)</f>
        <v>12.142093967651117</v>
      </c>
    </row>
    <row r="478" spans="17:17" x14ac:dyDescent="0.35">
      <c r="Q478" s="71">
        <f>LN(Sales_Deals!G475)</f>
        <v>11.142513744919452</v>
      </c>
    </row>
    <row r="479" spans="17:17" x14ac:dyDescent="0.35">
      <c r="Q479" s="71">
        <f>LN(Sales_Deals!G476)</f>
        <v>12.723255022262963</v>
      </c>
    </row>
    <row r="480" spans="17:17" x14ac:dyDescent="0.35">
      <c r="Q480" s="71">
        <f>LN(Sales_Deals!G477)</f>
        <v>12.382791033853694</v>
      </c>
    </row>
    <row r="481" spans="17:17" x14ac:dyDescent="0.35">
      <c r="Q481" s="71">
        <f>LN(Sales_Deals!G478)</f>
        <v>12.29290609002409</v>
      </c>
    </row>
    <row r="482" spans="17:17" x14ac:dyDescent="0.35">
      <c r="Q482" s="71">
        <f>LN(Sales_Deals!G479)</f>
        <v>13.028351554369955</v>
      </c>
    </row>
    <row r="483" spans="17:17" x14ac:dyDescent="0.35">
      <c r="Q483" s="71">
        <f>LN(Sales_Deals!G480)</f>
        <v>12.724303780682865</v>
      </c>
    </row>
    <row r="484" spans="17:17" x14ac:dyDescent="0.35">
      <c r="Q484" s="71">
        <f>LN(Sales_Deals!G481)</f>
        <v>12.350523577391463</v>
      </c>
    </row>
    <row r="485" spans="17:17" x14ac:dyDescent="0.35">
      <c r="Q485" s="71">
        <f>LN(Sales_Deals!G482)</f>
        <v>12.979974587885245</v>
      </c>
    </row>
    <row r="486" spans="17:17" x14ac:dyDescent="0.35">
      <c r="Q486" s="71">
        <f>LN(Sales_Deals!G483)</f>
        <v>11.172039502174462</v>
      </c>
    </row>
    <row r="487" spans="17:17" x14ac:dyDescent="0.35">
      <c r="Q487" s="71">
        <f>LN(Sales_Deals!G484)</f>
        <v>12.414695276743499</v>
      </c>
    </row>
    <row r="488" spans="17:17" x14ac:dyDescent="0.35">
      <c r="Q488" s="71">
        <f>LN(Sales_Deals!G485)</f>
        <v>12.100023003590477</v>
      </c>
    </row>
    <row r="489" spans="17:17" x14ac:dyDescent="0.35">
      <c r="Q489" s="71">
        <f>LN(Sales_Deals!G486)</f>
        <v>12.475710393964164</v>
      </c>
    </row>
    <row r="490" spans="17:17" x14ac:dyDescent="0.35">
      <c r="Q490" s="71">
        <f>LN(Sales_Deals!G487)</f>
        <v>13.032215450216329</v>
      </c>
    </row>
    <row r="491" spans="17:17" x14ac:dyDescent="0.35">
      <c r="Q491" s="71">
        <f>LN(Sales_Deals!G488)</f>
        <v>13.11171690430036</v>
      </c>
    </row>
    <row r="492" spans="17:17" x14ac:dyDescent="0.35">
      <c r="Q492" s="71">
        <f>LN(Sales_Deals!G489)</f>
        <v>12.907688862348163</v>
      </c>
    </row>
    <row r="493" spans="17:17" x14ac:dyDescent="0.35">
      <c r="Q493" s="71">
        <f>LN(Sales_Deals!G490)</f>
        <v>11.560648393179237</v>
      </c>
    </row>
    <row r="494" spans="17:17" x14ac:dyDescent="0.35">
      <c r="Q494" s="71">
        <f>LN(Sales_Deals!G491)</f>
        <v>11.280173399376908</v>
      </c>
    </row>
    <row r="495" spans="17:17" x14ac:dyDescent="0.35">
      <c r="Q495" s="71">
        <f>LN(Sales_Deals!G492)</f>
        <v>12.495808856793516</v>
      </c>
    </row>
    <row r="496" spans="17:17" x14ac:dyDescent="0.35">
      <c r="Q496" s="71">
        <f>LN(Sales_Deals!G493)</f>
        <v>10.457602524400516</v>
      </c>
    </row>
    <row r="497" spans="17:17" x14ac:dyDescent="0.35">
      <c r="Q497" s="71">
        <f>LN(Sales_Deals!G494)</f>
        <v>11.161451259430669</v>
      </c>
    </row>
    <row r="498" spans="17:17" x14ac:dyDescent="0.35">
      <c r="Q498" s="71">
        <f>LN(Sales_Deals!G495)</f>
        <v>10.283019278617788</v>
      </c>
    </row>
    <row r="499" spans="17:17" x14ac:dyDescent="0.35">
      <c r="Q499" s="71">
        <f>LN(Sales_Deals!G496)</f>
        <v>11.947340775921406</v>
      </c>
    </row>
    <row r="500" spans="17:17" x14ac:dyDescent="0.35">
      <c r="Q500" s="71">
        <f>LN(Sales_Deals!G497)</f>
        <v>12.412737160296514</v>
      </c>
    </row>
    <row r="501" spans="17:17" x14ac:dyDescent="0.35">
      <c r="Q501" s="71">
        <f>LN(Sales_Deals!G498)</f>
        <v>14.014002335854181</v>
      </c>
    </row>
    <row r="502" spans="17:17" x14ac:dyDescent="0.35">
      <c r="Q502" s="71">
        <f>LN(Sales_Deals!G499)</f>
        <v>12.927931181971768</v>
      </c>
    </row>
    <row r="503" spans="17:17" x14ac:dyDescent="0.35">
      <c r="Q503" s="71">
        <f>LN(Sales_Deals!G500)</f>
        <v>11.737811497282275</v>
      </c>
    </row>
    <row r="504" spans="17:17" x14ac:dyDescent="0.35">
      <c r="Q504" s="71">
        <f>LN(Sales_Deals!G501)</f>
        <v>12.812702872307735</v>
      </c>
    </row>
    <row r="505" spans="17:17" x14ac:dyDescent="0.35">
      <c r="Q505" s="71">
        <f>LN(Sales_Deals!G502)</f>
        <v>12.537995262595672</v>
      </c>
    </row>
    <row r="506" spans="17:17" x14ac:dyDescent="0.35">
      <c r="Q506" s="71">
        <f>LN(Sales_Deals!G503)</f>
        <v>14.166152640735694</v>
      </c>
    </row>
    <row r="507" spans="17:17" x14ac:dyDescent="0.35">
      <c r="Q507" s="71">
        <f>LN(Sales_Deals!G504)</f>
        <v>10.806226877458554</v>
      </c>
    </row>
    <row r="508" spans="17:17" x14ac:dyDescent="0.35">
      <c r="Q508" s="71">
        <f>LN(Sales_Deals!G505)</f>
        <v>12.980387285608469</v>
      </c>
    </row>
    <row r="509" spans="17:17" x14ac:dyDescent="0.35">
      <c r="Q509" s="71">
        <f>LN(Sales_Deals!G506)</f>
        <v>11.885081949034651</v>
      </c>
    </row>
    <row r="510" spans="17:17" x14ac:dyDescent="0.35">
      <c r="Q510" s="71">
        <f>LN(Sales_Deals!G507)</f>
        <v>12.756702466035939</v>
      </c>
    </row>
    <row r="511" spans="17:17" x14ac:dyDescent="0.35">
      <c r="Q511" s="71">
        <f>LN(Sales_Deals!G508)</f>
        <v>12.818603412211978</v>
      </c>
    </row>
    <row r="512" spans="17:17" x14ac:dyDescent="0.35">
      <c r="Q512" s="71">
        <f>LN(Sales_Deals!G509)</f>
        <v>12.042223419815919</v>
      </c>
    </row>
    <row r="513" spans="17:17" x14ac:dyDescent="0.35">
      <c r="Q513" s="71">
        <f>LN(Sales_Deals!G510)</f>
        <v>12.507150837952285</v>
      </c>
    </row>
    <row r="514" spans="17:17" x14ac:dyDescent="0.35">
      <c r="Q514" s="71">
        <f>LN(Sales_Deals!G511)</f>
        <v>12.347567867516677</v>
      </c>
    </row>
    <row r="515" spans="17:17" x14ac:dyDescent="0.35">
      <c r="Q515" s="71">
        <f>LN(Sales_Deals!G512)</f>
        <v>12.751832887175155</v>
      </c>
    </row>
    <row r="516" spans="17:17" x14ac:dyDescent="0.35">
      <c r="Q516" s="71">
        <f>LN(Sales_Deals!G513)</f>
        <v>12.898862262171759</v>
      </c>
    </row>
    <row r="517" spans="17:17" x14ac:dyDescent="0.35">
      <c r="Q517" s="71">
        <f>LN(Sales_Deals!G514)</f>
        <v>11.871627353268588</v>
      </c>
    </row>
    <row r="518" spans="17:17" x14ac:dyDescent="0.35">
      <c r="Q518" s="71">
        <f>LN(Sales_Deals!G515)</f>
        <v>13.02609033419578</v>
      </c>
    </row>
    <row r="519" spans="17:17" x14ac:dyDescent="0.35">
      <c r="Q519" s="71">
        <f>LN(Sales_Deals!G516)</f>
        <v>11.819726107274825</v>
      </c>
    </row>
    <row r="520" spans="17:17" x14ac:dyDescent="0.35">
      <c r="Q520" s="71">
        <f>LN(Sales_Deals!G517)</f>
        <v>12.88157506891665</v>
      </c>
    </row>
    <row r="521" spans="17:17" x14ac:dyDescent="0.35">
      <c r="Q521" s="71">
        <f>LN(Sales_Deals!G518)</f>
        <v>11.567811298454499</v>
      </c>
    </row>
    <row r="522" spans="17:17" x14ac:dyDescent="0.35">
      <c r="Q522" s="71">
        <f>LN(Sales_Deals!G519)</f>
        <v>12.240585177186235</v>
      </c>
    </row>
    <row r="523" spans="17:17" x14ac:dyDescent="0.35">
      <c r="Q523" s="71">
        <f>LN(Sales_Deals!G520)</f>
        <v>12.278337491598656</v>
      </c>
    </row>
    <row r="524" spans="17:17" x14ac:dyDescent="0.35">
      <c r="Q524" s="71">
        <f>LN(Sales_Deals!G521)</f>
        <v>12.606317485048454</v>
      </c>
    </row>
    <row r="525" spans="17:17" x14ac:dyDescent="0.35">
      <c r="Q525" s="71">
        <f>LN(Sales_Deals!G522)</f>
        <v>13.075988494094373</v>
      </c>
    </row>
    <row r="526" spans="17:17" x14ac:dyDescent="0.35">
      <c r="Q526" s="71">
        <f>LN(Sales_Deals!G523)</f>
        <v>12.834094466129656</v>
      </c>
    </row>
    <row r="527" spans="17:17" x14ac:dyDescent="0.35">
      <c r="Q527" s="71">
        <f>LN(Sales_Deals!G524)</f>
        <v>12.221950915934197</v>
      </c>
    </row>
    <row r="528" spans="17:17" x14ac:dyDescent="0.35">
      <c r="Q528" s="71">
        <f>LN(Sales_Deals!G525)</f>
        <v>12.804546443487411</v>
      </c>
    </row>
    <row r="529" spans="17:17" x14ac:dyDescent="0.35">
      <c r="Q529" s="71">
        <f>LN(Sales_Deals!G526)</f>
        <v>11.530342897007296</v>
      </c>
    </row>
    <row r="530" spans="17:17" x14ac:dyDescent="0.35">
      <c r="Q530" s="71">
        <f>LN(Sales_Deals!G527)</f>
        <v>11.953197714583798</v>
      </c>
    </row>
    <row r="531" spans="17:17" x14ac:dyDescent="0.35">
      <c r="Q531" s="71">
        <f>LN(Sales_Deals!G528)</f>
        <v>12.462175037641096</v>
      </c>
    </row>
    <row r="532" spans="17:17" x14ac:dyDescent="0.35">
      <c r="Q532" s="71">
        <f>LN(Sales_Deals!G529)</f>
        <v>11.770014300337179</v>
      </c>
    </row>
    <row r="533" spans="17:17" x14ac:dyDescent="0.35">
      <c r="Q533" s="71">
        <f>LN(Sales_Deals!G530)</f>
        <v>13.085336256567253</v>
      </c>
    </row>
    <row r="534" spans="17:17" x14ac:dyDescent="0.35">
      <c r="Q534" s="71">
        <f>LN(Sales_Deals!G531)</f>
        <v>12.072684099845398</v>
      </c>
    </row>
    <row r="535" spans="17:17" x14ac:dyDescent="0.35">
      <c r="Q535" s="71">
        <f>LN(Sales_Deals!G532)</f>
        <v>12.224388874565944</v>
      </c>
    </row>
    <row r="536" spans="17:17" x14ac:dyDescent="0.35">
      <c r="Q536" s="71">
        <f>LN(Sales_Deals!G533)</f>
        <v>12.610507222823815</v>
      </c>
    </row>
    <row r="537" spans="17:17" x14ac:dyDescent="0.35">
      <c r="Q537" s="71">
        <f>LN(Sales_Deals!G534)</f>
        <v>12.585159554578272</v>
      </c>
    </row>
    <row r="538" spans="17:17" x14ac:dyDescent="0.35">
      <c r="Q538" s="71">
        <f>LN(Sales_Deals!G535)</f>
        <v>12.274445991817679</v>
      </c>
    </row>
    <row r="539" spans="17:17" x14ac:dyDescent="0.35">
      <c r="Q539" s="71">
        <f>LN(Sales_Deals!G536)</f>
        <v>12.382145553451371</v>
      </c>
    </row>
    <row r="540" spans="17:17" x14ac:dyDescent="0.35">
      <c r="Q540" s="71">
        <f>LN(Sales_Deals!G537)</f>
        <v>12.851192246079462</v>
      </c>
    </row>
    <row r="541" spans="17:17" x14ac:dyDescent="0.35">
      <c r="Q541" s="71">
        <f>LN(Sales_Deals!G538)</f>
        <v>12.007023967220009</v>
      </c>
    </row>
    <row r="542" spans="17:17" x14ac:dyDescent="0.35">
      <c r="Q542" s="71">
        <f>LN(Sales_Deals!G539)</f>
        <v>13.112096856568376</v>
      </c>
    </row>
    <row r="543" spans="17:17" x14ac:dyDescent="0.35">
      <c r="Q543" s="71">
        <f>LN(Sales_Deals!G540)</f>
        <v>12.128851370536152</v>
      </c>
    </row>
    <row r="544" spans="17:17" x14ac:dyDescent="0.35">
      <c r="Q544" s="71">
        <f>LN(Sales_Deals!G541)</f>
        <v>12.330341270875511</v>
      </c>
    </row>
    <row r="545" spans="17:17" x14ac:dyDescent="0.35">
      <c r="Q545" s="71">
        <f>LN(Sales_Deals!G542)</f>
        <v>13.092924267999312</v>
      </c>
    </row>
    <row r="546" spans="17:17" x14ac:dyDescent="0.35">
      <c r="Q546" s="71">
        <f>LN(Sales_Deals!G543)</f>
        <v>12.708830814718402</v>
      </c>
    </row>
    <row r="547" spans="17:17" x14ac:dyDescent="0.35">
      <c r="Q547" s="71">
        <f>LN(Sales_Deals!G544)</f>
        <v>12.31612812258822</v>
      </c>
    </row>
    <row r="548" spans="17:17" x14ac:dyDescent="0.35">
      <c r="Q548" s="71">
        <f>LN(Sales_Deals!G545)</f>
        <v>12.012148032885184</v>
      </c>
    </row>
    <row r="549" spans="17:17" x14ac:dyDescent="0.35">
      <c r="Q549" s="71">
        <f>LN(Sales_Deals!G546)</f>
        <v>14.18225354859967</v>
      </c>
    </row>
    <row r="550" spans="17:17" x14ac:dyDescent="0.35">
      <c r="Q550" s="71">
        <f>LN(Sales_Deals!G547)</f>
        <v>11.264963980713381</v>
      </c>
    </row>
    <row r="551" spans="17:17" x14ac:dyDescent="0.35">
      <c r="Q551" s="71">
        <f>LN(Sales_Deals!G548)</f>
        <v>11.17343066500325</v>
      </c>
    </row>
    <row r="552" spans="17:17" x14ac:dyDescent="0.35">
      <c r="Q552" s="71">
        <f>LN(Sales_Deals!G549)</f>
        <v>12.576090179899982</v>
      </c>
    </row>
    <row r="553" spans="17:17" x14ac:dyDescent="0.35">
      <c r="Q553" s="71">
        <f>LN(Sales_Deals!G550)</f>
        <v>12.827229609907398</v>
      </c>
    </row>
    <row r="554" spans="17:17" x14ac:dyDescent="0.35">
      <c r="Q554" s="71">
        <f>LN(Sales_Deals!G551)</f>
        <v>12.899154823977527</v>
      </c>
    </row>
    <row r="555" spans="17:17" x14ac:dyDescent="0.35">
      <c r="Q555" s="71">
        <f>LN(Sales_Deals!G552)</f>
        <v>11.411800411509988</v>
      </c>
    </row>
    <row r="556" spans="17:17" x14ac:dyDescent="0.35">
      <c r="Q556" s="71">
        <f>LN(Sales_Deals!G553)</f>
        <v>12.60922842251799</v>
      </c>
    </row>
    <row r="557" spans="17:17" x14ac:dyDescent="0.35">
      <c r="Q557" s="71">
        <f>LN(Sales_Deals!G554)</f>
        <v>11.926120619140303</v>
      </c>
    </row>
    <row r="558" spans="17:17" x14ac:dyDescent="0.35">
      <c r="Q558" s="71">
        <f>LN(Sales_Deals!G555)</f>
        <v>11.411877857560555</v>
      </c>
    </row>
    <row r="559" spans="17:17" x14ac:dyDescent="0.35">
      <c r="Q559" s="71">
        <f>LN(Sales_Deals!G556)</f>
        <v>13.056377409220524</v>
      </c>
    </row>
    <row r="560" spans="17:17" x14ac:dyDescent="0.35">
      <c r="Q560" s="71">
        <f>LN(Sales_Deals!G557)</f>
        <v>14.004734074673374</v>
      </c>
    </row>
    <row r="561" spans="17:17" x14ac:dyDescent="0.35">
      <c r="Q561" s="71">
        <f>LN(Sales_Deals!G558)</f>
        <v>12.301973559907378</v>
      </c>
    </row>
    <row r="562" spans="17:17" x14ac:dyDescent="0.35">
      <c r="Q562" s="71">
        <f>LN(Sales_Deals!G559)</f>
        <v>12.317748179420763</v>
      </c>
    </row>
    <row r="563" spans="17:17" x14ac:dyDescent="0.35">
      <c r="Q563" s="71">
        <f>LN(Sales_Deals!G560)</f>
        <v>12.013937088589598</v>
      </c>
    </row>
    <row r="564" spans="17:17" x14ac:dyDescent="0.35">
      <c r="Q564" s="71">
        <f>LN(Sales_Deals!G561)</f>
        <v>12.687390155769926</v>
      </c>
    </row>
    <row r="565" spans="17:17" x14ac:dyDescent="0.35">
      <c r="Q565" s="71">
        <f>LN(Sales_Deals!G562)</f>
        <v>14.166162499987829</v>
      </c>
    </row>
    <row r="566" spans="17:17" x14ac:dyDescent="0.35">
      <c r="Q566" s="71">
        <f>LN(Sales_Deals!G563)</f>
        <v>10.948382558698249</v>
      </c>
    </row>
    <row r="567" spans="17:17" x14ac:dyDescent="0.35">
      <c r="Q567" s="71">
        <f>LN(Sales_Deals!G564)</f>
        <v>12.203414114766838</v>
      </c>
    </row>
    <row r="568" spans="17:17" x14ac:dyDescent="0.35">
      <c r="Q568" s="71">
        <f>LN(Sales_Deals!G565)</f>
        <v>12.313028388136646</v>
      </c>
    </row>
    <row r="569" spans="17:17" x14ac:dyDescent="0.35">
      <c r="Q569" s="71">
        <f>LN(Sales_Deals!G566)</f>
        <v>12.677506501513875</v>
      </c>
    </row>
    <row r="570" spans="17:17" x14ac:dyDescent="0.35">
      <c r="Q570" s="71">
        <f>LN(Sales_Deals!G567)</f>
        <v>12.440148223893942</v>
      </c>
    </row>
    <row r="571" spans="17:17" x14ac:dyDescent="0.35">
      <c r="Q571" s="71">
        <f>LN(Sales_Deals!G568)</f>
        <v>13.057658442420742</v>
      </c>
    </row>
    <row r="572" spans="17:17" x14ac:dyDescent="0.35">
      <c r="Q572" s="71">
        <f>LN(Sales_Deals!G569)</f>
        <v>12.807967651434124</v>
      </c>
    </row>
    <row r="573" spans="17:17" x14ac:dyDescent="0.35">
      <c r="Q573" s="71">
        <f>LN(Sales_Deals!G570)</f>
        <v>11.542620180305267</v>
      </c>
    </row>
    <row r="574" spans="17:17" x14ac:dyDescent="0.35">
      <c r="Q574" s="71">
        <f>LN(Sales_Deals!G571)</f>
        <v>11.187942967763986</v>
      </c>
    </row>
    <row r="575" spans="17:17" x14ac:dyDescent="0.35">
      <c r="Q575" s="71">
        <f>LN(Sales_Deals!G572)</f>
        <v>12.862483224974111</v>
      </c>
    </row>
    <row r="576" spans="17:17" x14ac:dyDescent="0.35">
      <c r="Q576" s="71">
        <f>LN(Sales_Deals!G573)</f>
        <v>12.833915678602146</v>
      </c>
    </row>
    <row r="577" spans="17:17" x14ac:dyDescent="0.35">
      <c r="Q577" s="71">
        <f>LN(Sales_Deals!G574)</f>
        <v>12.691801975237391</v>
      </c>
    </row>
    <row r="578" spans="17:17" x14ac:dyDescent="0.35">
      <c r="Q578" s="71">
        <f>LN(Sales_Deals!G575)</f>
        <v>13.064488471651224</v>
      </c>
    </row>
    <row r="579" spans="17:17" x14ac:dyDescent="0.35">
      <c r="Q579" s="71">
        <f>LN(Sales_Deals!G576)</f>
        <v>10.165120780630861</v>
      </c>
    </row>
    <row r="580" spans="17:17" x14ac:dyDescent="0.35">
      <c r="Q580" s="71">
        <f>LN(Sales_Deals!G577)</f>
        <v>12.196562567751398</v>
      </c>
    </row>
    <row r="581" spans="17:17" x14ac:dyDescent="0.35">
      <c r="Q581" s="71">
        <f>LN(Sales_Deals!G578)</f>
        <v>13.008518078675589</v>
      </c>
    </row>
    <row r="582" spans="17:17" x14ac:dyDescent="0.35">
      <c r="Q582" s="71">
        <f>LN(Sales_Deals!G579)</f>
        <v>12.192039641898745</v>
      </c>
    </row>
    <row r="583" spans="17:17" x14ac:dyDescent="0.35">
      <c r="Q583" s="71">
        <f>LN(Sales_Deals!G580)</f>
        <v>12.44965391654433</v>
      </c>
    </row>
    <row r="584" spans="17:17" x14ac:dyDescent="0.35">
      <c r="Q584" s="71">
        <f>LN(Sales_Deals!G581)</f>
        <v>12.802794274489871</v>
      </c>
    </row>
    <row r="585" spans="17:17" x14ac:dyDescent="0.35">
      <c r="Q585" s="71">
        <f>LN(Sales_Deals!G582)</f>
        <v>11.666821826747107</v>
      </c>
    </row>
    <row r="586" spans="17:17" x14ac:dyDescent="0.35">
      <c r="Q586" s="71">
        <f>LN(Sales_Deals!G583)</f>
        <v>11.480815411051994</v>
      </c>
    </row>
    <row r="587" spans="17:17" x14ac:dyDescent="0.35">
      <c r="Q587" s="71">
        <f>LN(Sales_Deals!G584)</f>
        <v>13.079345223089573</v>
      </c>
    </row>
    <row r="588" spans="17:17" x14ac:dyDescent="0.35">
      <c r="Q588" s="71">
        <f>LN(Sales_Deals!G585)</f>
        <v>12.434470369472853</v>
      </c>
    </row>
    <row r="589" spans="17:17" x14ac:dyDescent="0.35">
      <c r="Q589" s="71">
        <f>LN(Sales_Deals!G586)</f>
        <v>11.503299281575597</v>
      </c>
    </row>
    <row r="590" spans="17:17" x14ac:dyDescent="0.35">
      <c r="Q590" s="71">
        <f>LN(Sales_Deals!G587)</f>
        <v>12.637777136841706</v>
      </c>
    </row>
    <row r="591" spans="17:17" x14ac:dyDescent="0.35">
      <c r="Q591" s="71">
        <f>LN(Sales_Deals!G588)</f>
        <v>12.725223518042155</v>
      </c>
    </row>
    <row r="592" spans="17:17" x14ac:dyDescent="0.35">
      <c r="Q592" s="71">
        <f>LN(Sales_Deals!G589)</f>
        <v>12.710227066222112</v>
      </c>
    </row>
    <row r="593" spans="17:17" x14ac:dyDescent="0.35">
      <c r="Q593" s="71">
        <f>LN(Sales_Deals!G590)</f>
        <v>11.405039540929112</v>
      </c>
    </row>
    <row r="594" spans="17:17" x14ac:dyDescent="0.35">
      <c r="Q594" s="71">
        <f>LN(Sales_Deals!G591)</f>
        <v>12.64447917787248</v>
      </c>
    </row>
    <row r="595" spans="17:17" x14ac:dyDescent="0.35">
      <c r="Q595" s="71">
        <f>LN(Sales_Deals!G592)</f>
        <v>14.372093752232269</v>
      </c>
    </row>
    <row r="596" spans="17:17" x14ac:dyDescent="0.35">
      <c r="Q596" s="71">
        <f>LN(Sales_Deals!G593)</f>
        <v>9.9376474041828331</v>
      </c>
    </row>
    <row r="597" spans="17:17" x14ac:dyDescent="0.35">
      <c r="Q597" s="71">
        <f>LN(Sales_Deals!G594)</f>
        <v>12.874486462669443</v>
      </c>
    </row>
    <row r="598" spans="17:17" x14ac:dyDescent="0.35">
      <c r="Q598" s="71">
        <f>LN(Sales_Deals!G595)</f>
        <v>12.262802634275863</v>
      </c>
    </row>
    <row r="599" spans="17:17" x14ac:dyDescent="0.35">
      <c r="Q599" s="71">
        <f>LN(Sales_Deals!G596)</f>
        <v>10.101190211368385</v>
      </c>
    </row>
    <row r="600" spans="17:17" x14ac:dyDescent="0.35">
      <c r="Q600" s="71">
        <f>LN(Sales_Deals!G597)</f>
        <v>12.322410192526574</v>
      </c>
    </row>
    <row r="601" spans="17:17" x14ac:dyDescent="0.35">
      <c r="Q601" s="71">
        <f>LN(Sales_Deals!G598)</f>
        <v>12.349488772797073</v>
      </c>
    </row>
    <row r="602" spans="17:17" x14ac:dyDescent="0.35">
      <c r="Q602" s="71">
        <f>LN(Sales_Deals!G599)</f>
        <v>11.765200542790685</v>
      </c>
    </row>
    <row r="603" spans="17:17" x14ac:dyDescent="0.35">
      <c r="Q603" s="71">
        <f>LN(Sales_Deals!G600)</f>
        <v>12.760540922017192</v>
      </c>
    </row>
    <row r="604" spans="17:17" x14ac:dyDescent="0.35">
      <c r="Q604" s="71">
        <f>LN(Sales_Deals!G601)</f>
        <v>12.699264707874823</v>
      </c>
    </row>
    <row r="605" spans="17:17" x14ac:dyDescent="0.35">
      <c r="Q605" s="71">
        <f>LN(Sales_Deals!G602)</f>
        <v>13.057462123820631</v>
      </c>
    </row>
    <row r="606" spans="17:17" x14ac:dyDescent="0.35">
      <c r="Q606" s="71">
        <f>LN(Sales_Deals!G603)</f>
        <v>12.329599155813623</v>
      </c>
    </row>
    <row r="607" spans="17:17" x14ac:dyDescent="0.35">
      <c r="Q607" s="71">
        <f>LN(Sales_Deals!G604)</f>
        <v>12.6998599378114</v>
      </c>
    </row>
    <row r="608" spans="17:17" x14ac:dyDescent="0.35">
      <c r="Q608" s="71">
        <f>LN(Sales_Deals!G605)</f>
        <v>11.570533777590542</v>
      </c>
    </row>
    <row r="609" spans="17:17" x14ac:dyDescent="0.35">
      <c r="Q609" s="71">
        <f>LN(Sales_Deals!G606)</f>
        <v>12.070625132604812</v>
      </c>
    </row>
    <row r="610" spans="17:17" x14ac:dyDescent="0.35">
      <c r="Q610" s="71">
        <f>LN(Sales_Deals!G607)</f>
        <v>12.745555694545713</v>
      </c>
    </row>
    <row r="611" spans="17:17" x14ac:dyDescent="0.35">
      <c r="Q611" s="71">
        <f>LN(Sales_Deals!G608)</f>
        <v>12.179148419742313</v>
      </c>
    </row>
    <row r="612" spans="17:17" x14ac:dyDescent="0.35">
      <c r="Q612" s="71">
        <f>LN(Sales_Deals!G609)</f>
        <v>11.402831542173155</v>
      </c>
    </row>
    <row r="613" spans="17:17" x14ac:dyDescent="0.35">
      <c r="Q613" s="71">
        <f>LN(Sales_Deals!G610)</f>
        <v>12.500405055385821</v>
      </c>
    </row>
    <row r="614" spans="17:17" x14ac:dyDescent="0.35">
      <c r="Q614" s="71">
        <f>LN(Sales_Deals!G611)</f>
        <v>10.799024404817064</v>
      </c>
    </row>
    <row r="615" spans="17:17" x14ac:dyDescent="0.35">
      <c r="Q615" s="71">
        <f>LN(Sales_Deals!G612)</f>
        <v>12.723263965193652</v>
      </c>
    </row>
    <row r="616" spans="17:17" x14ac:dyDescent="0.35">
      <c r="Q616" s="71">
        <f>LN(Sales_Deals!G613)</f>
        <v>13.022268971419003</v>
      </c>
    </row>
    <row r="617" spans="17:17" x14ac:dyDescent="0.35">
      <c r="Q617" s="71">
        <f>LN(Sales_Deals!G614)</f>
        <v>13.060777293531347</v>
      </c>
    </row>
    <row r="618" spans="17:17" x14ac:dyDescent="0.35">
      <c r="Q618" s="71">
        <f>LN(Sales_Deals!G615)</f>
        <v>13.085960769659271</v>
      </c>
    </row>
    <row r="619" spans="17:17" x14ac:dyDescent="0.35">
      <c r="Q619" s="71">
        <f>LN(Sales_Deals!G616)</f>
        <v>12.441018277496669</v>
      </c>
    </row>
    <row r="620" spans="17:17" x14ac:dyDescent="0.35">
      <c r="Q620" s="71">
        <f>LN(Sales_Deals!G617)</f>
        <v>11.348357378560248</v>
      </c>
    </row>
    <row r="621" spans="17:17" x14ac:dyDescent="0.35">
      <c r="Q621" s="71">
        <f>LN(Sales_Deals!G618)</f>
        <v>10.460815009953539</v>
      </c>
    </row>
    <row r="622" spans="17:17" x14ac:dyDescent="0.35">
      <c r="Q622" s="71">
        <f>LN(Sales_Deals!G619)</f>
        <v>11.397828817739152</v>
      </c>
    </row>
    <row r="623" spans="17:17" x14ac:dyDescent="0.35">
      <c r="Q623" s="71">
        <f>LN(Sales_Deals!G620)</f>
        <v>11.841027050957658</v>
      </c>
    </row>
    <row r="624" spans="17:17" x14ac:dyDescent="0.35">
      <c r="Q624" s="71">
        <f>LN(Sales_Deals!G621)</f>
        <v>13.0282263092354</v>
      </c>
    </row>
    <row r="625" spans="17:17" x14ac:dyDescent="0.35">
      <c r="Q625" s="71">
        <f>LN(Sales_Deals!G622)</f>
        <v>12.144271707124583</v>
      </c>
    </row>
    <row r="626" spans="17:17" x14ac:dyDescent="0.35">
      <c r="Q626" s="71">
        <f>LN(Sales_Deals!G623)</f>
        <v>12.411483904924145</v>
      </c>
    </row>
    <row r="627" spans="17:17" x14ac:dyDescent="0.35">
      <c r="Q627" s="71">
        <f>LN(Sales_Deals!G624)</f>
        <v>11.414540563048828</v>
      </c>
    </row>
    <row r="628" spans="17:17" x14ac:dyDescent="0.35">
      <c r="Q628" s="71">
        <f>LN(Sales_Deals!G625)</f>
        <v>12.903012624328815</v>
      </c>
    </row>
    <row r="629" spans="17:17" x14ac:dyDescent="0.35">
      <c r="Q629" s="71">
        <f>LN(Sales_Deals!G626)</f>
        <v>12.888891673871447</v>
      </c>
    </row>
    <row r="630" spans="17:17" x14ac:dyDescent="0.35">
      <c r="Q630" s="71">
        <f>LN(Sales_Deals!G627)</f>
        <v>12.682549031216981</v>
      </c>
    </row>
    <row r="631" spans="17:17" x14ac:dyDescent="0.35">
      <c r="Q631" s="71">
        <f>LN(Sales_Deals!G628)</f>
        <v>12.173895468334853</v>
      </c>
    </row>
    <row r="632" spans="17:17" x14ac:dyDescent="0.35">
      <c r="Q632" s="71">
        <f>LN(Sales_Deals!G629)</f>
        <v>12.400067470510219</v>
      </c>
    </row>
    <row r="633" spans="17:17" x14ac:dyDescent="0.35">
      <c r="Q633" s="71">
        <f>LN(Sales_Deals!G630)</f>
        <v>12.755958392632515</v>
      </c>
    </row>
    <row r="634" spans="17:17" x14ac:dyDescent="0.35">
      <c r="Q634" s="71">
        <f>LN(Sales_Deals!G631)</f>
        <v>11.564264758299812</v>
      </c>
    </row>
    <row r="635" spans="17:17" x14ac:dyDescent="0.35">
      <c r="Q635" s="71">
        <f>LN(Sales_Deals!G632)</f>
        <v>11.109533207022995</v>
      </c>
    </row>
    <row r="636" spans="17:17" x14ac:dyDescent="0.35">
      <c r="Q636" s="71">
        <f>LN(Sales_Deals!G633)</f>
        <v>12.365679840039011</v>
      </c>
    </row>
    <row r="637" spans="17:17" x14ac:dyDescent="0.35">
      <c r="Q637" s="71">
        <f>LN(Sales_Deals!G634)</f>
        <v>11.907632916425433</v>
      </c>
    </row>
    <row r="638" spans="17:17" x14ac:dyDescent="0.35">
      <c r="Q638" s="71">
        <f>LN(Sales_Deals!G635)</f>
        <v>12.985954706524765</v>
      </c>
    </row>
    <row r="639" spans="17:17" x14ac:dyDescent="0.35">
      <c r="Q639" s="71">
        <f>LN(Sales_Deals!G636)</f>
        <v>12.141747434973617</v>
      </c>
    </row>
    <row r="640" spans="17:17" x14ac:dyDescent="0.35">
      <c r="Q640" s="71">
        <f>LN(Sales_Deals!G637)</f>
        <v>12.989994737092683</v>
      </c>
    </row>
    <row r="641" spans="17:17" x14ac:dyDescent="0.35">
      <c r="Q641" s="71">
        <f>LN(Sales_Deals!G638)</f>
        <v>12.206522544310538</v>
      </c>
    </row>
    <row r="642" spans="17:17" x14ac:dyDescent="0.35">
      <c r="Q642" s="71">
        <f>LN(Sales_Deals!G639)</f>
        <v>11.96205651973038</v>
      </c>
    </row>
    <row r="643" spans="17:17" x14ac:dyDescent="0.35">
      <c r="Q643" s="71">
        <f>LN(Sales_Deals!G640)</f>
        <v>12.70043041545698</v>
      </c>
    </row>
    <row r="644" spans="17:17" x14ac:dyDescent="0.35">
      <c r="Q644" s="71">
        <f>LN(Sales_Deals!G641)</f>
        <v>11.901163027411767</v>
      </c>
    </row>
    <row r="645" spans="17:17" x14ac:dyDescent="0.35">
      <c r="Q645" s="71">
        <f>LN(Sales_Deals!G642)</f>
        <v>11.358561429050845</v>
      </c>
    </row>
    <row r="646" spans="17:17" x14ac:dyDescent="0.35">
      <c r="Q646" s="71">
        <f>LN(Sales_Deals!G643)</f>
        <v>13.095984493857907</v>
      </c>
    </row>
    <row r="647" spans="17:17" x14ac:dyDescent="0.35">
      <c r="Q647" s="71">
        <f>LN(Sales_Deals!G644)</f>
        <v>11.21891675481818</v>
      </c>
    </row>
    <row r="648" spans="17:17" x14ac:dyDescent="0.35">
      <c r="Q648" s="71">
        <f>LN(Sales_Deals!G645)</f>
        <v>12.936989968443328</v>
      </c>
    </row>
    <row r="649" spans="17:17" x14ac:dyDescent="0.35">
      <c r="Q649" s="71">
        <f>LN(Sales_Deals!G646)</f>
        <v>12.922738579245303</v>
      </c>
    </row>
    <row r="650" spans="17:17" x14ac:dyDescent="0.35">
      <c r="Q650" s="71">
        <f>LN(Sales_Deals!G647)</f>
        <v>12.991828633197782</v>
      </c>
    </row>
    <row r="651" spans="17:17" x14ac:dyDescent="0.35">
      <c r="Q651" s="71">
        <f>LN(Sales_Deals!G648)</f>
        <v>13.087850604488239</v>
      </c>
    </row>
    <row r="652" spans="17:17" x14ac:dyDescent="0.35">
      <c r="Q652" s="71">
        <f>LN(Sales_Deals!G649)</f>
        <v>10.721437517010912</v>
      </c>
    </row>
    <row r="653" spans="17:17" x14ac:dyDescent="0.35">
      <c r="Q653" s="71">
        <f>LN(Sales_Deals!G650)</f>
        <v>12.616860230760309</v>
      </c>
    </row>
    <row r="654" spans="17:17" x14ac:dyDescent="0.35">
      <c r="Q654" s="71">
        <f>LN(Sales_Deals!G651)</f>
        <v>11.328389458090546</v>
      </c>
    </row>
    <row r="655" spans="17:17" x14ac:dyDescent="0.35">
      <c r="Q655" s="71">
        <f>LN(Sales_Deals!G652)</f>
        <v>13.102472866246476</v>
      </c>
    </row>
    <row r="656" spans="17:17" x14ac:dyDescent="0.35">
      <c r="Q656" s="71">
        <f>LN(Sales_Deals!G653)</f>
        <v>12.75260029913782</v>
      </c>
    </row>
    <row r="657" spans="17:17" x14ac:dyDescent="0.35">
      <c r="Q657" s="71">
        <f>LN(Sales_Deals!G654)</f>
        <v>12.232047362702369</v>
      </c>
    </row>
    <row r="658" spans="17:17" x14ac:dyDescent="0.35">
      <c r="Q658" s="71">
        <f>LN(Sales_Deals!G655)</f>
        <v>12.3097747868451</v>
      </c>
    </row>
    <row r="659" spans="17:17" x14ac:dyDescent="0.35">
      <c r="Q659" s="71">
        <f>LN(Sales_Deals!G656)</f>
        <v>12.560416374297111</v>
      </c>
    </row>
    <row r="660" spans="17:17" x14ac:dyDescent="0.35">
      <c r="Q660" s="71">
        <f>LN(Sales_Deals!G657)</f>
        <v>11.615933215044457</v>
      </c>
    </row>
    <row r="661" spans="17:17" x14ac:dyDescent="0.35">
      <c r="Q661" s="71">
        <f>LN(Sales_Deals!G658)</f>
        <v>12.582150136743746</v>
      </c>
    </row>
    <row r="662" spans="17:17" x14ac:dyDescent="0.35">
      <c r="Q662" s="71">
        <f>LN(Sales_Deals!G659)</f>
        <v>12.357372121679408</v>
      </c>
    </row>
    <row r="663" spans="17:17" x14ac:dyDescent="0.35">
      <c r="Q663" s="71">
        <f>LN(Sales_Deals!G660)</f>
        <v>11.410848441635462</v>
      </c>
    </row>
    <row r="664" spans="17:17" x14ac:dyDescent="0.35">
      <c r="Q664" s="71">
        <f>LN(Sales_Deals!G661)</f>
        <v>12.33487035191968</v>
      </c>
    </row>
    <row r="665" spans="17:17" x14ac:dyDescent="0.35">
      <c r="Q665" s="71">
        <f>LN(Sales_Deals!G662)</f>
        <v>11.642364746316376</v>
      </c>
    </row>
    <row r="666" spans="17:17" x14ac:dyDescent="0.35">
      <c r="Q666" s="71">
        <f>LN(Sales_Deals!G663)</f>
        <v>12.765391246452767</v>
      </c>
    </row>
    <row r="667" spans="17:17" x14ac:dyDescent="0.35">
      <c r="Q667" s="71">
        <f>LN(Sales_Deals!G664)</f>
        <v>11.766489583022603</v>
      </c>
    </row>
    <row r="668" spans="17:17" x14ac:dyDescent="0.35">
      <c r="Q668" s="71">
        <f>LN(Sales_Deals!G665)</f>
        <v>12.486941561048708</v>
      </c>
    </row>
    <row r="669" spans="17:17" x14ac:dyDescent="0.35">
      <c r="Q669" s="71">
        <f>LN(Sales_Deals!G666)</f>
        <v>12.486684784797591</v>
      </c>
    </row>
    <row r="670" spans="17:17" x14ac:dyDescent="0.35">
      <c r="Q670" s="71">
        <f>LN(Sales_Deals!G667)</f>
        <v>11.410870590765557</v>
      </c>
    </row>
    <row r="671" spans="17:17" x14ac:dyDescent="0.35">
      <c r="Q671" s="71">
        <f>LN(Sales_Deals!G668)</f>
        <v>12.946380091266979</v>
      </c>
    </row>
    <row r="672" spans="17:17" x14ac:dyDescent="0.35">
      <c r="Q672" s="71">
        <f>LN(Sales_Deals!G669)</f>
        <v>11.04504757473951</v>
      </c>
    </row>
    <row r="673" spans="17:17" x14ac:dyDescent="0.35">
      <c r="Q673" s="71">
        <f>LN(Sales_Deals!G670)</f>
        <v>12.9544321809183</v>
      </c>
    </row>
    <row r="674" spans="17:17" x14ac:dyDescent="0.35">
      <c r="Q674" s="71">
        <f>LN(Sales_Deals!G671)</f>
        <v>12.871141801955321</v>
      </c>
    </row>
    <row r="675" spans="17:17" x14ac:dyDescent="0.35">
      <c r="Q675" s="71">
        <f>LN(Sales_Deals!G672)</f>
        <v>12.290565436877321</v>
      </c>
    </row>
    <row r="676" spans="17:17" x14ac:dyDescent="0.35">
      <c r="Q676" s="71">
        <f>LN(Sales_Deals!G673)</f>
        <v>11.616339086659311</v>
      </c>
    </row>
    <row r="677" spans="17:17" x14ac:dyDescent="0.35">
      <c r="Q677" s="71">
        <f>LN(Sales_Deals!G674)</f>
        <v>11.560915308968891</v>
      </c>
    </row>
    <row r="678" spans="17:17" x14ac:dyDescent="0.35">
      <c r="Q678" s="71">
        <f>LN(Sales_Deals!G675)</f>
        <v>12.400853758673868</v>
      </c>
    </row>
    <row r="679" spans="17:17" x14ac:dyDescent="0.35">
      <c r="Q679" s="71">
        <f>LN(Sales_Deals!G676)</f>
        <v>11.495667397533948</v>
      </c>
    </row>
    <row r="680" spans="17:17" x14ac:dyDescent="0.35">
      <c r="Q680" s="71">
        <f>LN(Sales_Deals!G677)</f>
        <v>11.171997315498414</v>
      </c>
    </row>
    <row r="681" spans="17:17" x14ac:dyDescent="0.35">
      <c r="Q681" s="71">
        <f>LN(Sales_Deals!G678)</f>
        <v>11.61999352194924</v>
      </c>
    </row>
    <row r="682" spans="17:17" x14ac:dyDescent="0.35">
      <c r="Q682" s="71">
        <f>LN(Sales_Deals!G679)</f>
        <v>10.197946609266932</v>
      </c>
    </row>
    <row r="683" spans="17:17" x14ac:dyDescent="0.35">
      <c r="Q683" s="71">
        <f>LN(Sales_Deals!G680)</f>
        <v>12.825546374903102</v>
      </c>
    </row>
    <row r="684" spans="17:17" x14ac:dyDescent="0.35">
      <c r="Q684" s="71">
        <f>LN(Sales_Deals!G681)</f>
        <v>12.512564205218942</v>
      </c>
    </row>
    <row r="685" spans="17:17" x14ac:dyDescent="0.35">
      <c r="Q685" s="71">
        <f>LN(Sales_Deals!G682)</f>
        <v>11.072014509927765</v>
      </c>
    </row>
    <row r="686" spans="17:17" x14ac:dyDescent="0.35">
      <c r="Q686" s="71">
        <f>LN(Sales_Deals!G683)</f>
        <v>12.865440680715585</v>
      </c>
    </row>
    <row r="687" spans="17:17" x14ac:dyDescent="0.35">
      <c r="Q687" s="71">
        <f>LN(Sales_Deals!G684)</f>
        <v>12.555647946541178</v>
      </c>
    </row>
    <row r="688" spans="17:17" x14ac:dyDescent="0.35">
      <c r="Q688" s="71">
        <f>LN(Sales_Deals!G685)</f>
        <v>12.69316996660951</v>
      </c>
    </row>
    <row r="689" spans="17:17" x14ac:dyDescent="0.35">
      <c r="Q689" s="71">
        <f>LN(Sales_Deals!G686)</f>
        <v>11.760496227805403</v>
      </c>
    </row>
    <row r="690" spans="17:17" x14ac:dyDescent="0.35">
      <c r="Q690" s="71">
        <f>LN(Sales_Deals!G687)</f>
        <v>12.65139928706347</v>
      </c>
    </row>
    <row r="691" spans="17:17" x14ac:dyDescent="0.35">
      <c r="Q691" s="71">
        <f>LN(Sales_Deals!G688)</f>
        <v>12.945752682551658</v>
      </c>
    </row>
    <row r="692" spans="17:17" x14ac:dyDescent="0.35">
      <c r="Q692" s="71">
        <f>LN(Sales_Deals!G689)</f>
        <v>11.408231393855562</v>
      </c>
    </row>
    <row r="693" spans="17:17" x14ac:dyDescent="0.35">
      <c r="Q693" s="71">
        <f>LN(Sales_Deals!G690)</f>
        <v>12.209118003716133</v>
      </c>
    </row>
    <row r="694" spans="17:17" x14ac:dyDescent="0.35">
      <c r="Q694" s="71">
        <f>LN(Sales_Deals!G691)</f>
        <v>12.639622978788875</v>
      </c>
    </row>
    <row r="695" spans="17:17" x14ac:dyDescent="0.35">
      <c r="Q695" s="71">
        <f>LN(Sales_Deals!G692)</f>
        <v>11.981578182145007</v>
      </c>
    </row>
    <row r="696" spans="17:17" x14ac:dyDescent="0.35">
      <c r="Q696" s="71">
        <f>LN(Sales_Deals!G693)</f>
        <v>11.940543377719527</v>
      </c>
    </row>
    <row r="697" spans="17:17" x14ac:dyDescent="0.35">
      <c r="Q697" s="71">
        <f>LN(Sales_Deals!G694)</f>
        <v>12.817157998030932</v>
      </c>
    </row>
    <row r="698" spans="17:17" x14ac:dyDescent="0.35">
      <c r="Q698" s="71">
        <f>LN(Sales_Deals!G695)</f>
        <v>12.297935982700807</v>
      </c>
    </row>
    <row r="699" spans="17:17" x14ac:dyDescent="0.35">
      <c r="Q699" s="71">
        <f>LN(Sales_Deals!G696)</f>
        <v>12.730901761122125</v>
      </c>
    </row>
    <row r="700" spans="17:17" x14ac:dyDescent="0.35">
      <c r="Q700" s="71">
        <f>LN(Sales_Deals!G697)</f>
        <v>10.702165234305538</v>
      </c>
    </row>
    <row r="701" spans="17:17" x14ac:dyDescent="0.35">
      <c r="Q701" s="71">
        <f>LN(Sales_Deals!G698)</f>
        <v>11.316618567609579</v>
      </c>
    </row>
    <row r="702" spans="17:17" x14ac:dyDescent="0.35">
      <c r="Q702" s="71">
        <f>LN(Sales_Deals!G699)</f>
        <v>11.738346421028478</v>
      </c>
    </row>
    <row r="703" spans="17:17" x14ac:dyDescent="0.35">
      <c r="Q703" s="71">
        <f>LN(Sales_Deals!G700)</f>
        <v>12.901774061252357</v>
      </c>
    </row>
    <row r="704" spans="17:17" x14ac:dyDescent="0.35">
      <c r="Q704" s="71">
        <f>LN(Sales_Deals!G701)</f>
        <v>12.363640337857898</v>
      </c>
    </row>
    <row r="705" spans="17:17" x14ac:dyDescent="0.35">
      <c r="Q705" s="71">
        <f>LN(Sales_Deals!G702)</f>
        <v>11.833827106600484</v>
      </c>
    </row>
    <row r="706" spans="17:17" x14ac:dyDescent="0.35">
      <c r="Q706" s="71">
        <f>LN(Sales_Deals!G703)</f>
        <v>12.119233980897633</v>
      </c>
    </row>
    <row r="707" spans="17:17" x14ac:dyDescent="0.35">
      <c r="Q707" s="71">
        <f>LN(Sales_Deals!G704)</f>
        <v>11.669450466720173</v>
      </c>
    </row>
    <row r="708" spans="17:17" x14ac:dyDescent="0.35">
      <c r="Q708" s="71">
        <f>LN(Sales_Deals!G705)</f>
        <v>10.884854161146471</v>
      </c>
    </row>
    <row r="709" spans="17:17" x14ac:dyDescent="0.35">
      <c r="Q709" s="71">
        <f>LN(Sales_Deals!G706)</f>
        <v>13.051488020868002</v>
      </c>
    </row>
    <row r="710" spans="17:17" x14ac:dyDescent="0.35">
      <c r="Q710" s="71">
        <f>LN(Sales_Deals!G707)</f>
        <v>11.575017245277213</v>
      </c>
    </row>
    <row r="711" spans="17:17" x14ac:dyDescent="0.35">
      <c r="Q711" s="71">
        <f>LN(Sales_Deals!G708)</f>
        <v>12.697645111014234</v>
      </c>
    </row>
    <row r="712" spans="17:17" x14ac:dyDescent="0.35">
      <c r="Q712" s="71">
        <f>LN(Sales_Deals!G709)</f>
        <v>12.597367832823842</v>
      </c>
    </row>
    <row r="713" spans="17:17" x14ac:dyDescent="0.35">
      <c r="Q713" s="71">
        <f>LN(Sales_Deals!G710)</f>
        <v>12.137258329529814</v>
      </c>
    </row>
    <row r="714" spans="17:17" x14ac:dyDescent="0.35">
      <c r="Q714" s="71">
        <f>LN(Sales_Deals!G711)</f>
        <v>12.674856781496151</v>
      </c>
    </row>
    <row r="715" spans="17:17" x14ac:dyDescent="0.35">
      <c r="Q715" s="71">
        <f>LN(Sales_Deals!G712)</f>
        <v>11.989972977717288</v>
      </c>
    </row>
    <row r="716" spans="17:17" x14ac:dyDescent="0.35">
      <c r="Q716" s="71">
        <f>LN(Sales_Deals!G713)</f>
        <v>11.841401531550257</v>
      </c>
    </row>
    <row r="717" spans="17:17" x14ac:dyDescent="0.35">
      <c r="Q717" s="71">
        <f>LN(Sales_Deals!G714)</f>
        <v>12.108564552082306</v>
      </c>
    </row>
    <row r="718" spans="17:17" x14ac:dyDescent="0.35">
      <c r="Q718" s="71">
        <f>LN(Sales_Deals!G715)</f>
        <v>12.417714302939547</v>
      </c>
    </row>
    <row r="719" spans="17:17" x14ac:dyDescent="0.35">
      <c r="Q719" s="71">
        <f>LN(Sales_Deals!G716)</f>
        <v>11.60541348440538</v>
      </c>
    </row>
    <row r="720" spans="17:17" x14ac:dyDescent="0.35">
      <c r="Q720" s="71">
        <f>LN(Sales_Deals!G717)</f>
        <v>12.668897443517203</v>
      </c>
    </row>
    <row r="721" spans="17:17" x14ac:dyDescent="0.35">
      <c r="Q721" s="71">
        <f>LN(Sales_Deals!G718)</f>
        <v>13.118104320483946</v>
      </c>
    </row>
    <row r="722" spans="17:17" x14ac:dyDescent="0.35">
      <c r="Q722" s="71">
        <f>LN(Sales_Deals!G719)</f>
        <v>12.879274738646975</v>
      </c>
    </row>
    <row r="723" spans="17:17" x14ac:dyDescent="0.35">
      <c r="Q723" s="71">
        <f>LN(Sales_Deals!G720)</f>
        <v>12.839541475168128</v>
      </c>
    </row>
    <row r="724" spans="17:17" x14ac:dyDescent="0.35">
      <c r="Q724" s="71">
        <f>LN(Sales_Deals!G721)</f>
        <v>12.366851311647652</v>
      </c>
    </row>
    <row r="725" spans="17:17" x14ac:dyDescent="0.35">
      <c r="Q725" s="71">
        <f>LN(Sales_Deals!G722)</f>
        <v>12.810825675327523</v>
      </c>
    </row>
    <row r="726" spans="17:17" x14ac:dyDescent="0.35">
      <c r="Q726" s="71">
        <f>LN(Sales_Deals!G723)</f>
        <v>12.412688361558764</v>
      </c>
    </row>
    <row r="727" spans="17:17" x14ac:dyDescent="0.35">
      <c r="Q727" s="71">
        <f>LN(Sales_Deals!G724)</f>
        <v>12.49245011736051</v>
      </c>
    </row>
    <row r="728" spans="17:17" x14ac:dyDescent="0.35">
      <c r="Q728" s="71">
        <f>LN(Sales_Deals!G725)</f>
        <v>12.430922739871155</v>
      </c>
    </row>
    <row r="729" spans="17:17" x14ac:dyDescent="0.35">
      <c r="Q729" s="71">
        <f>LN(Sales_Deals!G726)</f>
        <v>11.412839901147873</v>
      </c>
    </row>
    <row r="730" spans="17:17" x14ac:dyDescent="0.35">
      <c r="Q730" s="71">
        <f>LN(Sales_Deals!G727)</f>
        <v>13.102625867987934</v>
      </c>
    </row>
    <row r="731" spans="17:17" x14ac:dyDescent="0.35">
      <c r="Q731" s="71">
        <f>LN(Sales_Deals!G728)</f>
        <v>12.558309254616278</v>
      </c>
    </row>
    <row r="732" spans="17:17" x14ac:dyDescent="0.35">
      <c r="Q732" s="71">
        <f>LN(Sales_Deals!G729)</f>
        <v>12.484802264083928</v>
      </c>
    </row>
    <row r="733" spans="17:17" x14ac:dyDescent="0.35">
      <c r="Q733" s="71">
        <f>LN(Sales_Deals!G730)</f>
        <v>12.341464182013883</v>
      </c>
    </row>
    <row r="734" spans="17:17" x14ac:dyDescent="0.35">
      <c r="Q734" s="71">
        <f>LN(Sales_Deals!G731)</f>
        <v>11.953616136752116</v>
      </c>
    </row>
    <row r="735" spans="17:17" x14ac:dyDescent="0.35">
      <c r="Q735" s="71">
        <f>LN(Sales_Deals!G732)</f>
        <v>12.205357389795767</v>
      </c>
    </row>
    <row r="736" spans="17:17" x14ac:dyDescent="0.35">
      <c r="Q736" s="71">
        <f>LN(Sales_Deals!G733)</f>
        <v>12.688406197894915</v>
      </c>
    </row>
    <row r="737" spans="17:17" x14ac:dyDescent="0.35">
      <c r="Q737" s="71">
        <f>LN(Sales_Deals!G734)</f>
        <v>12.288237714784804</v>
      </c>
    </row>
    <row r="738" spans="17:17" x14ac:dyDescent="0.35">
      <c r="Q738" s="71">
        <f>LN(Sales_Deals!G735)</f>
        <v>12.276106974511952</v>
      </c>
    </row>
    <row r="739" spans="17:17" x14ac:dyDescent="0.35">
      <c r="Q739" s="71">
        <f>LN(Sales_Deals!G736)</f>
        <v>12.818513981923505</v>
      </c>
    </row>
    <row r="740" spans="17:17" x14ac:dyDescent="0.35">
      <c r="Q740" s="71">
        <f>LN(Sales_Deals!G737)</f>
        <v>12.382304866560661</v>
      </c>
    </row>
    <row r="741" spans="17:17" x14ac:dyDescent="0.35">
      <c r="Q741" s="71">
        <f>LN(Sales_Deals!G738)</f>
        <v>12.22111888106874</v>
      </c>
    </row>
    <row r="742" spans="17:17" x14ac:dyDescent="0.35">
      <c r="Q742" s="71">
        <f>LN(Sales_Deals!G739)</f>
        <v>12.618864183024739</v>
      </c>
    </row>
    <row r="743" spans="17:17" x14ac:dyDescent="0.35">
      <c r="Q743" s="71">
        <f>LN(Sales_Deals!G740)</f>
        <v>11.920461760022446</v>
      </c>
    </row>
    <row r="744" spans="17:17" x14ac:dyDescent="0.35">
      <c r="Q744" s="71">
        <f>LN(Sales_Deals!G741)</f>
        <v>11.791700487162336</v>
      </c>
    </row>
    <row r="745" spans="17:17" x14ac:dyDescent="0.35">
      <c r="Q745" s="71">
        <f>LN(Sales_Deals!G742)</f>
        <v>13.068914076293174</v>
      </c>
    </row>
    <row r="746" spans="17:17" x14ac:dyDescent="0.35">
      <c r="Q746" s="71">
        <f>LN(Sales_Deals!G743)</f>
        <v>11.812244563816039</v>
      </c>
    </row>
    <row r="747" spans="17:17" x14ac:dyDescent="0.35">
      <c r="Q747" s="71">
        <f>LN(Sales_Deals!G744)</f>
        <v>12.546462199435432</v>
      </c>
    </row>
    <row r="748" spans="17:17" x14ac:dyDescent="0.35">
      <c r="Q748" s="71">
        <f>LN(Sales_Deals!G745)</f>
        <v>12.53378880218238</v>
      </c>
    </row>
    <row r="749" spans="17:17" x14ac:dyDescent="0.35">
      <c r="Q749" s="71">
        <f>LN(Sales_Deals!G746)</f>
        <v>12.175077211827654</v>
      </c>
    </row>
    <row r="750" spans="17:17" x14ac:dyDescent="0.35">
      <c r="Q750" s="71">
        <f>LN(Sales_Deals!G747)</f>
        <v>12.11082746361344</v>
      </c>
    </row>
    <row r="751" spans="17:17" x14ac:dyDescent="0.35">
      <c r="Q751" s="71">
        <f>LN(Sales_Deals!G748)</f>
        <v>11.956880249858916</v>
      </c>
    </row>
    <row r="752" spans="17:17" x14ac:dyDescent="0.35">
      <c r="Q752" s="71">
        <f>LN(Sales_Deals!G749)</f>
        <v>12.788184908086349</v>
      </c>
    </row>
    <row r="753" spans="17:17" x14ac:dyDescent="0.35">
      <c r="Q753" s="71">
        <f>LN(Sales_Deals!G750)</f>
        <v>10.853309767619075</v>
      </c>
    </row>
    <row r="754" spans="17:17" x14ac:dyDescent="0.35">
      <c r="Q754" s="71">
        <f>LN(Sales_Deals!G751)</f>
        <v>10.962752453361389</v>
      </c>
    </row>
    <row r="755" spans="17:17" x14ac:dyDescent="0.35">
      <c r="Q755" s="71">
        <f>LN(Sales_Deals!G752)</f>
        <v>12.954086727530958</v>
      </c>
    </row>
    <row r="756" spans="17:17" x14ac:dyDescent="0.35">
      <c r="Q756" s="71">
        <f>LN(Sales_Deals!G753)</f>
        <v>12.145180800512799</v>
      </c>
    </row>
    <row r="757" spans="17:17" x14ac:dyDescent="0.35">
      <c r="Q757" s="71">
        <f>LN(Sales_Deals!G754)</f>
        <v>12.128013802029475</v>
      </c>
    </row>
    <row r="758" spans="17:17" x14ac:dyDescent="0.35">
      <c r="Q758" s="71">
        <f>LN(Sales_Deals!G755)</f>
        <v>12.292818987401098</v>
      </c>
    </row>
    <row r="759" spans="17:17" x14ac:dyDescent="0.35">
      <c r="Q759" s="71">
        <f>LN(Sales_Deals!G756)</f>
        <v>11.459609072868284</v>
      </c>
    </row>
    <row r="760" spans="17:17" x14ac:dyDescent="0.35">
      <c r="Q760" s="71">
        <f>LN(Sales_Deals!G757)</f>
        <v>12.648676172114936</v>
      </c>
    </row>
    <row r="761" spans="17:17" x14ac:dyDescent="0.35">
      <c r="Q761" s="71">
        <f>LN(Sales_Deals!G758)</f>
        <v>13.078597470489814</v>
      </c>
    </row>
    <row r="762" spans="17:17" x14ac:dyDescent="0.35">
      <c r="Q762" s="71">
        <f>LN(Sales_Deals!G759)</f>
        <v>12.930883208265382</v>
      </c>
    </row>
    <row r="763" spans="17:17" x14ac:dyDescent="0.35">
      <c r="Q763" s="71">
        <f>LN(Sales_Deals!G760)</f>
        <v>11.599075637896737</v>
      </c>
    </row>
    <row r="764" spans="17:17" x14ac:dyDescent="0.35">
      <c r="Q764" s="71">
        <f>LN(Sales_Deals!G761)</f>
        <v>11.150404897187377</v>
      </c>
    </row>
    <row r="765" spans="17:17" x14ac:dyDescent="0.35">
      <c r="Q765" s="71">
        <f>LN(Sales_Deals!G762)</f>
        <v>12.88444115755231</v>
      </c>
    </row>
    <row r="766" spans="17:17" x14ac:dyDescent="0.35">
      <c r="Q766" s="71">
        <f>LN(Sales_Deals!G763)</f>
        <v>13.080793186388203</v>
      </c>
    </row>
    <row r="767" spans="17:17" x14ac:dyDescent="0.35">
      <c r="Q767" s="71">
        <f>LN(Sales_Deals!G764)</f>
        <v>12.631252141747437</v>
      </c>
    </row>
    <row r="768" spans="17:17" x14ac:dyDescent="0.35">
      <c r="Q768" s="71">
        <f>LN(Sales_Deals!G765)</f>
        <v>12.5519469722247</v>
      </c>
    </row>
    <row r="769" spans="17:17" x14ac:dyDescent="0.35">
      <c r="Q769" s="71">
        <f>LN(Sales_Deals!G766)</f>
        <v>12.623113824965294</v>
      </c>
    </row>
    <row r="770" spans="17:17" x14ac:dyDescent="0.35">
      <c r="Q770" s="71">
        <f>LN(Sales_Deals!G767)</f>
        <v>11.877561634089581</v>
      </c>
    </row>
    <row r="771" spans="17:17" x14ac:dyDescent="0.35">
      <c r="Q771" s="71">
        <f>LN(Sales_Deals!G768)</f>
        <v>12.506306859208946</v>
      </c>
    </row>
    <row r="772" spans="17:17" x14ac:dyDescent="0.35">
      <c r="Q772" s="71">
        <f>LN(Sales_Deals!G769)</f>
        <v>12.455460775244273</v>
      </c>
    </row>
    <row r="773" spans="17:17" x14ac:dyDescent="0.35">
      <c r="Q773" s="71">
        <f>LN(Sales_Deals!G770)</f>
        <v>12.283181823841597</v>
      </c>
    </row>
    <row r="774" spans="17:17" x14ac:dyDescent="0.35">
      <c r="Q774" s="71">
        <f>LN(Sales_Deals!G771)</f>
        <v>11.894555426092627</v>
      </c>
    </row>
    <row r="775" spans="17:17" x14ac:dyDescent="0.35">
      <c r="Q775" s="71">
        <f>LN(Sales_Deals!G772)</f>
        <v>12.939147020396042</v>
      </c>
    </row>
    <row r="776" spans="17:17" x14ac:dyDescent="0.35">
      <c r="Q776" s="71">
        <f>LN(Sales_Deals!G773)</f>
        <v>11.373870272788306</v>
      </c>
    </row>
    <row r="777" spans="17:17" x14ac:dyDescent="0.35">
      <c r="Q777" s="71">
        <f>LN(Sales_Deals!G774)</f>
        <v>13.114968099621265</v>
      </c>
    </row>
    <row r="778" spans="17:17" x14ac:dyDescent="0.35">
      <c r="Q778" s="71">
        <f>LN(Sales_Deals!G775)</f>
        <v>12.504360774394179</v>
      </c>
    </row>
    <row r="779" spans="17:17" x14ac:dyDescent="0.35">
      <c r="Q779" s="71">
        <f>LN(Sales_Deals!G776)</f>
        <v>13.059165823434931</v>
      </c>
    </row>
    <row r="780" spans="17:17" x14ac:dyDescent="0.35">
      <c r="Q780" s="71">
        <f>LN(Sales_Deals!G777)</f>
        <v>12.325347900606493</v>
      </c>
    </row>
    <row r="781" spans="17:17" x14ac:dyDescent="0.35">
      <c r="Q781" s="71">
        <f>LN(Sales_Deals!G778)</f>
        <v>12.927608040548423</v>
      </c>
    </row>
    <row r="782" spans="17:17" x14ac:dyDescent="0.35">
      <c r="Q782" s="71">
        <f>LN(Sales_Deals!G779)</f>
        <v>10.294312683904778</v>
      </c>
    </row>
    <row r="783" spans="17:17" x14ac:dyDescent="0.35">
      <c r="Q783" s="71">
        <f>LN(Sales_Deals!G780)</f>
        <v>12.632826204656123</v>
      </c>
    </row>
    <row r="784" spans="17:17" x14ac:dyDescent="0.35">
      <c r="Q784" s="71">
        <f>LN(Sales_Deals!G781)</f>
        <v>12.985532834277015</v>
      </c>
    </row>
    <row r="785" spans="17:17" x14ac:dyDescent="0.35">
      <c r="Q785" s="71">
        <f>LN(Sales_Deals!G782)</f>
        <v>13.084175410784717</v>
      </c>
    </row>
    <row r="786" spans="17:17" x14ac:dyDescent="0.35">
      <c r="Q786" s="71">
        <f>LN(Sales_Deals!G783)</f>
        <v>12.911748513292245</v>
      </c>
    </row>
    <row r="787" spans="17:17" x14ac:dyDescent="0.35">
      <c r="Q787" s="71">
        <f>LN(Sales_Deals!G784)</f>
        <v>12.621379167669195</v>
      </c>
    </row>
    <row r="788" spans="17:17" x14ac:dyDescent="0.35">
      <c r="Q788" s="71">
        <f>LN(Sales_Deals!G785)</f>
        <v>12.395419467260881</v>
      </c>
    </row>
    <row r="789" spans="17:17" x14ac:dyDescent="0.35">
      <c r="Q789" s="71">
        <f>LN(Sales_Deals!G786)</f>
        <v>12.749950960791965</v>
      </c>
    </row>
    <row r="790" spans="17:17" x14ac:dyDescent="0.35">
      <c r="Q790" s="71">
        <f>LN(Sales_Deals!G787)</f>
        <v>12.859212603719536</v>
      </c>
    </row>
    <row r="791" spans="17:17" x14ac:dyDescent="0.35">
      <c r="Q791" s="71">
        <f>LN(Sales_Deals!G788)</f>
        <v>12.876347742830131</v>
      </c>
    </row>
    <row r="792" spans="17:17" x14ac:dyDescent="0.35">
      <c r="Q792" s="71">
        <f>LN(Sales_Deals!G789)</f>
        <v>12.414670925402348</v>
      </c>
    </row>
    <row r="793" spans="17:17" x14ac:dyDescent="0.35">
      <c r="Q793" s="71">
        <f>LN(Sales_Deals!G790)</f>
        <v>10.432614677472031</v>
      </c>
    </row>
    <row r="794" spans="17:17" x14ac:dyDescent="0.35">
      <c r="Q794" s="71">
        <f>LN(Sales_Deals!G791)</f>
        <v>10.908503192466654</v>
      </c>
    </row>
    <row r="795" spans="17:17" x14ac:dyDescent="0.35">
      <c r="Q795" s="71">
        <f>LN(Sales_Deals!G792)</f>
        <v>10.115408363827857</v>
      </c>
    </row>
    <row r="796" spans="17:17" x14ac:dyDescent="0.35">
      <c r="Q796" s="71">
        <f>LN(Sales_Deals!G793)</f>
        <v>11.670458987954685</v>
      </c>
    </row>
    <row r="797" spans="17:17" x14ac:dyDescent="0.35">
      <c r="Q797" s="71">
        <f>LN(Sales_Deals!G794)</f>
        <v>12.733445603871672</v>
      </c>
    </row>
    <row r="798" spans="17:17" x14ac:dyDescent="0.35">
      <c r="Q798" s="71">
        <f>LN(Sales_Deals!G795)</f>
        <v>11.756514574111385</v>
      </c>
    </row>
    <row r="799" spans="17:17" x14ac:dyDescent="0.35">
      <c r="Q799" s="71">
        <f>LN(Sales_Deals!G796)</f>
        <v>12.008194713338439</v>
      </c>
    </row>
    <row r="800" spans="17:17" x14ac:dyDescent="0.35">
      <c r="Q800" s="71">
        <f>LN(Sales_Deals!G797)</f>
        <v>12.854478703476888</v>
      </c>
    </row>
    <row r="801" spans="17:17" x14ac:dyDescent="0.35">
      <c r="Q801" s="71">
        <f>LN(Sales_Deals!G798)</f>
        <v>11.604793363279503</v>
      </c>
    </row>
    <row r="802" spans="17:17" x14ac:dyDescent="0.35">
      <c r="Q802" s="71">
        <f>LN(Sales_Deals!G799)</f>
        <v>12.565280877982259</v>
      </c>
    </row>
    <row r="803" spans="17:17" x14ac:dyDescent="0.35">
      <c r="Q803" s="71">
        <f>LN(Sales_Deals!G800)</f>
        <v>9.9869551577773912</v>
      </c>
    </row>
    <row r="804" spans="17:17" x14ac:dyDescent="0.35">
      <c r="Q804" s="71">
        <f>LN(Sales_Deals!G801)</f>
        <v>12.432395138650399</v>
      </c>
    </row>
    <row r="805" spans="17:17" x14ac:dyDescent="0.35">
      <c r="Q805" s="71">
        <f>LN(Sales_Deals!G802)</f>
        <v>12.637335446459479</v>
      </c>
    </row>
    <row r="806" spans="17:17" x14ac:dyDescent="0.35">
      <c r="Q806" s="71">
        <f>LN(Sales_Deals!G803)</f>
        <v>11.987437665317595</v>
      </c>
    </row>
    <row r="807" spans="17:17" x14ac:dyDescent="0.35">
      <c r="Q807" s="71">
        <f>LN(Sales_Deals!G804)</f>
        <v>12.212934052149386</v>
      </c>
    </row>
    <row r="808" spans="17:17" x14ac:dyDescent="0.35">
      <c r="Q808" s="71">
        <f>LN(Sales_Deals!G805)</f>
        <v>12.80922400005953</v>
      </c>
    </row>
    <row r="809" spans="17:17" x14ac:dyDescent="0.35">
      <c r="Q809" s="71">
        <f>LN(Sales_Deals!G806)</f>
        <v>12.437485908326838</v>
      </c>
    </row>
    <row r="810" spans="17:17" x14ac:dyDescent="0.35">
      <c r="Q810" s="71">
        <f>LN(Sales_Deals!G807)</f>
        <v>12.234558056359241</v>
      </c>
    </row>
    <row r="811" spans="17:17" x14ac:dyDescent="0.35">
      <c r="Q811" s="71">
        <f>LN(Sales_Deals!G808)</f>
        <v>13.80856952462994</v>
      </c>
    </row>
    <row r="812" spans="17:17" x14ac:dyDescent="0.35">
      <c r="Q812" s="71">
        <f>LN(Sales_Deals!G809)</f>
        <v>11.870453045311212</v>
      </c>
    </row>
    <row r="813" spans="17:17" x14ac:dyDescent="0.35">
      <c r="Q813" s="71">
        <f>LN(Sales_Deals!G810)</f>
        <v>11.273309485087486</v>
      </c>
    </row>
    <row r="814" spans="17:17" x14ac:dyDescent="0.35">
      <c r="Q814" s="71">
        <f>LN(Sales_Deals!G811)</f>
        <v>12.626636524671209</v>
      </c>
    </row>
    <row r="815" spans="17:17" x14ac:dyDescent="0.35">
      <c r="Q815" s="71">
        <f>LN(Sales_Deals!G812)</f>
        <v>12.72588675158266</v>
      </c>
    </row>
    <row r="816" spans="17:17" x14ac:dyDescent="0.35">
      <c r="Q816" s="71">
        <f>LN(Sales_Deals!G813)</f>
        <v>13.111189177929395</v>
      </c>
    </row>
    <row r="817" spans="17:17" x14ac:dyDescent="0.35">
      <c r="Q817" s="71">
        <f>LN(Sales_Deals!G814)</f>
        <v>12.06989203253246</v>
      </c>
    </row>
    <row r="818" spans="17:17" x14ac:dyDescent="0.35">
      <c r="Q818" s="71">
        <f>LN(Sales_Deals!G815)</f>
        <v>13.065276490418038</v>
      </c>
    </row>
    <row r="819" spans="17:17" x14ac:dyDescent="0.35">
      <c r="Q819" s="71">
        <f>LN(Sales_Deals!G816)</f>
        <v>11.819564218771498</v>
      </c>
    </row>
    <row r="820" spans="17:17" x14ac:dyDescent="0.35">
      <c r="Q820" s="71">
        <f>LN(Sales_Deals!G817)</f>
        <v>13.063657413785513</v>
      </c>
    </row>
    <row r="821" spans="17:17" x14ac:dyDescent="0.35">
      <c r="Q821" s="71">
        <f>LN(Sales_Deals!G818)</f>
        <v>12.305112226102732</v>
      </c>
    </row>
    <row r="822" spans="17:17" x14ac:dyDescent="0.35">
      <c r="Q822" s="71">
        <f>LN(Sales_Deals!G819)</f>
        <v>12.956648758892069</v>
      </c>
    </row>
    <row r="823" spans="17:17" x14ac:dyDescent="0.35">
      <c r="Q823" s="71">
        <f>LN(Sales_Deals!G820)</f>
        <v>12.504390457453317</v>
      </c>
    </row>
    <row r="824" spans="17:17" x14ac:dyDescent="0.35">
      <c r="Q824" s="71">
        <f>LN(Sales_Deals!G821)</f>
        <v>13.010515195610948</v>
      </c>
    </row>
    <row r="825" spans="17:17" x14ac:dyDescent="0.35">
      <c r="Q825" s="71">
        <f>LN(Sales_Deals!G822)</f>
        <v>12.501008346693263</v>
      </c>
    </row>
    <row r="826" spans="17:17" x14ac:dyDescent="0.35">
      <c r="Q826" s="71">
        <f>LN(Sales_Deals!G823)</f>
        <v>11.500002319679739</v>
      </c>
    </row>
    <row r="827" spans="17:17" x14ac:dyDescent="0.35">
      <c r="Q827" s="71">
        <f>LN(Sales_Deals!G824)</f>
        <v>11.959474933177789</v>
      </c>
    </row>
    <row r="828" spans="17:17" x14ac:dyDescent="0.35">
      <c r="Q828" s="71">
        <f>LN(Sales_Deals!G825)</f>
        <v>12.661200552824075</v>
      </c>
    </row>
    <row r="829" spans="17:17" x14ac:dyDescent="0.35">
      <c r="Q829" s="71">
        <f>LN(Sales_Deals!G826)</f>
        <v>12.311009071274583</v>
      </c>
    </row>
    <row r="830" spans="17:17" x14ac:dyDescent="0.35">
      <c r="Q830" s="71">
        <f>LN(Sales_Deals!G827)</f>
        <v>12.630107595222581</v>
      </c>
    </row>
    <row r="831" spans="17:17" x14ac:dyDescent="0.35">
      <c r="Q831" s="71">
        <f>LN(Sales_Deals!G828)</f>
        <v>12.224325052247259</v>
      </c>
    </row>
    <row r="832" spans="17:17" x14ac:dyDescent="0.35">
      <c r="Q832" s="71">
        <f>LN(Sales_Deals!G829)</f>
        <v>9.2793065764409057</v>
      </c>
    </row>
    <row r="833" spans="17:17" x14ac:dyDescent="0.35">
      <c r="Q833" s="71">
        <f>LN(Sales_Deals!G830)</f>
        <v>12.342415706707467</v>
      </c>
    </row>
    <row r="834" spans="17:17" x14ac:dyDescent="0.35">
      <c r="Q834" s="71">
        <f>LN(Sales_Deals!G831)</f>
        <v>10.445201191835514</v>
      </c>
    </row>
    <row r="835" spans="17:17" x14ac:dyDescent="0.35">
      <c r="Q835" s="71">
        <f>LN(Sales_Deals!G832)</f>
        <v>12.344372650229799</v>
      </c>
    </row>
    <row r="836" spans="17:17" x14ac:dyDescent="0.35">
      <c r="Q836" s="71">
        <f>LN(Sales_Deals!G833)</f>
        <v>11.852265015486633</v>
      </c>
    </row>
    <row r="837" spans="17:17" x14ac:dyDescent="0.35">
      <c r="Q837" s="71">
        <f>LN(Sales_Deals!G834)</f>
        <v>12.948638364219846</v>
      </c>
    </row>
    <row r="838" spans="17:17" x14ac:dyDescent="0.35">
      <c r="Q838" s="71">
        <f>LN(Sales_Deals!G835)</f>
        <v>12.234723268511457</v>
      </c>
    </row>
    <row r="839" spans="17:17" x14ac:dyDescent="0.35">
      <c r="Q839" s="71">
        <f>LN(Sales_Deals!G836)</f>
        <v>12.272992703556195</v>
      </c>
    </row>
    <row r="840" spans="17:17" x14ac:dyDescent="0.35">
      <c r="Q840" s="71">
        <f>LN(Sales_Deals!G837)</f>
        <v>12.822419771994882</v>
      </c>
    </row>
    <row r="841" spans="17:17" x14ac:dyDescent="0.35">
      <c r="Q841" s="71">
        <f>LN(Sales_Deals!G838)</f>
        <v>12.318159488641676</v>
      </c>
    </row>
    <row r="842" spans="17:17" x14ac:dyDescent="0.35">
      <c r="Q842" s="71">
        <f>LN(Sales_Deals!G839)</f>
        <v>10.528409424100508</v>
      </c>
    </row>
    <row r="843" spans="17:17" x14ac:dyDescent="0.35">
      <c r="Q843" s="71">
        <f>LN(Sales_Deals!G840)</f>
        <v>12.382095238774989</v>
      </c>
    </row>
    <row r="844" spans="17:17" x14ac:dyDescent="0.35">
      <c r="Q844" s="71">
        <f>LN(Sales_Deals!G841)</f>
        <v>12.414800792370055</v>
      </c>
    </row>
    <row r="845" spans="17:17" x14ac:dyDescent="0.35">
      <c r="Q845" s="71">
        <f>LN(Sales_Deals!G842)</f>
        <v>11.846063578145378</v>
      </c>
    </row>
    <row r="846" spans="17:17" x14ac:dyDescent="0.35">
      <c r="Q846" s="71">
        <f>LN(Sales_Deals!G843)</f>
        <v>13.036570167239031</v>
      </c>
    </row>
    <row r="847" spans="17:17" x14ac:dyDescent="0.35">
      <c r="Q847" s="71">
        <f>LN(Sales_Deals!G844)</f>
        <v>11.620756925328225</v>
      </c>
    </row>
    <row r="848" spans="17:17" x14ac:dyDescent="0.35">
      <c r="Q848" s="71">
        <f>LN(Sales_Deals!G845)</f>
        <v>12.947259708868847</v>
      </c>
    </row>
    <row r="849" spans="17:17" x14ac:dyDescent="0.35">
      <c r="Q849" s="71">
        <f>LN(Sales_Deals!G846)</f>
        <v>12.52072278853362</v>
      </c>
    </row>
    <row r="850" spans="17:17" x14ac:dyDescent="0.35">
      <c r="Q850" s="71">
        <f>LN(Sales_Deals!G847)</f>
        <v>12.676076274775909</v>
      </c>
    </row>
    <row r="851" spans="17:17" x14ac:dyDescent="0.35">
      <c r="Q851" s="71">
        <f>LN(Sales_Deals!G848)</f>
        <v>13.120511664040855</v>
      </c>
    </row>
    <row r="852" spans="17:17" x14ac:dyDescent="0.35">
      <c r="Q852" s="71">
        <f>LN(Sales_Deals!G849)</f>
        <v>13.096062522284933</v>
      </c>
    </row>
    <row r="853" spans="17:17" x14ac:dyDescent="0.35">
      <c r="Q853" s="71">
        <f>LN(Sales_Deals!G850)</f>
        <v>12.926341194181658</v>
      </c>
    </row>
    <row r="854" spans="17:17" x14ac:dyDescent="0.35">
      <c r="Q854" s="71">
        <f>LN(Sales_Deals!G851)</f>
        <v>12.96089801036173</v>
      </c>
    </row>
    <row r="855" spans="17:17" x14ac:dyDescent="0.35">
      <c r="Q855" s="71">
        <f>LN(Sales_Deals!G852)</f>
        <v>13.024931348068623</v>
      </c>
    </row>
    <row r="856" spans="17:17" x14ac:dyDescent="0.35">
      <c r="Q856" s="71">
        <f>LN(Sales_Deals!G853)</f>
        <v>10.988017819994926</v>
      </c>
    </row>
    <row r="857" spans="17:17" x14ac:dyDescent="0.35">
      <c r="Q857" s="71">
        <f>LN(Sales_Deals!G854)</f>
        <v>10.155762630356586</v>
      </c>
    </row>
    <row r="858" spans="17:17" x14ac:dyDescent="0.35">
      <c r="Q858" s="71">
        <f>LN(Sales_Deals!G855)</f>
        <v>11.297601262708151</v>
      </c>
    </row>
    <row r="859" spans="17:17" x14ac:dyDescent="0.35">
      <c r="Q859" s="71">
        <f>LN(Sales_Deals!G856)</f>
        <v>11.835841950443234</v>
      </c>
    </row>
    <row r="860" spans="17:17" x14ac:dyDescent="0.35">
      <c r="Q860" s="71">
        <f>LN(Sales_Deals!G857)</f>
        <v>12.309644061703539</v>
      </c>
    </row>
    <row r="861" spans="17:17" x14ac:dyDescent="0.35">
      <c r="Q861" s="71">
        <f>LN(Sales_Deals!G858)</f>
        <v>11.16654025679798</v>
      </c>
    </row>
    <row r="862" spans="17:17" x14ac:dyDescent="0.35">
      <c r="Q862" s="71">
        <f>LN(Sales_Deals!G859)</f>
        <v>11.867672551786033</v>
      </c>
    </row>
    <row r="863" spans="17:17" x14ac:dyDescent="0.35">
      <c r="Q863" s="71">
        <f>LN(Sales_Deals!G860)</f>
        <v>11.681824001432043</v>
      </c>
    </row>
    <row r="864" spans="17:17" x14ac:dyDescent="0.35">
      <c r="Q864" s="71">
        <f>LN(Sales_Deals!G861)</f>
        <v>12.519184863406158</v>
      </c>
    </row>
    <row r="865" spans="17:17" x14ac:dyDescent="0.35">
      <c r="Q865" s="71">
        <f>LN(Sales_Deals!G862)</f>
        <v>11.104069614787955</v>
      </c>
    </row>
    <row r="866" spans="17:17" x14ac:dyDescent="0.35">
      <c r="Q866" s="71">
        <f>LN(Sales_Deals!G863)</f>
        <v>12.140082404490327</v>
      </c>
    </row>
    <row r="867" spans="17:17" x14ac:dyDescent="0.35">
      <c r="Q867" s="71">
        <f>LN(Sales_Deals!G864)</f>
        <v>12.314720751137111</v>
      </c>
    </row>
    <row r="868" spans="17:17" x14ac:dyDescent="0.35">
      <c r="Q868" s="71">
        <f>LN(Sales_Deals!G865)</f>
        <v>10.915379330999672</v>
      </c>
    </row>
    <row r="869" spans="17:17" x14ac:dyDescent="0.35">
      <c r="Q869" s="71">
        <f>LN(Sales_Deals!G866)</f>
        <v>12.817887745866274</v>
      </c>
    </row>
    <row r="870" spans="17:17" x14ac:dyDescent="0.35">
      <c r="Q870" s="71">
        <f>LN(Sales_Deals!G867)</f>
        <v>11.61631203367604</v>
      </c>
    </row>
    <row r="871" spans="17:17" x14ac:dyDescent="0.35">
      <c r="Q871" s="71">
        <f>LN(Sales_Deals!G868)</f>
        <v>12.367591825444833</v>
      </c>
    </row>
    <row r="872" spans="17:17" x14ac:dyDescent="0.35">
      <c r="Q872" s="71">
        <f>LN(Sales_Deals!G869)</f>
        <v>10.958322093858342</v>
      </c>
    </row>
    <row r="873" spans="17:17" x14ac:dyDescent="0.35">
      <c r="Q873" s="71">
        <f>LN(Sales_Deals!G870)</f>
        <v>12.97026059919437</v>
      </c>
    </row>
    <row r="874" spans="17:17" x14ac:dyDescent="0.35">
      <c r="Q874" s="71">
        <f>LN(Sales_Deals!G871)</f>
        <v>13.0794537887082</v>
      </c>
    </row>
    <row r="875" spans="17:17" x14ac:dyDescent="0.35">
      <c r="Q875" s="71">
        <f>LN(Sales_Deals!G872)</f>
        <v>11.680471736182028</v>
      </c>
    </row>
    <row r="876" spans="17:17" x14ac:dyDescent="0.35">
      <c r="Q876" s="71">
        <f>LN(Sales_Deals!G873)</f>
        <v>12.749300597698049</v>
      </c>
    </row>
    <row r="877" spans="17:17" x14ac:dyDescent="0.35">
      <c r="Q877" s="71">
        <f>LN(Sales_Deals!G874)</f>
        <v>11.616447291274342</v>
      </c>
    </row>
    <row r="878" spans="17:17" x14ac:dyDescent="0.35">
      <c r="Q878" s="71">
        <f>LN(Sales_Deals!G875)</f>
        <v>12.629734517061653</v>
      </c>
    </row>
    <row r="879" spans="17:17" x14ac:dyDescent="0.35">
      <c r="Q879" s="71">
        <f>LN(Sales_Deals!G876)</f>
        <v>13.032215450216329</v>
      </c>
    </row>
    <row r="880" spans="17:17" x14ac:dyDescent="0.35">
      <c r="Q880" s="71">
        <f>LN(Sales_Deals!G877)</f>
        <v>11.055040111914732</v>
      </c>
    </row>
    <row r="881" spans="17:17" x14ac:dyDescent="0.35">
      <c r="Q881" s="71">
        <f>LN(Sales_Deals!G878)</f>
        <v>11.939290637186135</v>
      </c>
    </row>
    <row r="882" spans="17:17" x14ac:dyDescent="0.35">
      <c r="Q882" s="71">
        <f>LN(Sales_Deals!G879)</f>
        <v>11.720679198208151</v>
      </c>
    </row>
    <row r="883" spans="17:17" x14ac:dyDescent="0.35">
      <c r="Q883" s="71">
        <f>LN(Sales_Deals!G880)</f>
        <v>10.344287628931781</v>
      </c>
    </row>
    <row r="884" spans="17:17" x14ac:dyDescent="0.35">
      <c r="Q884" s="71">
        <f>LN(Sales_Deals!G881)</f>
        <v>13.008934847112981</v>
      </c>
    </row>
    <row r="885" spans="17:17" x14ac:dyDescent="0.35">
      <c r="Q885" s="71">
        <f>LN(Sales_Deals!G882)</f>
        <v>11.068230843670063</v>
      </c>
    </row>
    <row r="886" spans="17:17" x14ac:dyDescent="0.35">
      <c r="Q886" s="71">
        <f>LN(Sales_Deals!G883)</f>
        <v>11.415544141828516</v>
      </c>
    </row>
    <row r="887" spans="17:17" x14ac:dyDescent="0.35">
      <c r="Q887" s="71">
        <f>LN(Sales_Deals!G884)</f>
        <v>13.062936038558504</v>
      </c>
    </row>
    <row r="888" spans="17:17" x14ac:dyDescent="0.35">
      <c r="Q888" s="71">
        <f>LN(Sales_Deals!G885)</f>
        <v>12.747058832191016</v>
      </c>
    </row>
    <row r="889" spans="17:17" x14ac:dyDescent="0.35">
      <c r="Q889" s="71">
        <f>LN(Sales_Deals!G886)</f>
        <v>12.523329296798078</v>
      </c>
    </row>
    <row r="890" spans="17:17" x14ac:dyDescent="0.35">
      <c r="Q890" s="71">
        <f>LN(Sales_Deals!G887)</f>
        <v>9.7488784343087094</v>
      </c>
    </row>
    <row r="891" spans="17:17" x14ac:dyDescent="0.35">
      <c r="Q891" s="71">
        <f>LN(Sales_Deals!G888)</f>
        <v>12.6628738804419</v>
      </c>
    </row>
    <row r="892" spans="17:17" x14ac:dyDescent="0.35">
      <c r="Q892" s="71">
        <f>LN(Sales_Deals!G889)</f>
        <v>11.783441032500098</v>
      </c>
    </row>
    <row r="893" spans="17:17" x14ac:dyDescent="0.35">
      <c r="Q893" s="71">
        <f>LN(Sales_Deals!G890)</f>
        <v>12.878088115954508</v>
      </c>
    </row>
    <row r="894" spans="17:17" x14ac:dyDescent="0.35">
      <c r="Q894" s="71">
        <f>LN(Sales_Deals!G891)</f>
        <v>12.225620338372542</v>
      </c>
    </row>
    <row r="895" spans="17:17" x14ac:dyDescent="0.35">
      <c r="Q895" s="71">
        <f>LN(Sales_Deals!G892)</f>
        <v>11.958373815944803</v>
      </c>
    </row>
    <row r="896" spans="17:17" x14ac:dyDescent="0.35">
      <c r="Q896" s="71">
        <f>LN(Sales_Deals!G893)</f>
        <v>12.811873847673128</v>
      </c>
    </row>
    <row r="897" spans="17:17" x14ac:dyDescent="0.35">
      <c r="Q897" s="71">
        <f>LN(Sales_Deals!G894)</f>
        <v>12.711452467800056</v>
      </c>
    </row>
    <row r="898" spans="17:17" x14ac:dyDescent="0.35">
      <c r="Q898" s="71">
        <f>LN(Sales_Deals!G895)</f>
        <v>11.589590165905641</v>
      </c>
    </row>
    <row r="899" spans="17:17" x14ac:dyDescent="0.35">
      <c r="Q899" s="71">
        <f>LN(Sales_Deals!G896)</f>
        <v>10.453947265542192</v>
      </c>
    </row>
    <row r="900" spans="17:17" x14ac:dyDescent="0.35">
      <c r="Q900" s="71">
        <f>LN(Sales_Deals!G897)</f>
        <v>9.9209344661398493</v>
      </c>
    </row>
    <row r="901" spans="17:17" x14ac:dyDescent="0.35">
      <c r="Q901" s="71">
        <f>LN(Sales_Deals!G898)</f>
        <v>11.950257389416764</v>
      </c>
    </row>
    <row r="902" spans="17:17" x14ac:dyDescent="0.35">
      <c r="Q902" s="71">
        <f>LN(Sales_Deals!G899)</f>
        <v>13.049758275375353</v>
      </c>
    </row>
    <row r="903" spans="17:17" x14ac:dyDescent="0.35">
      <c r="Q903" s="71">
        <f>LN(Sales_Deals!G900)</f>
        <v>11.914643561791458</v>
      </c>
    </row>
    <row r="904" spans="17:17" x14ac:dyDescent="0.35">
      <c r="Q904" s="71">
        <f>LN(Sales_Deals!G901)</f>
        <v>12.323277736430878</v>
      </c>
    </row>
    <row r="905" spans="17:17" x14ac:dyDescent="0.35">
      <c r="Q905" s="71">
        <f>LN(Sales_Deals!G902)</f>
        <v>11.705057078753031</v>
      </c>
    </row>
    <row r="906" spans="17:17" x14ac:dyDescent="0.35">
      <c r="Q906" s="71">
        <f>LN(Sales_Deals!G903)</f>
        <v>12.247080222828879</v>
      </c>
    </row>
    <row r="907" spans="17:17" x14ac:dyDescent="0.35">
      <c r="Q907" s="71">
        <f>LN(Sales_Deals!G904)</f>
        <v>13.049721714309229</v>
      </c>
    </row>
    <row r="908" spans="17:17" x14ac:dyDescent="0.35">
      <c r="Q908" s="71">
        <f>LN(Sales_Deals!G905)</f>
        <v>12.142770692859912</v>
      </c>
    </row>
    <row r="909" spans="17:17" x14ac:dyDescent="0.35">
      <c r="Q909" s="71">
        <f>LN(Sales_Deals!G906)</f>
        <v>10.720046343011273</v>
      </c>
    </row>
    <row r="910" spans="17:17" x14ac:dyDescent="0.35">
      <c r="Q910" s="71">
        <f>LN(Sales_Deals!G907)</f>
        <v>13.062590018161076</v>
      </c>
    </row>
    <row r="911" spans="17:17" x14ac:dyDescent="0.35">
      <c r="Q911" s="71">
        <f>LN(Sales_Deals!G908)</f>
        <v>12.946234605672778</v>
      </c>
    </row>
    <row r="912" spans="17:17" x14ac:dyDescent="0.35">
      <c r="Q912" s="71">
        <f>LN(Sales_Deals!G909)</f>
        <v>12.730221124611957</v>
      </c>
    </row>
    <row r="913" spans="17:17" x14ac:dyDescent="0.35">
      <c r="Q913" s="71">
        <f>LN(Sales_Deals!G910)</f>
        <v>13.105097170672138</v>
      </c>
    </row>
    <row r="914" spans="17:17" x14ac:dyDescent="0.35">
      <c r="Q914" s="71">
        <f>LN(Sales_Deals!G911)</f>
        <v>11.552300012444251</v>
      </c>
    </row>
    <row r="915" spans="17:17" x14ac:dyDescent="0.35">
      <c r="Q915" s="71">
        <f>LN(Sales_Deals!G912)</f>
        <v>14.448567442680233</v>
      </c>
    </row>
    <row r="916" spans="17:17" x14ac:dyDescent="0.35">
      <c r="Q916" s="71">
        <f>LN(Sales_Deals!G913)</f>
        <v>11.540764342386728</v>
      </c>
    </row>
    <row r="917" spans="17:17" x14ac:dyDescent="0.35">
      <c r="Q917" s="71">
        <f>LN(Sales_Deals!G914)</f>
        <v>11.617267462114127</v>
      </c>
    </row>
    <row r="918" spans="17:17" x14ac:dyDescent="0.35">
      <c r="Q918" s="71">
        <f>LN(Sales_Deals!G915)</f>
        <v>12.940990170784161</v>
      </c>
    </row>
    <row r="919" spans="17:17" x14ac:dyDescent="0.35">
      <c r="Q919" s="71">
        <f>LN(Sales_Deals!G916)</f>
        <v>11.436864818357265</v>
      </c>
    </row>
    <row r="920" spans="17:17" x14ac:dyDescent="0.35">
      <c r="Q920" s="71">
        <f>LN(Sales_Deals!G917)</f>
        <v>14.209117636719053</v>
      </c>
    </row>
    <row r="921" spans="17:17" x14ac:dyDescent="0.35">
      <c r="Q921" s="71">
        <f>LN(Sales_Deals!G918)</f>
        <v>12.952234388245987</v>
      </c>
    </row>
    <row r="922" spans="17:17" x14ac:dyDescent="0.35">
      <c r="Q922" s="71">
        <f>LN(Sales_Deals!G919)</f>
        <v>12.277397462583988</v>
      </c>
    </row>
    <row r="923" spans="17:17" x14ac:dyDescent="0.35">
      <c r="Q923" s="71">
        <f>LN(Sales_Deals!G920)</f>
        <v>12.902095686835583</v>
      </c>
    </row>
    <row r="924" spans="17:17" x14ac:dyDescent="0.35">
      <c r="Q924" s="71">
        <f>LN(Sales_Deals!G921)</f>
        <v>12.265958170752587</v>
      </c>
    </row>
    <row r="925" spans="17:17" x14ac:dyDescent="0.35">
      <c r="Q925" s="71">
        <f>LN(Sales_Deals!G922)</f>
        <v>11.612852244587041</v>
      </c>
    </row>
    <row r="926" spans="17:17" x14ac:dyDescent="0.35">
      <c r="Q926" s="71">
        <f>LN(Sales_Deals!G923)</f>
        <v>12.54182319322514</v>
      </c>
    </row>
    <row r="927" spans="17:17" x14ac:dyDescent="0.35">
      <c r="Q927" s="71">
        <f>LN(Sales_Deals!G924)</f>
        <v>12.289213625520402</v>
      </c>
    </row>
    <row r="928" spans="17:17" x14ac:dyDescent="0.35">
      <c r="Q928" s="71">
        <f>LN(Sales_Deals!G925)</f>
        <v>11.678838129230135</v>
      </c>
    </row>
    <row r="929" spans="17:17" x14ac:dyDescent="0.35">
      <c r="Q929" s="71">
        <f>LN(Sales_Deals!G926)</f>
        <v>12.782657919551999</v>
      </c>
    </row>
    <row r="930" spans="17:17" x14ac:dyDescent="0.35">
      <c r="Q930" s="71">
        <f>LN(Sales_Deals!G927)</f>
        <v>11.379748295315627</v>
      </c>
    </row>
    <row r="931" spans="17:17" x14ac:dyDescent="0.35">
      <c r="Q931" s="71">
        <f>LN(Sales_Deals!G928)</f>
        <v>10.182481996590344</v>
      </c>
    </row>
    <row r="932" spans="17:17" x14ac:dyDescent="0.35">
      <c r="Q932" s="71">
        <f>LN(Sales_Deals!G929)</f>
        <v>12.87580021538891</v>
      </c>
    </row>
    <row r="933" spans="17:17" x14ac:dyDescent="0.35">
      <c r="Q933" s="71">
        <f>LN(Sales_Deals!G930)</f>
        <v>11.896594760707936</v>
      </c>
    </row>
    <row r="934" spans="17:17" x14ac:dyDescent="0.35">
      <c r="Q934" s="71">
        <f>LN(Sales_Deals!G931)</f>
        <v>12.996360148343449</v>
      </c>
    </row>
    <row r="935" spans="17:17" x14ac:dyDescent="0.35">
      <c r="Q935" s="71">
        <f>LN(Sales_Deals!G932)</f>
        <v>11.663687552856418</v>
      </c>
    </row>
    <row r="936" spans="17:17" x14ac:dyDescent="0.35">
      <c r="Q936" s="71">
        <f>LN(Sales_Deals!G933)</f>
        <v>13.061935861161315</v>
      </c>
    </row>
    <row r="937" spans="17:17" x14ac:dyDescent="0.35">
      <c r="Q937" s="71">
        <f>LN(Sales_Deals!G934)</f>
        <v>11.69751112341725</v>
      </c>
    </row>
    <row r="938" spans="17:17" x14ac:dyDescent="0.35">
      <c r="Q938" s="71">
        <f>LN(Sales_Deals!G935)</f>
        <v>12.19716811763441</v>
      </c>
    </row>
    <row r="939" spans="17:17" x14ac:dyDescent="0.35">
      <c r="Q939" s="71">
        <f>LN(Sales_Deals!G936)</f>
        <v>12.442957353232549</v>
      </c>
    </row>
    <row r="940" spans="17:17" x14ac:dyDescent="0.35">
      <c r="Q940" s="71">
        <f>LN(Sales_Deals!G937)</f>
        <v>12.449912542302545</v>
      </c>
    </row>
    <row r="941" spans="17:17" x14ac:dyDescent="0.35">
      <c r="Q941" s="71">
        <f>LN(Sales_Deals!G938)</f>
        <v>12.961513642261506</v>
      </c>
    </row>
    <row r="942" spans="17:17" x14ac:dyDescent="0.35">
      <c r="Q942" s="71">
        <f>LN(Sales_Deals!G939)</f>
        <v>12.419505197349181</v>
      </c>
    </row>
    <row r="943" spans="17:17" x14ac:dyDescent="0.35">
      <c r="Q943" s="71">
        <f>LN(Sales_Deals!G940)</f>
        <v>12.213212098872956</v>
      </c>
    </row>
    <row r="944" spans="17:17" x14ac:dyDescent="0.35">
      <c r="Q944" s="71">
        <f>LN(Sales_Deals!G941)</f>
        <v>13.002435042237623</v>
      </c>
    </row>
    <row r="945" spans="17:17" x14ac:dyDescent="0.35">
      <c r="Q945" s="71">
        <f>LN(Sales_Deals!G942)</f>
        <v>12.551384270818494</v>
      </c>
    </row>
    <row r="946" spans="17:17" x14ac:dyDescent="0.35">
      <c r="Q946" s="71">
        <f>LN(Sales_Deals!G943)</f>
        <v>12.053870898632081</v>
      </c>
    </row>
    <row r="947" spans="17:17" x14ac:dyDescent="0.35">
      <c r="Q947" s="71">
        <f>LN(Sales_Deals!G944)</f>
        <v>12.172474496099237</v>
      </c>
    </row>
    <row r="948" spans="17:17" x14ac:dyDescent="0.35">
      <c r="Q948" s="71">
        <f>LN(Sales_Deals!G945)</f>
        <v>12.667678612908153</v>
      </c>
    </row>
    <row r="949" spans="17:17" x14ac:dyDescent="0.35">
      <c r="Q949" s="71">
        <f>LN(Sales_Deals!G946)</f>
        <v>12.837477392254549</v>
      </c>
    </row>
    <row r="950" spans="17:17" x14ac:dyDescent="0.35">
      <c r="Q950" s="71">
        <f>LN(Sales_Deals!G947)</f>
        <v>12.732911372465935</v>
      </c>
    </row>
    <row r="951" spans="17:17" x14ac:dyDescent="0.35">
      <c r="Q951" s="71">
        <f>LN(Sales_Deals!G948)</f>
        <v>11.538135017095064</v>
      </c>
    </row>
    <row r="952" spans="17:17" x14ac:dyDescent="0.35">
      <c r="Q952" s="71">
        <f>LN(Sales_Deals!G949)</f>
        <v>12.677440968158153</v>
      </c>
    </row>
    <row r="953" spans="17:17" x14ac:dyDescent="0.35">
      <c r="Q953" s="71">
        <f>LN(Sales_Deals!G950)</f>
        <v>12.918137257794688</v>
      </c>
    </row>
    <row r="954" spans="17:17" x14ac:dyDescent="0.35">
      <c r="Q954" s="71">
        <f>LN(Sales_Deals!G951)</f>
        <v>12.607128045149638</v>
      </c>
    </row>
    <row r="955" spans="17:17" x14ac:dyDescent="0.35">
      <c r="Q955" s="71">
        <f>LN(Sales_Deals!G952)</f>
        <v>10.474043280509886</v>
      </c>
    </row>
    <row r="956" spans="17:17" x14ac:dyDescent="0.35">
      <c r="Q956" s="71">
        <f>LN(Sales_Deals!G953)</f>
        <v>12.416224164704568</v>
      </c>
    </row>
    <row r="957" spans="17:17" x14ac:dyDescent="0.35">
      <c r="Q957" s="71">
        <f>LN(Sales_Deals!G954)</f>
        <v>13.068285156073552</v>
      </c>
    </row>
    <row r="958" spans="17:17" x14ac:dyDescent="0.35">
      <c r="Q958" s="71">
        <f>LN(Sales_Deals!G955)</f>
        <v>12.536311207395867</v>
      </c>
    </row>
    <row r="959" spans="17:17" x14ac:dyDescent="0.35">
      <c r="Q959" s="71">
        <f>LN(Sales_Deals!G956)</f>
        <v>12.545184253088317</v>
      </c>
    </row>
    <row r="960" spans="17:17" x14ac:dyDescent="0.35">
      <c r="Q960" s="71">
        <f>LN(Sales_Deals!G957)</f>
        <v>12.637267226876858</v>
      </c>
    </row>
    <row r="961" spans="17:17" x14ac:dyDescent="0.35">
      <c r="Q961" s="71">
        <f>LN(Sales_Deals!G958)</f>
        <v>12.318735930936327</v>
      </c>
    </row>
    <row r="962" spans="17:17" x14ac:dyDescent="0.35">
      <c r="Q962" s="71">
        <f>LN(Sales_Deals!G959)</f>
        <v>11.767304082712743</v>
      </c>
    </row>
    <row r="963" spans="17:17" x14ac:dyDescent="0.35">
      <c r="Q963" s="71">
        <f>LN(Sales_Deals!G960)</f>
        <v>13.102805360188665</v>
      </c>
    </row>
    <row r="964" spans="17:17" x14ac:dyDescent="0.35">
      <c r="Q964" s="71">
        <f>LN(Sales_Deals!G961)</f>
        <v>12.554222856967355</v>
      </c>
    </row>
    <row r="965" spans="17:17" x14ac:dyDescent="0.35">
      <c r="Q965" s="71">
        <f>LN(Sales_Deals!G962)</f>
        <v>10.437111312578097</v>
      </c>
    </row>
    <row r="966" spans="17:17" x14ac:dyDescent="0.35">
      <c r="Q966" s="71">
        <f>LN(Sales_Deals!G963)</f>
        <v>11.915065049649815</v>
      </c>
    </row>
    <row r="967" spans="17:17" x14ac:dyDescent="0.35">
      <c r="Q967" s="71">
        <f>LN(Sales_Deals!G964)</f>
        <v>12.148718918500199</v>
      </c>
    </row>
    <row r="968" spans="17:17" x14ac:dyDescent="0.35">
      <c r="Q968" s="71">
        <f>LN(Sales_Deals!G965)</f>
        <v>12.243089007809377</v>
      </c>
    </row>
    <row r="969" spans="17:17" x14ac:dyDescent="0.35">
      <c r="Q969" s="71">
        <f>LN(Sales_Deals!G966)</f>
        <v>12.344620808094302</v>
      </c>
    </row>
    <row r="970" spans="17:17" x14ac:dyDescent="0.35">
      <c r="Q970" s="71">
        <f>LN(Sales_Deals!G967)</f>
        <v>12.864574032017517</v>
      </c>
    </row>
    <row r="971" spans="17:17" x14ac:dyDescent="0.35">
      <c r="Q971" s="71">
        <f>LN(Sales_Deals!G968)</f>
        <v>12.662639529687423</v>
      </c>
    </row>
    <row r="972" spans="17:17" x14ac:dyDescent="0.35">
      <c r="Q972" s="71">
        <f>LN(Sales_Deals!G969)</f>
        <v>12.309797323935516</v>
      </c>
    </row>
    <row r="973" spans="17:17" x14ac:dyDescent="0.35">
      <c r="Q973" s="71">
        <f>LN(Sales_Deals!G970)</f>
        <v>12.753783565176557</v>
      </c>
    </row>
    <row r="974" spans="17:17" x14ac:dyDescent="0.35">
      <c r="Q974" s="71">
        <f>LN(Sales_Deals!G971)</f>
        <v>12.657609941740722</v>
      </c>
    </row>
    <row r="975" spans="17:17" x14ac:dyDescent="0.35">
      <c r="Q975" s="71">
        <f>LN(Sales_Deals!G972)</f>
        <v>11.093645367828335</v>
      </c>
    </row>
    <row r="976" spans="17:17" x14ac:dyDescent="0.35">
      <c r="Q976" s="71">
        <f>LN(Sales_Deals!G973)</f>
        <v>12.833939696695777</v>
      </c>
    </row>
    <row r="977" spans="17:17" x14ac:dyDescent="0.35">
      <c r="Q977" s="71">
        <f>LN(Sales_Deals!G974)</f>
        <v>11.949068489977787</v>
      </c>
    </row>
    <row r="978" spans="17:17" x14ac:dyDescent="0.35">
      <c r="Q978" s="71">
        <f>LN(Sales_Deals!G975)</f>
        <v>11.794715211717172</v>
      </c>
    </row>
    <row r="979" spans="17:17" x14ac:dyDescent="0.35">
      <c r="Q979" s="71">
        <f>LN(Sales_Deals!G976)</f>
        <v>12.200989749473035</v>
      </c>
    </row>
    <row r="980" spans="17:17" x14ac:dyDescent="0.35">
      <c r="Q980" s="71">
        <f>LN(Sales_Deals!G977)</f>
        <v>13.119011767027953</v>
      </c>
    </row>
    <row r="981" spans="17:17" x14ac:dyDescent="0.35">
      <c r="Q981" s="71">
        <f>LN(Sales_Deals!G978)</f>
        <v>12.923487958357562</v>
      </c>
    </row>
    <row r="982" spans="17:17" x14ac:dyDescent="0.35">
      <c r="Q982" s="71">
        <f>LN(Sales_Deals!G979)</f>
        <v>12.078256319329562</v>
      </c>
    </row>
    <row r="983" spans="17:17" x14ac:dyDescent="0.35">
      <c r="Q983" s="71">
        <f>LN(Sales_Deals!G980)</f>
        <v>13.902325665694352</v>
      </c>
    </row>
    <row r="984" spans="17:17" x14ac:dyDescent="0.35">
      <c r="Q984" s="71">
        <f>LN(Sales_Deals!G981)</f>
        <v>10.160607319405269</v>
      </c>
    </row>
    <row r="985" spans="17:17" x14ac:dyDescent="0.35">
      <c r="Q985" s="71">
        <f>LN(Sales_Deals!G982)</f>
        <v>12.685565484477573</v>
      </c>
    </row>
    <row r="986" spans="17:17" x14ac:dyDescent="0.35">
      <c r="Q986" s="71">
        <f>LN(Sales_Deals!G983)</f>
        <v>13.079566517453733</v>
      </c>
    </row>
    <row r="987" spans="17:17" x14ac:dyDescent="0.35">
      <c r="Q987" s="71">
        <f>LN(Sales_Deals!G984)</f>
        <v>11.81437729763293</v>
      </c>
    </row>
    <row r="988" spans="17:17" x14ac:dyDescent="0.35">
      <c r="Q988" s="71">
        <f>LN(Sales_Deals!G985)</f>
        <v>12.79135339547067</v>
      </c>
    </row>
    <row r="989" spans="17:17" x14ac:dyDescent="0.35">
      <c r="Q989" s="71">
        <f>LN(Sales_Deals!G986)</f>
        <v>12.958700264166154</v>
      </c>
    </row>
    <row r="990" spans="17:17" x14ac:dyDescent="0.35">
      <c r="Q990" s="71">
        <f>LN(Sales_Deals!G987)</f>
        <v>12.304980889983979</v>
      </c>
    </row>
    <row r="991" spans="17:17" x14ac:dyDescent="0.35">
      <c r="Q991" s="71">
        <f>LN(Sales_Deals!G988)</f>
        <v>11.933791369654415</v>
      </c>
    </row>
    <row r="992" spans="17:17" x14ac:dyDescent="0.35">
      <c r="Q992" s="71">
        <f>LN(Sales_Deals!G989)</f>
        <v>13.043188126714503</v>
      </c>
    </row>
    <row r="993" spans="17:17" x14ac:dyDescent="0.35">
      <c r="Q993" s="71">
        <f>LN(Sales_Deals!G990)</f>
        <v>9.4885779855999637</v>
      </c>
    </row>
    <row r="994" spans="17:17" x14ac:dyDescent="0.35">
      <c r="Q994" s="71">
        <f>LN(Sales_Deals!G991)</f>
        <v>12.955344928469838</v>
      </c>
    </row>
    <row r="995" spans="17:17" x14ac:dyDescent="0.35">
      <c r="Q995" s="71">
        <f>LN(Sales_Deals!G992)</f>
        <v>10.406532988983157</v>
      </c>
    </row>
    <row r="996" spans="17:17" x14ac:dyDescent="0.35">
      <c r="Q996" s="71">
        <f>LN(Sales_Deals!G993)</f>
        <v>12.911726293182305</v>
      </c>
    </row>
    <row r="997" spans="17:17" x14ac:dyDescent="0.35">
      <c r="Q997" s="71">
        <f>LN(Sales_Deals!G994)</f>
        <v>13.072790707156857</v>
      </c>
    </row>
    <row r="998" spans="17:17" x14ac:dyDescent="0.35">
      <c r="Q998" s="71">
        <f>LN(Sales_Deals!G995)</f>
        <v>12.884131568668646</v>
      </c>
    </row>
    <row r="999" spans="17:17" x14ac:dyDescent="0.35">
      <c r="Q999" s="71">
        <f>LN(Sales_Deals!G996)</f>
        <v>12.687405604867466</v>
      </c>
    </row>
    <row r="1000" spans="17:17" x14ac:dyDescent="0.35">
      <c r="Q1000" s="71">
        <f>LN(Sales_Deals!G997)</f>
        <v>13.008809386717974</v>
      </c>
    </row>
    <row r="1001" spans="17:17" x14ac:dyDescent="0.35">
      <c r="Q1001" s="71">
        <f>LN(Sales_Deals!G998)</f>
        <v>9.3602248215134747</v>
      </c>
    </row>
    <row r="1002" spans="17:17" x14ac:dyDescent="0.35">
      <c r="Q1002" s="71">
        <f>LN(Sales_Deals!G999)</f>
        <v>12.610043304171471</v>
      </c>
    </row>
    <row r="1003" spans="17:17" x14ac:dyDescent="0.35">
      <c r="Q1003" s="71">
        <f>LN(Sales_Deals!G1000)</f>
        <v>12.525231582478071</v>
      </c>
    </row>
    <row r="1004" spans="17:17" x14ac:dyDescent="0.35">
      <c r="Q1004" s="71">
        <f>LN(Sales_Deals!G1001)</f>
        <v>12.221030221163154</v>
      </c>
    </row>
    <row r="1005" spans="17:17" x14ac:dyDescent="0.35">
      <c r="Q1005" s="71">
        <f>LN(Sales_Deals!G1002)</f>
        <v>11.113492129093784</v>
      </c>
    </row>
    <row r="1006" spans="17:17" x14ac:dyDescent="0.35">
      <c r="Q1006" s="71">
        <f>LN(Sales_Deals!G1003)</f>
        <v>11.825792711610827</v>
      </c>
    </row>
    <row r="1007" spans="17:17" x14ac:dyDescent="0.35">
      <c r="Q1007" s="71">
        <f>LN(Sales_Deals!G1004)</f>
        <v>12.601756741783232</v>
      </c>
    </row>
    <row r="1008" spans="17:17" x14ac:dyDescent="0.35">
      <c r="Q1008" s="71">
        <f>LN(Sales_Deals!G1005)</f>
        <v>13.109804848156934</v>
      </c>
    </row>
    <row r="1009" spans="17:17" x14ac:dyDescent="0.35">
      <c r="Q1009" s="71">
        <f>LN(Sales_Deals!G1006)</f>
        <v>10.480129006333248</v>
      </c>
    </row>
    <row r="1010" spans="17:17" x14ac:dyDescent="0.35">
      <c r="Q1010" s="71">
        <f>LN(Sales_Deals!G1007)</f>
        <v>12.829253266436947</v>
      </c>
    </row>
    <row r="1011" spans="17:17" x14ac:dyDescent="0.35">
      <c r="Q1011" s="71">
        <f>LN(Sales_Deals!G1008)</f>
        <v>12.571618129637093</v>
      </c>
    </row>
    <row r="1012" spans="17:17" x14ac:dyDescent="0.35">
      <c r="Q1012" s="71">
        <f>LN(Sales_Deals!G1009)</f>
        <v>12.09312788651404</v>
      </c>
    </row>
    <row r="1013" spans="17:17" x14ac:dyDescent="0.35">
      <c r="Q1013" s="71">
        <f>LN(Sales_Deals!G1010)</f>
        <v>12.119015812962001</v>
      </c>
    </row>
    <row r="1014" spans="17:17" x14ac:dyDescent="0.35">
      <c r="Q1014" s="71">
        <f>LN(Sales_Deals!G1011)</f>
        <v>11.322055474206314</v>
      </c>
    </row>
    <row r="1015" spans="17:17" x14ac:dyDescent="0.35">
      <c r="Q1015" s="71">
        <f>LN(Sales_Deals!G1012)</f>
        <v>12.884101112125055</v>
      </c>
    </row>
    <row r="1016" spans="17:17" x14ac:dyDescent="0.35">
      <c r="Q1016" s="71">
        <f>LN(Sales_Deals!G1013)</f>
        <v>12.368110709430617</v>
      </c>
    </row>
    <row r="1017" spans="17:17" x14ac:dyDescent="0.35">
      <c r="Q1017" s="71">
        <f>LN(Sales_Deals!G1014)</f>
        <v>11.884978556733151</v>
      </c>
    </row>
    <row r="1018" spans="17:17" x14ac:dyDescent="0.35">
      <c r="Q1018" s="71">
        <f>LN(Sales_Deals!G1015)</f>
        <v>11.947651596360352</v>
      </c>
    </row>
    <row r="1019" spans="17:17" x14ac:dyDescent="0.35">
      <c r="Q1019" s="71">
        <f>LN(Sales_Deals!G1016)</f>
        <v>12.239454228712331</v>
      </c>
    </row>
    <row r="1020" spans="17:17" x14ac:dyDescent="0.35">
      <c r="Q1020" s="71">
        <f>LN(Sales_Deals!G1017)</f>
        <v>12.373030956376406</v>
      </c>
    </row>
    <row r="1021" spans="17:17" x14ac:dyDescent="0.35">
      <c r="Q1021" s="71">
        <f>LN(Sales_Deals!G1018)</f>
        <v>11.144929536976539</v>
      </c>
    </row>
    <row r="1022" spans="17:17" x14ac:dyDescent="0.35">
      <c r="Q1022" s="71">
        <f>LN(Sales_Deals!G1019)</f>
        <v>12.417431023697166</v>
      </c>
    </row>
    <row r="1023" spans="17:17" x14ac:dyDescent="0.35">
      <c r="Q1023" s="71">
        <f>LN(Sales_Deals!G1020)</f>
        <v>12.3750514152597</v>
      </c>
    </row>
    <row r="1024" spans="17:17" x14ac:dyDescent="0.35">
      <c r="Q1024" s="71">
        <f>LN(Sales_Deals!G1021)</f>
        <v>12.91228411541932</v>
      </c>
    </row>
    <row r="1025" spans="17:17" x14ac:dyDescent="0.35">
      <c r="Q1025" s="71">
        <f>LN(Sales_Deals!G1022)</f>
        <v>12.814900277423092</v>
      </c>
    </row>
    <row r="1026" spans="17:17" x14ac:dyDescent="0.35">
      <c r="Q1026" s="71">
        <f>LN(Sales_Deals!G1023)</f>
        <v>10.16800334695607</v>
      </c>
    </row>
    <row r="1027" spans="17:17" x14ac:dyDescent="0.35">
      <c r="Q1027" s="71">
        <f>LN(Sales_Deals!G1024)</f>
        <v>12.081585940407169</v>
      </c>
    </row>
    <row r="1028" spans="17:17" x14ac:dyDescent="0.35">
      <c r="Q1028" s="71">
        <f>LN(Sales_Deals!G1025)</f>
        <v>11.185767713530806</v>
      </c>
    </row>
    <row r="1029" spans="17:17" x14ac:dyDescent="0.35">
      <c r="Q1029" s="71">
        <f>LN(Sales_Deals!G1026)</f>
        <v>11.57515820483615</v>
      </c>
    </row>
    <row r="1030" spans="17:17" x14ac:dyDescent="0.35">
      <c r="Q1030" s="71">
        <f>LN(Sales_Deals!G1027)</f>
        <v>11.627093083988203</v>
      </c>
    </row>
    <row r="1031" spans="17:17" x14ac:dyDescent="0.35">
      <c r="Q1031" s="71">
        <f>LN(Sales_Deals!G1028)</f>
        <v>12.460993894738472</v>
      </c>
    </row>
    <row r="1032" spans="17:17" x14ac:dyDescent="0.35">
      <c r="Q1032" s="71">
        <f>LN(Sales_Deals!G1029)</f>
        <v>12.885485946635477</v>
      </c>
    </row>
    <row r="1033" spans="17:17" x14ac:dyDescent="0.35">
      <c r="Q1033" s="71">
        <f>LN(Sales_Deals!G1030)</f>
        <v>11.167896725665894</v>
      </c>
    </row>
    <row r="1034" spans="17:17" x14ac:dyDescent="0.35">
      <c r="Q1034" s="71">
        <f>LN(Sales_Deals!G1031)</f>
        <v>13.091708274444695</v>
      </c>
    </row>
    <row r="1035" spans="17:17" x14ac:dyDescent="0.35">
      <c r="Q1035" s="71">
        <f>LN(Sales_Deals!G1032)</f>
        <v>12.261630334448864</v>
      </c>
    </row>
    <row r="1036" spans="17:17" x14ac:dyDescent="0.35">
      <c r="Q1036" s="71">
        <f>LN(Sales_Deals!G1033)</f>
        <v>12.733551825822538</v>
      </c>
    </row>
    <row r="1037" spans="17:17" x14ac:dyDescent="0.35">
      <c r="Q1037" s="71">
        <f>LN(Sales_Deals!G1034)</f>
        <v>12.35168267187065</v>
      </c>
    </row>
    <row r="1038" spans="17:17" x14ac:dyDescent="0.35">
      <c r="Q1038" s="71">
        <f>LN(Sales_Deals!G1035)</f>
        <v>12.831532352200856</v>
      </c>
    </row>
    <row r="1039" spans="17:17" x14ac:dyDescent="0.35">
      <c r="Q1039" s="71">
        <f>LN(Sales_Deals!G1036)</f>
        <v>10.394120673014172</v>
      </c>
    </row>
    <row r="1040" spans="17:17" x14ac:dyDescent="0.35">
      <c r="Q1040" s="71">
        <f>LN(Sales_Deals!G1037)</f>
        <v>9.5569750810205001</v>
      </c>
    </row>
    <row r="1041" spans="17:17" x14ac:dyDescent="0.35">
      <c r="Q1041" s="71">
        <f>LN(Sales_Deals!G1038)</f>
        <v>11.245294354989968</v>
      </c>
    </row>
    <row r="1042" spans="17:17" x14ac:dyDescent="0.35">
      <c r="Q1042" s="71">
        <f>LN(Sales_Deals!G1039)</f>
        <v>12.699118135380722</v>
      </c>
    </row>
    <row r="1043" spans="17:17" x14ac:dyDescent="0.35">
      <c r="Q1043" s="71">
        <f>LN(Sales_Deals!G1040)</f>
        <v>12.632601023898662</v>
      </c>
    </row>
    <row r="1044" spans="17:17" x14ac:dyDescent="0.35">
      <c r="Q1044" s="71">
        <f>LN(Sales_Deals!G1041)</f>
        <v>12.296831574998258</v>
      </c>
    </row>
    <row r="1045" spans="17:17" x14ac:dyDescent="0.35">
      <c r="Q1045" s="71">
        <f>LN(Sales_Deals!G1042)</f>
        <v>12.511614282282721</v>
      </c>
    </row>
    <row r="1046" spans="17:17" x14ac:dyDescent="0.35">
      <c r="Q1046" s="71">
        <f>LN(Sales_Deals!G1043)</f>
        <v>12.85284599024663</v>
      </c>
    </row>
    <row r="1047" spans="17:17" x14ac:dyDescent="0.35">
      <c r="Q1047" s="71">
        <f>LN(Sales_Deals!G1044)</f>
        <v>10.931051286819711</v>
      </c>
    </row>
    <row r="1048" spans="17:17" x14ac:dyDescent="0.35">
      <c r="Q1048" s="71">
        <f>LN(Sales_Deals!G1045)</f>
        <v>10.782865306386743</v>
      </c>
    </row>
    <row r="1049" spans="17:17" x14ac:dyDescent="0.35">
      <c r="Q1049" s="71">
        <f>LN(Sales_Deals!G1046)</f>
        <v>11.464984440179888</v>
      </c>
    </row>
    <row r="1050" spans="17:17" x14ac:dyDescent="0.35">
      <c r="Q1050" s="71">
        <f>LN(Sales_Deals!G1047)</f>
        <v>12.556003901835544</v>
      </c>
    </row>
    <row r="1051" spans="17:17" x14ac:dyDescent="0.35">
      <c r="Q1051" s="71">
        <f>LN(Sales_Deals!G1048)</f>
        <v>12.5949204478149</v>
      </c>
    </row>
    <row r="1052" spans="17:17" x14ac:dyDescent="0.35">
      <c r="Q1052" s="71">
        <f>LN(Sales_Deals!G1049)</f>
        <v>12.681119784869932</v>
      </c>
    </row>
    <row r="1053" spans="17:17" x14ac:dyDescent="0.35">
      <c r="Q1053" s="71">
        <f>LN(Sales_Deals!G1050)</f>
        <v>12.488081153711104</v>
      </c>
    </row>
    <row r="1054" spans="17:17" x14ac:dyDescent="0.35">
      <c r="Q1054" s="71">
        <f>LN(Sales_Deals!G1051)</f>
        <v>10.231567529594747</v>
      </c>
    </row>
    <row r="1055" spans="17:17" x14ac:dyDescent="0.35">
      <c r="Q1055" s="71">
        <f>LN(Sales_Deals!G1052)</f>
        <v>12.929909057117383</v>
      </c>
    </row>
    <row r="1056" spans="17:17" x14ac:dyDescent="0.35">
      <c r="Q1056" s="71">
        <f>LN(Sales_Deals!G1053)</f>
        <v>10.80655119082919</v>
      </c>
    </row>
    <row r="1057" spans="17:17" x14ac:dyDescent="0.35">
      <c r="Q1057" s="71">
        <f>LN(Sales_Deals!G1054)</f>
        <v>12.925766815820905</v>
      </c>
    </row>
    <row r="1058" spans="17:17" x14ac:dyDescent="0.35">
      <c r="Q1058" s="71">
        <f>LN(Sales_Deals!G1055)</f>
        <v>11.435234157254357</v>
      </c>
    </row>
    <row r="1059" spans="17:17" x14ac:dyDescent="0.35">
      <c r="Q1059" s="71">
        <f>LN(Sales_Deals!G1056)</f>
        <v>12.804013140930039</v>
      </c>
    </row>
    <row r="1060" spans="17:17" x14ac:dyDescent="0.35">
      <c r="Q1060" s="71">
        <f>LN(Sales_Deals!G1057)</f>
        <v>13.113944033991574</v>
      </c>
    </row>
    <row r="1061" spans="17:17" x14ac:dyDescent="0.35">
      <c r="Q1061" s="71">
        <f>LN(Sales_Deals!G1058)</f>
        <v>13.837830602141223</v>
      </c>
    </row>
    <row r="1062" spans="17:17" x14ac:dyDescent="0.35">
      <c r="Q1062" s="71">
        <f>LN(Sales_Deals!G1059)</f>
        <v>12.448116456344865</v>
      </c>
    </row>
    <row r="1063" spans="17:17" x14ac:dyDescent="0.35">
      <c r="Q1063" s="71">
        <f>LN(Sales_Deals!G1060)</f>
        <v>11.827458794072687</v>
      </c>
    </row>
    <row r="1064" spans="17:17" x14ac:dyDescent="0.35">
      <c r="Q1064" s="71">
        <f>LN(Sales_Deals!G1061)</f>
        <v>10.763080940731738</v>
      </c>
    </row>
    <row r="1065" spans="17:17" x14ac:dyDescent="0.35">
      <c r="Q1065" s="71">
        <f>LN(Sales_Deals!G1062)</f>
        <v>12.443785546556535</v>
      </c>
    </row>
    <row r="1066" spans="17:17" x14ac:dyDescent="0.35">
      <c r="Q1066" s="71">
        <f>LN(Sales_Deals!G1063)</f>
        <v>12.856158346627693</v>
      </c>
    </row>
    <row r="1067" spans="17:17" x14ac:dyDescent="0.35">
      <c r="Q1067" s="71">
        <f>LN(Sales_Deals!G1064)</f>
        <v>13.007879144709534</v>
      </c>
    </row>
    <row r="1068" spans="17:17" x14ac:dyDescent="0.35">
      <c r="Q1068" s="71">
        <f>LN(Sales_Deals!G1065)</f>
        <v>11.156493348689331</v>
      </c>
    </row>
    <row r="1069" spans="17:17" x14ac:dyDescent="0.35">
      <c r="Q1069" s="71">
        <f>LN(Sales_Deals!G1066)</f>
        <v>12.677706195732766</v>
      </c>
    </row>
    <row r="1070" spans="17:17" x14ac:dyDescent="0.35">
      <c r="Q1070" s="71">
        <f>LN(Sales_Deals!G1067)</f>
        <v>12.310815470456353</v>
      </c>
    </row>
    <row r="1071" spans="17:17" x14ac:dyDescent="0.35">
      <c r="Q1071" s="71">
        <f>LN(Sales_Deals!G1068)</f>
        <v>12.502934950405232</v>
      </c>
    </row>
    <row r="1072" spans="17:17" x14ac:dyDescent="0.35">
      <c r="Q1072" s="71">
        <f>LN(Sales_Deals!G1069)</f>
        <v>11.41525750779207</v>
      </c>
    </row>
    <row r="1073" spans="17:17" x14ac:dyDescent="0.35">
      <c r="Q1073" s="71">
        <f>LN(Sales_Deals!G1070)</f>
        <v>11.23262938215171</v>
      </c>
    </row>
    <row r="1074" spans="17:17" x14ac:dyDescent="0.35">
      <c r="Q1074" s="71">
        <f>LN(Sales_Deals!G1071)</f>
        <v>13.067875512120208</v>
      </c>
    </row>
    <row r="1075" spans="17:17" x14ac:dyDescent="0.35">
      <c r="Q1075" s="71">
        <f>LN(Sales_Deals!G1072)</f>
        <v>12.701399785868936</v>
      </c>
    </row>
    <row r="1076" spans="17:17" x14ac:dyDescent="0.35">
      <c r="Q1076" s="71">
        <f>LN(Sales_Deals!G1073)</f>
        <v>12.171398381596152</v>
      </c>
    </row>
    <row r="1077" spans="17:17" x14ac:dyDescent="0.35">
      <c r="Q1077" s="71">
        <f>LN(Sales_Deals!G1074)</f>
        <v>13.046045889143619</v>
      </c>
    </row>
    <row r="1078" spans="17:17" x14ac:dyDescent="0.35">
      <c r="Q1078" s="71">
        <f>LN(Sales_Deals!G1075)</f>
        <v>11.065262416161877</v>
      </c>
    </row>
    <row r="1079" spans="17:17" x14ac:dyDescent="0.35">
      <c r="Q1079" s="71">
        <f>LN(Sales_Deals!G1076)</f>
        <v>13.043110191309923</v>
      </c>
    </row>
    <row r="1080" spans="17:17" x14ac:dyDescent="0.35">
      <c r="Q1080" s="71">
        <f>LN(Sales_Deals!G1077)</f>
        <v>12.270778340193472</v>
      </c>
    </row>
    <row r="1081" spans="17:17" x14ac:dyDescent="0.35">
      <c r="Q1081" s="71">
        <f>LN(Sales_Deals!G1078)</f>
        <v>10.774236837439904</v>
      </c>
    </row>
    <row r="1082" spans="17:17" x14ac:dyDescent="0.35">
      <c r="Q1082" s="71">
        <f>LN(Sales_Deals!G1079)</f>
        <v>13.031729446883551</v>
      </c>
    </row>
    <row r="1083" spans="17:17" x14ac:dyDescent="0.35">
      <c r="Q1083" s="71">
        <f>LN(Sales_Deals!G1080)</f>
        <v>12.766582319544654</v>
      </c>
    </row>
    <row r="1084" spans="17:17" x14ac:dyDescent="0.35">
      <c r="Q1084" s="71">
        <f>LN(Sales_Deals!G1081)</f>
        <v>13.10447635416657</v>
      </c>
    </row>
    <row r="1085" spans="17:17" x14ac:dyDescent="0.35">
      <c r="Q1085" s="71">
        <f>LN(Sales_Deals!G1082)</f>
        <v>12.89661142717355</v>
      </c>
    </row>
    <row r="1086" spans="17:17" x14ac:dyDescent="0.35">
      <c r="Q1086" s="71">
        <f>LN(Sales_Deals!G1083)</f>
        <v>12.866381502090965</v>
      </c>
    </row>
    <row r="1087" spans="17:17" x14ac:dyDescent="0.35">
      <c r="Q1087" s="71">
        <f>LN(Sales_Deals!G1084)</f>
        <v>11.904467427704569</v>
      </c>
    </row>
    <row r="1088" spans="17:17" x14ac:dyDescent="0.35">
      <c r="Q1088" s="71">
        <f>LN(Sales_Deals!G1085)</f>
        <v>12.69448393445899</v>
      </c>
    </row>
    <row r="1089" spans="17:17" x14ac:dyDescent="0.35">
      <c r="Q1089" s="71">
        <f>LN(Sales_Deals!G1086)</f>
        <v>12.588020033924286</v>
      </c>
    </row>
    <row r="1090" spans="17:17" x14ac:dyDescent="0.35">
      <c r="Q1090" s="71">
        <f>LN(Sales_Deals!G1087)</f>
        <v>12.48300716943519</v>
      </c>
    </row>
    <row r="1091" spans="17:17" x14ac:dyDescent="0.35">
      <c r="Q1091" s="71">
        <f>LN(Sales_Deals!G1088)</f>
        <v>12.819621811192759</v>
      </c>
    </row>
    <row r="1092" spans="17:17" x14ac:dyDescent="0.35">
      <c r="Q1092" s="71">
        <f>LN(Sales_Deals!G1089)</f>
        <v>12.123429894003531</v>
      </c>
    </row>
    <row r="1093" spans="17:17" x14ac:dyDescent="0.35">
      <c r="Q1093" s="71">
        <f>LN(Sales_Deals!G1090)</f>
        <v>13.096879401768806</v>
      </c>
    </row>
    <row r="1094" spans="17:17" x14ac:dyDescent="0.35">
      <c r="Q1094" s="71">
        <f>LN(Sales_Deals!G1091)</f>
        <v>12.457095920318904</v>
      </c>
    </row>
    <row r="1095" spans="17:17" x14ac:dyDescent="0.35">
      <c r="Q1095" s="71">
        <f>LN(Sales_Deals!G1092)</f>
        <v>12.905358446149512</v>
      </c>
    </row>
    <row r="1096" spans="17:17" x14ac:dyDescent="0.35">
      <c r="Q1096" s="71">
        <f>LN(Sales_Deals!G1093)</f>
        <v>11.6776005682537</v>
      </c>
    </row>
    <row r="1097" spans="17:17" x14ac:dyDescent="0.35">
      <c r="Q1097" s="71">
        <f>LN(Sales_Deals!G1094)</f>
        <v>12.179348721222389</v>
      </c>
    </row>
    <row r="1098" spans="17:17" x14ac:dyDescent="0.35">
      <c r="Q1098" s="71">
        <f>LN(Sales_Deals!G1095)</f>
        <v>12.968438005526661</v>
      </c>
    </row>
    <row r="1099" spans="17:17" x14ac:dyDescent="0.35">
      <c r="Q1099" s="71">
        <f>LN(Sales_Deals!G1096)</f>
        <v>12.690395143715833</v>
      </c>
    </row>
    <row r="1100" spans="17:17" x14ac:dyDescent="0.35">
      <c r="Q1100" s="71">
        <f>LN(Sales_Deals!G1097)</f>
        <v>11.586491861927145</v>
      </c>
    </row>
    <row r="1101" spans="17:17" x14ac:dyDescent="0.35">
      <c r="Q1101" s="71">
        <f>LN(Sales_Deals!G1098)</f>
        <v>11.880619475391393</v>
      </c>
    </row>
    <row r="1102" spans="17:17" x14ac:dyDescent="0.35">
      <c r="Q1102" s="71">
        <f>LN(Sales_Deals!G1099)</f>
        <v>12.101722730154926</v>
      </c>
    </row>
    <row r="1103" spans="17:17" x14ac:dyDescent="0.35">
      <c r="Q1103" s="71">
        <f>LN(Sales_Deals!G1100)</f>
        <v>12.783371168317904</v>
      </c>
    </row>
    <row r="1104" spans="17:17" x14ac:dyDescent="0.35">
      <c r="Q1104" s="71">
        <f>LN(Sales_Deals!G1101)</f>
        <v>12.763551866917677</v>
      </c>
    </row>
    <row r="1105" spans="17:17" x14ac:dyDescent="0.35">
      <c r="Q1105" s="71">
        <f>LN(Sales_Deals!G1102)</f>
        <v>12.117989785616777</v>
      </c>
    </row>
    <row r="1106" spans="17:17" x14ac:dyDescent="0.35">
      <c r="Q1106" s="71">
        <f>LN(Sales_Deals!G1103)</f>
        <v>12.044694241856073</v>
      </c>
    </row>
    <row r="1107" spans="17:17" x14ac:dyDescent="0.35">
      <c r="Q1107" s="71">
        <f>LN(Sales_Deals!G1104)</f>
        <v>13.711038536367562</v>
      </c>
    </row>
    <row r="1108" spans="17:17" x14ac:dyDescent="0.35">
      <c r="Q1108" s="71">
        <f>LN(Sales_Deals!G1105)</f>
        <v>13.003521281141184</v>
      </c>
    </row>
    <row r="1109" spans="17:17" x14ac:dyDescent="0.35">
      <c r="Q1109" s="71">
        <f>LN(Sales_Deals!G1106)</f>
        <v>12.674500033159541</v>
      </c>
    </row>
    <row r="1110" spans="17:17" x14ac:dyDescent="0.35">
      <c r="Q1110" s="71">
        <f>LN(Sales_Deals!G1107)</f>
        <v>12.859657454578267</v>
      </c>
    </row>
    <row r="1111" spans="17:17" x14ac:dyDescent="0.35">
      <c r="Q1111" s="71">
        <f>LN(Sales_Deals!G1108)</f>
        <v>14.474706875287916</v>
      </c>
    </row>
    <row r="1112" spans="17:17" x14ac:dyDescent="0.35">
      <c r="Q1112" s="71">
        <f>LN(Sales_Deals!G1109)</f>
        <v>12.033479612813865</v>
      </c>
    </row>
    <row r="1113" spans="17:17" x14ac:dyDescent="0.35">
      <c r="Q1113" s="71">
        <f>LN(Sales_Deals!G1110)</f>
        <v>14.335860877459199</v>
      </c>
    </row>
    <row r="1114" spans="17:17" x14ac:dyDescent="0.35">
      <c r="Q1114" s="71">
        <f>LN(Sales_Deals!G1111)</f>
        <v>11.93872900451831</v>
      </c>
    </row>
    <row r="1115" spans="17:17" x14ac:dyDescent="0.35">
      <c r="Q1115" s="71">
        <f>LN(Sales_Deals!G1112)</f>
        <v>13.031102986125283</v>
      </c>
    </row>
    <row r="1116" spans="17:17" x14ac:dyDescent="0.35">
      <c r="Q1116" s="71">
        <f>LN(Sales_Deals!G1113)</f>
        <v>12.556483007889193</v>
      </c>
    </row>
    <row r="1117" spans="17:17" x14ac:dyDescent="0.35">
      <c r="Q1117" s="71">
        <f>LN(Sales_Deals!G1114)</f>
        <v>11.583188196510177</v>
      </c>
    </row>
    <row r="1118" spans="17:17" x14ac:dyDescent="0.35">
      <c r="Q1118" s="71">
        <f>LN(Sales_Deals!G1115)</f>
        <v>11.715678536236682</v>
      </c>
    </row>
    <row r="1119" spans="17:17" x14ac:dyDescent="0.35">
      <c r="Q1119" s="71">
        <f>LN(Sales_Deals!G1116)</f>
        <v>12.90240973292318</v>
      </c>
    </row>
    <row r="1120" spans="17:17" x14ac:dyDescent="0.35">
      <c r="Q1120" s="71">
        <f>LN(Sales_Deals!G1117)</f>
        <v>12.723362332153163</v>
      </c>
    </row>
    <row r="1121" spans="17:17" x14ac:dyDescent="0.35">
      <c r="Q1121" s="71">
        <f>LN(Sales_Deals!G1118)</f>
        <v>11.125172565460634</v>
      </c>
    </row>
    <row r="1122" spans="17:17" x14ac:dyDescent="0.35">
      <c r="Q1122" s="71">
        <f>LN(Sales_Deals!G1119)</f>
        <v>11.07915347064653</v>
      </c>
    </row>
    <row r="1123" spans="17:17" x14ac:dyDescent="0.35">
      <c r="Q1123" s="71">
        <f>LN(Sales_Deals!G1120)</f>
        <v>14.402820442558056</v>
      </c>
    </row>
    <row r="1124" spans="17:17" x14ac:dyDescent="0.35">
      <c r="Q1124" s="71">
        <f>LN(Sales_Deals!G1121)</f>
        <v>11.340653244029275</v>
      </c>
    </row>
    <row r="1125" spans="17:17" x14ac:dyDescent="0.35">
      <c r="Q1125" s="71">
        <f>LN(Sales_Deals!G1122)</f>
        <v>12.757644740964642</v>
      </c>
    </row>
    <row r="1126" spans="17:17" x14ac:dyDescent="0.35">
      <c r="Q1126" s="71">
        <f>LN(Sales_Deals!G1123)</f>
        <v>12.586452397267557</v>
      </c>
    </row>
    <row r="1127" spans="17:17" x14ac:dyDescent="0.35">
      <c r="Q1127" s="71">
        <f>LN(Sales_Deals!G1124)</f>
        <v>12.836109617761323</v>
      </c>
    </row>
    <row r="1128" spans="17:17" x14ac:dyDescent="0.35">
      <c r="Q1128" s="71">
        <f>LN(Sales_Deals!G1125)</f>
        <v>11.518102043339043</v>
      </c>
    </row>
    <row r="1129" spans="17:17" x14ac:dyDescent="0.35">
      <c r="Q1129" s="71">
        <f>LN(Sales_Deals!G1126)</f>
        <v>12.865153605684872</v>
      </c>
    </row>
    <row r="1130" spans="17:17" x14ac:dyDescent="0.35">
      <c r="Q1130" s="71">
        <f>LN(Sales_Deals!G1127)</f>
        <v>12.439946421521091</v>
      </c>
    </row>
    <row r="1131" spans="17:17" x14ac:dyDescent="0.35">
      <c r="Q1131" s="71">
        <f>LN(Sales_Deals!G1128)</f>
        <v>12.288537033951064</v>
      </c>
    </row>
    <row r="1132" spans="17:17" x14ac:dyDescent="0.35">
      <c r="Q1132" s="71">
        <f>LN(Sales_Deals!G1129)</f>
        <v>13.0728768708448</v>
      </c>
    </row>
    <row r="1133" spans="17:17" x14ac:dyDescent="0.35">
      <c r="Q1133" s="71">
        <f>LN(Sales_Deals!G1130)</f>
        <v>10.936672035881783</v>
      </c>
    </row>
    <row r="1134" spans="17:17" x14ac:dyDescent="0.35">
      <c r="Q1134" s="71">
        <f>LN(Sales_Deals!G1131)</f>
        <v>12.35111194248897</v>
      </c>
    </row>
    <row r="1135" spans="17:17" x14ac:dyDescent="0.35">
      <c r="Q1135" s="71">
        <f>LN(Sales_Deals!G1132)</f>
        <v>13.083857448731743</v>
      </c>
    </row>
    <row r="1136" spans="17:17" x14ac:dyDescent="0.35">
      <c r="Q1136" s="71">
        <f>LN(Sales_Deals!G1133)</f>
        <v>11.903689709625354</v>
      </c>
    </row>
    <row r="1137" spans="17:17" x14ac:dyDescent="0.35">
      <c r="Q1137" s="71">
        <f>LN(Sales_Deals!G1134)</f>
        <v>12.707120623532068</v>
      </c>
    </row>
    <row r="1138" spans="17:17" x14ac:dyDescent="0.35">
      <c r="Q1138" s="71">
        <f>LN(Sales_Deals!G1135)</f>
        <v>12.678058683504622</v>
      </c>
    </row>
    <row r="1139" spans="17:17" x14ac:dyDescent="0.35">
      <c r="Q1139" s="71">
        <f>LN(Sales_Deals!G1136)</f>
        <v>12.97569000603286</v>
      </c>
    </row>
    <row r="1140" spans="17:17" x14ac:dyDescent="0.35">
      <c r="Q1140" s="71">
        <f>LN(Sales_Deals!G1137)</f>
        <v>11.667635988056</v>
      </c>
    </row>
    <row r="1141" spans="17:17" x14ac:dyDescent="0.35">
      <c r="Q1141" s="71">
        <f>LN(Sales_Deals!G1138)</f>
        <v>12.478219671594829</v>
      </c>
    </row>
    <row r="1142" spans="17:17" x14ac:dyDescent="0.35">
      <c r="Q1142" s="71">
        <f>LN(Sales_Deals!G1139)</f>
        <v>11.490751428103692</v>
      </c>
    </row>
    <row r="1143" spans="17:17" x14ac:dyDescent="0.35">
      <c r="Q1143" s="71">
        <f>LN(Sales_Deals!G1140)</f>
        <v>13.068692522015162</v>
      </c>
    </row>
    <row r="1144" spans="17:17" x14ac:dyDescent="0.35">
      <c r="Q1144" s="71">
        <f>LN(Sales_Deals!G1141)</f>
        <v>13.065301900042359</v>
      </c>
    </row>
    <row r="1145" spans="17:17" x14ac:dyDescent="0.35">
      <c r="Q1145" s="71">
        <f>LN(Sales_Deals!G1142)</f>
        <v>12.832120696056664</v>
      </c>
    </row>
    <row r="1146" spans="17:17" x14ac:dyDescent="0.35">
      <c r="Q1146" s="71">
        <f>LN(Sales_Deals!G1143)</f>
        <v>12.945802794288912</v>
      </c>
    </row>
    <row r="1147" spans="17:17" x14ac:dyDescent="0.35">
      <c r="Q1147" s="71">
        <f>LN(Sales_Deals!G1144)</f>
        <v>11.846063578145378</v>
      </c>
    </row>
    <row r="1148" spans="17:17" x14ac:dyDescent="0.35">
      <c r="Q1148" s="71">
        <f>LN(Sales_Deals!G1145)</f>
        <v>12.168282508614574</v>
      </c>
    </row>
    <row r="1149" spans="17:17" x14ac:dyDescent="0.35">
      <c r="Q1149" s="71">
        <f>LN(Sales_Deals!G1146)</f>
        <v>12.195405958154931</v>
      </c>
    </row>
    <row r="1150" spans="17:17" x14ac:dyDescent="0.35">
      <c r="Q1150" s="71">
        <f>LN(Sales_Deals!G1147)</f>
        <v>12.353496464965042</v>
      </c>
    </row>
    <row r="1151" spans="17:17" x14ac:dyDescent="0.35">
      <c r="Q1151" s="71">
        <f>LN(Sales_Deals!G1148)</f>
        <v>14.131997993553822</v>
      </c>
    </row>
    <row r="1152" spans="17:17" x14ac:dyDescent="0.35">
      <c r="Q1152" s="71">
        <f>LN(Sales_Deals!G1149)</f>
        <v>12.786322647670627</v>
      </c>
    </row>
    <row r="1153" spans="17:17" x14ac:dyDescent="0.35">
      <c r="Q1153" s="71">
        <f>LN(Sales_Deals!G1150)</f>
        <v>12.244918288353372</v>
      </c>
    </row>
    <row r="1154" spans="17:17" x14ac:dyDescent="0.35">
      <c r="Q1154" s="71">
        <f>LN(Sales_Deals!G1151)</f>
        <v>11.40911929624464</v>
      </c>
    </row>
    <row r="1155" spans="17:17" x14ac:dyDescent="0.35">
      <c r="Q1155" s="71">
        <f>LN(Sales_Deals!G1152)</f>
        <v>12.783112885002133</v>
      </c>
    </row>
    <row r="1156" spans="17:17" x14ac:dyDescent="0.35">
      <c r="Q1156" s="71">
        <f>LN(Sales_Deals!G1153)</f>
        <v>12.90679357272667</v>
      </c>
    </row>
    <row r="1157" spans="17:17" x14ac:dyDescent="0.35">
      <c r="Q1157" s="71">
        <f>LN(Sales_Deals!G1154)</f>
        <v>11.883985446354215</v>
      </c>
    </row>
    <row r="1158" spans="17:17" x14ac:dyDescent="0.35">
      <c r="Q1158" s="71">
        <f>LN(Sales_Deals!G1155)</f>
        <v>12.288002801620987</v>
      </c>
    </row>
    <row r="1159" spans="17:17" x14ac:dyDescent="0.35">
      <c r="Q1159" s="71">
        <f>LN(Sales_Deals!G1156)</f>
        <v>11.372904489048777</v>
      </c>
    </row>
    <row r="1160" spans="17:17" x14ac:dyDescent="0.35">
      <c r="Q1160" s="71">
        <f>LN(Sales_Deals!G1157)</f>
        <v>11.691431418265449</v>
      </c>
    </row>
    <row r="1161" spans="17:17" x14ac:dyDescent="0.35">
      <c r="Q1161" s="71">
        <f>LN(Sales_Deals!G1158)</f>
        <v>12.871776684259961</v>
      </c>
    </row>
    <row r="1162" spans="17:17" x14ac:dyDescent="0.35">
      <c r="Q1162" s="71">
        <f>LN(Sales_Deals!G1159)</f>
        <v>11.502673088505878</v>
      </c>
    </row>
    <row r="1163" spans="17:17" x14ac:dyDescent="0.35">
      <c r="Q1163" s="71">
        <f>LN(Sales_Deals!G1160)</f>
        <v>12.569012921223337</v>
      </c>
    </row>
    <row r="1164" spans="17:17" x14ac:dyDescent="0.35">
      <c r="Q1164" s="71">
        <f>LN(Sales_Deals!G1161)</f>
        <v>13.035416725592707</v>
      </c>
    </row>
    <row r="1165" spans="17:17" x14ac:dyDescent="0.35">
      <c r="Q1165" s="71">
        <f>LN(Sales_Deals!G1162)</f>
        <v>12.256699217707858</v>
      </c>
    </row>
    <row r="1166" spans="17:17" x14ac:dyDescent="0.35">
      <c r="Q1166" s="71">
        <f>LN(Sales_Deals!G1163)</f>
        <v>12.693676724155303</v>
      </c>
    </row>
    <row r="1167" spans="17:17" x14ac:dyDescent="0.35">
      <c r="Q1167" s="71">
        <f>LN(Sales_Deals!G1164)</f>
        <v>12.197864046980285</v>
      </c>
    </row>
    <row r="1168" spans="17:17" x14ac:dyDescent="0.35">
      <c r="Q1168" s="71">
        <f>LN(Sales_Deals!G1165)</f>
        <v>12.504687239595146</v>
      </c>
    </row>
    <row r="1169" spans="17:17" x14ac:dyDescent="0.35">
      <c r="Q1169" s="71">
        <f>LN(Sales_Deals!G1166)</f>
        <v>10.408647154675492</v>
      </c>
    </row>
    <row r="1170" spans="17:17" x14ac:dyDescent="0.35">
      <c r="Q1170" s="71">
        <f>LN(Sales_Deals!G1167)</f>
        <v>13.111524852223335</v>
      </c>
    </row>
    <row r="1171" spans="17:17" x14ac:dyDescent="0.35">
      <c r="Q1171" s="71">
        <f>LN(Sales_Deals!G1168)</f>
        <v>12.662978370506732</v>
      </c>
    </row>
    <row r="1172" spans="17:17" x14ac:dyDescent="0.35">
      <c r="Q1172" s="71">
        <f>LN(Sales_Deals!G1169)</f>
        <v>12.964452637402477</v>
      </c>
    </row>
    <row r="1173" spans="17:17" x14ac:dyDescent="0.35">
      <c r="Q1173" s="71">
        <f>LN(Sales_Deals!G1170)</f>
        <v>12.5565464017872</v>
      </c>
    </row>
    <row r="1174" spans="17:17" x14ac:dyDescent="0.35">
      <c r="Q1174" s="71">
        <f>LN(Sales_Deals!G1171)</f>
        <v>13.100297711366517</v>
      </c>
    </row>
    <row r="1175" spans="17:17" x14ac:dyDescent="0.35">
      <c r="Q1175" s="71">
        <f>LN(Sales_Deals!G1172)</f>
        <v>12.360320463496514</v>
      </c>
    </row>
    <row r="1176" spans="17:17" x14ac:dyDescent="0.35">
      <c r="Q1176" s="71">
        <f>LN(Sales_Deals!G1173)</f>
        <v>12.561738080085732</v>
      </c>
    </row>
    <row r="1177" spans="17:17" x14ac:dyDescent="0.35">
      <c r="Q1177" s="71">
        <f>LN(Sales_Deals!G1174)</f>
        <v>12.434665323350965</v>
      </c>
    </row>
    <row r="1178" spans="17:17" x14ac:dyDescent="0.35">
      <c r="Q1178" s="71">
        <f>LN(Sales_Deals!G1175)</f>
        <v>12.192293142746795</v>
      </c>
    </row>
    <row r="1179" spans="17:17" x14ac:dyDescent="0.35">
      <c r="Q1179" s="71">
        <f>LN(Sales_Deals!G1176)</f>
        <v>9.6139370690243204</v>
      </c>
    </row>
    <row r="1180" spans="17:17" x14ac:dyDescent="0.35">
      <c r="Q1180" s="71">
        <f>LN(Sales_Deals!G1177)</f>
        <v>12.911304017256994</v>
      </c>
    </row>
    <row r="1181" spans="17:17" x14ac:dyDescent="0.35">
      <c r="Q1181" s="71">
        <f>LN(Sales_Deals!G1178)</f>
        <v>11.80188671892039</v>
      </c>
    </row>
    <row r="1182" spans="17:17" x14ac:dyDescent="0.35">
      <c r="Q1182" s="71">
        <f>LN(Sales_Deals!G1179)</f>
        <v>12.649266970448345</v>
      </c>
    </row>
    <row r="1183" spans="17:17" x14ac:dyDescent="0.35">
      <c r="Q1183" s="71">
        <f>LN(Sales_Deals!G1180)</f>
        <v>13.121340854806235</v>
      </c>
    </row>
    <row r="1184" spans="17:17" x14ac:dyDescent="0.35">
      <c r="Q1184" s="71">
        <f>LN(Sales_Deals!G1181)</f>
        <v>11.151711664560553</v>
      </c>
    </row>
    <row r="1185" spans="17:17" x14ac:dyDescent="0.35">
      <c r="Q1185" s="71">
        <f>LN(Sales_Deals!G1182)</f>
        <v>10.522342128514218</v>
      </c>
    </row>
    <row r="1186" spans="17:17" x14ac:dyDescent="0.35">
      <c r="Q1186" s="71">
        <f>LN(Sales_Deals!G1183)</f>
        <v>12.312561024910522</v>
      </c>
    </row>
    <row r="1187" spans="17:17" x14ac:dyDescent="0.35">
      <c r="Q1187" s="71">
        <f>LN(Sales_Deals!G1184)</f>
        <v>10.989504181217818</v>
      </c>
    </row>
    <row r="1188" spans="17:17" x14ac:dyDescent="0.35">
      <c r="Q1188" s="71">
        <f>LN(Sales_Deals!G1185)</f>
        <v>13.076943328013265</v>
      </c>
    </row>
    <row r="1189" spans="17:17" x14ac:dyDescent="0.35">
      <c r="Q1189" s="71">
        <f>LN(Sales_Deals!G1186)</f>
        <v>12.583145137803681</v>
      </c>
    </row>
    <row r="1190" spans="17:17" x14ac:dyDescent="0.35">
      <c r="Q1190" s="71">
        <f>LN(Sales_Deals!G1187)</f>
        <v>12.545871485722238</v>
      </c>
    </row>
    <row r="1191" spans="17:17" x14ac:dyDescent="0.35">
      <c r="Q1191" s="71">
        <f>LN(Sales_Deals!G1188)</f>
        <v>10.905221766227751</v>
      </c>
    </row>
    <row r="1192" spans="17:17" x14ac:dyDescent="0.35">
      <c r="Q1192" s="71">
        <f>LN(Sales_Deals!G1189)</f>
        <v>12.529792486321208</v>
      </c>
    </row>
    <row r="1193" spans="17:17" x14ac:dyDescent="0.35">
      <c r="Q1193" s="71">
        <f>LN(Sales_Deals!G1190)</f>
        <v>12.921243025306229</v>
      </c>
    </row>
    <row r="1194" spans="17:17" x14ac:dyDescent="0.35">
      <c r="Q1194" s="71">
        <f>LN(Sales_Deals!G1191)</f>
        <v>11.507812415583405</v>
      </c>
    </row>
    <row r="1195" spans="17:17" x14ac:dyDescent="0.35">
      <c r="Q1195" s="71">
        <f>LN(Sales_Deals!G1192)</f>
        <v>12.798755637169792</v>
      </c>
    </row>
    <row r="1196" spans="17:17" x14ac:dyDescent="0.35">
      <c r="Q1196" s="71">
        <f>LN(Sales_Deals!G1193)</f>
        <v>12.39430586065459</v>
      </c>
    </row>
    <row r="1197" spans="17:17" x14ac:dyDescent="0.35">
      <c r="Q1197" s="71">
        <f>LN(Sales_Deals!G1194)</f>
        <v>12.023417032945796</v>
      </c>
    </row>
    <row r="1198" spans="17:17" x14ac:dyDescent="0.35">
      <c r="Q1198" s="71">
        <f>LN(Sales_Deals!G1195)</f>
        <v>12.747204365059872</v>
      </c>
    </row>
    <row r="1199" spans="17:17" x14ac:dyDescent="0.35">
      <c r="Q1199" s="71">
        <f>LN(Sales_Deals!G1196)</f>
        <v>12.107687743608773</v>
      </c>
    </row>
    <row r="1200" spans="17:17" x14ac:dyDescent="0.35">
      <c r="Q1200" s="71">
        <f>LN(Sales_Deals!G1197)</f>
        <v>12.712971569893107</v>
      </c>
    </row>
    <row r="1201" spans="17:17" x14ac:dyDescent="0.35">
      <c r="Q1201" s="71">
        <f>LN(Sales_Deals!G1198)</f>
        <v>9.8555045625139766</v>
      </c>
    </row>
    <row r="1202" spans="17:17" x14ac:dyDescent="0.35">
      <c r="Q1202" s="71">
        <f>LN(Sales_Deals!G1199)</f>
        <v>12.763775175783394</v>
      </c>
    </row>
    <row r="1203" spans="17:17" x14ac:dyDescent="0.35">
      <c r="Q1203" s="71">
        <f>LN(Sales_Deals!G1200)</f>
        <v>13.057812056184837</v>
      </c>
    </row>
    <row r="1204" spans="17:17" x14ac:dyDescent="0.35">
      <c r="Q1204" s="71">
        <f>LN(Sales_Deals!G1201)</f>
        <v>11.618293980596055</v>
      </c>
    </row>
    <row r="1205" spans="17:17" x14ac:dyDescent="0.35">
      <c r="Q1205" s="71">
        <f>LN(Sales_Deals!G1202)</f>
        <v>12.735797547518933</v>
      </c>
    </row>
    <row r="1206" spans="17:17" x14ac:dyDescent="0.35">
      <c r="Q1206" s="71">
        <f>LN(Sales_Deals!G1203)</f>
        <v>12.51078512386781</v>
      </c>
    </row>
    <row r="1207" spans="17:17" x14ac:dyDescent="0.35">
      <c r="Q1207" s="71">
        <f>LN(Sales_Deals!G1204)</f>
        <v>13.040830059322895</v>
      </c>
    </row>
    <row r="1208" spans="17:17" x14ac:dyDescent="0.35">
      <c r="Q1208" s="71">
        <f>LN(Sales_Deals!G1205)</f>
        <v>12.679417561455246</v>
      </c>
    </row>
    <row r="1209" spans="17:17" x14ac:dyDescent="0.35">
      <c r="Q1209" s="71">
        <f>LN(Sales_Deals!G1206)</f>
        <v>12.83669261424658</v>
      </c>
    </row>
    <row r="1210" spans="17:17" x14ac:dyDescent="0.35">
      <c r="Q1210" s="71">
        <f>LN(Sales_Deals!G1207)</f>
        <v>12.960514811398026</v>
      </c>
    </row>
    <row r="1211" spans="17:17" x14ac:dyDescent="0.35">
      <c r="Q1211" s="71">
        <f>LN(Sales_Deals!G1208)</f>
        <v>11.979441770565154</v>
      </c>
    </row>
    <row r="1212" spans="17:17" x14ac:dyDescent="0.35">
      <c r="Q1212" s="71">
        <f>LN(Sales_Deals!G1209)</f>
        <v>12.776597286402108</v>
      </c>
    </row>
    <row r="1213" spans="17:17" x14ac:dyDescent="0.35">
      <c r="Q1213" s="71">
        <f>LN(Sales_Deals!G1210)</f>
        <v>12.384218830913648</v>
      </c>
    </row>
    <row r="1214" spans="17:17" x14ac:dyDescent="0.35">
      <c r="Q1214" s="71">
        <f>LN(Sales_Deals!G1211)</f>
        <v>12.949518375883278</v>
      </c>
    </row>
    <row r="1215" spans="17:17" x14ac:dyDescent="0.35">
      <c r="Q1215" s="71">
        <f>LN(Sales_Deals!G1212)</f>
        <v>10.719935849436363</v>
      </c>
    </row>
    <row r="1216" spans="17:17" x14ac:dyDescent="0.35">
      <c r="Q1216" s="71">
        <f>LN(Sales_Deals!G1213)</f>
        <v>12.081291429632744</v>
      </c>
    </row>
    <row r="1217" spans="17:17" x14ac:dyDescent="0.35">
      <c r="Q1217" s="71">
        <f>LN(Sales_Deals!G1214)</f>
        <v>12.691611230069281</v>
      </c>
    </row>
    <row r="1218" spans="17:17" x14ac:dyDescent="0.35">
      <c r="Q1218" s="71">
        <f>LN(Sales_Deals!G1215)</f>
        <v>12.943219964955187</v>
      </c>
    </row>
    <row r="1219" spans="17:17" x14ac:dyDescent="0.35">
      <c r="Q1219" s="71">
        <f>LN(Sales_Deals!G1216)</f>
        <v>12.873132491326801</v>
      </c>
    </row>
    <row r="1220" spans="17:17" x14ac:dyDescent="0.35">
      <c r="Q1220" s="71">
        <f>LN(Sales_Deals!G1217)</f>
        <v>11.003165939386236</v>
      </c>
    </row>
    <row r="1221" spans="17:17" x14ac:dyDescent="0.35">
      <c r="Q1221" s="71">
        <f>LN(Sales_Deals!G1218)</f>
        <v>11.466609238092806</v>
      </c>
    </row>
    <row r="1222" spans="17:17" x14ac:dyDescent="0.35">
      <c r="Q1222" s="71">
        <f>LN(Sales_Deals!G1219)</f>
        <v>12.291309532376346</v>
      </c>
    </row>
    <row r="1223" spans="17:17" x14ac:dyDescent="0.35">
      <c r="Q1223" s="71">
        <f>LN(Sales_Deals!G1220)</f>
        <v>12.757748423419935</v>
      </c>
    </row>
    <row r="1224" spans="17:17" x14ac:dyDescent="0.35">
      <c r="Q1224" s="71">
        <f>LN(Sales_Deals!G1221)</f>
        <v>11.673546594784844</v>
      </c>
    </row>
    <row r="1225" spans="17:17" x14ac:dyDescent="0.35">
      <c r="Q1225" s="71">
        <f>LN(Sales_Deals!G1222)</f>
        <v>12.748879378101334</v>
      </c>
    </row>
    <row r="1226" spans="17:17" x14ac:dyDescent="0.35">
      <c r="Q1226" s="71">
        <f>LN(Sales_Deals!G1223)</f>
        <v>11.538710163943955</v>
      </c>
    </row>
    <row r="1227" spans="17:17" x14ac:dyDescent="0.35">
      <c r="Q1227" s="71">
        <f>LN(Sales_Deals!G1224)</f>
        <v>11.560038032284421</v>
      </c>
    </row>
    <row r="1228" spans="17:17" x14ac:dyDescent="0.35">
      <c r="Q1228" s="71">
        <f>LN(Sales_Deals!G1225)</f>
        <v>11.027345146560275</v>
      </c>
    </row>
    <row r="1229" spans="17:17" x14ac:dyDescent="0.35">
      <c r="Q1229" s="71">
        <f>LN(Sales_Deals!G1226)</f>
        <v>12.244374667585218</v>
      </c>
    </row>
    <row r="1230" spans="17:17" x14ac:dyDescent="0.35">
      <c r="Q1230" s="71">
        <f>LN(Sales_Deals!G1227)</f>
        <v>12.255748131971879</v>
      </c>
    </row>
    <row r="1231" spans="17:17" x14ac:dyDescent="0.35">
      <c r="Q1231" s="71">
        <f>LN(Sales_Deals!G1228)</f>
        <v>11.406586693198102</v>
      </c>
    </row>
    <row r="1232" spans="17:17" x14ac:dyDescent="0.35">
      <c r="Q1232" s="71">
        <f>LN(Sales_Deals!G1229)</f>
        <v>11.478095896613343</v>
      </c>
    </row>
    <row r="1233" spans="17:17" x14ac:dyDescent="0.35">
      <c r="Q1233" s="71">
        <f>LN(Sales_Deals!G1230)</f>
        <v>12.721691762130231</v>
      </c>
    </row>
    <row r="1234" spans="17:17" x14ac:dyDescent="0.35">
      <c r="Q1234" s="71">
        <f>LN(Sales_Deals!G1231)</f>
        <v>12.848676250593114</v>
      </c>
    </row>
    <row r="1235" spans="17:17" x14ac:dyDescent="0.35">
      <c r="Q1235" s="71">
        <f>LN(Sales_Deals!G1232)</f>
        <v>12.993147232121478</v>
      </c>
    </row>
    <row r="1236" spans="17:17" x14ac:dyDescent="0.35">
      <c r="Q1236" s="71">
        <f>LN(Sales_Deals!G1233)</f>
        <v>13.076840768955378</v>
      </c>
    </row>
    <row r="1237" spans="17:17" x14ac:dyDescent="0.35">
      <c r="Q1237" s="71">
        <f>LN(Sales_Deals!G1234)</f>
        <v>13.697190878340271</v>
      </c>
    </row>
    <row r="1238" spans="17:17" x14ac:dyDescent="0.35">
      <c r="Q1238" s="71">
        <f>LN(Sales_Deals!G1235)</f>
        <v>11.696504564059651</v>
      </c>
    </row>
    <row r="1239" spans="17:17" x14ac:dyDescent="0.35">
      <c r="Q1239" s="71">
        <f>LN(Sales_Deals!G1236)</f>
        <v>11.702578414639984</v>
      </c>
    </row>
    <row r="1240" spans="17:17" x14ac:dyDescent="0.35">
      <c r="Q1240" s="71">
        <f>LN(Sales_Deals!G1237)</f>
        <v>13.013944857480581</v>
      </c>
    </row>
    <row r="1241" spans="17:17" x14ac:dyDescent="0.35">
      <c r="Q1241" s="71">
        <f>LN(Sales_Deals!G1238)</f>
        <v>12.65636770555613</v>
      </c>
    </row>
    <row r="1242" spans="17:17" x14ac:dyDescent="0.35">
      <c r="Q1242" s="71">
        <f>LN(Sales_Deals!G1239)</f>
        <v>12.672971459822431</v>
      </c>
    </row>
    <row r="1243" spans="17:17" x14ac:dyDescent="0.35">
      <c r="Q1243" s="71">
        <f>LN(Sales_Deals!G1240)</f>
        <v>11.860987423410721</v>
      </c>
    </row>
    <row r="1244" spans="17:17" x14ac:dyDescent="0.35">
      <c r="Q1244" s="71">
        <f>LN(Sales_Deals!G1241)</f>
        <v>12.539719465847865</v>
      </c>
    </row>
    <row r="1245" spans="17:17" x14ac:dyDescent="0.35">
      <c r="Q1245" s="71">
        <f>LN(Sales_Deals!G1242)</f>
        <v>12.637358185286189</v>
      </c>
    </row>
    <row r="1246" spans="17:17" x14ac:dyDescent="0.35">
      <c r="Q1246" s="71">
        <f>LN(Sales_Deals!G1243)</f>
        <v>10.168080101762877</v>
      </c>
    </row>
    <row r="1247" spans="17:17" x14ac:dyDescent="0.35">
      <c r="Q1247" s="71">
        <f>LN(Sales_Deals!G1244)</f>
        <v>12.759555378962144</v>
      </c>
    </row>
    <row r="1248" spans="17:17" x14ac:dyDescent="0.35">
      <c r="Q1248" s="71">
        <f>LN(Sales_Deals!G1245)</f>
        <v>13.08418579999573</v>
      </c>
    </row>
    <row r="1249" spans="17:17" x14ac:dyDescent="0.35">
      <c r="Q1249" s="71">
        <f>LN(Sales_Deals!G1246)</f>
        <v>12.291727269212808</v>
      </c>
    </row>
    <row r="1250" spans="17:17" x14ac:dyDescent="0.35">
      <c r="Q1250" s="71">
        <f>LN(Sales_Deals!G1247)</f>
        <v>12.694683334725006</v>
      </c>
    </row>
    <row r="1251" spans="17:17" x14ac:dyDescent="0.35">
      <c r="Q1251" s="71">
        <f>LN(Sales_Deals!G1248)</f>
        <v>12.464216478029005</v>
      </c>
    </row>
    <row r="1252" spans="17:17" x14ac:dyDescent="0.35">
      <c r="Q1252" s="71">
        <f>LN(Sales_Deals!G1249)</f>
        <v>12.692752082388084</v>
      </c>
    </row>
    <row r="1253" spans="17:17" x14ac:dyDescent="0.35">
      <c r="Q1253" s="71">
        <f>LN(Sales_Deals!G1250)</f>
        <v>12.843157282153578</v>
      </c>
    </row>
    <row r="1254" spans="17:17" x14ac:dyDescent="0.35">
      <c r="Q1254" s="71">
        <f>LN(Sales_Deals!G1251)</f>
        <v>12.7674354779229</v>
      </c>
    </row>
    <row r="1255" spans="17:17" x14ac:dyDescent="0.35">
      <c r="Q1255" s="71">
        <f>LN(Sales_Deals!G1252)</f>
        <v>12.808901167888415</v>
      </c>
    </row>
    <row r="1256" spans="17:17" x14ac:dyDescent="0.35">
      <c r="Q1256" s="71">
        <f>LN(Sales_Deals!G1253)</f>
        <v>12.771741505178674</v>
      </c>
    </row>
    <row r="1257" spans="17:17" x14ac:dyDescent="0.35">
      <c r="Q1257" s="71">
        <f>LN(Sales_Deals!G1254)</f>
        <v>12.334967053941266</v>
      </c>
    </row>
    <row r="1258" spans="17:17" x14ac:dyDescent="0.35">
      <c r="Q1258" s="71">
        <f>LN(Sales_Deals!G1255)</f>
        <v>12.538246371061499</v>
      </c>
    </row>
    <row r="1259" spans="17:17" x14ac:dyDescent="0.35">
      <c r="Q1259" s="71">
        <f>LN(Sales_Deals!G1256)</f>
        <v>12.802648351187452</v>
      </c>
    </row>
    <row r="1260" spans="17:17" x14ac:dyDescent="0.35">
      <c r="Q1260" s="71">
        <f>LN(Sales_Deals!G1257)</f>
        <v>10.891447571100644</v>
      </c>
    </row>
    <row r="1261" spans="17:17" x14ac:dyDescent="0.35">
      <c r="Q1261" s="71">
        <f>LN(Sales_Deals!G1258)</f>
        <v>12.775667052461792</v>
      </c>
    </row>
    <row r="1262" spans="17:17" x14ac:dyDescent="0.35">
      <c r="Q1262" s="71">
        <f>LN(Sales_Deals!G1259)</f>
        <v>10.04615830370029</v>
      </c>
    </row>
    <row r="1263" spans="17:17" x14ac:dyDescent="0.35">
      <c r="Q1263" s="71">
        <f>LN(Sales_Deals!G1260)</f>
        <v>11.898044998412963</v>
      </c>
    </row>
    <row r="1264" spans="17:17" x14ac:dyDescent="0.35">
      <c r="Q1264" s="71">
        <f>LN(Sales_Deals!G1261)</f>
        <v>13.043196785828977</v>
      </c>
    </row>
    <row r="1265" spans="17:17" x14ac:dyDescent="0.35">
      <c r="Q1265" s="71">
        <f>LN(Sales_Deals!G1262)</f>
        <v>12.825635178516661</v>
      </c>
    </row>
    <row r="1266" spans="17:17" x14ac:dyDescent="0.35">
      <c r="Q1266" s="71">
        <f>LN(Sales_Deals!G1263)</f>
        <v>9.8248771519542171</v>
      </c>
    </row>
    <row r="1267" spans="17:17" x14ac:dyDescent="0.35">
      <c r="Q1267" s="71">
        <f>LN(Sales_Deals!G1264)</f>
        <v>12.695682804414828</v>
      </c>
    </row>
    <row r="1268" spans="17:17" x14ac:dyDescent="0.35">
      <c r="Q1268" s="71">
        <f>LN(Sales_Deals!G1265)</f>
        <v>9.7875715229387854</v>
      </c>
    </row>
    <row r="1269" spans="17:17" x14ac:dyDescent="0.35">
      <c r="Q1269" s="71">
        <f>LN(Sales_Deals!G1266)</f>
        <v>12.338503432710663</v>
      </c>
    </row>
    <row r="1270" spans="17:17" x14ac:dyDescent="0.35">
      <c r="Q1270" s="71">
        <f>LN(Sales_Deals!G1267)</f>
        <v>13.039386034564812</v>
      </c>
    </row>
    <row r="1271" spans="17:17" x14ac:dyDescent="0.35">
      <c r="Q1271" s="71">
        <f>LN(Sales_Deals!G1268)</f>
        <v>12.521273820089556</v>
      </c>
    </row>
    <row r="1272" spans="17:17" x14ac:dyDescent="0.35">
      <c r="Q1272" s="71">
        <f>LN(Sales_Deals!G1269)</f>
        <v>12.773599912165468</v>
      </c>
    </row>
    <row r="1273" spans="17:17" x14ac:dyDescent="0.35">
      <c r="Q1273" s="71">
        <f>LN(Sales_Deals!G1270)</f>
        <v>12.130357228282396</v>
      </c>
    </row>
    <row r="1274" spans="17:17" x14ac:dyDescent="0.35">
      <c r="Q1274" s="71">
        <f>LN(Sales_Deals!G1271)</f>
        <v>12.380752579352782</v>
      </c>
    </row>
    <row r="1275" spans="17:17" x14ac:dyDescent="0.35">
      <c r="Q1275" s="71">
        <f>LN(Sales_Deals!G1272)</f>
        <v>12.1806112374923</v>
      </c>
    </row>
    <row r="1276" spans="17:17" x14ac:dyDescent="0.35">
      <c r="Q1276" s="71">
        <f>LN(Sales_Deals!G1273)</f>
        <v>12.885338930678911</v>
      </c>
    </row>
    <row r="1277" spans="17:17" x14ac:dyDescent="0.35">
      <c r="Q1277" s="71">
        <f>LN(Sales_Deals!G1274)</f>
        <v>11.535928846735192</v>
      </c>
    </row>
    <row r="1278" spans="17:17" x14ac:dyDescent="0.35">
      <c r="Q1278" s="71">
        <f>LN(Sales_Deals!G1275)</f>
        <v>12.998141657838898</v>
      </c>
    </row>
    <row r="1279" spans="17:17" x14ac:dyDescent="0.35">
      <c r="Q1279" s="71">
        <f>LN(Sales_Deals!G1276)</f>
        <v>13.102456544678953</v>
      </c>
    </row>
    <row r="1280" spans="17:17" x14ac:dyDescent="0.35">
      <c r="Q1280" s="71">
        <f>LN(Sales_Deals!G1277)</f>
        <v>12.763033483631805</v>
      </c>
    </row>
    <row r="1281" spans="17:17" x14ac:dyDescent="0.35">
      <c r="Q1281" s="71">
        <f>LN(Sales_Deals!G1278)</f>
        <v>13.019601704050739</v>
      </c>
    </row>
    <row r="1282" spans="17:17" x14ac:dyDescent="0.35">
      <c r="Q1282" s="71">
        <f>LN(Sales_Deals!G1279)</f>
        <v>11.071796909131109</v>
      </c>
    </row>
    <row r="1283" spans="17:17" x14ac:dyDescent="0.35">
      <c r="Q1283" s="71">
        <f>LN(Sales_Deals!G1280)</f>
        <v>12.908429783924911</v>
      </c>
    </row>
    <row r="1284" spans="17:17" x14ac:dyDescent="0.35">
      <c r="Q1284" s="71">
        <f>LN(Sales_Deals!G1281)</f>
        <v>11.887298863200714</v>
      </c>
    </row>
    <row r="1285" spans="17:17" x14ac:dyDescent="0.35">
      <c r="Q1285" s="71">
        <f>LN(Sales_Deals!G1282)</f>
        <v>13.059681265405873</v>
      </c>
    </row>
    <row r="1286" spans="17:17" x14ac:dyDescent="0.35">
      <c r="Q1286" s="71">
        <f>LN(Sales_Deals!G1283)</f>
        <v>11.242533061055408</v>
      </c>
    </row>
    <row r="1287" spans="17:17" x14ac:dyDescent="0.35">
      <c r="Q1287" s="71">
        <f>LN(Sales_Deals!G1284)</f>
        <v>11.313205428599607</v>
      </c>
    </row>
    <row r="1288" spans="17:17" x14ac:dyDescent="0.35">
      <c r="Q1288" s="71">
        <f>LN(Sales_Deals!G1285)</f>
        <v>12.728953314376676</v>
      </c>
    </row>
    <row r="1289" spans="17:17" x14ac:dyDescent="0.35">
      <c r="Q1289" s="71">
        <f>LN(Sales_Deals!G1286)</f>
        <v>12.925306588353273</v>
      </c>
    </row>
    <row r="1290" spans="17:17" x14ac:dyDescent="0.35">
      <c r="Q1290" s="71">
        <f>LN(Sales_Deals!G1287)</f>
        <v>12.920335316694194</v>
      </c>
    </row>
    <row r="1291" spans="17:17" x14ac:dyDescent="0.35">
      <c r="Q1291" s="71">
        <f>LN(Sales_Deals!G1288)</f>
        <v>12.662126299749149</v>
      </c>
    </row>
    <row r="1292" spans="17:17" x14ac:dyDescent="0.35">
      <c r="Q1292" s="71">
        <f>LN(Sales_Deals!G1289)</f>
        <v>11.702429499240202</v>
      </c>
    </row>
    <row r="1293" spans="17:17" x14ac:dyDescent="0.35">
      <c r="Q1293" s="71">
        <f>LN(Sales_Deals!G1290)</f>
        <v>12.049798880217713</v>
      </c>
    </row>
    <row r="1294" spans="17:17" x14ac:dyDescent="0.35">
      <c r="Q1294" s="71">
        <f>LN(Sales_Deals!G1291)</f>
        <v>12.70791705869423</v>
      </c>
    </row>
    <row r="1295" spans="17:17" x14ac:dyDescent="0.35">
      <c r="Q1295" s="71">
        <f>LN(Sales_Deals!G1292)</f>
        <v>12.776916589701981</v>
      </c>
    </row>
    <row r="1296" spans="17:17" x14ac:dyDescent="0.35">
      <c r="Q1296" s="71">
        <f>LN(Sales_Deals!G1293)</f>
        <v>12.792747581579603</v>
      </c>
    </row>
    <row r="1297" spans="17:17" x14ac:dyDescent="0.35">
      <c r="Q1297" s="71">
        <f>LN(Sales_Deals!G1294)</f>
        <v>12.689698691893856</v>
      </c>
    </row>
    <row r="1298" spans="17:17" x14ac:dyDescent="0.35">
      <c r="Q1298" s="71">
        <f>LN(Sales_Deals!G1295)</f>
        <v>12.916303072946173</v>
      </c>
    </row>
    <row r="1299" spans="17:17" x14ac:dyDescent="0.35">
      <c r="Q1299" s="71">
        <f>LN(Sales_Deals!G1296)</f>
        <v>14.13403992258616</v>
      </c>
    </row>
    <row r="1300" spans="17:17" x14ac:dyDescent="0.35">
      <c r="Q1300" s="71">
        <f>LN(Sales_Deals!G1297)</f>
        <v>12.979298686956275</v>
      </c>
    </row>
    <row r="1301" spans="17:17" x14ac:dyDescent="0.35">
      <c r="Q1301" s="71">
        <f>LN(Sales_Deals!G1298)</f>
        <v>10.64974886874556</v>
      </c>
    </row>
    <row r="1302" spans="17:17" x14ac:dyDescent="0.35">
      <c r="Q1302" s="71">
        <f>LN(Sales_Deals!G1299)</f>
        <v>12.795843451832344</v>
      </c>
    </row>
    <row r="1303" spans="17:17" x14ac:dyDescent="0.35">
      <c r="Q1303" s="71">
        <f>LN(Sales_Deals!G1300)</f>
        <v>12.71654920838149</v>
      </c>
    </row>
    <row r="1304" spans="17:17" x14ac:dyDescent="0.35">
      <c r="Q1304" s="71">
        <f>LN(Sales_Deals!G1301)</f>
        <v>13.028312004969452</v>
      </c>
    </row>
    <row r="1305" spans="17:17" x14ac:dyDescent="0.35">
      <c r="Q1305" s="71">
        <f>LN(Sales_Deals!G1302)</f>
        <v>12.817719598416836</v>
      </c>
    </row>
    <row r="1306" spans="17:17" x14ac:dyDescent="0.35">
      <c r="Q1306" s="71">
        <f>LN(Sales_Deals!G1303)</f>
        <v>9.284055409798464</v>
      </c>
    </row>
    <row r="1307" spans="17:17" x14ac:dyDescent="0.35">
      <c r="Q1307" s="71">
        <f>LN(Sales_Deals!G1304)</f>
        <v>13.86286540684708</v>
      </c>
    </row>
    <row r="1308" spans="17:17" x14ac:dyDescent="0.35">
      <c r="Q1308" s="71">
        <f>LN(Sales_Deals!G1305)</f>
        <v>12.317081678236423</v>
      </c>
    </row>
    <row r="1309" spans="17:17" x14ac:dyDescent="0.35">
      <c r="Q1309" s="71">
        <f>LN(Sales_Deals!G1306)</f>
        <v>12.107500150156337</v>
      </c>
    </row>
    <row r="1310" spans="17:17" x14ac:dyDescent="0.35">
      <c r="Q1310" s="71">
        <f>LN(Sales_Deals!G1307)</f>
        <v>10.927896992755031</v>
      </c>
    </row>
    <row r="1311" spans="17:17" x14ac:dyDescent="0.35">
      <c r="Q1311" s="71">
        <f>LN(Sales_Deals!G1308)</f>
        <v>11.511163914350568</v>
      </c>
    </row>
    <row r="1312" spans="17:17" x14ac:dyDescent="0.35">
      <c r="Q1312" s="71">
        <f>LN(Sales_Deals!G1309)</f>
        <v>13.10945036213263</v>
      </c>
    </row>
    <row r="1313" spans="17:17" x14ac:dyDescent="0.35">
      <c r="Q1313" s="71">
        <f>LN(Sales_Deals!G1310)</f>
        <v>11.964943315450487</v>
      </c>
    </row>
    <row r="1314" spans="17:17" x14ac:dyDescent="0.35">
      <c r="Q1314" s="71">
        <f>LN(Sales_Deals!G1311)</f>
        <v>12.750499375842727</v>
      </c>
    </row>
    <row r="1315" spans="17:17" x14ac:dyDescent="0.35">
      <c r="Q1315" s="71">
        <f>LN(Sales_Deals!G1312)</f>
        <v>9.2766897525177168</v>
      </c>
    </row>
    <row r="1316" spans="17:17" x14ac:dyDescent="0.35">
      <c r="Q1316" s="71">
        <f>LN(Sales_Deals!G1313)</f>
        <v>12.442641670506848</v>
      </c>
    </row>
    <row r="1317" spans="17:17" x14ac:dyDescent="0.35">
      <c r="Q1317" s="71">
        <f>LN(Sales_Deals!G1314)</f>
        <v>12.517615277194828</v>
      </c>
    </row>
    <row r="1318" spans="17:17" x14ac:dyDescent="0.35">
      <c r="Q1318" s="71">
        <f>LN(Sales_Deals!G1315)</f>
        <v>13.119790069285202</v>
      </c>
    </row>
    <row r="1319" spans="17:17" x14ac:dyDescent="0.35">
      <c r="Q1319" s="71">
        <f>LN(Sales_Deals!G1316)</f>
        <v>12.257801345115123</v>
      </c>
    </row>
    <row r="1320" spans="17:17" x14ac:dyDescent="0.35">
      <c r="Q1320" s="71">
        <f>LN(Sales_Deals!G1317)</f>
        <v>12.559616191756652</v>
      </c>
    </row>
    <row r="1321" spans="17:17" x14ac:dyDescent="0.35">
      <c r="Q1321" s="71">
        <f>LN(Sales_Deals!G1318)</f>
        <v>11.896165413819727</v>
      </c>
    </row>
    <row r="1322" spans="17:17" x14ac:dyDescent="0.35">
      <c r="Q1322" s="71">
        <f>LN(Sales_Deals!G1319)</f>
        <v>11.461537429252754</v>
      </c>
    </row>
    <row r="1323" spans="17:17" x14ac:dyDescent="0.35">
      <c r="Q1323" s="71">
        <f>LN(Sales_Deals!G1320)</f>
        <v>11.564340751916385</v>
      </c>
    </row>
    <row r="1324" spans="17:17" x14ac:dyDescent="0.35">
      <c r="Q1324" s="71">
        <f>LN(Sales_Deals!G1321)</f>
        <v>11.884144134349802</v>
      </c>
    </row>
    <row r="1325" spans="17:17" x14ac:dyDescent="0.35">
      <c r="Q1325" s="71">
        <f>LN(Sales_Deals!G1322)</f>
        <v>12.404452081697766</v>
      </c>
    </row>
    <row r="1326" spans="17:17" x14ac:dyDescent="0.35">
      <c r="Q1326" s="71">
        <f>LN(Sales_Deals!G1323)</f>
        <v>12.227016777924181</v>
      </c>
    </row>
    <row r="1327" spans="17:17" x14ac:dyDescent="0.35">
      <c r="Q1327" s="71">
        <f>LN(Sales_Deals!G1324)</f>
        <v>11.852029948473644</v>
      </c>
    </row>
    <row r="1328" spans="17:17" x14ac:dyDescent="0.35">
      <c r="Q1328" s="71">
        <f>LN(Sales_Deals!G1325)</f>
        <v>12.997246766701014</v>
      </c>
    </row>
    <row r="1329" spans="17:17" x14ac:dyDescent="0.35">
      <c r="Q1329" s="71">
        <f>LN(Sales_Deals!G1326)</f>
        <v>12.160510266453082</v>
      </c>
    </row>
    <row r="1330" spans="17:17" x14ac:dyDescent="0.35">
      <c r="Q1330" s="71">
        <f>LN(Sales_Deals!G1327)</f>
        <v>11.467603778670901</v>
      </c>
    </row>
    <row r="1331" spans="17:17" x14ac:dyDescent="0.35">
      <c r="Q1331" s="71">
        <f>LN(Sales_Deals!G1328)</f>
        <v>11.212684863271052</v>
      </c>
    </row>
    <row r="1332" spans="17:17" x14ac:dyDescent="0.35">
      <c r="Q1332" s="71">
        <f>LN(Sales_Deals!G1329)</f>
        <v>12.474827981980974</v>
      </c>
    </row>
    <row r="1333" spans="17:17" x14ac:dyDescent="0.35">
      <c r="Q1333" s="71">
        <f>LN(Sales_Deals!G1330)</f>
        <v>13.029273929947596</v>
      </c>
    </row>
    <row r="1334" spans="17:17" x14ac:dyDescent="0.35">
      <c r="Q1334" s="71">
        <f>LN(Sales_Deals!G1331)</f>
        <v>9.8385756283589849</v>
      </c>
    </row>
    <row r="1335" spans="17:17" x14ac:dyDescent="0.35">
      <c r="Q1335" s="71">
        <f>LN(Sales_Deals!G1332)</f>
        <v>9.5633184910706248</v>
      </c>
    </row>
    <row r="1336" spans="17:17" x14ac:dyDescent="0.35">
      <c r="Q1336" s="71">
        <f>LN(Sales_Deals!G1333)</f>
        <v>12.626951679690691</v>
      </c>
    </row>
    <row r="1337" spans="17:17" x14ac:dyDescent="0.35">
      <c r="Q1337" s="71">
        <f>LN(Sales_Deals!G1334)</f>
        <v>12.653424780809923</v>
      </c>
    </row>
    <row r="1338" spans="17:17" x14ac:dyDescent="0.35">
      <c r="Q1338" s="71">
        <f>LN(Sales_Deals!G1335)</f>
        <v>14.403626057683187</v>
      </c>
    </row>
    <row r="1339" spans="17:17" x14ac:dyDescent="0.35">
      <c r="Q1339" s="71">
        <f>LN(Sales_Deals!G1336)</f>
        <v>12.689109719233223</v>
      </c>
    </row>
    <row r="1340" spans="17:17" x14ac:dyDescent="0.35">
      <c r="Q1340" s="71">
        <f>LN(Sales_Deals!G1337)</f>
        <v>13.021258239215673</v>
      </c>
    </row>
    <row r="1341" spans="17:17" x14ac:dyDescent="0.35">
      <c r="Q1341" s="71">
        <f>LN(Sales_Deals!G1338)</f>
        <v>12.075063782935592</v>
      </c>
    </row>
    <row r="1342" spans="17:17" x14ac:dyDescent="0.35">
      <c r="Q1342" s="71">
        <f>LN(Sales_Deals!G1339)</f>
        <v>11.864455194968277</v>
      </c>
    </row>
    <row r="1343" spans="17:17" x14ac:dyDescent="0.35">
      <c r="Q1343" s="71">
        <f>LN(Sales_Deals!G1340)</f>
        <v>11.339559685218777</v>
      </c>
    </row>
    <row r="1344" spans="17:17" x14ac:dyDescent="0.35">
      <c r="Q1344" s="71">
        <f>LN(Sales_Deals!G1341)</f>
        <v>12.864320362873196</v>
      </c>
    </row>
    <row r="1345" spans="17:17" x14ac:dyDescent="0.35">
      <c r="Q1345" s="71">
        <f>LN(Sales_Deals!G1342)</f>
        <v>11.809683723946089</v>
      </c>
    </row>
    <row r="1346" spans="17:17" x14ac:dyDescent="0.35">
      <c r="Q1346" s="71">
        <f>LN(Sales_Deals!G1343)</f>
        <v>13.067182536289586</v>
      </c>
    </row>
    <row r="1347" spans="17:17" x14ac:dyDescent="0.35">
      <c r="Q1347" s="71">
        <f>LN(Sales_Deals!G1344)</f>
        <v>12.657718166160075</v>
      </c>
    </row>
    <row r="1348" spans="17:17" x14ac:dyDescent="0.35">
      <c r="Q1348" s="71">
        <f>LN(Sales_Deals!G1345)</f>
        <v>12.671453104373654</v>
      </c>
    </row>
    <row r="1349" spans="17:17" x14ac:dyDescent="0.35">
      <c r="Q1349" s="71">
        <f>LN(Sales_Deals!G1346)</f>
        <v>12.987004029372565</v>
      </c>
    </row>
    <row r="1350" spans="17:17" x14ac:dyDescent="0.35">
      <c r="Q1350" s="71">
        <f>LN(Sales_Deals!G1347)</f>
        <v>12.974663512922533</v>
      </c>
    </row>
    <row r="1351" spans="17:17" x14ac:dyDescent="0.35">
      <c r="Q1351" s="71">
        <f>LN(Sales_Deals!G1348)</f>
        <v>11.341781208766399</v>
      </c>
    </row>
    <row r="1352" spans="17:17" x14ac:dyDescent="0.35">
      <c r="Q1352" s="71">
        <f>LN(Sales_Deals!G1349)</f>
        <v>12.529799720823998</v>
      </c>
    </row>
    <row r="1353" spans="17:17" x14ac:dyDescent="0.35">
      <c r="Q1353" s="71">
        <f>LN(Sales_Deals!G1350)</f>
        <v>11.899044641480856</v>
      </c>
    </row>
    <row r="1354" spans="17:17" x14ac:dyDescent="0.35">
      <c r="Q1354" s="71">
        <f>LN(Sales_Deals!G1351)</f>
        <v>13.003537047705931</v>
      </c>
    </row>
    <row r="1355" spans="17:17" x14ac:dyDescent="0.35">
      <c r="Q1355" s="71">
        <f>LN(Sales_Deals!G1352)</f>
        <v>13.0214308216242</v>
      </c>
    </row>
    <row r="1356" spans="17:17" x14ac:dyDescent="0.35">
      <c r="Q1356" s="71">
        <f>LN(Sales_Deals!G1353)</f>
        <v>12.614406966839903</v>
      </c>
    </row>
    <row r="1357" spans="17:17" x14ac:dyDescent="0.35">
      <c r="Q1357" s="71">
        <f>LN(Sales_Deals!G1354)</f>
        <v>10.510940669885711</v>
      </c>
    </row>
    <row r="1358" spans="17:17" x14ac:dyDescent="0.35">
      <c r="Q1358" s="71">
        <f>LN(Sales_Deals!G1355)</f>
        <v>12.066235700342375</v>
      </c>
    </row>
    <row r="1359" spans="17:17" x14ac:dyDescent="0.35">
      <c r="Q1359" s="71">
        <f>LN(Sales_Deals!G1356)</f>
        <v>12.670070777823993</v>
      </c>
    </row>
    <row r="1360" spans="17:17" x14ac:dyDescent="0.35">
      <c r="Q1360" s="71">
        <f>LN(Sales_Deals!G1357)</f>
        <v>12.829580317006705</v>
      </c>
    </row>
    <row r="1361" spans="17:17" x14ac:dyDescent="0.35">
      <c r="Q1361" s="71">
        <f>LN(Sales_Deals!G1358)</f>
        <v>13.117376965892651</v>
      </c>
    </row>
    <row r="1362" spans="17:17" x14ac:dyDescent="0.35">
      <c r="Q1362" s="71">
        <f>LN(Sales_Deals!G1359)</f>
        <v>11.94933353020404</v>
      </c>
    </row>
    <row r="1363" spans="17:17" x14ac:dyDescent="0.35">
      <c r="Q1363" s="71">
        <f>LN(Sales_Deals!G1360)</f>
        <v>12.669536184935183</v>
      </c>
    </row>
    <row r="1364" spans="17:17" x14ac:dyDescent="0.35">
      <c r="Q1364" s="71">
        <f>LN(Sales_Deals!G1361)</f>
        <v>10.786386947380556</v>
      </c>
    </row>
    <row r="1365" spans="17:17" x14ac:dyDescent="0.35">
      <c r="Q1365" s="71">
        <f>LN(Sales_Deals!G1362)</f>
        <v>12.386279467848562</v>
      </c>
    </row>
    <row r="1366" spans="17:17" x14ac:dyDescent="0.35">
      <c r="Q1366" s="71">
        <f>LN(Sales_Deals!G1363)</f>
        <v>12.683383884041202</v>
      </c>
    </row>
    <row r="1367" spans="17:17" x14ac:dyDescent="0.35">
      <c r="Q1367" s="71">
        <f>LN(Sales_Deals!G1364)</f>
        <v>13.060283697504135</v>
      </c>
    </row>
    <row r="1368" spans="17:17" x14ac:dyDescent="0.35">
      <c r="Q1368" s="71">
        <f>LN(Sales_Deals!G1365)</f>
        <v>12.860216489308883</v>
      </c>
    </row>
    <row r="1369" spans="17:17" x14ac:dyDescent="0.35">
      <c r="Q1369" s="71">
        <f>LN(Sales_Deals!G1366)</f>
        <v>12.669555057785644</v>
      </c>
    </row>
    <row r="1370" spans="17:17" x14ac:dyDescent="0.35">
      <c r="Q1370" s="71">
        <f>LN(Sales_Deals!G1367)</f>
        <v>10.175040243058024</v>
      </c>
    </row>
    <row r="1371" spans="17:17" x14ac:dyDescent="0.35">
      <c r="Q1371" s="71">
        <f>LN(Sales_Deals!G1368)</f>
        <v>12.998651048177608</v>
      </c>
    </row>
    <row r="1372" spans="17:17" x14ac:dyDescent="0.35">
      <c r="Q1372" s="71">
        <f>LN(Sales_Deals!G1369)</f>
        <v>12.924819344390331</v>
      </c>
    </row>
    <row r="1373" spans="17:17" x14ac:dyDescent="0.35">
      <c r="Q1373" s="71">
        <f>LN(Sales_Deals!G1370)</f>
        <v>12.940160213601647</v>
      </c>
    </row>
    <row r="1374" spans="17:17" x14ac:dyDescent="0.35">
      <c r="Q1374" s="71">
        <f>LN(Sales_Deals!G1371)</f>
        <v>12.700744496824932</v>
      </c>
    </row>
    <row r="1375" spans="17:17" x14ac:dyDescent="0.35">
      <c r="Q1375" s="71">
        <f>LN(Sales_Deals!G1372)</f>
        <v>12.893169057052962</v>
      </c>
    </row>
    <row r="1376" spans="17:17" x14ac:dyDescent="0.35">
      <c r="Q1376" s="71">
        <f>LN(Sales_Deals!G1373)</f>
        <v>12.925637778693336</v>
      </c>
    </row>
    <row r="1377" spans="17:17" x14ac:dyDescent="0.35">
      <c r="Q1377" s="71">
        <f>LN(Sales_Deals!G1374)</f>
        <v>12.387122560797323</v>
      </c>
    </row>
    <row r="1378" spans="17:17" x14ac:dyDescent="0.35">
      <c r="Q1378" s="71">
        <f>LN(Sales_Deals!G1375)</f>
        <v>12.384156067437786</v>
      </c>
    </row>
    <row r="1379" spans="17:17" x14ac:dyDescent="0.35">
      <c r="Q1379" s="71">
        <f>LN(Sales_Deals!G1376)</f>
        <v>12.82882418546815</v>
      </c>
    </row>
    <row r="1380" spans="17:17" x14ac:dyDescent="0.35">
      <c r="Q1380" s="71">
        <f>LN(Sales_Deals!G1377)</f>
        <v>12.919715840388941</v>
      </c>
    </row>
    <row r="1381" spans="17:17" x14ac:dyDescent="0.35">
      <c r="Q1381" s="71">
        <f>LN(Sales_Deals!G1378)</f>
        <v>11.881629765209047</v>
      </c>
    </row>
    <row r="1382" spans="17:17" x14ac:dyDescent="0.35">
      <c r="Q1382" s="71">
        <f>LN(Sales_Deals!G1379)</f>
        <v>11.828874243130318</v>
      </c>
    </row>
    <row r="1383" spans="17:17" x14ac:dyDescent="0.35">
      <c r="Q1383" s="71">
        <f>LN(Sales_Deals!G1380)</f>
        <v>12.627519364650638</v>
      </c>
    </row>
    <row r="1384" spans="17:17" x14ac:dyDescent="0.35">
      <c r="Q1384" s="71">
        <f>LN(Sales_Deals!G1381)</f>
        <v>11.810738545021458</v>
      </c>
    </row>
    <row r="1385" spans="17:17" x14ac:dyDescent="0.35">
      <c r="Q1385" s="71">
        <f>LN(Sales_Deals!G1382)</f>
        <v>12.647361678592134</v>
      </c>
    </row>
    <row r="1386" spans="17:17" x14ac:dyDescent="0.35">
      <c r="Q1386" s="71">
        <f>LN(Sales_Deals!G1383)</f>
        <v>10.200661930171254</v>
      </c>
    </row>
    <row r="1387" spans="17:17" x14ac:dyDescent="0.35">
      <c r="Q1387" s="71">
        <f>LN(Sales_Deals!G1384)</f>
        <v>12.70690247740966</v>
      </c>
    </row>
    <row r="1388" spans="17:17" x14ac:dyDescent="0.35">
      <c r="Q1388" s="71">
        <f>LN(Sales_Deals!G1385)</f>
        <v>12.84361726011447</v>
      </c>
    </row>
    <row r="1389" spans="17:17" x14ac:dyDescent="0.35">
      <c r="Q1389" s="71">
        <f>LN(Sales_Deals!G1386)</f>
        <v>12.591831521695976</v>
      </c>
    </row>
    <row r="1390" spans="17:17" x14ac:dyDescent="0.35">
      <c r="Q1390" s="71">
        <f>LN(Sales_Deals!G1387)</f>
        <v>13.086939287945667</v>
      </c>
    </row>
    <row r="1391" spans="17:17" x14ac:dyDescent="0.35">
      <c r="Q1391" s="71">
        <f>LN(Sales_Deals!G1388)</f>
        <v>11.253701265334932</v>
      </c>
    </row>
    <row r="1392" spans="17:17" x14ac:dyDescent="0.35">
      <c r="Q1392" s="71">
        <f>LN(Sales_Deals!G1389)</f>
        <v>9.9716600876391777</v>
      </c>
    </row>
    <row r="1393" spans="17:17" x14ac:dyDescent="0.35">
      <c r="Q1393" s="71">
        <f>LN(Sales_Deals!G1390)</f>
        <v>11.659248445281918</v>
      </c>
    </row>
    <row r="1394" spans="17:17" x14ac:dyDescent="0.35">
      <c r="Q1394" s="71">
        <f>LN(Sales_Deals!G1391)</f>
        <v>12.659867494368847</v>
      </c>
    </row>
    <row r="1395" spans="17:17" x14ac:dyDescent="0.35">
      <c r="Q1395" s="71">
        <f>LN(Sales_Deals!G1392)</f>
        <v>11.905366121955639</v>
      </c>
    </row>
    <row r="1396" spans="17:17" x14ac:dyDescent="0.35">
      <c r="Q1396" s="71">
        <f>LN(Sales_Deals!G1393)</f>
        <v>13.047029731342208</v>
      </c>
    </row>
    <row r="1397" spans="17:17" x14ac:dyDescent="0.35">
      <c r="Q1397" s="71">
        <f>LN(Sales_Deals!G1394)</f>
        <v>12.575485615245835</v>
      </c>
    </row>
    <row r="1398" spans="17:17" x14ac:dyDescent="0.35">
      <c r="Q1398" s="71">
        <f>LN(Sales_Deals!G1395)</f>
        <v>12.005711346644409</v>
      </c>
    </row>
    <row r="1399" spans="17:17" x14ac:dyDescent="0.35">
      <c r="Q1399" s="71">
        <f>LN(Sales_Deals!G1396)</f>
        <v>12.493594705180589</v>
      </c>
    </row>
    <row r="1400" spans="17:17" x14ac:dyDescent="0.35">
      <c r="Q1400" s="71">
        <f>LN(Sales_Deals!G1397)</f>
        <v>9.3833688818585443</v>
      </c>
    </row>
    <row r="1401" spans="17:17" x14ac:dyDescent="0.35">
      <c r="Q1401" s="71">
        <f>LN(Sales_Deals!G1398)</f>
        <v>11.757791368356754</v>
      </c>
    </row>
    <row r="1402" spans="17:17" x14ac:dyDescent="0.35">
      <c r="Q1402" s="71">
        <f>LN(Sales_Deals!G1399)</f>
        <v>12.738323109504957</v>
      </c>
    </row>
    <row r="1403" spans="17:17" x14ac:dyDescent="0.35">
      <c r="Q1403" s="71">
        <f>LN(Sales_Deals!G1400)</f>
        <v>11.857960932251929</v>
      </c>
    </row>
    <row r="1404" spans="17:17" x14ac:dyDescent="0.35">
      <c r="Q1404" s="71">
        <f>LN(Sales_Deals!G1401)</f>
        <v>11.133741950255953</v>
      </c>
    </row>
    <row r="1405" spans="17:17" x14ac:dyDescent="0.35">
      <c r="Q1405" s="71">
        <f>LN(Sales_Deals!G1402)</f>
        <v>11.181124301878897</v>
      </c>
    </row>
    <row r="1406" spans="17:17" x14ac:dyDescent="0.35">
      <c r="Q1406" s="71">
        <f>LN(Sales_Deals!G1403)</f>
        <v>12.843498320579226</v>
      </c>
    </row>
    <row r="1407" spans="17:17" x14ac:dyDescent="0.35">
      <c r="Q1407" s="71">
        <f>LN(Sales_Deals!G1404)</f>
        <v>11.359296315788884</v>
      </c>
    </row>
    <row r="1408" spans="17:17" x14ac:dyDescent="0.35">
      <c r="Q1408" s="71">
        <f>LN(Sales_Deals!G1405)</f>
        <v>12.997192367752714</v>
      </c>
    </row>
    <row r="1409" spans="17:17" x14ac:dyDescent="0.35">
      <c r="Q1409" s="71">
        <f>LN(Sales_Deals!G1406)</f>
        <v>11.930477234213539</v>
      </c>
    </row>
    <row r="1410" spans="17:17" x14ac:dyDescent="0.35">
      <c r="Q1410" s="71">
        <f>LN(Sales_Deals!G1407)</f>
        <v>11.114237341141088</v>
      </c>
    </row>
    <row r="1411" spans="17:17" x14ac:dyDescent="0.35">
      <c r="Q1411" s="71">
        <f>LN(Sales_Deals!G1408)</f>
        <v>12.106379373998227</v>
      </c>
    </row>
    <row r="1412" spans="17:17" x14ac:dyDescent="0.35">
      <c r="Q1412" s="71">
        <f>LN(Sales_Deals!G1409)</f>
        <v>12.92351967863353</v>
      </c>
    </row>
    <row r="1413" spans="17:17" x14ac:dyDescent="0.35">
      <c r="Q1413" s="71">
        <f>LN(Sales_Deals!G1410)</f>
        <v>12.684121946382049</v>
      </c>
    </row>
    <row r="1414" spans="17:17" x14ac:dyDescent="0.35">
      <c r="Q1414" s="71">
        <f>LN(Sales_Deals!G1411)</f>
        <v>12.196577710968372</v>
      </c>
    </row>
    <row r="1415" spans="17:17" x14ac:dyDescent="0.35">
      <c r="Q1415" s="71">
        <f>LN(Sales_Deals!G1412)</f>
        <v>12.935194893212707</v>
      </c>
    </row>
    <row r="1416" spans="17:17" x14ac:dyDescent="0.35">
      <c r="Q1416" s="71">
        <f>LN(Sales_Deals!G1413)</f>
        <v>12.871540256983376</v>
      </c>
    </row>
    <row r="1417" spans="17:17" x14ac:dyDescent="0.35">
      <c r="Q1417" s="71">
        <f>LN(Sales_Deals!G1414)</f>
        <v>11.306417767307444</v>
      </c>
    </row>
    <row r="1418" spans="17:17" x14ac:dyDescent="0.35">
      <c r="Q1418" s="71">
        <f>LN(Sales_Deals!G1415)</f>
        <v>12.140899256239791</v>
      </c>
    </row>
    <row r="1419" spans="17:17" x14ac:dyDescent="0.35">
      <c r="Q1419" s="71">
        <f>LN(Sales_Deals!G1416)</f>
        <v>11.753405860937713</v>
      </c>
    </row>
    <row r="1420" spans="17:17" x14ac:dyDescent="0.35">
      <c r="Q1420" s="71">
        <f>LN(Sales_Deals!G1417)</f>
        <v>12.165891070897318</v>
      </c>
    </row>
    <row r="1421" spans="17:17" x14ac:dyDescent="0.35">
      <c r="Q1421" s="71">
        <f>LN(Sales_Deals!G1418)</f>
        <v>11.668817484927203</v>
      </c>
    </row>
    <row r="1422" spans="17:17" x14ac:dyDescent="0.35">
      <c r="Q1422" s="71">
        <f>LN(Sales_Deals!G1419)</f>
        <v>12.511223742190291</v>
      </c>
    </row>
    <row r="1423" spans="17:17" x14ac:dyDescent="0.35">
      <c r="Q1423" s="71">
        <f>LN(Sales_Deals!G1420)</f>
        <v>13.090234735952754</v>
      </c>
    </row>
    <row r="1424" spans="17:17" x14ac:dyDescent="0.35">
      <c r="Q1424" s="71">
        <f>LN(Sales_Deals!G1421)</f>
        <v>12.899339818890695</v>
      </c>
    </row>
    <row r="1425" spans="17:17" x14ac:dyDescent="0.35">
      <c r="Q1425" s="71">
        <f>LN(Sales_Deals!G1422)</f>
        <v>12.245586584919209</v>
      </c>
    </row>
    <row r="1426" spans="17:17" x14ac:dyDescent="0.35">
      <c r="Q1426" s="71">
        <f>LN(Sales_Deals!G1423)</f>
        <v>12.923343984458073</v>
      </c>
    </row>
    <row r="1427" spans="17:17" x14ac:dyDescent="0.35">
      <c r="Q1427" s="71">
        <f>LN(Sales_Deals!G1424)</f>
        <v>12.557521456997307</v>
      </c>
    </row>
    <row r="1428" spans="17:17" x14ac:dyDescent="0.35">
      <c r="Q1428" s="71">
        <f>LN(Sales_Deals!G1425)</f>
        <v>13.099526591701471</v>
      </c>
    </row>
    <row r="1429" spans="17:17" x14ac:dyDescent="0.35">
      <c r="Q1429" s="71">
        <f>LN(Sales_Deals!G1426)</f>
        <v>12.732737169040183</v>
      </c>
    </row>
    <row r="1430" spans="17:17" x14ac:dyDescent="0.35">
      <c r="Q1430" s="71">
        <f>LN(Sales_Deals!G1427)</f>
        <v>12.979434826612698</v>
      </c>
    </row>
    <row r="1431" spans="17:17" x14ac:dyDescent="0.35">
      <c r="Q1431" s="71">
        <f>LN(Sales_Deals!G1428)</f>
        <v>11.710537852208022</v>
      </c>
    </row>
    <row r="1432" spans="17:17" x14ac:dyDescent="0.35">
      <c r="Q1432" s="71">
        <f>LN(Sales_Deals!G1429)</f>
        <v>12.727660151940196</v>
      </c>
    </row>
    <row r="1433" spans="17:17" x14ac:dyDescent="0.35">
      <c r="Q1433" s="71">
        <f>LN(Sales_Deals!G1430)</f>
        <v>10.758221978711177</v>
      </c>
    </row>
    <row r="1434" spans="17:17" x14ac:dyDescent="0.35">
      <c r="Q1434" s="71">
        <f>LN(Sales_Deals!G1431)</f>
        <v>12.581267531731157</v>
      </c>
    </row>
    <row r="1435" spans="17:17" x14ac:dyDescent="0.35">
      <c r="Q1435" s="71">
        <f>LN(Sales_Deals!G1432)</f>
        <v>9.4394659949679394</v>
      </c>
    </row>
    <row r="1436" spans="17:17" x14ac:dyDescent="0.35">
      <c r="Q1436" s="71">
        <f>LN(Sales_Deals!G1433)</f>
        <v>12.025072215663602</v>
      </c>
    </row>
    <row r="1437" spans="17:17" x14ac:dyDescent="0.35">
      <c r="Q1437" s="71">
        <f>LN(Sales_Deals!G1434)</f>
        <v>10.518078420190298</v>
      </c>
    </row>
    <row r="1438" spans="17:17" x14ac:dyDescent="0.35">
      <c r="Q1438" s="71">
        <f>LN(Sales_Deals!G1435)</f>
        <v>12.316831066249593</v>
      </c>
    </row>
    <row r="1439" spans="17:17" x14ac:dyDescent="0.35">
      <c r="Q1439" s="71">
        <f>LN(Sales_Deals!G1436)</f>
        <v>12.382740751644786</v>
      </c>
    </row>
    <row r="1440" spans="17:17" x14ac:dyDescent="0.35">
      <c r="Q1440" s="71">
        <f>LN(Sales_Deals!G1437)</f>
        <v>12.975956304976997</v>
      </c>
    </row>
    <row r="1441" spans="17:17" x14ac:dyDescent="0.35">
      <c r="Q1441" s="71">
        <f>LN(Sales_Deals!G1438)</f>
        <v>12.212824798352708</v>
      </c>
    </row>
    <row r="1442" spans="17:17" x14ac:dyDescent="0.35">
      <c r="Q1442" s="71">
        <f>LN(Sales_Deals!G1439)</f>
        <v>12.378764653348286</v>
      </c>
    </row>
    <row r="1443" spans="17:17" x14ac:dyDescent="0.35">
      <c r="Q1443" s="71">
        <f>LN(Sales_Deals!G1440)</f>
        <v>12.975416686425573</v>
      </c>
    </row>
    <row r="1444" spans="17:17" x14ac:dyDescent="0.35">
      <c r="Q1444" s="71">
        <f>LN(Sales_Deals!G1441)</f>
        <v>12.68947671151971</v>
      </c>
    </row>
    <row r="1445" spans="17:17" x14ac:dyDescent="0.35">
      <c r="Q1445" s="71">
        <f>LN(Sales_Deals!G1442)</f>
        <v>11.847538832106443</v>
      </c>
    </row>
    <row r="1446" spans="17:17" x14ac:dyDescent="0.35">
      <c r="Q1446" s="71">
        <f>LN(Sales_Deals!G1443)</f>
        <v>12.277774511043836</v>
      </c>
    </row>
    <row r="1447" spans="17:17" x14ac:dyDescent="0.35">
      <c r="Q1447" s="71">
        <f>LN(Sales_Deals!G1444)</f>
        <v>12.515742456183471</v>
      </c>
    </row>
    <row r="1448" spans="17:17" x14ac:dyDescent="0.35">
      <c r="Q1448" s="71">
        <f>LN(Sales_Deals!G1445)</f>
        <v>10.352459048953433</v>
      </c>
    </row>
    <row r="1449" spans="17:17" x14ac:dyDescent="0.35">
      <c r="Q1449" s="71">
        <f>LN(Sales_Deals!G1446)</f>
        <v>13.025341333195874</v>
      </c>
    </row>
    <row r="1450" spans="17:17" x14ac:dyDescent="0.35">
      <c r="Q1450" s="71">
        <f>LN(Sales_Deals!G1447)</f>
        <v>12.857115760067307</v>
      </c>
    </row>
    <row r="1451" spans="17:17" x14ac:dyDescent="0.35">
      <c r="Q1451" s="71">
        <f>LN(Sales_Deals!G1448)</f>
        <v>12.956271011959132</v>
      </c>
    </row>
    <row r="1452" spans="17:17" x14ac:dyDescent="0.35">
      <c r="Q1452" s="71">
        <f>LN(Sales_Deals!G1449)</f>
        <v>12.02701176694239</v>
      </c>
    </row>
    <row r="1453" spans="17:17" x14ac:dyDescent="0.35">
      <c r="Q1453" s="71">
        <f>LN(Sales_Deals!G1450)</f>
        <v>13.001532702409383</v>
      </c>
    </row>
    <row r="1454" spans="17:17" x14ac:dyDescent="0.35">
      <c r="Q1454" s="71">
        <f>LN(Sales_Deals!G1451)</f>
        <v>12.64718478108448</v>
      </c>
    </row>
    <row r="1455" spans="17:17" x14ac:dyDescent="0.35">
      <c r="Q1455" s="71">
        <f>LN(Sales_Deals!G1452)</f>
        <v>11.531747219210816</v>
      </c>
    </row>
    <row r="1456" spans="17:17" x14ac:dyDescent="0.35">
      <c r="Q1456" s="71">
        <f>LN(Sales_Deals!G1453)</f>
        <v>12.925591516045667</v>
      </c>
    </row>
    <row r="1457" spans="17:17" x14ac:dyDescent="0.35">
      <c r="Q1457" s="71">
        <f>LN(Sales_Deals!G1454)</f>
        <v>12.320525698498885</v>
      </c>
    </row>
    <row r="1458" spans="17:17" x14ac:dyDescent="0.35">
      <c r="Q1458" s="71">
        <f>LN(Sales_Deals!G1455)</f>
        <v>9.5314813981716284</v>
      </c>
    </row>
    <row r="1459" spans="17:17" x14ac:dyDescent="0.35">
      <c r="Q1459" s="71">
        <f>LN(Sales_Deals!G1456)</f>
        <v>11.306589865305385</v>
      </c>
    </row>
    <row r="1460" spans="17:17" x14ac:dyDescent="0.35">
      <c r="Q1460" s="71">
        <f>LN(Sales_Deals!G1457)</f>
        <v>11.055751186536417</v>
      </c>
    </row>
    <row r="1461" spans="17:17" x14ac:dyDescent="0.35">
      <c r="Q1461" s="71">
        <f>LN(Sales_Deals!G1458)</f>
        <v>10.32518683708304</v>
      </c>
    </row>
    <row r="1462" spans="17:17" x14ac:dyDescent="0.35">
      <c r="Q1462" s="71">
        <f>LN(Sales_Deals!G1459)</f>
        <v>12.18981622301065</v>
      </c>
    </row>
    <row r="1463" spans="17:17" x14ac:dyDescent="0.35">
      <c r="Q1463" s="71">
        <f>LN(Sales_Deals!G1460)</f>
        <v>12.098381638608132</v>
      </c>
    </row>
    <row r="1464" spans="17:17" x14ac:dyDescent="0.35">
      <c r="Q1464" s="71">
        <f>LN(Sales_Deals!G1461)</f>
        <v>12.856061771772316</v>
      </c>
    </row>
    <row r="1465" spans="17:17" x14ac:dyDescent="0.35">
      <c r="Q1465" s="71">
        <f>LN(Sales_Deals!G1462)</f>
        <v>12.77194879643641</v>
      </c>
    </row>
    <row r="1466" spans="17:17" x14ac:dyDescent="0.35">
      <c r="Q1466" s="71">
        <f>LN(Sales_Deals!G1463)</f>
        <v>12.63444992038664</v>
      </c>
    </row>
    <row r="1467" spans="17:17" x14ac:dyDescent="0.35">
      <c r="Q1467" s="71">
        <f>LN(Sales_Deals!G1464)</f>
        <v>14.479034779224655</v>
      </c>
    </row>
    <row r="1468" spans="17:17" x14ac:dyDescent="0.35">
      <c r="Q1468" s="71">
        <f>LN(Sales_Deals!G1465)</f>
        <v>12.813719125635696</v>
      </c>
    </row>
    <row r="1469" spans="17:17" x14ac:dyDescent="0.35">
      <c r="Q1469" s="71">
        <f>LN(Sales_Deals!G1466)</f>
        <v>10.566046651328049</v>
      </c>
    </row>
    <row r="1470" spans="17:17" x14ac:dyDescent="0.35">
      <c r="Q1470" s="71">
        <f>LN(Sales_Deals!G1467)</f>
        <v>12.260702866181289</v>
      </c>
    </row>
    <row r="1471" spans="17:17" x14ac:dyDescent="0.35">
      <c r="Q1471" s="71">
        <f>LN(Sales_Deals!G1468)</f>
        <v>11.299100857107293</v>
      </c>
    </row>
    <row r="1472" spans="17:17" x14ac:dyDescent="0.35">
      <c r="Q1472" s="71">
        <f>LN(Sales_Deals!G1469)</f>
        <v>12.168225388753724</v>
      </c>
    </row>
    <row r="1473" spans="17:17" x14ac:dyDescent="0.35">
      <c r="Q1473" s="71">
        <f>LN(Sales_Deals!G1470)</f>
        <v>14.097927795462743</v>
      </c>
    </row>
    <row r="1474" spans="17:17" x14ac:dyDescent="0.35">
      <c r="Q1474" s="71">
        <f>LN(Sales_Deals!G1471)</f>
        <v>12.821701429660381</v>
      </c>
    </row>
    <row r="1475" spans="17:17" x14ac:dyDescent="0.35">
      <c r="Q1475" s="71">
        <f>LN(Sales_Deals!G1472)</f>
        <v>13.11824289988464</v>
      </c>
    </row>
    <row r="1476" spans="17:17" x14ac:dyDescent="0.35">
      <c r="Q1476" s="71">
        <f>LN(Sales_Deals!G1473)</f>
        <v>11.478375427210823</v>
      </c>
    </row>
    <row r="1477" spans="17:17" x14ac:dyDescent="0.35">
      <c r="Q1477" s="71">
        <f>LN(Sales_Deals!G1474)</f>
        <v>12.239686322440557</v>
      </c>
    </row>
    <row r="1478" spans="17:17" x14ac:dyDescent="0.35">
      <c r="Q1478" s="71">
        <f>LN(Sales_Deals!G1475)</f>
        <v>12.584313856715898</v>
      </c>
    </row>
    <row r="1479" spans="17:17" x14ac:dyDescent="0.35">
      <c r="Q1479" s="71">
        <f>LN(Sales_Deals!G1476)</f>
        <v>12.895259494318465</v>
      </c>
    </row>
    <row r="1480" spans="17:17" x14ac:dyDescent="0.35">
      <c r="Q1480" s="71">
        <f>LN(Sales_Deals!G1477)</f>
        <v>13.10125005151791</v>
      </c>
    </row>
    <row r="1481" spans="17:17" x14ac:dyDescent="0.35">
      <c r="Q1481" s="71">
        <f>LN(Sales_Deals!G1478)</f>
        <v>14.460987871587436</v>
      </c>
    </row>
    <row r="1482" spans="17:17" x14ac:dyDescent="0.35">
      <c r="Q1482" s="71">
        <f>LN(Sales_Deals!G1479)</f>
        <v>13.0789985693389</v>
      </c>
    </row>
    <row r="1483" spans="17:17" x14ac:dyDescent="0.35">
      <c r="Q1483" s="71">
        <f>LN(Sales_Deals!G1480)</f>
        <v>12.639762332866745</v>
      </c>
    </row>
    <row r="1484" spans="17:17" x14ac:dyDescent="0.35">
      <c r="Q1484" s="71">
        <f>LN(Sales_Deals!G1481)</f>
        <v>9.679093219320265</v>
      </c>
    </row>
    <row r="1485" spans="17:17" x14ac:dyDescent="0.35">
      <c r="Q1485" s="71">
        <f>LN(Sales_Deals!G1482)</f>
        <v>11.112865721520615</v>
      </c>
    </row>
    <row r="1486" spans="17:17" x14ac:dyDescent="0.35">
      <c r="Q1486" s="71">
        <f>LN(Sales_Deals!G1483)</f>
        <v>12.814995470835779</v>
      </c>
    </row>
    <row r="1487" spans="17:17" x14ac:dyDescent="0.35">
      <c r="Q1487" s="71">
        <f>LN(Sales_Deals!G1484)</f>
        <v>12.471332713109691</v>
      </c>
    </row>
    <row r="1488" spans="17:17" x14ac:dyDescent="0.35">
      <c r="Q1488" s="71">
        <f>LN(Sales_Deals!G1485)</f>
        <v>12.299945429139015</v>
      </c>
    </row>
    <row r="1489" spans="17:17" x14ac:dyDescent="0.35">
      <c r="Q1489" s="71">
        <f>LN(Sales_Deals!G1486)</f>
        <v>11.28456834660313</v>
      </c>
    </row>
    <row r="1490" spans="17:17" x14ac:dyDescent="0.35">
      <c r="Q1490" s="71">
        <f>LN(Sales_Deals!G1487)</f>
        <v>12.488510993658901</v>
      </c>
    </row>
    <row r="1491" spans="17:17" x14ac:dyDescent="0.35">
      <c r="Q1491" s="71">
        <f>LN(Sales_Deals!G1488)</f>
        <v>12.424312191844074</v>
      </c>
    </row>
    <row r="1492" spans="17:17" x14ac:dyDescent="0.35">
      <c r="Q1492" s="71">
        <f>LN(Sales_Deals!G1489)</f>
        <v>12.881880362713416</v>
      </c>
    </row>
    <row r="1493" spans="17:17" x14ac:dyDescent="0.35">
      <c r="Q1493" s="71">
        <f>LN(Sales_Deals!G1490)</f>
        <v>12.592273381456881</v>
      </c>
    </row>
    <row r="1494" spans="17:17" x14ac:dyDescent="0.35">
      <c r="Q1494" s="71">
        <f>LN(Sales_Deals!G1491)</f>
        <v>11.602757028160417</v>
      </c>
    </row>
    <row r="1495" spans="17:17" x14ac:dyDescent="0.35">
      <c r="Q1495" s="71">
        <f>LN(Sales_Deals!G1492)</f>
        <v>11.319207211840663</v>
      </c>
    </row>
    <row r="1496" spans="17:17" x14ac:dyDescent="0.35">
      <c r="Q1496" s="71">
        <f>LN(Sales_Deals!G1493)</f>
        <v>13.058033901082034</v>
      </c>
    </row>
    <row r="1497" spans="17:17" x14ac:dyDescent="0.35">
      <c r="Q1497" s="71">
        <f>LN(Sales_Deals!G1494)</f>
        <v>12.781111737609789</v>
      </c>
    </row>
    <row r="1498" spans="17:17" x14ac:dyDescent="0.35">
      <c r="Q1498" s="71">
        <f>LN(Sales_Deals!G1495)</f>
        <v>12.138874590966696</v>
      </c>
    </row>
    <row r="1499" spans="17:17" x14ac:dyDescent="0.35">
      <c r="Q1499" s="71">
        <f>LN(Sales_Deals!G1496)</f>
        <v>12.784431676282733</v>
      </c>
    </row>
    <row r="1500" spans="17:17" x14ac:dyDescent="0.35">
      <c r="Q1500" s="71">
        <f>LN(Sales_Deals!G1497)</f>
        <v>12.275995084835058</v>
      </c>
    </row>
    <row r="1501" spans="17:17" x14ac:dyDescent="0.35">
      <c r="Q1501" s="71">
        <f>LN(Sales_Deals!G1498)</f>
        <v>13.083759753812114</v>
      </c>
    </row>
    <row r="1502" spans="17:17" x14ac:dyDescent="0.35">
      <c r="Q1502" s="71">
        <f>LN(Sales_Deals!G1499)</f>
        <v>13.064691890788581</v>
      </c>
    </row>
    <row r="1503" spans="17:17" x14ac:dyDescent="0.35">
      <c r="Q1503" s="71">
        <f>LN(Sales_Deals!G1500)</f>
        <v>12.216057629248271</v>
      </c>
    </row>
    <row r="1504" spans="17:17" x14ac:dyDescent="0.35">
      <c r="Q1504" s="71">
        <f>LN(Sales_Deals!G1501)</f>
        <v>12.520167800933571</v>
      </c>
    </row>
    <row r="1505" spans="17:17" x14ac:dyDescent="0.35">
      <c r="Q1505" s="71">
        <f>LN(Sales_Deals!G1502)</f>
        <v>12.42505555335892</v>
      </c>
    </row>
    <row r="1506" spans="17:17" x14ac:dyDescent="0.35">
      <c r="Q1506" s="71">
        <f>LN(Sales_Deals!G1503)</f>
        <v>13.005251866224905</v>
      </c>
    </row>
    <row r="1507" spans="17:17" x14ac:dyDescent="0.35">
      <c r="Q1507" s="71">
        <f>LN(Sales_Deals!G1504)</f>
        <v>12.347268342196951</v>
      </c>
    </row>
    <row r="1508" spans="17:17" x14ac:dyDescent="0.35">
      <c r="Q1508" s="71">
        <f>LN(Sales_Deals!G1505)</f>
        <v>12.620616417571542</v>
      </c>
    </row>
    <row r="1509" spans="17:17" x14ac:dyDescent="0.35">
      <c r="Q1509" s="71">
        <f>LN(Sales_Deals!G1506)</f>
        <v>11.803772523565165</v>
      </c>
    </row>
    <row r="1510" spans="17:17" x14ac:dyDescent="0.35">
      <c r="Q1510" s="71">
        <f>LN(Sales_Deals!G1507)</f>
        <v>12.282014649105331</v>
      </c>
    </row>
    <row r="1511" spans="17:17" x14ac:dyDescent="0.35">
      <c r="Q1511" s="71">
        <f>LN(Sales_Deals!G1508)</f>
        <v>12.709547317129083</v>
      </c>
    </row>
    <row r="1512" spans="17:17" x14ac:dyDescent="0.35">
      <c r="Q1512" s="71">
        <f>LN(Sales_Deals!G1509)</f>
        <v>12.722405078949238</v>
      </c>
    </row>
    <row r="1513" spans="17:17" x14ac:dyDescent="0.35">
      <c r="Q1513" s="71">
        <f>LN(Sales_Deals!G1510)</f>
        <v>13.075122911831503</v>
      </c>
    </row>
    <row r="1514" spans="17:17" x14ac:dyDescent="0.35">
      <c r="Q1514" s="71">
        <f>LN(Sales_Deals!G1511)</f>
        <v>13.040018187718987</v>
      </c>
    </row>
    <row r="1515" spans="17:17" x14ac:dyDescent="0.35">
      <c r="Q1515" s="71">
        <f>LN(Sales_Deals!G1512)</f>
        <v>12.16279451216889</v>
      </c>
    </row>
    <row r="1516" spans="17:17" x14ac:dyDescent="0.35">
      <c r="Q1516" s="71">
        <f>LN(Sales_Deals!G1513)</f>
        <v>13.084158787822588</v>
      </c>
    </row>
    <row r="1517" spans="17:17" x14ac:dyDescent="0.35">
      <c r="Q1517" s="71">
        <f>LN(Sales_Deals!G1514)</f>
        <v>12.176025724177878</v>
      </c>
    </row>
    <row r="1518" spans="17:17" x14ac:dyDescent="0.35">
      <c r="Q1518" s="71">
        <f>LN(Sales_Deals!G1515)</f>
        <v>10.82227516460887</v>
      </c>
    </row>
    <row r="1519" spans="17:17" x14ac:dyDescent="0.35">
      <c r="Q1519" s="71">
        <f>LN(Sales_Deals!G1516)</f>
        <v>13.07986497850313</v>
      </c>
    </row>
    <row r="1520" spans="17:17" x14ac:dyDescent="0.35">
      <c r="Q1520" s="71">
        <f>LN(Sales_Deals!G1517)</f>
        <v>12.991115090794375</v>
      </c>
    </row>
    <row r="1521" spans="17:17" x14ac:dyDescent="0.35">
      <c r="Q1521" s="71">
        <f>LN(Sales_Deals!G1518)</f>
        <v>12.909316185884503</v>
      </c>
    </row>
    <row r="1522" spans="17:17" x14ac:dyDescent="0.35">
      <c r="Q1522" s="71">
        <f>LN(Sales_Deals!G1519)</f>
        <v>12.698699674851174</v>
      </c>
    </row>
    <row r="1523" spans="17:17" x14ac:dyDescent="0.35">
      <c r="Q1523" s="71">
        <f>LN(Sales_Deals!G1520)</f>
        <v>12.377270057821192</v>
      </c>
    </row>
    <row r="1524" spans="17:17" x14ac:dyDescent="0.35">
      <c r="Q1524" s="71">
        <f>LN(Sales_Deals!G1521)</f>
        <v>12.395750412277389</v>
      </c>
    </row>
    <row r="1525" spans="17:17" x14ac:dyDescent="0.35">
      <c r="Q1525" s="71">
        <f>LN(Sales_Deals!G1522)</f>
        <v>13.099317857611572</v>
      </c>
    </row>
    <row r="1526" spans="17:17" x14ac:dyDescent="0.35">
      <c r="Q1526" s="71">
        <f>LN(Sales_Deals!G1523)</f>
        <v>12.578101610884501</v>
      </c>
    </row>
    <row r="1527" spans="17:17" x14ac:dyDescent="0.35">
      <c r="Q1527" s="71">
        <f>LN(Sales_Deals!G1524)</f>
        <v>12.796868666663066</v>
      </c>
    </row>
    <row r="1528" spans="17:17" x14ac:dyDescent="0.35">
      <c r="Q1528" s="71">
        <f>LN(Sales_Deals!G1525)</f>
        <v>12.033622208531481</v>
      </c>
    </row>
    <row r="1529" spans="17:17" x14ac:dyDescent="0.35">
      <c r="Q1529" s="71">
        <f>LN(Sales_Deals!G1526)</f>
        <v>12.959270165390853</v>
      </c>
    </row>
    <row r="1530" spans="17:17" x14ac:dyDescent="0.35">
      <c r="Q1530" s="71">
        <f>LN(Sales_Deals!G1527)</f>
        <v>12.088920660719316</v>
      </c>
    </row>
    <row r="1531" spans="17:17" x14ac:dyDescent="0.35">
      <c r="Q1531" s="71">
        <f>LN(Sales_Deals!G1528)</f>
        <v>13.001288930993535</v>
      </c>
    </row>
    <row r="1532" spans="17:17" x14ac:dyDescent="0.35">
      <c r="Q1532" s="71">
        <f>LN(Sales_Deals!G1529)</f>
        <v>12.926822833516091</v>
      </c>
    </row>
    <row r="1533" spans="17:17" x14ac:dyDescent="0.35">
      <c r="Q1533" s="71">
        <f>LN(Sales_Deals!G1530)</f>
        <v>12.82287319616476</v>
      </c>
    </row>
    <row r="1534" spans="17:17" x14ac:dyDescent="0.35">
      <c r="Q1534" s="71">
        <f>LN(Sales_Deals!G1531)</f>
        <v>12.694134121022588</v>
      </c>
    </row>
    <row r="1535" spans="17:17" x14ac:dyDescent="0.35">
      <c r="Q1535" s="71">
        <f>LN(Sales_Deals!G1532)</f>
        <v>12.18284495941087</v>
      </c>
    </row>
    <row r="1536" spans="17:17" x14ac:dyDescent="0.35">
      <c r="Q1536" s="71">
        <f>LN(Sales_Deals!G1533)</f>
        <v>12.3489514645252</v>
      </c>
    </row>
    <row r="1537" spans="17:17" x14ac:dyDescent="0.35">
      <c r="Q1537" s="71">
        <f>LN(Sales_Deals!G1534)</f>
        <v>12.602964440927027</v>
      </c>
    </row>
    <row r="1538" spans="17:17" x14ac:dyDescent="0.35">
      <c r="Q1538" s="71">
        <f>LN(Sales_Deals!G1535)</f>
        <v>12.893948456803788</v>
      </c>
    </row>
    <row r="1539" spans="17:17" x14ac:dyDescent="0.35">
      <c r="Q1539" s="71">
        <f>LN(Sales_Deals!G1536)</f>
        <v>12.790241663520375</v>
      </c>
    </row>
    <row r="1540" spans="17:17" x14ac:dyDescent="0.35">
      <c r="Q1540" s="71">
        <f>LN(Sales_Deals!G1537)</f>
        <v>12.475378148381978</v>
      </c>
    </row>
    <row r="1541" spans="17:17" x14ac:dyDescent="0.35">
      <c r="Q1541" s="71">
        <f>LN(Sales_Deals!G1538)</f>
        <v>13.796830160732314</v>
      </c>
    </row>
    <row r="1542" spans="17:17" x14ac:dyDescent="0.35">
      <c r="Q1542" s="71">
        <f>LN(Sales_Deals!G1539)</f>
        <v>12.45842542342837</v>
      </c>
    </row>
    <row r="1543" spans="17:17" x14ac:dyDescent="0.35">
      <c r="Q1543" s="71">
        <f>LN(Sales_Deals!G1540)</f>
        <v>11.763123715000336</v>
      </c>
    </row>
    <row r="1544" spans="17:17" x14ac:dyDescent="0.35">
      <c r="Q1544" s="71">
        <f>LN(Sales_Deals!G1541)</f>
        <v>12.926465274980314</v>
      </c>
    </row>
    <row r="1545" spans="17:17" x14ac:dyDescent="0.35">
      <c r="Q1545" s="71">
        <f>LN(Sales_Deals!G1542)</f>
        <v>13.031337407254055</v>
      </c>
    </row>
    <row r="1546" spans="17:17" x14ac:dyDescent="0.35">
      <c r="Q1546" s="71">
        <f>LN(Sales_Deals!G1543)</f>
        <v>12.177179221875193</v>
      </c>
    </row>
    <row r="1547" spans="17:17" x14ac:dyDescent="0.35">
      <c r="Q1547" s="71">
        <f>LN(Sales_Deals!G1544)</f>
        <v>12.894747339415563</v>
      </c>
    </row>
    <row r="1548" spans="17:17" x14ac:dyDescent="0.35">
      <c r="Q1548" s="71">
        <f>LN(Sales_Deals!G1545)</f>
        <v>11.754411754932155</v>
      </c>
    </row>
    <row r="1549" spans="17:17" x14ac:dyDescent="0.35">
      <c r="Q1549" s="71">
        <f>LN(Sales_Deals!G1546)</f>
        <v>12.486677231556683</v>
      </c>
    </row>
    <row r="1550" spans="17:17" x14ac:dyDescent="0.35">
      <c r="Q1550" s="71">
        <f>LN(Sales_Deals!G1547)</f>
        <v>12.728360328199598</v>
      </c>
    </row>
    <row r="1551" spans="17:17" x14ac:dyDescent="0.35">
      <c r="Q1551" s="71">
        <f>LN(Sales_Deals!G1548)</f>
        <v>12.621082061481259</v>
      </c>
    </row>
    <row r="1552" spans="17:17" x14ac:dyDescent="0.35">
      <c r="Q1552" s="71">
        <f>LN(Sales_Deals!G1549)</f>
        <v>10.941889716805212</v>
      </c>
    </row>
    <row r="1553" spans="17:17" x14ac:dyDescent="0.35">
      <c r="Q1553" s="71">
        <f>LN(Sales_Deals!G1550)</f>
        <v>12.821039341735244</v>
      </c>
    </row>
    <row r="1554" spans="17:17" x14ac:dyDescent="0.35">
      <c r="Q1554" s="71">
        <f>LN(Sales_Deals!G1551)</f>
        <v>13.037637386928377</v>
      </c>
    </row>
    <row r="1555" spans="17:17" x14ac:dyDescent="0.35">
      <c r="Q1555" s="71">
        <f>LN(Sales_Deals!G1552)</f>
        <v>12.046291142330459</v>
      </c>
    </row>
    <row r="1556" spans="17:17" x14ac:dyDescent="0.35">
      <c r="Q1556" s="71">
        <f>LN(Sales_Deals!G1553)</f>
        <v>12.61924133802337</v>
      </c>
    </row>
    <row r="1557" spans="17:17" x14ac:dyDescent="0.35">
      <c r="Q1557" s="71">
        <f>LN(Sales_Deals!G1554)</f>
        <v>12.97678485145771</v>
      </c>
    </row>
    <row r="1558" spans="17:17" x14ac:dyDescent="0.35">
      <c r="Q1558" s="71">
        <f>LN(Sales_Deals!G1555)</f>
        <v>13.056706364321119</v>
      </c>
    </row>
    <row r="1559" spans="17:17" x14ac:dyDescent="0.35">
      <c r="Q1559" s="71">
        <f>LN(Sales_Deals!G1556)</f>
        <v>11.566447274372594</v>
      </c>
    </row>
    <row r="1560" spans="17:17" x14ac:dyDescent="0.35">
      <c r="Q1560" s="71">
        <f>LN(Sales_Deals!G1557)</f>
        <v>13.105223322314718</v>
      </c>
    </row>
    <row r="1561" spans="17:17" x14ac:dyDescent="0.35">
      <c r="Q1561" s="71">
        <f>LN(Sales_Deals!G1558)</f>
        <v>11.802021537252891</v>
      </c>
    </row>
    <row r="1562" spans="17:17" x14ac:dyDescent="0.35">
      <c r="Q1562" s="71">
        <f>LN(Sales_Deals!G1559)</f>
        <v>11.470758816808338</v>
      </c>
    </row>
    <row r="1563" spans="17:17" x14ac:dyDescent="0.35">
      <c r="Q1563" s="71">
        <f>LN(Sales_Deals!G1560)</f>
        <v>12.895344827973105</v>
      </c>
    </row>
    <row r="1564" spans="17:17" x14ac:dyDescent="0.35">
      <c r="Q1564" s="71">
        <f>LN(Sales_Deals!G1561)</f>
        <v>11.360182127705029</v>
      </c>
    </row>
    <row r="1565" spans="17:17" x14ac:dyDescent="0.35">
      <c r="Q1565" s="71">
        <f>LN(Sales_Deals!G1562)</f>
        <v>11.830265849275415</v>
      </c>
    </row>
    <row r="1566" spans="17:17" x14ac:dyDescent="0.35">
      <c r="Q1566" s="71">
        <f>LN(Sales_Deals!G1563)</f>
        <v>11.968982288083339</v>
      </c>
    </row>
    <row r="1567" spans="17:17" x14ac:dyDescent="0.35">
      <c r="Q1567" s="71">
        <f>LN(Sales_Deals!G1564)</f>
        <v>12.290248339100552</v>
      </c>
    </row>
    <row r="1568" spans="17:17" x14ac:dyDescent="0.35">
      <c r="Q1568" s="71">
        <f>LN(Sales_Deals!G1565)</f>
        <v>13.088235593243457</v>
      </c>
    </row>
    <row r="1569" spans="17:17" x14ac:dyDescent="0.35">
      <c r="Q1569" s="71">
        <f>LN(Sales_Deals!G1566)</f>
        <v>12.458336067818236</v>
      </c>
    </row>
    <row r="1570" spans="17:17" x14ac:dyDescent="0.35">
      <c r="Q1570" s="71">
        <f>LN(Sales_Deals!G1567)</f>
        <v>12.556148362390134</v>
      </c>
    </row>
    <row r="1571" spans="17:17" x14ac:dyDescent="0.35">
      <c r="Q1571" s="71">
        <f>LN(Sales_Deals!G1568)</f>
        <v>12.717602021604408</v>
      </c>
    </row>
    <row r="1572" spans="17:17" x14ac:dyDescent="0.35">
      <c r="Q1572" s="71">
        <f>LN(Sales_Deals!G1569)</f>
        <v>12.893692076192801</v>
      </c>
    </row>
    <row r="1573" spans="17:17" x14ac:dyDescent="0.35">
      <c r="Q1573" s="71">
        <f>LN(Sales_Deals!G1570)</f>
        <v>11.791813987240017</v>
      </c>
    </row>
    <row r="1574" spans="17:17" x14ac:dyDescent="0.35">
      <c r="Q1574" s="71">
        <f>LN(Sales_Deals!G1571)</f>
        <v>12.07029301322202</v>
      </c>
    </row>
    <row r="1575" spans="17:17" x14ac:dyDescent="0.35">
      <c r="Q1575" s="71">
        <f>LN(Sales_Deals!G1572)</f>
        <v>13.030776457656881</v>
      </c>
    </row>
    <row r="1576" spans="17:17" x14ac:dyDescent="0.35">
      <c r="Q1576" s="71">
        <f>LN(Sales_Deals!G1573)</f>
        <v>12.440476560319093</v>
      </c>
    </row>
    <row r="1577" spans="17:17" x14ac:dyDescent="0.35">
      <c r="Q1577" s="71">
        <f>LN(Sales_Deals!G1574)</f>
        <v>13.040576148938875</v>
      </c>
    </row>
    <row r="1578" spans="17:17" x14ac:dyDescent="0.35">
      <c r="Q1578" s="71">
        <f>LN(Sales_Deals!G1575)</f>
        <v>10.368510046500305</v>
      </c>
    </row>
    <row r="1579" spans="17:17" x14ac:dyDescent="0.35">
      <c r="Q1579" s="71">
        <f>LN(Sales_Deals!G1576)</f>
        <v>12.557602375528223</v>
      </c>
    </row>
    <row r="1580" spans="17:17" x14ac:dyDescent="0.35">
      <c r="Q1580" s="71">
        <f>LN(Sales_Deals!G1577)</f>
        <v>11.487156273076266</v>
      </c>
    </row>
    <row r="1581" spans="17:17" x14ac:dyDescent="0.35">
      <c r="Q1581" s="71">
        <f>LN(Sales_Deals!G1578)</f>
        <v>12.845660808995556</v>
      </c>
    </row>
    <row r="1582" spans="17:17" x14ac:dyDescent="0.35">
      <c r="Q1582" s="71">
        <f>LN(Sales_Deals!G1579)</f>
        <v>12.814938355875588</v>
      </c>
    </row>
    <row r="1583" spans="17:17" x14ac:dyDescent="0.35">
      <c r="Q1583" s="71">
        <f>LN(Sales_Deals!G1580)</f>
        <v>12.811388112716587</v>
      </c>
    </row>
    <row r="1584" spans="17:17" x14ac:dyDescent="0.35">
      <c r="Q1584" s="71">
        <f>LN(Sales_Deals!G1581)</f>
        <v>12.110200307744655</v>
      </c>
    </row>
    <row r="1585" spans="17:17" x14ac:dyDescent="0.35">
      <c r="Q1585" s="71">
        <f>LN(Sales_Deals!G1582)</f>
        <v>13.078467914615528</v>
      </c>
    </row>
    <row r="1586" spans="17:17" x14ac:dyDescent="0.35">
      <c r="Q1586" s="71">
        <f>LN(Sales_Deals!G1583)</f>
        <v>12.633521008173748</v>
      </c>
    </row>
    <row r="1587" spans="17:17" x14ac:dyDescent="0.35">
      <c r="Q1587" s="71">
        <f>LN(Sales_Deals!G1584)</f>
        <v>12.809634229547655</v>
      </c>
    </row>
    <row r="1588" spans="17:17" x14ac:dyDescent="0.35">
      <c r="Q1588" s="71">
        <f>LN(Sales_Deals!G1585)</f>
        <v>11.844987993102741</v>
      </c>
    </row>
    <row r="1589" spans="17:17" x14ac:dyDescent="0.35">
      <c r="Q1589" s="71">
        <f>LN(Sales_Deals!G1586)</f>
        <v>13.074097075994837</v>
      </c>
    </row>
    <row r="1590" spans="17:17" x14ac:dyDescent="0.35">
      <c r="Q1590" s="71">
        <f>LN(Sales_Deals!G1587)</f>
        <v>13.675089198221265</v>
      </c>
    </row>
    <row r="1591" spans="17:17" x14ac:dyDescent="0.35">
      <c r="Q1591" s="71">
        <f>LN(Sales_Deals!G1588)</f>
        <v>12.126634338503097</v>
      </c>
    </row>
    <row r="1592" spans="17:17" x14ac:dyDescent="0.35">
      <c r="Q1592" s="71">
        <f>LN(Sales_Deals!G1589)</f>
        <v>11.947878175374278</v>
      </c>
    </row>
    <row r="1593" spans="17:17" x14ac:dyDescent="0.35">
      <c r="Q1593" s="71">
        <f>LN(Sales_Deals!G1590)</f>
        <v>10.147648679072807</v>
      </c>
    </row>
    <row r="1594" spans="17:17" x14ac:dyDescent="0.35">
      <c r="Q1594" s="71">
        <f>LN(Sales_Deals!G1591)</f>
        <v>10.752462577125415</v>
      </c>
    </row>
    <row r="1595" spans="17:17" x14ac:dyDescent="0.35">
      <c r="Q1595" s="71">
        <f>LN(Sales_Deals!G1592)</f>
        <v>11.832956133886707</v>
      </c>
    </row>
    <row r="1596" spans="17:17" x14ac:dyDescent="0.35">
      <c r="Q1596" s="71">
        <f>LN(Sales_Deals!G1593)</f>
        <v>10.403899137953246</v>
      </c>
    </row>
    <row r="1597" spans="17:17" x14ac:dyDescent="0.35">
      <c r="Q1597" s="71">
        <f>LN(Sales_Deals!G1594)</f>
        <v>11.912218229967051</v>
      </c>
    </row>
    <row r="1598" spans="17:17" x14ac:dyDescent="0.35">
      <c r="Q1598" s="71">
        <f>LN(Sales_Deals!G1595)</f>
        <v>11.417295233954979</v>
      </c>
    </row>
    <row r="1599" spans="17:17" x14ac:dyDescent="0.35">
      <c r="Q1599" s="71">
        <f>LN(Sales_Deals!G1596)</f>
        <v>12.519846351486034</v>
      </c>
    </row>
    <row r="1600" spans="17:17" x14ac:dyDescent="0.35">
      <c r="Q1600" s="71">
        <f>LN(Sales_Deals!G1597)</f>
        <v>11.063430096355843</v>
      </c>
    </row>
    <row r="1601" spans="17:17" x14ac:dyDescent="0.35">
      <c r="Q1601" s="71">
        <f>LN(Sales_Deals!G1598)</f>
        <v>11.815951711156609</v>
      </c>
    </row>
    <row r="1602" spans="17:17" x14ac:dyDescent="0.35">
      <c r="Q1602" s="71">
        <f>LN(Sales_Deals!G1599)</f>
        <v>12.72671591808013</v>
      </c>
    </row>
    <row r="1603" spans="17:17" x14ac:dyDescent="0.35">
      <c r="Q1603" s="71">
        <f>LN(Sales_Deals!G1600)</f>
        <v>11.158476612878028</v>
      </c>
    </row>
    <row r="1604" spans="17:17" x14ac:dyDescent="0.35">
      <c r="Q1604" s="71">
        <f>LN(Sales_Deals!G1601)</f>
        <v>11.963077090700798</v>
      </c>
    </row>
    <row r="1605" spans="17:17" x14ac:dyDescent="0.35">
      <c r="Q1605" s="71">
        <f>LN(Sales_Deals!G1602)</f>
        <v>12.211756461998471</v>
      </c>
    </row>
    <row r="1606" spans="17:17" x14ac:dyDescent="0.35">
      <c r="Q1606" s="71">
        <f>LN(Sales_Deals!G1603)</f>
        <v>12.992557607449434</v>
      </c>
    </row>
    <row r="1607" spans="17:17" x14ac:dyDescent="0.35">
      <c r="Q1607" s="71">
        <f>LN(Sales_Deals!G1604)</f>
        <v>12.59071580701268</v>
      </c>
    </row>
    <row r="1608" spans="17:17" x14ac:dyDescent="0.35">
      <c r="Q1608" s="71">
        <f>LN(Sales_Deals!G1605)</f>
        <v>11.905190500864446</v>
      </c>
    </row>
    <row r="1609" spans="17:17" x14ac:dyDescent="0.35">
      <c r="Q1609" s="71">
        <f>LN(Sales_Deals!G1606)</f>
        <v>10.546235775512221</v>
      </c>
    </row>
    <row r="1610" spans="17:17" x14ac:dyDescent="0.35">
      <c r="Q1610" s="71">
        <f>LN(Sales_Deals!G1607)</f>
        <v>10.932928382342938</v>
      </c>
    </row>
    <row r="1611" spans="17:17" x14ac:dyDescent="0.35">
      <c r="Q1611" s="71">
        <f>LN(Sales_Deals!G1608)</f>
        <v>11.912365793822223</v>
      </c>
    </row>
    <row r="1612" spans="17:17" x14ac:dyDescent="0.35">
      <c r="Q1612" s="71">
        <f>LN(Sales_Deals!G1609)</f>
        <v>13.092153623339611</v>
      </c>
    </row>
    <row r="1613" spans="17:17" x14ac:dyDescent="0.35">
      <c r="Q1613" s="71">
        <f>LN(Sales_Deals!G1610)</f>
        <v>12.611571086416129</v>
      </c>
    </row>
    <row r="1614" spans="17:17" x14ac:dyDescent="0.35">
      <c r="Q1614" s="71">
        <f>LN(Sales_Deals!G1611)</f>
        <v>12.925995633176969</v>
      </c>
    </row>
    <row r="1615" spans="17:17" x14ac:dyDescent="0.35">
      <c r="Q1615" s="71">
        <f>LN(Sales_Deals!G1612)</f>
        <v>12.881361307788806</v>
      </c>
    </row>
    <row r="1616" spans="17:17" x14ac:dyDescent="0.35">
      <c r="Q1616" s="71">
        <f>LN(Sales_Deals!G1613)</f>
        <v>12.879950356640032</v>
      </c>
    </row>
    <row r="1617" spans="17:17" x14ac:dyDescent="0.35">
      <c r="Q1617" s="71">
        <f>LN(Sales_Deals!G1614)</f>
        <v>12.451349439478845</v>
      </c>
    </row>
    <row r="1618" spans="17:17" x14ac:dyDescent="0.35">
      <c r="Q1618" s="71">
        <f>LN(Sales_Deals!G1615)</f>
        <v>12.343074259963958</v>
      </c>
    </row>
    <row r="1619" spans="17:17" x14ac:dyDescent="0.35">
      <c r="Q1619" s="71">
        <f>LN(Sales_Deals!G1616)</f>
        <v>13.035058866546073</v>
      </c>
    </row>
    <row r="1620" spans="17:17" x14ac:dyDescent="0.35">
      <c r="Q1620" s="71">
        <f>LN(Sales_Deals!G1617)</f>
        <v>12.309896481099702</v>
      </c>
    </row>
    <row r="1621" spans="17:17" x14ac:dyDescent="0.35">
      <c r="Q1621" s="71">
        <f>LN(Sales_Deals!G1618)</f>
        <v>12.953745889444685</v>
      </c>
    </row>
    <row r="1622" spans="17:17" x14ac:dyDescent="0.35">
      <c r="Q1622" s="71">
        <f>LN(Sales_Deals!G1619)</f>
        <v>9.4794510588425283</v>
      </c>
    </row>
    <row r="1623" spans="17:17" x14ac:dyDescent="0.35">
      <c r="Q1623" s="71">
        <f>LN(Sales_Deals!G1620)</f>
        <v>10.516508688616788</v>
      </c>
    </row>
    <row r="1624" spans="17:17" x14ac:dyDescent="0.35">
      <c r="Q1624" s="71">
        <f>LN(Sales_Deals!G1621)</f>
        <v>13.009161084109518</v>
      </c>
    </row>
    <row r="1625" spans="17:17" x14ac:dyDescent="0.35">
      <c r="Q1625" s="71">
        <f>LN(Sales_Deals!G1622)</f>
        <v>12.251834419226835</v>
      </c>
    </row>
    <row r="1626" spans="17:17" x14ac:dyDescent="0.35">
      <c r="Q1626" s="71">
        <f>LN(Sales_Deals!G1623)</f>
        <v>9.7646277031527084</v>
      </c>
    </row>
    <row r="1627" spans="17:17" x14ac:dyDescent="0.35">
      <c r="Q1627" s="71">
        <f>LN(Sales_Deals!G1624)</f>
        <v>13.101456340472277</v>
      </c>
    </row>
    <row r="1628" spans="17:17" x14ac:dyDescent="0.35">
      <c r="Q1628" s="71">
        <f>LN(Sales_Deals!G1625)</f>
        <v>12.467982960824482</v>
      </c>
    </row>
    <row r="1629" spans="17:17" x14ac:dyDescent="0.35">
      <c r="Q1629" s="71">
        <f>LN(Sales_Deals!G1626)</f>
        <v>10.587215511179581</v>
      </c>
    </row>
    <row r="1630" spans="17:17" x14ac:dyDescent="0.35">
      <c r="Q1630" s="71">
        <f>LN(Sales_Deals!G1627)</f>
        <v>12.398559031623005</v>
      </c>
    </row>
    <row r="1631" spans="17:17" x14ac:dyDescent="0.35">
      <c r="Q1631" s="71">
        <f>LN(Sales_Deals!G1628)</f>
        <v>10.980654865992737</v>
      </c>
    </row>
    <row r="1632" spans="17:17" x14ac:dyDescent="0.35">
      <c r="Q1632" s="71">
        <f>LN(Sales_Deals!G1629)</f>
        <v>11.777886355284986</v>
      </c>
    </row>
    <row r="1633" spans="17:17" x14ac:dyDescent="0.35">
      <c r="Q1633" s="71">
        <f>LN(Sales_Deals!G1630)</f>
        <v>12.996296626319435</v>
      </c>
    </row>
    <row r="1634" spans="17:17" x14ac:dyDescent="0.35">
      <c r="Q1634" s="71">
        <f>LN(Sales_Deals!G1631)</f>
        <v>12.778274608502272</v>
      </c>
    </row>
    <row r="1635" spans="17:17" x14ac:dyDescent="0.35">
      <c r="Q1635" s="71">
        <f>LN(Sales_Deals!G1632)</f>
        <v>10.046461721487235</v>
      </c>
    </row>
    <row r="1636" spans="17:17" x14ac:dyDescent="0.35">
      <c r="Q1636" s="71">
        <f>LN(Sales_Deals!G1633)</f>
        <v>12.502596761644369</v>
      </c>
    </row>
    <row r="1637" spans="17:17" x14ac:dyDescent="0.35">
      <c r="Q1637" s="71">
        <f>LN(Sales_Deals!G1634)</f>
        <v>12.025946676668056</v>
      </c>
    </row>
    <row r="1638" spans="17:17" x14ac:dyDescent="0.35">
      <c r="Q1638" s="71">
        <f>LN(Sales_Deals!G1635)</f>
        <v>12.810216466419696</v>
      </c>
    </row>
    <row r="1639" spans="17:17" x14ac:dyDescent="0.35">
      <c r="Q1639" s="71">
        <f>LN(Sales_Deals!G1636)</f>
        <v>11.211996032432818</v>
      </c>
    </row>
    <row r="1640" spans="17:17" x14ac:dyDescent="0.35">
      <c r="Q1640" s="71">
        <f>LN(Sales_Deals!G1637)</f>
        <v>12.462353056217419</v>
      </c>
    </row>
    <row r="1641" spans="17:17" x14ac:dyDescent="0.35">
      <c r="Q1641" s="71">
        <f>LN(Sales_Deals!G1638)</f>
        <v>12.628735684466449</v>
      </c>
    </row>
    <row r="1642" spans="17:17" x14ac:dyDescent="0.35">
      <c r="Q1642" s="71">
        <f>LN(Sales_Deals!G1639)</f>
        <v>12.290188584782712</v>
      </c>
    </row>
    <row r="1643" spans="17:17" x14ac:dyDescent="0.35">
      <c r="Q1643" s="71">
        <f>LN(Sales_Deals!G1640)</f>
        <v>12.325458839885103</v>
      </c>
    </row>
    <row r="1644" spans="17:17" x14ac:dyDescent="0.35">
      <c r="Q1644" s="71">
        <f>LN(Sales_Deals!G1641)</f>
        <v>12.334575792690263</v>
      </c>
    </row>
    <row r="1645" spans="17:17" x14ac:dyDescent="0.35">
      <c r="Q1645" s="71">
        <f>LN(Sales_Deals!G1642)</f>
        <v>12.501254027733506</v>
      </c>
    </row>
    <row r="1646" spans="17:17" x14ac:dyDescent="0.35">
      <c r="Q1646" s="71">
        <f>LN(Sales_Deals!G1643)</f>
        <v>12.197949743910623</v>
      </c>
    </row>
    <row r="1647" spans="17:17" x14ac:dyDescent="0.35">
      <c r="Q1647" s="71">
        <f>LN(Sales_Deals!G1644)</f>
        <v>12.913342135196196</v>
      </c>
    </row>
    <row r="1648" spans="17:17" x14ac:dyDescent="0.35">
      <c r="Q1648" s="71">
        <f>LN(Sales_Deals!G1645)</f>
        <v>9.6979383096228702</v>
      </c>
    </row>
    <row r="1649" spans="17:17" x14ac:dyDescent="0.35">
      <c r="Q1649" s="71">
        <f>LN(Sales_Deals!G1646)</f>
        <v>12.48325352293096</v>
      </c>
    </row>
    <row r="1650" spans="17:17" x14ac:dyDescent="0.35">
      <c r="Q1650" s="71">
        <f>LN(Sales_Deals!G1647)</f>
        <v>12.508714756496236</v>
      </c>
    </row>
    <row r="1651" spans="17:17" x14ac:dyDescent="0.35">
      <c r="Q1651" s="71">
        <f>LN(Sales_Deals!G1648)</f>
        <v>12.016448489545876</v>
      </c>
    </row>
    <row r="1652" spans="17:17" x14ac:dyDescent="0.35">
      <c r="Q1652" s="71">
        <f>LN(Sales_Deals!G1649)</f>
        <v>12.921282153242357</v>
      </c>
    </row>
    <row r="1653" spans="17:17" x14ac:dyDescent="0.35">
      <c r="Q1653" s="71">
        <f>LN(Sales_Deals!G1650)</f>
        <v>12.773959845114129</v>
      </c>
    </row>
    <row r="1654" spans="17:17" x14ac:dyDescent="0.35">
      <c r="Q1654" s="71">
        <f>LN(Sales_Deals!G1651)</f>
        <v>12.387164279612515</v>
      </c>
    </row>
    <row r="1655" spans="17:17" x14ac:dyDescent="0.35">
      <c r="Q1655" s="71">
        <f>LN(Sales_Deals!G1652)</f>
        <v>11.918057184177155</v>
      </c>
    </row>
    <row r="1656" spans="17:17" x14ac:dyDescent="0.35">
      <c r="Q1656" s="71">
        <f>LN(Sales_Deals!G1653)</f>
        <v>11.232404358159233</v>
      </c>
    </row>
    <row r="1657" spans="17:17" x14ac:dyDescent="0.35">
      <c r="Q1657" s="71">
        <f>LN(Sales_Deals!G1654)</f>
        <v>12.802180151571635</v>
      </c>
    </row>
    <row r="1658" spans="17:17" x14ac:dyDescent="0.35">
      <c r="Q1658" s="71">
        <f>LN(Sales_Deals!G1655)</f>
        <v>12.620854220275687</v>
      </c>
    </row>
    <row r="1659" spans="17:17" x14ac:dyDescent="0.35">
      <c r="Q1659" s="71">
        <f>LN(Sales_Deals!G1656)</f>
        <v>12.527685019244363</v>
      </c>
    </row>
    <row r="1660" spans="17:17" x14ac:dyDescent="0.35">
      <c r="Q1660" s="71">
        <f>LN(Sales_Deals!G1657)</f>
        <v>12.755020302198197</v>
      </c>
    </row>
    <row r="1661" spans="17:17" x14ac:dyDescent="0.35">
      <c r="Q1661" s="71">
        <f>LN(Sales_Deals!G1658)</f>
        <v>12.479129539536409</v>
      </c>
    </row>
    <row r="1662" spans="17:17" x14ac:dyDescent="0.35">
      <c r="Q1662" s="71">
        <f>LN(Sales_Deals!G1659)</f>
        <v>12.435675291905122</v>
      </c>
    </row>
    <row r="1663" spans="17:17" x14ac:dyDescent="0.35">
      <c r="Q1663" s="71">
        <f>LN(Sales_Deals!G1660)</f>
        <v>13.01839744441944</v>
      </c>
    </row>
    <row r="1664" spans="17:17" x14ac:dyDescent="0.35">
      <c r="Q1664" s="71">
        <f>LN(Sales_Deals!G1661)</f>
        <v>12.363956348946539</v>
      </c>
    </row>
    <row r="1665" spans="17:17" x14ac:dyDescent="0.35">
      <c r="Q1665" s="71">
        <f>LN(Sales_Deals!G1662)</f>
        <v>12.847700190299811</v>
      </c>
    </row>
    <row r="1666" spans="17:17" x14ac:dyDescent="0.35">
      <c r="Q1666" s="71">
        <f>LN(Sales_Deals!G1663)</f>
        <v>12.546771651050518</v>
      </c>
    </row>
    <row r="1667" spans="17:17" x14ac:dyDescent="0.35">
      <c r="Q1667" s="71">
        <f>LN(Sales_Deals!G1664)</f>
        <v>12.877209363317901</v>
      </c>
    </row>
    <row r="1668" spans="17:17" x14ac:dyDescent="0.35">
      <c r="Q1668" s="71">
        <f>LN(Sales_Deals!G1665)</f>
        <v>11.020643506405467</v>
      </c>
    </row>
    <row r="1669" spans="17:17" x14ac:dyDescent="0.35">
      <c r="Q1669" s="71">
        <f>LN(Sales_Deals!G1666)</f>
        <v>13.005049481684594</v>
      </c>
    </row>
    <row r="1670" spans="17:17" x14ac:dyDescent="0.35">
      <c r="Q1670" s="71">
        <f>LN(Sales_Deals!G1667)</f>
        <v>11.794752932620215</v>
      </c>
    </row>
    <row r="1671" spans="17:17" x14ac:dyDescent="0.35">
      <c r="Q1671" s="71">
        <f>LN(Sales_Deals!G1668)</f>
        <v>12.014748688454869</v>
      </c>
    </row>
    <row r="1672" spans="17:17" x14ac:dyDescent="0.35">
      <c r="Q1672" s="71">
        <f>LN(Sales_Deals!G1669)</f>
        <v>13.103683999027817</v>
      </c>
    </row>
    <row r="1673" spans="17:17" x14ac:dyDescent="0.35">
      <c r="Q1673" s="71">
        <f>LN(Sales_Deals!G1670)</f>
        <v>12.892114643960072</v>
      </c>
    </row>
    <row r="1674" spans="17:17" x14ac:dyDescent="0.35">
      <c r="Q1674" s="71">
        <f>LN(Sales_Deals!G1671)</f>
        <v>13.004815564081003</v>
      </c>
    </row>
    <row r="1675" spans="17:17" x14ac:dyDescent="0.35">
      <c r="Q1675" s="71">
        <f>LN(Sales_Deals!G1672)</f>
        <v>10.839914189496584</v>
      </c>
    </row>
    <row r="1676" spans="17:17" x14ac:dyDescent="0.35">
      <c r="Q1676" s="71">
        <f>LN(Sales_Deals!G1673)</f>
        <v>10.897720325689868</v>
      </c>
    </row>
    <row r="1677" spans="17:17" x14ac:dyDescent="0.35">
      <c r="Q1677" s="71">
        <f>LN(Sales_Deals!G1674)</f>
        <v>11.118815640900198</v>
      </c>
    </row>
    <row r="1678" spans="17:17" x14ac:dyDescent="0.35">
      <c r="Q1678" s="71">
        <f>LN(Sales_Deals!G1675)</f>
        <v>12.420788785759999</v>
      </c>
    </row>
    <row r="1679" spans="17:17" x14ac:dyDescent="0.35">
      <c r="Q1679" s="71">
        <f>LN(Sales_Deals!G1676)</f>
        <v>11.845052560839701</v>
      </c>
    </row>
    <row r="1680" spans="17:17" x14ac:dyDescent="0.35">
      <c r="Q1680" s="71">
        <f>LN(Sales_Deals!G1677)</f>
        <v>12.721954465166856</v>
      </c>
    </row>
    <row r="1681" spans="17:17" x14ac:dyDescent="0.35">
      <c r="Q1681" s="71">
        <f>LN(Sales_Deals!G1678)</f>
        <v>12.634443404709922</v>
      </c>
    </row>
    <row r="1682" spans="17:17" x14ac:dyDescent="0.35">
      <c r="Q1682" s="71">
        <f>LN(Sales_Deals!G1679)</f>
        <v>12.401939548507491</v>
      </c>
    </row>
    <row r="1683" spans="17:17" x14ac:dyDescent="0.35">
      <c r="Q1683" s="71">
        <f>LN(Sales_Deals!G1680)</f>
        <v>13.04967224720968</v>
      </c>
    </row>
    <row r="1684" spans="17:17" x14ac:dyDescent="0.35">
      <c r="Q1684" s="71">
        <f>LN(Sales_Deals!G1681)</f>
        <v>12.748963636215949</v>
      </c>
    </row>
    <row r="1685" spans="17:17" x14ac:dyDescent="0.35">
      <c r="Q1685" s="71">
        <f>LN(Sales_Deals!G1682)</f>
        <v>12.655181363654892</v>
      </c>
    </row>
    <row r="1686" spans="17:17" x14ac:dyDescent="0.35">
      <c r="Q1686" s="71">
        <f>LN(Sales_Deals!G1683)</f>
        <v>12.11738349823438</v>
      </c>
    </row>
    <row r="1687" spans="17:17" x14ac:dyDescent="0.35">
      <c r="Q1687" s="71">
        <f>LN(Sales_Deals!G1684)</f>
        <v>13.958762923458265</v>
      </c>
    </row>
    <row r="1688" spans="17:17" x14ac:dyDescent="0.35">
      <c r="Q1688" s="71">
        <f>LN(Sales_Deals!G1685)</f>
        <v>12.019899681580053</v>
      </c>
    </row>
    <row r="1689" spans="17:17" x14ac:dyDescent="0.35">
      <c r="Q1689" s="71">
        <f>LN(Sales_Deals!G1686)</f>
        <v>12.33510769473612</v>
      </c>
    </row>
    <row r="1690" spans="17:17" x14ac:dyDescent="0.35">
      <c r="Q1690" s="71">
        <f>LN(Sales_Deals!G1687)</f>
        <v>11.689715082095354</v>
      </c>
    </row>
    <row r="1691" spans="17:17" x14ac:dyDescent="0.35">
      <c r="Q1691" s="71">
        <f>LN(Sales_Deals!G1688)</f>
        <v>12.599060232127226</v>
      </c>
    </row>
    <row r="1692" spans="17:17" x14ac:dyDescent="0.35">
      <c r="Q1692" s="71">
        <f>LN(Sales_Deals!G1689)</f>
        <v>12.869129107406103</v>
      </c>
    </row>
    <row r="1693" spans="17:17" x14ac:dyDescent="0.35">
      <c r="Q1693" s="71">
        <f>LN(Sales_Deals!G1690)</f>
        <v>11.302661119481185</v>
      </c>
    </row>
    <row r="1694" spans="17:17" x14ac:dyDescent="0.35">
      <c r="Q1694" s="71">
        <f>LN(Sales_Deals!G1691)</f>
        <v>12.939538493962766</v>
      </c>
    </row>
    <row r="1695" spans="17:17" x14ac:dyDescent="0.35">
      <c r="Q1695" s="71">
        <f>LN(Sales_Deals!G1692)</f>
        <v>11.922488830404548</v>
      </c>
    </row>
    <row r="1696" spans="17:17" x14ac:dyDescent="0.35">
      <c r="Q1696" s="71">
        <f>LN(Sales_Deals!G1693)</f>
        <v>12.946609009343923</v>
      </c>
    </row>
    <row r="1697" spans="17:17" x14ac:dyDescent="0.35">
      <c r="Q1697" s="71">
        <f>LN(Sales_Deals!G1694)</f>
        <v>12.235869283564213</v>
      </c>
    </row>
    <row r="1698" spans="17:17" x14ac:dyDescent="0.35">
      <c r="Q1698" s="71">
        <f>LN(Sales_Deals!G1695)</f>
        <v>11.815870464087922</v>
      </c>
    </row>
    <row r="1699" spans="17:17" x14ac:dyDescent="0.35">
      <c r="Q1699" s="71">
        <f>LN(Sales_Deals!G1696)</f>
        <v>12.948640743673739</v>
      </c>
    </row>
    <row r="1700" spans="17:17" x14ac:dyDescent="0.35">
      <c r="Q1700" s="71">
        <f>LN(Sales_Deals!G1697)</f>
        <v>13.105717602003683</v>
      </c>
    </row>
    <row r="1701" spans="17:17" x14ac:dyDescent="0.35">
      <c r="Q1701" s="71">
        <f>LN(Sales_Deals!G1698)</f>
        <v>9.4061538356184364</v>
      </c>
    </row>
    <row r="1702" spans="17:17" x14ac:dyDescent="0.35">
      <c r="Q1702" s="71">
        <f>LN(Sales_Deals!G1699)</f>
        <v>13.091864993894518</v>
      </c>
    </row>
    <row r="1703" spans="17:17" x14ac:dyDescent="0.35">
      <c r="Q1703" s="71">
        <f>LN(Sales_Deals!G1700)</f>
        <v>10.323315683480059</v>
      </c>
    </row>
    <row r="1704" spans="17:17" x14ac:dyDescent="0.35">
      <c r="Q1704" s="71">
        <f>LN(Sales_Deals!G1701)</f>
        <v>11.828378334367367</v>
      </c>
    </row>
    <row r="1705" spans="17:17" x14ac:dyDescent="0.35">
      <c r="Q1705" s="71">
        <f>LN(Sales_Deals!G1702)</f>
        <v>11.618779858650225</v>
      </c>
    </row>
    <row r="1706" spans="17:17" x14ac:dyDescent="0.35">
      <c r="Q1706" s="71">
        <f>LN(Sales_Deals!G1703)</f>
        <v>10.329833138223648</v>
      </c>
    </row>
    <row r="1707" spans="17:17" x14ac:dyDescent="0.35">
      <c r="Q1707" s="71">
        <f>LN(Sales_Deals!G1704)</f>
        <v>12.690484476324297</v>
      </c>
    </row>
    <row r="1708" spans="17:17" x14ac:dyDescent="0.35">
      <c r="Q1708" s="71">
        <f>LN(Sales_Deals!G1705)</f>
        <v>13.110999047325279</v>
      </c>
    </row>
    <row r="1709" spans="17:17" x14ac:dyDescent="0.35">
      <c r="Q1709" s="71">
        <f>LN(Sales_Deals!G1706)</f>
        <v>12.033360767514651</v>
      </c>
    </row>
    <row r="1710" spans="17:17" x14ac:dyDescent="0.35">
      <c r="Q1710" s="71">
        <f>LN(Sales_Deals!G1707)</f>
        <v>12.864995808634832</v>
      </c>
    </row>
    <row r="1711" spans="17:17" x14ac:dyDescent="0.35">
      <c r="Q1711" s="71">
        <f>LN(Sales_Deals!G1708)</f>
        <v>11.875434358284934</v>
      </c>
    </row>
    <row r="1712" spans="17:17" x14ac:dyDescent="0.35">
      <c r="Q1712" s="71">
        <f>LN(Sales_Deals!G1709)</f>
        <v>12.654229998150264</v>
      </c>
    </row>
    <row r="1713" spans="17:17" x14ac:dyDescent="0.35">
      <c r="Q1713" s="71">
        <f>LN(Sales_Deals!G1710)</f>
        <v>12.76900008674084</v>
      </c>
    </row>
    <row r="1714" spans="17:17" x14ac:dyDescent="0.35">
      <c r="Q1714" s="71">
        <f>LN(Sales_Deals!G1711)</f>
        <v>13.017113966685232</v>
      </c>
    </row>
    <row r="1715" spans="17:17" x14ac:dyDescent="0.35">
      <c r="Q1715" s="71">
        <f>LN(Sales_Deals!G1712)</f>
        <v>13.030346767838083</v>
      </c>
    </row>
    <row r="1716" spans="17:17" x14ac:dyDescent="0.35">
      <c r="Q1716" s="71">
        <f>LN(Sales_Deals!G1713)</f>
        <v>12.466431053457995</v>
      </c>
    </row>
    <row r="1717" spans="17:17" x14ac:dyDescent="0.35">
      <c r="Q1717" s="71">
        <f>LN(Sales_Deals!G1714)</f>
        <v>12.936527653150517</v>
      </c>
    </row>
    <row r="1718" spans="17:17" x14ac:dyDescent="0.35">
      <c r="Q1718" s="71">
        <f>LN(Sales_Deals!G1715)</f>
        <v>12.789084038057233</v>
      </c>
    </row>
    <row r="1719" spans="17:17" x14ac:dyDescent="0.35">
      <c r="Q1719" s="71">
        <f>LN(Sales_Deals!G1716)</f>
        <v>12.632143979531286</v>
      </c>
    </row>
    <row r="1720" spans="17:17" x14ac:dyDescent="0.35">
      <c r="Q1720" s="71">
        <f>LN(Sales_Deals!G1717)</f>
        <v>13.791577431890989</v>
      </c>
    </row>
    <row r="1721" spans="17:17" x14ac:dyDescent="0.35">
      <c r="Q1721" s="71">
        <f>LN(Sales_Deals!G1718)</f>
        <v>12.099016248233188</v>
      </c>
    </row>
    <row r="1722" spans="17:17" x14ac:dyDescent="0.35">
      <c r="Q1722" s="71">
        <f>LN(Sales_Deals!G1719)</f>
        <v>12.798188813482401</v>
      </c>
    </row>
    <row r="1723" spans="17:17" x14ac:dyDescent="0.35">
      <c r="Q1723" s="71">
        <f>LN(Sales_Deals!G1720)</f>
        <v>10.867520280395704</v>
      </c>
    </row>
    <row r="1724" spans="17:17" x14ac:dyDescent="0.35">
      <c r="Q1724" s="71">
        <f>LN(Sales_Deals!G1721)</f>
        <v>10.965816144126991</v>
      </c>
    </row>
    <row r="1725" spans="17:17" x14ac:dyDescent="0.35">
      <c r="Q1725" s="71">
        <f>LN(Sales_Deals!G1722)</f>
        <v>9.7569577598402315</v>
      </c>
    </row>
    <row r="1726" spans="17:17" x14ac:dyDescent="0.35">
      <c r="Q1726" s="71">
        <f>LN(Sales_Deals!G1723)</f>
        <v>12.563414866789868</v>
      </c>
    </row>
    <row r="1727" spans="17:17" x14ac:dyDescent="0.35">
      <c r="Q1727" s="71">
        <f>LN(Sales_Deals!G1724)</f>
        <v>12.614745935249299</v>
      </c>
    </row>
    <row r="1728" spans="17:17" x14ac:dyDescent="0.35">
      <c r="Q1728" s="71">
        <f>LN(Sales_Deals!G1725)</f>
        <v>12.109572758304544</v>
      </c>
    </row>
    <row r="1729" spans="17:17" x14ac:dyDescent="0.35">
      <c r="Q1729" s="71">
        <f>LN(Sales_Deals!G1726)</f>
        <v>13.074823031886085</v>
      </c>
    </row>
    <row r="1730" spans="17:17" x14ac:dyDescent="0.35">
      <c r="Q1730" s="71">
        <f>LN(Sales_Deals!G1727)</f>
        <v>11.24483684761285</v>
      </c>
    </row>
    <row r="1731" spans="17:17" x14ac:dyDescent="0.35">
      <c r="Q1731" s="71">
        <f>LN(Sales_Deals!G1728)</f>
        <v>11.966844172679815</v>
      </c>
    </row>
    <row r="1732" spans="17:17" x14ac:dyDescent="0.35">
      <c r="Q1732" s="71">
        <f>LN(Sales_Deals!G1729)</f>
        <v>12.075929791034474</v>
      </c>
    </row>
    <row r="1733" spans="17:17" x14ac:dyDescent="0.35">
      <c r="Q1733" s="71">
        <f>LN(Sales_Deals!G1730)</f>
        <v>11.911265248135804</v>
      </c>
    </row>
    <row r="1734" spans="17:17" x14ac:dyDescent="0.35">
      <c r="Q1734" s="71">
        <f>LN(Sales_Deals!G1731)</f>
        <v>12.189851796002623</v>
      </c>
    </row>
    <row r="1735" spans="17:17" x14ac:dyDescent="0.35">
      <c r="Q1735" s="71">
        <f>LN(Sales_Deals!G1732)</f>
        <v>13.000125684478876</v>
      </c>
    </row>
    <row r="1736" spans="17:17" x14ac:dyDescent="0.35">
      <c r="Q1736" s="71">
        <f>LN(Sales_Deals!G1733)</f>
        <v>11.842322732919477</v>
      </c>
    </row>
    <row r="1737" spans="17:17" x14ac:dyDescent="0.35">
      <c r="Q1737" s="71">
        <f>LN(Sales_Deals!G1734)</f>
        <v>11.716037722846149</v>
      </c>
    </row>
    <row r="1738" spans="17:17" x14ac:dyDescent="0.35">
      <c r="Q1738" s="71">
        <f>LN(Sales_Deals!G1735)</f>
        <v>11.022653820151987</v>
      </c>
    </row>
    <row r="1739" spans="17:17" x14ac:dyDescent="0.35">
      <c r="Q1739" s="71">
        <f>LN(Sales_Deals!G1736)</f>
        <v>12.677762352547566</v>
      </c>
    </row>
    <row r="1740" spans="17:17" x14ac:dyDescent="0.35">
      <c r="Q1740" s="71">
        <f>LN(Sales_Deals!G1737)</f>
        <v>11.426724668462366</v>
      </c>
    </row>
    <row r="1741" spans="17:17" x14ac:dyDescent="0.35">
      <c r="Q1741" s="71">
        <f>LN(Sales_Deals!G1738)</f>
        <v>12.483840736468141</v>
      </c>
    </row>
    <row r="1742" spans="17:17" x14ac:dyDescent="0.35">
      <c r="Q1742" s="71">
        <f>LN(Sales_Deals!G1739)</f>
        <v>11.955069597336884</v>
      </c>
    </row>
    <row r="1743" spans="17:17" x14ac:dyDescent="0.35">
      <c r="Q1743" s="71">
        <f>LN(Sales_Deals!G1740)</f>
        <v>12.679495422821565</v>
      </c>
    </row>
    <row r="1744" spans="17:17" x14ac:dyDescent="0.35">
      <c r="Q1744" s="71">
        <f>LN(Sales_Deals!G1741)</f>
        <v>12.685525242343745</v>
      </c>
    </row>
    <row r="1745" spans="17:17" x14ac:dyDescent="0.35">
      <c r="Q1745" s="71">
        <f>LN(Sales_Deals!G1742)</f>
        <v>13.006150857841673</v>
      </c>
    </row>
    <row r="1746" spans="17:17" x14ac:dyDescent="0.35">
      <c r="Q1746" s="71">
        <f>LN(Sales_Deals!G1743)</f>
        <v>12.949620597297326</v>
      </c>
    </row>
    <row r="1747" spans="17:17" x14ac:dyDescent="0.35">
      <c r="Q1747" s="71">
        <f>LN(Sales_Deals!G1744)</f>
        <v>11.330383883972724</v>
      </c>
    </row>
    <row r="1748" spans="17:17" x14ac:dyDescent="0.35">
      <c r="Q1748" s="71">
        <f>LN(Sales_Deals!G1745)</f>
        <v>11.753020524176144</v>
      </c>
    </row>
    <row r="1749" spans="17:17" x14ac:dyDescent="0.35">
      <c r="Q1749" s="71">
        <f>LN(Sales_Deals!G1746)</f>
        <v>12.09746798442951</v>
      </c>
    </row>
    <row r="1750" spans="17:17" x14ac:dyDescent="0.35">
      <c r="Q1750" s="71">
        <f>LN(Sales_Deals!G1747)</f>
        <v>13.053876806297135</v>
      </c>
    </row>
    <row r="1751" spans="17:17" x14ac:dyDescent="0.35">
      <c r="Q1751" s="71">
        <f>LN(Sales_Deals!G1748)</f>
        <v>12.201773417077341</v>
      </c>
    </row>
    <row r="1752" spans="17:17" x14ac:dyDescent="0.35">
      <c r="Q1752" s="71">
        <f>LN(Sales_Deals!G1749)</f>
        <v>12.894224872051607</v>
      </c>
    </row>
    <row r="1753" spans="17:17" x14ac:dyDescent="0.35">
      <c r="Q1753" s="71">
        <f>LN(Sales_Deals!G1750)</f>
        <v>12.884233083781796</v>
      </c>
    </row>
    <row r="1754" spans="17:17" x14ac:dyDescent="0.35">
      <c r="Q1754" s="71">
        <f>LN(Sales_Deals!G1751)</f>
        <v>12.867360153876227</v>
      </c>
    </row>
    <row r="1755" spans="17:17" x14ac:dyDescent="0.35">
      <c r="Q1755" s="71">
        <f>LN(Sales_Deals!G1752)</f>
        <v>12.712429298304189</v>
      </c>
    </row>
    <row r="1756" spans="17:17" x14ac:dyDescent="0.35">
      <c r="Q1756" s="71">
        <f>LN(Sales_Deals!G1753)</f>
        <v>11.301117423319765</v>
      </c>
    </row>
    <row r="1757" spans="17:17" x14ac:dyDescent="0.35">
      <c r="Q1757" s="71">
        <f>LN(Sales_Deals!G1754)</f>
        <v>12.801915659615057</v>
      </c>
    </row>
    <row r="1758" spans="17:17" x14ac:dyDescent="0.35">
      <c r="Q1758" s="71">
        <f>LN(Sales_Deals!G1755)</f>
        <v>12.406986947681443</v>
      </c>
    </row>
    <row r="1759" spans="17:17" x14ac:dyDescent="0.35">
      <c r="Q1759" s="71">
        <f>LN(Sales_Deals!G1756)</f>
        <v>11.835588506317254</v>
      </c>
    </row>
    <row r="1760" spans="17:17" x14ac:dyDescent="0.35">
      <c r="Q1760" s="71">
        <f>LN(Sales_Deals!G1757)</f>
        <v>11.886624670314742</v>
      </c>
    </row>
    <row r="1761" spans="17:17" x14ac:dyDescent="0.35">
      <c r="Q1761" s="71">
        <f>LN(Sales_Deals!G1758)</f>
        <v>12.965140984693829</v>
      </c>
    </row>
    <row r="1762" spans="17:17" x14ac:dyDescent="0.35">
      <c r="Q1762" s="71">
        <f>LN(Sales_Deals!G1759)</f>
        <v>12.784538226006504</v>
      </c>
    </row>
    <row r="1763" spans="17:17" x14ac:dyDescent="0.35">
      <c r="Q1763" s="71">
        <f>LN(Sales_Deals!G1760)</f>
        <v>12.432618402772782</v>
      </c>
    </row>
    <row r="1764" spans="17:17" x14ac:dyDescent="0.35">
      <c r="Q1764" s="71">
        <f>LN(Sales_Deals!G1761)</f>
        <v>12.896350714121882</v>
      </c>
    </row>
    <row r="1765" spans="17:17" x14ac:dyDescent="0.35">
      <c r="Q1765" s="71">
        <f>LN(Sales_Deals!G1762)</f>
        <v>12.61393487823806</v>
      </c>
    </row>
    <row r="1766" spans="17:17" x14ac:dyDescent="0.35">
      <c r="Q1766" s="71">
        <f>LN(Sales_Deals!G1763)</f>
        <v>11.402306704497864</v>
      </c>
    </row>
    <row r="1767" spans="17:17" x14ac:dyDescent="0.35">
      <c r="Q1767" s="71">
        <f>LN(Sales_Deals!G1764)</f>
        <v>12.496291497633925</v>
      </c>
    </row>
    <row r="1768" spans="17:17" x14ac:dyDescent="0.35">
      <c r="Q1768" s="71">
        <f>LN(Sales_Deals!G1765)</f>
        <v>12.340957496816159</v>
      </c>
    </row>
    <row r="1769" spans="17:17" x14ac:dyDescent="0.35">
      <c r="Q1769" s="71">
        <f>LN(Sales_Deals!G1766)</f>
        <v>13.023843853159033</v>
      </c>
    </row>
    <row r="1770" spans="17:17" x14ac:dyDescent="0.35">
      <c r="Q1770" s="71">
        <f>LN(Sales_Deals!G1767)</f>
        <v>12.12431471770722</v>
      </c>
    </row>
    <row r="1771" spans="17:17" x14ac:dyDescent="0.35">
      <c r="Q1771" s="71">
        <f>LN(Sales_Deals!G1768)</f>
        <v>12.90117291756466</v>
      </c>
    </row>
    <row r="1772" spans="17:17" x14ac:dyDescent="0.35">
      <c r="Q1772" s="71">
        <f>LN(Sales_Deals!G1769)</f>
        <v>12.982618434884671</v>
      </c>
    </row>
    <row r="1773" spans="17:17" x14ac:dyDescent="0.35">
      <c r="Q1773" s="71">
        <f>LN(Sales_Deals!G1770)</f>
        <v>11.392891147078609</v>
      </c>
    </row>
    <row r="1774" spans="17:17" x14ac:dyDescent="0.35">
      <c r="Q1774" s="71">
        <f>LN(Sales_Deals!G1771)</f>
        <v>12.795848996360448</v>
      </c>
    </row>
    <row r="1775" spans="17:17" x14ac:dyDescent="0.35">
      <c r="Q1775" s="71">
        <f>LN(Sales_Deals!G1772)</f>
        <v>12.901779048485041</v>
      </c>
    </row>
    <row r="1776" spans="17:17" x14ac:dyDescent="0.35">
      <c r="Q1776" s="71">
        <f>LN(Sales_Deals!G1773)</f>
        <v>12.840591803492259</v>
      </c>
    </row>
    <row r="1777" spans="17:17" x14ac:dyDescent="0.35">
      <c r="Q1777" s="71">
        <f>LN(Sales_Deals!G1774)</f>
        <v>12.151732609271495</v>
      </c>
    </row>
    <row r="1778" spans="17:17" x14ac:dyDescent="0.35">
      <c r="Q1778" s="71">
        <f>LN(Sales_Deals!G1775)</f>
        <v>13.024510166836496</v>
      </c>
    </row>
    <row r="1779" spans="17:17" x14ac:dyDescent="0.35">
      <c r="Q1779" s="71">
        <f>LN(Sales_Deals!G1776)</f>
        <v>12.638484733800649</v>
      </c>
    </row>
    <row r="1780" spans="17:17" x14ac:dyDescent="0.35">
      <c r="Q1780" s="71">
        <f>LN(Sales_Deals!G1777)</f>
        <v>12.657492154798064</v>
      </c>
    </row>
    <row r="1781" spans="17:17" x14ac:dyDescent="0.35">
      <c r="Q1781" s="71">
        <f>LN(Sales_Deals!G1778)</f>
        <v>13.071676215071097</v>
      </c>
    </row>
    <row r="1782" spans="17:17" x14ac:dyDescent="0.35">
      <c r="Q1782" s="71">
        <f>LN(Sales_Deals!G1779)</f>
        <v>12.35184259061498</v>
      </c>
    </row>
    <row r="1783" spans="17:17" x14ac:dyDescent="0.35">
      <c r="Q1783" s="71">
        <f>LN(Sales_Deals!G1780)</f>
        <v>11.743219391313271</v>
      </c>
    </row>
    <row r="1784" spans="17:17" x14ac:dyDescent="0.35">
      <c r="Q1784" s="71">
        <f>LN(Sales_Deals!G1781)</f>
        <v>12.264091522398941</v>
      </c>
    </row>
    <row r="1785" spans="17:17" x14ac:dyDescent="0.35">
      <c r="Q1785" s="71">
        <f>LN(Sales_Deals!G1782)</f>
        <v>12.950559119419703</v>
      </c>
    </row>
    <row r="1786" spans="17:17" x14ac:dyDescent="0.35">
      <c r="Q1786" s="71">
        <f>LN(Sales_Deals!G1783)</f>
        <v>12.555256601950225</v>
      </c>
    </row>
    <row r="1787" spans="17:17" x14ac:dyDescent="0.35">
      <c r="Q1787" s="71">
        <f>LN(Sales_Deals!G1784)</f>
        <v>12.336407685257109</v>
      </c>
    </row>
    <row r="1788" spans="17:17" x14ac:dyDescent="0.35">
      <c r="Q1788" s="71">
        <f>LN(Sales_Deals!G1785)</f>
        <v>12.459881183155177</v>
      </c>
    </row>
    <row r="1789" spans="17:17" x14ac:dyDescent="0.35">
      <c r="Q1789" s="71">
        <f>LN(Sales_Deals!G1786)</f>
        <v>12.811808369079149</v>
      </c>
    </row>
    <row r="1790" spans="17:17" x14ac:dyDescent="0.35">
      <c r="Q1790" s="71">
        <f>LN(Sales_Deals!G1787)</f>
        <v>12.097780057769276</v>
      </c>
    </row>
    <row r="1791" spans="17:17" x14ac:dyDescent="0.35">
      <c r="Q1791" s="71">
        <f>LN(Sales_Deals!G1788)</f>
        <v>12.97881858908095</v>
      </c>
    </row>
    <row r="1792" spans="17:17" x14ac:dyDescent="0.35">
      <c r="Q1792" s="71">
        <f>LN(Sales_Deals!G1789)</f>
        <v>12.566038169566973</v>
      </c>
    </row>
    <row r="1793" spans="17:17" x14ac:dyDescent="0.35">
      <c r="Q1793" s="71">
        <f>LN(Sales_Deals!G1790)</f>
        <v>12.973775198145578</v>
      </c>
    </row>
    <row r="1794" spans="17:17" x14ac:dyDescent="0.35">
      <c r="Q1794" s="71">
        <f>LN(Sales_Deals!G1791)</f>
        <v>12.618241897229845</v>
      </c>
    </row>
    <row r="1795" spans="17:17" x14ac:dyDescent="0.35">
      <c r="Q1795" s="71">
        <f>LN(Sales_Deals!G1792)</f>
        <v>13.056710635753566</v>
      </c>
    </row>
    <row r="1796" spans="17:17" x14ac:dyDescent="0.35">
      <c r="Q1796" s="71">
        <f>LN(Sales_Deals!G1793)</f>
        <v>12.697660402492751</v>
      </c>
    </row>
    <row r="1797" spans="17:17" x14ac:dyDescent="0.35">
      <c r="Q1797" s="71">
        <f>LN(Sales_Deals!G1794)</f>
        <v>10.833917847964003</v>
      </c>
    </row>
    <row r="1798" spans="17:17" x14ac:dyDescent="0.35">
      <c r="Q1798" s="71">
        <f>LN(Sales_Deals!G1795)</f>
        <v>12.662053412412341</v>
      </c>
    </row>
    <row r="1799" spans="17:17" x14ac:dyDescent="0.35">
      <c r="Q1799" s="71">
        <f>LN(Sales_Deals!G1796)</f>
        <v>11.80432561679042</v>
      </c>
    </row>
    <row r="1800" spans="17:17" x14ac:dyDescent="0.35">
      <c r="Q1800" s="71">
        <f>LN(Sales_Deals!G1797)</f>
        <v>12.519404189709745</v>
      </c>
    </row>
    <row r="1801" spans="17:17" x14ac:dyDescent="0.35">
      <c r="Q1801" s="71">
        <f>LN(Sales_Deals!G1798)</f>
        <v>12.936814217498815</v>
      </c>
    </row>
    <row r="1802" spans="17:17" x14ac:dyDescent="0.35">
      <c r="Q1802" s="71">
        <f>LN(Sales_Deals!G1799)</f>
        <v>11.387872315966666</v>
      </c>
    </row>
    <row r="1803" spans="17:17" x14ac:dyDescent="0.35">
      <c r="Q1803" s="71">
        <f>LN(Sales_Deals!G1800)</f>
        <v>12.370196286789039</v>
      </c>
    </row>
    <row r="1804" spans="17:17" x14ac:dyDescent="0.35">
      <c r="Q1804" s="71">
        <f>LN(Sales_Deals!G1801)</f>
        <v>12.126298651749826</v>
      </c>
    </row>
    <row r="1805" spans="17:17" x14ac:dyDescent="0.35">
      <c r="Q1805" s="71">
        <f>LN(Sales_Deals!G1802)</f>
        <v>10.875591349229495</v>
      </c>
    </row>
    <row r="1806" spans="17:17" x14ac:dyDescent="0.35">
      <c r="Q1806" s="71">
        <f>LN(Sales_Deals!G1803)</f>
        <v>11.70425631592177</v>
      </c>
    </row>
    <row r="1807" spans="17:17" x14ac:dyDescent="0.35">
      <c r="Q1807" s="71">
        <f>LN(Sales_Deals!G1804)</f>
        <v>13.113395283997979</v>
      </c>
    </row>
    <row r="1808" spans="17:17" x14ac:dyDescent="0.35">
      <c r="Q1808" s="71">
        <f>LN(Sales_Deals!G1805)</f>
        <v>12.844988007941186</v>
      </c>
    </row>
    <row r="1809" spans="17:17" x14ac:dyDescent="0.35">
      <c r="Q1809" s="71">
        <f>LN(Sales_Deals!G1806)</f>
        <v>10.832615533211776</v>
      </c>
    </row>
    <row r="1810" spans="17:17" x14ac:dyDescent="0.35">
      <c r="Q1810" s="71">
        <f>LN(Sales_Deals!G1807)</f>
        <v>12.301237360209505</v>
      </c>
    </row>
    <row r="1811" spans="17:17" x14ac:dyDescent="0.35">
      <c r="Q1811" s="71">
        <f>LN(Sales_Deals!G1808)</f>
        <v>12.485634336749182</v>
      </c>
    </row>
    <row r="1812" spans="17:17" x14ac:dyDescent="0.35">
      <c r="Q1812" s="71">
        <f>LN(Sales_Deals!G1809)</f>
        <v>12.9685476414771</v>
      </c>
    </row>
    <row r="1813" spans="17:17" x14ac:dyDescent="0.35">
      <c r="Q1813" s="71">
        <f>LN(Sales_Deals!G1810)</f>
        <v>11.873142129605224</v>
      </c>
    </row>
    <row r="1814" spans="17:17" x14ac:dyDescent="0.35">
      <c r="Q1814" s="71">
        <f>LN(Sales_Deals!G1811)</f>
        <v>12.961046078600306</v>
      </c>
    </row>
    <row r="1815" spans="17:17" x14ac:dyDescent="0.35">
      <c r="Q1815" s="71">
        <f>LN(Sales_Deals!G1812)</f>
        <v>12.817627376520038</v>
      </c>
    </row>
    <row r="1816" spans="17:17" x14ac:dyDescent="0.35">
      <c r="Q1816" s="71">
        <f>LN(Sales_Deals!G1813)</f>
        <v>11.64981371703235</v>
      </c>
    </row>
    <row r="1817" spans="17:17" x14ac:dyDescent="0.35">
      <c r="Q1817" s="71">
        <f>LN(Sales_Deals!G1814)</f>
        <v>13.010228858796367</v>
      </c>
    </row>
    <row r="1818" spans="17:17" x14ac:dyDescent="0.35">
      <c r="Q1818" s="71">
        <f>LN(Sales_Deals!G1815)</f>
        <v>13.045933635103975</v>
      </c>
    </row>
    <row r="1819" spans="17:17" x14ac:dyDescent="0.35">
      <c r="Q1819" s="71">
        <f>LN(Sales_Deals!G1816)</f>
        <v>11.507480668934271</v>
      </c>
    </row>
    <row r="1820" spans="17:17" x14ac:dyDescent="0.35">
      <c r="Q1820" s="71">
        <f>LN(Sales_Deals!G1817)</f>
        <v>12.200602712687143</v>
      </c>
    </row>
    <row r="1821" spans="17:17" x14ac:dyDescent="0.35">
      <c r="Q1821" s="71">
        <f>LN(Sales_Deals!G1818)</f>
        <v>13.085288520254334</v>
      </c>
    </row>
    <row r="1822" spans="17:17" x14ac:dyDescent="0.35">
      <c r="Q1822" s="71">
        <f>LN(Sales_Deals!G1819)</f>
        <v>10.05216614490749</v>
      </c>
    </row>
    <row r="1823" spans="17:17" x14ac:dyDescent="0.35">
      <c r="Q1823" s="71">
        <f>LN(Sales_Deals!G1820)</f>
        <v>12.433256025736059</v>
      </c>
    </row>
    <row r="1824" spans="17:17" x14ac:dyDescent="0.35">
      <c r="Q1824" s="71">
        <f>LN(Sales_Deals!G1821)</f>
        <v>12.947235881190615</v>
      </c>
    </row>
    <row r="1825" spans="17:17" x14ac:dyDescent="0.35">
      <c r="Q1825" s="71">
        <f>LN(Sales_Deals!G1822)</f>
        <v>13.036088456437106</v>
      </c>
    </row>
    <row r="1826" spans="17:17" x14ac:dyDescent="0.35">
      <c r="Q1826" s="71">
        <f>LN(Sales_Deals!G1823)</f>
        <v>12.786910221344085</v>
      </c>
    </row>
    <row r="1827" spans="17:17" x14ac:dyDescent="0.35">
      <c r="Q1827" s="71">
        <f>LN(Sales_Deals!G1824)</f>
        <v>12.175840216453009</v>
      </c>
    </row>
    <row r="1828" spans="17:17" x14ac:dyDescent="0.35">
      <c r="Q1828" s="71">
        <f>LN(Sales_Deals!G1825)</f>
        <v>11.765060667434941</v>
      </c>
    </row>
    <row r="1829" spans="17:17" x14ac:dyDescent="0.35">
      <c r="Q1829" s="71">
        <f>LN(Sales_Deals!G1826)</f>
        <v>12.865862092036068</v>
      </c>
    </row>
    <row r="1830" spans="17:17" x14ac:dyDescent="0.35">
      <c r="Q1830" s="71">
        <f>LN(Sales_Deals!G1827)</f>
        <v>13.02462705689932</v>
      </c>
    </row>
    <row r="1831" spans="17:17" x14ac:dyDescent="0.35">
      <c r="Q1831" s="71">
        <f>LN(Sales_Deals!G1828)</f>
        <v>12.671945881433398</v>
      </c>
    </row>
    <row r="1832" spans="17:17" x14ac:dyDescent="0.35">
      <c r="Q1832" s="71">
        <f>LN(Sales_Deals!G1829)</f>
        <v>12.72670106451401</v>
      </c>
    </row>
    <row r="1833" spans="17:17" x14ac:dyDescent="0.35">
      <c r="Q1833" s="71">
        <f>LN(Sales_Deals!G1830)</f>
        <v>12.820901464210818</v>
      </c>
    </row>
    <row r="1834" spans="17:17" x14ac:dyDescent="0.35">
      <c r="Q1834" s="71">
        <f>LN(Sales_Deals!G1831)</f>
        <v>9.262648151599528</v>
      </c>
    </row>
    <row r="1835" spans="17:17" x14ac:dyDescent="0.35">
      <c r="Q1835" s="71">
        <f>LN(Sales_Deals!G1832)</f>
        <v>12.778517220133022</v>
      </c>
    </row>
    <row r="1836" spans="17:17" x14ac:dyDescent="0.35">
      <c r="Q1836" s="71">
        <f>LN(Sales_Deals!G1833)</f>
        <v>12.498831807722237</v>
      </c>
    </row>
    <row r="1837" spans="17:17" x14ac:dyDescent="0.35">
      <c r="Q1837" s="71">
        <f>LN(Sales_Deals!G1834)</f>
        <v>11.468377788708915</v>
      </c>
    </row>
    <row r="1838" spans="17:17" x14ac:dyDescent="0.35">
      <c r="Q1838" s="71">
        <f>LN(Sales_Deals!G1835)</f>
        <v>12.598844196912646</v>
      </c>
    </row>
    <row r="1839" spans="17:17" x14ac:dyDescent="0.35">
      <c r="Q1839" s="71">
        <f>LN(Sales_Deals!G1836)</f>
        <v>12.541179664952042</v>
      </c>
    </row>
    <row r="1840" spans="17:17" x14ac:dyDescent="0.35">
      <c r="Q1840" s="71">
        <f>LN(Sales_Deals!G1837)</f>
        <v>9.5525106297120335</v>
      </c>
    </row>
    <row r="1841" spans="17:17" x14ac:dyDescent="0.35">
      <c r="Q1841" s="71">
        <f>LN(Sales_Deals!G1838)</f>
        <v>11.507088462769596</v>
      </c>
    </row>
    <row r="1842" spans="17:17" x14ac:dyDescent="0.35">
      <c r="Q1842" s="71">
        <f>LN(Sales_Deals!G1839)</f>
        <v>11.949630808814449</v>
      </c>
    </row>
    <row r="1843" spans="17:17" x14ac:dyDescent="0.35">
      <c r="Q1843" s="71">
        <f>LN(Sales_Deals!G1840)</f>
        <v>9.4252904482618654</v>
      </c>
    </row>
    <row r="1844" spans="17:17" x14ac:dyDescent="0.35">
      <c r="Q1844" s="71">
        <f>LN(Sales_Deals!G1841)</f>
        <v>12.895470305414936</v>
      </c>
    </row>
    <row r="1845" spans="17:17" x14ac:dyDescent="0.35">
      <c r="Q1845" s="71">
        <f>LN(Sales_Deals!G1842)</f>
        <v>12.96326916509762</v>
      </c>
    </row>
    <row r="1846" spans="17:17" x14ac:dyDescent="0.35">
      <c r="Q1846" s="71">
        <f>LN(Sales_Deals!G1843)</f>
        <v>10.393814506824773</v>
      </c>
    </row>
    <row r="1847" spans="17:17" x14ac:dyDescent="0.35">
      <c r="Q1847" s="71">
        <f>LN(Sales_Deals!G1844)</f>
        <v>11.825792711610827</v>
      </c>
    </row>
    <row r="1848" spans="17:17" x14ac:dyDescent="0.35">
      <c r="Q1848" s="71">
        <f>LN(Sales_Deals!G1845)</f>
        <v>12.641219525665067</v>
      </c>
    </row>
    <row r="1849" spans="17:17" x14ac:dyDescent="0.35">
      <c r="Q1849" s="71">
        <f>LN(Sales_Deals!G1846)</f>
        <v>12.871334622600584</v>
      </c>
    </row>
    <row r="1850" spans="17:17" x14ac:dyDescent="0.35">
      <c r="Q1850" s="71">
        <f>LN(Sales_Deals!G1847)</f>
        <v>14.252440094819587</v>
      </c>
    </row>
    <row r="1851" spans="17:17" x14ac:dyDescent="0.35">
      <c r="Q1851" s="71">
        <f>LN(Sales_Deals!G1848)</f>
        <v>12.822951445009618</v>
      </c>
    </row>
    <row r="1852" spans="17:17" x14ac:dyDescent="0.35">
      <c r="Q1852" s="71">
        <f>LN(Sales_Deals!G1849)</f>
        <v>12.942683927170833</v>
      </c>
    </row>
    <row r="1853" spans="17:17" x14ac:dyDescent="0.35">
      <c r="Q1853" s="71">
        <f>LN(Sales_Deals!G1850)</f>
        <v>12.86245728914454</v>
      </c>
    </row>
    <row r="1854" spans="17:17" x14ac:dyDescent="0.35">
      <c r="Q1854" s="71">
        <f>LN(Sales_Deals!G1851)</f>
        <v>11.024383049444696</v>
      </c>
    </row>
    <row r="1855" spans="17:17" x14ac:dyDescent="0.35">
      <c r="Q1855" s="71">
        <f>LN(Sales_Deals!G1852)</f>
        <v>12.653066698210509</v>
      </c>
    </row>
    <row r="1856" spans="17:17" x14ac:dyDescent="0.35">
      <c r="Q1856" s="71">
        <f>LN(Sales_Deals!G1853)</f>
        <v>12.306922001189267</v>
      </c>
    </row>
    <row r="1857" spans="17:17" x14ac:dyDescent="0.35">
      <c r="Q1857" s="71">
        <f>LN(Sales_Deals!G1854)</f>
        <v>12.910320485161023</v>
      </c>
    </row>
    <row r="1858" spans="17:17" x14ac:dyDescent="0.35">
      <c r="Q1858" s="71">
        <f>LN(Sales_Deals!G1855)</f>
        <v>13.004784070993733</v>
      </c>
    </row>
    <row r="1859" spans="17:17" x14ac:dyDescent="0.35">
      <c r="Q1859" s="71">
        <f>LN(Sales_Deals!G1856)</f>
        <v>12.903515586086936</v>
      </c>
    </row>
    <row r="1860" spans="17:17" x14ac:dyDescent="0.35">
      <c r="Q1860" s="71">
        <f>LN(Sales_Deals!G1857)</f>
        <v>13.065845934569158</v>
      </c>
    </row>
    <row r="1861" spans="17:17" x14ac:dyDescent="0.35">
      <c r="Q1861" s="71">
        <f>LN(Sales_Deals!G1858)</f>
        <v>11.385569252329214</v>
      </c>
    </row>
    <row r="1862" spans="17:17" x14ac:dyDescent="0.35">
      <c r="Q1862" s="71">
        <f>LN(Sales_Deals!G1859)</f>
        <v>12.813147099339577</v>
      </c>
    </row>
    <row r="1863" spans="17:17" x14ac:dyDescent="0.35">
      <c r="Q1863" s="71">
        <f>LN(Sales_Deals!G1860)</f>
        <v>10.935710719873049</v>
      </c>
    </row>
    <row r="1864" spans="17:17" x14ac:dyDescent="0.35">
      <c r="Q1864" s="71">
        <f>LN(Sales_Deals!G1861)</f>
        <v>12.132646748402694</v>
      </c>
    </row>
    <row r="1865" spans="17:17" x14ac:dyDescent="0.35">
      <c r="Q1865" s="71">
        <f>LN(Sales_Deals!G1862)</f>
        <v>12.752276030837706</v>
      </c>
    </row>
    <row r="1866" spans="17:17" x14ac:dyDescent="0.35">
      <c r="Q1866" s="71">
        <f>LN(Sales_Deals!G1863)</f>
        <v>10.996634935773171</v>
      </c>
    </row>
    <row r="1867" spans="17:17" x14ac:dyDescent="0.35">
      <c r="Q1867" s="71">
        <f>LN(Sales_Deals!G1864)</f>
        <v>12.090139772267312</v>
      </c>
    </row>
    <row r="1868" spans="17:17" x14ac:dyDescent="0.35">
      <c r="Q1868" s="71">
        <f>LN(Sales_Deals!G1865)</f>
        <v>12.998417892803397</v>
      </c>
    </row>
    <row r="1869" spans="17:17" x14ac:dyDescent="0.35">
      <c r="Q1869" s="71">
        <f>LN(Sales_Deals!G1866)</f>
        <v>12.981771690886688</v>
      </c>
    </row>
    <row r="1870" spans="17:17" x14ac:dyDescent="0.35">
      <c r="Q1870" s="71">
        <f>LN(Sales_Deals!G1867)</f>
        <v>10.939124542042725</v>
      </c>
    </row>
    <row r="1871" spans="17:17" x14ac:dyDescent="0.35">
      <c r="Q1871" s="71">
        <f>LN(Sales_Deals!G1868)</f>
        <v>10.928453301035939</v>
      </c>
    </row>
    <row r="1872" spans="17:17" x14ac:dyDescent="0.35">
      <c r="Q1872" s="71">
        <f>LN(Sales_Deals!G1869)</f>
        <v>12.376831781084565</v>
      </c>
    </row>
    <row r="1873" spans="17:17" x14ac:dyDescent="0.35">
      <c r="Q1873" s="71">
        <f>LN(Sales_Deals!G1870)</f>
        <v>10.672901088549523</v>
      </c>
    </row>
    <row r="1874" spans="17:17" x14ac:dyDescent="0.35">
      <c r="Q1874" s="71">
        <f>LN(Sales_Deals!G1871)</f>
        <v>9.5169423292804751</v>
      </c>
    </row>
    <row r="1875" spans="17:17" x14ac:dyDescent="0.35">
      <c r="Q1875" s="71">
        <f>LN(Sales_Deals!G1872)</f>
        <v>11.701692869247571</v>
      </c>
    </row>
    <row r="1876" spans="17:17" x14ac:dyDescent="0.35">
      <c r="Q1876" s="71">
        <f>LN(Sales_Deals!G1873)</f>
        <v>13.028177964812139</v>
      </c>
    </row>
    <row r="1877" spans="17:17" x14ac:dyDescent="0.35">
      <c r="Q1877" s="71">
        <f>LN(Sales_Deals!G1874)</f>
        <v>12.527177405020264</v>
      </c>
    </row>
    <row r="1878" spans="17:17" x14ac:dyDescent="0.35">
      <c r="Q1878" s="71">
        <f>LN(Sales_Deals!G1875)</f>
        <v>13.086446002217528</v>
      </c>
    </row>
    <row r="1879" spans="17:17" x14ac:dyDescent="0.35">
      <c r="Q1879" s="71">
        <f>LN(Sales_Deals!G1876)</f>
        <v>12.856964513193006</v>
      </c>
    </row>
    <row r="1880" spans="17:17" x14ac:dyDescent="0.35">
      <c r="Q1880" s="71">
        <f>LN(Sales_Deals!G1877)</f>
        <v>12.882701649077026</v>
      </c>
    </row>
    <row r="1881" spans="17:17" x14ac:dyDescent="0.35">
      <c r="Q1881" s="71">
        <f>LN(Sales_Deals!G1878)</f>
        <v>11.793265651616158</v>
      </c>
    </row>
    <row r="1882" spans="17:17" x14ac:dyDescent="0.35">
      <c r="Q1882" s="71">
        <f>LN(Sales_Deals!G1879)</f>
        <v>11.47623035978244</v>
      </c>
    </row>
    <row r="1883" spans="17:17" x14ac:dyDescent="0.35">
      <c r="Q1883" s="71">
        <f>LN(Sales_Deals!G1880)</f>
        <v>13.110974772731067</v>
      </c>
    </row>
    <row r="1884" spans="17:17" x14ac:dyDescent="0.35">
      <c r="Q1884" s="71">
        <f>LN(Sales_Deals!G1881)</f>
        <v>11.855741820757956</v>
      </c>
    </row>
    <row r="1885" spans="17:17" x14ac:dyDescent="0.35">
      <c r="Q1885" s="71">
        <f>LN(Sales_Deals!G1882)</f>
        <v>9.6484017357873348</v>
      </c>
    </row>
    <row r="1886" spans="17:17" x14ac:dyDescent="0.35">
      <c r="Q1886" s="71">
        <f>LN(Sales_Deals!G1883)</f>
        <v>11.250053071427022</v>
      </c>
    </row>
    <row r="1887" spans="17:17" x14ac:dyDescent="0.35">
      <c r="Q1887" s="71">
        <f>LN(Sales_Deals!G1884)</f>
        <v>12.246105528784014</v>
      </c>
    </row>
    <row r="1888" spans="17:17" x14ac:dyDescent="0.35">
      <c r="Q1888" s="71">
        <f>LN(Sales_Deals!G1885)</f>
        <v>11.997749970425517</v>
      </c>
    </row>
    <row r="1889" spans="17:17" x14ac:dyDescent="0.35">
      <c r="Q1889" s="71">
        <f>LN(Sales_Deals!G1886)</f>
        <v>12.931103593407471</v>
      </c>
    </row>
    <row r="1890" spans="17:17" x14ac:dyDescent="0.35">
      <c r="Q1890" s="71">
        <f>LN(Sales_Deals!G1887)</f>
        <v>13.121691151511122</v>
      </c>
    </row>
    <row r="1891" spans="17:17" x14ac:dyDescent="0.35">
      <c r="Q1891" s="71">
        <f>LN(Sales_Deals!G1888)</f>
        <v>12.479194226650566</v>
      </c>
    </row>
    <row r="1892" spans="17:17" x14ac:dyDescent="0.35">
      <c r="Q1892" s="71">
        <f>LN(Sales_Deals!G1889)</f>
        <v>12.795524589751354</v>
      </c>
    </row>
    <row r="1893" spans="17:17" x14ac:dyDescent="0.35">
      <c r="Q1893" s="71">
        <f>LN(Sales_Deals!G1890)</f>
        <v>12.980341182582029</v>
      </c>
    </row>
    <row r="1894" spans="17:17" x14ac:dyDescent="0.35">
      <c r="Q1894" s="71">
        <f>LN(Sales_Deals!G1891)</f>
        <v>12.904637623286611</v>
      </c>
    </row>
    <row r="1895" spans="17:17" x14ac:dyDescent="0.35">
      <c r="Q1895" s="71">
        <f>LN(Sales_Deals!G1892)</f>
        <v>10.920709002988724</v>
      </c>
    </row>
    <row r="1896" spans="17:17" x14ac:dyDescent="0.35">
      <c r="Q1896" s="71">
        <f>LN(Sales_Deals!G1893)</f>
        <v>11.741279418532317</v>
      </c>
    </row>
    <row r="1897" spans="17:17" x14ac:dyDescent="0.35">
      <c r="Q1897" s="71">
        <f>LN(Sales_Deals!G1894)</f>
        <v>11.741828399152769</v>
      </c>
    </row>
    <row r="1898" spans="17:17" x14ac:dyDescent="0.35">
      <c r="Q1898" s="71">
        <f>LN(Sales_Deals!G1895)</f>
        <v>12.98676814223545</v>
      </c>
    </row>
    <row r="1899" spans="17:17" x14ac:dyDescent="0.35">
      <c r="Q1899" s="71">
        <f>LN(Sales_Deals!G1896)</f>
        <v>11.706582531427928</v>
      </c>
    </row>
    <row r="1900" spans="17:17" x14ac:dyDescent="0.35">
      <c r="Q1900" s="71">
        <f>LN(Sales_Deals!G1897)</f>
        <v>11.500225156391997</v>
      </c>
    </row>
    <row r="1901" spans="17:17" x14ac:dyDescent="0.35">
      <c r="Q1901" s="71">
        <f>LN(Sales_Deals!G1898)</f>
        <v>12.894993407351642</v>
      </c>
    </row>
    <row r="1902" spans="17:17" x14ac:dyDescent="0.35">
      <c r="Q1902" s="71">
        <f>LN(Sales_Deals!G1899)</f>
        <v>11.795657807696095</v>
      </c>
    </row>
    <row r="1903" spans="17:17" x14ac:dyDescent="0.35">
      <c r="Q1903" s="71">
        <f>LN(Sales_Deals!G1900)</f>
        <v>11.954555339528117</v>
      </c>
    </row>
    <row r="1904" spans="17:17" x14ac:dyDescent="0.35">
      <c r="Q1904" s="71">
        <f>LN(Sales_Deals!G1901)</f>
        <v>9.8980226471050603</v>
      </c>
    </row>
    <row r="1905" spans="17:17" x14ac:dyDescent="0.35">
      <c r="Q1905" s="71">
        <f>LN(Sales_Deals!G1902)</f>
        <v>9.6810937201124645</v>
      </c>
    </row>
    <row r="1906" spans="17:17" x14ac:dyDescent="0.35">
      <c r="Q1906" s="71">
        <f>LN(Sales_Deals!G1903)</f>
        <v>12.209576499856851</v>
      </c>
    </row>
    <row r="1907" spans="17:17" x14ac:dyDescent="0.35">
      <c r="Q1907" s="71">
        <f>LN(Sales_Deals!G1904)</f>
        <v>11.393127901514633</v>
      </c>
    </row>
    <row r="1908" spans="17:17" x14ac:dyDescent="0.35">
      <c r="Q1908" s="71">
        <f>LN(Sales_Deals!G1905)</f>
        <v>12.945552210487008</v>
      </c>
    </row>
    <row r="1909" spans="17:17" x14ac:dyDescent="0.35">
      <c r="Q1909" s="71">
        <f>LN(Sales_Deals!G1906)</f>
        <v>11.724393117494886</v>
      </c>
    </row>
    <row r="1910" spans="17:17" x14ac:dyDescent="0.35">
      <c r="Q1910" s="71">
        <f>LN(Sales_Deals!G1907)</f>
        <v>12.605462670968736</v>
      </c>
    </row>
    <row r="1911" spans="17:17" x14ac:dyDescent="0.35">
      <c r="Q1911" s="71">
        <f>LN(Sales_Deals!G1908)</f>
        <v>12.721115364836182</v>
      </c>
    </row>
    <row r="1912" spans="17:17" x14ac:dyDescent="0.35">
      <c r="Q1912" s="71">
        <f>LN(Sales_Deals!G1909)</f>
        <v>11.316886249848027</v>
      </c>
    </row>
    <row r="1913" spans="17:17" x14ac:dyDescent="0.35">
      <c r="Q1913" s="71">
        <f>LN(Sales_Deals!G1910)</f>
        <v>12.578222237107063</v>
      </c>
    </row>
    <row r="1914" spans="17:17" x14ac:dyDescent="0.35">
      <c r="Q1914" s="71">
        <f>LN(Sales_Deals!G1911)</f>
        <v>12.85003220794632</v>
      </c>
    </row>
    <row r="1915" spans="17:17" x14ac:dyDescent="0.35">
      <c r="Q1915" s="71">
        <f>LN(Sales_Deals!G1912)</f>
        <v>11.324231648385243</v>
      </c>
    </row>
    <row r="1916" spans="17:17" x14ac:dyDescent="0.35">
      <c r="Q1916" s="71">
        <f>LN(Sales_Deals!G1913)</f>
        <v>12.279100034063651</v>
      </c>
    </row>
    <row r="1917" spans="17:17" x14ac:dyDescent="0.35">
      <c r="Q1917" s="71">
        <f>LN(Sales_Deals!G1914)</f>
        <v>11.305101467763851</v>
      </c>
    </row>
    <row r="1918" spans="17:17" x14ac:dyDescent="0.35">
      <c r="Q1918" s="71">
        <f>LN(Sales_Deals!G1915)</f>
        <v>12.317300912215883</v>
      </c>
    </row>
    <row r="1919" spans="17:17" x14ac:dyDescent="0.35">
      <c r="Q1919" s="71">
        <f>LN(Sales_Deals!G1916)</f>
        <v>13.119677774398713</v>
      </c>
    </row>
    <row r="1920" spans="17:17" x14ac:dyDescent="0.35">
      <c r="Q1920" s="71">
        <f>LN(Sales_Deals!G1917)</f>
        <v>12.449567693092281</v>
      </c>
    </row>
    <row r="1921" spans="17:17" x14ac:dyDescent="0.35">
      <c r="Q1921" s="71">
        <f>LN(Sales_Deals!G1918)</f>
        <v>11.256535319862383</v>
      </c>
    </row>
    <row r="1922" spans="17:17" x14ac:dyDescent="0.35">
      <c r="Q1922" s="71">
        <f>LN(Sales_Deals!G1919)</f>
        <v>12.101589522628505</v>
      </c>
    </row>
    <row r="1923" spans="17:17" x14ac:dyDescent="0.35">
      <c r="Q1923" s="71">
        <f>LN(Sales_Deals!G1920)</f>
        <v>11.389604623935409</v>
      </c>
    </row>
    <row r="1924" spans="17:17" x14ac:dyDescent="0.35">
      <c r="Q1924" s="71">
        <f>LN(Sales_Deals!G1921)</f>
        <v>12.828201690854629</v>
      </c>
    </row>
    <row r="1925" spans="17:17" x14ac:dyDescent="0.35">
      <c r="Q1925" s="71">
        <f>LN(Sales_Deals!G1922)</f>
        <v>11.994777375296835</v>
      </c>
    </row>
    <row r="1926" spans="17:17" x14ac:dyDescent="0.35">
      <c r="Q1926" s="71">
        <f>LN(Sales_Deals!G1923)</f>
        <v>11.334205414957941</v>
      </c>
    </row>
    <row r="1927" spans="17:17" x14ac:dyDescent="0.35">
      <c r="Q1927" s="71">
        <f>LN(Sales_Deals!G1924)</f>
        <v>11.435190924760807</v>
      </c>
    </row>
    <row r="1928" spans="17:17" x14ac:dyDescent="0.35">
      <c r="Q1928" s="71">
        <f>LN(Sales_Deals!G1925)</f>
        <v>12.759957758756611</v>
      </c>
    </row>
    <row r="1929" spans="17:17" x14ac:dyDescent="0.35">
      <c r="Q1929" s="71">
        <f>LN(Sales_Deals!G1926)</f>
        <v>12.848544761611702</v>
      </c>
    </row>
    <row r="1930" spans="17:17" x14ac:dyDescent="0.35">
      <c r="Q1930" s="71">
        <f>LN(Sales_Deals!G1927)</f>
        <v>12.794939282607906</v>
      </c>
    </row>
    <row r="1931" spans="17:17" x14ac:dyDescent="0.35">
      <c r="Q1931" s="71">
        <f>LN(Sales_Deals!G1928)</f>
        <v>11.728673738501374</v>
      </c>
    </row>
    <row r="1932" spans="17:17" x14ac:dyDescent="0.35">
      <c r="Q1932" s="71">
        <f>LN(Sales_Deals!G1929)</f>
        <v>12.415547200316633</v>
      </c>
    </row>
    <row r="1933" spans="17:17" x14ac:dyDescent="0.35">
      <c r="Q1933" s="71">
        <f>LN(Sales_Deals!G1930)</f>
        <v>11.417262222846738</v>
      </c>
    </row>
    <row r="1934" spans="17:17" x14ac:dyDescent="0.35">
      <c r="Q1934" s="71">
        <f>LN(Sales_Deals!G1931)</f>
        <v>13.030243702521993</v>
      </c>
    </row>
    <row r="1935" spans="17:17" x14ac:dyDescent="0.35">
      <c r="Q1935" s="71">
        <f>LN(Sales_Deals!G1932)</f>
        <v>12.517684844831992</v>
      </c>
    </row>
    <row r="1936" spans="17:17" x14ac:dyDescent="0.35">
      <c r="Q1936" s="71">
        <f>LN(Sales_Deals!G1933)</f>
        <v>12.46183052039731</v>
      </c>
    </row>
    <row r="1937" spans="17:17" x14ac:dyDescent="0.35">
      <c r="Q1937" s="71">
        <f>LN(Sales_Deals!G1934)</f>
        <v>12.830633122105979</v>
      </c>
    </row>
    <row r="1938" spans="17:17" x14ac:dyDescent="0.35">
      <c r="Q1938" s="71">
        <f>LN(Sales_Deals!G1935)</f>
        <v>12.951589291198177</v>
      </c>
    </row>
    <row r="1939" spans="17:17" x14ac:dyDescent="0.35">
      <c r="Q1939" s="71">
        <f>LN(Sales_Deals!G1936)</f>
        <v>10.406805060811797</v>
      </c>
    </row>
    <row r="1940" spans="17:17" x14ac:dyDescent="0.35">
      <c r="Q1940" s="71">
        <f>LN(Sales_Deals!G1937)</f>
        <v>11.857202876098221</v>
      </c>
    </row>
    <row r="1941" spans="17:17" x14ac:dyDescent="0.35">
      <c r="Q1941" s="71">
        <f>LN(Sales_Deals!G1938)</f>
        <v>10.515993929932415</v>
      </c>
    </row>
    <row r="1942" spans="17:17" x14ac:dyDescent="0.35">
      <c r="Q1942" s="71">
        <f>LN(Sales_Deals!G1939)</f>
        <v>12.079431744562775</v>
      </c>
    </row>
    <row r="1943" spans="17:17" x14ac:dyDescent="0.35">
      <c r="Q1943" s="71">
        <f>LN(Sales_Deals!G1940)</f>
        <v>12.897140165093495</v>
      </c>
    </row>
    <row r="1944" spans="17:17" x14ac:dyDescent="0.35">
      <c r="Q1944" s="71">
        <f>LN(Sales_Deals!G1941)</f>
        <v>11.769062689296309</v>
      </c>
    </row>
    <row r="1945" spans="17:17" x14ac:dyDescent="0.35">
      <c r="Q1945" s="71">
        <f>LN(Sales_Deals!G1942)</f>
        <v>13.95485676175821</v>
      </c>
    </row>
    <row r="1946" spans="17:17" x14ac:dyDescent="0.35">
      <c r="Q1946" s="71">
        <f>LN(Sales_Deals!G1943)</f>
        <v>13.11560660172111</v>
      </c>
    </row>
    <row r="1947" spans="17:17" x14ac:dyDescent="0.35">
      <c r="Q1947" s="71">
        <f>LN(Sales_Deals!G1944)</f>
        <v>12.389689196790059</v>
      </c>
    </row>
    <row r="1948" spans="17:17" x14ac:dyDescent="0.35">
      <c r="Q1948" s="71">
        <f>LN(Sales_Deals!G1945)</f>
        <v>11.607271543814905</v>
      </c>
    </row>
    <row r="1949" spans="17:17" x14ac:dyDescent="0.35">
      <c r="Q1949" s="71">
        <f>LN(Sales_Deals!G1946)</f>
        <v>12.376119171448515</v>
      </c>
    </row>
    <row r="1950" spans="17:17" x14ac:dyDescent="0.35">
      <c r="Q1950" s="71">
        <f>LN(Sales_Deals!G1947)</f>
        <v>12.190476657905618</v>
      </c>
    </row>
    <row r="1951" spans="17:17" x14ac:dyDescent="0.35">
      <c r="Q1951" s="71">
        <f>LN(Sales_Deals!G1948)</f>
        <v>13.104500787018985</v>
      </c>
    </row>
    <row r="1952" spans="17:17" x14ac:dyDescent="0.35">
      <c r="Q1952" s="71">
        <f>LN(Sales_Deals!G1949)</f>
        <v>12.534282269158023</v>
      </c>
    </row>
    <row r="1953" spans="17:17" x14ac:dyDescent="0.35">
      <c r="Q1953" s="71">
        <f>LN(Sales_Deals!G1950)</f>
        <v>13.022348548071255</v>
      </c>
    </row>
    <row r="1954" spans="17:17" x14ac:dyDescent="0.35">
      <c r="Q1954" s="71">
        <f>LN(Sales_Deals!G1951)</f>
        <v>11.608462891679292</v>
      </c>
    </row>
    <row r="1955" spans="17:17" x14ac:dyDescent="0.35">
      <c r="Q1955" s="71">
        <f>LN(Sales_Deals!G1952)</f>
        <v>11.311898039220727</v>
      </c>
    </row>
    <row r="1956" spans="17:17" x14ac:dyDescent="0.35">
      <c r="Q1956" s="71">
        <f>LN(Sales_Deals!G1953)</f>
        <v>14.497579096367192</v>
      </c>
    </row>
    <row r="1957" spans="17:17" x14ac:dyDescent="0.35">
      <c r="Q1957" s="71">
        <f>LN(Sales_Deals!G1954)</f>
        <v>12.561510324372021</v>
      </c>
    </row>
    <row r="1958" spans="17:17" x14ac:dyDescent="0.35">
      <c r="Q1958" s="71">
        <f>LN(Sales_Deals!G1955)</f>
        <v>12.184624264724302</v>
      </c>
    </row>
    <row r="1959" spans="17:17" x14ac:dyDescent="0.35">
      <c r="Q1959" s="71">
        <f>LN(Sales_Deals!G1956)</f>
        <v>13.053534063969602</v>
      </c>
    </row>
    <row r="1960" spans="17:17" x14ac:dyDescent="0.35">
      <c r="Q1960" s="71">
        <f>LN(Sales_Deals!G1957)</f>
        <v>12.325507649268937</v>
      </c>
    </row>
    <row r="1961" spans="17:17" x14ac:dyDescent="0.35">
      <c r="Q1961" s="71">
        <f>LN(Sales_Deals!G1958)</f>
        <v>12.515342515618848</v>
      </c>
    </row>
    <row r="1962" spans="17:17" x14ac:dyDescent="0.35">
      <c r="Q1962" s="71">
        <f>LN(Sales_Deals!G1959)</f>
        <v>12.9813204148731</v>
      </c>
    </row>
    <row r="1963" spans="17:17" x14ac:dyDescent="0.35">
      <c r="Q1963" s="71">
        <f>LN(Sales_Deals!G1960)</f>
        <v>12.982726527204818</v>
      </c>
    </row>
    <row r="1964" spans="17:17" x14ac:dyDescent="0.35">
      <c r="Q1964" s="71">
        <f>LN(Sales_Deals!G1961)</f>
        <v>12.915240802144298</v>
      </c>
    </row>
    <row r="1965" spans="17:17" x14ac:dyDescent="0.35">
      <c r="Q1965" s="71">
        <f>LN(Sales_Deals!G1962)</f>
        <v>11.160327911451519</v>
      </c>
    </row>
    <row r="1966" spans="17:17" x14ac:dyDescent="0.35">
      <c r="Q1966" s="71">
        <f>LN(Sales_Deals!G1963)</f>
        <v>12.9578165106782</v>
      </c>
    </row>
    <row r="1967" spans="17:17" x14ac:dyDescent="0.35">
      <c r="Q1967" s="71">
        <f>LN(Sales_Deals!G1964)</f>
        <v>12.566055611924343</v>
      </c>
    </row>
    <row r="1968" spans="17:17" x14ac:dyDescent="0.35">
      <c r="Q1968" s="71">
        <f>LN(Sales_Deals!G1965)</f>
        <v>11.720232274458091</v>
      </c>
    </row>
    <row r="1969" spans="17:17" x14ac:dyDescent="0.35">
      <c r="Q1969" s="71">
        <f>LN(Sales_Deals!G1966)</f>
        <v>11.746549899439147</v>
      </c>
    </row>
    <row r="1970" spans="17:17" x14ac:dyDescent="0.35">
      <c r="Q1970" s="71">
        <f>LN(Sales_Deals!G1967)</f>
        <v>10.96306444421219</v>
      </c>
    </row>
    <row r="1971" spans="17:17" x14ac:dyDescent="0.35">
      <c r="Q1971" s="71">
        <f>LN(Sales_Deals!G1968)</f>
        <v>12.802896132854528</v>
      </c>
    </row>
    <row r="1972" spans="17:17" x14ac:dyDescent="0.35">
      <c r="Q1972" s="71">
        <f>LN(Sales_Deals!G1969)</f>
        <v>13.118602313462095</v>
      </c>
    </row>
    <row r="1973" spans="17:17" x14ac:dyDescent="0.35">
      <c r="Q1973" s="71">
        <f>LN(Sales_Deals!G1970)</f>
        <v>12.865784545003754</v>
      </c>
    </row>
    <row r="1974" spans="17:17" x14ac:dyDescent="0.35">
      <c r="Q1974" s="71">
        <f>LN(Sales_Deals!G1971)</f>
        <v>13.048389550098939</v>
      </c>
    </row>
    <row r="1975" spans="17:17" x14ac:dyDescent="0.35">
      <c r="Q1975" s="71">
        <f>LN(Sales_Deals!G1972)</f>
        <v>12.229837999080436</v>
      </c>
    </row>
    <row r="1976" spans="17:17" x14ac:dyDescent="0.35">
      <c r="Q1976" s="71">
        <f>LN(Sales_Deals!G1973)</f>
        <v>12.741155665242291</v>
      </c>
    </row>
    <row r="1977" spans="17:17" x14ac:dyDescent="0.35">
      <c r="Q1977" s="71">
        <f>LN(Sales_Deals!G1974)</f>
        <v>12.50049073002711</v>
      </c>
    </row>
    <row r="1978" spans="17:17" x14ac:dyDescent="0.35">
      <c r="Q1978" s="71">
        <f>LN(Sales_Deals!G1975)</f>
        <v>12.973536169390208</v>
      </c>
    </row>
    <row r="1979" spans="17:17" x14ac:dyDescent="0.35">
      <c r="Q1979" s="71">
        <f>LN(Sales_Deals!G1976)</f>
        <v>9.7021054930034314</v>
      </c>
    </row>
    <row r="1980" spans="17:17" x14ac:dyDescent="0.35">
      <c r="Q1980" s="71">
        <f>LN(Sales_Deals!G1977)</f>
        <v>10.641369064436244</v>
      </c>
    </row>
    <row r="1981" spans="17:17" x14ac:dyDescent="0.35">
      <c r="Q1981" s="71">
        <f>LN(Sales_Deals!G1978)</f>
        <v>11.408786425229083</v>
      </c>
    </row>
    <row r="1982" spans="17:17" x14ac:dyDescent="0.35">
      <c r="Q1982" s="71">
        <f>LN(Sales_Deals!G1979)</f>
        <v>11.353964902849597</v>
      </c>
    </row>
    <row r="1983" spans="17:17" x14ac:dyDescent="0.35">
      <c r="Q1983" s="71">
        <f>LN(Sales_Deals!G1980)</f>
        <v>12.672494869192212</v>
      </c>
    </row>
    <row r="1984" spans="17:17" x14ac:dyDescent="0.35">
      <c r="Q1984" s="71">
        <f>LN(Sales_Deals!G1981)</f>
        <v>12.257739620090591</v>
      </c>
    </row>
    <row r="1985" spans="17:17" x14ac:dyDescent="0.35">
      <c r="Q1985" s="71">
        <f>LN(Sales_Deals!G1982)</f>
        <v>10.646828673415323</v>
      </c>
    </row>
    <row r="1986" spans="17:17" x14ac:dyDescent="0.35">
      <c r="Q1986" s="71">
        <f>LN(Sales_Deals!G1983)</f>
        <v>12.193807738110101</v>
      </c>
    </row>
    <row r="1987" spans="17:17" x14ac:dyDescent="0.35">
      <c r="Q1987" s="71">
        <f>LN(Sales_Deals!G1984)</f>
        <v>10.343321880723835</v>
      </c>
    </row>
    <row r="1988" spans="17:17" x14ac:dyDescent="0.35">
      <c r="Q1988" s="71">
        <f>LN(Sales_Deals!G1985)</f>
        <v>12.203007954157329</v>
      </c>
    </row>
    <row r="1989" spans="17:17" x14ac:dyDescent="0.35">
      <c r="Q1989" s="71">
        <f>LN(Sales_Deals!G1986)</f>
        <v>10.595834412925305</v>
      </c>
    </row>
    <row r="1990" spans="17:17" x14ac:dyDescent="0.35">
      <c r="Q1990" s="71">
        <f>LN(Sales_Deals!G1987)</f>
        <v>11.355768604439563</v>
      </c>
    </row>
    <row r="1991" spans="17:17" x14ac:dyDescent="0.35">
      <c r="Q1991" s="71">
        <f>LN(Sales_Deals!G1988)</f>
        <v>11.025376818108731</v>
      </c>
    </row>
    <row r="1992" spans="17:17" x14ac:dyDescent="0.35">
      <c r="Q1992" s="71">
        <f>LN(Sales_Deals!G1989)</f>
        <v>12.291355446058631</v>
      </c>
    </row>
    <row r="1993" spans="17:17" x14ac:dyDescent="0.35">
      <c r="Q1993" s="71">
        <f>LN(Sales_Deals!G1990)</f>
        <v>12.046191410725724</v>
      </c>
    </row>
    <row r="1994" spans="17:17" x14ac:dyDescent="0.35">
      <c r="Q1994" s="71">
        <f>LN(Sales_Deals!G1991)</f>
        <v>12.581696911627317</v>
      </c>
    </row>
    <row r="1995" spans="17:17" x14ac:dyDescent="0.35">
      <c r="Q1995" s="71">
        <f>LN(Sales_Deals!G1992)</f>
        <v>12.981847651005362</v>
      </c>
    </row>
    <row r="1996" spans="17:17" x14ac:dyDescent="0.35">
      <c r="Q1996" s="71">
        <f>LN(Sales_Deals!G1993)</f>
        <v>12.657418928894527</v>
      </c>
    </row>
    <row r="1997" spans="17:17" x14ac:dyDescent="0.35">
      <c r="Q1997" s="71">
        <f>LN(Sales_Deals!G1994)</f>
        <v>13.110462846145941</v>
      </c>
    </row>
    <row r="1998" spans="17:17" x14ac:dyDescent="0.35">
      <c r="Q1998" s="71">
        <f>LN(Sales_Deals!G1995)</f>
        <v>11.804654338067623</v>
      </c>
    </row>
    <row r="1999" spans="17:17" x14ac:dyDescent="0.35">
      <c r="Q1999" s="71">
        <f>LN(Sales_Deals!G1996)</f>
        <v>13.095770911234505</v>
      </c>
    </row>
    <row r="2000" spans="17:17" x14ac:dyDescent="0.35">
      <c r="Q2000" s="71">
        <f>LN(Sales_Deals!G1997)</f>
        <v>10.9492087798385</v>
      </c>
    </row>
    <row r="2001" spans="17:17" x14ac:dyDescent="0.35">
      <c r="Q2001" s="71">
        <f>LN(Sales_Deals!G1998)</f>
        <v>12.66993558426906</v>
      </c>
    </row>
    <row r="2002" spans="17:17" x14ac:dyDescent="0.35">
      <c r="Q2002" s="71">
        <f>LN(Sales_Deals!G1999)</f>
        <v>11.972695660793045</v>
      </c>
    </row>
    <row r="2003" spans="17:17" x14ac:dyDescent="0.35">
      <c r="Q2003" s="71">
        <f>LN(Sales_Deals!G2000)</f>
        <v>12.731395672272523</v>
      </c>
    </row>
    <row r="2004" spans="17:17" x14ac:dyDescent="0.35">
      <c r="Q2004" s="71">
        <f>LN(Sales_Deals!G2001)</f>
        <v>13.098490678592771</v>
      </c>
    </row>
    <row r="2005" spans="17:17" x14ac:dyDescent="0.35">
      <c r="Q2005" s="71">
        <f>LN(Sales_Deals!G2002)</f>
        <v>11.792638367772332</v>
      </c>
    </row>
    <row r="2006" spans="17:17" x14ac:dyDescent="0.35">
      <c r="Q2006" s="71">
        <f>LN(Sales_Deals!G2003)</f>
        <v>12.354897741002063</v>
      </c>
    </row>
    <row r="2007" spans="17:17" x14ac:dyDescent="0.35">
      <c r="Q2007" s="71">
        <f>LN(Sales_Deals!G2004)</f>
        <v>12.080968500835736</v>
      </c>
    </row>
    <row r="2008" spans="17:17" x14ac:dyDescent="0.35">
      <c r="Q2008" s="71">
        <f>LN(Sales_Deals!G2005)</f>
        <v>12.684534155846078</v>
      </c>
    </row>
    <row r="2009" spans="17:17" x14ac:dyDescent="0.35">
      <c r="Q2009" s="71">
        <f>LN(Sales_Deals!G2006)</f>
        <v>9.6724378296508213</v>
      </c>
    </row>
    <row r="2010" spans="17:17" x14ac:dyDescent="0.35">
      <c r="Q2010" s="71">
        <f>LN(Sales_Deals!G2007)</f>
        <v>12.743495408587069</v>
      </c>
    </row>
    <row r="2011" spans="17:17" x14ac:dyDescent="0.35">
      <c r="Q2011" s="71">
        <f>LN(Sales_Deals!G2008)</f>
        <v>12.907944158189096</v>
      </c>
    </row>
    <row r="2012" spans="17:17" x14ac:dyDescent="0.35">
      <c r="Q2012" s="71">
        <f>LN(Sales_Deals!G2009)</f>
        <v>12.677806027890036</v>
      </c>
    </row>
    <row r="2013" spans="17:17" x14ac:dyDescent="0.35">
      <c r="Q2013" s="71">
        <f>LN(Sales_Deals!G2010)</f>
        <v>12.216829581682875</v>
      </c>
    </row>
    <row r="2014" spans="17:17" x14ac:dyDescent="0.35">
      <c r="Q2014" s="71">
        <f>LN(Sales_Deals!G2011)</f>
        <v>12.598783428598576</v>
      </c>
    </row>
    <row r="2015" spans="17:17" x14ac:dyDescent="0.35">
      <c r="Q2015" s="71">
        <f>LN(Sales_Deals!G2012)</f>
        <v>12.122843198926891</v>
      </c>
    </row>
    <row r="2016" spans="17:17" x14ac:dyDescent="0.35">
      <c r="Q2016" s="71">
        <f>LN(Sales_Deals!G2013)</f>
        <v>12.499939303943354</v>
      </c>
    </row>
    <row r="2017" spans="17:17" x14ac:dyDescent="0.35">
      <c r="Q2017" s="71">
        <f>LN(Sales_Deals!G2014)</f>
        <v>11.640984411036261</v>
      </c>
    </row>
    <row r="2018" spans="17:17" x14ac:dyDescent="0.35">
      <c r="Q2018" s="71">
        <f>LN(Sales_Deals!G2015)</f>
        <v>12.506366109032141</v>
      </c>
    </row>
    <row r="2019" spans="17:17" x14ac:dyDescent="0.35">
      <c r="Q2019" s="71">
        <f>LN(Sales_Deals!G2016)</f>
        <v>11.535909301360604</v>
      </c>
    </row>
    <row r="2020" spans="17:17" x14ac:dyDescent="0.35">
      <c r="Q2020" s="71">
        <f>LN(Sales_Deals!G2017)</f>
        <v>13.100432647302819</v>
      </c>
    </row>
    <row r="2021" spans="17:17" x14ac:dyDescent="0.35">
      <c r="Q2021" s="71">
        <f>LN(Sales_Deals!G2018)</f>
        <v>9.7180009923990163</v>
      </c>
    </row>
    <row r="2022" spans="17:17" x14ac:dyDescent="0.35">
      <c r="Q2022" s="71">
        <f>LN(Sales_Deals!G2019)</f>
        <v>12.342699243061999</v>
      </c>
    </row>
    <row r="2023" spans="17:17" x14ac:dyDescent="0.35">
      <c r="Q2023" s="71">
        <f>LN(Sales_Deals!G2020)</f>
        <v>13.828831439747118</v>
      </c>
    </row>
    <row r="2024" spans="17:17" x14ac:dyDescent="0.35">
      <c r="Q2024" s="71">
        <f>LN(Sales_Deals!G2021)</f>
        <v>11.724465960433403</v>
      </c>
    </row>
    <row r="2025" spans="17:17" x14ac:dyDescent="0.35">
      <c r="Q2025" s="71">
        <f>LN(Sales_Deals!G2022)</f>
        <v>13.096280148354932</v>
      </c>
    </row>
    <row r="2026" spans="17:17" x14ac:dyDescent="0.35">
      <c r="Q2026" s="71">
        <f>LN(Sales_Deals!G2023)</f>
        <v>12.062756394075519</v>
      </c>
    </row>
    <row r="2027" spans="17:17" x14ac:dyDescent="0.35">
      <c r="Q2027" s="71">
        <f>LN(Sales_Deals!G2024)</f>
        <v>12.440148223893942</v>
      </c>
    </row>
    <row r="2028" spans="17:17" x14ac:dyDescent="0.35">
      <c r="Q2028" s="71">
        <f>LN(Sales_Deals!G2025)</f>
        <v>12.955184194007552</v>
      </c>
    </row>
    <row r="2029" spans="17:17" x14ac:dyDescent="0.35">
      <c r="Q2029" s="71">
        <f>LN(Sales_Deals!G2026)</f>
        <v>14.426661582445455</v>
      </c>
    </row>
    <row r="2030" spans="17:17" x14ac:dyDescent="0.35">
      <c r="Q2030" s="71">
        <f>LN(Sales_Deals!G2027)</f>
        <v>12.441397700146428</v>
      </c>
    </row>
    <row r="2031" spans="17:17" x14ac:dyDescent="0.35">
      <c r="Q2031" s="71">
        <f>LN(Sales_Deals!G2028)</f>
        <v>10.331170669210724</v>
      </c>
    </row>
    <row r="2032" spans="17:17" x14ac:dyDescent="0.35">
      <c r="Q2032" s="71">
        <f>LN(Sales_Deals!G2029)</f>
        <v>12.354518512382995</v>
      </c>
    </row>
    <row r="2033" spans="17:17" x14ac:dyDescent="0.35">
      <c r="Q2033" s="71">
        <f>LN(Sales_Deals!G2030)</f>
        <v>11.805565227741237</v>
      </c>
    </row>
    <row r="2034" spans="17:17" x14ac:dyDescent="0.35">
      <c r="Q2034" s="71">
        <f>LN(Sales_Deals!G2031)</f>
        <v>11.022163872239979</v>
      </c>
    </row>
    <row r="2035" spans="17:17" x14ac:dyDescent="0.35">
      <c r="Q2035" s="71">
        <f>LN(Sales_Deals!G2032)</f>
        <v>11.501672385908988</v>
      </c>
    </row>
    <row r="2036" spans="17:17" x14ac:dyDescent="0.35">
      <c r="Q2036" s="71">
        <f>LN(Sales_Deals!G2033)</f>
        <v>12.70192066284257</v>
      </c>
    </row>
    <row r="2037" spans="17:17" x14ac:dyDescent="0.35">
      <c r="Q2037" s="71">
        <f>LN(Sales_Deals!G2034)</f>
        <v>12.88923009446075</v>
      </c>
    </row>
    <row r="2038" spans="17:17" x14ac:dyDescent="0.35">
      <c r="Q2038" s="71">
        <f>LN(Sales_Deals!G2035)</f>
        <v>12.316056457265248</v>
      </c>
    </row>
    <row r="2039" spans="17:17" x14ac:dyDescent="0.35">
      <c r="Q2039" s="71">
        <f>LN(Sales_Deals!G2036)</f>
        <v>12.191517227520976</v>
      </c>
    </row>
    <row r="2040" spans="17:17" x14ac:dyDescent="0.35">
      <c r="Q2040" s="71">
        <f>LN(Sales_Deals!G2037)</f>
        <v>10.494020443106272</v>
      </c>
    </row>
    <row r="2041" spans="17:17" x14ac:dyDescent="0.35">
      <c r="Q2041" s="71">
        <f>LN(Sales_Deals!G2038)</f>
        <v>12.679171479683212</v>
      </c>
    </row>
    <row r="2042" spans="17:17" x14ac:dyDescent="0.35">
      <c r="Q2042" s="71">
        <f>LN(Sales_Deals!G2039)</f>
        <v>12.431968406039758</v>
      </c>
    </row>
    <row r="2043" spans="17:17" x14ac:dyDescent="0.35">
      <c r="Q2043" s="71">
        <f>LN(Sales_Deals!G2040)</f>
        <v>14.213605237740321</v>
      </c>
    </row>
    <row r="2044" spans="17:17" x14ac:dyDescent="0.35">
      <c r="Q2044" s="71">
        <f>LN(Sales_Deals!G2041)</f>
        <v>12.228592166960045</v>
      </c>
    </row>
    <row r="2045" spans="17:17" x14ac:dyDescent="0.35">
      <c r="Q2045" s="71">
        <f>LN(Sales_Deals!G2042)</f>
        <v>12.930318703942108</v>
      </c>
    </row>
    <row r="2046" spans="17:17" x14ac:dyDescent="0.35">
      <c r="Q2046" s="71">
        <f>LN(Sales_Deals!G2043)</f>
        <v>13.01501644568337</v>
      </c>
    </row>
    <row r="2047" spans="17:17" x14ac:dyDescent="0.35">
      <c r="Q2047" s="71">
        <f>LN(Sales_Deals!G2044)</f>
        <v>11.850732524604398</v>
      </c>
    </row>
    <row r="2048" spans="17:17" x14ac:dyDescent="0.35">
      <c r="Q2048" s="71">
        <f>LN(Sales_Deals!G2045)</f>
        <v>12.020790711139306</v>
      </c>
    </row>
    <row r="2049" spans="17:17" x14ac:dyDescent="0.35">
      <c r="Q2049" s="71">
        <f>LN(Sales_Deals!G2046)</f>
        <v>12.876869405924324</v>
      </c>
    </row>
    <row r="2050" spans="17:17" x14ac:dyDescent="0.35">
      <c r="Q2050" s="71">
        <f>LN(Sales_Deals!G2047)</f>
        <v>12.263539345178502</v>
      </c>
    </row>
    <row r="2051" spans="17:17" x14ac:dyDescent="0.35">
      <c r="Q2051" s="71">
        <f>LN(Sales_Deals!G2048)</f>
        <v>11.359879175079842</v>
      </c>
    </row>
    <row r="2052" spans="17:17" x14ac:dyDescent="0.35">
      <c r="Q2052" s="71">
        <f>LN(Sales_Deals!G2049)</f>
        <v>12.815525668312768</v>
      </c>
    </row>
    <row r="2053" spans="17:17" x14ac:dyDescent="0.35">
      <c r="Q2053" s="71">
        <f>LN(Sales_Deals!G2050)</f>
        <v>10.564576309402185</v>
      </c>
    </row>
    <row r="2054" spans="17:17" x14ac:dyDescent="0.35">
      <c r="Q2054" s="71">
        <f>LN(Sales_Deals!G2051)</f>
        <v>9.9595370183871506</v>
      </c>
    </row>
    <row r="2055" spans="17:17" x14ac:dyDescent="0.35">
      <c r="Q2055" s="71">
        <f>LN(Sales_Deals!G2052)</f>
        <v>10.134599273499514</v>
      </c>
    </row>
    <row r="2056" spans="17:17" x14ac:dyDescent="0.35">
      <c r="Q2056" s="71">
        <f>LN(Sales_Deals!G2053)</f>
        <v>12.443257159544139</v>
      </c>
    </row>
    <row r="2057" spans="17:17" x14ac:dyDescent="0.35">
      <c r="Q2057" s="71">
        <f>LN(Sales_Deals!G2054)</f>
        <v>12.764962455721799</v>
      </c>
    </row>
    <row r="2058" spans="17:17" x14ac:dyDescent="0.35">
      <c r="Q2058" s="71">
        <f>LN(Sales_Deals!G2055)</f>
        <v>11.754254650677447</v>
      </c>
    </row>
    <row r="2059" spans="17:17" x14ac:dyDescent="0.35">
      <c r="Q2059" s="71">
        <f>LN(Sales_Deals!G2056)</f>
        <v>12.896869566392221</v>
      </c>
    </row>
    <row r="2060" spans="17:17" x14ac:dyDescent="0.35">
      <c r="Q2060" s="71">
        <f>LN(Sales_Deals!G2057)</f>
        <v>12.783469410760684</v>
      </c>
    </row>
    <row r="2061" spans="17:17" x14ac:dyDescent="0.35">
      <c r="Q2061" s="71">
        <f>LN(Sales_Deals!G2058)</f>
        <v>12.406406011375815</v>
      </c>
    </row>
    <row r="2062" spans="17:17" x14ac:dyDescent="0.35">
      <c r="Q2062" s="71">
        <f>LN(Sales_Deals!G2059)</f>
        <v>9.3710977508542967</v>
      </c>
    </row>
    <row r="2063" spans="17:17" x14ac:dyDescent="0.35">
      <c r="Q2063" s="71">
        <f>LN(Sales_Deals!G2060)</f>
        <v>12.836221451650836</v>
      </c>
    </row>
    <row r="2064" spans="17:17" x14ac:dyDescent="0.35">
      <c r="Q2064" s="71">
        <f>LN(Sales_Deals!G2061)</f>
        <v>12.404382374284353</v>
      </c>
    </row>
    <row r="2065" spans="17:17" x14ac:dyDescent="0.35">
      <c r="Q2065" s="71">
        <f>LN(Sales_Deals!G2062)</f>
        <v>13.019162749730411</v>
      </c>
    </row>
    <row r="2066" spans="17:17" x14ac:dyDescent="0.35">
      <c r="Q2066" s="71">
        <f>LN(Sales_Deals!G2063)</f>
        <v>14.111251569755062</v>
      </c>
    </row>
    <row r="2067" spans="17:17" x14ac:dyDescent="0.35">
      <c r="Q2067" s="71">
        <f>LN(Sales_Deals!G2064)</f>
        <v>12.638205649843245</v>
      </c>
    </row>
    <row r="2068" spans="17:17" x14ac:dyDescent="0.35">
      <c r="Q2068" s="71">
        <f>LN(Sales_Deals!G2065)</f>
        <v>12.555157860202133</v>
      </c>
    </row>
    <row r="2069" spans="17:17" x14ac:dyDescent="0.35">
      <c r="Q2069" s="71">
        <f>LN(Sales_Deals!G2066)</f>
        <v>13.121543041020427</v>
      </c>
    </row>
    <row r="2070" spans="17:17" x14ac:dyDescent="0.35">
      <c r="Q2070" s="71">
        <f>LN(Sales_Deals!G2067)</f>
        <v>10.789401547751567</v>
      </c>
    </row>
    <row r="2071" spans="17:17" x14ac:dyDescent="0.35">
      <c r="Q2071" s="71">
        <f>LN(Sales_Deals!G2068)</f>
        <v>13.096150810268073</v>
      </c>
    </row>
    <row r="2072" spans="17:17" x14ac:dyDescent="0.35">
      <c r="Q2072" s="71">
        <f>LN(Sales_Deals!G2069)</f>
        <v>12.036078789424753</v>
      </c>
    </row>
    <row r="2073" spans="17:17" x14ac:dyDescent="0.35">
      <c r="Q2073" s="71">
        <f>LN(Sales_Deals!G2070)</f>
        <v>12.569610982410303</v>
      </c>
    </row>
    <row r="2074" spans="17:17" x14ac:dyDescent="0.35">
      <c r="Q2074" s="71">
        <f>LN(Sales_Deals!G2071)</f>
        <v>12.528688611609271</v>
      </c>
    </row>
    <row r="2075" spans="17:17" x14ac:dyDescent="0.35">
      <c r="Q2075" s="71">
        <f>LN(Sales_Deals!G2072)</f>
        <v>12.463949935489749</v>
      </c>
    </row>
    <row r="2076" spans="17:17" x14ac:dyDescent="0.35">
      <c r="Q2076" s="71">
        <f>LN(Sales_Deals!G2073)</f>
        <v>10.771742835371727</v>
      </c>
    </row>
    <row r="2077" spans="17:17" x14ac:dyDescent="0.35">
      <c r="Q2077" s="71">
        <f>LN(Sales_Deals!G2074)</f>
        <v>12.757397011576042</v>
      </c>
    </row>
    <row r="2078" spans="17:17" x14ac:dyDescent="0.35">
      <c r="Q2078" s="71">
        <f>LN(Sales_Deals!G2075)</f>
        <v>12.325844812663286</v>
      </c>
    </row>
    <row r="2079" spans="17:17" x14ac:dyDescent="0.35">
      <c r="Q2079" s="71">
        <f>LN(Sales_Deals!G2076)</f>
        <v>11.639373076758476</v>
      </c>
    </row>
    <row r="2080" spans="17:17" x14ac:dyDescent="0.35">
      <c r="Q2080" s="71">
        <f>LN(Sales_Deals!G2077)</f>
        <v>12.270858011199127</v>
      </c>
    </row>
    <row r="2081" spans="17:17" x14ac:dyDescent="0.35">
      <c r="Q2081" s="71">
        <f>LN(Sales_Deals!G2078)</f>
        <v>12.244711458643231</v>
      </c>
    </row>
    <row r="2082" spans="17:17" x14ac:dyDescent="0.35">
      <c r="Q2082" s="71">
        <f>LN(Sales_Deals!G2079)</f>
        <v>12.657899574942986</v>
      </c>
    </row>
    <row r="2083" spans="17:17" x14ac:dyDescent="0.35">
      <c r="Q2083" s="71">
        <f>LN(Sales_Deals!G2080)</f>
        <v>13.03052436611782</v>
      </c>
    </row>
    <row r="2084" spans="17:17" x14ac:dyDescent="0.35">
      <c r="Q2084" s="71">
        <f>LN(Sales_Deals!G2081)</f>
        <v>11.273423847043201</v>
      </c>
    </row>
    <row r="2085" spans="17:17" x14ac:dyDescent="0.35">
      <c r="Q2085" s="71">
        <f>LN(Sales_Deals!G2082)</f>
        <v>12.623710036568895</v>
      </c>
    </row>
    <row r="2086" spans="17:17" x14ac:dyDescent="0.35">
      <c r="Q2086" s="71">
        <f>LN(Sales_Deals!G2083)</f>
        <v>11.92650423478859</v>
      </c>
    </row>
    <row r="2087" spans="17:17" x14ac:dyDescent="0.35">
      <c r="Q2087" s="71">
        <f>LN(Sales_Deals!G2084)</f>
        <v>13.017409445746692</v>
      </c>
    </row>
    <row r="2088" spans="17:17" x14ac:dyDescent="0.35">
      <c r="Q2088" s="71">
        <f>LN(Sales_Deals!G2085)</f>
        <v>11.322382202389527</v>
      </c>
    </row>
    <row r="2089" spans="17:17" x14ac:dyDescent="0.35">
      <c r="Q2089" s="71">
        <f>LN(Sales_Deals!G2086)</f>
        <v>10.884198048496515</v>
      </c>
    </row>
    <row r="2090" spans="17:17" x14ac:dyDescent="0.35">
      <c r="Q2090" s="71">
        <f>LN(Sales_Deals!G2087)</f>
        <v>12.96421839763827</v>
      </c>
    </row>
    <row r="2091" spans="17:17" x14ac:dyDescent="0.35">
      <c r="Q2091" s="71">
        <f>LN(Sales_Deals!G2088)</f>
        <v>12.91366006221614</v>
      </c>
    </row>
    <row r="2092" spans="17:17" x14ac:dyDescent="0.35">
      <c r="Q2092" s="71">
        <f>LN(Sales_Deals!G2089)</f>
        <v>12.177565140482031</v>
      </c>
    </row>
    <row r="2093" spans="17:17" x14ac:dyDescent="0.35">
      <c r="Q2093" s="71">
        <f>LN(Sales_Deals!G2090)</f>
        <v>11.127307100832148</v>
      </c>
    </row>
    <row r="2094" spans="17:17" x14ac:dyDescent="0.35">
      <c r="Q2094" s="71">
        <f>LN(Sales_Deals!G2091)</f>
        <v>12.93414527007579</v>
      </c>
    </row>
    <row r="2095" spans="17:17" x14ac:dyDescent="0.35">
      <c r="Q2095" s="71">
        <f>LN(Sales_Deals!G2092)</f>
        <v>12.98905367449054</v>
      </c>
    </row>
    <row r="2096" spans="17:17" x14ac:dyDescent="0.35">
      <c r="Q2096" s="71">
        <f>LN(Sales_Deals!G2093)</f>
        <v>11.750863043024308</v>
      </c>
    </row>
    <row r="2097" spans="17:17" x14ac:dyDescent="0.35">
      <c r="Q2097" s="71">
        <f>LN(Sales_Deals!G2094)</f>
        <v>11.078906549444003</v>
      </c>
    </row>
    <row r="2098" spans="17:17" x14ac:dyDescent="0.35">
      <c r="Q2098" s="71">
        <f>LN(Sales_Deals!G2095)</f>
        <v>12.727781827923138</v>
      </c>
    </row>
    <row r="2099" spans="17:17" x14ac:dyDescent="0.35">
      <c r="Q2099" s="71">
        <f>LN(Sales_Deals!G2096)</f>
        <v>10.072470544890901</v>
      </c>
    </row>
    <row r="2100" spans="17:17" x14ac:dyDescent="0.35">
      <c r="Q2100" s="71">
        <f>LN(Sales_Deals!G2097)</f>
        <v>11.244614554197703</v>
      </c>
    </row>
    <row r="2101" spans="17:17" x14ac:dyDescent="0.35">
      <c r="Q2101" s="71">
        <f>LN(Sales_Deals!G2098)</f>
        <v>12.698329939940777</v>
      </c>
    </row>
    <row r="2102" spans="17:17" x14ac:dyDescent="0.35">
      <c r="Q2102" s="71">
        <f>LN(Sales_Deals!G2099)</f>
        <v>11.741478359371946</v>
      </c>
    </row>
    <row r="2103" spans="17:17" x14ac:dyDescent="0.35">
      <c r="Q2103" s="71">
        <f>LN(Sales_Deals!G2100)</f>
        <v>12.533968927838524</v>
      </c>
    </row>
    <row r="2104" spans="17:17" x14ac:dyDescent="0.35">
      <c r="Q2104" s="71">
        <f>LN(Sales_Deals!G2101)</f>
        <v>11.527695843873678</v>
      </c>
    </row>
    <row r="2105" spans="17:17" x14ac:dyDescent="0.35">
      <c r="Q2105" s="71">
        <f>LN(Sales_Deals!G2102)</f>
        <v>12.453077244268064</v>
      </c>
    </row>
    <row r="2106" spans="17:17" x14ac:dyDescent="0.35">
      <c r="Q2106" s="71">
        <f>LN(Sales_Deals!G2103)</f>
        <v>12.51697429496838</v>
      </c>
    </row>
    <row r="2107" spans="17:17" x14ac:dyDescent="0.35">
      <c r="Q2107" s="71">
        <f>LN(Sales_Deals!G2104)</f>
        <v>11.453621221071087</v>
      </c>
    </row>
    <row r="2108" spans="17:17" x14ac:dyDescent="0.35">
      <c r="Q2108" s="71">
        <f>LN(Sales_Deals!G2105)</f>
        <v>13.040702027102002</v>
      </c>
    </row>
    <row r="2109" spans="17:17" x14ac:dyDescent="0.35">
      <c r="Q2109" s="71">
        <f>LN(Sales_Deals!G2106)</f>
        <v>12.308371980551865</v>
      </c>
    </row>
    <row r="2110" spans="17:17" x14ac:dyDescent="0.35">
      <c r="Q2110" s="71">
        <f>LN(Sales_Deals!G2107)</f>
        <v>12.914339938879204</v>
      </c>
    </row>
    <row r="2111" spans="17:17" x14ac:dyDescent="0.35">
      <c r="Q2111" s="71">
        <f>LN(Sales_Deals!G2108)</f>
        <v>10.190131586412237</v>
      </c>
    </row>
    <row r="2112" spans="17:17" x14ac:dyDescent="0.35">
      <c r="Q2112" s="71">
        <f>LN(Sales_Deals!G2109)</f>
        <v>13.022898779944887</v>
      </c>
    </row>
    <row r="2113" spans="17:17" x14ac:dyDescent="0.35">
      <c r="Q2113" s="71">
        <f>LN(Sales_Deals!G2110)</f>
        <v>11.295105219687365</v>
      </c>
    </row>
    <row r="2114" spans="17:17" x14ac:dyDescent="0.35">
      <c r="Q2114" s="71">
        <f>LN(Sales_Deals!G2111)</f>
        <v>11.288493584115795</v>
      </c>
    </row>
    <row r="2115" spans="17:17" x14ac:dyDescent="0.35">
      <c r="Q2115" s="71">
        <f>LN(Sales_Deals!G2112)</f>
        <v>12.535728848538518</v>
      </c>
    </row>
    <row r="2116" spans="17:17" x14ac:dyDescent="0.35">
      <c r="Q2116" s="71">
        <f>LN(Sales_Deals!G2113)</f>
        <v>12.349337142445586</v>
      </c>
    </row>
    <row r="2117" spans="17:17" x14ac:dyDescent="0.35">
      <c r="Q2117" s="71">
        <f>LN(Sales_Deals!G2114)</f>
        <v>11.270866642542865</v>
      </c>
    </row>
    <row r="2118" spans="17:17" x14ac:dyDescent="0.35">
      <c r="Q2118" s="71">
        <f>LN(Sales_Deals!G2115)</f>
        <v>12.804812988149646</v>
      </c>
    </row>
    <row r="2119" spans="17:17" x14ac:dyDescent="0.35">
      <c r="Q2119" s="71">
        <f>LN(Sales_Deals!G2116)</f>
        <v>12.856108755299378</v>
      </c>
    </row>
    <row r="2120" spans="17:17" x14ac:dyDescent="0.35">
      <c r="Q2120" s="71">
        <f>LN(Sales_Deals!G2117)</f>
        <v>12.354027025020278</v>
      </c>
    </row>
    <row r="2121" spans="17:17" x14ac:dyDescent="0.35">
      <c r="Q2121" s="71">
        <f>LN(Sales_Deals!G2118)</f>
        <v>12.73130696369198</v>
      </c>
    </row>
    <row r="2122" spans="17:17" x14ac:dyDescent="0.35">
      <c r="Q2122" s="71">
        <f>LN(Sales_Deals!G2119)</f>
        <v>12.886744835965029</v>
      </c>
    </row>
    <row r="2123" spans="17:17" x14ac:dyDescent="0.35">
      <c r="Q2123" s="71">
        <f>LN(Sales_Deals!G2120)</f>
        <v>13.011639616334257</v>
      </c>
    </row>
    <row r="2124" spans="17:17" x14ac:dyDescent="0.35">
      <c r="Q2124" s="71">
        <f>LN(Sales_Deals!G2121)</f>
        <v>12.783028647756304</v>
      </c>
    </row>
    <row r="2125" spans="17:17" x14ac:dyDescent="0.35">
      <c r="Q2125" s="71">
        <f>LN(Sales_Deals!G2122)</f>
        <v>12.58902626067624</v>
      </c>
    </row>
    <row r="2126" spans="17:17" x14ac:dyDescent="0.35">
      <c r="Q2126" s="71">
        <f>LN(Sales_Deals!G2123)</f>
        <v>12.645443083084661</v>
      </c>
    </row>
    <row r="2127" spans="17:17" x14ac:dyDescent="0.35">
      <c r="Q2127" s="71">
        <f>LN(Sales_Deals!G2124)</f>
        <v>12.872993913596019</v>
      </c>
    </row>
    <row r="2128" spans="17:17" x14ac:dyDescent="0.35">
      <c r="Q2128" s="71">
        <f>LN(Sales_Deals!G2125)</f>
        <v>12.890529675875685</v>
      </c>
    </row>
    <row r="2129" spans="17:17" x14ac:dyDescent="0.35">
      <c r="Q2129" s="71">
        <f>LN(Sales_Deals!G2126)</f>
        <v>12.908622977564981</v>
      </c>
    </row>
    <row r="2130" spans="17:17" x14ac:dyDescent="0.35">
      <c r="Q2130" s="71">
        <f>LN(Sales_Deals!G2127)</f>
        <v>12.824633662698112</v>
      </c>
    </row>
    <row r="2131" spans="17:17" x14ac:dyDescent="0.35">
      <c r="Q2131" s="71">
        <f>LN(Sales_Deals!G2128)</f>
        <v>13.060477335331782</v>
      </c>
    </row>
    <row r="2132" spans="17:17" x14ac:dyDescent="0.35">
      <c r="Q2132" s="71">
        <f>LN(Sales_Deals!G2129)</f>
        <v>10.89347474333262</v>
      </c>
    </row>
    <row r="2133" spans="17:17" x14ac:dyDescent="0.35">
      <c r="Q2133" s="71">
        <f>LN(Sales_Deals!G2130)</f>
        <v>12.243662221409753</v>
      </c>
    </row>
    <row r="2134" spans="17:17" x14ac:dyDescent="0.35">
      <c r="Q2134" s="71">
        <f>LN(Sales_Deals!G2131)</f>
        <v>11.992297572657527</v>
      </c>
    </row>
    <row r="2135" spans="17:17" x14ac:dyDescent="0.35">
      <c r="Q2135" s="71">
        <f>LN(Sales_Deals!G2132)</f>
        <v>12.717661977596727</v>
      </c>
    </row>
    <row r="2136" spans="17:17" x14ac:dyDescent="0.35">
      <c r="Q2136" s="71">
        <f>LN(Sales_Deals!G2133)</f>
        <v>10.054447432887068</v>
      </c>
    </row>
    <row r="2137" spans="17:17" x14ac:dyDescent="0.35">
      <c r="Q2137" s="71">
        <f>LN(Sales_Deals!G2134)</f>
        <v>12.712501618175009</v>
      </c>
    </row>
    <row r="2138" spans="17:17" x14ac:dyDescent="0.35">
      <c r="Q2138" s="71">
        <f>LN(Sales_Deals!G2135)</f>
        <v>11.231145938171061</v>
      </c>
    </row>
    <row r="2139" spans="17:17" x14ac:dyDescent="0.35">
      <c r="Q2139" s="71">
        <f>LN(Sales_Deals!G2136)</f>
        <v>11.027913776097217</v>
      </c>
    </row>
    <row r="2140" spans="17:17" x14ac:dyDescent="0.35">
      <c r="Q2140" s="71">
        <f>LN(Sales_Deals!G2137)</f>
        <v>13.117720616449642</v>
      </c>
    </row>
    <row r="2141" spans="17:17" x14ac:dyDescent="0.35">
      <c r="Q2141" s="71">
        <f>LN(Sales_Deals!G2138)</f>
        <v>11.977885144864032</v>
      </c>
    </row>
    <row r="2142" spans="17:17" x14ac:dyDescent="0.35">
      <c r="Q2142" s="71">
        <f>LN(Sales_Deals!G2139)</f>
        <v>12.231272446551916</v>
      </c>
    </row>
    <row r="2143" spans="17:17" x14ac:dyDescent="0.35">
      <c r="Q2143" s="71">
        <f>LN(Sales_Deals!G2140)</f>
        <v>12.189424836557283</v>
      </c>
    </row>
    <row r="2144" spans="17:17" x14ac:dyDescent="0.35">
      <c r="Q2144" s="71">
        <f>LN(Sales_Deals!G2141)</f>
        <v>11.925233771560388</v>
      </c>
    </row>
    <row r="2145" spans="17:17" x14ac:dyDescent="0.35">
      <c r="Q2145" s="71">
        <f>LN(Sales_Deals!G2142)</f>
        <v>10.424184296097382</v>
      </c>
    </row>
    <row r="2146" spans="17:17" x14ac:dyDescent="0.35">
      <c r="Q2146" s="71">
        <f>LN(Sales_Deals!G2143)</f>
        <v>13.091658778988986</v>
      </c>
    </row>
    <row r="2147" spans="17:17" x14ac:dyDescent="0.35">
      <c r="Q2147" s="71">
        <f>LN(Sales_Deals!G2144)</f>
        <v>12.94779330011727</v>
      </c>
    </row>
    <row r="2148" spans="17:17" x14ac:dyDescent="0.35">
      <c r="Q2148" s="71">
        <f>LN(Sales_Deals!G2145)</f>
        <v>12.367072672078677</v>
      </c>
    </row>
    <row r="2149" spans="17:17" x14ac:dyDescent="0.35">
      <c r="Q2149" s="71">
        <f>LN(Sales_Deals!G2146)</f>
        <v>12.797671479318646</v>
      </c>
    </row>
    <row r="2150" spans="17:17" x14ac:dyDescent="0.35">
      <c r="Q2150" s="71">
        <f>LN(Sales_Deals!G2147)</f>
        <v>11.836536781938369</v>
      </c>
    </row>
    <row r="2151" spans="17:17" x14ac:dyDescent="0.35">
      <c r="Q2151" s="71">
        <f>LN(Sales_Deals!G2148)</f>
        <v>10.409883379222734</v>
      </c>
    </row>
    <row r="2152" spans="17:17" x14ac:dyDescent="0.35">
      <c r="Q2152" s="71">
        <f>LN(Sales_Deals!G2149)</f>
        <v>12.349107486992752</v>
      </c>
    </row>
    <row r="2153" spans="17:17" x14ac:dyDescent="0.35">
      <c r="Q2153" s="71">
        <f>LN(Sales_Deals!G2150)</f>
        <v>12.863095115371486</v>
      </c>
    </row>
    <row r="2154" spans="17:17" x14ac:dyDescent="0.35">
      <c r="Q2154" s="71">
        <f>LN(Sales_Deals!G2151)</f>
        <v>12.929077127465684</v>
      </c>
    </row>
    <row r="2155" spans="17:17" x14ac:dyDescent="0.35">
      <c r="Q2155" s="71">
        <f>LN(Sales_Deals!G2152)</f>
        <v>13.033272020573808</v>
      </c>
    </row>
    <row r="2156" spans="17:17" x14ac:dyDescent="0.35">
      <c r="Q2156" s="71">
        <f>LN(Sales_Deals!G2153)</f>
        <v>12.813964179630487</v>
      </c>
    </row>
    <row r="2157" spans="17:17" x14ac:dyDescent="0.35">
      <c r="Q2157" s="71">
        <f>LN(Sales_Deals!G2154)</f>
        <v>12.405603600826096</v>
      </c>
    </row>
    <row r="2158" spans="17:17" x14ac:dyDescent="0.35">
      <c r="Q2158" s="71">
        <f>LN(Sales_Deals!G2155)</f>
        <v>13.067302996447534</v>
      </c>
    </row>
    <row r="2159" spans="17:17" x14ac:dyDescent="0.35">
      <c r="Q2159" s="71">
        <f>LN(Sales_Deals!G2156)</f>
        <v>11.904609380502123</v>
      </c>
    </row>
    <row r="2160" spans="17:17" x14ac:dyDescent="0.35">
      <c r="Q2160" s="71">
        <f>LN(Sales_Deals!G2157)</f>
        <v>12.278314234216179</v>
      </c>
    </row>
    <row r="2161" spans="17:17" x14ac:dyDescent="0.35">
      <c r="Q2161" s="71">
        <f>LN(Sales_Deals!G2158)</f>
        <v>12.398740494378274</v>
      </c>
    </row>
    <row r="2162" spans="17:17" x14ac:dyDescent="0.35">
      <c r="Q2162" s="71">
        <f>LN(Sales_Deals!G2159)</f>
        <v>13.108613276560162</v>
      </c>
    </row>
    <row r="2163" spans="17:17" x14ac:dyDescent="0.35">
      <c r="Q2163" s="71">
        <f>LN(Sales_Deals!G2160)</f>
        <v>12.778003716673931</v>
      </c>
    </row>
    <row r="2164" spans="17:17" x14ac:dyDescent="0.35">
      <c r="Q2164" s="71">
        <f>LN(Sales_Deals!G2161)</f>
        <v>11.505145277651266</v>
      </c>
    </row>
    <row r="2165" spans="17:17" x14ac:dyDescent="0.35">
      <c r="Q2165" s="71">
        <f>LN(Sales_Deals!G2162)</f>
        <v>11.698774127540339</v>
      </c>
    </row>
    <row r="2166" spans="17:17" x14ac:dyDescent="0.35">
      <c r="Q2166" s="71">
        <f>LN(Sales_Deals!G2163)</f>
        <v>11.949882780168577</v>
      </c>
    </row>
    <row r="2167" spans="17:17" x14ac:dyDescent="0.35">
      <c r="Q2167" s="71">
        <f>LN(Sales_Deals!G2164)</f>
        <v>11.851901706809176</v>
      </c>
    </row>
    <row r="2168" spans="17:17" x14ac:dyDescent="0.35">
      <c r="Q2168" s="71">
        <f>LN(Sales_Deals!G2165)</f>
        <v>10.709159523937918</v>
      </c>
    </row>
    <row r="2169" spans="17:17" x14ac:dyDescent="0.35">
      <c r="Q2169" s="71">
        <f>LN(Sales_Deals!G2166)</f>
        <v>12.965028633821937</v>
      </c>
    </row>
    <row r="2170" spans="17:17" x14ac:dyDescent="0.35">
      <c r="Q2170" s="71">
        <f>LN(Sales_Deals!G2167)</f>
        <v>12.692072647860508</v>
      </c>
    </row>
    <row r="2171" spans="17:17" x14ac:dyDescent="0.35">
      <c r="Q2171" s="71">
        <f>LN(Sales_Deals!G2168)</f>
        <v>13.098568511718588</v>
      </c>
    </row>
    <row r="2172" spans="17:17" x14ac:dyDescent="0.35">
      <c r="Q2172" s="71">
        <f>LN(Sales_Deals!G2169)</f>
        <v>12.630352965495732</v>
      </c>
    </row>
    <row r="2173" spans="17:17" x14ac:dyDescent="0.35">
      <c r="Q2173" s="71">
        <f>LN(Sales_Deals!G2170)</f>
        <v>11.228783784594436</v>
      </c>
    </row>
    <row r="2174" spans="17:17" x14ac:dyDescent="0.35">
      <c r="Q2174" s="71">
        <f>LN(Sales_Deals!G2171)</f>
        <v>12.842146702730481</v>
      </c>
    </row>
    <row r="2175" spans="17:17" x14ac:dyDescent="0.35">
      <c r="Q2175" s="71">
        <f>LN(Sales_Deals!G2172)</f>
        <v>11.697353135681759</v>
      </c>
    </row>
    <row r="2176" spans="17:17" x14ac:dyDescent="0.35">
      <c r="Q2176" s="71">
        <f>LN(Sales_Deals!G2173)</f>
        <v>10.666999995756637</v>
      </c>
    </row>
    <row r="2177" spans="17:17" x14ac:dyDescent="0.35">
      <c r="Q2177" s="71">
        <f>LN(Sales_Deals!G2174)</f>
        <v>10.852129301294609</v>
      </c>
    </row>
    <row r="2178" spans="17:17" x14ac:dyDescent="0.35">
      <c r="Q2178" s="71">
        <f>LN(Sales_Deals!G2175)</f>
        <v>12.993882068755777</v>
      </c>
    </row>
    <row r="2179" spans="17:17" x14ac:dyDescent="0.35">
      <c r="Q2179" s="71">
        <f>LN(Sales_Deals!G2176)</f>
        <v>12.588456758361524</v>
      </c>
    </row>
    <row r="2180" spans="17:17" x14ac:dyDescent="0.35">
      <c r="Q2180" s="71">
        <f>LN(Sales_Deals!G2177)</f>
        <v>12.703873818173411</v>
      </c>
    </row>
    <row r="2181" spans="17:17" x14ac:dyDescent="0.35">
      <c r="Q2181" s="71">
        <f>LN(Sales_Deals!G2178)</f>
        <v>12.369219877604539</v>
      </c>
    </row>
    <row r="2182" spans="17:17" x14ac:dyDescent="0.35">
      <c r="Q2182" s="71">
        <f>LN(Sales_Deals!G2179)</f>
        <v>12.3478282514108</v>
      </c>
    </row>
    <row r="2183" spans="17:17" x14ac:dyDescent="0.35">
      <c r="Q2183" s="71">
        <f>LN(Sales_Deals!G2180)</f>
        <v>12.709102964704963</v>
      </c>
    </row>
    <row r="2184" spans="17:17" x14ac:dyDescent="0.35">
      <c r="Q2184" s="71">
        <f>LN(Sales_Deals!G2181)</f>
        <v>12.967140122574099</v>
      </c>
    </row>
    <row r="2185" spans="17:17" x14ac:dyDescent="0.35">
      <c r="Q2185" s="71">
        <f>LN(Sales_Deals!G2182)</f>
        <v>13.044901170705717</v>
      </c>
    </row>
    <row r="2186" spans="17:17" x14ac:dyDescent="0.35">
      <c r="Q2186" s="71">
        <f>LN(Sales_Deals!G2183)</f>
        <v>12.224000968395092</v>
      </c>
    </row>
    <row r="2187" spans="17:17" x14ac:dyDescent="0.35">
      <c r="Q2187" s="71">
        <f>LN(Sales_Deals!G2184)</f>
        <v>12.322686108614233</v>
      </c>
    </row>
    <row r="2188" spans="17:17" x14ac:dyDescent="0.35">
      <c r="Q2188" s="71">
        <f>LN(Sales_Deals!G2185)</f>
        <v>11.616825915251171</v>
      </c>
    </row>
    <row r="2189" spans="17:17" x14ac:dyDescent="0.35">
      <c r="Q2189" s="71">
        <f>LN(Sales_Deals!G2186)</f>
        <v>12.104311200994454</v>
      </c>
    </row>
    <row r="2190" spans="17:17" x14ac:dyDescent="0.35">
      <c r="Q2190" s="71">
        <f>LN(Sales_Deals!G2187)</f>
        <v>13.102458584889462</v>
      </c>
    </row>
    <row r="2191" spans="17:17" x14ac:dyDescent="0.35">
      <c r="Q2191" s="71">
        <f>LN(Sales_Deals!G2188)</f>
        <v>11.06217529264638</v>
      </c>
    </row>
    <row r="2192" spans="17:17" x14ac:dyDescent="0.35">
      <c r="Q2192" s="71">
        <f>LN(Sales_Deals!G2189)</f>
        <v>12.332048693281644</v>
      </c>
    </row>
    <row r="2193" spans="17:17" x14ac:dyDescent="0.35">
      <c r="Q2193" s="71">
        <f>LN(Sales_Deals!G2190)</f>
        <v>12.102748943048239</v>
      </c>
    </row>
    <row r="2194" spans="17:17" x14ac:dyDescent="0.35">
      <c r="Q2194" s="71">
        <f>LN(Sales_Deals!G2191)</f>
        <v>12.403964027731456</v>
      </c>
    </row>
    <row r="2195" spans="17:17" x14ac:dyDescent="0.35">
      <c r="Q2195" s="71">
        <f>LN(Sales_Deals!G2192)</f>
        <v>12.880691736225927</v>
      </c>
    </row>
    <row r="2196" spans="17:17" x14ac:dyDescent="0.35">
      <c r="Q2196" s="71">
        <f>LN(Sales_Deals!G2193)</f>
        <v>12.363264410851661</v>
      </c>
    </row>
    <row r="2197" spans="17:17" x14ac:dyDescent="0.35">
      <c r="Q2197" s="71">
        <f>LN(Sales_Deals!G2194)</f>
        <v>10.296407633141998</v>
      </c>
    </row>
    <row r="2198" spans="17:17" x14ac:dyDescent="0.35">
      <c r="Q2198" s="71">
        <f>LN(Sales_Deals!G2195)</f>
        <v>13.043975799247928</v>
      </c>
    </row>
    <row r="2199" spans="17:17" x14ac:dyDescent="0.35">
      <c r="Q2199" s="71">
        <f>LN(Sales_Deals!G2196)</f>
        <v>12.41450856797211</v>
      </c>
    </row>
    <row r="2200" spans="17:17" x14ac:dyDescent="0.35">
      <c r="Q2200" s="71">
        <f>LN(Sales_Deals!G2197)</f>
        <v>12.052408513985768</v>
      </c>
    </row>
    <row r="2201" spans="17:17" x14ac:dyDescent="0.35">
      <c r="Q2201" s="71">
        <f>LN(Sales_Deals!G2198)</f>
        <v>12.498820614632105</v>
      </c>
    </row>
    <row r="2202" spans="17:17" x14ac:dyDescent="0.35">
      <c r="Q2202" s="71">
        <f>LN(Sales_Deals!G2199)</f>
        <v>13.041318167393204</v>
      </c>
    </row>
    <row r="2203" spans="17:17" x14ac:dyDescent="0.35">
      <c r="Q2203" s="71">
        <f>LN(Sales_Deals!G2200)</f>
        <v>12.909890194683587</v>
      </c>
    </row>
    <row r="2204" spans="17:17" x14ac:dyDescent="0.35">
      <c r="Q2204" s="71">
        <f>LN(Sales_Deals!G2201)</f>
        <v>12.851475489851959</v>
      </c>
    </row>
    <row r="2205" spans="17:17" x14ac:dyDescent="0.35">
      <c r="Q2205" s="71">
        <f>LN(Sales_Deals!G2202)</f>
        <v>12.628637384724243</v>
      </c>
    </row>
    <row r="2206" spans="17:17" x14ac:dyDescent="0.35">
      <c r="Q2206" s="71">
        <f>LN(Sales_Deals!G2203)</f>
        <v>11.238620189560086</v>
      </c>
    </row>
    <row r="2207" spans="17:17" x14ac:dyDescent="0.35">
      <c r="Q2207" s="71">
        <f>LN(Sales_Deals!G2204)</f>
        <v>12.394769669110016</v>
      </c>
    </row>
    <row r="2208" spans="17:17" x14ac:dyDescent="0.35">
      <c r="Q2208" s="71">
        <f>LN(Sales_Deals!G2205)</f>
        <v>12.334404292880031</v>
      </c>
    </row>
    <row r="2209" spans="17:17" x14ac:dyDescent="0.35">
      <c r="Q2209" s="71">
        <f>LN(Sales_Deals!G2206)</f>
        <v>12.621738878122663</v>
      </c>
    </row>
    <row r="2210" spans="17:17" x14ac:dyDescent="0.35">
      <c r="Q2210" s="71">
        <f>LN(Sales_Deals!G2207)</f>
        <v>12.794445249847373</v>
      </c>
    </row>
    <row r="2211" spans="17:17" x14ac:dyDescent="0.35">
      <c r="Q2211" s="71">
        <f>LN(Sales_Deals!G2208)</f>
        <v>11.896233576428473</v>
      </c>
    </row>
    <row r="2212" spans="17:17" x14ac:dyDescent="0.35">
      <c r="Q2212" s="71">
        <f>LN(Sales_Deals!G2209)</f>
        <v>9.6847716845490694</v>
      </c>
    </row>
    <row r="2213" spans="17:17" x14ac:dyDescent="0.35">
      <c r="Q2213" s="71">
        <f>LN(Sales_Deals!G2210)</f>
        <v>11.26208949363911</v>
      </c>
    </row>
    <row r="2214" spans="17:17" x14ac:dyDescent="0.35">
      <c r="Q2214" s="71">
        <f>LN(Sales_Deals!G2211)</f>
        <v>11.397301347172686</v>
      </c>
    </row>
    <row r="2215" spans="17:17" x14ac:dyDescent="0.35">
      <c r="Q2215" s="71">
        <f>LN(Sales_Deals!G2212)</f>
        <v>13.012515028693725</v>
      </c>
    </row>
    <row r="2216" spans="17:17" x14ac:dyDescent="0.35">
      <c r="Q2216" s="71">
        <f>LN(Sales_Deals!G2213)</f>
        <v>11.928083445049293</v>
      </c>
    </row>
    <row r="2217" spans="17:17" x14ac:dyDescent="0.35">
      <c r="Q2217" s="71">
        <f>LN(Sales_Deals!G2214)</f>
        <v>13.07050571326381</v>
      </c>
    </row>
    <row r="2218" spans="17:17" x14ac:dyDescent="0.35">
      <c r="Q2218" s="71">
        <f>LN(Sales_Deals!G2215)</f>
        <v>10.746906470974373</v>
      </c>
    </row>
    <row r="2219" spans="17:17" x14ac:dyDescent="0.35">
      <c r="Q2219" s="71">
        <f>LN(Sales_Deals!G2216)</f>
        <v>12.973278511314975</v>
      </c>
    </row>
    <row r="2220" spans="17:17" x14ac:dyDescent="0.35">
      <c r="Q2220" s="71">
        <f>LN(Sales_Deals!G2217)</f>
        <v>13.039551171541964</v>
      </c>
    </row>
    <row r="2221" spans="17:17" x14ac:dyDescent="0.35">
      <c r="Q2221" s="71">
        <f>LN(Sales_Deals!G2218)</f>
        <v>13.026151991635871</v>
      </c>
    </row>
    <row r="2222" spans="17:17" x14ac:dyDescent="0.35">
      <c r="Q2222" s="71">
        <f>LN(Sales_Deals!G2219)</f>
        <v>12.977439334283554</v>
      </c>
    </row>
    <row r="2223" spans="17:17" x14ac:dyDescent="0.35">
      <c r="Q2223" s="71">
        <f>LN(Sales_Deals!G2220)</f>
        <v>12.812751937747411</v>
      </c>
    </row>
    <row r="2224" spans="17:17" x14ac:dyDescent="0.35">
      <c r="Q2224" s="71">
        <f>LN(Sales_Deals!G2221)</f>
        <v>10.778956289890028</v>
      </c>
    </row>
    <row r="2225" spans="17:17" x14ac:dyDescent="0.35">
      <c r="Q2225" s="71">
        <f>LN(Sales_Deals!G2222)</f>
        <v>11.712644798940604</v>
      </c>
    </row>
    <row r="2226" spans="17:17" x14ac:dyDescent="0.35">
      <c r="Q2226" s="71">
        <f>LN(Sales_Deals!G2223)</f>
        <v>10.681320491262715</v>
      </c>
    </row>
    <row r="2227" spans="17:17" x14ac:dyDescent="0.35">
      <c r="Q2227" s="71">
        <f>LN(Sales_Deals!G2224)</f>
        <v>12.828024531047967</v>
      </c>
    </row>
    <row r="2228" spans="17:17" x14ac:dyDescent="0.35">
      <c r="Q2228" s="71">
        <f>LN(Sales_Deals!G2225)</f>
        <v>12.220887363668188</v>
      </c>
    </row>
    <row r="2229" spans="17:17" x14ac:dyDescent="0.35">
      <c r="Q2229" s="71">
        <f>LN(Sales_Deals!G2226)</f>
        <v>12.738534508615519</v>
      </c>
    </row>
    <row r="2230" spans="17:17" x14ac:dyDescent="0.35">
      <c r="Q2230" s="71">
        <f>LN(Sales_Deals!G2227)</f>
        <v>12.628499748849563</v>
      </c>
    </row>
    <row r="2231" spans="17:17" x14ac:dyDescent="0.35">
      <c r="Q2231" s="71">
        <f>LN(Sales_Deals!G2228)</f>
        <v>12.839522898831991</v>
      </c>
    </row>
    <row r="2232" spans="17:17" x14ac:dyDescent="0.35">
      <c r="Q2232" s="71">
        <f>LN(Sales_Deals!G2229)</f>
        <v>12.212511869159075</v>
      </c>
    </row>
    <row r="2233" spans="17:17" x14ac:dyDescent="0.35">
      <c r="Q2233" s="71">
        <f>LN(Sales_Deals!G2230)</f>
        <v>12.407890410129632</v>
      </c>
    </row>
    <row r="2234" spans="17:17" x14ac:dyDescent="0.35">
      <c r="Q2234" s="71">
        <f>LN(Sales_Deals!G2231)</f>
        <v>12.817904016699721</v>
      </c>
    </row>
    <row r="2235" spans="17:17" x14ac:dyDescent="0.35">
      <c r="Q2235" s="71">
        <f>LN(Sales_Deals!G2232)</f>
        <v>13.053735439321082</v>
      </c>
    </row>
    <row r="2236" spans="17:17" x14ac:dyDescent="0.35">
      <c r="Q2236" s="71">
        <f>LN(Sales_Deals!G2233)</f>
        <v>12.221660520871826</v>
      </c>
    </row>
    <row r="2237" spans="17:17" x14ac:dyDescent="0.35">
      <c r="Q2237" s="71">
        <f>LN(Sales_Deals!G2234)</f>
        <v>12.51456419117982</v>
      </c>
    </row>
    <row r="2238" spans="17:17" x14ac:dyDescent="0.35">
      <c r="Q2238" s="71">
        <f>LN(Sales_Deals!G2235)</f>
        <v>12.909890194683587</v>
      </c>
    </row>
    <row r="2239" spans="17:17" x14ac:dyDescent="0.35">
      <c r="Q2239" s="71">
        <f>LN(Sales_Deals!G2236)</f>
        <v>12.560051458171136</v>
      </c>
    </row>
    <row r="2240" spans="17:17" x14ac:dyDescent="0.35">
      <c r="Q2240" s="71">
        <f>LN(Sales_Deals!G2237)</f>
        <v>12.91852723274558</v>
      </c>
    </row>
    <row r="2241" spans="17:17" x14ac:dyDescent="0.35">
      <c r="Q2241" s="71">
        <f>LN(Sales_Deals!G2238)</f>
        <v>12.209337310706925</v>
      </c>
    </row>
    <row r="2242" spans="17:17" x14ac:dyDescent="0.35">
      <c r="Q2242" s="71">
        <f>LN(Sales_Deals!G2239)</f>
        <v>11.874779971783713</v>
      </c>
    </row>
    <row r="2243" spans="17:17" x14ac:dyDescent="0.35">
      <c r="Q2243" s="71">
        <f>LN(Sales_Deals!G2240)</f>
        <v>12.377295337157864</v>
      </c>
    </row>
    <row r="2244" spans="17:17" x14ac:dyDescent="0.35">
      <c r="Q2244" s="71">
        <f>LN(Sales_Deals!G2241)</f>
        <v>12.854575431330533</v>
      </c>
    </row>
    <row r="2245" spans="17:17" x14ac:dyDescent="0.35">
      <c r="Q2245" s="71">
        <f>LN(Sales_Deals!G2242)</f>
        <v>11.621555629495678</v>
      </c>
    </row>
    <row r="2246" spans="17:17" x14ac:dyDescent="0.35">
      <c r="Q2246" s="71">
        <f>LN(Sales_Deals!G2243)</f>
        <v>12.462066662989821</v>
      </c>
    </row>
    <row r="2247" spans="17:17" x14ac:dyDescent="0.35">
      <c r="Q2247" s="71">
        <f>LN(Sales_Deals!G2244)</f>
        <v>11.626521971552769</v>
      </c>
    </row>
    <row r="2248" spans="17:17" x14ac:dyDescent="0.35">
      <c r="Q2248" s="71">
        <f>LN(Sales_Deals!G2245)</f>
        <v>12.689914458915629</v>
      </c>
    </row>
    <row r="2249" spans="17:17" x14ac:dyDescent="0.35">
      <c r="Q2249" s="71">
        <f>LN(Sales_Deals!G2246)</f>
        <v>12.675041364440899</v>
      </c>
    </row>
    <row r="2250" spans="17:17" x14ac:dyDescent="0.35">
      <c r="Q2250" s="71">
        <f>LN(Sales_Deals!G2247)</f>
        <v>12.94666384651925</v>
      </c>
    </row>
    <row r="2251" spans="17:17" x14ac:dyDescent="0.35">
      <c r="Q2251" s="71">
        <f>LN(Sales_Deals!G2248)</f>
        <v>13.114472324781557</v>
      </c>
    </row>
    <row r="2252" spans="17:17" x14ac:dyDescent="0.35">
      <c r="Q2252" s="71">
        <f>LN(Sales_Deals!G2249)</f>
        <v>12.896370771385369</v>
      </c>
    </row>
    <row r="2253" spans="17:17" x14ac:dyDescent="0.35">
      <c r="Q2253" s="71">
        <f>LN(Sales_Deals!G2250)</f>
        <v>11.539528446764763</v>
      </c>
    </row>
    <row r="2254" spans="17:17" x14ac:dyDescent="0.35">
      <c r="Q2254" s="71">
        <f>LN(Sales_Deals!G2251)</f>
        <v>12.693845586285915</v>
      </c>
    </row>
    <row r="2255" spans="17:17" x14ac:dyDescent="0.35">
      <c r="Q2255" s="71">
        <f>LN(Sales_Deals!G2252)</f>
        <v>12.123359291519922</v>
      </c>
    </row>
    <row r="2256" spans="17:17" x14ac:dyDescent="0.35">
      <c r="Q2256" s="71">
        <f>LN(Sales_Deals!G2253)</f>
        <v>10.272046599948313</v>
      </c>
    </row>
    <row r="2257" spans="17:17" x14ac:dyDescent="0.35">
      <c r="Q2257" s="71">
        <f>LN(Sales_Deals!G2254)</f>
        <v>12.104875672509165</v>
      </c>
    </row>
    <row r="2258" spans="17:17" x14ac:dyDescent="0.35">
      <c r="Q2258" s="71">
        <f>LN(Sales_Deals!G2255)</f>
        <v>11.860902693205764</v>
      </c>
    </row>
    <row r="2259" spans="17:17" x14ac:dyDescent="0.35">
      <c r="Q2259" s="71">
        <f>LN(Sales_Deals!G2256)</f>
        <v>12.413107139911197</v>
      </c>
    </row>
    <row r="2260" spans="17:17" x14ac:dyDescent="0.35">
      <c r="Q2260" s="71">
        <f>LN(Sales_Deals!G2257)</f>
        <v>12.264577374902737</v>
      </c>
    </row>
    <row r="2261" spans="17:17" x14ac:dyDescent="0.35">
      <c r="Q2261" s="71">
        <f>LN(Sales_Deals!G2258)</f>
        <v>10.844646491339164</v>
      </c>
    </row>
    <row r="2262" spans="17:17" x14ac:dyDescent="0.35">
      <c r="Q2262" s="71">
        <f>LN(Sales_Deals!G2259)</f>
        <v>14.425526098340375</v>
      </c>
    </row>
    <row r="2263" spans="17:17" x14ac:dyDescent="0.35">
      <c r="Q2263" s="71">
        <f>LN(Sales_Deals!G2260)</f>
        <v>13.120094806141273</v>
      </c>
    </row>
    <row r="2264" spans="17:17" x14ac:dyDescent="0.35">
      <c r="Q2264" s="71">
        <f>LN(Sales_Deals!G2261)</f>
        <v>12.674180729364313</v>
      </c>
    </row>
    <row r="2265" spans="17:17" x14ac:dyDescent="0.35">
      <c r="Q2265" s="71">
        <f>LN(Sales_Deals!G2262)</f>
        <v>12.073780484740603</v>
      </c>
    </row>
    <row r="2266" spans="17:17" x14ac:dyDescent="0.35">
      <c r="Q2266" s="71">
        <f>LN(Sales_Deals!G2263)</f>
        <v>12.395295334637428</v>
      </c>
    </row>
    <row r="2267" spans="17:17" x14ac:dyDescent="0.35">
      <c r="Q2267" s="71">
        <f>LN(Sales_Deals!G2264)</f>
        <v>12.962368319086048</v>
      </c>
    </row>
    <row r="2268" spans="17:17" x14ac:dyDescent="0.35">
      <c r="Q2268" s="71">
        <f>LN(Sales_Deals!G2265)</f>
        <v>12.563313429351322</v>
      </c>
    </row>
    <row r="2269" spans="17:17" x14ac:dyDescent="0.35">
      <c r="Q2269" s="71">
        <f>LN(Sales_Deals!G2266)</f>
        <v>11.491752899737428</v>
      </c>
    </row>
    <row r="2270" spans="17:17" x14ac:dyDescent="0.35">
      <c r="Q2270" s="71">
        <f>LN(Sales_Deals!G2267)</f>
        <v>12.831543052452044</v>
      </c>
    </row>
    <row r="2271" spans="17:17" x14ac:dyDescent="0.35">
      <c r="Q2271" s="71">
        <f>LN(Sales_Deals!G2268)</f>
        <v>11.470258018650826</v>
      </c>
    </row>
    <row r="2272" spans="17:17" x14ac:dyDescent="0.35">
      <c r="Q2272" s="71">
        <f>LN(Sales_Deals!G2269)</f>
        <v>12.325365651718156</v>
      </c>
    </row>
    <row r="2273" spans="17:17" x14ac:dyDescent="0.35">
      <c r="Q2273" s="71">
        <f>LN(Sales_Deals!G2270)</f>
        <v>12.94397089169142</v>
      </c>
    </row>
    <row r="2274" spans="17:17" x14ac:dyDescent="0.35">
      <c r="Q2274" s="71">
        <f>LN(Sales_Deals!G2271)</f>
        <v>13.035349091319558</v>
      </c>
    </row>
    <row r="2275" spans="17:17" x14ac:dyDescent="0.35">
      <c r="Q2275" s="71">
        <f>LN(Sales_Deals!G2272)</f>
        <v>12.460784628911981</v>
      </c>
    </row>
    <row r="2276" spans="17:17" x14ac:dyDescent="0.35">
      <c r="Q2276" s="71">
        <f>LN(Sales_Deals!G2273)</f>
        <v>12.897751248257386</v>
      </c>
    </row>
    <row r="2277" spans="17:17" x14ac:dyDescent="0.35">
      <c r="Q2277" s="71">
        <f>LN(Sales_Deals!G2274)</f>
        <v>13.121046510715871</v>
      </c>
    </row>
    <row r="2278" spans="17:17" x14ac:dyDescent="0.35">
      <c r="Q2278" s="71">
        <f>LN(Sales_Deals!G2275)</f>
        <v>12.664582346939667</v>
      </c>
    </row>
    <row r="2279" spans="17:17" x14ac:dyDescent="0.35">
      <c r="Q2279" s="71">
        <f>LN(Sales_Deals!G2276)</f>
        <v>13.00958206226294</v>
      </c>
    </row>
    <row r="2280" spans="17:17" x14ac:dyDescent="0.35">
      <c r="Q2280" s="71">
        <f>LN(Sales_Deals!G2277)</f>
        <v>12.330818054186533</v>
      </c>
    </row>
    <row r="2281" spans="17:17" x14ac:dyDescent="0.35">
      <c r="Q2281" s="71">
        <f>LN(Sales_Deals!G2278)</f>
        <v>11.451730680642036</v>
      </c>
    </row>
    <row r="2282" spans="17:17" x14ac:dyDescent="0.35">
      <c r="Q2282" s="71">
        <f>LN(Sales_Deals!G2279)</f>
        <v>12.934253902883729</v>
      </c>
    </row>
    <row r="2283" spans="17:17" x14ac:dyDescent="0.35">
      <c r="Q2283" s="71">
        <f>LN(Sales_Deals!G2280)</f>
        <v>12.898019105513599</v>
      </c>
    </row>
    <row r="2284" spans="17:17" x14ac:dyDescent="0.35">
      <c r="Q2284" s="71">
        <f>LN(Sales_Deals!G2281)</f>
        <v>12.114341054930581</v>
      </c>
    </row>
    <row r="2285" spans="17:17" x14ac:dyDescent="0.35">
      <c r="Q2285" s="71">
        <f>LN(Sales_Deals!G2282)</f>
        <v>12.772899513873938</v>
      </c>
    </row>
    <row r="2286" spans="17:17" x14ac:dyDescent="0.35">
      <c r="Q2286" s="71">
        <f>LN(Sales_Deals!G2283)</f>
        <v>12.814688099497504</v>
      </c>
    </row>
    <row r="2287" spans="17:17" x14ac:dyDescent="0.35">
      <c r="Q2287" s="71">
        <f>LN(Sales_Deals!G2284)</f>
        <v>12.582448741028362</v>
      </c>
    </row>
    <row r="2288" spans="17:17" x14ac:dyDescent="0.35">
      <c r="Q2288" s="71">
        <f>LN(Sales_Deals!G2285)</f>
        <v>12.243705560337025</v>
      </c>
    </row>
    <row r="2289" spans="17:17" x14ac:dyDescent="0.35">
      <c r="Q2289" s="71">
        <f>LN(Sales_Deals!G2286)</f>
        <v>11.965751144438231</v>
      </c>
    </row>
    <row r="2290" spans="17:17" x14ac:dyDescent="0.35">
      <c r="Q2290" s="71">
        <f>LN(Sales_Deals!G2287)</f>
        <v>12.158572149381319</v>
      </c>
    </row>
    <row r="2291" spans="17:17" x14ac:dyDescent="0.35">
      <c r="Q2291" s="71">
        <f>LN(Sales_Deals!G2288)</f>
        <v>12.743936421639148</v>
      </c>
    </row>
    <row r="2292" spans="17:17" x14ac:dyDescent="0.35">
      <c r="Q2292" s="71">
        <f>LN(Sales_Deals!G2289)</f>
        <v>12.566226530928335</v>
      </c>
    </row>
    <row r="2293" spans="17:17" x14ac:dyDescent="0.35">
      <c r="Q2293" s="71">
        <f>LN(Sales_Deals!G2290)</f>
        <v>13.075617622006419</v>
      </c>
    </row>
    <row r="2294" spans="17:17" x14ac:dyDescent="0.35">
      <c r="Q2294" s="71">
        <f>LN(Sales_Deals!G2291)</f>
        <v>13.039120889222319</v>
      </c>
    </row>
    <row r="2295" spans="17:17" x14ac:dyDescent="0.35">
      <c r="Q2295" s="71">
        <f>LN(Sales_Deals!G2292)</f>
        <v>11.849454842815993</v>
      </c>
    </row>
    <row r="2296" spans="17:17" x14ac:dyDescent="0.35">
      <c r="Q2296" s="71">
        <f>LN(Sales_Deals!G2293)</f>
        <v>12.589448914951339</v>
      </c>
    </row>
    <row r="2297" spans="17:17" x14ac:dyDescent="0.35">
      <c r="Q2297" s="71">
        <f>LN(Sales_Deals!G2294)</f>
        <v>13.061678753787822</v>
      </c>
    </row>
    <row r="2298" spans="17:17" x14ac:dyDescent="0.35">
      <c r="Q2298" s="71">
        <f>LN(Sales_Deals!G2295)</f>
        <v>11.560362332894851</v>
      </c>
    </row>
    <row r="2299" spans="17:17" x14ac:dyDescent="0.35">
      <c r="Q2299" s="71">
        <f>LN(Sales_Deals!G2296)</f>
        <v>12.08884757917996</v>
      </c>
    </row>
    <row r="2300" spans="17:17" x14ac:dyDescent="0.35">
      <c r="Q2300" s="71">
        <f>LN(Sales_Deals!G2297)</f>
        <v>12.762245370062542</v>
      </c>
    </row>
    <row r="2301" spans="17:17" x14ac:dyDescent="0.35">
      <c r="Q2301" s="71">
        <f>LN(Sales_Deals!G2298)</f>
        <v>12.999917738688689</v>
      </c>
    </row>
    <row r="2302" spans="17:17" x14ac:dyDescent="0.35">
      <c r="Q2302" s="71">
        <f>LN(Sales_Deals!G2299)</f>
        <v>12.490363975907846</v>
      </c>
    </row>
    <row r="2303" spans="17:17" x14ac:dyDescent="0.35">
      <c r="Q2303" s="71">
        <f>LN(Sales_Deals!G2300)</f>
        <v>11.492283885852363</v>
      </c>
    </row>
    <row r="2304" spans="17:17" x14ac:dyDescent="0.35">
      <c r="Q2304" s="71">
        <f>LN(Sales_Deals!G2301)</f>
        <v>12.961417327929038</v>
      </c>
    </row>
    <row r="2305" spans="17:17" x14ac:dyDescent="0.35">
      <c r="Q2305" s="71">
        <f>LN(Sales_Deals!G2302)</f>
        <v>12.06102375182533</v>
      </c>
    </row>
    <row r="2306" spans="17:17" x14ac:dyDescent="0.35">
      <c r="Q2306" s="71">
        <f>LN(Sales_Deals!G2303)</f>
        <v>12.530963793764226</v>
      </c>
    </row>
    <row r="2307" spans="17:17" x14ac:dyDescent="0.35">
      <c r="Q2307" s="71">
        <f>LN(Sales_Deals!G2304)</f>
        <v>12.165734908738216</v>
      </c>
    </row>
    <row r="2308" spans="17:17" x14ac:dyDescent="0.35">
      <c r="Q2308" s="71">
        <f>LN(Sales_Deals!G2305)</f>
        <v>12.638955106035951</v>
      </c>
    </row>
    <row r="2309" spans="17:17" x14ac:dyDescent="0.35">
      <c r="Q2309" s="71">
        <f>LN(Sales_Deals!G2306)</f>
        <v>12.763500327020058</v>
      </c>
    </row>
    <row r="2310" spans="17:17" x14ac:dyDescent="0.35">
      <c r="Q2310" s="71">
        <f>LN(Sales_Deals!G2307)</f>
        <v>12.783202730243763</v>
      </c>
    </row>
    <row r="2311" spans="17:17" x14ac:dyDescent="0.35">
      <c r="Q2311" s="71">
        <f>LN(Sales_Deals!G2308)</f>
        <v>11.73789934021916</v>
      </c>
    </row>
    <row r="2312" spans="17:17" x14ac:dyDescent="0.35">
      <c r="Q2312" s="71">
        <f>LN(Sales_Deals!G2309)</f>
        <v>11.970907118988638</v>
      </c>
    </row>
    <row r="2313" spans="17:17" x14ac:dyDescent="0.35">
      <c r="Q2313" s="71">
        <f>LN(Sales_Deals!G2310)</f>
        <v>11.856770455920854</v>
      </c>
    </row>
    <row r="2314" spans="17:17" x14ac:dyDescent="0.35">
      <c r="Q2314" s="71">
        <f>LN(Sales_Deals!G2311)</f>
        <v>12.388064981470222</v>
      </c>
    </row>
    <row r="2315" spans="17:17" x14ac:dyDescent="0.35">
      <c r="Q2315" s="71">
        <f>LN(Sales_Deals!G2312)</f>
        <v>12.0504709134356</v>
      </c>
    </row>
    <row r="2316" spans="17:17" x14ac:dyDescent="0.35">
      <c r="Q2316" s="71">
        <f>LN(Sales_Deals!G2313)</f>
        <v>12.966025306981635</v>
      </c>
    </row>
    <row r="2317" spans="17:17" x14ac:dyDescent="0.35">
      <c r="Q2317" s="71">
        <f>LN(Sales_Deals!G2314)</f>
        <v>13.097824752957175</v>
      </c>
    </row>
    <row r="2318" spans="17:17" x14ac:dyDescent="0.35">
      <c r="Q2318" s="71">
        <f>LN(Sales_Deals!G2315)</f>
        <v>12.762414508588831</v>
      </c>
    </row>
    <row r="2319" spans="17:17" x14ac:dyDescent="0.35">
      <c r="Q2319" s="71">
        <f>LN(Sales_Deals!G2316)</f>
        <v>12.985259898182504</v>
      </c>
    </row>
    <row r="2320" spans="17:17" x14ac:dyDescent="0.35">
      <c r="Q2320" s="71">
        <f>LN(Sales_Deals!G2317)</f>
        <v>11.243829593994127</v>
      </c>
    </row>
    <row r="2321" spans="17:17" x14ac:dyDescent="0.35">
      <c r="Q2321" s="71">
        <f>LN(Sales_Deals!G2318)</f>
        <v>12.991286113797386</v>
      </c>
    </row>
    <row r="2322" spans="17:17" x14ac:dyDescent="0.35">
      <c r="Q2322" s="71">
        <f>LN(Sales_Deals!G2319)</f>
        <v>12.721160174462492</v>
      </c>
    </row>
    <row r="2323" spans="17:17" x14ac:dyDescent="0.35">
      <c r="Q2323" s="71">
        <f>LN(Sales_Deals!G2320)</f>
        <v>12.431605340566287</v>
      </c>
    </row>
    <row r="2324" spans="17:17" x14ac:dyDescent="0.35">
      <c r="Q2324" s="71">
        <f>LN(Sales_Deals!G2321)</f>
        <v>10.398732424335096</v>
      </c>
    </row>
    <row r="2325" spans="17:17" x14ac:dyDescent="0.35">
      <c r="Q2325" s="71">
        <f>LN(Sales_Deals!G2322)</f>
        <v>12.220448811474681</v>
      </c>
    </row>
    <row r="2326" spans="17:17" x14ac:dyDescent="0.35">
      <c r="Q2326" s="71">
        <f>LN(Sales_Deals!G2323)</f>
        <v>12.869749819906088</v>
      </c>
    </row>
    <row r="2327" spans="17:17" x14ac:dyDescent="0.35">
      <c r="Q2327" s="71">
        <f>LN(Sales_Deals!G2324)</f>
        <v>12.237203027726736</v>
      </c>
    </row>
    <row r="2328" spans="17:17" x14ac:dyDescent="0.35">
      <c r="Q2328" s="71">
        <f>LN(Sales_Deals!G2325)</f>
        <v>9.4737809800549293</v>
      </c>
    </row>
    <row r="2329" spans="17:17" x14ac:dyDescent="0.35">
      <c r="Q2329" s="71">
        <f>LN(Sales_Deals!G2326)</f>
        <v>12.399045607499266</v>
      </c>
    </row>
    <row r="2330" spans="17:17" x14ac:dyDescent="0.35">
      <c r="Q2330" s="71">
        <f>LN(Sales_Deals!G2327)</f>
        <v>12.728398882988181</v>
      </c>
    </row>
    <row r="2331" spans="17:17" x14ac:dyDescent="0.35">
      <c r="Q2331" s="71">
        <f>LN(Sales_Deals!G2328)</f>
        <v>12.171983145158761</v>
      </c>
    </row>
    <row r="2332" spans="17:17" x14ac:dyDescent="0.35">
      <c r="Q2332" s="71">
        <f>LN(Sales_Deals!G2329)</f>
        <v>12.674246476716048</v>
      </c>
    </row>
    <row r="2333" spans="17:17" x14ac:dyDescent="0.35">
      <c r="Q2333" s="71">
        <f>LN(Sales_Deals!G2330)</f>
        <v>12.722742160453068</v>
      </c>
    </row>
    <row r="2334" spans="17:17" x14ac:dyDescent="0.35">
      <c r="Q2334" s="71">
        <f>LN(Sales_Deals!G2331)</f>
        <v>11.174090439159826</v>
      </c>
    </row>
    <row r="2335" spans="17:17" x14ac:dyDescent="0.35">
      <c r="Q2335" s="71">
        <f>LN(Sales_Deals!G2332)</f>
        <v>12.857196589534125</v>
      </c>
    </row>
    <row r="2336" spans="17:17" x14ac:dyDescent="0.35">
      <c r="Q2336" s="71">
        <f>LN(Sales_Deals!G2333)</f>
        <v>11.319401393668281</v>
      </c>
    </row>
    <row r="2337" spans="17:17" x14ac:dyDescent="0.35">
      <c r="Q2337" s="71">
        <f>LN(Sales_Deals!G2334)</f>
        <v>12.231686784604069</v>
      </c>
    </row>
    <row r="2338" spans="17:17" x14ac:dyDescent="0.35">
      <c r="Q2338" s="71">
        <f>LN(Sales_Deals!G2335)</f>
        <v>13.041244424119531</v>
      </c>
    </row>
    <row r="2339" spans="17:17" x14ac:dyDescent="0.35">
      <c r="Q2339" s="71">
        <f>LN(Sales_Deals!G2336)</f>
        <v>10.666650414667744</v>
      </c>
    </row>
    <row r="2340" spans="17:17" x14ac:dyDescent="0.35">
      <c r="Q2340" s="71">
        <f>LN(Sales_Deals!G2337)</f>
        <v>11.585087974509596</v>
      </c>
    </row>
    <row r="2341" spans="17:17" x14ac:dyDescent="0.35">
      <c r="Q2341" s="71">
        <f>LN(Sales_Deals!G2338)</f>
        <v>12.390949268693541</v>
      </c>
    </row>
    <row r="2342" spans="17:17" x14ac:dyDescent="0.35">
      <c r="Q2342" s="71">
        <f>LN(Sales_Deals!G2339)</f>
        <v>12.711524858347088</v>
      </c>
    </row>
    <row r="2343" spans="17:17" x14ac:dyDescent="0.35">
      <c r="Q2343" s="71">
        <f>LN(Sales_Deals!G2340)</f>
        <v>11.708475801010524</v>
      </c>
    </row>
    <row r="2344" spans="17:17" x14ac:dyDescent="0.35">
      <c r="Q2344" s="71">
        <f>LN(Sales_Deals!G2341)</f>
        <v>12.410012989859947</v>
      </c>
    </row>
    <row r="2345" spans="17:17" x14ac:dyDescent="0.35">
      <c r="Q2345" s="71">
        <f>LN(Sales_Deals!G2342)</f>
        <v>11.884530399856956</v>
      </c>
    </row>
    <row r="2346" spans="17:17" x14ac:dyDescent="0.35">
      <c r="Q2346" s="71">
        <f>LN(Sales_Deals!G2343)</f>
        <v>12.820376815159245</v>
      </c>
    </row>
    <row r="2347" spans="17:17" x14ac:dyDescent="0.35">
      <c r="Q2347" s="71">
        <f>LN(Sales_Deals!G2344)</f>
        <v>11.738138872652996</v>
      </c>
    </row>
    <row r="2348" spans="17:17" x14ac:dyDescent="0.35">
      <c r="Q2348" s="71">
        <f>LN(Sales_Deals!G2345)</f>
        <v>12.628958461447956</v>
      </c>
    </row>
    <row r="2349" spans="17:17" x14ac:dyDescent="0.35">
      <c r="Q2349" s="71">
        <f>LN(Sales_Deals!G2346)</f>
        <v>11.384182589077502</v>
      </c>
    </row>
    <row r="2350" spans="17:17" x14ac:dyDescent="0.35">
      <c r="Q2350" s="71">
        <f>LN(Sales_Deals!G2347)</f>
        <v>12.592480648371536</v>
      </c>
    </row>
    <row r="2351" spans="17:17" x14ac:dyDescent="0.35">
      <c r="Q2351" s="71">
        <f>LN(Sales_Deals!G2348)</f>
        <v>13.022543042122118</v>
      </c>
    </row>
    <row r="2352" spans="17:17" x14ac:dyDescent="0.35">
      <c r="Q2352" s="71">
        <f>LN(Sales_Deals!G2349)</f>
        <v>13.102801281178232</v>
      </c>
    </row>
    <row r="2353" spans="17:17" x14ac:dyDescent="0.35">
      <c r="Q2353" s="71">
        <f>LN(Sales_Deals!G2350)</f>
        <v>13.052061077561566</v>
      </c>
    </row>
    <row r="2354" spans="17:17" x14ac:dyDescent="0.35">
      <c r="Q2354" s="71">
        <f>LN(Sales_Deals!G2351)</f>
        <v>12.982533332710259</v>
      </c>
    </row>
    <row r="2355" spans="17:17" x14ac:dyDescent="0.35">
      <c r="Q2355" s="71">
        <f>LN(Sales_Deals!G2352)</f>
        <v>13.062044208932271</v>
      </c>
    </row>
    <row r="2356" spans="17:17" x14ac:dyDescent="0.35">
      <c r="Q2356" s="71">
        <f>LN(Sales_Deals!G2353)</f>
        <v>10.376985071036119</v>
      </c>
    </row>
    <row r="2357" spans="17:17" x14ac:dyDescent="0.35">
      <c r="Q2357" s="71">
        <f>LN(Sales_Deals!G2354)</f>
        <v>12.496796337563648</v>
      </c>
    </row>
    <row r="2358" spans="17:17" x14ac:dyDescent="0.35">
      <c r="Q2358" s="71">
        <f>LN(Sales_Deals!G2355)</f>
        <v>12.7549885360433</v>
      </c>
    </row>
    <row r="2359" spans="17:17" x14ac:dyDescent="0.35">
      <c r="Q2359" s="71">
        <f>LN(Sales_Deals!G2356)</f>
        <v>11.555132100432616</v>
      </c>
    </row>
    <row r="2360" spans="17:17" x14ac:dyDescent="0.35">
      <c r="Q2360" s="71">
        <f>LN(Sales_Deals!G2357)</f>
        <v>12.100206446480495</v>
      </c>
    </row>
    <row r="2361" spans="17:17" x14ac:dyDescent="0.35">
      <c r="Q2361" s="71">
        <f>LN(Sales_Deals!G2358)</f>
        <v>11.490117325644221</v>
      </c>
    </row>
    <row r="2362" spans="17:17" x14ac:dyDescent="0.35">
      <c r="Q2362" s="71">
        <f>LN(Sales_Deals!G2359)</f>
        <v>13.018790152479328</v>
      </c>
    </row>
    <row r="2363" spans="17:17" x14ac:dyDescent="0.35">
      <c r="Q2363" s="71">
        <f>LN(Sales_Deals!G2360)</f>
        <v>12.912200215142153</v>
      </c>
    </row>
    <row r="2364" spans="17:17" x14ac:dyDescent="0.35">
      <c r="Q2364" s="71">
        <f>LN(Sales_Deals!G2361)</f>
        <v>10.571496396185374</v>
      </c>
    </row>
    <row r="2365" spans="17:17" x14ac:dyDescent="0.35">
      <c r="Q2365" s="71">
        <f>LN(Sales_Deals!G2362)</f>
        <v>12.454470602818809</v>
      </c>
    </row>
    <row r="2366" spans="17:17" x14ac:dyDescent="0.35">
      <c r="Q2366" s="71">
        <f>LN(Sales_Deals!G2363)</f>
        <v>14.267710385929458</v>
      </c>
    </row>
    <row r="2367" spans="17:17" x14ac:dyDescent="0.35">
      <c r="Q2367" s="71">
        <f>LN(Sales_Deals!G2364)</f>
        <v>12.136256220730553</v>
      </c>
    </row>
    <row r="2368" spans="17:17" x14ac:dyDescent="0.35">
      <c r="Q2368" s="71">
        <f>LN(Sales_Deals!G2365)</f>
        <v>12.929237261007694</v>
      </c>
    </row>
    <row r="2369" spans="17:17" x14ac:dyDescent="0.35">
      <c r="Q2369" s="71">
        <f>LN(Sales_Deals!G2366)</f>
        <v>13.104246248856739</v>
      </c>
    </row>
    <row r="2370" spans="17:17" x14ac:dyDescent="0.35">
      <c r="Q2370" s="71">
        <f>LN(Sales_Deals!G2367)</f>
        <v>13.02157019336758</v>
      </c>
    </row>
    <row r="2371" spans="17:17" x14ac:dyDescent="0.35">
      <c r="Q2371" s="71">
        <f>LN(Sales_Deals!G2368)</f>
        <v>12.226007617009651</v>
      </c>
    </row>
    <row r="2372" spans="17:17" x14ac:dyDescent="0.35">
      <c r="Q2372" s="71">
        <f>LN(Sales_Deals!G2369)</f>
        <v>12.300668934211222</v>
      </c>
    </row>
    <row r="2373" spans="17:17" x14ac:dyDescent="0.35">
      <c r="Q2373" s="71">
        <f>LN(Sales_Deals!G2370)</f>
        <v>12.955623788736657</v>
      </c>
    </row>
    <row r="2374" spans="17:17" x14ac:dyDescent="0.35">
      <c r="Q2374" s="71">
        <f>LN(Sales_Deals!G2371)</f>
        <v>12.186114806189227</v>
      </c>
    </row>
    <row r="2375" spans="17:17" x14ac:dyDescent="0.35">
      <c r="Q2375" s="71">
        <f>LN(Sales_Deals!G2372)</f>
        <v>12.879680164215502</v>
      </c>
    </row>
    <row r="2376" spans="17:17" x14ac:dyDescent="0.35">
      <c r="Q2376" s="71">
        <f>LN(Sales_Deals!G2373)</f>
        <v>12.658726636440797</v>
      </c>
    </row>
    <row r="2377" spans="17:17" x14ac:dyDescent="0.35">
      <c r="Q2377" s="71">
        <f>LN(Sales_Deals!G2374)</f>
        <v>12.050091124068059</v>
      </c>
    </row>
    <row r="2378" spans="17:17" x14ac:dyDescent="0.35">
      <c r="Q2378" s="71">
        <f>LN(Sales_Deals!G2375)</f>
        <v>13.005323815302976</v>
      </c>
    </row>
    <row r="2379" spans="17:17" x14ac:dyDescent="0.35">
      <c r="Q2379" s="71">
        <f>LN(Sales_Deals!G2376)</f>
        <v>12.902005941264218</v>
      </c>
    </row>
    <row r="2380" spans="17:17" x14ac:dyDescent="0.35">
      <c r="Q2380" s="71">
        <f>LN(Sales_Deals!G2377)</f>
        <v>12.666698061482276</v>
      </c>
    </row>
    <row r="2381" spans="17:17" x14ac:dyDescent="0.35">
      <c r="Q2381" s="71">
        <f>LN(Sales_Deals!G2378)</f>
        <v>11.921804738178182</v>
      </c>
    </row>
    <row r="2382" spans="17:17" x14ac:dyDescent="0.35">
      <c r="Q2382" s="71">
        <f>LN(Sales_Deals!G2379)</f>
        <v>11.414242604065644</v>
      </c>
    </row>
    <row r="2383" spans="17:17" x14ac:dyDescent="0.35">
      <c r="Q2383" s="71">
        <f>LN(Sales_Deals!G2380)</f>
        <v>12.148194561024697</v>
      </c>
    </row>
    <row r="2384" spans="17:17" x14ac:dyDescent="0.35">
      <c r="Q2384" s="71">
        <f>LN(Sales_Deals!G2381)</f>
        <v>13.087366053175336</v>
      </c>
    </row>
    <row r="2385" spans="17:17" x14ac:dyDescent="0.35">
      <c r="Q2385" s="71">
        <f>LN(Sales_Deals!G2382)</f>
        <v>13.043523612571509</v>
      </c>
    </row>
    <row r="2386" spans="17:17" x14ac:dyDescent="0.35">
      <c r="Q2386" s="71">
        <f>LN(Sales_Deals!G2383)</f>
        <v>12.621629988614059</v>
      </c>
    </row>
    <row r="2387" spans="17:17" x14ac:dyDescent="0.35">
      <c r="Q2387" s="71">
        <f>LN(Sales_Deals!G2384)</f>
        <v>13.065943279177612</v>
      </c>
    </row>
    <row r="2388" spans="17:17" x14ac:dyDescent="0.35">
      <c r="Q2388" s="71">
        <f>LN(Sales_Deals!G2385)</f>
        <v>11.946608671152378</v>
      </c>
    </row>
    <row r="2389" spans="17:17" x14ac:dyDescent="0.35">
      <c r="Q2389" s="71">
        <f>LN(Sales_Deals!G2386)</f>
        <v>12.944893233453341</v>
      </c>
    </row>
    <row r="2390" spans="17:17" x14ac:dyDescent="0.35">
      <c r="Q2390" s="71">
        <f>LN(Sales_Deals!G2387)</f>
        <v>12.67476291269338</v>
      </c>
    </row>
    <row r="2391" spans="17:17" x14ac:dyDescent="0.35">
      <c r="Q2391" s="71">
        <f>LN(Sales_Deals!G2388)</f>
        <v>10.355549946021075</v>
      </c>
    </row>
    <row r="2392" spans="17:17" x14ac:dyDescent="0.35">
      <c r="Q2392" s="71">
        <f>LN(Sales_Deals!G2389)</f>
        <v>12.415713443603929</v>
      </c>
    </row>
    <row r="2393" spans="17:17" x14ac:dyDescent="0.35">
      <c r="Q2393" s="71">
        <f>LN(Sales_Deals!G2390)</f>
        <v>12.01336736398148</v>
      </c>
    </row>
    <row r="2394" spans="17:17" x14ac:dyDescent="0.35">
      <c r="Q2394" s="71">
        <f>LN(Sales_Deals!G2391)</f>
        <v>12.80714839586963</v>
      </c>
    </row>
    <row r="2395" spans="17:17" x14ac:dyDescent="0.35">
      <c r="Q2395" s="71">
        <f>LN(Sales_Deals!G2392)</f>
        <v>12.785101629200851</v>
      </c>
    </row>
    <row r="2396" spans="17:17" x14ac:dyDescent="0.35">
      <c r="Q2396" s="71">
        <f>LN(Sales_Deals!G2393)</f>
        <v>13.098488630270808</v>
      </c>
    </row>
    <row r="2397" spans="17:17" x14ac:dyDescent="0.35">
      <c r="Q2397" s="71">
        <f>LN(Sales_Deals!G2394)</f>
        <v>12.728404814362184</v>
      </c>
    </row>
    <row r="2398" spans="17:17" x14ac:dyDescent="0.35">
      <c r="Q2398" s="71">
        <f>LN(Sales_Deals!G2395)</f>
        <v>9.4043434335439748</v>
      </c>
    </row>
    <row r="2399" spans="17:17" x14ac:dyDescent="0.35">
      <c r="Q2399" s="71">
        <f>LN(Sales_Deals!G2396)</f>
        <v>12.853725474757908</v>
      </c>
    </row>
    <row r="2400" spans="17:17" x14ac:dyDescent="0.35">
      <c r="Q2400" s="71">
        <f>LN(Sales_Deals!G2397)</f>
        <v>13.030026572735649</v>
      </c>
    </row>
    <row r="2401" spans="17:17" x14ac:dyDescent="0.35">
      <c r="Q2401" s="71">
        <f>LN(Sales_Deals!G2398)</f>
        <v>12.171874498150197</v>
      </c>
    </row>
    <row r="2402" spans="17:17" x14ac:dyDescent="0.35">
      <c r="Q2402" s="71">
        <f>LN(Sales_Deals!G2399)</f>
        <v>11.401815117331795</v>
      </c>
    </row>
    <row r="2403" spans="17:17" x14ac:dyDescent="0.35">
      <c r="Q2403" s="71">
        <f>LN(Sales_Deals!G2400)</f>
        <v>12.758589006350325</v>
      </c>
    </row>
    <row r="2404" spans="17:17" x14ac:dyDescent="0.35">
      <c r="Q2404" s="71">
        <f>LN(Sales_Deals!G2401)</f>
        <v>12.82767817350418</v>
      </c>
    </row>
    <row r="2405" spans="17:17" x14ac:dyDescent="0.35">
      <c r="Q2405" s="71">
        <f>LN(Sales_Deals!G2402)</f>
        <v>12.77269809400503</v>
      </c>
    </row>
    <row r="2406" spans="17:17" x14ac:dyDescent="0.35">
      <c r="Q2406" s="71">
        <f>LN(Sales_Deals!G2403)</f>
        <v>12.18044196809452</v>
      </c>
    </row>
    <row r="2407" spans="17:17" x14ac:dyDescent="0.35">
      <c r="Q2407" s="71">
        <f>LN(Sales_Deals!G2404)</f>
        <v>12.154684609812699</v>
      </c>
    </row>
    <row r="2408" spans="17:17" x14ac:dyDescent="0.35">
      <c r="Q2408" s="71">
        <f>LN(Sales_Deals!G2405)</f>
        <v>11.200636442925564</v>
      </c>
    </row>
    <row r="2409" spans="17:17" x14ac:dyDescent="0.35">
      <c r="Q2409" s="71">
        <f>LN(Sales_Deals!G2406)</f>
        <v>12.263680958150488</v>
      </c>
    </row>
    <row r="2410" spans="17:17" x14ac:dyDescent="0.35">
      <c r="Q2410" s="71">
        <f>LN(Sales_Deals!G2407)</f>
        <v>13.050729879673536</v>
      </c>
    </row>
    <row r="2411" spans="17:17" x14ac:dyDescent="0.35">
      <c r="Q2411" s="71">
        <f>LN(Sales_Deals!G2408)</f>
        <v>12.820006149675185</v>
      </c>
    </row>
    <row r="2412" spans="17:17" x14ac:dyDescent="0.35">
      <c r="Q2412" s="71">
        <f>LN(Sales_Deals!G2409)</f>
        <v>12.491135039618982</v>
      </c>
    </row>
    <row r="2413" spans="17:17" x14ac:dyDescent="0.35">
      <c r="Q2413" s="71">
        <f>LN(Sales_Deals!G2410)</f>
        <v>13.043833025544007</v>
      </c>
    </row>
    <row r="2414" spans="17:17" x14ac:dyDescent="0.35">
      <c r="Q2414" s="71">
        <f>LN(Sales_Deals!G2411)</f>
        <v>11.041416703581188</v>
      </c>
    </row>
    <row r="2415" spans="17:17" x14ac:dyDescent="0.35">
      <c r="Q2415" s="71">
        <f>LN(Sales_Deals!G2412)</f>
        <v>12.497865009149763</v>
      </c>
    </row>
    <row r="2416" spans="17:17" x14ac:dyDescent="0.35">
      <c r="Q2416" s="71">
        <f>LN(Sales_Deals!G2413)</f>
        <v>11.80217131408569</v>
      </c>
    </row>
    <row r="2417" spans="17:17" x14ac:dyDescent="0.35">
      <c r="Q2417" s="71">
        <f>LN(Sales_Deals!G2414)</f>
        <v>13.687172513673957</v>
      </c>
    </row>
    <row r="2418" spans="17:17" x14ac:dyDescent="0.35">
      <c r="Q2418" s="71">
        <f>LN(Sales_Deals!G2415)</f>
        <v>12.067253009045334</v>
      </c>
    </row>
    <row r="2419" spans="17:17" x14ac:dyDescent="0.35">
      <c r="Q2419" s="71">
        <f>LN(Sales_Deals!G2416)</f>
        <v>12.268220812045108</v>
      </c>
    </row>
    <row r="2420" spans="17:17" x14ac:dyDescent="0.35">
      <c r="Q2420" s="71">
        <f>LN(Sales_Deals!G2417)</f>
        <v>12.36478007046429</v>
      </c>
    </row>
    <row r="2421" spans="17:17" x14ac:dyDescent="0.35">
      <c r="Q2421" s="71">
        <f>LN(Sales_Deals!G2418)</f>
        <v>11.757329404060727</v>
      </c>
    </row>
    <row r="2422" spans="17:17" x14ac:dyDescent="0.35">
      <c r="Q2422" s="71">
        <f>LN(Sales_Deals!G2419)</f>
        <v>12.484499520467615</v>
      </c>
    </row>
    <row r="2423" spans="17:17" x14ac:dyDescent="0.35">
      <c r="Q2423" s="71">
        <f>LN(Sales_Deals!G2420)</f>
        <v>14.22284391979912</v>
      </c>
    </row>
    <row r="2424" spans="17:17" x14ac:dyDescent="0.35">
      <c r="Q2424" s="71">
        <f>LN(Sales_Deals!G2421)</f>
        <v>11.874278449793303</v>
      </c>
    </row>
    <row r="2425" spans="17:17" x14ac:dyDescent="0.35">
      <c r="Q2425" s="71">
        <f>LN(Sales_Deals!G2422)</f>
        <v>10.558932865912062</v>
      </c>
    </row>
    <row r="2426" spans="17:17" x14ac:dyDescent="0.35">
      <c r="Q2426" s="71">
        <f>LN(Sales_Deals!G2423)</f>
        <v>12.489607379651346</v>
      </c>
    </row>
    <row r="2427" spans="17:17" x14ac:dyDescent="0.35">
      <c r="Q2427" s="71">
        <f>LN(Sales_Deals!G2424)</f>
        <v>12.34676893387685</v>
      </c>
    </row>
    <row r="2428" spans="17:17" x14ac:dyDescent="0.35">
      <c r="Q2428" s="71">
        <f>LN(Sales_Deals!G2425)</f>
        <v>10.172827430740044</v>
      </c>
    </row>
    <row r="2429" spans="17:17" x14ac:dyDescent="0.35">
      <c r="Q2429" s="71">
        <f>LN(Sales_Deals!G2426)</f>
        <v>12.250783070297231</v>
      </c>
    </row>
    <row r="2430" spans="17:17" x14ac:dyDescent="0.35">
      <c r="Q2430" s="71">
        <f>LN(Sales_Deals!G2427)</f>
        <v>12.870027856557229</v>
      </c>
    </row>
    <row r="2431" spans="17:17" x14ac:dyDescent="0.35">
      <c r="Q2431" s="71">
        <f>LN(Sales_Deals!G2428)</f>
        <v>12.612087602443774</v>
      </c>
    </row>
    <row r="2432" spans="17:17" x14ac:dyDescent="0.35">
      <c r="Q2432" s="71">
        <f>LN(Sales_Deals!G2429)</f>
        <v>12.844584109923904</v>
      </c>
    </row>
    <row r="2433" spans="17:17" x14ac:dyDescent="0.35">
      <c r="Q2433" s="71">
        <f>LN(Sales_Deals!G2430)</f>
        <v>12.749956765700595</v>
      </c>
    </row>
    <row r="2434" spans="17:17" x14ac:dyDescent="0.35">
      <c r="Q2434" s="71">
        <f>LN(Sales_Deals!G2431)</f>
        <v>12.075018182780545</v>
      </c>
    </row>
    <row r="2435" spans="17:17" x14ac:dyDescent="0.35">
      <c r="Q2435" s="71">
        <f>LN(Sales_Deals!G2432)</f>
        <v>11.891533118908511</v>
      </c>
    </row>
    <row r="2436" spans="17:17" x14ac:dyDescent="0.35">
      <c r="Q2436" s="71">
        <f>LN(Sales_Deals!G2433)</f>
        <v>11.758065314156335</v>
      </c>
    </row>
    <row r="2437" spans="17:17" x14ac:dyDescent="0.35">
      <c r="Q2437" s="71">
        <f>LN(Sales_Deals!G2434)</f>
        <v>12.97346189639514</v>
      </c>
    </row>
    <row r="2438" spans="17:17" x14ac:dyDescent="0.35">
      <c r="Q2438" s="71">
        <f>LN(Sales_Deals!G2435)</f>
        <v>10.997907733252028</v>
      </c>
    </row>
    <row r="2439" spans="17:17" x14ac:dyDescent="0.35">
      <c r="Q2439" s="71">
        <f>LN(Sales_Deals!G2436)</f>
        <v>12.742361316732694</v>
      </c>
    </row>
    <row r="2440" spans="17:17" x14ac:dyDescent="0.35">
      <c r="Q2440" s="71">
        <f>LN(Sales_Deals!G2437)</f>
        <v>11.701676309529088</v>
      </c>
    </row>
    <row r="2441" spans="17:17" x14ac:dyDescent="0.35">
      <c r="Q2441" s="71">
        <f>LN(Sales_Deals!G2438)</f>
        <v>12.80222422676392</v>
      </c>
    </row>
    <row r="2442" spans="17:17" x14ac:dyDescent="0.35">
      <c r="Q2442" s="71">
        <f>LN(Sales_Deals!G2439)</f>
        <v>12.589264877788946</v>
      </c>
    </row>
    <row r="2443" spans="17:17" x14ac:dyDescent="0.35">
      <c r="Q2443" s="71">
        <f>LN(Sales_Deals!G2440)</f>
        <v>10.968784324672963</v>
      </c>
    </row>
    <row r="2444" spans="17:17" x14ac:dyDescent="0.35">
      <c r="Q2444" s="71">
        <f>LN(Sales_Deals!G2441)</f>
        <v>12.614360432795255</v>
      </c>
    </row>
    <row r="2445" spans="17:17" x14ac:dyDescent="0.35">
      <c r="Q2445" s="71">
        <f>LN(Sales_Deals!G2442)</f>
        <v>12.219709243053082</v>
      </c>
    </row>
    <row r="2446" spans="17:17" x14ac:dyDescent="0.35">
      <c r="Q2446" s="71">
        <f>LN(Sales_Deals!G2443)</f>
        <v>12.516494204951444</v>
      </c>
    </row>
    <row r="2447" spans="17:17" x14ac:dyDescent="0.35">
      <c r="Q2447" s="71">
        <f>LN(Sales_Deals!G2444)</f>
        <v>13.08223905612016</v>
      </c>
    </row>
    <row r="2448" spans="17:17" x14ac:dyDescent="0.35">
      <c r="Q2448" s="71">
        <f>LN(Sales_Deals!G2445)</f>
        <v>11.894152523825118</v>
      </c>
    </row>
    <row r="2449" spans="17:17" x14ac:dyDescent="0.35">
      <c r="Q2449" s="71">
        <f>LN(Sales_Deals!G2446)</f>
        <v>10.629561643296354</v>
      </c>
    </row>
    <row r="2450" spans="17:17" x14ac:dyDescent="0.35">
      <c r="Q2450" s="71">
        <f>LN(Sales_Deals!G2447)</f>
        <v>12.828419071366651</v>
      </c>
    </row>
    <row r="2451" spans="17:17" x14ac:dyDescent="0.35">
      <c r="Q2451" s="71">
        <f>LN(Sales_Deals!G2448)</f>
        <v>12.991388713561497</v>
      </c>
    </row>
    <row r="2452" spans="17:17" x14ac:dyDescent="0.35">
      <c r="Q2452" s="71">
        <f>LN(Sales_Deals!G2449)</f>
        <v>11.995055274013804</v>
      </c>
    </row>
    <row r="2453" spans="17:17" x14ac:dyDescent="0.35">
      <c r="Q2453" s="71">
        <f>LN(Sales_Deals!G2450)</f>
        <v>13.098773306791115</v>
      </c>
    </row>
    <row r="2454" spans="17:17" x14ac:dyDescent="0.35">
      <c r="Q2454" s="71">
        <f>LN(Sales_Deals!G2451)</f>
        <v>13.072101130252221</v>
      </c>
    </row>
    <row r="2455" spans="17:17" x14ac:dyDescent="0.35">
      <c r="Q2455" s="71">
        <f>LN(Sales_Deals!G2452)</f>
        <v>11.182502892175561</v>
      </c>
    </row>
    <row r="2456" spans="17:17" x14ac:dyDescent="0.35">
      <c r="Q2456" s="71">
        <f>LN(Sales_Deals!G2453)</f>
        <v>14.308517568974972</v>
      </c>
    </row>
    <row r="2457" spans="17:17" x14ac:dyDescent="0.35">
      <c r="Q2457" s="71">
        <f>LN(Sales_Deals!G2454)</f>
        <v>12.738008864358854</v>
      </c>
    </row>
    <row r="2458" spans="17:17" x14ac:dyDescent="0.35">
      <c r="Q2458" s="71">
        <f>LN(Sales_Deals!G2455)</f>
        <v>13.017458313568129</v>
      </c>
    </row>
    <row r="2459" spans="17:17" x14ac:dyDescent="0.35">
      <c r="Q2459" s="71">
        <f>LN(Sales_Deals!G2456)</f>
        <v>12.82606025022028</v>
      </c>
    </row>
    <row r="2460" spans="17:17" x14ac:dyDescent="0.35">
      <c r="Q2460" s="71">
        <f>LN(Sales_Deals!G2457)</f>
        <v>13.039794481602732</v>
      </c>
    </row>
    <row r="2461" spans="17:17" x14ac:dyDescent="0.35">
      <c r="Q2461" s="71">
        <f>LN(Sales_Deals!G2458)</f>
        <v>12.312304781216874</v>
      </c>
    </row>
    <row r="2462" spans="17:17" x14ac:dyDescent="0.35">
      <c r="Q2462" s="71">
        <f>LN(Sales_Deals!G2459)</f>
        <v>12.940618454325193</v>
      </c>
    </row>
    <row r="2463" spans="17:17" x14ac:dyDescent="0.35">
      <c r="Q2463" s="71">
        <f>LN(Sales_Deals!G2460)</f>
        <v>11.962796537499058</v>
      </c>
    </row>
    <row r="2464" spans="17:17" x14ac:dyDescent="0.35">
      <c r="Q2464" s="71">
        <f>LN(Sales_Deals!G2461)</f>
        <v>10.944770824577168</v>
      </c>
    </row>
    <row r="2465" spans="17:17" x14ac:dyDescent="0.35">
      <c r="Q2465" s="71">
        <f>LN(Sales_Deals!G2462)</f>
        <v>12.832283766486075</v>
      </c>
    </row>
    <row r="2466" spans="17:17" x14ac:dyDescent="0.35">
      <c r="Q2466" s="71">
        <f>LN(Sales_Deals!G2463)</f>
        <v>11.561515609136993</v>
      </c>
    </row>
    <row r="2467" spans="17:17" x14ac:dyDescent="0.35">
      <c r="Q2467" s="71">
        <f>LN(Sales_Deals!G2464)</f>
        <v>9.9865871217057016</v>
      </c>
    </row>
    <row r="2468" spans="17:17" x14ac:dyDescent="0.35">
      <c r="Q2468" s="71">
        <f>LN(Sales_Deals!G2465)</f>
        <v>10.425757440186377</v>
      </c>
    </row>
    <row r="2469" spans="17:17" x14ac:dyDescent="0.35">
      <c r="Q2469" s="71">
        <f>LN(Sales_Deals!G2466)</f>
        <v>11.695080341207085</v>
      </c>
    </row>
    <row r="2470" spans="17:17" x14ac:dyDescent="0.35">
      <c r="Q2470" s="71">
        <f>LN(Sales_Deals!G2467)</f>
        <v>10.408285043563778</v>
      </c>
    </row>
    <row r="2471" spans="17:17" x14ac:dyDescent="0.35">
      <c r="Q2471" s="71">
        <f>LN(Sales_Deals!G2468)</f>
        <v>12.40190255234892</v>
      </c>
    </row>
    <row r="2472" spans="17:17" x14ac:dyDescent="0.35">
      <c r="Q2472" s="71">
        <f>LN(Sales_Deals!G2469)</f>
        <v>12.20373491516658</v>
      </c>
    </row>
    <row r="2473" spans="17:17" x14ac:dyDescent="0.35">
      <c r="Q2473" s="71">
        <f>LN(Sales_Deals!G2470)</f>
        <v>12.992286582209404</v>
      </c>
    </row>
    <row r="2474" spans="17:17" x14ac:dyDescent="0.35">
      <c r="Q2474" s="71">
        <f>LN(Sales_Deals!G2471)</f>
        <v>9.316140790862395</v>
      </c>
    </row>
    <row r="2475" spans="17:17" x14ac:dyDescent="0.35">
      <c r="Q2475" s="71">
        <f>LN(Sales_Deals!G2472)</f>
        <v>12.676210640748398</v>
      </c>
    </row>
    <row r="2476" spans="17:17" x14ac:dyDescent="0.35">
      <c r="Q2476" s="71">
        <f>LN(Sales_Deals!G2473)</f>
        <v>10.554509806795402</v>
      </c>
    </row>
    <row r="2477" spans="17:17" x14ac:dyDescent="0.35">
      <c r="Q2477" s="71">
        <f>LN(Sales_Deals!G2474)</f>
        <v>12.543662114957185</v>
      </c>
    </row>
    <row r="2478" spans="17:17" x14ac:dyDescent="0.35">
      <c r="Q2478" s="71">
        <f>LN(Sales_Deals!G2475)</f>
        <v>12.655076055652822</v>
      </c>
    </row>
    <row r="2479" spans="17:17" x14ac:dyDescent="0.35">
      <c r="Q2479" s="71">
        <f>LN(Sales_Deals!G2476)</f>
        <v>12.619228106922344</v>
      </c>
    </row>
    <row r="2480" spans="17:17" x14ac:dyDescent="0.35">
      <c r="Q2480" s="71">
        <f>LN(Sales_Deals!G2477)</f>
        <v>13.73570515546497</v>
      </c>
    </row>
    <row r="2481" spans="17:17" x14ac:dyDescent="0.35">
      <c r="Q2481" s="71">
        <f>LN(Sales_Deals!G2478)</f>
        <v>12.125513137671756</v>
      </c>
    </row>
    <row r="2482" spans="17:17" x14ac:dyDescent="0.35">
      <c r="Q2482" s="71">
        <f>LN(Sales_Deals!G2479)</f>
        <v>11.595868577783904</v>
      </c>
    </row>
    <row r="2483" spans="17:17" x14ac:dyDescent="0.35">
      <c r="Q2483" s="71">
        <f>LN(Sales_Deals!G2480)</f>
        <v>11.683444309645031</v>
      </c>
    </row>
    <row r="2484" spans="17:17" x14ac:dyDescent="0.35">
      <c r="Q2484" s="71">
        <f>LN(Sales_Deals!G2481)</f>
        <v>12.436727913128223</v>
      </c>
    </row>
    <row r="2485" spans="17:17" x14ac:dyDescent="0.35">
      <c r="Q2485" s="71">
        <f>LN(Sales_Deals!G2482)</f>
        <v>12.615257493486745</v>
      </c>
    </row>
    <row r="2486" spans="17:17" x14ac:dyDescent="0.35">
      <c r="Q2486" s="71">
        <f>LN(Sales_Deals!G2483)</f>
        <v>10.615162037709958</v>
      </c>
    </row>
    <row r="2487" spans="17:17" x14ac:dyDescent="0.35">
      <c r="Q2487" s="71">
        <f>LN(Sales_Deals!G2484)</f>
        <v>13.073920752836013</v>
      </c>
    </row>
    <row r="2488" spans="17:17" x14ac:dyDescent="0.35">
      <c r="Q2488" s="71">
        <f>LN(Sales_Deals!G2485)</f>
        <v>11.634558856262224</v>
      </c>
    </row>
    <row r="2489" spans="17:17" x14ac:dyDescent="0.35">
      <c r="Q2489" s="71">
        <f>LN(Sales_Deals!G2486)</f>
        <v>12.492859317230321</v>
      </c>
    </row>
    <row r="2490" spans="17:17" x14ac:dyDescent="0.35">
      <c r="Q2490" s="71">
        <f>LN(Sales_Deals!G2487)</f>
        <v>13.082975770325032</v>
      </c>
    </row>
    <row r="2491" spans="17:17" x14ac:dyDescent="0.35">
      <c r="Q2491" s="71">
        <f>LN(Sales_Deals!G2488)</f>
        <v>10.689829039654898</v>
      </c>
    </row>
    <row r="2492" spans="17:17" x14ac:dyDescent="0.35">
      <c r="Q2492" s="71">
        <f>LN(Sales_Deals!G2489)</f>
        <v>12.319316505811065</v>
      </c>
    </row>
    <row r="2493" spans="17:17" x14ac:dyDescent="0.35">
      <c r="Q2493" s="71">
        <f>LN(Sales_Deals!G2490)</f>
        <v>12.173353153567243</v>
      </c>
    </row>
    <row r="2494" spans="17:17" x14ac:dyDescent="0.35">
      <c r="Q2494" s="71">
        <f>LN(Sales_Deals!G2491)</f>
        <v>12.780427844118538</v>
      </c>
    </row>
    <row r="2495" spans="17:17" x14ac:dyDescent="0.35">
      <c r="Q2495" s="71">
        <f>LN(Sales_Deals!G2492)</f>
        <v>11.229328370954718</v>
      </c>
    </row>
    <row r="2496" spans="17:17" x14ac:dyDescent="0.35">
      <c r="Q2496" s="71">
        <f>LN(Sales_Deals!G2493)</f>
        <v>12.952469081338435</v>
      </c>
    </row>
    <row r="2497" spans="17:17" x14ac:dyDescent="0.35">
      <c r="Q2497" s="71">
        <f>LN(Sales_Deals!G2494)</f>
        <v>12.916359597404689</v>
      </c>
    </row>
    <row r="2498" spans="17:17" x14ac:dyDescent="0.35">
      <c r="Q2498" s="71">
        <f>LN(Sales_Deals!G2495)</f>
        <v>12.963168329451429</v>
      </c>
    </row>
    <row r="2499" spans="17:17" x14ac:dyDescent="0.35">
      <c r="Q2499" s="71">
        <f>LN(Sales_Deals!G2496)</f>
        <v>12.228968523007078</v>
      </c>
    </row>
    <row r="2500" spans="17:17" x14ac:dyDescent="0.35">
      <c r="Q2500" s="71">
        <f>LN(Sales_Deals!G2497)</f>
        <v>13.037839812333674</v>
      </c>
    </row>
    <row r="2501" spans="17:17" x14ac:dyDescent="0.35">
      <c r="Q2501" s="71">
        <f>LN(Sales_Deals!G2498)</f>
        <v>12.608275772491318</v>
      </c>
    </row>
    <row r="2502" spans="17:17" x14ac:dyDescent="0.35">
      <c r="Q2502" s="71">
        <f>LN(Sales_Deals!G2499)</f>
        <v>12.696157662234473</v>
      </c>
    </row>
    <row r="2503" spans="17:17" x14ac:dyDescent="0.35">
      <c r="Q2503" s="71">
        <f>LN(Sales_Deals!G2500)</f>
        <v>10.757051454501978</v>
      </c>
    </row>
    <row r="2504" spans="17:17" x14ac:dyDescent="0.35">
      <c r="Q2504" s="71">
        <f>LN(Sales_Deals!G2501)</f>
        <v>11.779794950288046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9C6B-78FB-4A0F-A77D-8AA7D2C4CB5E}">
  <dimension ref="A1:D28"/>
  <sheetViews>
    <sheetView tabSelected="1" workbookViewId="0">
      <selection activeCell="A3" sqref="A3"/>
    </sheetView>
  </sheetViews>
  <sheetFormatPr defaultRowHeight="14.5" x14ac:dyDescent="0.35"/>
  <cols>
    <col min="1" max="1" width="25.54296875" customWidth="1"/>
    <col min="2" max="2" width="28.6328125" customWidth="1"/>
    <col min="3" max="3" width="15.26953125" bestFit="1" customWidth="1"/>
    <col min="4" max="4" width="11.1796875" bestFit="1" customWidth="1"/>
    <col min="6" max="6" width="21.08984375" bestFit="1" customWidth="1"/>
    <col min="7" max="7" width="27.90625" customWidth="1"/>
  </cols>
  <sheetData>
    <row r="1" spans="1:4" ht="31" x14ac:dyDescent="0.7">
      <c r="A1" s="20" t="s">
        <v>8577</v>
      </c>
    </row>
    <row r="2" spans="1:4" x14ac:dyDescent="0.35">
      <c r="A2" s="26" t="s">
        <v>8587</v>
      </c>
    </row>
    <row r="3" spans="1:4" x14ac:dyDescent="0.35">
      <c r="A3" s="26" t="s">
        <v>8588</v>
      </c>
    </row>
    <row r="5" spans="1:4" ht="18.5" x14ac:dyDescent="0.45">
      <c r="A5" s="5" t="s">
        <v>8589</v>
      </c>
    </row>
    <row r="6" spans="1:4" x14ac:dyDescent="0.35">
      <c r="A6" s="61" t="s">
        <v>1871</v>
      </c>
      <c r="B6" s="70" t="s">
        <v>8529</v>
      </c>
      <c r="C6" s="70" t="s">
        <v>8517</v>
      </c>
      <c r="D6" s="70" t="s">
        <v>8519</v>
      </c>
    </row>
    <row r="7" spans="1:4" x14ac:dyDescent="0.35">
      <c r="A7" s="38" t="s">
        <v>1890</v>
      </c>
      <c r="B7" s="7">
        <f>COUNTIFS(Sales_Deals!$D$2:$D$2501,A7)</f>
        <v>392</v>
      </c>
      <c r="C7" s="63">
        <f>AVERAGEIFS(Sales_Deals!$G$2:$G$2501,Sales_Deals!$D$2:$D$2501,A7)</f>
        <v>267177.71683673467</v>
      </c>
      <c r="D7" s="40" cm="1">
        <f t="array" ref="D7">SQRT(SUMPRODUCT((Sales_Deals!$D$2:$D$2501=A7)*(Sales_Deals!$G$2:$G$2501-C7)^2)/(B7-1))</f>
        <v>183476.5875704168</v>
      </c>
    </row>
    <row r="8" spans="1:4" x14ac:dyDescent="0.35">
      <c r="A8" s="38" t="s">
        <v>1899</v>
      </c>
      <c r="B8" s="7">
        <f>COUNTIFS(Sales_Deals!$D$2:$D$2501,A8)</f>
        <v>440</v>
      </c>
      <c r="C8" s="63">
        <f>AVERAGEIFS(Sales_Deals!$G$2:$G$2501,Sales_Deals!$D$2:$D$2501,A8)</f>
        <v>286596.07500000001</v>
      </c>
      <c r="D8" s="40" cm="1">
        <f t="array" ref="D8">SQRT(SUMPRODUCT((Sales_Deals!$D$2:$D$2501=A8)*(Sales_Deals!$G$2:$G$2501-C8)^2)/(B8-1))</f>
        <v>226112.27271222009</v>
      </c>
    </row>
    <row r="9" spans="1:4" x14ac:dyDescent="0.35">
      <c r="A9" s="38" t="s">
        <v>1915</v>
      </c>
      <c r="B9" s="7">
        <f>COUNTIFS(Sales_Deals!$D$2:$D$2501,A9)</f>
        <v>402</v>
      </c>
      <c r="C9" s="63">
        <f>AVERAGEIFS(Sales_Deals!$G$2:$G$2501,Sales_Deals!$D$2:$D$2501,A9)</f>
        <v>299067.05472636817</v>
      </c>
      <c r="D9" s="40" cm="1">
        <f t="array" ref="D9">SQRT(SUMPRODUCT((Sales_Deals!$D$2:$D$2501=A9)*(Sales_Deals!$G$2:$G$2501-C9)^2)/(B9-1))</f>
        <v>227259.97767167154</v>
      </c>
    </row>
    <row r="10" spans="1:4" x14ac:dyDescent="0.35">
      <c r="A10" s="38" t="s">
        <v>1904</v>
      </c>
      <c r="B10" s="7">
        <f>COUNTIFS(Sales_Deals!$D$2:$D$2501,A10)</f>
        <v>431</v>
      </c>
      <c r="C10" s="63">
        <f>AVERAGEIFS(Sales_Deals!$G$2:$G$2501,Sales_Deals!$D$2:$D$2501,A10)</f>
        <v>263633.78190255223</v>
      </c>
      <c r="D10" s="40" cm="1">
        <f t="array" ref="D10">SQRT(SUMPRODUCT((Sales_Deals!$D$2:$D$2501=A10)*(Sales_Deals!$G$2:$G$2501-C10)^2)/(B10-1))</f>
        <v>193525.90256418544</v>
      </c>
    </row>
    <row r="11" spans="1:4" x14ac:dyDescent="0.35">
      <c r="A11" s="38" t="s">
        <v>1927</v>
      </c>
      <c r="B11" s="7">
        <f>COUNTIFS(Sales_Deals!$D$2:$D$2501,A11)</f>
        <v>409</v>
      </c>
      <c r="C11" s="63">
        <f>AVERAGEIFS(Sales_Deals!$G$2:$G$2501,Sales_Deals!$D$2:$D$2501,A11)</f>
        <v>259443.57701711491</v>
      </c>
      <c r="D11" s="40" cm="1">
        <f t="array" ref="D11">SQRT(SUMPRODUCT((Sales_Deals!$D$2:$D$2501=A11)*(Sales_Deals!$G$2:$G$2501-C11)^2)/(B11-1))</f>
        <v>192844.27716191759</v>
      </c>
    </row>
    <row r="12" spans="1:4" x14ac:dyDescent="0.35">
      <c r="A12" s="38" t="s">
        <v>1883</v>
      </c>
      <c r="B12" s="7">
        <f>COUNTIFS(Sales_Deals!$D$2:$D$2501,A12)</f>
        <v>426</v>
      </c>
      <c r="C12" s="63">
        <f>AVERAGEIFS(Sales_Deals!$G$2:$G$2501,Sales_Deals!$D$2:$D$2501,A12)</f>
        <v>294227.34507042251</v>
      </c>
      <c r="D12" s="40" cm="1">
        <f t="array" ref="D12">SQRT(SUMPRODUCT((Sales_Deals!$D$2:$D$2501=A12)*(Sales_Deals!$G$2:$G$2501-C12)^2)/(B12-1))</f>
        <v>233786.43305783704</v>
      </c>
    </row>
    <row r="14" spans="1:4" x14ac:dyDescent="0.35">
      <c r="A14" s="32" t="s">
        <v>8578</v>
      </c>
      <c r="B14" s="77">
        <f>AVERAGE(Sales_Deals!G2:G2501)</f>
        <v>278456.13040000002</v>
      </c>
    </row>
    <row r="15" spans="1:4" x14ac:dyDescent="0.35">
      <c r="A15" s="32" t="s">
        <v>8579</v>
      </c>
      <c r="B15" s="78">
        <f>SUM(B7:B12)</f>
        <v>2500</v>
      </c>
    </row>
    <row r="16" spans="1:4" x14ac:dyDescent="0.35">
      <c r="A16" s="32"/>
      <c r="B16" s="76"/>
    </row>
    <row r="17" spans="1:3" x14ac:dyDescent="0.35">
      <c r="A17" s="32"/>
      <c r="B17" s="76"/>
    </row>
    <row r="18" spans="1:3" ht="18.5" x14ac:dyDescent="0.45">
      <c r="A18" s="5" t="s">
        <v>8590</v>
      </c>
    </row>
    <row r="19" spans="1:3" x14ac:dyDescent="0.35">
      <c r="A19" s="32" t="s">
        <v>8580</v>
      </c>
      <c r="B19" s="78" cm="1">
        <f t="array" ref="B19">SUMPRODUCT(B7:B12,(C7:C12-B14)^2)</f>
        <v>598286186275.00208</v>
      </c>
    </row>
    <row r="20" spans="1:3" x14ac:dyDescent="0.35">
      <c r="A20" s="32" t="s">
        <v>8581</v>
      </c>
      <c r="B20" s="79" cm="1">
        <f t="array" ref="B20">SUMPRODUCT((Sales_Deals!$D$2:$D$2501=A7)*(Sales_Deals!$G$2:$G$2501-C7)^2)+SUMPRODUCT((Sales_Deals!$D$2:$D$2501=A8)*(Sales_Deals!$G$2:$G$2501-C8)^2)+SUMPRODUCT((Sales_Deals!$D$2:$D$2501=A9)*(Sales_Deals!$G$2:$G$2501-C9)^2)+SUMPRODUCT((Sales_Deals!$D$2:$D$2501=A10)*(Sales_Deals!$G$2:$G$2501-C10)^2)+SUMPRODUCT((Sales_Deals!$D$2:$D$2501=A11)*(Sales_Deals!$G$2:$G$2501-C11)^2)+SUMPRODUCT((Sales_Deals!$D$2:$D$2501=A12)*(Sales_Deals!$G$2:$G$2501-C12)^2)</f>
        <v>110824020581840.44</v>
      </c>
    </row>
    <row r="21" spans="1:3" x14ac:dyDescent="0.35">
      <c r="A21" s="32" t="s">
        <v>8582</v>
      </c>
      <c r="B21" s="33">
        <f>COUNTA(A7:A12)-1</f>
        <v>5</v>
      </c>
    </row>
    <row r="22" spans="1:3" x14ac:dyDescent="0.35">
      <c r="A22" s="32" t="s">
        <v>8583</v>
      </c>
      <c r="B22" s="79">
        <f>B15-COUNTA(A7:A12)</f>
        <v>2494</v>
      </c>
    </row>
    <row r="23" spans="1:3" x14ac:dyDescent="0.35">
      <c r="A23" s="32" t="s">
        <v>8584</v>
      </c>
      <c r="B23" s="79">
        <f>B19/B21</f>
        <v>119657237255.00041</v>
      </c>
    </row>
    <row r="24" spans="1:3" x14ac:dyDescent="0.35">
      <c r="A24" s="32" t="s">
        <v>8585</v>
      </c>
      <c r="B24" s="80">
        <f>B20/B22</f>
        <v>44436255245.324951</v>
      </c>
    </row>
    <row r="25" spans="1:3" x14ac:dyDescent="0.35">
      <c r="A25" s="32" t="s">
        <v>8586</v>
      </c>
      <c r="B25" s="34">
        <f>B23/B24</f>
        <v>2.6927840024861074</v>
      </c>
    </row>
    <row r="26" spans="1:3" x14ac:dyDescent="0.35">
      <c r="A26" s="32" t="s">
        <v>8543</v>
      </c>
      <c r="B26" s="34">
        <f>FDIST(B25,B21,B22)</f>
        <v>1.9619935670176031E-2</v>
      </c>
    </row>
    <row r="27" spans="1:3" x14ac:dyDescent="0.35">
      <c r="A27" s="32"/>
      <c r="B27" s="81"/>
    </row>
    <row r="28" spans="1:3" x14ac:dyDescent="0.35">
      <c r="A28" s="32" t="s">
        <v>8565</v>
      </c>
      <c r="B28" s="90" t="str">
        <f>IF(B26&lt;0.05,"Reject H0 - deal value differs by product","Fail to reject H0 - no real difference by product")</f>
        <v>Reject H0 - deal value differs by product</v>
      </c>
      <c r="C28" s="90"/>
    </row>
  </sheetData>
  <mergeCells count="1">
    <mergeCell ref="B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Clients</vt:lpstr>
      <vt:lpstr>Finance_Expenses</vt:lpstr>
      <vt:lpstr>Marketing_Campaigns</vt:lpstr>
      <vt:lpstr>Sales_Deals</vt:lpstr>
      <vt:lpstr>Support_Tickets</vt:lpstr>
      <vt:lpstr>Q34_Win_Rate</vt:lpstr>
      <vt:lpstr>Q35_Closure_Time</vt:lpstr>
      <vt:lpstr>Q36_Correlation</vt:lpstr>
      <vt:lpstr>Q37_Trend_Analysis</vt:lpstr>
      <vt:lpstr>Q38_Descriptive_Stats</vt:lpstr>
      <vt:lpstr>Q39_Distribution</vt:lpstr>
      <vt:lpstr> Q40_ANOVA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Satyabrata Sahoo</dc:creator>
  <cp:lastModifiedBy>Satyabrata Sahoo</cp:lastModifiedBy>
  <dcterms:created xsi:type="dcterms:W3CDTF">2015-06-05T18:17:20Z</dcterms:created>
  <dcterms:modified xsi:type="dcterms:W3CDTF">2026-09-18T07:28:18Z</dcterms:modified>
</cp:coreProperties>
</file>